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17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ários" sheetId="1" r:id="rId4"/>
    <sheet state="visible" name="220 nova Anderson " sheetId="2" r:id="rId5"/>
    <sheet state="visible" name="220 Antiga Silvinho " sheetId="3" r:id="rId6"/>
    <sheet state="visible" name="Sanny" sheetId="4" r:id="rId7"/>
    <sheet state="visible" name="700J nova " sheetId="5" r:id="rId8"/>
    <sheet state="visible" name="700J nova Armack " sheetId="6" r:id="rId9"/>
    <sheet state="visible" name="pá carregadeira " sheetId="7" r:id="rId10"/>
    <sheet state="visible" name="Maq D51 - Caio" sheetId="8" r:id="rId11"/>
    <sheet state="visible" name="D51 julio" sheetId="9" r:id="rId12"/>
    <sheet state="visible" name="Caminhão 1513" sheetId="10" r:id="rId13"/>
    <sheet state="hidden" name="7D1" sheetId="11" r:id="rId14"/>
    <sheet state="hidden" name=" Carregadeira 12B " sheetId="12" r:id="rId15"/>
    <sheet state="visible" name="7D2 " sheetId="13" r:id="rId16"/>
    <sheet state="hidden" name="Horímetros" sheetId="14" r:id="rId17"/>
    <sheet state="hidden" name="ANDERSON" sheetId="15" r:id="rId18"/>
    <sheet state="hidden" name="Guri" sheetId="16" r:id="rId19"/>
    <sheet state="hidden" name="CLEITON" sheetId="17" r:id="rId20"/>
    <sheet state="hidden" name="CAIO" sheetId="18" r:id="rId21"/>
    <sheet state="hidden" name="Cristiano" sheetId="19" r:id="rId22"/>
    <sheet state="hidden" name="BETO" sheetId="20" r:id="rId23"/>
    <sheet state="hidden" name="Samuel " sheetId="21" r:id="rId24"/>
    <sheet state="hidden" name="TAMIRINHO" sheetId="22" r:id="rId25"/>
    <sheet state="hidden" name="Donizete" sheetId="23" r:id="rId26"/>
    <sheet state="hidden" name="Trator D150" sheetId="24" r:id="rId27"/>
    <sheet state="hidden" name="Trator João" sheetId="25" r:id="rId28"/>
    <sheet state="hidden" name="Mimi" sheetId="26" r:id="rId29"/>
    <sheet state="hidden" name="CAETANO" sheetId="27" r:id="rId30"/>
    <sheet state="hidden" name="JHON" sheetId="28" r:id="rId31"/>
    <sheet state="hidden" name="WENDEL" sheetId="29" r:id="rId32"/>
    <sheet state="hidden" name="ROMILDO" sheetId="30" r:id="rId33"/>
    <sheet state="hidden" name="JOSIEL" sheetId="31" r:id="rId34"/>
    <sheet state="hidden" name="HELIVELTON" sheetId="32" r:id="rId35"/>
    <sheet state="hidden" name="Planilha1 (2)" sheetId="33" r:id="rId36"/>
  </sheets>
  <definedNames>
    <definedName hidden="1" localSheetId="3" name="_xlnm._FilterDatabase">Sanny!$A$764:$R$1311</definedName>
  </definedNames>
  <calcPr/>
  <extLst>
    <ext uri="GoogleSheetsCustomDataVersion2">
      <go:sheetsCustomData xmlns:go="http://customooxmlschemas.google.com/" r:id="rId37" roundtripDataChecksum="YW4+UHst8rroqRtsV1XbbDsa41arXcCptCBcxfmR37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50">
      <text>
        <t xml:space="preserve">Desconto de 600,00 de vale e 585,25 de um consignado direto em folha no Sicoob
======
ID#AAABqwp-klI
vinicius bond    (2025-09-01 23:59:45)
Desconto de 600,00 de vale e 585,25 de um consignado direto em folha no Sicoob</t>
      </text>
    </comment>
    <comment authorId="0" ref="G386">
      <text>
        <t xml:space="preserve">======
ID#AAABqscOQwI
vinicius bond    (2025-09-07 13:06:31)
Desconto de 600,00 de vale e 585,25 de um consignado direto em folha no Sicoob</t>
      </text>
    </comment>
    <comment authorId="0" ref="G368">
      <text>
        <t xml:space="preserve">======
ID#AAABqwp-klE
vinicius bond    (2025-09-01 23:59:22)
Desconto de 600,00 de vale e 585,25 de um consignado direto em folha no Sicoob</t>
      </text>
    </comment>
  </commentList>
  <extLst>
    <ext uri="GoogleSheetsCustomDataVersion2">
      <go:sheetsCustomData xmlns:go="http://customooxmlschemas.google.com/" r:id="rId1" roundtripDataSignature="AMtx7mgO0/crQeapefFBFjLLI1nA9x6Jc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6">
      <text>
        <t xml:space="preserve">======
ID#AAABE37uO2I
Felipe Amadeu    (2024-01-23 17:41:44)
Felipe Amadeu:</t>
      </text>
    </comment>
    <comment authorId="0" ref="F19">
      <text>
        <t xml:space="preserve">======
ID#AAABE37uO1o
Felipe Amadeu    (2024-01-23 17:41:44)
Felipe Amadeu:</t>
      </text>
    </comment>
    <comment authorId="0" ref="I476">
      <text>
        <t xml:space="preserve">======
ID#AAABE37uOy0
Felipe Amadeu    (2024-01-23 17:41:44)
+ 3 horas maquina do vandim</t>
      </text>
    </comment>
    <comment authorId="0" ref="I551">
      <text>
        <t xml:space="preserve">======
ID#AAABE37uOyw
Felipe Amadeu    (2024-01-23 17:41:44)
Felipe Amadeu:</t>
      </text>
    </comment>
    <comment authorId="0" ref="G202">
      <text>
        <t xml:space="preserve">======
ID#AAABE37uOyk
Felipe Amadeu    (2024-01-23 17:41:44)
Felipe Amadeu:</t>
      </text>
    </comment>
    <comment authorId="0" ref="G267">
      <text>
        <t xml:space="preserve">======
ID#AAABE37uOys
Felipe Amadeu    (2024-01-23 17:41:44)
Felipe Amadeu:</t>
      </text>
    </comment>
    <comment authorId="0" ref="I548">
      <text>
        <t xml:space="preserve">======
ID#AAABE37uOyE
Felipe Amadeu    (2024-01-23 17:41:44)
+ 3 horas maquina do vandim</t>
      </text>
    </comment>
    <comment authorId="0" ref="G139">
      <text>
        <t xml:space="preserve">======
ID#AAABE37uOxU
Felipe Amadeu    (2024-01-23 17:41:44)
Felipe Amadeu:</t>
      </text>
    </comment>
    <comment authorId="0" ref="I443">
      <text>
        <t xml:space="preserve">======
ID#AAABE37uOwg
Felipe Amadeu    (2024-01-23 17:41:44)
Felipe Amadeu:</t>
      </text>
    </comment>
    <comment authorId="0" ref="G264">
      <text>
        <t xml:space="preserve">======
ID#AAABE37uOvg
Felipe Amadeu    (2024-01-23 17:41:44)
+ 3 horas maquina do vandim</t>
      </text>
    </comment>
    <comment authorId="0" ref="I332">
      <text>
        <t xml:space="preserve">======
ID#AAABE37uOvQ
Felipe Amadeu    (2024-01-23 17:41:44)
+ 3 horas maquina do vandim</t>
      </text>
    </comment>
    <comment authorId="0" ref="I512">
      <text>
        <t xml:space="preserve">======
ID#AAABE37uOuo
Felipe Amadeu    (2024-01-23 17:41:44)
+ 3 horas maquina do vandim</t>
      </text>
    </comment>
    <comment authorId="0" ref="I404">
      <text>
        <t xml:space="preserve">======
ID#AAABE37uOuk
Felipe Amadeu    (2024-01-23 17:41:44)
+ 3 horas maquina do vandim</t>
      </text>
    </comment>
    <comment authorId="0" ref="I407">
      <text>
        <t xml:space="preserve">======
ID#AAABE37uOuI
Felipe Amadeu    (2024-01-23 17:41:44)
Felipe Amadeu:</t>
      </text>
    </comment>
    <comment authorId="0" ref="G48">
      <text>
        <t xml:space="preserve">======
ID#AAABE37uOsg
Felipe Amadeu    (2024-01-23 17:41:44)
Felipe Amadeu:</t>
      </text>
    </comment>
    <comment authorId="0" ref="I584">
      <text>
        <t xml:space="preserve">======
ID#AAABE37uOsk
Felipe Amadeu    (2024-01-23 17:41:44)
+ 3 horas maquina do vandim</t>
      </text>
    </comment>
    <comment authorId="0" ref="G231">
      <text>
        <t xml:space="preserve">======
ID#AAABE37uOsU
Felipe Amadeu    (2024-01-23 17:41:44)
+ 3 horas maquina do vandim</t>
      </text>
    </comment>
    <comment authorId="0" ref="I296">
      <text>
        <t xml:space="preserve">======
ID#AAABE37uOsQ
Felipe Amadeu    (2024-01-23 17:41:44)
+ 3 horas maquina do vandim</t>
      </text>
    </comment>
    <comment authorId="0" ref="I479">
      <text>
        <t xml:space="preserve">======
ID#AAABE37uOsA
Felipe Amadeu    (2024-01-23 17:41:44)
Felipe Amadeu:</t>
      </text>
    </comment>
    <comment authorId="0" ref="G170">
      <text>
        <t xml:space="preserve">======
ID#AAABE37uOr8
Felipe Amadeu    (2024-01-23 17:41:44)
Felipe Amadeu:</t>
      </text>
    </comment>
    <comment authorId="0" ref="I299">
      <text>
        <t xml:space="preserve">======
ID#AAABE37uOr4
Felipe Amadeu    (2024-01-23 17:41:44)
Felipe Amadeu:</t>
      </text>
    </comment>
    <comment authorId="0" ref="G78">
      <text>
        <t xml:space="preserve">======
ID#AAABE37uOrs
Felipe Amadeu    (2024-01-23 17:41:44)
Felipe Amadeu:</t>
      </text>
    </comment>
    <comment authorId="0" ref="F8">
      <text>
        <t xml:space="preserve">======
ID#AAABE37uOqs
Felipe Amadeu    (2024-01-23 17:41:44)
Felipe Amadeu:</t>
      </text>
    </comment>
    <comment authorId="0" ref="I335">
      <text>
        <t xml:space="preserve">======
ID#AAABE37uOqo
Felipe Amadeu    (2024-01-23 17:41:44)
Felipe Amadeu:</t>
      </text>
    </comment>
    <comment authorId="0" ref="G234">
      <text>
        <t xml:space="preserve">======
ID#AAABE37uOqk
Felipe Amadeu    (2024-01-23 17:41:44)
Felipe Amadeu:</t>
      </text>
    </comment>
    <comment authorId="0" ref="I440">
      <text>
        <t xml:space="preserve">======
ID#AAABE37uOqI
Felipe Amadeu    (2024-01-23 17:41:44)
+ 3 horas maquina do vandim</t>
      </text>
    </comment>
    <comment authorId="0" ref="G199">
      <text>
        <t xml:space="preserve">======
ID#AAABE37uOpM
Felipe Amadeu    (2024-01-23 17:41:44)
+ 3 horas maquina do vandim</t>
      </text>
    </comment>
    <comment authorId="0" ref="I368">
      <text>
        <t xml:space="preserve">======
ID#AAABE37uOo4
Felipe Amadeu    (2024-01-23 17:41:44)
+ 3 horas maquina do vandim</t>
      </text>
    </comment>
    <comment authorId="0" ref="I371">
      <text>
        <t xml:space="preserve">======
ID#AAABE37uOoc
Felipe Amadeu    (2024-01-23 17:41:44)
Felipe Amadeu:</t>
      </text>
    </comment>
    <comment authorId="0" ref="I515">
      <text>
        <t xml:space="preserve">======
ID#AAABE37uOoY
Felipe Amadeu    (2024-01-23 17:41:44)
Felipe Amadeu:</t>
      </text>
    </comment>
    <comment authorId="0" ref="I587">
      <text>
        <t xml:space="preserve">======
ID#AAABE37uOoM
Felipe Amadeu    (2024-01-23 17:41:44)
Felipe Amadeu:</t>
      </text>
    </comment>
    <comment authorId="0" ref="G108">
      <text>
        <t xml:space="preserve">======
ID#AAABE3zDxGc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gu9JE5cQVXr9yrV8yw7K+fXw1G+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52">
      <text>
        <t xml:space="preserve">======
ID#AAABE37uO2A
Felipe Amadeu    (2024-01-23 17:41:44)
Felipe Amadeu:</t>
      </text>
    </comment>
    <comment authorId="0" ref="I5">
      <text>
        <t xml:space="preserve">======
ID#AAABE37uOz8
Felipe Amadeu    (2024-01-23 17:41:44)
+ 3 horas maquina do vandim</t>
      </text>
    </comment>
    <comment authorId="0" ref="I116">
      <text>
        <t xml:space="preserve">======
ID#AAABE37uOzs
Felipe Amadeu    (2024-01-23 17:41:44)
Felipe Amadeu:</t>
      </text>
    </comment>
    <comment authorId="0" ref="I8">
      <text>
        <t xml:space="preserve">======
ID#AAABE37uOwo
Felipe Amadeu    (2024-01-23 17:41:44)
Felipe Amadeu:</t>
      </text>
    </comment>
    <comment authorId="0" ref="I44">
      <text>
        <t xml:space="preserve">======
ID#AAABE37uOs0
Felipe Amadeu    (2024-01-23 17:41:44)
Felipe Amadeu:</t>
      </text>
    </comment>
    <comment authorId="0" ref="I188">
      <text>
        <t xml:space="preserve">======
ID#AAABE37uOqM
Felipe Amadeu    (2024-01-23 17:41:44)
Felipe Amadeu:</t>
      </text>
    </comment>
    <comment authorId="0" ref="I80">
      <text>
        <t xml:space="preserve">======
ID#AAABE37uOp4
Felipe Amadeu    (2024-01-23 17:41:44)
Felipe Amadeu:</t>
      </text>
    </comment>
    <comment authorId="0" ref="I77">
      <text>
        <t xml:space="preserve">======
ID#AAABE37uOpc
Felipe Amadeu    (2024-01-23 17:41:44)
+ 3 horas maquina do vandim</t>
      </text>
    </comment>
    <comment authorId="0" ref="I149">
      <text>
        <t xml:space="preserve">======
ID#AAABE37uOoQ
Felipe Amadeu    (2024-01-23 17:41:44)
+ 3 horas maquina do vandim</t>
      </text>
    </comment>
    <comment authorId="0" ref="I185">
      <text>
        <t xml:space="preserve">======
ID#AAABE3zDxGk
Felipe Amadeu    (2024-01-23 17:41:44)
+ 3 horas maquina do vandim</t>
      </text>
    </comment>
    <comment authorId="0" ref="I113">
      <text>
        <t xml:space="preserve">======
ID#AAABE3zDxGA
Felipe Amadeu    (2024-01-23 17:41:44)
+ 3 horas maquina do vandim</t>
      </text>
    </comment>
  </commentList>
  <extLst>
    <ext uri="GoogleSheetsCustomDataVersion2">
      <go:sheetsCustomData xmlns:go="http://customooxmlschemas.google.com/" r:id="rId1" roundtripDataSignature="AMtx7mhUwBjRJxx2jY6PU7FTjE8QxlbVt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56">
      <text>
        <t xml:space="preserve">======
ID#AAABE37uO2E
Felipe Amadeu    (2024-01-23 17:41:44)
Felipe Amadeu:</t>
      </text>
    </comment>
    <comment authorId="0" ref="I392">
      <text>
        <t xml:space="preserve">======
ID#AAABE37uO1g
Felipe Amadeu    (2024-01-23 17:41:44)
Felipe Amadeu:</t>
      </text>
    </comment>
    <comment authorId="0" ref="G97">
      <text>
        <t xml:space="preserve">======
ID#AAABE37uO08
Felipe Amadeu    (2024-01-23 17:41:44)
Felipe Amadeu:</t>
      </text>
    </comment>
    <comment authorId="0" ref="G36">
      <text>
        <t xml:space="preserve">======
ID#AAABE37uO0k
Felipe Amadeu    (2024-01-23 17:41:44)
Felipe Amadeu:</t>
      </text>
    </comment>
    <comment authorId="0" ref="I140">
      <text>
        <t xml:space="preserve">======
ID#AAABE37uOzo
Felipe Amadeu    (2024-01-23 17:41:44)
Felipe Amadeu:</t>
      </text>
    </comment>
    <comment authorId="0" ref="I281">
      <text>
        <t xml:space="preserve">======
ID#AAABE37uOzg
Felipe Amadeu    (2024-01-23 17:41:44)
+ 3 horas maquina do vandim</t>
      </text>
    </comment>
    <comment authorId="0" ref="I176">
      <text>
        <t xml:space="preserve">======
ID#AAABE37uOzE
Felipe Amadeu    (2024-01-23 17:41:44)
Felipe Amadeu:</t>
      </text>
    </comment>
    <comment authorId="0" ref="I245">
      <text>
        <t xml:space="preserve">======
ID#AAABE37uOyg
Felipe Amadeu    (2024-01-23 17:41:44)
+ 3 horas maquina do vandim</t>
      </text>
    </comment>
    <comment authorId="0" ref="G67">
      <text>
        <t xml:space="preserve">======
ID#AAABE37uOyI
Felipe Amadeu    (2024-01-23 17:41:44)
Felipe Amadeu:</t>
      </text>
    </comment>
    <comment authorId="0" ref="I173">
      <text>
        <t xml:space="preserve">======
ID#AAABE37uOxs
Felipe Amadeu    (2024-01-23 17:41:44)
+ 3 horas maquina do vandim</t>
      </text>
    </comment>
    <comment authorId="0" ref="I317">
      <text>
        <t xml:space="preserve">======
ID#AAABE37uOw8
Felipe Amadeu    (2024-01-23 17:41:44)
+ 3 horas maquina do vandim</t>
      </text>
    </comment>
    <comment authorId="0" ref="I353">
      <text>
        <t xml:space="preserve">======
ID#AAABE37uOwM
Felipe Amadeu    (2024-01-23 17:41:44)
+ 3 horas maquina do vandim</t>
      </text>
    </comment>
    <comment authorId="0" ref="I425">
      <text>
        <t xml:space="preserve">======
ID#AAABE37uOvY
Felipe Amadeu    (2024-01-23 17:41:44)
+ 3 horas maquina do vandim</t>
      </text>
    </comment>
    <comment authorId="0" ref="I212">
      <text>
        <t xml:space="preserve">======
ID#AAABE37uOu8
Felipe Amadeu    (2024-01-23 17:41:44)
Felipe Amadeu:</t>
      </text>
    </comment>
    <comment authorId="0" ref="G6">
      <text>
        <t xml:space="preserve">======
ID#AAABE37uOug
Felipe Amadeu    (2024-01-23 17:41:44)
Felipe Amadeu:</t>
      </text>
    </comment>
    <comment authorId="0" ref="I428">
      <text>
        <t xml:space="preserve">======
ID#AAABE37uOtw
Felipe Amadeu    (2024-01-23 17:41:44)
Felipe Amadeu:</t>
      </text>
    </comment>
    <comment authorId="0" ref="I320">
      <text>
        <t xml:space="preserve">======
ID#AAABE37uOtE
Felipe Amadeu    (2024-01-23 17:41:44)
Felipe Amadeu:</t>
      </text>
    </comment>
    <comment authorId="0" ref="I209">
      <text>
        <t xml:space="preserve">======
ID#AAABE37uOs4
Felipe Amadeu    (2024-01-23 17:41:44)
+ 3 horas maquina do vandim</t>
      </text>
    </comment>
    <comment authorId="0" ref="I248">
      <text>
        <t xml:space="preserve">======
ID#AAABE37uOrU
Felipe Amadeu    (2024-01-23 17:41:44)
Felipe Amadeu:</t>
      </text>
    </comment>
    <comment authorId="0" ref="I137">
      <text>
        <t xml:space="preserve">======
ID#AAABE37uOrQ
Felipe Amadeu    (2024-01-23 17:41:44)
+ 3 horas maquina do vandim</t>
      </text>
    </comment>
    <comment authorId="0" ref="I284">
      <text>
        <t xml:space="preserve">======
ID#AAABE37uOp8
Felipe Amadeu    (2024-01-23 17:41:44)
Felipe Amadeu:</t>
      </text>
    </comment>
    <comment authorId="0" ref="I389">
      <text>
        <t xml:space="preserve">======
ID#AAABE37uOpA
Felipe Amadeu    (2024-01-23 17:41:44)
+ 3 horas maquina do vandim</t>
      </text>
    </comment>
  </commentList>
  <extLst>
    <ext uri="GoogleSheetsCustomDataVersion2">
      <go:sheetsCustomData xmlns:go="http://customooxmlschemas.google.com/" r:id="rId1" roundtripDataSignature="AMtx7mjcPSKVscj0E11YDl0Rbu1xH/tR9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63">
      <text>
        <t xml:space="preserve">======
ID#AAABE37uO2Y
Felipe Amadeu    (2024-01-23 17:41:44)
Felipe Amadeu:</t>
      </text>
    </comment>
    <comment authorId="0" ref="I543">
      <text>
        <t xml:space="preserve">======
ID#AAABE37uO1s
Felipe Amadeu    (2024-01-23 17:41:44)
Felipe Amadeu:</t>
      </text>
    </comment>
    <comment authorId="0" ref="I396">
      <text>
        <t xml:space="preserve">======
ID#AAABE37uO1A
Felipe Amadeu    (2024-01-23 17:41:44)
+ 3 horas maquina do vandim</t>
      </text>
    </comment>
    <comment authorId="0" ref="I576">
      <text>
        <t xml:space="preserve">======
ID#AAABE37uO1I
Felipe Amadeu    (2024-01-23 17:41:44)
+ 3 horas maquina do vandim</t>
      </text>
    </comment>
    <comment authorId="0" ref="I504">
      <text>
        <t xml:space="preserve">======
ID#AAABE37uO0o
Felipe Amadeu    (2024-01-23 17:41:44)
+ 3 horas maquina do vandim</t>
      </text>
    </comment>
    <comment authorId="0" ref="I360">
      <text>
        <t xml:space="preserve">======
ID#AAABE37uO0c
Felipe Amadeu    (2024-01-23 17:41:44)
+ 3 horas maquina do vandim</t>
      </text>
    </comment>
    <comment authorId="0" ref="I471">
      <text>
        <t xml:space="preserve">======
ID#AAABE37uO0U
Felipe Amadeu    (2024-01-23 17:41:44)
Felipe Amadeu:</t>
      </text>
    </comment>
    <comment authorId="0" ref="I435">
      <text>
        <t xml:space="preserve">======
ID#AAABE37uO0M
Felipe Amadeu    (2024-01-23 17:41:44)
Felipe Amadeu:</t>
      </text>
    </comment>
    <comment authorId="0" ref="I507">
      <text>
        <t xml:space="preserve">======
ID#AAABE37uOzk
Felipe Amadeu    (2024-01-23 17:41:44)
Felipe Amadeu:</t>
      </text>
    </comment>
    <comment authorId="0" ref="I579">
      <text>
        <t xml:space="preserve">======
ID#AAABE37uOyQ
Felipe Amadeu    (2024-01-23 17:41:44)
Felipe Amadeu:</t>
      </text>
    </comment>
    <comment authorId="0" ref="I615">
      <text>
        <t xml:space="preserve">======
ID#AAABE37uOvo
Felipe Amadeu    (2024-01-23 17:41:44)
Felipe Amadeu:</t>
      </text>
    </comment>
    <comment authorId="0" ref="I468">
      <text>
        <t xml:space="preserve">======
ID#AAABE37uOuQ
Felipe Amadeu    (2024-01-23 17:41:44)
+ 3 horas maquina do vandim</t>
      </text>
    </comment>
    <comment authorId="0" ref="I651">
      <text>
        <t xml:space="preserve">======
ID#AAABE37uOts
Felipe Amadeu    (2024-01-23 17:41:44)
Felipe Amadeu:</t>
      </text>
    </comment>
    <comment authorId="0" ref="I540">
      <text>
        <t xml:space="preserve">======
ID#AAABE37uOss
Felipe Amadeu    (2024-01-23 17:41:44)
+ 3 horas maquina do vandim</t>
      </text>
    </comment>
    <comment authorId="0" ref="I432">
      <text>
        <t xml:space="preserve">======
ID#AAABE37uOq8
Felipe Amadeu    (2024-01-23 17:41:44)
+ 3 horas maquina do vandim</t>
      </text>
    </comment>
    <comment authorId="0" ref="I399">
      <text>
        <t xml:space="preserve">======
ID#AAABE37uOqw
Felipe Amadeu    (2024-01-23 17:41:44)
Felipe Amadeu:</t>
      </text>
    </comment>
    <comment authorId="0" ref="I612">
      <text>
        <t xml:space="preserve">======
ID#AAABE37uOqc
Felipe Amadeu    (2024-01-23 17:41:44)
+ 3 horas maquina do vandim</t>
      </text>
    </comment>
    <comment authorId="0" ref="I648">
      <text>
        <t xml:space="preserve">======
ID#AAABE37uOqQ
Felipe Amadeu    (2024-01-23 17:41:44)
+ 3 horas maquina do vandim</t>
      </text>
    </comment>
  </commentList>
  <extLst>
    <ext uri="GoogleSheetsCustomDataVersion2">
      <go:sheetsCustomData xmlns:go="http://customooxmlschemas.google.com/" r:id="rId1" roundtripDataSignature="AMtx7mgnFf3WWEUGV/kLbY/oz8yRPEqeT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49">
      <text>
        <t xml:space="preserve">======
ID#AAABE37uO14
Felipe Amadeu    (2024-01-23 17:41:44)
+ 3 horas maquina do vandim</t>
      </text>
    </comment>
    <comment authorId="0" ref="I77">
      <text>
        <t xml:space="preserve">======
ID#AAABE37uO0E
Felipe Amadeu    (2024-01-23 17:41:44)
+ 3 horas maquina do vandim</t>
      </text>
    </comment>
    <comment authorId="0" ref="I41">
      <text>
        <t xml:space="preserve">======
ID#AAABE37uOzI
Felipe Amadeu    (2024-01-23 17:41:44)
+ 3 horas maquina do vandim</t>
      </text>
    </comment>
    <comment authorId="0" ref="I113">
      <text>
        <t xml:space="preserve">======
ID#AAABE37uOyo
Felipe Amadeu    (2024-01-23 17:41:44)
+ 3 horas maquina do vandim</t>
      </text>
    </comment>
    <comment authorId="0" ref="I80">
      <text>
        <t xml:space="preserve">======
ID#AAABE37uOuE
Felipe Amadeu    (2024-01-23 17:41:44)
Felipe Amadeu:</t>
      </text>
    </comment>
    <comment authorId="0" ref="I116">
      <text>
        <t xml:space="preserve">======
ID#AAABE37uOqg
Felipe Amadeu    (2024-01-23 17:41:44)
Felipe Amadeu:</t>
      </text>
    </comment>
    <comment authorId="0" ref="I44">
      <text>
        <t xml:space="preserve">======
ID#AAABE37uOqE
Felipe Amadeu    (2024-01-23 17:41:44)
Felipe Amadeu:</t>
      </text>
    </comment>
    <comment authorId="0" ref="I5">
      <text>
        <t xml:space="preserve">======
ID#AAABE37uOpQ
Felipe Amadeu    (2024-01-23 17:41:44)
+ 3 horas maquina do vandim</t>
      </text>
    </comment>
    <comment authorId="0" ref="I8">
      <text>
        <t xml:space="preserve">======
ID#AAABE37uOpY
Felipe Amadeu    (2024-01-23 17:41:44)
Felipe Amadeu:</t>
      </text>
    </comment>
    <comment authorId="0" ref="I152">
      <text>
        <t xml:space="preserve">======
ID#AAABE3zDxF4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hAgZxBBM+p1A8VrjEo2J+1glrth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85">
      <text>
        <t xml:space="preserve">======
ID#AAABE37uO1w
Felipe Amadeu    (2024-01-23 17:41:44)
+ 3 horas maquina do vandim</t>
      </text>
    </comment>
    <comment authorId="0" ref="I188">
      <text>
        <t xml:space="preserve">======
ID#AAABE37uO00
Felipe Amadeu    (2024-01-23 17:41:44)
Felipe Amadeu:</t>
      </text>
    </comment>
    <comment authorId="0" ref="I224">
      <text>
        <t xml:space="preserve">======
ID#AAABE37uOz0
Felipe Amadeu    (2024-01-23 17:41:44)
Felipe Amadeu:</t>
      </text>
    </comment>
    <comment authorId="0" ref="I44">
      <text>
        <t xml:space="preserve">======
ID#AAABE37uOzA
Felipe Amadeu    (2024-01-23 17:41:44)
Felipe Amadeu:</t>
      </text>
    </comment>
    <comment authorId="0" ref="I257">
      <text>
        <t xml:space="preserve">======
ID#AAABE37uOyc
Felipe Amadeu    (2024-01-23 17:41:44)
+ 3 horas maquina do vandim</t>
      </text>
    </comment>
    <comment authorId="0" ref="I116">
      <text>
        <t xml:space="preserve">======
ID#AAABE37uOx4
Felipe Amadeu    (2024-01-23 17:41:44)
Felipe Amadeu:</t>
      </text>
    </comment>
    <comment authorId="0" ref="I221">
      <text>
        <t xml:space="preserve">======
ID#AAABE37uOv4
Felipe Amadeu    (2024-01-23 17:41:44)
+ 3 horas maquina do vandim</t>
      </text>
    </comment>
    <comment authorId="0" ref="I149">
      <text>
        <t xml:space="preserve">======
ID#AAABE37uOt8
Felipe Amadeu    (2024-01-23 17:41:44)
+ 3 horas maquina do vandim</t>
      </text>
    </comment>
    <comment authorId="0" ref="I260">
      <text>
        <t xml:space="preserve">======
ID#AAABE37uOt4
Felipe Amadeu    (2024-01-23 17:41:44)
Felipe Amadeu:</t>
      </text>
    </comment>
    <comment authorId="0" ref="I8">
      <text>
        <t xml:space="preserve">======
ID#AAABE37uOtk
Felipe Amadeu    (2024-01-23 17:41:44)
Felipe Amadeu:</t>
      </text>
    </comment>
    <comment authorId="0" ref="I80">
      <text>
        <t xml:space="preserve">======
ID#AAABE37uOsE
Felipe Amadeu    (2024-01-23 17:41:44)
Felipe Amadeu:</t>
      </text>
    </comment>
    <comment authorId="0" ref="I41">
      <text>
        <t xml:space="preserve">======
ID#AAABE37uOrg
Felipe Amadeu    (2024-01-23 17:41:44)
+ 3 horas maquina do vandim</t>
      </text>
    </comment>
    <comment authorId="0" ref="I5">
      <text>
        <t xml:space="preserve">======
ID#AAABE37uOqY
Felipe Amadeu    (2024-01-23 17:41:44)
+ 3 horas maquina do vandim</t>
      </text>
    </comment>
    <comment authorId="0" ref="I77">
      <text>
        <t xml:space="preserve">======
ID#AAABE37uOoo
Felipe Amadeu    (2024-01-23 17:41:44)
+ 3 horas maquina do vandim</t>
      </text>
    </comment>
    <comment authorId="0" ref="I113">
      <text>
        <t xml:space="preserve">======
ID#AAABE37uOoU
Felipe Amadeu    (2024-01-23 17:41:44)
+ 3 horas maquina do vandim</t>
      </text>
    </comment>
    <comment authorId="0" ref="I152">
      <text>
        <t xml:space="preserve">======
ID#AAABE3zDxGI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i7y3Xha5kd0GB5uPZLZxTypebS8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85">
      <text>
        <t xml:space="preserve">======
ID#AAABE37uO1c
Felipe Amadeu    (2024-01-23 17:41:44)
+ 3 horas maquina do vandim</t>
      </text>
    </comment>
    <comment authorId="0" ref="I113">
      <text>
        <t xml:space="preserve">======
ID#AAABE37uO1k
Felipe Amadeu    (2024-01-23 17:41:44)
+ 3 horas maquina do vandim</t>
      </text>
    </comment>
    <comment authorId="0" ref="I5">
      <text>
        <t xml:space="preserve">======
ID#AAABE37uO1Q
Felipe Amadeu    (2024-01-23 17:41:44)
+ 3 horas maquina do vandim</t>
      </text>
    </comment>
    <comment authorId="0" ref="I41">
      <text>
        <t xml:space="preserve">======
ID#AAABE37uO0A
Felipe Amadeu    (2024-01-23 17:41:44)
+ 3 horas maquina do vandim</t>
      </text>
    </comment>
    <comment authorId="0" ref="I260">
      <text>
        <t xml:space="preserve">======
ID#AAABE37uOzM
Felipe Amadeu    (2024-01-23 17:41:44)
Felipe Amadeu:</t>
      </text>
    </comment>
    <comment authorId="0" ref="I77">
      <text>
        <t xml:space="preserve">======
ID#AAABE37uOy4
Felipe Amadeu    (2024-01-23 17:41:44)
+ 3 horas maquina do vandim</t>
      </text>
    </comment>
    <comment authorId="0" ref="I149">
      <text>
        <t xml:space="preserve">======
ID#AAABE37uOxw
Felipe Amadeu    (2024-01-23 17:41:44)
+ 3 horas maquina do vandim</t>
      </text>
    </comment>
    <comment authorId="0" ref="I44">
      <text>
        <t xml:space="preserve">======
ID#AAABE37uOxk
Felipe Amadeu    (2024-01-23 17:41:44)
Felipe Amadeu:</t>
      </text>
    </comment>
    <comment authorId="0" ref="I116">
      <text>
        <t xml:space="preserve">======
ID#AAABE37uOxc
Felipe Amadeu    (2024-01-23 17:41:44)
Felipe Amadeu:</t>
      </text>
    </comment>
    <comment authorId="0" ref="I152">
      <text>
        <t xml:space="preserve">======
ID#AAABE37uOxY
Felipe Amadeu    (2024-01-23 17:41:44)
Felipe Amadeu:</t>
      </text>
    </comment>
    <comment authorId="0" ref="I8">
      <text>
        <t xml:space="preserve">======
ID#AAABE37uOxQ
Felipe Amadeu    (2024-01-23 17:41:44)
Felipe Amadeu:</t>
      </text>
    </comment>
    <comment authorId="0" ref="I257">
      <text>
        <t xml:space="preserve">======
ID#AAABE37uOxI
Felipe Amadeu    (2024-01-23 17:41:44)
+ 3 horas maquina do vandim</t>
      </text>
    </comment>
    <comment authorId="0" ref="I188">
      <text>
        <t xml:space="preserve">======
ID#AAABE37uOwk
Felipe Amadeu    (2024-01-23 17:41:44)
Felipe Amadeu:</t>
      </text>
    </comment>
    <comment authorId="0" ref="I224">
      <text>
        <t xml:space="preserve">======
ID#AAABE37uOvk
Felipe Amadeu    (2024-01-23 17:41:44)
Felipe Amadeu:</t>
      </text>
    </comment>
    <comment authorId="0" ref="I80">
      <text>
        <t xml:space="preserve">======
ID#AAABE37uOuc
Felipe Amadeu    (2024-01-23 17:41:44)
Felipe Amadeu:</t>
      </text>
    </comment>
    <comment authorId="0" ref="I296">
      <text>
        <t xml:space="preserve">======
ID#AAABE37uOrw
Felipe Amadeu    (2024-01-23 17:41:44)
Felipe Amadeu:</t>
      </text>
    </comment>
    <comment authorId="0" ref="I221">
      <text>
        <t xml:space="preserve">======
ID#AAABE3zDxGU
Felipe Amadeu    (2024-01-23 17:41:44)
+ 3 horas maquina do vandim</t>
      </text>
    </comment>
    <comment authorId="0" ref="I293">
      <text>
        <t xml:space="preserve">======
ID#AAABE3zDxGM
Felipe Amadeu    (2024-01-23 17:41:44)
+ 3 horas maquina do vandim</t>
      </text>
    </comment>
  </commentList>
  <extLst>
    <ext uri="GoogleSheetsCustomDataVersion2">
      <go:sheetsCustomData xmlns:go="http://customooxmlschemas.google.com/" r:id="rId1" roundtripDataSignature="AMtx7mj9d+swPVqzk1vdnjNhAh+Po/nxA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======
ID#AAABE37uO0g
Felipe Amadeu    (2024-01-23 17:41:44)
+ 3 horas maquina do vandim</t>
      </text>
    </comment>
    <comment authorId="0" ref="I44">
      <text>
        <t xml:space="preserve">======
ID#AAABE37uOxM
Felipe Amadeu    (2024-01-23 17:41:44)
Felipe Amadeu:</t>
      </text>
    </comment>
    <comment authorId="0" ref="I116">
      <text>
        <t xml:space="preserve">======
ID#AAABE37uOw0
Felipe Amadeu    (2024-01-23 17:41:44)
Felipe Amadeu:</t>
      </text>
    </comment>
    <comment authorId="0" ref="I185">
      <text>
        <t xml:space="preserve">======
ID#AAABE37uOwQ
Felipe Amadeu    (2024-01-23 17:41:44)
+ 3 horas maquina do vandim</t>
      </text>
    </comment>
    <comment authorId="0" ref="I8">
      <text>
        <t xml:space="preserve">======
ID#AAABE37uOv8
Felipe Amadeu    (2024-01-23 17:41:44)
Felipe Amadeu:</t>
      </text>
    </comment>
    <comment authorId="0" ref="I188">
      <text>
        <t xml:space="preserve">======
ID#AAABE37uOvw
Felipe Amadeu    (2024-01-23 17:41:44)
Felipe Amadeu:</t>
      </text>
    </comment>
    <comment authorId="0" ref="I152">
      <text>
        <t xml:space="preserve">======
ID#AAABE37uOv0
Felipe Amadeu    (2024-01-23 17:41:44)
Felipe Amadeu:</t>
      </text>
    </comment>
    <comment authorId="0" ref="I80">
      <text>
        <t xml:space="preserve">======
ID#AAABE37uOuw
Felipe Amadeu    (2024-01-23 17:41:44)
Felipe Amadeu:</t>
      </text>
    </comment>
    <comment authorId="0" ref="I41">
      <text>
        <t xml:space="preserve">======
ID#AAABE37uOtg
Felipe Amadeu    (2024-01-23 17:41:44)
+ 3 horas maquina do vandim</t>
      </text>
    </comment>
    <comment authorId="0" ref="I149">
      <text>
        <t xml:space="preserve">======
ID#AAABE37uOtQ
Felipe Amadeu    (2024-01-23 17:41:44)
+ 3 horas maquina do vandim</t>
      </text>
    </comment>
    <comment authorId="0" ref="I77">
      <text>
        <t xml:space="preserve">======
ID#AAABE37uOsc
Felipe Amadeu    (2024-01-23 17:41:44)
+ 3 horas maquina do vandim</t>
      </text>
    </comment>
    <comment authorId="0" ref="I113">
      <text>
        <t xml:space="preserve">======
ID#AAABE37uOpg
Felipe Amadeu    (2024-01-23 17:41:44)
+ 3 horas maquina do vandim</t>
      </text>
    </comment>
  </commentList>
  <extLst>
    <ext uri="GoogleSheetsCustomDataVersion2">
      <go:sheetsCustomData xmlns:go="http://customooxmlschemas.google.com/" r:id="rId1" roundtripDataSignature="AMtx7mhXpko/nc3jZiBR8cABj1c1VGLRx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6">
      <text>
        <t xml:space="preserve">======
ID#AAABE37uO1E
Felipe Amadeu    (2024-01-23 17:41:44)
Felipe Amadeu:</t>
      </text>
    </comment>
    <comment authorId="0" ref="I113">
      <text>
        <t xml:space="preserve">======
ID#AAABE37uO0Y
Felipe Amadeu    (2024-01-23 17:41:44)
+ 3 horas maquina do vandim</t>
      </text>
    </comment>
    <comment authorId="0" ref="I41">
      <text>
        <t xml:space="preserve">======
ID#AAABE37uOw4
Felipe Amadeu    (2024-01-23 17:41:44)
+ 3 horas maquina do vandim</t>
      </text>
    </comment>
    <comment authorId="0" ref="I44">
      <text>
        <t xml:space="preserve">======
ID#AAABE37uOvc
Felipe Amadeu    (2024-01-23 17:41:44)
Felipe Amadeu:</t>
      </text>
    </comment>
    <comment authorId="0" ref="I8">
      <text>
        <t xml:space="preserve">======
ID#AAABE37uOvU
Felipe Amadeu    (2024-01-23 17:41:44)
Felipe Amadeu:</t>
      </text>
    </comment>
    <comment authorId="0" ref="I80">
      <text>
        <t xml:space="preserve">======
ID#AAABE37uOuY
Felipe Amadeu    (2024-01-23 17:41:44)
Felipe Amadeu:</t>
      </text>
    </comment>
    <comment authorId="0" ref="I149">
      <text>
        <t xml:space="preserve">======
ID#AAABE37uOsw
Felipe Amadeu    (2024-01-23 17:41:44)
+ 3 horas maquina do vandim</t>
      </text>
    </comment>
    <comment authorId="0" ref="I77">
      <text>
        <t xml:space="preserve">======
ID#AAABE37uOsY
Felipe Amadeu    (2024-01-23 17:41:44)
+ 3 horas maquina do vandim</t>
      </text>
    </comment>
    <comment authorId="0" ref="I5">
      <text>
        <t xml:space="preserve">======
ID#AAABE37uOr0
Felipe Amadeu    (2024-01-23 17:41:44)
+ 3 horas maquina do vandim</t>
      </text>
    </comment>
    <comment authorId="0" ref="I152">
      <text>
        <t xml:space="preserve">======
ID#AAABE37uOpE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juMCfaExf2DDkQUB+lbiOtA8eXBw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57">
      <text>
        <t xml:space="preserve">======
ID#AAABE37uO2c
Felipe Amadeu    (2024-01-23 17:41:44)
+ 3 horas maquina do vandim</t>
      </text>
    </comment>
    <comment authorId="0" ref="I368">
      <text>
        <t xml:space="preserve">======
ID#AAABE37uOz4
Felipe Amadeu    (2024-01-23 17:41:44)
Felipe Amadeu:</t>
      </text>
    </comment>
    <comment authorId="0" ref="I113">
      <text>
        <t xml:space="preserve">======
ID#AAABE37uOzw
Felipe Amadeu    (2024-01-23 17:41:44)
+ 3 horas maquina do vandim</t>
      </text>
    </comment>
    <comment authorId="0" ref="I404">
      <text>
        <t xml:space="preserve">======
ID#AAABE37uOzU
Felipe Amadeu    (2024-01-23 17:41:44)
Felipe Amadeu:</t>
      </text>
    </comment>
    <comment authorId="0" ref="I329">
      <text>
        <t xml:space="preserve">======
ID#AAABE37uOyU
Felipe Amadeu    (2024-01-23 17:41:44)
+ 3 horas maquina do vandim</t>
      </text>
    </comment>
    <comment authorId="0" ref="I80">
      <text>
        <t xml:space="preserve">======
ID#AAABE37uOx0
Felipe Amadeu    (2024-01-23 17:41:44)
Felipe Amadeu:</t>
      </text>
    </comment>
    <comment authorId="0" ref="I293">
      <text>
        <t xml:space="preserve">======
ID#AAABE37uOxg
Felipe Amadeu    (2024-01-23 17:41:44)
+ 3 horas maquina do vandim</t>
      </text>
    </comment>
    <comment authorId="0" ref="I224">
      <text>
        <t xml:space="preserve">======
ID#AAABE37uOwY
Felipe Amadeu    (2024-01-23 17:41:44)
Felipe Amadeu:</t>
      </text>
    </comment>
    <comment authorId="0" ref="I221">
      <text>
        <t xml:space="preserve">======
ID#AAABE37uOvA
Felipe Amadeu    (2024-01-23 17:41:44)
+ 3 horas maquina do vandim</t>
      </text>
    </comment>
    <comment authorId="0" ref="I152">
      <text>
        <t xml:space="preserve">======
ID#AAABE37uOuA
Felipe Amadeu    (2024-01-23 17:41:44)
Felipe Amadeu:</t>
      </text>
    </comment>
    <comment authorId="0" ref="I149">
      <text>
        <t xml:space="preserve">======
ID#AAABE37uOt0
Felipe Amadeu    (2024-01-23 17:41:44)
+ 3 horas maquina do vandim</t>
      </text>
    </comment>
    <comment authorId="0" ref="I332">
      <text>
        <t xml:space="preserve">======
ID#AAABE37uOto
Felipe Amadeu    (2024-01-23 17:41:44)
Felipe Amadeu:</t>
      </text>
    </comment>
    <comment authorId="0" ref="I401">
      <text>
        <t xml:space="preserve">======
ID#AAABE37uOtU
Felipe Amadeu    (2024-01-23 17:41:44)
+ 3 horas maquina do vandim</t>
      </text>
    </comment>
    <comment authorId="0" ref="I116">
      <text>
        <t xml:space="preserve">======
ID#AAABE37uOtI
Felipe Amadeu    (2024-01-23 17:41:44)
Felipe Amadeu:</t>
      </text>
    </comment>
    <comment authorId="0" ref="I185">
      <text>
        <t xml:space="preserve">======
ID#AAABE37uOtM
Felipe Amadeu    (2024-01-23 17:41:44)
+ 3 horas maquina do vandim</t>
      </text>
    </comment>
    <comment authorId="0" ref="I260">
      <text>
        <t xml:space="preserve">======
ID#AAABE37uOtA
Felipe Amadeu    (2024-01-23 17:41:44)
Felipe Amadeu:</t>
      </text>
    </comment>
    <comment authorId="0" ref="I365">
      <text>
        <t xml:space="preserve">======
ID#AAABE37uOs8
Felipe Amadeu    (2024-01-23 17:41:44)
+ 3 horas maquina do vandim</t>
      </text>
    </comment>
    <comment authorId="0" ref="I8">
      <text>
        <t xml:space="preserve">======
ID#AAABE37uOro
Felipe Amadeu    (2024-01-23 17:41:44)
Felipe Amadeu:</t>
      </text>
    </comment>
    <comment authorId="0" ref="I44">
      <text>
        <t xml:space="preserve">======
ID#AAABE37uOrA
Felipe Amadeu    (2024-01-23 17:41:44)
Felipe Amadeu:</t>
      </text>
    </comment>
    <comment authorId="0" ref="I188">
      <text>
        <t xml:space="preserve">======
ID#AAABE37uOp0
Felipe Amadeu    (2024-01-23 17:41:44)
Felipe Amadeu:</t>
      </text>
    </comment>
    <comment authorId="0" ref="I41">
      <text>
        <t xml:space="preserve">======
ID#AAABE37uOpU
Felipe Amadeu    (2024-01-23 17:41:44)
+ 3 horas maquina do vandim</t>
      </text>
    </comment>
    <comment authorId="0" ref="I77">
      <text>
        <t xml:space="preserve">======
ID#AAABE37uOoI
Felipe Amadeu    (2024-01-23 17:41:44)
+ 3 horas maquina do vandim</t>
      </text>
    </comment>
    <comment authorId="0" ref="I296">
      <text>
        <t xml:space="preserve">======
ID#AAABE3zDxGg
Felipe Amadeu    (2024-01-23 17:41:44)
Felipe Amadeu:</t>
      </text>
    </comment>
    <comment authorId="0" ref="I5">
      <text>
        <t xml:space="preserve">======
ID#AAABE3zDxGY
Felipe Amadeu    (2024-01-23 17:41:44)
+ 3 horas maquina do vandim</t>
      </text>
    </comment>
  </commentList>
  <extLst>
    <ext uri="GoogleSheetsCustomDataVersion2">
      <go:sheetsCustomData xmlns:go="http://customooxmlschemas.google.com/" r:id="rId1" roundtripDataSignature="AMtx7miffsqMcFPSS00/CN5VLP4f3nTEf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50">
      <text>
        <t xml:space="preserve">======
ID#AAABE37uO0Q
Felipe Amadeu    (2024-01-23 17:41:44)
+ 3 horas maquina do vandim</t>
      </text>
    </comment>
    <comment authorId="0" ref="I78">
      <text>
        <t xml:space="preserve">======
ID#AAABE37uOy8
Felipe Amadeu    (2024-01-23 17:41:44)
+ 3 horas maquina do vandim</t>
      </text>
    </comment>
    <comment authorId="0" ref="I153">
      <text>
        <t xml:space="preserve">======
ID#AAABE37uOyY
Felipe Amadeu    (2024-01-23 17:41:44)
Felipe Amadeu:</t>
      </text>
    </comment>
    <comment authorId="0" ref="I114">
      <text>
        <t xml:space="preserve">======
ID#AAABE37uOu4
Felipe Amadeu    (2024-01-23 17:41:44)
+ 3 horas maquina do vandim</t>
      </text>
    </comment>
    <comment authorId="0" ref="I117">
      <text>
        <t xml:space="preserve">======
ID#AAABE37uOu0
Felipe Amadeu    (2024-01-23 17:41:44)
Felipe Amadeu:</t>
      </text>
    </comment>
    <comment authorId="0" ref="I6">
      <text>
        <t xml:space="preserve">======
ID#AAABE37uOsI
Felipe Amadeu    (2024-01-23 17:41:44)
+ 3 horas maquina do vandim</t>
      </text>
    </comment>
    <comment authorId="0" ref="I81">
      <text>
        <t xml:space="preserve">======
ID#AAABE37uOrM
Felipe Amadeu    (2024-01-23 17:41:44)
Felipe Amadeu:</t>
      </text>
    </comment>
    <comment authorId="0" ref="I45">
      <text>
        <t xml:space="preserve">======
ID#AAABE37uOo8
Felipe Amadeu    (2024-01-23 17:41:44)
Felipe Amadeu:</t>
      </text>
    </comment>
    <comment authorId="0" ref="I9">
      <text>
        <t xml:space="preserve">======
ID#AAABE37uOos
Felipe Amadeu    (2024-01-23 17:41:44)
Felipe Amadeu:</t>
      </text>
    </comment>
    <comment authorId="0" ref="I42">
      <text>
        <t xml:space="preserve">======
ID#AAABE37uOog
Felipe Amadeu    (2024-01-23 17:41:44)
+ 3 horas maquina do vandim</t>
      </text>
    </comment>
  </commentList>
  <extLst>
    <ext uri="GoogleSheetsCustomDataVersion2">
      <go:sheetsCustomData xmlns:go="http://customooxmlschemas.google.com/" r:id="rId1" roundtripDataSignature="AMtx7mhR6O2xvk5K2tS+mLX7cX86D6285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ID#AAABE3zDxGQ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jGPa6x3A3R0LZTYRoRg2s5NBqUSA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ID#AAABE37uOwI
Felipe Amadeu    (2024-01-23 17:41:44)
20 horas* 7 reais= 140 reais descontados pois zezão trabalhou.
48 reais descontados do dia de sabado</t>
      </text>
    </comment>
  </commentList>
  <extLst>
    <ext uri="GoogleSheetsCustomDataVersion2">
      <go:sheetsCustomData xmlns:go="http://customooxmlschemas.google.com/" r:id="rId1" roundtripDataSignature="AMtx7mhh9meRfVJJZ2MLgP22TcaWTHDg3A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ID#AAABE37uOrE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gXDZcrxlU+gBdWzMwMIC/Iml0/9g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68">
      <text>
        <t xml:space="preserve">======
ID#AAABE37uO0I
Felipe Amadeu    (2024-01-23 17:41:44)
Felipe Amadeu:</t>
      </text>
    </comment>
    <comment authorId="0" ref="I229">
      <text>
        <t xml:space="preserve">======
ID#AAABE37uOyM
Felipe Amadeu    (2024-01-23 17:41:44)
+ 3 horas maquina do vandim</t>
      </text>
    </comment>
    <comment authorId="0" ref="G162">
      <text>
        <t xml:space="preserve">======
ID#AAABE37uOx8
Felipe Amadeu    (2024-01-23 17:41:44)
Felipe Amadeu:</t>
      </text>
    </comment>
    <comment authorId="0" ref="G130">
      <text>
        <t xml:space="preserve">======
ID#AAABE37uOww
Felipe Amadeu    (2024-01-23 17:41:44)
Felipe Amadeu:</t>
      </text>
    </comment>
    <comment authorId="0" ref="I265">
      <text>
        <t xml:space="preserve">======
ID#AAABE37uOwc
Felipe Amadeu    (2024-01-23 17:41:44)
+ 3 horas maquina do vandim</t>
      </text>
    </comment>
    <comment authorId="0" ref="G7">
      <text>
        <t xml:space="preserve">======
ID#AAABE37uOus
Felipe Amadeu    (2024-01-23 17:41:44)
Felipe Amadeu:</t>
      </text>
    </comment>
    <comment authorId="0" ref="I193">
      <text>
        <t xml:space="preserve">======
ID#AAABE37uOso
Felipe Amadeu    (2024-01-23 17:41:44)
+ 3 horas maquina do vandim</t>
      </text>
    </comment>
    <comment authorId="0" ref="G38">
      <text>
        <t xml:space="preserve">======
ID#AAABE37uOpo
Felipe Amadeu    (2024-01-23 17:41:44)
Felipe Amadeu:</t>
      </text>
    </comment>
    <comment authorId="0" ref="G100">
      <text>
        <t xml:space="preserve">======
ID#AAABE37uOpI
Felipe Amadeu    (2024-01-23 17:41:44)
Felipe Amadeu:</t>
      </text>
    </comment>
    <comment authorId="0" ref="I196">
      <text>
        <t xml:space="preserve">======
ID#AAABE37uOok
Felipe Amadeu    (2024-01-23 17:41:44)
Felipe Amadeu:</t>
      </text>
    </comment>
    <comment authorId="0" ref="I232">
      <text>
        <t xml:space="preserve">======
ID#AAABE3zDxGo
Felipe Amadeu    (2024-01-23 17:41:44)
Felipe Amadeu:</t>
      </text>
    </comment>
    <comment authorId="0" ref="G69">
      <text>
        <t xml:space="preserve">======
ID#AAABE3zDxF8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hpW6oQO9ZMT8qALQZYiQcK1WA0EQ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ID#AAABE37uOvM
Felipe Amadeu    (2024-01-23 17:41:44)
Felipe Amadeu:</t>
      </text>
    </comment>
    <comment authorId="0" ref="E36">
      <text>
        <t xml:space="preserve">======
ID#AAABE37uOuU
Felipe Amadeu    (2024-01-23 17:41:44)
Felipe Amadeu:</t>
      </text>
    </comment>
    <comment authorId="0" ref="E66">
      <text>
        <t xml:space="preserve">======
ID#AAABE37uOqA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h5GjMFyj7u8tp1i0DUqbH0jeK2Jw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7">
      <text>
        <t xml:space="preserve">======
ID#AAABE37uO2g
Felipe Amadeu    (2024-01-23 17:41:44)
+ 3 horas maquina do vandim</t>
      </text>
    </comment>
    <comment authorId="0" ref="I293">
      <text>
        <t xml:space="preserve">======
ID#AAABE37uO2Q
Felipe Amadeu    (2024-01-23 17:41:44)
+ 3 horas maquina do vandim</t>
      </text>
    </comment>
    <comment authorId="0" ref="I185">
      <text>
        <t xml:space="preserve">======
ID#AAABE37uO2M
Felipe Amadeu    (2024-01-23 17:41:44)
+ 3 horas maquina do vandim</t>
      </text>
    </comment>
    <comment authorId="0" ref="I188">
      <text>
        <t xml:space="preserve">======
ID#AAABE37uO10
Felipe Amadeu    (2024-01-23 17:41:44)
Felipe Amadeu:</t>
      </text>
    </comment>
    <comment authorId="0" ref="I5">
      <text>
        <t xml:space="preserve">======
ID#AAABE37uO1Y
Felipe Amadeu    (2024-01-23 17:41:44)
+ 3 horas maquina do vandim</t>
      </text>
    </comment>
    <comment authorId="0" ref="I329">
      <text>
        <t xml:space="preserve">======
ID#AAABE37uOzY
Felipe Amadeu    (2024-01-23 17:41:44)
+ 3 horas maquina do vandim</t>
      </text>
    </comment>
    <comment authorId="0" ref="I80">
      <text>
        <t xml:space="preserve">======
ID#AAABE37uOzQ
Felipe Amadeu    (2024-01-23 17:41:44)
Felipe Amadeu:</t>
      </text>
    </comment>
    <comment authorId="0" ref="I365">
      <text>
        <t xml:space="preserve">======
ID#AAABE37uOxo
Felipe Amadeu    (2024-01-23 17:41:44)
+ 3 horas maquina do vandim</t>
      </text>
    </comment>
    <comment authorId="0" ref="I149">
      <text>
        <t xml:space="preserve">======
ID#AAABE37uOxE
Felipe Amadeu    (2024-01-23 17:41:44)
+ 3 horas maquina do vandim</t>
      </text>
    </comment>
    <comment authorId="0" ref="I8">
      <text>
        <t xml:space="preserve">======
ID#AAABE37uOws
Felipe Amadeu    (2024-01-23 17:41:44)
Felipe Amadeu:</t>
      </text>
    </comment>
    <comment authorId="0" ref="I332">
      <text>
        <t xml:space="preserve">======
ID#AAABE37uOwU
Felipe Amadeu    (2024-01-23 17:41:44)
Felipe Amadeu:</t>
      </text>
    </comment>
    <comment authorId="0" ref="I368">
      <text>
        <t xml:space="preserve">======
ID#AAABE37uOwE
Felipe Amadeu    (2024-01-23 17:41:44)
Felipe Amadeu:</t>
      </text>
    </comment>
    <comment authorId="0" ref="I224">
      <text>
        <t xml:space="preserve">======
ID#AAABE37uOwA
Felipe Amadeu    (2024-01-23 17:41:44)
Felipe Amadeu:</t>
      </text>
    </comment>
    <comment authorId="0" ref="I116">
      <text>
        <t xml:space="preserve">======
ID#AAABE37uOvE
Felipe Amadeu    (2024-01-23 17:41:44)
Felipe Amadeu:</t>
      </text>
    </comment>
    <comment authorId="0" ref="I221">
      <text>
        <t xml:space="preserve">======
ID#AAABE37uOuM
Felipe Amadeu    (2024-01-23 17:41:44)
+ 3 horas maquina do vandim</t>
      </text>
    </comment>
    <comment authorId="0" ref="I401">
      <text>
        <t xml:space="preserve">======
ID#AAABE37uOtc
Felipe Amadeu    (2024-01-23 17:41:44)
+ 3 horas maquina do vandim</t>
      </text>
    </comment>
    <comment authorId="0" ref="I257">
      <text>
        <t xml:space="preserve">======
ID#AAABE37uOtY
Felipe Amadeu    (2024-01-23 17:41:44)
+ 3 horas maquina do vandim</t>
      </text>
    </comment>
    <comment authorId="0" ref="I260">
      <text>
        <t xml:space="preserve">======
ID#AAABE37uOsM
Felipe Amadeu    (2024-01-23 17:41:44)
Felipe Amadeu:</t>
      </text>
    </comment>
    <comment authorId="0" ref="I404">
      <text>
        <t xml:space="preserve">======
ID#AAABE37uOrk
Felipe Amadeu    (2024-01-23 17:41:44)
Felipe Amadeu:</t>
      </text>
    </comment>
    <comment authorId="0" ref="I113">
      <text>
        <t xml:space="preserve">======
ID#AAABE37uOrI
Felipe Amadeu    (2024-01-23 17:41:44)
+ 3 horas maquina do vandim</t>
      </text>
    </comment>
    <comment authorId="0" ref="I296">
      <text>
        <t xml:space="preserve">======
ID#AAABE37uOq4
Felipe Amadeu    (2024-01-23 17:41:44)
Felipe Amadeu:</t>
      </text>
    </comment>
    <comment authorId="0" ref="I41">
      <text>
        <t xml:space="preserve">======
ID#AAABE37uOq0
Felipe Amadeu    (2024-01-23 17:41:44)
+ 3 horas maquina do vandim</t>
      </text>
    </comment>
    <comment authorId="0" ref="I44">
      <text>
        <t xml:space="preserve">======
ID#AAABE37uOps
Felipe Amadeu    (2024-01-23 17:41:44)
Felipe Amadeu:</t>
      </text>
    </comment>
    <comment authorId="0" ref="I152">
      <text>
        <t xml:space="preserve">======
ID#AAABE37uOow
Felipe Amadeu    (2024-01-23 17:41:44)
Felipe Amadeu:</t>
      </text>
    </comment>
  </commentList>
  <extLst>
    <ext uri="GoogleSheetsCustomDataVersion2">
      <go:sheetsCustomData xmlns:go="http://customooxmlschemas.google.com/" r:id="rId1" roundtripDataSignature="AMtx7mjLYBvtZN/2+UVtuGzU7Khrf0PYrg=="/>
    </ext>
  </extLst>
</comments>
</file>

<file path=xl/sharedStrings.xml><?xml version="1.0" encoding="utf-8"?>
<sst xmlns="http://schemas.openxmlformats.org/spreadsheetml/2006/main" count="5465" uniqueCount="458">
  <si>
    <t>m</t>
  </si>
  <si>
    <t xml:space="preserve">Colaborador </t>
  </si>
  <si>
    <t xml:space="preserve">Chave </t>
  </si>
  <si>
    <t>Data de pagameno</t>
  </si>
  <si>
    <t xml:space="preserve">Salário/ dia </t>
  </si>
  <si>
    <t xml:space="preserve">Dias trabalhados </t>
  </si>
  <si>
    <t>Salário mês</t>
  </si>
  <si>
    <t xml:space="preserve">Horas trabalhadas </t>
  </si>
  <si>
    <t xml:space="preserve">Valor por hora </t>
  </si>
  <si>
    <t>Extra trab</t>
  </si>
  <si>
    <t xml:space="preserve">Valor extra </t>
  </si>
  <si>
    <t>Sab/ Dom/ Feriado</t>
  </si>
  <si>
    <t>Adiantamento</t>
  </si>
  <si>
    <t>Falta/ Desc</t>
  </si>
  <si>
    <t xml:space="preserve">Valor do Pagamento </t>
  </si>
  <si>
    <t>Pix</t>
  </si>
  <si>
    <t xml:space="preserve">Observação </t>
  </si>
  <si>
    <t>Coluna1</t>
  </si>
  <si>
    <t>Anderson</t>
  </si>
  <si>
    <t>OK</t>
  </si>
  <si>
    <t>Cleiton</t>
  </si>
  <si>
    <t>stlcleiton751@gmail.com</t>
  </si>
  <si>
    <t>caio</t>
  </si>
  <si>
    <t>Filipe pagou</t>
  </si>
  <si>
    <t>Cristiano</t>
  </si>
  <si>
    <t>Ag 3180 - Cc: 58076</t>
  </si>
  <si>
    <t xml:space="preserve">Silvinho </t>
  </si>
  <si>
    <t>Tamiro</t>
  </si>
  <si>
    <t xml:space="preserve">Cheque </t>
  </si>
  <si>
    <t xml:space="preserve">Graziele </t>
  </si>
  <si>
    <t xml:space="preserve">Vinicius </t>
  </si>
  <si>
    <t>Guri</t>
  </si>
  <si>
    <t xml:space="preserve">Samuel </t>
  </si>
  <si>
    <t>ok</t>
  </si>
  <si>
    <t>Mimi</t>
  </si>
  <si>
    <t xml:space="preserve"> </t>
  </si>
  <si>
    <t>Recisão: R$ 6564,74</t>
  </si>
  <si>
    <t>Faltou 09/09</t>
  </si>
  <si>
    <t>DESCONTADO 120,00/ OK</t>
  </si>
  <si>
    <t>Conferido ok</t>
  </si>
  <si>
    <t>Conferido, confirmar sabado</t>
  </si>
  <si>
    <t>Décimo 1120,00</t>
  </si>
  <si>
    <t xml:space="preserve">beto </t>
  </si>
  <si>
    <t xml:space="preserve">4 dias </t>
  </si>
  <si>
    <t>Rescisão 5****</t>
  </si>
  <si>
    <t>Décimo 903,36</t>
  </si>
  <si>
    <t>Décimo 816</t>
  </si>
  <si>
    <t xml:space="preserve">Wendel Rodrigo </t>
  </si>
  <si>
    <t xml:space="preserve">   </t>
  </si>
  <si>
    <t>Décimo 328,5</t>
  </si>
  <si>
    <t>Décimo 82,12</t>
  </si>
  <si>
    <t xml:space="preserve">Wendel </t>
  </si>
  <si>
    <t xml:space="preserve">Beto </t>
  </si>
  <si>
    <t>Reginaldo</t>
  </si>
  <si>
    <t xml:space="preserve">Wender </t>
  </si>
  <si>
    <t xml:space="preserve">Marcos </t>
  </si>
  <si>
    <t>/</t>
  </si>
  <si>
    <t>Wendel</t>
  </si>
  <si>
    <t>Vinicius ope</t>
  </si>
  <si>
    <t xml:space="preserve">dois dias a pagar </t>
  </si>
  <si>
    <t>residual de férias 1748,00</t>
  </si>
  <si>
    <t xml:space="preserve">Caio. </t>
  </si>
  <si>
    <t xml:space="preserve">Vale </t>
  </si>
  <si>
    <t>salário Agosto</t>
  </si>
  <si>
    <t xml:space="preserve">Devedor </t>
  </si>
  <si>
    <t>Rescisão</t>
  </si>
  <si>
    <t xml:space="preserve">Felipe Melo </t>
  </si>
  <si>
    <t xml:space="preserve">Adrian </t>
  </si>
  <si>
    <t>Férias 2434,95</t>
  </si>
  <si>
    <t>11580,13 (férias)</t>
  </si>
  <si>
    <t xml:space="preserve">  </t>
  </si>
  <si>
    <t>Julio César</t>
  </si>
  <si>
    <t>Marcelo</t>
  </si>
  <si>
    <t>;;;;;;;;;;;;;;;;;;;;</t>
  </si>
  <si>
    <t>Marco</t>
  </si>
  <si>
    <t>Edmar Canguru</t>
  </si>
  <si>
    <t>Fernando</t>
  </si>
  <si>
    <t xml:space="preserve">Julio césar </t>
  </si>
  <si>
    <t>Graziele</t>
  </si>
  <si>
    <t>Sr Marcelo</t>
  </si>
  <si>
    <t xml:space="preserve">Julio- mineiro </t>
  </si>
  <si>
    <t>Pago remédios 300,00</t>
  </si>
  <si>
    <t>Marcos</t>
  </si>
  <si>
    <t xml:space="preserve">Fernando </t>
  </si>
  <si>
    <t>Osmar</t>
  </si>
  <si>
    <t xml:space="preserve">Osmar </t>
  </si>
  <si>
    <t xml:space="preserve">Julio - mineiro </t>
  </si>
  <si>
    <t xml:space="preserve">Osmar  </t>
  </si>
  <si>
    <t>Julio - mineiro</t>
  </si>
  <si>
    <t>Luiz H</t>
  </si>
  <si>
    <t>Começou dia 16/05</t>
  </si>
  <si>
    <t xml:space="preserve">Julio  - mineiro </t>
  </si>
  <si>
    <t xml:space="preserve">Paulo </t>
  </si>
  <si>
    <t>Mario</t>
  </si>
  <si>
    <t>Rescisão- saiu</t>
  </si>
  <si>
    <t>Caio</t>
  </si>
  <si>
    <t>20,00 ou 25,00</t>
  </si>
  <si>
    <t xml:space="preserve">João Paulo Noturno </t>
  </si>
  <si>
    <t>Mario - Marinho</t>
  </si>
  <si>
    <t xml:space="preserve">Caio Flávio </t>
  </si>
  <si>
    <t>Serginho</t>
  </si>
  <si>
    <t>-</t>
  </si>
  <si>
    <t>Sérginho</t>
  </si>
  <si>
    <t xml:space="preserve">Junior </t>
  </si>
  <si>
    <t>Décimo terceiro 2025</t>
  </si>
  <si>
    <t xml:space="preserve">Nadinho </t>
  </si>
  <si>
    <t xml:space="preserve">Guri </t>
  </si>
  <si>
    <t>Tininho</t>
  </si>
  <si>
    <t xml:space="preserve">Dia </t>
  </si>
  <si>
    <t xml:space="preserve">H inicial </t>
  </si>
  <si>
    <t>H final</t>
  </si>
  <si>
    <t xml:space="preserve">Hora/ Dia </t>
  </si>
  <si>
    <t xml:space="preserve">Extra </t>
  </si>
  <si>
    <t>Diesel</t>
  </si>
  <si>
    <t>Denis e Jean</t>
  </si>
  <si>
    <t xml:space="preserve">Juninho Destoca </t>
  </si>
  <si>
    <t xml:space="preserve">Lucas Silo </t>
  </si>
  <si>
    <t xml:space="preserve">Mineiro </t>
  </si>
  <si>
    <t xml:space="preserve">Reginaldo </t>
  </si>
  <si>
    <t xml:space="preserve">Manutenção </t>
  </si>
  <si>
    <t xml:space="preserve">maquina mineiro </t>
  </si>
  <si>
    <t xml:space="preserve">Sabado </t>
  </si>
  <si>
    <t xml:space="preserve">Domingo </t>
  </si>
  <si>
    <t xml:space="preserve">Sabado e feriado </t>
  </si>
  <si>
    <t>Coluna 1</t>
  </si>
  <si>
    <t>Coluna 2</t>
  </si>
  <si>
    <t>Coluna 3</t>
  </si>
  <si>
    <t>Coluna 4</t>
  </si>
  <si>
    <t>Coluna 5</t>
  </si>
  <si>
    <t xml:space="preserve">Diesel </t>
  </si>
  <si>
    <t>8,7 Wendel</t>
  </si>
  <si>
    <t>700J</t>
  </si>
  <si>
    <t>3,1 - 220 sil</t>
  </si>
  <si>
    <t xml:space="preserve">intervalo </t>
  </si>
  <si>
    <t>sabado</t>
  </si>
  <si>
    <t xml:space="preserve">Escavadeira 210 </t>
  </si>
  <si>
    <t xml:space="preserve">Data </t>
  </si>
  <si>
    <t xml:space="preserve">chave </t>
  </si>
  <si>
    <t>H incial</t>
  </si>
  <si>
    <t xml:space="preserve">Total </t>
  </si>
  <si>
    <t>Extra</t>
  </si>
  <si>
    <t>Colaborador</t>
  </si>
  <si>
    <t>Silvinho</t>
  </si>
  <si>
    <t xml:space="preserve">Rafael </t>
  </si>
  <si>
    <t xml:space="preserve">rafael </t>
  </si>
  <si>
    <t>AGV</t>
  </si>
  <si>
    <t>220 A</t>
  </si>
  <si>
    <t>12B</t>
  </si>
  <si>
    <t xml:space="preserve">Marcal </t>
  </si>
  <si>
    <t xml:space="preserve"> posto </t>
  </si>
  <si>
    <t xml:space="preserve">2845 LTS DIESEL </t>
  </si>
  <si>
    <t>Sabado</t>
  </si>
  <si>
    <t>1600 L</t>
  </si>
  <si>
    <t xml:space="preserve">Lavras Filipe </t>
  </si>
  <si>
    <t>Sanny</t>
  </si>
  <si>
    <t xml:space="preserve">Maq marcal - Terra nova </t>
  </si>
  <si>
    <t>komatsu</t>
  </si>
  <si>
    <t>Maq marcal - vista alegre</t>
  </si>
  <si>
    <t xml:space="preserve">sérgio </t>
  </si>
  <si>
    <t xml:space="preserve">Lavras Filipe - lavras </t>
  </si>
  <si>
    <t>carregadeira</t>
  </si>
  <si>
    <t>Lavras</t>
  </si>
  <si>
    <t xml:space="preserve">Filipe lavras </t>
  </si>
  <si>
    <t>lavras Filipe Sanny</t>
  </si>
  <si>
    <t xml:space="preserve">marcal  vista alegre </t>
  </si>
  <si>
    <t>2 dias Sanny</t>
  </si>
  <si>
    <t xml:space="preserve">lavras - Filipe </t>
  </si>
  <si>
    <t xml:space="preserve">Lavras - Filipe </t>
  </si>
  <si>
    <t xml:space="preserve">Cat 950 Ao Filipe </t>
  </si>
  <si>
    <t>CAT50</t>
  </si>
  <si>
    <t xml:space="preserve">não pagar a mais </t>
  </si>
  <si>
    <t xml:space="preserve">vinicius </t>
  </si>
  <si>
    <t>cliente</t>
  </si>
  <si>
    <t>clie</t>
  </si>
  <si>
    <t>cie</t>
  </si>
  <si>
    <t xml:space="preserve">leandro reis </t>
  </si>
  <si>
    <t>2917 diesel do mês</t>
  </si>
  <si>
    <t xml:space="preserve">3.067 L Diesel </t>
  </si>
  <si>
    <t xml:space="preserve">SABADO E FERIADO </t>
  </si>
  <si>
    <t xml:space="preserve">SABADO </t>
  </si>
  <si>
    <t>SABADO</t>
  </si>
  <si>
    <t xml:space="preserve">Trator Wendel 700J A Marcelo fez </t>
  </si>
  <si>
    <t>7d2</t>
  </si>
  <si>
    <t xml:space="preserve">700J armack  nova </t>
  </si>
  <si>
    <t xml:space="preserve">PC 130 - Wendel </t>
  </si>
  <si>
    <t>3335L</t>
  </si>
  <si>
    <t>Sabado e feriado</t>
  </si>
  <si>
    <t>Domingo</t>
  </si>
  <si>
    <t xml:space="preserve">guri </t>
  </si>
  <si>
    <t xml:space="preserve">220 Silvinho- marcal </t>
  </si>
  <si>
    <t>sbl</t>
  </si>
  <si>
    <t>Cliente</t>
  </si>
  <si>
    <t>220 silvininho - sbl</t>
  </si>
  <si>
    <t xml:space="preserve">Caio </t>
  </si>
  <si>
    <t>7D1</t>
  </si>
  <si>
    <t>7D2</t>
  </si>
  <si>
    <t>7d1</t>
  </si>
  <si>
    <t xml:space="preserve">manutenção </t>
  </si>
  <si>
    <t>Coluna12</t>
  </si>
  <si>
    <t xml:space="preserve">máquina </t>
  </si>
  <si>
    <t>Rolo</t>
  </si>
  <si>
    <t>Adrian / Rolo e 12B</t>
  </si>
  <si>
    <t xml:space="preserve">Redinaldo </t>
  </si>
  <si>
    <t>rolo</t>
  </si>
  <si>
    <t>12b</t>
  </si>
  <si>
    <t xml:space="preserve"> 12B+ 4,8</t>
  </si>
  <si>
    <t>Rodo</t>
  </si>
  <si>
    <t xml:space="preserve">             </t>
  </si>
  <si>
    <t>Adrian</t>
  </si>
  <si>
    <t xml:space="preserve">Marcelo </t>
  </si>
  <si>
    <t xml:space="preserve">Carregadeira </t>
  </si>
  <si>
    <t>manut</t>
  </si>
  <si>
    <t>Sirlânio - Guri</t>
  </si>
  <si>
    <t xml:space="preserve">Setembro </t>
  </si>
  <si>
    <t>DATA</t>
  </si>
  <si>
    <t>INICIO</t>
  </si>
  <si>
    <t xml:space="preserve">FINAL </t>
  </si>
  <si>
    <t>TOTAL</t>
  </si>
  <si>
    <t>extras</t>
  </si>
  <si>
    <t>3126/15875,1</t>
  </si>
  <si>
    <t>3128,2/ 15880,9</t>
  </si>
  <si>
    <t>TOTAL DE HORAS</t>
  </si>
  <si>
    <t xml:space="preserve">Outubro </t>
  </si>
  <si>
    <t>Vinicius</t>
  </si>
  <si>
    <t xml:space="preserve">Novenbro </t>
  </si>
  <si>
    <t>vinicius</t>
  </si>
  <si>
    <t>Dezembro</t>
  </si>
  <si>
    <t>Janeiro</t>
  </si>
  <si>
    <t xml:space="preserve">Fevereiro </t>
  </si>
  <si>
    <t>Março</t>
  </si>
  <si>
    <t xml:space="preserve">Abril </t>
  </si>
  <si>
    <t>Maio</t>
  </si>
  <si>
    <t>Junho</t>
  </si>
  <si>
    <t>Lulho</t>
  </si>
  <si>
    <t>Agosto</t>
  </si>
  <si>
    <t>Outubro</t>
  </si>
  <si>
    <t>Novembro</t>
  </si>
  <si>
    <t>Deezembro</t>
  </si>
  <si>
    <t>HORIMETRO INICIAL</t>
  </si>
  <si>
    <t>sabados</t>
  </si>
  <si>
    <t>data</t>
  </si>
  <si>
    <t>h. inicial</t>
  </si>
  <si>
    <t>h final</t>
  </si>
  <si>
    <t>total</t>
  </si>
  <si>
    <t>SALARIO</t>
  </si>
  <si>
    <t>HORIMETRO FINAL</t>
  </si>
  <si>
    <t>COMISSÃO/H</t>
  </si>
  <si>
    <t xml:space="preserve">TOTAL HORA </t>
  </si>
  <si>
    <t>H.EXTRA</t>
  </si>
  <si>
    <t>VALOR DA HORA</t>
  </si>
  <si>
    <t>SABADOS</t>
  </si>
  <si>
    <t>HORA EXTRA</t>
  </si>
  <si>
    <t>DESCONTOS</t>
  </si>
  <si>
    <t>TOTALA PAGAR</t>
  </si>
  <si>
    <t>PAGAMENTO MÊS JULHO</t>
  </si>
  <si>
    <t>inicial</t>
  </si>
  <si>
    <t xml:space="preserve">final </t>
  </si>
  <si>
    <t>220 ANTIGA</t>
  </si>
  <si>
    <t>220 NOVA</t>
  </si>
  <si>
    <t>novembro ANDERSON</t>
  </si>
  <si>
    <t>dezembro ANDERSON</t>
  </si>
  <si>
    <t>janeiro ANDERSON</t>
  </si>
  <si>
    <t>fevereiro ANDERSON</t>
  </si>
  <si>
    <t>MARÇO ANDERSON</t>
  </si>
  <si>
    <t>Pagamento</t>
  </si>
  <si>
    <t>ABRIL ANDERSO</t>
  </si>
  <si>
    <t>ADIANTAMENTO</t>
  </si>
  <si>
    <t>SAB/FERI/DOM</t>
  </si>
  <si>
    <t>TOTAL A PAGAR</t>
  </si>
  <si>
    <t>PAGAMENTO</t>
  </si>
  <si>
    <t>Maio Anderson</t>
  </si>
  <si>
    <t xml:space="preserve">Junho - cel: 991762704 cumpade </t>
  </si>
  <si>
    <t>JUNHO ANDERSON</t>
  </si>
  <si>
    <t>pagar todos os saba</t>
  </si>
  <si>
    <t>Julho</t>
  </si>
  <si>
    <t>Setembro</t>
  </si>
  <si>
    <t xml:space="preserve">Novembro </t>
  </si>
  <si>
    <t>Julho - Pix:3597287575 Guri</t>
  </si>
  <si>
    <t>Agosto - Pix:3597287575 Guri</t>
  </si>
  <si>
    <t xml:space="preserve">Motto descontar </t>
  </si>
  <si>
    <t>01/11/2022 CLITON</t>
  </si>
  <si>
    <t>110 cano teo)</t>
  </si>
  <si>
    <t>dezembro cleiton</t>
  </si>
  <si>
    <t>janeiro cleiton</t>
  </si>
  <si>
    <t>Março Cleiton</t>
  </si>
  <si>
    <t>C/ aumento</t>
  </si>
  <si>
    <t xml:space="preserve">Data pagamento </t>
  </si>
  <si>
    <t>EXTRAS</t>
  </si>
  <si>
    <t>ABRIL CLEITON</t>
  </si>
  <si>
    <t xml:space="preserve">SEXTA FERIADO </t>
  </si>
  <si>
    <t>Maio - Pix: Stlcleiton751@gmail.com</t>
  </si>
  <si>
    <t>MAIO CLEITON</t>
  </si>
  <si>
    <t>VALE VINICIUS</t>
  </si>
  <si>
    <t>Aguem recebeu vale de 300?</t>
  </si>
  <si>
    <t>Junho - Pix: Stlcleiton751@gmail.com</t>
  </si>
  <si>
    <t>JUNHO CLEITON</t>
  </si>
  <si>
    <t>3,,5</t>
  </si>
  <si>
    <t>viniccius trabalhou</t>
  </si>
  <si>
    <t>total a descontar</t>
  </si>
  <si>
    <t>Julho- Pix: Stlcleiton751@gmail.com</t>
  </si>
  <si>
    <t>JUlHO CLEITON</t>
  </si>
  <si>
    <t>Agosto - Pix: stlcleiton751@gmail.com</t>
  </si>
  <si>
    <t>Setembro - Pix: Stlcleiton751@gmail.com</t>
  </si>
  <si>
    <t>Outubro - Pix: Stlcleiton751@gmail.com</t>
  </si>
  <si>
    <t>u</t>
  </si>
  <si>
    <t>Novembro - Pix: Stlcleiton751@gmail.com</t>
  </si>
  <si>
    <t>Dezembro - Pix: Stlcleiton751@gmail.com</t>
  </si>
  <si>
    <t>DESCONTO DE 15 HORAS</t>
  </si>
  <si>
    <t>01/11/2022 CAIO</t>
  </si>
  <si>
    <t>dezembro CAIO</t>
  </si>
  <si>
    <t>JANEIRO CAIO</t>
  </si>
  <si>
    <t>4,1 horas 7d2</t>
  </si>
  <si>
    <t>Fevereiro CAIO</t>
  </si>
  <si>
    <t>06/03 Faltou</t>
  </si>
  <si>
    <t>MARÇO CAIO</t>
  </si>
  <si>
    <t xml:space="preserve">TOTAL TRANSFERIDO </t>
  </si>
  <si>
    <t xml:space="preserve">pagamento </t>
  </si>
  <si>
    <t xml:space="preserve">ABRIL CAIO/ CRISTIANO </t>
  </si>
  <si>
    <t xml:space="preserve">SABADOS E FERIADOS </t>
  </si>
  <si>
    <t>SABADOS E FERIADOS</t>
  </si>
  <si>
    <t>Pagamento Cristiano</t>
  </si>
  <si>
    <t xml:space="preserve">5,8 NA PÁ CARREGADEIRA </t>
  </si>
  <si>
    <t>Maio Coop.: Ag 3180 - Cc: 58076 (Cristiano de Souza Santos)</t>
  </si>
  <si>
    <t xml:space="preserve">Cristiano </t>
  </si>
  <si>
    <t xml:space="preserve">Pago </t>
  </si>
  <si>
    <t xml:space="preserve">Junho - pix cel: 35999798099 </t>
  </si>
  <si>
    <t xml:space="preserve">Junho CAIO/ CRISTIANO </t>
  </si>
  <si>
    <t>1000 pago para o vinicius, acordo pessoal deles ( a menos)</t>
  </si>
  <si>
    <t>Julho - Pix: 35 998612142</t>
  </si>
  <si>
    <t>Julho  CAIO</t>
  </si>
  <si>
    <t xml:space="preserve">falta </t>
  </si>
  <si>
    <t>Cobrar arnaldo</t>
  </si>
  <si>
    <t>Miltom</t>
  </si>
  <si>
    <t>01/08/2023 - Pix: 35 998612142</t>
  </si>
  <si>
    <t xml:space="preserve">Agosto  CAIO/ CRISTIANO </t>
  </si>
  <si>
    <t>Valdeci</t>
  </si>
  <si>
    <t>01/09/2023 - Pix: 35 998612142</t>
  </si>
  <si>
    <t xml:space="preserve">Julho  CAIO/ CRISTIANO </t>
  </si>
  <si>
    <t>01/10/2023 - Pix: 35 998612142</t>
  </si>
  <si>
    <t>Pago pessoal/ repor</t>
  </si>
  <si>
    <t xml:space="preserve">limaa de enxada </t>
  </si>
  <si>
    <t>Matheus</t>
  </si>
  <si>
    <t xml:space="preserve">Porcas e parafusos </t>
  </si>
  <si>
    <t xml:space="preserve">GiFix </t>
  </si>
  <si>
    <t>parafuso/ Carregadeira</t>
  </si>
  <si>
    <t>Escavadeira 210</t>
  </si>
  <si>
    <t>Tractor mang</t>
  </si>
  <si>
    <t xml:space="preserve">pago </t>
  </si>
  <si>
    <t xml:space="preserve">moto peças/ lanterna </t>
  </si>
  <si>
    <t>lanterna cleiton</t>
  </si>
  <si>
    <t>Elizei</t>
  </si>
  <si>
    <t>Tinta spray</t>
  </si>
  <si>
    <t xml:space="preserve">central parabrisa </t>
  </si>
  <si>
    <t xml:space="preserve">uno </t>
  </si>
  <si>
    <t xml:space="preserve">Giomar </t>
  </si>
  <si>
    <t xml:space="preserve">Escapamento </t>
  </si>
  <si>
    <t>Auto peças São Paulo</t>
  </si>
  <si>
    <t>Macaco Hidráulico</t>
  </si>
  <si>
    <t>Caminhonete Anderon</t>
  </si>
  <si>
    <t>Edinho torneiro</t>
  </si>
  <si>
    <t xml:space="preserve">SOS Radiadores </t>
  </si>
  <si>
    <t xml:space="preserve">Tampa do Radiador </t>
  </si>
  <si>
    <t>Uno Tamiro</t>
  </si>
  <si>
    <t>Pago</t>
  </si>
  <si>
    <t xml:space="preserve">Posto de Varginha </t>
  </si>
  <si>
    <t xml:space="preserve">strada branca </t>
  </si>
  <si>
    <t>pago</t>
  </si>
  <si>
    <t>AGOSTO</t>
  </si>
  <si>
    <t>CRISTIANO</t>
  </si>
  <si>
    <t>A RECEBER</t>
  </si>
  <si>
    <t>setembro</t>
  </si>
  <si>
    <t>outubro</t>
  </si>
  <si>
    <t>novembro</t>
  </si>
  <si>
    <t>bateria</t>
  </si>
  <si>
    <t>abastecimento</t>
  </si>
  <si>
    <t>DEZEMBRO</t>
  </si>
  <si>
    <t>JANEIRO beto</t>
  </si>
  <si>
    <t>vale</t>
  </si>
  <si>
    <t>fevereiro beto</t>
  </si>
  <si>
    <t>Março beto</t>
  </si>
  <si>
    <t>ABASTECIMENTOS</t>
  </si>
  <si>
    <t>ABRIL beto</t>
  </si>
  <si>
    <t>1302,00 revisão carro</t>
  </si>
  <si>
    <t>Maio - CPF: 657.446.756-04</t>
  </si>
  <si>
    <t>MAIO beto</t>
  </si>
  <si>
    <t>Gasolina 157</t>
  </si>
  <si>
    <t>Vale 500</t>
  </si>
  <si>
    <t>Vale 300</t>
  </si>
  <si>
    <t>Vale 200</t>
  </si>
  <si>
    <t>Junho - CPF: 657.446.756-04</t>
  </si>
  <si>
    <t>ABAST 43,00</t>
  </si>
  <si>
    <t>ABAST 205,00, devolveu</t>
  </si>
  <si>
    <t>ABAST265,94</t>
  </si>
  <si>
    <t>ABAST 209,68</t>
  </si>
  <si>
    <t>VALE 300,00</t>
  </si>
  <si>
    <t>pagamento</t>
  </si>
  <si>
    <t>Julho - CPF: 657.446.756-04</t>
  </si>
  <si>
    <t>Vale 500,</t>
  </si>
  <si>
    <t>Agosto - CPF: 657.446.756-04</t>
  </si>
  <si>
    <t>Setembro - CPF: 657.446.756-04</t>
  </si>
  <si>
    <t>outubro - CPF: 657.446.756-04</t>
  </si>
  <si>
    <t>Novembro - CPF: 657.446.756-04</t>
  </si>
  <si>
    <t>Dezembro - CPF: 657.446.756-04</t>
  </si>
  <si>
    <t xml:space="preserve"> janeiro 2024 - CPF: 657.446.756-04</t>
  </si>
  <si>
    <t xml:space="preserve">Maio </t>
  </si>
  <si>
    <t xml:space="preserve">Junho </t>
  </si>
  <si>
    <t xml:space="preserve">ABRIL TAMIRINHO </t>
  </si>
  <si>
    <t>*</t>
  </si>
  <si>
    <t xml:space="preserve">Vinicius trab 24/05 pá carregadeira </t>
  </si>
  <si>
    <t xml:space="preserve">MAIO  TAMIRINHO </t>
  </si>
  <si>
    <t xml:space="preserve">Voltou a trabalhar </t>
  </si>
  <si>
    <t xml:space="preserve">JUNHO TAMIRINHO </t>
  </si>
  <si>
    <t>Abas em carro 2x</t>
  </si>
  <si>
    <t xml:space="preserve">Abastecimeno Pessoal </t>
  </si>
  <si>
    <t xml:space="preserve"> b</t>
  </si>
  <si>
    <t xml:space="preserve">31 dias </t>
  </si>
  <si>
    <t>c</t>
  </si>
  <si>
    <t>Data</t>
  </si>
  <si>
    <t>JOÃO O PAGOU</t>
  </si>
  <si>
    <t>Tra maq 7D2</t>
  </si>
  <si>
    <t>Trab máq 7D1</t>
  </si>
  <si>
    <t xml:space="preserve">08-12 dias </t>
  </si>
  <si>
    <t>Agosto - máquina do joão</t>
  </si>
  <si>
    <t>DA+B3:F31TA</t>
  </si>
  <si>
    <t>Caio trabalhou</t>
  </si>
  <si>
    <t>Abril</t>
  </si>
  <si>
    <t>R$ 100,00 PAGAMENTO CONSERTO MAQUINA CAIO</t>
  </si>
  <si>
    <t>um feriado completo</t>
  </si>
  <si>
    <t>ROMILDO FEVEREIRO</t>
  </si>
  <si>
    <t>horas 7d1</t>
  </si>
  <si>
    <t>final</t>
  </si>
  <si>
    <t>dias joziel</t>
  </si>
  <si>
    <t>01/11/2022 JOZIEL</t>
  </si>
  <si>
    <t>625 mês passado</t>
  </si>
  <si>
    <t>DEEMBRO ziel</t>
  </si>
  <si>
    <t>JANEIRO ziel</t>
  </si>
  <si>
    <t>4,1 horas caio</t>
  </si>
  <si>
    <t xml:space="preserve">sem </t>
  </si>
  <si>
    <t>Fevereiro Joziel</t>
  </si>
  <si>
    <t xml:space="preserve">Data pagemento </t>
  </si>
  <si>
    <t xml:space="preserve">MARÇO JOZIEL </t>
  </si>
  <si>
    <t xml:space="preserve">25,00 a hora </t>
  </si>
  <si>
    <t>9 HORAS +</t>
  </si>
  <si>
    <t>SEM HOR</t>
  </si>
  <si>
    <t>ABRIL JOZIEL</t>
  </si>
  <si>
    <t xml:space="preserve">6 dias de trabalho </t>
  </si>
  <si>
    <t xml:space="preserve">HORA </t>
  </si>
  <si>
    <t>MAIO TAMIRINHO</t>
  </si>
  <si>
    <t xml:space="preserve">VALOR DA HORA </t>
  </si>
  <si>
    <t xml:space="preserve">6 DIAS </t>
  </si>
  <si>
    <t xml:space="preserve">VALOR TRANSFERIDO </t>
  </si>
  <si>
    <t>RESIDUAL</t>
  </si>
  <si>
    <t>dezembro Helivelton</t>
  </si>
  <si>
    <t>JANEIRO Helivelton</t>
  </si>
  <si>
    <t>Março Helivelton</t>
  </si>
  <si>
    <t>Data pagamento</t>
  </si>
  <si>
    <t xml:space="preserve">Janeiro  </t>
  </si>
  <si>
    <t>Fevereiro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</si>
</sst>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_-&quot;R$&quot;\ * #,##0.00_-;\-&quot;R$&quot;\ * #,##0.00_-;_-&quot;R$&quot;\ * &quot;-&quot;??_-;_-@"/>
    <numFmt numFmtId="166" formatCode="dd/mm/yyyy"/>
    <numFmt numFmtId="167" formatCode="[$R$ -416]#,##0.00"/>
    <numFmt numFmtId="168" formatCode="d/m/yyyy"/>
    <numFmt numFmtId="169" formatCode="hh:mm"/>
    <numFmt numFmtId="170" formatCode="&quot;R$&quot;\ #,##0.00"/>
    <numFmt numFmtId="171" formatCode="&quot;R$&quot;\ #,##0.00;[Red]\-&quot;R$&quot;\ #,##0.00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sz val="9.0"/>
      <color theme="1"/>
      <name val="Google Sans Mono"/>
    </font>
    <font>
      <sz val="11.0"/>
      <color theme="10"/>
      <name val="Calibri"/>
    </font>
    <font>
      <sz val="13.0"/>
      <color theme="1"/>
      <name val="Arial"/>
    </font>
    <font>
      <sz val="12.0"/>
      <color theme="1"/>
      <name val="Calibri"/>
      <scheme val="minor"/>
    </font>
    <font>
      <sz val="12.0"/>
      <color rgb="FFFFFFFF"/>
      <name val="Calibri"/>
      <scheme val="minor"/>
    </font>
    <font>
      <sz val="7.0"/>
      <color rgb="FF000000"/>
      <name val="Arial"/>
    </font>
    <font>
      <sz val="8.0"/>
      <color theme="1"/>
      <name val="Calibri"/>
    </font>
    <font>
      <sz val="10.0"/>
      <color rgb="FF000000"/>
      <name val="Arial"/>
    </font>
    <font>
      <b/>
      <color theme="1"/>
      <name val="Calibri"/>
      <scheme val="minor"/>
    </font>
    <font>
      <color rgb="FFFFFFFF"/>
      <name val="Calibri"/>
      <scheme val="minor"/>
    </font>
    <font>
      <color theme="1"/>
      <name val="Arial"/>
    </font>
    <font>
      <sz val="10.0"/>
      <color theme="1"/>
      <name val="Calibri"/>
    </font>
    <font>
      <sz val="18.0"/>
      <color theme="1"/>
      <name val="Algerian"/>
    </font>
    <font>
      <b/>
      <sz val="14.0"/>
      <color theme="1"/>
      <name val="Calibri"/>
    </font>
    <font/>
    <font>
      <sz val="26.0"/>
      <color theme="1"/>
      <name val="Algerian"/>
    </font>
    <font>
      <sz val="28.0"/>
      <color theme="1"/>
      <name val="Calibri"/>
    </font>
    <font>
      <sz val="11.0"/>
      <color rgb="FFFF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20124D"/>
        <bgColor rgb="FF20124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2F3"/>
        <bgColor rgb="FFD9E2F3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8496B0"/>
        <bgColor rgb="FF8496B0"/>
      </patternFill>
    </fill>
    <fill>
      <patternFill patternType="solid">
        <fgColor rgb="FF8EAADB"/>
        <bgColor rgb="FF8EAADB"/>
      </patternFill>
    </fill>
    <fill>
      <patternFill patternType="solid">
        <fgColor rgb="FFAEABAB"/>
        <bgColor rgb="FFAEABAB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BDD6EE"/>
        <bgColor rgb="FFBDD6EE"/>
      </patternFill>
    </fill>
    <fill>
      <patternFill patternType="solid">
        <fgColor rgb="FF92D050"/>
        <bgColor rgb="FF92D050"/>
      </patternFill>
    </fill>
  </fills>
  <borders count="26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shrinkToFit="1" wrapText="0"/>
    </xf>
    <xf borderId="0" fillId="0" fontId="1" numFmtId="0" xfId="0" applyAlignment="1" applyFont="1">
      <alignment horizontal="center"/>
    </xf>
    <xf borderId="0" fillId="4" fontId="1" numFmtId="164" xfId="0" applyAlignment="1" applyFill="1" applyFont="1" applyNumberFormat="1">
      <alignment horizontal="center"/>
    </xf>
    <xf borderId="0" fillId="0" fontId="1" numFmtId="164" xfId="0" applyFont="1" applyNumberFormat="1"/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165" xfId="0" applyFont="1" applyNumberFormat="1"/>
    <xf borderId="0" fillId="0" fontId="3" numFmtId="0" xfId="0" applyAlignment="1" applyFont="1">
      <alignment horizontal="center"/>
    </xf>
    <xf borderId="0" fillId="4" fontId="1" numFmtId="164" xfId="0" applyFont="1" applyNumberFormat="1"/>
    <xf borderId="0" fillId="0" fontId="3" numFmtId="164" xfId="0" applyFont="1" applyNumberFormat="1"/>
    <xf borderId="0" fillId="4" fontId="1" numFmtId="2" xfId="0" applyAlignment="1" applyFont="1" applyNumberFormat="1">
      <alignment horizontal="center"/>
    </xf>
    <xf borderId="0" fillId="4" fontId="1" numFmtId="165" xfId="0" applyFont="1" applyNumberFormat="1"/>
    <xf borderId="0" fillId="4" fontId="1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5" fontId="1" numFmtId="165" xfId="0" applyFill="1" applyFont="1" applyNumberFormat="1"/>
    <xf borderId="0" fillId="0" fontId="4" numFmtId="0" xfId="0" applyAlignment="1" applyFont="1">
      <alignment horizontal="center" readingOrder="0"/>
    </xf>
    <xf borderId="0" fillId="5" fontId="1" numFmtId="165" xfId="0" applyAlignment="1" applyFont="1" applyNumberFormat="1">
      <alignment readingOrder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2" fontId="3" numFmtId="0" xfId="0" applyFont="1"/>
    <xf borderId="0" fillId="2" fontId="1" numFmtId="0" xfId="0" applyAlignment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2" fontId="1" numFmtId="2" xfId="0" applyAlignment="1" applyFont="1" applyNumberFormat="1">
      <alignment horizontal="center" readingOrder="0"/>
    </xf>
    <xf borderId="0" fillId="2" fontId="1" numFmtId="165" xfId="0" applyAlignment="1" applyFont="1" applyNumberFormat="1">
      <alignment readingOrder="0"/>
    </xf>
    <xf borderId="0" fillId="2" fontId="1" numFmtId="165" xfId="0" applyAlignment="1" applyFont="1" applyNumberFormat="1">
      <alignment horizontal="center"/>
    </xf>
    <xf borderId="0" fillId="2" fontId="3" numFmtId="0" xfId="0" applyFont="1"/>
    <xf borderId="0" fillId="2" fontId="1" numFmtId="165" xfId="0" applyFont="1" applyNumberFormat="1"/>
    <xf borderId="0" fillId="2" fontId="1" numFmtId="0" xfId="0" applyFont="1"/>
    <xf borderId="0" fillId="2" fontId="1" numFmtId="2" xfId="0" applyAlignment="1" applyFont="1" applyNumberFormat="1">
      <alignment horizontal="center"/>
    </xf>
    <xf borderId="0" fillId="2" fontId="5" numFmtId="0" xfId="0" applyAlignment="1" applyFont="1">
      <alignment horizontal="center"/>
    </xf>
    <xf borderId="0" fillId="2" fontId="1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right" vertical="bottom"/>
    </xf>
    <xf borderId="0" fillId="2" fontId="1" numFmtId="2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5" fontId="3" numFmtId="0" xfId="0" applyFont="1"/>
    <xf borderId="0" fillId="5" fontId="1" numFmtId="0" xfId="0" applyAlignment="1" applyFont="1">
      <alignment horizontal="center"/>
    </xf>
    <xf borderId="0" fillId="5" fontId="1" numFmtId="165" xfId="0" applyAlignment="1" applyFont="1" applyNumberFormat="1">
      <alignment horizontal="center"/>
    </xf>
    <xf borderId="0" fillId="5" fontId="1" numFmtId="2" xfId="0" applyAlignment="1" applyFont="1" applyNumberFormat="1">
      <alignment horizontal="center"/>
    </xf>
    <xf borderId="0" fillId="5" fontId="1" numFmtId="0" xfId="0" applyFont="1"/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2" fontId="1" numFmtId="166" xfId="0" applyAlignment="1" applyFont="1" applyNumberFormat="1">
      <alignment horizontal="center" readingOrder="0"/>
    </xf>
    <xf borderId="0" fillId="2" fontId="1" numFmtId="164" xfId="0" applyAlignment="1" applyFont="1" applyNumberFormat="1">
      <alignment vertical="bottom"/>
    </xf>
    <xf borderId="0" fillId="5" fontId="1" numFmtId="2" xfId="0" applyAlignment="1" applyFont="1" applyNumberFormat="1">
      <alignment horizontal="center" readingOrder="0"/>
    </xf>
    <xf borderId="0" fillId="2" fontId="1" numFmtId="167" xfId="0" applyAlignment="1" applyFont="1" applyNumberFormat="1">
      <alignment readingOrder="0" vertical="bottom"/>
    </xf>
    <xf borderId="0" fillId="2" fontId="1" numFmtId="167" xfId="0" applyAlignment="1" applyFont="1" applyNumberFormat="1">
      <alignment readingOrder="0"/>
    </xf>
    <xf borderId="0" fillId="2" fontId="1" numFmtId="167" xfId="0" applyFont="1" applyNumberFormat="1"/>
    <xf borderId="0" fillId="2" fontId="1" numFmtId="165" xfId="0" applyAlignment="1" applyFont="1" applyNumberFormat="1">
      <alignment horizontal="center" readingOrder="0" vertical="bottom"/>
    </xf>
    <xf borderId="0" fillId="2" fontId="1" numFmtId="165" xfId="0" applyAlignment="1" applyFont="1" applyNumberFormat="1">
      <alignment horizontal="right" readingOrder="0"/>
    </xf>
    <xf borderId="0" fillId="5" fontId="3" numFmtId="0" xfId="0" applyAlignment="1" applyFont="1">
      <alignment horizontal="right"/>
    </xf>
    <xf borderId="0" fillId="2" fontId="1" numFmtId="2" xfId="0" applyAlignment="1" applyFont="1" applyNumberForma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165" xfId="0" applyAlignment="1" applyFont="1" applyNumberFormat="1">
      <alignment horizontal="right" readingOrder="0" vertical="bottom"/>
    </xf>
    <xf borderId="0" fillId="5" fontId="1" numFmtId="164" xfId="0" applyAlignment="1" applyFont="1" applyNumberFormat="1">
      <alignment horizontal="center" vertical="bottom"/>
    </xf>
    <xf borderId="0" fillId="5" fontId="1" numFmtId="164" xfId="0" applyAlignment="1" applyFont="1" applyNumberFormat="1">
      <alignment vertical="bottom"/>
    </xf>
    <xf borderId="0" fillId="5" fontId="1" numFmtId="165" xfId="0" applyAlignment="1" applyFont="1" applyNumberFormat="1">
      <alignment horizontal="center" vertical="bottom"/>
    </xf>
    <xf borderId="0" fillId="5" fontId="1" numFmtId="2" xfId="0" applyAlignment="1" applyFont="1" applyNumberFormat="1">
      <alignment horizontal="center" vertical="bottom"/>
    </xf>
    <xf borderId="0" fillId="5" fontId="1" numFmtId="165" xfId="0" applyAlignment="1" applyFont="1" applyNumberFormat="1">
      <alignment horizontal="right" vertical="bottom"/>
    </xf>
    <xf borderId="0" fillId="5" fontId="1" numFmtId="2" xfId="0" applyAlignment="1" applyFont="1" applyNumberFormat="1">
      <alignment readingOrder="0" vertical="bottom"/>
    </xf>
    <xf borderId="0" fillId="5" fontId="1" numFmtId="2" xfId="0" applyAlignment="1" applyFont="1" applyNumberFormat="1">
      <alignment vertical="bottom"/>
    </xf>
    <xf borderId="0" fillId="5" fontId="1" numFmtId="165" xfId="0" applyAlignment="1" applyFont="1" applyNumberFormat="1">
      <alignment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horizontal="center" readingOrder="0" vertical="bottom"/>
    </xf>
    <xf borderId="0" fillId="2" fontId="1" numFmtId="2" xfId="0" applyAlignment="1" applyFont="1" applyNumberFormat="1">
      <alignment horizontal="center" readingOrder="0" vertical="bottom"/>
    </xf>
    <xf borderId="0" fillId="5" fontId="1" numFmtId="165" xfId="0" applyAlignment="1" applyFont="1" applyNumberFormat="1">
      <alignment horizontal="right" readingOrder="0" vertical="bottom"/>
    </xf>
    <xf borderId="0" fillId="5" fontId="1" numFmtId="165" xfId="0" applyAlignment="1" applyFont="1" applyNumberFormat="1">
      <alignment horizontal="center" readingOrder="0" vertical="bottom"/>
    </xf>
    <xf borderId="0" fillId="5" fontId="1" numFmtId="2" xfId="0" applyAlignment="1" applyFont="1" applyNumberFormat="1">
      <alignment horizontal="center" readingOrder="0" vertical="bottom"/>
    </xf>
    <xf borderId="0" fillId="2" fontId="1" numFmtId="164" xfId="0" applyAlignment="1" applyFont="1" applyNumberFormat="1">
      <alignment readingOrder="0" vertical="bottom"/>
    </xf>
    <xf borderId="0" fillId="2" fontId="1" numFmtId="0" xfId="0" applyAlignment="1" applyFont="1">
      <alignment horizontal="right" vertical="bottom"/>
    </xf>
    <xf borderId="0" fillId="2" fontId="1" numFmtId="165" xfId="0" applyAlignment="1" applyFont="1" applyNumberFormat="1">
      <alignment readingOrder="0" vertical="bottom"/>
    </xf>
    <xf borderId="0" fillId="5" fontId="1" numFmtId="0" xfId="0" applyAlignment="1" applyFont="1">
      <alignment horizontal="center" readingOrder="0"/>
    </xf>
    <xf borderId="0" fillId="5" fontId="1" numFmtId="164" xfId="0" applyAlignment="1" applyFont="1" applyNumberFormat="1">
      <alignment readingOrder="0" vertical="bottom"/>
    </xf>
    <xf borderId="0" fillId="6" fontId="3" numFmtId="0" xfId="0" applyFill="1" applyFont="1"/>
    <xf borderId="0" fillId="6" fontId="1" numFmtId="0" xfId="0" applyAlignment="1" applyFont="1">
      <alignment horizontal="center" vertical="bottom"/>
    </xf>
    <xf borderId="0" fillId="6" fontId="1" numFmtId="164" xfId="0" applyAlignment="1" applyFont="1" applyNumberFormat="1">
      <alignment horizontal="center" vertical="bottom"/>
    </xf>
    <xf borderId="0" fillId="6" fontId="1" numFmtId="164" xfId="0" applyAlignment="1" applyFont="1" applyNumberFormat="1">
      <alignment readingOrder="0" vertical="bottom"/>
    </xf>
    <xf borderId="0" fillId="6" fontId="1" numFmtId="165" xfId="0" applyAlignment="1" applyFont="1" applyNumberFormat="1">
      <alignment horizontal="center" vertical="bottom"/>
    </xf>
    <xf borderId="0" fillId="6" fontId="1" numFmtId="2" xfId="0" applyAlignment="1" applyFont="1" applyNumberFormat="1">
      <alignment horizontal="center" vertical="bottom"/>
    </xf>
    <xf borderId="0" fillId="6" fontId="1" numFmtId="165" xfId="0" applyAlignment="1" applyFont="1" applyNumberFormat="1">
      <alignment horizontal="right" vertical="bottom"/>
    </xf>
    <xf borderId="0" fillId="6" fontId="1" numFmtId="2" xfId="0" applyAlignment="1" applyFont="1" applyNumberFormat="1">
      <alignment readingOrder="0" vertical="bottom"/>
    </xf>
    <xf borderId="0" fillId="6" fontId="1" numFmtId="0" xfId="0" applyAlignment="1" applyFont="1">
      <alignment readingOrder="0" vertical="bottom"/>
    </xf>
    <xf borderId="0" fillId="6" fontId="1" numFmtId="0" xfId="0" applyAlignment="1" applyFont="1">
      <alignment vertical="bottom"/>
    </xf>
    <xf borderId="0" fillId="6" fontId="1" numFmtId="0" xfId="0" applyFont="1"/>
    <xf borderId="0" fillId="6" fontId="1" numFmtId="2" xfId="0" applyAlignment="1" applyFont="1" applyNumberFormat="1">
      <alignment vertical="bottom"/>
    </xf>
    <xf borderId="0" fillId="6" fontId="1" numFmtId="165" xfId="0" applyAlignment="1" applyFont="1" applyNumberFormat="1">
      <alignment vertical="bottom"/>
    </xf>
    <xf borderId="0" fillId="6" fontId="1" numFmtId="165" xfId="0" applyAlignment="1" applyFont="1" applyNumberFormat="1">
      <alignment horizontal="center" readingOrder="0" vertical="bottom"/>
    </xf>
    <xf borderId="0" fillId="6" fontId="1" numFmtId="0" xfId="0" applyAlignment="1" applyFont="1">
      <alignment horizontal="right" vertical="bottom"/>
    </xf>
    <xf borderId="0" fillId="6" fontId="1" numFmtId="165" xfId="0" applyAlignment="1" applyFont="1" applyNumberFormat="1">
      <alignment readingOrder="0" vertical="bottom"/>
    </xf>
    <xf borderId="0" fillId="6" fontId="1" numFmtId="0" xfId="0" applyAlignment="1" applyFont="1">
      <alignment horizontal="center" readingOrder="0" vertical="bottom"/>
    </xf>
    <xf borderId="0" fillId="6" fontId="1" numFmtId="165" xfId="0" applyAlignment="1" applyFont="1" applyNumberFormat="1">
      <alignment horizontal="right" readingOrder="0" vertical="bottom"/>
    </xf>
    <xf borderId="0" fillId="2" fontId="1" numFmtId="0" xfId="0" applyAlignment="1" applyFont="1">
      <alignment horizontal="right" readingOrder="0" vertical="bottom"/>
    </xf>
    <xf borderId="0" fillId="2" fontId="1" numFmtId="2" xfId="0" applyAlignment="1" applyFont="1" applyNumberFormat="1">
      <alignment horizontal="right" readingOrder="0" vertical="bottom"/>
    </xf>
    <xf borderId="0" fillId="2" fontId="1" numFmtId="2" xfId="0" applyAlignment="1" applyFont="1" applyNumberFormat="1">
      <alignment horizontal="right" vertical="bottom"/>
    </xf>
    <xf borderId="0" fillId="5" fontId="1" numFmtId="0" xfId="0" applyAlignment="1" applyFont="1">
      <alignment horizontal="center" vertical="bottom"/>
    </xf>
    <xf borderId="0" fillId="4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5" fontId="1" numFmtId="165" xfId="0" applyAlignment="1" applyFont="1" applyNumberFormat="1">
      <alignment horizontal="center" readingOrder="0"/>
    </xf>
    <xf borderId="0" fillId="5" fontId="1" numFmtId="165" xfId="0" applyAlignment="1" applyFont="1" applyNumberFormat="1">
      <alignment readingOrder="0" vertical="bottom"/>
    </xf>
    <xf borderId="0" fillId="5" fontId="1" numFmtId="2" xfId="0" applyAlignment="1" applyFont="1" applyNumberFormat="1">
      <alignment horizontal="right" readingOrder="0" vertical="bottom"/>
    </xf>
    <xf borderId="0" fillId="0" fontId="6" numFmtId="0" xfId="0" applyAlignment="1" applyFont="1">
      <alignment horizontal="center" readingOrder="0"/>
    </xf>
    <xf borderId="0" fillId="5" fontId="1" numFmtId="2" xfId="0" applyAlignment="1" applyFont="1" applyNumberFormat="1">
      <alignment horizontal="right" vertical="bottom"/>
    </xf>
    <xf borderId="0" fillId="2" fontId="1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6" fontId="1" numFmtId="0" xfId="0" applyAlignment="1" applyFont="1">
      <alignment horizontal="center" readingOrder="0"/>
    </xf>
    <xf borderId="0" fillId="4" fontId="1" numFmtId="2" xfId="0" applyFont="1" applyNumberFormat="1"/>
    <xf borderId="0" fillId="4" fontId="1" numFmtId="0" xfId="0" applyFont="1"/>
    <xf borderId="0" fillId="0" fontId="1" numFmtId="0" xfId="0" applyAlignment="1" applyFont="1">
      <alignment horizontal="center" vertical="center"/>
    </xf>
    <xf borderId="0" fillId="0" fontId="7" numFmtId="0" xfId="0" applyFont="1"/>
    <xf borderId="0" fillId="7" fontId="8" numFmtId="0" xfId="0" applyAlignment="1" applyFill="1" applyFont="1">
      <alignment horizontal="center" vertical="center"/>
    </xf>
    <xf borderId="0" fillId="0" fontId="7" numFmtId="0" xfId="0" applyFont="1"/>
    <xf borderId="0" fillId="0" fontId="1" numFmtId="14" xfId="0" applyFont="1" applyNumberFormat="1"/>
    <xf borderId="0" fillId="0" fontId="9" numFmtId="0" xfId="0" applyFont="1"/>
    <xf borderId="0" fillId="0" fontId="3" numFmtId="0" xfId="0" applyFont="1"/>
    <xf borderId="0" fillId="5" fontId="10" numFmtId="164" xfId="0" applyFont="1" applyNumberFormat="1"/>
    <xf borderId="0" fillId="5" fontId="11" numFmtId="0" xfId="0" applyFont="1"/>
    <xf borderId="0" fillId="5" fontId="3" numFmtId="0" xfId="0" applyAlignment="1" applyFont="1">
      <alignment readingOrder="0"/>
    </xf>
    <xf borderId="0" fillId="5" fontId="9" numFmtId="0" xfId="0" applyFont="1"/>
    <xf borderId="0" fillId="5" fontId="3" numFmtId="166" xfId="0" applyAlignment="1" applyFont="1" applyNumberFormat="1">
      <alignment readingOrder="0"/>
    </xf>
    <xf borderId="0" fillId="5" fontId="11" numFmtId="0" xfId="0" applyAlignment="1" applyFont="1">
      <alignment horizontal="center"/>
    </xf>
    <xf borderId="0" fillId="6" fontId="3" numFmtId="166" xfId="0" applyAlignment="1" applyFont="1" applyNumberFormat="1">
      <alignment readingOrder="0"/>
    </xf>
    <xf borderId="0" fillId="6" fontId="11" numFmtId="0" xfId="0" applyAlignment="1" applyFont="1">
      <alignment horizontal="center"/>
    </xf>
    <xf borderId="0" fillId="6" fontId="3" numFmtId="0" xfId="0" applyAlignment="1" applyFont="1">
      <alignment readingOrder="0"/>
    </xf>
    <xf borderId="0" fillId="8" fontId="3" numFmtId="166" xfId="0" applyAlignment="1" applyFill="1" applyFont="1" applyNumberFormat="1">
      <alignment readingOrder="0"/>
    </xf>
    <xf borderId="0" fillId="5" fontId="12" numFmtId="0" xfId="0" applyAlignment="1" applyFont="1">
      <alignment readingOrder="0"/>
    </xf>
    <xf borderId="0" fillId="5" fontId="1" numFmtId="166" xfId="0" applyAlignment="1" applyFont="1" applyNumberFormat="1">
      <alignment horizontal="right" vertical="bottom"/>
    </xf>
    <xf borderId="0" fillId="2" fontId="11" numFmtId="0" xfId="0" applyAlignment="1" applyFont="1">
      <alignment horizontal="center"/>
    </xf>
    <xf borderId="0" fillId="9" fontId="3" numFmtId="0" xfId="0" applyFill="1" applyFont="1"/>
    <xf borderId="0" fillId="10" fontId="3" numFmtId="0" xfId="0" applyFill="1" applyFont="1"/>
    <xf borderId="0" fillId="10" fontId="3" numFmtId="166" xfId="0" applyAlignment="1" applyFont="1" applyNumberFormat="1">
      <alignment readingOrder="0"/>
    </xf>
    <xf borderId="0" fillId="9" fontId="3" numFmtId="166" xfId="0" applyAlignment="1" applyFont="1" applyNumberFormat="1">
      <alignment readingOrder="0"/>
    </xf>
    <xf borderId="0" fillId="2" fontId="3" numFmtId="166" xfId="0" applyAlignment="1" applyFont="1" applyNumberFormat="1">
      <alignment readingOrder="0"/>
    </xf>
    <xf borderId="0" fillId="11" fontId="3" numFmtId="166" xfId="0" applyAlignment="1" applyFill="1" applyFont="1" applyNumberFormat="1">
      <alignment readingOrder="0"/>
    </xf>
    <xf borderId="0" fillId="10" fontId="3" numFmtId="0" xfId="0" applyAlignment="1" applyFont="1">
      <alignment readingOrder="0"/>
    </xf>
    <xf borderId="0" fillId="10" fontId="11" numFmtId="0" xfId="0" applyAlignment="1" applyFont="1">
      <alignment horizontal="center"/>
    </xf>
    <xf borderId="0" fillId="12" fontId="3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7" fontId="13" numFmtId="0" xfId="0" applyFont="1"/>
    <xf borderId="0" fillId="5" fontId="1" numFmtId="164" xfId="0" applyFont="1" applyNumberFormat="1"/>
    <xf borderId="0" fillId="5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Font="1"/>
    <xf borderId="0" fillId="8" fontId="11" numFmtId="0" xfId="0" applyAlignment="1" applyFont="1">
      <alignment horizontal="center"/>
    </xf>
    <xf borderId="0" fillId="8" fontId="3" numFmtId="0" xfId="0" applyFont="1"/>
    <xf borderId="0" fillId="8" fontId="3" numFmtId="0" xfId="0" applyAlignment="1" applyFont="1">
      <alignment readingOrder="0"/>
    </xf>
    <xf borderId="0" fillId="0" fontId="1" numFmtId="166" xfId="0" applyAlignment="1" applyFont="1" applyNumberFormat="1">
      <alignment horizontal="right" vertical="bottom"/>
    </xf>
    <xf borderId="0" fillId="3" fontId="3" numFmtId="0" xfId="0" applyFont="1"/>
    <xf borderId="0" fillId="3" fontId="3" numFmtId="166" xfId="0" applyAlignment="1" applyFont="1" applyNumberFormat="1">
      <alignment readingOrder="0"/>
    </xf>
    <xf borderId="0" fillId="3" fontId="11" numFmtId="0" xfId="0" applyAlignment="1" applyFont="1">
      <alignment horizontal="center"/>
    </xf>
    <xf borderId="0" fillId="3" fontId="3" numFmtId="0" xfId="0" applyAlignment="1" applyFont="1">
      <alignment readingOrder="0"/>
    </xf>
    <xf borderId="0" fillId="5" fontId="3" numFmtId="0" xfId="0" applyFont="1"/>
    <xf borderId="0" fillId="5" fontId="3" numFmtId="0" xfId="0" applyAlignment="1" applyFont="1">
      <alignment horizontal="center"/>
    </xf>
    <xf borderId="0" fillId="5" fontId="3" numFmtId="0" xfId="0" applyAlignment="1" applyFont="1">
      <alignment horizontal="center" readingOrder="0"/>
    </xf>
    <xf borderId="0" fillId="12" fontId="3" numFmtId="166" xfId="0" applyAlignment="1" applyFont="1" applyNumberFormat="1">
      <alignment readingOrder="0"/>
    </xf>
    <xf borderId="0" fillId="12" fontId="11" numFmtId="0" xfId="0" applyAlignment="1" applyFont="1">
      <alignment horizontal="center"/>
    </xf>
    <xf borderId="0" fillId="12" fontId="3" numFmtId="0" xfId="0" applyFont="1"/>
    <xf borderId="0" fillId="0" fontId="1" numFmtId="0" xfId="0" applyAlignment="1" applyFont="1">
      <alignment vertical="bottom"/>
    </xf>
    <xf borderId="0" fillId="5" fontId="14" numFmtId="0" xfId="0" applyAlignment="1" applyFont="1">
      <alignment horizontal="center" vertical="bottom"/>
    </xf>
    <xf borderId="0" fillId="5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9" numFmtId="0" xfId="0" applyFont="1"/>
    <xf borderId="0" fillId="0" fontId="3" numFmtId="0" xfId="0" applyAlignment="1" applyFont="1">
      <alignment horizontal="center" readingOrder="0"/>
    </xf>
    <xf borderId="0" fillId="13" fontId="3" numFmtId="0" xfId="0" applyAlignment="1" applyFill="1" applyFont="1">
      <alignment readingOrder="0"/>
    </xf>
    <xf borderId="0" fillId="13" fontId="3" numFmtId="166" xfId="0" applyAlignment="1" applyFont="1" applyNumberFormat="1">
      <alignment readingOrder="0"/>
    </xf>
    <xf borderId="0" fillId="13" fontId="11" numFmtId="0" xfId="0" applyAlignment="1" applyFont="1">
      <alignment horizontal="center"/>
    </xf>
    <xf borderId="0" fillId="13" fontId="3" numFmtId="0" xfId="0" applyFont="1"/>
    <xf borderId="0" fillId="0" fontId="3" numFmtId="168" xfId="0" applyAlignment="1" applyFont="1" applyNumberFormat="1">
      <alignment readingOrder="0"/>
    </xf>
    <xf borderId="0" fillId="3" fontId="3" numFmtId="168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11" fontId="3" numFmtId="0" xfId="0" applyAlignment="1" applyFont="1">
      <alignment readingOrder="0"/>
    </xf>
    <xf borderId="0" fillId="5" fontId="3" numFmtId="169" xfId="0" applyAlignment="1" applyFont="1" applyNumberFormat="1">
      <alignment readingOrder="0"/>
    </xf>
    <xf borderId="0" fillId="5" fontId="3" numFmtId="169" xfId="0" applyFont="1" applyNumberFormat="1"/>
    <xf borderId="0" fillId="5" fontId="3" numFmtId="0" xfId="0" applyAlignment="1" applyFont="1">
      <alignment readingOrder="0"/>
    </xf>
    <xf borderId="0" fillId="11" fontId="3" numFmtId="0" xfId="0" applyFont="1"/>
    <xf borderId="0" fillId="14" fontId="3" numFmtId="166" xfId="0" applyAlignment="1" applyFill="1" applyFont="1" applyNumberFormat="1">
      <alignment readingOrder="0"/>
    </xf>
    <xf borderId="0" fillId="14" fontId="11" numFmtId="0" xfId="0" applyAlignment="1" applyFont="1">
      <alignment horizontal="center"/>
    </xf>
    <xf borderId="0" fillId="14" fontId="3" numFmtId="0" xfId="0" applyFont="1"/>
    <xf borderId="0" fillId="14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15" fontId="3" numFmtId="0" xfId="0" applyAlignment="1" applyFill="1" applyFont="1">
      <alignment readingOrder="0"/>
    </xf>
    <xf borderId="0" fillId="5" fontId="15" numFmtId="164" xfId="0" applyFont="1" applyNumberFormat="1"/>
    <xf borderId="0" fillId="0" fontId="16" numFmtId="0" xfId="0" applyAlignment="1" applyFont="1">
      <alignment horizontal="left"/>
    </xf>
    <xf borderId="1" fillId="16" fontId="17" numFmtId="0" xfId="0" applyAlignment="1" applyBorder="1" applyFill="1" applyFont="1">
      <alignment horizontal="center" vertical="center"/>
    </xf>
    <xf borderId="2" fillId="0" fontId="18" numFmtId="0" xfId="0" applyBorder="1" applyFont="1"/>
    <xf borderId="3" fillId="0" fontId="18" numFmtId="0" xfId="0" applyBorder="1" applyFont="1"/>
    <xf borderId="0" fillId="0" fontId="17" numFmtId="0" xfId="0" applyAlignment="1" applyFont="1">
      <alignment vertical="center"/>
    </xf>
    <xf borderId="4" fillId="0" fontId="18" numFmtId="0" xfId="0" applyBorder="1" applyFont="1"/>
    <xf borderId="5" fillId="0" fontId="18" numFmtId="0" xfId="0" applyBorder="1" applyFont="1"/>
    <xf borderId="6" fillId="0" fontId="18" numFmtId="0" xfId="0" applyBorder="1" applyFont="1"/>
    <xf borderId="7" fillId="0" fontId="18" numFmtId="0" xfId="0" applyBorder="1" applyFont="1"/>
    <xf borderId="8" fillId="0" fontId="18" numFmtId="0" xfId="0" applyBorder="1" applyFont="1"/>
    <xf borderId="9" fillId="16" fontId="19" numFmtId="0" xfId="0" applyAlignment="1" applyBorder="1" applyFont="1">
      <alignment horizontal="center" textRotation="255" vertical="center"/>
    </xf>
    <xf borderId="10" fillId="0" fontId="1" numFmtId="0" xfId="0" applyBorder="1" applyFont="1"/>
    <xf borderId="10" fillId="0" fontId="1" numFmtId="0" xfId="0" applyAlignment="1" applyBorder="1" applyFont="1">
      <alignment vertical="center"/>
    </xf>
    <xf borderId="11" fillId="0" fontId="18" numFmtId="0" xfId="0" applyBorder="1" applyFont="1"/>
    <xf borderId="10" fillId="4" fontId="1" numFmtId="14" xfId="0" applyBorder="1" applyFont="1" applyNumberFormat="1"/>
    <xf borderId="10" fillId="4" fontId="1" numFmtId="0" xfId="0" applyBorder="1" applyFont="1"/>
    <xf borderId="12" fillId="4" fontId="1" numFmtId="0" xfId="0" applyBorder="1" applyFont="1"/>
    <xf borderId="13" fillId="0" fontId="18" numFmtId="0" xfId="0" applyBorder="1" applyFont="1"/>
    <xf borderId="10" fillId="0" fontId="1" numFmtId="0" xfId="0" applyAlignment="1" applyBorder="1" applyFont="1">
      <alignment horizontal="center"/>
    </xf>
    <xf borderId="10" fillId="17" fontId="1" numFmtId="14" xfId="0" applyBorder="1" applyFill="1" applyFont="1" applyNumberFormat="1"/>
    <xf borderId="10" fillId="17" fontId="1" numFmtId="0" xfId="0" applyBorder="1" applyFont="1"/>
    <xf borderId="12" fillId="17" fontId="1" numFmtId="0" xfId="0" applyBorder="1" applyFont="1"/>
    <xf borderId="10" fillId="18" fontId="1" numFmtId="0" xfId="0" applyBorder="1" applyFill="1" applyFont="1"/>
    <xf borderId="12" fillId="18" fontId="1" numFmtId="0" xfId="0" applyBorder="1" applyFont="1"/>
    <xf borderId="10" fillId="0" fontId="1" numFmtId="14" xfId="0" applyBorder="1" applyFont="1" applyNumberFormat="1"/>
    <xf borderId="14" fillId="0" fontId="1" numFmtId="17" xfId="0" applyAlignment="1" applyBorder="1" applyFont="1" applyNumberFormat="1">
      <alignment horizontal="center"/>
    </xf>
    <xf borderId="15" fillId="0" fontId="18" numFmtId="0" xfId="0" applyBorder="1" applyFont="1"/>
    <xf borderId="10" fillId="0" fontId="1" numFmtId="170" xfId="0" applyBorder="1" applyFont="1" applyNumberFormat="1"/>
    <xf borderId="0" fillId="0" fontId="1" numFmtId="16" xfId="0" applyFont="1" applyNumberFormat="1"/>
    <xf borderId="14" fillId="0" fontId="1" numFmtId="0" xfId="0" applyAlignment="1" applyBorder="1" applyFont="1">
      <alignment horizontal="center"/>
    </xf>
    <xf borderId="16" fillId="0" fontId="18" numFmtId="0" xfId="0" applyBorder="1" applyFont="1"/>
    <xf borderId="14" fillId="19" fontId="1" numFmtId="17" xfId="0" applyAlignment="1" applyBorder="1" applyFill="1" applyFont="1" applyNumberFormat="1">
      <alignment horizontal="center"/>
    </xf>
    <xf borderId="10" fillId="14" fontId="1" numFmtId="0" xfId="0" applyBorder="1" applyFont="1"/>
    <xf borderId="12" fillId="14" fontId="1" numFmtId="0" xfId="0" applyBorder="1" applyFont="1"/>
    <xf borderId="17" fillId="14" fontId="1" numFmtId="0" xfId="0" applyAlignment="1" applyBorder="1" applyFont="1">
      <alignment horizontal="center"/>
    </xf>
    <xf borderId="18" fillId="0" fontId="18" numFmtId="0" xfId="0" applyBorder="1" applyFont="1"/>
    <xf borderId="16" fillId="0" fontId="1" numFmtId="0" xfId="0" applyAlignment="1" applyBorder="1" applyFont="1">
      <alignment horizontal="center"/>
    </xf>
    <xf borderId="19" fillId="0" fontId="1" numFmtId="0" xfId="0" applyBorder="1" applyFont="1"/>
    <xf borderId="0" fillId="0" fontId="1" numFmtId="170" xfId="0" applyFont="1" applyNumberFormat="1"/>
    <xf borderId="14" fillId="14" fontId="1" numFmtId="17" xfId="0" applyAlignment="1" applyBorder="1" applyFont="1" applyNumberFormat="1">
      <alignment horizontal="center"/>
    </xf>
    <xf borderId="20" fillId="0" fontId="18" numFmtId="0" xfId="0" applyBorder="1" applyFont="1"/>
    <xf borderId="21" fillId="0" fontId="1" numFmtId="0" xfId="0" applyBorder="1" applyFont="1"/>
    <xf borderId="0" fillId="0" fontId="1" numFmtId="14" xfId="0" applyFont="1" applyNumberFormat="1"/>
    <xf borderId="10" fillId="20" fontId="1" numFmtId="0" xfId="0" applyBorder="1" applyFill="1" applyFont="1"/>
    <xf borderId="22" fillId="21" fontId="20" numFmtId="0" xfId="0" applyAlignment="1" applyBorder="1" applyFill="1" applyFont="1">
      <alignment horizontal="left"/>
    </xf>
    <xf borderId="23" fillId="0" fontId="18" numFmtId="0" xfId="0" applyBorder="1" applyFont="1"/>
    <xf borderId="24" fillId="0" fontId="18" numFmtId="0" xfId="0" applyBorder="1" applyFont="1"/>
    <xf borderId="12" fillId="21" fontId="1" numFmtId="0" xfId="0" applyAlignment="1" applyBorder="1" applyFont="1">
      <alignment horizontal="left"/>
    </xf>
    <xf borderId="14" fillId="22" fontId="1" numFmtId="17" xfId="0" applyAlignment="1" applyBorder="1" applyFill="1" applyFont="1" applyNumberFormat="1">
      <alignment horizontal="center"/>
    </xf>
    <xf borderId="10" fillId="23" fontId="1" numFmtId="14" xfId="0" applyBorder="1" applyFill="1" applyFont="1" applyNumberFormat="1"/>
    <xf borderId="10" fillId="23" fontId="1" numFmtId="0" xfId="0" applyBorder="1" applyFont="1"/>
    <xf borderId="0" fillId="0" fontId="1" numFmtId="0" xfId="0" applyAlignment="1" applyFont="1">
      <alignment horizontal="left"/>
    </xf>
    <xf borderId="10" fillId="24" fontId="1" numFmtId="14" xfId="0" applyBorder="1" applyFill="1" applyFont="1" applyNumberFormat="1"/>
    <xf borderId="10" fillId="24" fontId="1" numFmtId="0" xfId="0" applyBorder="1" applyFont="1"/>
    <xf borderId="10" fillId="25" fontId="1" numFmtId="14" xfId="0" applyBorder="1" applyFill="1" applyFont="1" applyNumberFormat="1"/>
    <xf borderId="10" fillId="25" fontId="1" numFmtId="0" xfId="0" applyBorder="1" applyFont="1"/>
    <xf borderId="0" fillId="0" fontId="1" numFmtId="171" xfId="0" applyFont="1" applyNumberFormat="1"/>
    <xf borderId="15" fillId="0" fontId="1" numFmtId="14" xfId="0" applyBorder="1" applyFont="1" applyNumberFormat="1"/>
    <xf borderId="0" fillId="0" fontId="1" numFmtId="0" xfId="0" applyAlignment="1" applyFont="1">
      <alignment horizontal="right"/>
    </xf>
    <xf borderId="10" fillId="14" fontId="1" numFmtId="170" xfId="0" applyBorder="1" applyFont="1" applyNumberFormat="1"/>
    <xf borderId="21" fillId="0" fontId="1" numFmtId="170" xfId="0" applyBorder="1" applyFont="1" applyNumberFormat="1"/>
    <xf borderId="10" fillId="4" fontId="21" numFmtId="0" xfId="0" applyBorder="1" applyFont="1"/>
    <xf borderId="10" fillId="14" fontId="21" numFmtId="0" xfId="0" applyBorder="1" applyFont="1"/>
    <xf borderId="10" fillId="4" fontId="1" numFmtId="170" xfId="0" applyBorder="1" applyFont="1" applyNumberFormat="1"/>
    <xf borderId="10" fillId="0" fontId="1" numFmtId="165" xfId="0" applyBorder="1" applyFont="1" applyNumberFormat="1"/>
    <xf borderId="14" fillId="26" fontId="1" numFmtId="17" xfId="0" applyAlignment="1" applyBorder="1" applyFill="1" applyFont="1" applyNumberFormat="1">
      <alignment horizontal="center"/>
    </xf>
    <xf borderId="15" fillId="0" fontId="1" numFmtId="0" xfId="0" applyBorder="1" applyFont="1"/>
    <xf borderId="22" fillId="21" fontId="20" numFmtId="17" xfId="0" applyAlignment="1" applyBorder="1" applyFont="1" applyNumberFormat="1">
      <alignment horizontal="left"/>
    </xf>
    <xf borderId="10" fillId="12" fontId="1" numFmtId="0" xfId="0" applyBorder="1" applyFont="1"/>
    <xf borderId="17" fillId="19" fontId="1" numFmtId="0" xfId="0" applyAlignment="1" applyBorder="1" applyFont="1">
      <alignment horizontal="center"/>
    </xf>
    <xf borderId="25" fillId="0" fontId="18" numFmtId="0" xfId="0" applyBorder="1" applyFont="1"/>
    <xf borderId="14" fillId="14" fontId="1" numFmtId="0" xfId="0" applyAlignment="1" applyBorder="1" applyFont="1">
      <alignment horizontal="center"/>
    </xf>
    <xf borderId="14" fillId="0" fontId="1" numFmtId="170" xfId="0" applyAlignment="1" applyBorder="1" applyFont="1" applyNumberFormat="1">
      <alignment horizontal="center"/>
    </xf>
    <xf borderId="14" fillId="19" fontId="1" numFmtId="0" xfId="0" applyAlignment="1" applyBorder="1" applyFont="1">
      <alignment horizontal="center"/>
    </xf>
    <xf borderId="22" fillId="14" fontId="1" numFmtId="0" xfId="0" applyAlignment="1" applyBorder="1" applyFont="1">
      <alignment horizontal="center"/>
    </xf>
    <xf borderId="12" fillId="21" fontId="1" numFmtId="0" xfId="0" applyBorder="1" applyFont="1"/>
    <xf borderId="10" fillId="27" fontId="1" numFmtId="0" xfId="0" applyBorder="1" applyFill="1" applyFont="1"/>
    <xf borderId="12" fillId="14" fontId="1" numFmtId="170" xfId="0" applyBorder="1" applyFont="1" applyNumberFormat="1"/>
    <xf borderId="0" fillId="0" fontId="21" numFmtId="0" xfId="0" applyFont="1"/>
    <xf borderId="10" fillId="14" fontId="1" numFmtId="0" xfId="0" applyAlignment="1" applyBorder="1" applyFont="1">
      <alignment horizontal="center"/>
    </xf>
    <xf borderId="12" fillId="4" fontId="1" numFmtId="0" xfId="0" applyAlignment="1" applyBorder="1" applyFont="1">
      <alignment horizontal="center"/>
    </xf>
    <xf borderId="12" fillId="14" fontId="1" numFmtId="165" xfId="0" applyBorder="1" applyFont="1" applyNumberFormat="1"/>
    <xf borderId="10" fillId="21" fontId="1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8">
    <tableStyle count="3" pivot="0" name="220 nova Anderson -style">
      <tableStyleElement dxfId="1" type="headerRow"/>
      <tableStyleElement dxfId="2" type="firstRowStripe"/>
      <tableStyleElement dxfId="2" type="secondRowStripe"/>
    </tableStyle>
    <tableStyle count="4" pivot="0" name="220 nova Anderson -style 2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3" pivot="0" name="220 Antiga Silvinho -style">
      <tableStyleElement dxfId="1" type="headerRow"/>
      <tableStyleElement dxfId="2" type="firstRowStripe"/>
      <tableStyleElement dxfId="2" type="secondRowStripe"/>
    </tableStyle>
    <tableStyle count="2" pivot="0" name="220 Antiga Silvinho -style 2">
      <tableStyleElement dxfId="2" type="firstRowStripe"/>
      <tableStyleElement dxfId="2" type="secondRowStripe"/>
    </tableStyle>
    <tableStyle count="2" pivot="0" name="220 Antiga Silvinho -style 3">
      <tableStyleElement dxfId="2" type="firstRowStripe"/>
      <tableStyleElement dxfId="2" type="secondRowStripe"/>
    </tableStyle>
    <tableStyle count="3" pivot="0" name="Sanny-style">
      <tableStyleElement dxfId="1" type="headerRow"/>
      <tableStyleElement dxfId="2" type="firstRowStripe"/>
      <tableStyleElement dxfId="2" type="secondRowStripe"/>
    </tableStyle>
    <tableStyle count="2" pivot="0" name="700J nova -style">
      <tableStyleElement dxfId="2" type="firstRowStripe"/>
      <tableStyleElement dxfId="2" type="secondRowStripe"/>
    </tableStyle>
    <tableStyle count="2" pivot="0" name="700J nova Armack -style">
      <tableStyleElement dxfId="2" type="firstRowStripe"/>
      <tableStyleElement dxfId="2" type="secondRowStripe"/>
    </tableStyle>
    <tableStyle count="2" pivot="0" name="pá carregadeira -style">
      <tableStyleElement dxfId="2" type="firstRowStripe"/>
      <tableStyleElement dxfId="2" type="secondRowStripe"/>
    </tableStyle>
    <tableStyle count="3" pivot="0" name="Maq D51 - Caio-style">
      <tableStyleElement dxfId="1" type="headerRow"/>
      <tableStyleElement dxfId="2" type="firstRowStripe"/>
      <tableStyleElement dxfId="2" type="secondRowStripe"/>
    </tableStyle>
    <tableStyle count="2" pivot="0" name="Maq D51 - Caio-style 2">
      <tableStyleElement dxfId="2" type="firstRowStripe"/>
      <tableStyleElement dxfId="2" type="secondRowStripe"/>
    </tableStyle>
    <tableStyle count="3" pivot="0" name="7D1-style">
      <tableStyleElement dxfId="1" type="headerRow"/>
      <tableStyleElement dxfId="2" type="firstRowStripe"/>
      <tableStyleElement dxfId="2" type="secondRowStripe"/>
    </tableStyle>
    <tableStyle count="2" pivot="0" name="7D1-style 2">
      <tableStyleElement dxfId="2" type="firstRowStripe"/>
      <tableStyleElement dxfId="2" type="secondRowStripe"/>
    </tableStyle>
    <tableStyle count="2" pivot="0" name="7D1-style 3">
      <tableStyleElement dxfId="2" type="firstRowStripe"/>
      <tableStyleElement dxfId="2" type="secondRowStripe"/>
    </tableStyle>
    <tableStyle count="2" pivot="0" name="7D1-style 4">
      <tableStyleElement dxfId="2" type="firstRowStripe"/>
      <tableStyleElement dxfId="2" type="secondRowStripe"/>
    </tableStyle>
    <tableStyle count="2" pivot="0" name="7D1-style 5">
      <tableStyleElement dxfId="2" type="firstRowStripe"/>
      <tableStyleElement dxfId="2" type="secondRowStripe"/>
    </tableStyle>
    <tableStyle count="2" pivot="0" name="7D1-style 6">
      <tableStyleElement dxfId="2" type="firstRowStripe"/>
      <tableStyleElement dxfId="2" type="secondRowStripe"/>
    </tableStyle>
    <tableStyle count="3" pivot="0" name=" Carregadeira 12B -style">
      <tableStyleElement dxfId="1" type="headerRow"/>
      <tableStyleElement dxfId="2" type="firstRowStripe"/>
      <tableStyleElement dxfId="2" type="secondRowStripe"/>
    </tableStyle>
    <tableStyle count="2" pivot="0" name=" Carregadeira 12B -style 2">
      <tableStyleElement dxfId="2" type="firstRowStripe"/>
      <tableStyleElement dxfId="2" type="secondRowStripe"/>
    </tableStyle>
    <tableStyle count="2" pivot="0" name=" Carregadeira 12B -style 3">
      <tableStyleElement dxfId="2" type="firstRowStripe"/>
      <tableStyleElement dxfId="2" type="secondRowStripe"/>
    </tableStyle>
    <tableStyle count="2" pivot="0" name=" Carregadeira 12B -style 4">
      <tableStyleElement dxfId="2" type="firstRowStripe"/>
      <tableStyleElement dxfId="2" type="secondRowStripe"/>
    </tableStyle>
    <tableStyle count="2" pivot="0" name=" Carregadeira 12B -style 5">
      <tableStyleElement dxfId="2" type="firstRowStripe"/>
      <tableStyleElement dxfId="2" type="secondRowStripe"/>
    </tableStyle>
    <tableStyle count="2" pivot="0" name=" Carregadeira 12B -style 6">
      <tableStyleElement dxfId="2" type="firstRowStripe"/>
      <tableStyleElement dxfId="2" type="secondRowStripe"/>
    </tableStyle>
    <tableStyle count="2" pivot="0" name=" Carregadeira 12B -style 7">
      <tableStyleElement dxfId="2" type="firstRowStripe"/>
      <tableStyleElement dxfId="2" type="secondRowStripe"/>
    </tableStyle>
    <tableStyle count="2" pivot="0" name=" Carregadeira 12B -style 8">
      <tableStyleElement dxfId="2" type="firstRowStripe"/>
      <tableStyleElement dxfId="2" type="secondRowStripe"/>
    </tableStyle>
    <tableStyle count="3" pivot="0" name="7D2 -style">
      <tableStyleElement dxfId="1" type="headerRow"/>
      <tableStyleElement dxfId="2" type="firstRowStripe"/>
      <tableStyleElement dxfId="2" type="secondRowStripe"/>
    </tableStyle>
    <tableStyle count="2" pivot="0" name="7D2 -style 2">
      <tableStyleElement dxfId="2" type="firstRowStripe"/>
      <tableStyleElement dxfId="2" type="secondRowStripe"/>
    </tableStyle>
    <tableStyle count="2" pivot="0" name="7D2 -style 3"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M31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20 nova Anderson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H810:L822" displayName="Tabela_1" name="Tabela_1" id="2">
  <tableColumns count="5">
    <tableColumn name="Coluna 1" id="1"/>
    <tableColumn name="Coluna 2" id="2"/>
    <tableColumn name="Coluna 3" id="3"/>
    <tableColumn name="Coluna 4" id="4"/>
    <tableColumn name="Coluna 5" id="5"/>
  </tableColumns>
  <tableStyleInfo name="220 nova Anderson 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:N347" displayName="Table_2" name="Table_2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220 Antiga Silvinho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H348:H357" displayName="Table_3" name="Table_3" id="4">
  <tableColumns count="1">
    <tableColumn name="Column1" id="1"/>
  </tableColumns>
  <tableStyleInfo name="220 Antiga Silvinho -style 2" showColumnStripes="0" showFirstColumn="1" showLastColumn="1" showRowStripes="1"/>
</table>
</file>

<file path=xl/tables/table5.xml><?xml version="1.0" encoding="utf-8"?>
<table xmlns="http://schemas.openxmlformats.org/spreadsheetml/2006/main" headerRowCount="0" ref="B591:B599" displayName="Table_4" name="Table_4" id="5">
  <tableColumns count="1">
    <tableColumn name="Column1" id="1"/>
  </tableColumns>
  <tableStyleInfo name="220 Antiga Silvinho -style 3" showColumnStripes="0" showFirstColumn="1" showLastColumn="1" showRowStripes="1"/>
</table>
</file>

<file path=xl/tables/table6.xml><?xml version="1.0" encoding="utf-8"?>
<table xmlns="http://schemas.openxmlformats.org/spreadsheetml/2006/main" headerRowCount="0" ref="B3:R729" displayName="Table_5" name="Table_5" id="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ann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95:B103" displayName="Table_6" name="Table_6" id="7">
  <tableColumns count="1">
    <tableColumn name="Column1" id="1"/>
  </tableColumns>
  <tableStyleInfo name="700J nova -style" showColumnStripes="0" showFirstColumn="1" showLastColumn="1" showRowStripes="1"/>
</table>
</file>

<file path=xl/tables/table8.xml><?xml version="1.0" encoding="utf-8"?>
<table xmlns="http://schemas.openxmlformats.org/spreadsheetml/2006/main" headerRowCount="0" ref="B3:B44" displayName="Table_7" name="Table_7" id="8">
  <tableColumns count="1">
    <tableColumn name="Column1" id="1"/>
  </tableColumns>
  <tableStyleInfo name="700J nova Armack -style" showColumnStripes="0" showFirstColumn="1" showLastColumn="1" showRowStripes="1"/>
</table>
</file>

<file path=xl/tables/table9.xml><?xml version="1.0" encoding="utf-8"?>
<table xmlns="http://schemas.openxmlformats.org/spreadsheetml/2006/main" headerRowCount="0" ref="B3:B44" displayName="Table_8" name="Table_8" id="9">
  <tableColumns count="1">
    <tableColumn name="Column1" id="1"/>
  </tableColumns>
  <tableStyleInfo name="pá carregadeira -style" showColumnStripes="0" showFirstColumn="1" showLastColumn="1" showRowStripes="1"/>
</table>
</file>

<file path=xl/tables/table10.xml><?xml version="1.0" encoding="utf-8"?>
<table xmlns="http://schemas.openxmlformats.org/spreadsheetml/2006/main" headerRowCount="0" ref="B3:I499" displayName="Table_9" name="Table_9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q D51 - Ca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734:B742" displayName="Table_10" name="Table_10" id="11">
  <tableColumns count="1">
    <tableColumn name="Column1" id="1"/>
  </tableColumns>
  <tableStyleInfo name="Maq D51 - Caio-style 2" showColumnStripes="0" showFirstColumn="1" showLastColumn="1" showRowStripes="1"/>
</table>
</file>

<file path=xl/tables/table12.xml><?xml version="1.0" encoding="utf-8"?>
<table xmlns="http://schemas.openxmlformats.org/spreadsheetml/2006/main" ref="B3:I72" displayName="Table_11" name="Table_11" id="12">
  <tableColumns count="8">
    <tableColumn name="Dia " id="1"/>
    <tableColumn name="Chave " id="2"/>
    <tableColumn name="H inicial " id="3"/>
    <tableColumn name="H final" id="4"/>
    <tableColumn name="Hora/ Dia " id="5"/>
    <tableColumn name="Extra " id="6"/>
    <tableColumn name="Colaborador " id="7"/>
    <tableColumn name="Diesel " id="8"/>
  </tableColumns>
  <tableStyleInfo name="7D1-style" showColumnStripes="0" showFirstColumn="1" showLastColumn="1" showRowStripes="1"/>
</table>
</file>

<file path=xl/tables/table13.xml><?xml version="1.0" encoding="utf-8"?>
<table xmlns="http://schemas.openxmlformats.org/spreadsheetml/2006/main" headerRowCount="0" ref="I73:I78" displayName="Table_12" name="Table_12" id="13">
  <tableColumns count="1">
    <tableColumn name="Column1" id="1"/>
  </tableColumns>
  <tableStyleInfo name="7D1-style 2" showColumnStripes="0" showFirstColumn="1" showLastColumn="1" showRowStripes="1"/>
</table>
</file>

<file path=xl/tables/table14.xml><?xml version="1.0" encoding="utf-8"?>
<table xmlns="http://schemas.openxmlformats.org/spreadsheetml/2006/main" headerRowCount="0" ref="I80:I85" displayName="Table_13" name="Table_13" id="14">
  <tableColumns count="1">
    <tableColumn name="Column1" id="1"/>
  </tableColumns>
  <tableStyleInfo name="7D1-style 3" showColumnStripes="0" showFirstColumn="1" showLastColumn="1" showRowStripes="1"/>
</table>
</file>

<file path=xl/tables/table15.xml><?xml version="1.0" encoding="utf-8"?>
<table xmlns="http://schemas.openxmlformats.org/spreadsheetml/2006/main" headerRowCount="0" ref="I87:I92" displayName="Table_14" name="Table_14" id="15">
  <tableColumns count="1">
    <tableColumn name="Column1" id="1"/>
  </tableColumns>
  <tableStyleInfo name="7D1-style 4" showColumnStripes="0" showFirstColumn="1" showLastColumn="1" showRowStripes="1"/>
</table>
</file>

<file path=xl/tables/table16.xml><?xml version="1.0" encoding="utf-8"?>
<table xmlns="http://schemas.openxmlformats.org/spreadsheetml/2006/main" headerRowCount="0" ref="I94:I99" displayName="Table_15" name="Table_15" id="16">
  <tableColumns count="1">
    <tableColumn name="Column1" id="1"/>
  </tableColumns>
  <tableStyleInfo name="7D1-style 5" showColumnStripes="0" showFirstColumn="1" showLastColumn="1" showRowStripes="1"/>
</table>
</file>

<file path=xl/tables/table17.xml><?xml version="1.0" encoding="utf-8"?>
<table xmlns="http://schemas.openxmlformats.org/spreadsheetml/2006/main" headerRowCount="0" ref="B310:B318" displayName="Table_16" name="Table_16" id="17">
  <tableColumns count="1">
    <tableColumn name="Column1" id="1"/>
  </tableColumns>
  <tableStyleInfo name="7D1-style 6" showColumnStripes="0" showFirstColumn="1" showLastColumn="1" showRowStripes="1"/>
</table>
</file>

<file path=xl/tables/table18.xml><?xml version="1.0" encoding="utf-8"?>
<table xmlns="http://schemas.openxmlformats.org/spreadsheetml/2006/main" ref="B3:I64" displayName="Table_17" name="Table_17" id="18">
  <tableColumns count="8">
    <tableColumn name="Dia " id="1"/>
    <tableColumn name="Chave " id="2"/>
    <tableColumn name="H inicial " id="3"/>
    <tableColumn name="H final" id="4"/>
    <tableColumn name="Hora/ Dia " id="5"/>
    <tableColumn name="Extra " id="6"/>
    <tableColumn name="Coluna12" id="7"/>
    <tableColumn name="máquina " id="8"/>
  </tableColumns>
  <tableStyleInfo name=" Carregadeira 12B -style" showColumnStripes="0" showFirstColumn="1" showLastColumn="1" showRowStripes="1"/>
</table>
</file>

<file path=xl/tables/table19.xml><?xml version="1.0" encoding="utf-8"?>
<table xmlns="http://schemas.openxmlformats.org/spreadsheetml/2006/main" headerRowCount="0" ref="H65:H70" displayName="Table_18" name="Table_18" id="19">
  <tableColumns count="1">
    <tableColumn name="Column1" id="1"/>
  </tableColumns>
  <tableStyleInfo name=" Carregadeira 12B -style 2" showColumnStripes="0" showFirstColumn="1" showLastColumn="1" showRowStripes="1"/>
</table>
</file>

<file path=xl/tables/table20.xml><?xml version="1.0" encoding="utf-8"?>
<table xmlns="http://schemas.openxmlformats.org/spreadsheetml/2006/main" headerRowCount="0" ref="H72:H77" displayName="Table_19" name="Table_19" id="20">
  <tableColumns count="1">
    <tableColumn name="Column1" id="1"/>
  </tableColumns>
  <tableStyleInfo name=" Carregadeira 12B -style 3" showColumnStripes="0" showFirstColumn="1" showLastColumn="1" showRowStripes="1"/>
</table>
</file>

<file path=xl/tables/table21.xml><?xml version="1.0" encoding="utf-8"?>
<table xmlns="http://schemas.openxmlformats.org/spreadsheetml/2006/main" headerRowCount="0" ref="H79:H80" displayName="Table_20" name="Table_20" id="21">
  <tableColumns count="1">
    <tableColumn name="Column1" id="1"/>
  </tableColumns>
  <tableStyleInfo name=" Carregadeira 12B -style 4" showColumnStripes="0" showFirstColumn="1" showLastColumn="1" showRowStripes="1"/>
</table>
</file>

<file path=xl/tables/table22.xml><?xml version="1.0" encoding="utf-8"?>
<table xmlns="http://schemas.openxmlformats.org/spreadsheetml/2006/main" headerRowCount="0" ref="H86:H91" displayName="Table_21" name="Table_21" id="22">
  <tableColumns count="1">
    <tableColumn name="Column1" id="1"/>
  </tableColumns>
  <tableStyleInfo name=" Carregadeira 12B -style 5" showColumnStripes="0" showFirstColumn="1" showLastColumn="1" showRowStripes="1"/>
</table>
</file>

<file path=xl/tables/table23.xml><?xml version="1.0" encoding="utf-8"?>
<table xmlns="http://schemas.openxmlformats.org/spreadsheetml/2006/main" headerRowCount="0" ref="H93:H98" displayName="Table_22" name="Table_22" id="23">
  <tableColumns count="1">
    <tableColumn name="Column1" id="1"/>
  </tableColumns>
  <tableStyleInfo name=" Carregadeira 12B -style 6" showColumnStripes="0" showFirstColumn="1" showLastColumn="1" showRowStripes="1"/>
</table>
</file>

<file path=xl/tables/table24.xml><?xml version="1.0" encoding="utf-8"?>
<table xmlns="http://schemas.openxmlformats.org/spreadsheetml/2006/main" headerRowCount="0" ref="H100:H105" displayName="Table_23" name="Table_23" id="24">
  <tableColumns count="1">
    <tableColumn name="Column1" id="1"/>
  </tableColumns>
  <tableStyleInfo name=" Carregadeira 12B -style 7" showColumnStripes="0" showFirstColumn="1" showLastColumn="1" showRowStripes="1"/>
</table>
</file>

<file path=xl/tables/table25.xml><?xml version="1.0" encoding="utf-8"?>
<table xmlns="http://schemas.openxmlformats.org/spreadsheetml/2006/main" headerRowCount="0" ref="B309:B317" displayName="Table_24" name="Table_24" id="25">
  <tableColumns count="1">
    <tableColumn name="Column1" id="1"/>
  </tableColumns>
  <tableStyleInfo name=" Carregadeira 12B -style 8" showColumnStripes="0" showFirstColumn="1" showLastColumn="1" showRowStripes="1"/>
</table>
</file>

<file path=xl/tables/table26.xml><?xml version="1.0" encoding="utf-8"?>
<table xmlns="http://schemas.openxmlformats.org/spreadsheetml/2006/main" ref="B3:H85" displayName="Table_25" name="Table_25" id="26">
  <tableColumns count="7">
    <tableColumn name="Dia " id="1"/>
    <tableColumn name="Chave " id="2"/>
    <tableColumn name="H inicial " id="3"/>
    <tableColumn name="H final" id="4"/>
    <tableColumn name="Hora/ Dia " id="5"/>
    <tableColumn name="Extra " id="6"/>
    <tableColumn name="Diesel " id="7"/>
  </tableColumns>
  <tableStyleInfo name="7D2 -style" showColumnStripes="0" showFirstColumn="1" showLastColumn="1" showRowStripes="1"/>
</table>
</file>

<file path=xl/tables/table27.xml><?xml version="1.0" encoding="utf-8"?>
<table xmlns="http://schemas.openxmlformats.org/spreadsheetml/2006/main" headerRowCount="0" ref="B311:B319" displayName="Table_26" name="Table_26" id="27">
  <tableColumns count="1">
    <tableColumn name="Column1" id="1"/>
  </tableColumns>
  <tableStyleInfo name="7D2 -style 2" showColumnStripes="0" showFirstColumn="1" showLastColumn="1" showRowStripes="1"/>
</table>
</file>

<file path=xl/tables/table28.xml><?xml version="1.0" encoding="utf-8"?>
<table xmlns="http://schemas.openxmlformats.org/spreadsheetml/2006/main" headerRowCount="0" ref="B402:B585" displayName="Table_27" name="Table_27" id="28">
  <tableColumns count="1">
    <tableColumn name="Column1" id="1"/>
  </tableColumns>
  <tableStyleInfo name="7D2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tlcleiton751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15.xml"/><Relationship Id="rId10" Type="http://schemas.openxmlformats.org/officeDocument/2006/relationships/table" Target="../tables/table14.xml"/><Relationship Id="rId13" Type="http://schemas.openxmlformats.org/officeDocument/2006/relationships/table" Target="../tables/table17.xml"/><Relationship Id="rId12" Type="http://schemas.openxmlformats.org/officeDocument/2006/relationships/table" Target="../tables/table16.xml"/><Relationship Id="rId9" Type="http://schemas.openxmlformats.org/officeDocument/2006/relationships/table" Target="../tables/table13.xml"/><Relationship Id="rId8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26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6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7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8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9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0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1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2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3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4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5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6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17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8.43"/>
    <col customWidth="1" min="3" max="3" width="8.71"/>
    <col customWidth="1" min="4" max="4" width="10.71"/>
    <col customWidth="1" min="5" max="5" width="18.29"/>
    <col customWidth="1" min="6" max="6" width="12.57"/>
    <col customWidth="1" min="7" max="7" width="16.86"/>
    <col customWidth="1" min="8" max="8" width="12.29"/>
    <col customWidth="1" min="9" max="9" width="13.86"/>
    <col customWidth="1" min="10" max="10" width="15.14"/>
    <col customWidth="1" min="11" max="11" width="12.0"/>
    <col customWidth="1" min="12" max="12" width="12.29"/>
    <col customWidth="1" min="13" max="13" width="15.86"/>
    <col customWidth="1" min="14" max="14" width="6.43"/>
    <col customWidth="1" min="15" max="15" width="23.29"/>
    <col customWidth="1" min="16" max="16" width="19.86"/>
    <col customWidth="1" min="17" max="17" width="23.29"/>
    <col customWidth="1" min="18" max="18" width="22.86"/>
    <col customWidth="1" min="19" max="19" width="23.14"/>
    <col customWidth="1" min="20" max="26" width="8.71"/>
  </cols>
  <sheetData>
    <row r="1" ht="14.25" customHeight="1">
      <c r="A1" s="1" t="s">
        <v>0</v>
      </c>
    </row>
    <row r="2" ht="14.25" customHeight="1"/>
    <row r="3" ht="14.25" customHeight="1"/>
    <row r="4" ht="14.25" customHeight="1"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ht="14.25" customHeight="1">
      <c r="B5" s="4"/>
      <c r="C5" s="5" t="str">
        <f t="shared" ref="C5:C15" si="1">MONTH(D5)&amp; "-" &amp;YEAR(D5)</f>
        <v>12-1899</v>
      </c>
      <c r="D5" s="6"/>
      <c r="E5" s="7"/>
      <c r="F5" s="7"/>
      <c r="G5" s="7"/>
      <c r="H5" s="7"/>
      <c r="I5" s="7"/>
      <c r="J5" s="7"/>
      <c r="K5" s="7"/>
      <c r="L5" s="7"/>
      <c r="M5" s="7"/>
      <c r="N5" s="4"/>
      <c r="O5" s="7"/>
      <c r="P5" s="7"/>
      <c r="Q5" s="7"/>
      <c r="R5" s="7"/>
    </row>
    <row r="6" ht="14.25" customHeight="1">
      <c r="B6" s="4" t="s">
        <v>18</v>
      </c>
      <c r="C6" s="5" t="str">
        <f t="shared" si="1"/>
        <v>9-2023</v>
      </c>
      <c r="D6" s="8">
        <v>45171.0</v>
      </c>
      <c r="E6" s="9">
        <f t="shared" ref="E6:E7" si="2">(2000/30)</f>
        <v>66.66666667</v>
      </c>
      <c r="F6" s="10">
        <v>30.0</v>
      </c>
      <c r="G6" s="9">
        <f t="shared" ref="G6:G12" si="3">(E6*F6)</f>
        <v>2000</v>
      </c>
      <c r="H6" s="10">
        <v>250.0</v>
      </c>
      <c r="I6" s="9">
        <v>20.0</v>
      </c>
      <c r="J6" s="10">
        <v>22.0</v>
      </c>
      <c r="K6" s="9">
        <v>20.0</v>
      </c>
      <c r="L6" s="10">
        <v>4.0</v>
      </c>
      <c r="M6" s="9">
        <v>1300.0</v>
      </c>
      <c r="N6" s="4">
        <v>0.0</v>
      </c>
      <c r="O6" s="9">
        <f t="shared" ref="O6:O16" si="4">(G6)+(H6*I6)+(J6*K6)+(L6*100)-(M6)</f>
        <v>6540</v>
      </c>
      <c r="P6" s="4">
        <v>3.5991762704E10</v>
      </c>
      <c r="Q6" s="7"/>
      <c r="R6" s="7" t="s">
        <v>19</v>
      </c>
    </row>
    <row r="7" ht="14.25" customHeight="1">
      <c r="B7" s="4" t="s">
        <v>20</v>
      </c>
      <c r="C7" s="5" t="str">
        <f t="shared" si="1"/>
        <v>9-2023</v>
      </c>
      <c r="D7" s="8">
        <v>45171.0</v>
      </c>
      <c r="E7" s="9">
        <f t="shared" si="2"/>
        <v>66.66666667</v>
      </c>
      <c r="F7" s="10">
        <v>30.0</v>
      </c>
      <c r="G7" s="9">
        <f t="shared" si="3"/>
        <v>2000</v>
      </c>
      <c r="H7" s="10">
        <v>212.0</v>
      </c>
      <c r="I7" s="9">
        <v>14.0</v>
      </c>
      <c r="J7" s="10">
        <v>3.2</v>
      </c>
      <c r="K7" s="9">
        <v>14.0</v>
      </c>
      <c r="L7" s="4">
        <v>0.0</v>
      </c>
      <c r="M7" s="4">
        <v>0.0</v>
      </c>
      <c r="N7" s="4">
        <v>0.0</v>
      </c>
      <c r="O7" s="9">
        <f t="shared" si="4"/>
        <v>5012.8</v>
      </c>
      <c r="P7" s="11" t="s">
        <v>21</v>
      </c>
      <c r="Q7" s="7"/>
      <c r="R7" s="7" t="s">
        <v>19</v>
      </c>
    </row>
    <row r="8" ht="14.25" customHeight="1">
      <c r="B8" s="4" t="s">
        <v>22</v>
      </c>
      <c r="C8" s="5" t="str">
        <f t="shared" si="1"/>
        <v>9-2023</v>
      </c>
      <c r="D8" s="8">
        <v>45174.0</v>
      </c>
      <c r="E8" s="9">
        <v>50.0</v>
      </c>
      <c r="F8" s="10">
        <v>30.0</v>
      </c>
      <c r="G8" s="12">
        <f t="shared" si="3"/>
        <v>1500</v>
      </c>
      <c r="H8" s="10">
        <v>178.6</v>
      </c>
      <c r="I8" s="9">
        <v>10.0</v>
      </c>
      <c r="J8" s="10">
        <v>3.5</v>
      </c>
      <c r="K8" s="9">
        <v>10.0</v>
      </c>
      <c r="L8" s="4">
        <v>3.5</v>
      </c>
      <c r="M8" s="4">
        <v>0.0</v>
      </c>
      <c r="N8" s="4">
        <v>0.0</v>
      </c>
      <c r="O8" s="12">
        <f t="shared" si="4"/>
        <v>3671</v>
      </c>
      <c r="P8" s="4">
        <v>1.5175052675E10</v>
      </c>
      <c r="Q8" s="7" t="s">
        <v>23</v>
      </c>
      <c r="R8" s="7" t="s">
        <v>19</v>
      </c>
    </row>
    <row r="9" ht="14.25" customHeight="1">
      <c r="B9" s="4" t="s">
        <v>24</v>
      </c>
      <c r="C9" s="5" t="str">
        <f t="shared" si="1"/>
        <v>9-2023</v>
      </c>
      <c r="D9" s="8">
        <v>45171.0</v>
      </c>
      <c r="E9" s="9">
        <v>120.0</v>
      </c>
      <c r="F9" s="10">
        <v>30.0</v>
      </c>
      <c r="G9" s="12">
        <f t="shared" si="3"/>
        <v>3600</v>
      </c>
      <c r="H9" s="10">
        <v>0.0</v>
      </c>
      <c r="I9" s="9">
        <v>0.0</v>
      </c>
      <c r="J9" s="10">
        <v>0.0</v>
      </c>
      <c r="K9" s="9">
        <v>0.0</v>
      </c>
      <c r="L9" s="4">
        <v>0.0</v>
      </c>
      <c r="M9" s="4">
        <v>0.0</v>
      </c>
      <c r="N9" s="4">
        <v>0.0</v>
      </c>
      <c r="O9" s="12">
        <f t="shared" si="4"/>
        <v>3600</v>
      </c>
      <c r="P9" s="4" t="s">
        <v>25</v>
      </c>
      <c r="Q9" s="7"/>
      <c r="R9" s="7" t="s">
        <v>19</v>
      </c>
    </row>
    <row r="10" ht="14.25" customHeight="1">
      <c r="B10" s="4" t="s">
        <v>26</v>
      </c>
      <c r="C10" s="5" t="str">
        <f t="shared" si="1"/>
        <v>9-2023</v>
      </c>
      <c r="D10" s="8">
        <v>45175.0</v>
      </c>
      <c r="E10" s="9">
        <v>100.0</v>
      </c>
      <c r="F10" s="10">
        <v>30.0</v>
      </c>
      <c r="G10" s="12">
        <f t="shared" si="3"/>
        <v>3000</v>
      </c>
      <c r="H10" s="10">
        <v>205.9</v>
      </c>
      <c r="I10" s="9">
        <v>10.0</v>
      </c>
      <c r="J10" s="10">
        <v>17.8</v>
      </c>
      <c r="K10" s="9">
        <v>10.0</v>
      </c>
      <c r="L10" s="4">
        <v>2.0</v>
      </c>
      <c r="M10" s="4">
        <v>0.0</v>
      </c>
      <c r="N10" s="4">
        <v>0.0</v>
      </c>
      <c r="O10" s="12">
        <f t="shared" si="4"/>
        <v>5437</v>
      </c>
      <c r="P10" s="4">
        <v>3.5998195061E10</v>
      </c>
      <c r="Q10" s="7"/>
      <c r="R10" s="7" t="s">
        <v>19</v>
      </c>
    </row>
    <row r="11" ht="14.25" customHeight="1">
      <c r="B11" s="4" t="s">
        <v>27</v>
      </c>
      <c r="C11" s="5" t="str">
        <f t="shared" si="1"/>
        <v>9-2023</v>
      </c>
      <c r="D11" s="8">
        <v>45174.0</v>
      </c>
      <c r="E11" s="9">
        <v>200.0</v>
      </c>
      <c r="F11" s="10">
        <v>30.0</v>
      </c>
      <c r="G11" s="12">
        <f t="shared" si="3"/>
        <v>6000</v>
      </c>
      <c r="H11" s="10">
        <v>231.0</v>
      </c>
      <c r="I11" s="9">
        <v>0.0</v>
      </c>
      <c r="J11" s="10">
        <v>0.0</v>
      </c>
      <c r="K11" s="9">
        <v>0.0</v>
      </c>
      <c r="L11" s="4">
        <v>0.0</v>
      </c>
      <c r="M11" s="4">
        <v>0.0</v>
      </c>
      <c r="N11" s="4">
        <v>0.0</v>
      </c>
      <c r="O11" s="12">
        <f t="shared" si="4"/>
        <v>6000</v>
      </c>
      <c r="P11" s="4" t="s">
        <v>28</v>
      </c>
      <c r="Q11" s="7"/>
      <c r="R11" s="7" t="s">
        <v>19</v>
      </c>
    </row>
    <row r="12" ht="14.25" customHeight="1">
      <c r="B12" s="4" t="s">
        <v>29</v>
      </c>
      <c r="C12" s="5" t="str">
        <f t="shared" si="1"/>
        <v>9-2023</v>
      </c>
      <c r="D12" s="8">
        <v>45171.0</v>
      </c>
      <c r="E12" s="9">
        <v>69.6667</v>
      </c>
      <c r="F12" s="10">
        <v>30.0</v>
      </c>
      <c r="G12" s="12">
        <f t="shared" si="3"/>
        <v>2090.001</v>
      </c>
      <c r="H12" s="10">
        <v>0.0</v>
      </c>
      <c r="I12" s="9">
        <v>0.0</v>
      </c>
      <c r="J12" s="10">
        <v>0.0</v>
      </c>
      <c r="K12" s="9">
        <v>0.0</v>
      </c>
      <c r="L12" s="4">
        <v>0.0</v>
      </c>
      <c r="M12" s="4">
        <v>0.0</v>
      </c>
      <c r="N12" s="4">
        <v>0.0</v>
      </c>
      <c r="O12" s="12">
        <f t="shared" si="4"/>
        <v>2090.001</v>
      </c>
      <c r="P12" s="4">
        <v>3.8974715821E10</v>
      </c>
      <c r="Q12" s="7"/>
      <c r="R12" s="7" t="s">
        <v>19</v>
      </c>
    </row>
    <row r="13" ht="14.25" customHeight="1">
      <c r="B13" s="4" t="s">
        <v>30</v>
      </c>
      <c r="C13" s="5" t="str">
        <f t="shared" si="1"/>
        <v>9-2023</v>
      </c>
      <c r="D13" s="8">
        <v>45175.0</v>
      </c>
      <c r="E13" s="9">
        <v>175.0</v>
      </c>
      <c r="F13" s="10">
        <v>30.0</v>
      </c>
      <c r="G13" s="12">
        <v>5250.0</v>
      </c>
      <c r="H13" s="10">
        <v>0.0</v>
      </c>
      <c r="I13" s="9">
        <v>0.0</v>
      </c>
      <c r="J13" s="10">
        <v>0.0</v>
      </c>
      <c r="K13" s="9">
        <v>0.0</v>
      </c>
      <c r="L13" s="4">
        <v>0.0</v>
      </c>
      <c r="M13" s="4">
        <v>0.0</v>
      </c>
      <c r="N13" s="4">
        <v>0.0</v>
      </c>
      <c r="O13" s="12">
        <f t="shared" si="4"/>
        <v>5250</v>
      </c>
      <c r="P13" s="4"/>
      <c r="Q13" s="7"/>
      <c r="R13" s="7" t="s">
        <v>19</v>
      </c>
    </row>
    <row r="14" ht="14.25" customHeight="1">
      <c r="B14" s="4" t="s">
        <v>31</v>
      </c>
      <c r="C14" s="5" t="str">
        <f t="shared" si="1"/>
        <v>9-2023</v>
      </c>
      <c r="D14" s="8">
        <v>45175.0</v>
      </c>
      <c r="E14" s="9">
        <v>56.6</v>
      </c>
      <c r="F14" s="10">
        <v>30.0</v>
      </c>
      <c r="G14" s="12">
        <v>1700.0</v>
      </c>
      <c r="H14" s="10">
        <v>137.2</v>
      </c>
      <c r="I14" s="9">
        <v>8.0</v>
      </c>
      <c r="J14" s="10"/>
      <c r="K14" s="9"/>
      <c r="L14" s="4">
        <v>0.5</v>
      </c>
      <c r="M14" s="4">
        <v>180.0</v>
      </c>
      <c r="N14" s="4">
        <v>0.0</v>
      </c>
      <c r="O14" s="12">
        <f t="shared" si="4"/>
        <v>2667.6</v>
      </c>
      <c r="P14" s="4">
        <v>3.597287575E9</v>
      </c>
      <c r="Q14" s="7"/>
      <c r="R14" s="7" t="s">
        <v>19</v>
      </c>
    </row>
    <row r="15" ht="14.25" customHeight="1">
      <c r="B15" s="4" t="s">
        <v>32</v>
      </c>
      <c r="C15" s="5" t="str">
        <f t="shared" si="1"/>
        <v>9-2023</v>
      </c>
      <c r="D15" s="8">
        <v>45175.0</v>
      </c>
      <c r="E15" s="9">
        <f>(2000/30)</f>
        <v>66.66666667</v>
      </c>
      <c r="F15" s="10">
        <v>30.0</v>
      </c>
      <c r="G15" s="12">
        <f>(E15*F15)</f>
        <v>2000</v>
      </c>
      <c r="H15" s="10">
        <v>199.8</v>
      </c>
      <c r="I15" s="9">
        <v>2.5</v>
      </c>
      <c r="J15" s="10">
        <v>0.0</v>
      </c>
      <c r="K15" s="9">
        <v>0.0</v>
      </c>
      <c r="L15" s="4">
        <v>0.0</v>
      </c>
      <c r="M15" s="4">
        <v>0.0</v>
      </c>
      <c r="N15" s="4">
        <v>0.0</v>
      </c>
      <c r="O15" s="12">
        <f t="shared" si="4"/>
        <v>2499.5</v>
      </c>
      <c r="P15" s="4">
        <v>1.2931826642E10</v>
      </c>
      <c r="Q15" s="7"/>
      <c r="R15" s="7" t="s">
        <v>19</v>
      </c>
    </row>
    <row r="16" ht="14.25" customHeight="1">
      <c r="B16" s="4"/>
      <c r="C16" s="5"/>
      <c r="D16" s="8"/>
      <c r="E16" s="9"/>
      <c r="F16" s="10"/>
      <c r="G16" s="12"/>
      <c r="H16" s="10"/>
      <c r="I16" s="9"/>
      <c r="J16" s="10"/>
      <c r="K16" s="9"/>
      <c r="L16" s="4"/>
      <c r="M16" s="4"/>
      <c r="N16" s="4"/>
      <c r="O16" s="12">
        <f t="shared" si="4"/>
        <v>0</v>
      </c>
      <c r="P16" s="4"/>
      <c r="Q16" s="7"/>
      <c r="R16" s="7"/>
    </row>
    <row r="17" ht="14.25" customHeight="1">
      <c r="B17" s="4"/>
      <c r="C17" s="5"/>
      <c r="D17" s="8"/>
      <c r="E17" s="9"/>
      <c r="F17" s="10"/>
      <c r="G17" s="12"/>
      <c r="H17" s="10"/>
      <c r="I17" s="9"/>
      <c r="J17" s="10"/>
      <c r="K17" s="9"/>
      <c r="L17" s="4"/>
      <c r="M17" s="4"/>
      <c r="N17" s="4"/>
      <c r="O17" s="12"/>
      <c r="P17" s="4"/>
      <c r="Q17" s="7"/>
      <c r="R17" s="7"/>
    </row>
    <row r="18" ht="14.25" customHeight="1">
      <c r="B18" s="13"/>
      <c r="C18" s="14"/>
      <c r="D18" s="15"/>
      <c r="P18" s="4"/>
      <c r="R18" s="7"/>
    </row>
    <row r="19" ht="15.0" customHeight="1">
      <c r="B19" s="4" t="s">
        <v>18</v>
      </c>
      <c r="C19" s="5" t="str">
        <f t="shared" ref="C19:C174" si="5">MONTH(D19)&amp; "-" &amp;YEAR(D19)</f>
        <v>10-2023</v>
      </c>
      <c r="D19" s="8">
        <v>45203.0</v>
      </c>
      <c r="E19" s="9">
        <f>(2000/30)</f>
        <v>66.66666667</v>
      </c>
      <c r="F19" s="10">
        <f> (30-'Salários'!$N19)</f>
        <v>30</v>
      </c>
      <c r="G19" s="12">
        <f>(E19*F19)</f>
        <v>2000</v>
      </c>
      <c r="H19" s="10">
        <v>125.0</v>
      </c>
      <c r="I19" s="9">
        <v>20.0</v>
      </c>
      <c r="J19" s="10">
        <v>1.0</v>
      </c>
      <c r="K19" s="9">
        <v>20.0</v>
      </c>
      <c r="L19" s="9">
        <v>6.0</v>
      </c>
      <c r="M19" s="9">
        <v>1300.0</v>
      </c>
      <c r="N19" s="4"/>
      <c r="O19" s="12">
        <f t="shared" ref="O19:O20" si="6">(G19)+(H19*I19)+(J19*K19)+(L19*100)-(M19)</f>
        <v>3820</v>
      </c>
      <c r="P19" s="4">
        <v>3.5991762704E10</v>
      </c>
      <c r="Q19" s="7"/>
      <c r="R19" s="7" t="s">
        <v>33</v>
      </c>
    </row>
    <row r="20" ht="14.25" customHeight="1">
      <c r="B20" s="4" t="s">
        <v>34</v>
      </c>
      <c r="C20" s="5" t="str">
        <f t="shared" si="5"/>
        <v>10-2023</v>
      </c>
      <c r="D20" s="8">
        <v>45203.0</v>
      </c>
      <c r="E20" s="9">
        <v>110.0</v>
      </c>
      <c r="F20" s="10">
        <v>30.0</v>
      </c>
      <c r="G20" s="12">
        <v>3300.0</v>
      </c>
      <c r="H20" s="10"/>
      <c r="I20" s="9"/>
      <c r="J20" s="10"/>
      <c r="K20" s="9"/>
      <c r="L20" s="9"/>
      <c r="M20" s="4"/>
      <c r="N20" s="4" t="s">
        <v>35</v>
      </c>
      <c r="O20" s="12">
        <f t="shared" si="6"/>
        <v>3300</v>
      </c>
      <c r="P20" s="11"/>
      <c r="Q20" s="7" t="s">
        <v>36</v>
      </c>
      <c r="R20" s="7" t="s">
        <v>19</v>
      </c>
    </row>
    <row r="21" ht="14.25" customHeight="1">
      <c r="B21" s="4" t="s">
        <v>22</v>
      </c>
      <c r="C21" s="5" t="str">
        <f t="shared" si="5"/>
        <v>10-2023</v>
      </c>
      <c r="D21" s="8">
        <v>45203.0</v>
      </c>
      <c r="E21" s="9">
        <v>50.0</v>
      </c>
      <c r="F21" s="10">
        <f> (30-'Salários'!$N21)</f>
        <v>29</v>
      </c>
      <c r="G21" s="12">
        <f t="shared" ref="G21:G32" si="7">(E21*F21)</f>
        <v>1450</v>
      </c>
      <c r="H21" s="10">
        <v>203.1</v>
      </c>
      <c r="I21" s="9">
        <v>10.0</v>
      </c>
      <c r="J21" s="10">
        <v>6.3</v>
      </c>
      <c r="K21" s="9">
        <v>10.0</v>
      </c>
      <c r="L21" s="9">
        <v>100.0</v>
      </c>
      <c r="M21" s="4"/>
      <c r="N21" s="4">
        <v>1.0</v>
      </c>
      <c r="O21" s="12">
        <f>(G21)+(H21*I21)+(J21*K21)+(L21)-(M21)</f>
        <v>3644</v>
      </c>
      <c r="P21" s="4">
        <v>1.5175052675E10</v>
      </c>
      <c r="Q21" s="7" t="s">
        <v>37</v>
      </c>
      <c r="R21" s="7" t="s">
        <v>33</v>
      </c>
    </row>
    <row r="22" ht="14.25" customHeight="1">
      <c r="B22" s="4" t="s">
        <v>24</v>
      </c>
      <c r="C22" s="5" t="str">
        <f t="shared" si="5"/>
        <v>10-2023</v>
      </c>
      <c r="D22" s="8">
        <v>45203.0</v>
      </c>
      <c r="E22" s="9">
        <v>120.0</v>
      </c>
      <c r="F22" s="16">
        <v>17.0</v>
      </c>
      <c r="G22" s="17">
        <f t="shared" si="7"/>
        <v>2040</v>
      </c>
      <c r="H22" s="16">
        <v>1.0</v>
      </c>
      <c r="I22" s="18">
        <v>100.0</v>
      </c>
      <c r="J22" s="10"/>
      <c r="K22" s="9"/>
      <c r="L22" s="4"/>
      <c r="M22" s="4"/>
      <c r="N22" s="4"/>
      <c r="O22" s="12">
        <f t="shared" ref="O22:O56" si="8">(G22)+(H22*I22)+(J22*K22)+(L22*100)-(M22)</f>
        <v>2140</v>
      </c>
      <c r="P22" s="4" t="s">
        <v>25</v>
      </c>
      <c r="Q22" s="7"/>
      <c r="R22" s="7" t="s">
        <v>19</v>
      </c>
    </row>
    <row r="23" ht="14.25" customHeight="1">
      <c r="B23" s="4" t="s">
        <v>26</v>
      </c>
      <c r="C23" s="5" t="str">
        <f t="shared" si="5"/>
        <v>10-2023</v>
      </c>
      <c r="D23" s="8">
        <v>45203.0</v>
      </c>
      <c r="E23" s="9">
        <v>100.0</v>
      </c>
      <c r="F23" s="10">
        <f> (30-'Salários'!$N23)</f>
        <v>30</v>
      </c>
      <c r="G23" s="12">
        <f t="shared" si="7"/>
        <v>3000</v>
      </c>
      <c r="H23" s="10">
        <v>238.1</v>
      </c>
      <c r="I23" s="9">
        <v>13.0</v>
      </c>
      <c r="J23" s="10">
        <v>20.2</v>
      </c>
      <c r="K23" s="9">
        <v>13.0</v>
      </c>
      <c r="L23" s="9">
        <v>1.0</v>
      </c>
      <c r="M23" s="4"/>
      <c r="N23" s="4"/>
      <c r="O23" s="12">
        <f t="shared" si="8"/>
        <v>6457.9</v>
      </c>
      <c r="P23" s="4">
        <v>3.5998195061E10</v>
      </c>
      <c r="Q23" s="7"/>
      <c r="R23" s="7" t="s">
        <v>19</v>
      </c>
    </row>
    <row r="24" ht="14.25" customHeight="1">
      <c r="B24" s="4" t="s">
        <v>27</v>
      </c>
      <c r="C24" s="5" t="str">
        <f t="shared" si="5"/>
        <v>10-2023</v>
      </c>
      <c r="D24" s="8">
        <v>45203.0</v>
      </c>
      <c r="E24" s="9">
        <v>200.0</v>
      </c>
      <c r="F24" s="10">
        <f> (30-'Salários'!$N24)</f>
        <v>30</v>
      </c>
      <c r="G24" s="12">
        <f t="shared" si="7"/>
        <v>6000</v>
      </c>
      <c r="H24" s="10"/>
      <c r="I24" s="9">
        <v>0.0</v>
      </c>
      <c r="J24" s="10"/>
      <c r="K24" s="9"/>
      <c r="L24" s="4"/>
      <c r="M24" s="4"/>
      <c r="N24" s="4"/>
      <c r="O24" s="12">
        <f t="shared" si="8"/>
        <v>6000</v>
      </c>
      <c r="P24" s="4" t="s">
        <v>28</v>
      </c>
      <c r="Q24" s="7"/>
      <c r="R24" s="7" t="s">
        <v>19</v>
      </c>
    </row>
    <row r="25" ht="14.25" customHeight="1">
      <c r="B25" s="4" t="s">
        <v>29</v>
      </c>
      <c r="C25" s="5" t="str">
        <f t="shared" si="5"/>
        <v>10-2023</v>
      </c>
      <c r="D25" s="8">
        <v>45203.0</v>
      </c>
      <c r="E25" s="9">
        <v>69.6667</v>
      </c>
      <c r="F25" s="10">
        <f> (30-'Salários'!$N25)</f>
        <v>30</v>
      </c>
      <c r="G25" s="12">
        <f t="shared" si="7"/>
        <v>2090.001</v>
      </c>
      <c r="H25" s="10">
        <v>1.0</v>
      </c>
      <c r="I25" s="9">
        <v>342.7</v>
      </c>
      <c r="J25" s="10"/>
      <c r="K25" s="9"/>
      <c r="L25" s="4"/>
      <c r="M25" s="4"/>
      <c r="N25" s="4"/>
      <c r="O25" s="12">
        <f t="shared" si="8"/>
        <v>2432.701</v>
      </c>
      <c r="P25" s="4">
        <v>3.8974715821E10</v>
      </c>
      <c r="Q25" s="7"/>
      <c r="R25" s="7" t="s">
        <v>19</v>
      </c>
    </row>
    <row r="26" ht="14.25" customHeight="1">
      <c r="B26" s="4" t="s">
        <v>30</v>
      </c>
      <c r="C26" s="5" t="str">
        <f t="shared" si="5"/>
        <v>10-2023</v>
      </c>
      <c r="D26" s="8">
        <v>45203.0</v>
      </c>
      <c r="E26" s="9">
        <v>175.0</v>
      </c>
      <c r="F26" s="10">
        <f> (30-'Salários'!$N26)</f>
        <v>30</v>
      </c>
      <c r="G26" s="12">
        <f t="shared" si="7"/>
        <v>5250</v>
      </c>
      <c r="H26" s="10"/>
      <c r="I26" s="9">
        <v>0.0</v>
      </c>
      <c r="J26" s="10"/>
      <c r="K26" s="9"/>
      <c r="L26" s="4"/>
      <c r="M26" s="4">
        <v>2000.0</v>
      </c>
      <c r="N26" s="4"/>
      <c r="O26" s="12">
        <f t="shared" si="8"/>
        <v>3250</v>
      </c>
      <c r="P26" s="4"/>
      <c r="Q26" s="7"/>
      <c r="R26" s="7"/>
    </row>
    <row r="27" ht="14.25" customHeight="1">
      <c r="B27" s="4" t="s">
        <v>31</v>
      </c>
      <c r="C27" s="5" t="str">
        <f t="shared" si="5"/>
        <v>10-2023</v>
      </c>
      <c r="D27" s="8">
        <v>45203.0</v>
      </c>
      <c r="E27" s="9">
        <f>(1700/30)</f>
        <v>56.66666667</v>
      </c>
      <c r="F27" s="10">
        <f> (30-'Salários'!$N27)</f>
        <v>30</v>
      </c>
      <c r="G27" s="12">
        <f t="shared" si="7"/>
        <v>1700</v>
      </c>
      <c r="H27" s="10">
        <v>202.3</v>
      </c>
      <c r="I27" s="9">
        <v>8.0</v>
      </c>
      <c r="J27" s="10"/>
      <c r="K27" s="9"/>
      <c r="L27" s="9">
        <v>1.0</v>
      </c>
      <c r="M27" s="4">
        <v>400.0</v>
      </c>
      <c r="N27" s="4"/>
      <c r="O27" s="12">
        <f t="shared" si="8"/>
        <v>3018.4</v>
      </c>
      <c r="P27" s="4">
        <v>3.597287575E9</v>
      </c>
      <c r="Q27" s="7" t="s">
        <v>38</v>
      </c>
      <c r="R27" s="7">
        <v>2898.4</v>
      </c>
    </row>
    <row r="28" ht="14.25" customHeight="1">
      <c r="B28" s="4" t="s">
        <v>32</v>
      </c>
      <c r="C28" s="5" t="str">
        <f t="shared" si="5"/>
        <v>10-2023</v>
      </c>
      <c r="D28" s="8">
        <v>45203.0</v>
      </c>
      <c r="E28" s="9">
        <f>(2000/30)</f>
        <v>66.66666667</v>
      </c>
      <c r="F28" s="10">
        <f> (30-'Salários'!$N28)</f>
        <v>30</v>
      </c>
      <c r="G28" s="12">
        <f t="shared" si="7"/>
        <v>2000</v>
      </c>
      <c r="H28" s="10">
        <v>155.1</v>
      </c>
      <c r="I28" s="9">
        <v>3.0</v>
      </c>
      <c r="J28" s="10"/>
      <c r="K28" s="9"/>
      <c r="L28" s="4"/>
      <c r="M28" s="4">
        <v>150.0</v>
      </c>
      <c r="N28" s="4"/>
      <c r="O28" s="12">
        <f t="shared" si="8"/>
        <v>2315.3</v>
      </c>
      <c r="P28" s="4">
        <v>1.2931826642E10</v>
      </c>
      <c r="Q28" s="7"/>
      <c r="R28" s="7" t="s">
        <v>19</v>
      </c>
    </row>
    <row r="29" ht="14.25" customHeight="1">
      <c r="B29" s="4"/>
      <c r="C29" s="5" t="str">
        <f t="shared" si="5"/>
        <v>12-1899</v>
      </c>
      <c r="D29" s="8"/>
      <c r="E29" s="9"/>
      <c r="F29" s="10"/>
      <c r="G29" s="12">
        <f t="shared" si="7"/>
        <v>0</v>
      </c>
      <c r="H29" s="10"/>
      <c r="I29" s="9"/>
      <c r="J29" s="10"/>
      <c r="K29" s="9"/>
      <c r="L29" s="4"/>
      <c r="M29" s="4"/>
      <c r="N29" s="4"/>
      <c r="O29" s="12">
        <f t="shared" si="8"/>
        <v>0</v>
      </c>
      <c r="P29" s="7"/>
      <c r="Q29" s="7"/>
      <c r="R29" s="7"/>
    </row>
    <row r="30" ht="14.25" customHeight="1">
      <c r="B30" s="4"/>
      <c r="C30" s="5" t="str">
        <f t="shared" si="5"/>
        <v>12-1899</v>
      </c>
      <c r="D30" s="8"/>
      <c r="E30" s="9"/>
      <c r="F30" s="10"/>
      <c r="G30" s="12">
        <f t="shared" si="7"/>
        <v>0</v>
      </c>
      <c r="H30" s="10"/>
      <c r="I30" s="9"/>
      <c r="J30" s="10"/>
      <c r="K30" s="9"/>
      <c r="L30" s="4"/>
      <c r="M30" s="4"/>
      <c r="N30" s="4"/>
      <c r="O30" s="12">
        <f t="shared" si="8"/>
        <v>0</v>
      </c>
      <c r="P30" s="7"/>
      <c r="Q30" s="7"/>
      <c r="R30" s="7"/>
    </row>
    <row r="31" ht="14.25" customHeight="1">
      <c r="B31" s="4"/>
      <c r="C31" s="5" t="str">
        <f t="shared" si="5"/>
        <v>12-1899</v>
      </c>
      <c r="D31" s="8"/>
      <c r="E31" s="9"/>
      <c r="F31" s="10"/>
      <c r="G31" s="12">
        <f t="shared" si="7"/>
        <v>0</v>
      </c>
      <c r="H31" s="10"/>
      <c r="I31" s="9"/>
      <c r="J31" s="10"/>
      <c r="K31" s="9"/>
      <c r="L31" s="4"/>
      <c r="M31" s="4"/>
      <c r="N31" s="4"/>
      <c r="O31" s="12">
        <f t="shared" si="8"/>
        <v>0</v>
      </c>
      <c r="P31" s="7"/>
      <c r="Q31" s="7"/>
      <c r="R31" s="7"/>
    </row>
    <row r="32" ht="14.25" customHeight="1">
      <c r="B32" s="4" t="s">
        <v>18</v>
      </c>
      <c r="C32" s="5" t="str">
        <f t="shared" si="5"/>
        <v>11-2023</v>
      </c>
      <c r="D32" s="8">
        <v>45233.0</v>
      </c>
      <c r="E32" s="9">
        <f>(2000/30)</f>
        <v>66.66666667</v>
      </c>
      <c r="F32" s="10">
        <f> (30-'Salários'!$N32)</f>
        <v>30</v>
      </c>
      <c r="G32" s="12">
        <f t="shared" si="7"/>
        <v>2000</v>
      </c>
      <c r="H32" s="10">
        <v>186.0</v>
      </c>
      <c r="I32" s="9">
        <v>20.0</v>
      </c>
      <c r="J32" s="10">
        <v>6.0</v>
      </c>
      <c r="K32" s="9">
        <v>20.0</v>
      </c>
      <c r="L32" s="4">
        <v>5.0</v>
      </c>
      <c r="M32" s="4">
        <v>1200.0</v>
      </c>
      <c r="N32" s="4"/>
      <c r="O32" s="12">
        <f t="shared" si="8"/>
        <v>5140</v>
      </c>
      <c r="P32" s="4">
        <v>3.5991762704E10</v>
      </c>
      <c r="Q32" s="7" t="s">
        <v>39</v>
      </c>
      <c r="R32" s="7"/>
    </row>
    <row r="33" ht="14.25" customHeight="1">
      <c r="B33" s="4"/>
      <c r="C33" s="5" t="str">
        <f t="shared" si="5"/>
        <v>11-2023</v>
      </c>
      <c r="D33" s="8">
        <v>45234.0</v>
      </c>
      <c r="E33" s="9"/>
      <c r="F33" s="10">
        <f> (30-'Salários'!$N33)</f>
        <v>30</v>
      </c>
      <c r="G33" s="12"/>
      <c r="H33" s="10"/>
      <c r="I33" s="9"/>
      <c r="J33" s="10"/>
      <c r="K33" s="9"/>
      <c r="L33" s="4"/>
      <c r="M33" s="4"/>
      <c r="N33" s="4"/>
      <c r="O33" s="12">
        <f t="shared" si="8"/>
        <v>0</v>
      </c>
      <c r="P33" s="11"/>
      <c r="Q33" s="7"/>
      <c r="R33" s="7"/>
    </row>
    <row r="34" ht="14.25" customHeight="1">
      <c r="B34" s="4" t="s">
        <v>22</v>
      </c>
      <c r="C34" s="5" t="str">
        <f t="shared" si="5"/>
        <v>11-2023</v>
      </c>
      <c r="D34" s="8">
        <v>45235.0</v>
      </c>
      <c r="E34" s="9">
        <v>50.0</v>
      </c>
      <c r="F34" s="10">
        <f> (30-'Salários'!$N34)</f>
        <v>30</v>
      </c>
      <c r="G34" s="12">
        <f t="shared" ref="G34:G37" si="9">(E34*F34)</f>
        <v>1500</v>
      </c>
      <c r="H34" s="10">
        <v>157.0</v>
      </c>
      <c r="I34" s="9">
        <v>10.0</v>
      </c>
      <c r="J34" s="10">
        <v>2.4</v>
      </c>
      <c r="K34" s="9">
        <v>3.33</v>
      </c>
      <c r="L34" s="4">
        <v>1.0</v>
      </c>
      <c r="M34" s="4">
        <v>200.0</v>
      </c>
      <c r="N34" s="4"/>
      <c r="O34" s="12">
        <f t="shared" si="8"/>
        <v>2977.992</v>
      </c>
      <c r="P34" s="4">
        <v>1.5175052675E10</v>
      </c>
      <c r="Q34" s="7" t="s">
        <v>40</v>
      </c>
      <c r="R34" s="7"/>
    </row>
    <row r="35" ht="14.25" customHeight="1">
      <c r="B35" s="4" t="s">
        <v>24</v>
      </c>
      <c r="C35" s="5" t="str">
        <f t="shared" si="5"/>
        <v>11-2023</v>
      </c>
      <c r="D35" s="8">
        <v>45236.0</v>
      </c>
      <c r="E35" s="9">
        <v>120.0</v>
      </c>
      <c r="F35" s="10">
        <v>17.0</v>
      </c>
      <c r="G35" s="12">
        <f t="shared" si="9"/>
        <v>2040</v>
      </c>
      <c r="H35" s="10">
        <v>1.0</v>
      </c>
      <c r="I35" s="9">
        <v>233.7</v>
      </c>
      <c r="J35" s="10"/>
      <c r="K35" s="9"/>
      <c r="L35" s="4"/>
      <c r="M35" s="4"/>
      <c r="N35" s="4"/>
      <c r="O35" s="12">
        <f t="shared" si="8"/>
        <v>2273.7</v>
      </c>
      <c r="P35" s="4" t="s">
        <v>25</v>
      </c>
      <c r="Q35" s="7" t="s">
        <v>39</v>
      </c>
      <c r="R35" s="7"/>
    </row>
    <row r="36" ht="14.25" customHeight="1">
      <c r="B36" s="4" t="s">
        <v>26</v>
      </c>
      <c r="C36" s="5" t="str">
        <f t="shared" si="5"/>
        <v>11-2023</v>
      </c>
      <c r="D36" s="8">
        <v>45237.0</v>
      </c>
      <c r="E36" s="9">
        <v>100.0</v>
      </c>
      <c r="F36" s="10">
        <f> (30-'Salários'!$N36)</f>
        <v>30</v>
      </c>
      <c r="G36" s="12">
        <f t="shared" si="9"/>
        <v>3000</v>
      </c>
      <c r="H36" s="10">
        <v>224.3</v>
      </c>
      <c r="I36" s="9">
        <v>13.0</v>
      </c>
      <c r="J36" s="10">
        <v>15.5</v>
      </c>
      <c r="K36" s="9">
        <v>13.0</v>
      </c>
      <c r="L36" s="4">
        <v>6.0</v>
      </c>
      <c r="M36" s="4"/>
      <c r="N36" s="4"/>
      <c r="O36" s="12">
        <f t="shared" si="8"/>
        <v>6717.4</v>
      </c>
      <c r="P36" s="4">
        <v>3.5998195061E10</v>
      </c>
      <c r="Q36" s="7" t="s">
        <v>39</v>
      </c>
      <c r="R36" s="7"/>
    </row>
    <row r="37" ht="14.25" customHeight="1">
      <c r="B37" s="4" t="s">
        <v>27</v>
      </c>
      <c r="C37" s="5" t="str">
        <f t="shared" si="5"/>
        <v>11-2023</v>
      </c>
      <c r="D37" s="8">
        <v>45238.0</v>
      </c>
      <c r="E37" s="9">
        <v>200.0</v>
      </c>
      <c r="F37" s="10">
        <f> (30-'Salários'!$N37)</f>
        <v>30</v>
      </c>
      <c r="G37" s="12">
        <f t="shared" si="9"/>
        <v>6000</v>
      </c>
      <c r="H37" s="10"/>
      <c r="I37" s="9">
        <v>0.0</v>
      </c>
      <c r="J37" s="10"/>
      <c r="K37" s="9"/>
      <c r="L37" s="4"/>
      <c r="M37" s="4"/>
      <c r="N37" s="4"/>
      <c r="O37" s="12">
        <f t="shared" si="8"/>
        <v>6000</v>
      </c>
      <c r="P37" s="4" t="s">
        <v>28</v>
      </c>
      <c r="Q37" s="7"/>
      <c r="R37" s="7"/>
    </row>
    <row r="38" ht="14.25" customHeight="1">
      <c r="B38" s="4" t="s">
        <v>29</v>
      </c>
      <c r="C38" s="5" t="str">
        <f t="shared" si="5"/>
        <v>11-2023</v>
      </c>
      <c r="D38" s="8">
        <v>45239.0</v>
      </c>
      <c r="E38" s="9">
        <v>69.6667</v>
      </c>
      <c r="F38" s="10">
        <f> (30-'Salários'!$N38)</f>
        <v>30</v>
      </c>
      <c r="G38" s="12">
        <v>2300.0</v>
      </c>
      <c r="H38" s="10"/>
      <c r="I38" s="9"/>
      <c r="J38" s="10"/>
      <c r="K38" s="9"/>
      <c r="L38" s="4"/>
      <c r="M38" s="4"/>
      <c r="N38" s="4"/>
      <c r="O38" s="12">
        <f t="shared" si="8"/>
        <v>2300</v>
      </c>
      <c r="P38" s="4">
        <v>3.8974715821E10</v>
      </c>
      <c r="Q38" s="7" t="s">
        <v>39</v>
      </c>
      <c r="R38" s="7"/>
    </row>
    <row r="39" ht="14.25" customHeight="1">
      <c r="B39" s="4" t="s">
        <v>30</v>
      </c>
      <c r="C39" s="5" t="str">
        <f t="shared" si="5"/>
        <v>11-2023</v>
      </c>
      <c r="D39" s="8">
        <v>45240.0</v>
      </c>
      <c r="E39" s="9">
        <v>175.0</v>
      </c>
      <c r="F39" s="10">
        <f> (30-'Salários'!$N39)</f>
        <v>30</v>
      </c>
      <c r="G39" s="12">
        <f t="shared" ref="G39:G40" si="10">(E39*F39)</f>
        <v>5250</v>
      </c>
      <c r="H39" s="10"/>
      <c r="I39" s="9">
        <v>0.0</v>
      </c>
      <c r="J39" s="10"/>
      <c r="K39" s="9"/>
      <c r="L39" s="4"/>
      <c r="M39" s="4"/>
      <c r="N39" s="4"/>
      <c r="O39" s="12">
        <f t="shared" si="8"/>
        <v>5250</v>
      </c>
      <c r="P39" s="4"/>
      <c r="Q39" s="7"/>
      <c r="R39" s="7"/>
    </row>
    <row r="40" ht="14.25" customHeight="1">
      <c r="B40" s="4" t="s">
        <v>31</v>
      </c>
      <c r="C40" s="5" t="str">
        <f t="shared" si="5"/>
        <v>11-2023</v>
      </c>
      <c r="D40" s="8">
        <v>45241.0</v>
      </c>
      <c r="E40" s="9">
        <f t="shared" ref="E40:E41" si="11">(2000/30)</f>
        <v>66.66666667</v>
      </c>
      <c r="F40" s="10">
        <f> (30-'Salários'!$N40)</f>
        <v>30</v>
      </c>
      <c r="G40" s="12">
        <f t="shared" si="10"/>
        <v>2000</v>
      </c>
      <c r="H40" s="10">
        <v>195.0</v>
      </c>
      <c r="I40" s="9">
        <v>8.0</v>
      </c>
      <c r="J40" s="10">
        <v>3.2</v>
      </c>
      <c r="K40" s="9"/>
      <c r="L40" s="4"/>
      <c r="M40" s="4">
        <v>350.0</v>
      </c>
      <c r="N40" s="4"/>
      <c r="O40" s="12">
        <f t="shared" si="8"/>
        <v>3210</v>
      </c>
      <c r="P40" s="4">
        <v>3.597287575E9</v>
      </c>
      <c r="Q40" s="7"/>
      <c r="R40" s="7"/>
    </row>
    <row r="41" ht="14.25" customHeight="1">
      <c r="B41" s="4" t="s">
        <v>32</v>
      </c>
      <c r="C41" s="5" t="str">
        <f t="shared" si="5"/>
        <v>11-2023</v>
      </c>
      <c r="D41" s="8">
        <v>45242.0</v>
      </c>
      <c r="E41" s="9">
        <f t="shared" si="11"/>
        <v>66.66666667</v>
      </c>
      <c r="F41" s="10">
        <f> (30-'Salários'!$N41)</f>
        <v>30</v>
      </c>
      <c r="G41" s="12">
        <v>2000.0</v>
      </c>
      <c r="H41" s="10">
        <v>207.2</v>
      </c>
      <c r="I41" s="9">
        <v>3.0</v>
      </c>
      <c r="J41" s="10">
        <v>2.7</v>
      </c>
      <c r="K41" s="9"/>
      <c r="L41" s="4"/>
      <c r="M41" s="4">
        <v>380.0</v>
      </c>
      <c r="N41" s="4"/>
      <c r="O41" s="12">
        <f t="shared" si="8"/>
        <v>2241.6</v>
      </c>
      <c r="P41" s="4">
        <v>1.2931826642E10</v>
      </c>
      <c r="Q41" s="7"/>
      <c r="R41" s="7"/>
    </row>
    <row r="42" ht="14.25" customHeight="1">
      <c r="B42" s="4"/>
      <c r="C42" s="5" t="str">
        <f t="shared" si="5"/>
        <v>12-1899</v>
      </c>
      <c r="D42" s="8"/>
      <c r="E42" s="9"/>
      <c r="F42" s="10"/>
      <c r="G42" s="12">
        <f t="shared" ref="G42:G45" si="12">(E42*F42)</f>
        <v>0</v>
      </c>
      <c r="H42" s="10"/>
      <c r="I42" s="9"/>
      <c r="J42" s="10"/>
      <c r="K42" s="9"/>
      <c r="L42" s="4"/>
      <c r="M42" s="4"/>
      <c r="N42" s="4"/>
      <c r="O42" s="12">
        <f t="shared" si="8"/>
        <v>0</v>
      </c>
      <c r="P42" s="7"/>
      <c r="Q42" s="7"/>
      <c r="R42" s="7"/>
    </row>
    <row r="43" ht="14.25" customHeight="1">
      <c r="B43" s="4"/>
      <c r="C43" s="5" t="str">
        <f t="shared" si="5"/>
        <v>12-1899</v>
      </c>
      <c r="D43" s="8"/>
      <c r="E43" s="9"/>
      <c r="F43" s="10"/>
      <c r="G43" s="12">
        <f t="shared" si="12"/>
        <v>0</v>
      </c>
      <c r="H43" s="10"/>
      <c r="I43" s="9"/>
      <c r="J43" s="10"/>
      <c r="K43" s="9"/>
      <c r="L43" s="4"/>
      <c r="M43" s="4"/>
      <c r="N43" s="4"/>
      <c r="O43" s="12">
        <f t="shared" si="8"/>
        <v>0</v>
      </c>
      <c r="P43" s="7"/>
      <c r="Q43" s="7"/>
      <c r="R43" s="7"/>
    </row>
    <row r="44" ht="14.25" customHeight="1">
      <c r="B44" s="4"/>
      <c r="C44" s="5" t="str">
        <f t="shared" si="5"/>
        <v>12-1899</v>
      </c>
      <c r="D44" s="8"/>
      <c r="E44" s="9"/>
      <c r="F44" s="10"/>
      <c r="G44" s="12">
        <f t="shared" si="12"/>
        <v>0</v>
      </c>
      <c r="H44" s="10"/>
      <c r="I44" s="9"/>
      <c r="J44" s="10"/>
      <c r="K44" s="9"/>
      <c r="L44" s="4"/>
      <c r="M44" s="4"/>
      <c r="N44" s="4"/>
      <c r="O44" s="12">
        <f t="shared" si="8"/>
        <v>0</v>
      </c>
      <c r="P44" s="7"/>
      <c r="Q44" s="7"/>
      <c r="R44" s="7"/>
    </row>
    <row r="45" ht="14.25" customHeight="1">
      <c r="B45" s="4"/>
      <c r="C45" s="5" t="str">
        <f t="shared" si="5"/>
        <v>12-1899</v>
      </c>
      <c r="D45" s="8"/>
      <c r="E45" s="9"/>
      <c r="F45" s="10"/>
      <c r="G45" s="12">
        <f t="shared" si="12"/>
        <v>0</v>
      </c>
      <c r="H45" s="10"/>
      <c r="I45" s="9"/>
      <c r="J45" s="10"/>
      <c r="K45" s="9"/>
      <c r="L45" s="4"/>
      <c r="M45" s="4"/>
      <c r="N45" s="4"/>
      <c r="O45" s="12">
        <f t="shared" si="8"/>
        <v>0</v>
      </c>
      <c r="P45" s="7"/>
      <c r="Q45" s="7"/>
      <c r="R45" s="7"/>
    </row>
    <row r="46" ht="14.25" customHeight="1">
      <c r="B46" s="4" t="s">
        <v>18</v>
      </c>
      <c r="C46" s="5" t="str">
        <f t="shared" si="5"/>
        <v>12-2023</v>
      </c>
      <c r="D46" s="8">
        <v>45265.0</v>
      </c>
      <c r="E46" s="9">
        <f>(2000/30)</f>
        <v>66.66666667</v>
      </c>
      <c r="F46" s="10" t="str">
        <f> (30-'Salários'!$N46)</f>
        <v>#VALUE!</v>
      </c>
      <c r="G46" s="12">
        <v>2440.0</v>
      </c>
      <c r="H46" s="10">
        <v>202.0</v>
      </c>
      <c r="I46" s="9">
        <v>20.0</v>
      </c>
      <c r="J46" s="10">
        <v>5.0</v>
      </c>
      <c r="K46" s="9">
        <v>20.0</v>
      </c>
      <c r="L46" s="4">
        <v>2.0</v>
      </c>
      <c r="M46" s="4">
        <v>1600.0</v>
      </c>
      <c r="N46" s="4" t="s">
        <v>35</v>
      </c>
      <c r="O46" s="12">
        <f t="shared" si="8"/>
        <v>5180</v>
      </c>
      <c r="P46" s="4">
        <v>3.5991762704E10</v>
      </c>
      <c r="Q46" s="7" t="s">
        <v>41</v>
      </c>
      <c r="R46" s="7"/>
    </row>
    <row r="47" ht="14.25" customHeight="1">
      <c r="B47" s="4" t="s">
        <v>42</v>
      </c>
      <c r="C47" s="5" t="str">
        <f t="shared" si="5"/>
        <v>12-2023</v>
      </c>
      <c r="D47" s="8">
        <v>45266.0</v>
      </c>
      <c r="E47" s="9"/>
      <c r="F47" s="10"/>
      <c r="G47" s="12">
        <v>3500.0</v>
      </c>
      <c r="H47" s="10"/>
      <c r="I47" s="9"/>
      <c r="J47" s="10"/>
      <c r="K47" s="9"/>
      <c r="L47" s="4"/>
      <c r="M47" s="4" t="s">
        <v>43</v>
      </c>
      <c r="N47" s="4"/>
      <c r="O47" s="12" t="str">
        <f t="shared" si="8"/>
        <v>#VALUE!</v>
      </c>
      <c r="P47" s="11"/>
      <c r="Q47" s="7" t="s">
        <v>44</v>
      </c>
      <c r="R47" s="7"/>
    </row>
    <row r="48" ht="14.25" customHeight="1">
      <c r="B48" s="4" t="s">
        <v>22</v>
      </c>
      <c r="C48" s="5" t="str">
        <f t="shared" si="5"/>
        <v>12-2023</v>
      </c>
      <c r="D48" s="8">
        <v>45267.0</v>
      </c>
      <c r="E48" s="9">
        <v>50.0</v>
      </c>
      <c r="F48" s="10">
        <f> (30-'Salários'!$N48)</f>
        <v>30</v>
      </c>
      <c r="G48" s="12">
        <f t="shared" ref="G48:G54" si="13">(E48*F48)</f>
        <v>1500</v>
      </c>
      <c r="H48" s="10">
        <v>215.5</v>
      </c>
      <c r="I48" s="9">
        <v>15.0</v>
      </c>
      <c r="J48" s="10">
        <v>6.5</v>
      </c>
      <c r="K48" s="9">
        <v>3.33</v>
      </c>
      <c r="L48" s="4">
        <v>4.0</v>
      </c>
      <c r="M48" s="4"/>
      <c r="N48" s="4"/>
      <c r="O48" s="12">
        <f t="shared" si="8"/>
        <v>5154.145</v>
      </c>
      <c r="P48" s="4">
        <v>1.5175052675E10</v>
      </c>
      <c r="Q48" s="7" t="s">
        <v>45</v>
      </c>
      <c r="R48" s="7"/>
    </row>
    <row r="49" ht="14.25" customHeight="1">
      <c r="B49" s="4" t="s">
        <v>24</v>
      </c>
      <c r="C49" s="5" t="str">
        <f t="shared" si="5"/>
        <v>12-2023</v>
      </c>
      <c r="D49" s="8">
        <v>45268.0</v>
      </c>
      <c r="E49" s="9">
        <v>120.0</v>
      </c>
      <c r="F49" s="10">
        <v>17.0</v>
      </c>
      <c r="G49" s="12">
        <f t="shared" si="13"/>
        <v>2040</v>
      </c>
      <c r="H49" s="10"/>
      <c r="I49" s="9">
        <v>0.0</v>
      </c>
      <c r="J49" s="10">
        <v>1.0</v>
      </c>
      <c r="K49" s="9">
        <v>935.4</v>
      </c>
      <c r="L49" s="4"/>
      <c r="M49" s="4"/>
      <c r="N49" s="4"/>
      <c r="O49" s="12">
        <f t="shared" si="8"/>
        <v>2975.4</v>
      </c>
      <c r="P49" s="4" t="s">
        <v>25</v>
      </c>
      <c r="Q49" s="7"/>
      <c r="R49" s="7"/>
    </row>
    <row r="50" ht="14.25" customHeight="1">
      <c r="B50" s="4" t="s">
        <v>26</v>
      </c>
      <c r="C50" s="5" t="str">
        <f t="shared" si="5"/>
        <v>12-2023</v>
      </c>
      <c r="D50" s="8">
        <v>45269.0</v>
      </c>
      <c r="E50" s="9">
        <v>100.0</v>
      </c>
      <c r="F50" s="10">
        <f> (30-'Salários'!$N50)</f>
        <v>30</v>
      </c>
      <c r="G50" s="12">
        <f t="shared" si="13"/>
        <v>3000</v>
      </c>
      <c r="H50" s="10">
        <v>227.6</v>
      </c>
      <c r="I50" s="9">
        <v>13.0</v>
      </c>
      <c r="J50" s="10">
        <v>16.7</v>
      </c>
      <c r="K50" s="9">
        <v>13.0</v>
      </c>
      <c r="L50" s="4">
        <v>5.0</v>
      </c>
      <c r="M50" s="4"/>
      <c r="N50" s="4"/>
      <c r="O50" s="12">
        <f t="shared" si="8"/>
        <v>6675.9</v>
      </c>
      <c r="P50" s="4">
        <v>3.5998195061E10</v>
      </c>
      <c r="Q50" s="7" t="s">
        <v>46</v>
      </c>
      <c r="R50" s="7"/>
    </row>
    <row r="51" ht="14.25" customHeight="1">
      <c r="B51" s="19" t="s">
        <v>47</v>
      </c>
      <c r="C51" s="5" t="str">
        <f t="shared" si="5"/>
        <v>12-2023</v>
      </c>
      <c r="D51" s="8">
        <v>45270.0</v>
      </c>
      <c r="E51" s="9">
        <f>(2000/30)</f>
        <v>66.66666667</v>
      </c>
      <c r="F51" s="10">
        <f> (30-'Salários'!$N51)</f>
        <v>30</v>
      </c>
      <c r="G51" s="12">
        <f t="shared" si="13"/>
        <v>2000</v>
      </c>
      <c r="H51" s="10">
        <v>127.1</v>
      </c>
      <c r="I51" s="9">
        <v>10.0</v>
      </c>
      <c r="J51" s="10"/>
      <c r="K51" s="9"/>
      <c r="L51" s="4">
        <v>1.5</v>
      </c>
      <c r="M51" s="4"/>
      <c r="N51" s="4"/>
      <c r="O51" s="12">
        <f t="shared" si="8"/>
        <v>3421</v>
      </c>
      <c r="P51" s="19">
        <v>3.5997404188E10</v>
      </c>
      <c r="Q51" s="7"/>
      <c r="R51" s="7"/>
    </row>
    <row r="52" ht="14.25" customHeight="1">
      <c r="B52" s="4" t="s">
        <v>29</v>
      </c>
      <c r="C52" s="5" t="str">
        <f t="shared" si="5"/>
        <v>12-2023</v>
      </c>
      <c r="D52" s="8">
        <v>45271.0</v>
      </c>
      <c r="E52" s="9">
        <v>79.6667</v>
      </c>
      <c r="F52" s="10">
        <f> (30-'Salários'!$N52)</f>
        <v>30</v>
      </c>
      <c r="G52" s="12">
        <f t="shared" si="13"/>
        <v>2390.001</v>
      </c>
      <c r="H52" s="10">
        <v>1.0</v>
      </c>
      <c r="I52" s="9">
        <v>170.0</v>
      </c>
      <c r="J52" s="10" t="s">
        <v>48</v>
      </c>
      <c r="K52" s="9"/>
      <c r="L52" s="4"/>
      <c r="M52" s="4"/>
      <c r="N52" s="4"/>
      <c r="O52" s="12" t="str">
        <f t="shared" si="8"/>
        <v>#VALUE!</v>
      </c>
      <c r="P52" s="4">
        <v>3.8974715821E10</v>
      </c>
      <c r="Q52" s="7"/>
      <c r="R52" s="7"/>
    </row>
    <row r="53" ht="14.25" customHeight="1">
      <c r="B53" s="4" t="s">
        <v>30</v>
      </c>
      <c r="C53" s="5" t="str">
        <f t="shared" si="5"/>
        <v>12-2023</v>
      </c>
      <c r="D53" s="8">
        <v>45272.0</v>
      </c>
      <c r="E53" s="9">
        <v>175.0</v>
      </c>
      <c r="F53" s="10">
        <f> (30-'Salários'!$N53)</f>
        <v>30</v>
      </c>
      <c r="G53" s="12">
        <f t="shared" si="13"/>
        <v>5250</v>
      </c>
      <c r="H53" s="10"/>
      <c r="I53" s="9">
        <v>0.0</v>
      </c>
      <c r="J53" s="10"/>
      <c r="K53" s="9"/>
      <c r="L53" s="4"/>
      <c r="M53" s="4"/>
      <c r="N53" s="4"/>
      <c r="O53" s="12">
        <f t="shared" si="8"/>
        <v>5250</v>
      </c>
      <c r="P53" s="4"/>
      <c r="Q53" s="7"/>
      <c r="R53" s="7"/>
    </row>
    <row r="54" ht="14.25" customHeight="1">
      <c r="B54" s="4" t="s">
        <v>31</v>
      </c>
      <c r="C54" s="5" t="str">
        <f t="shared" si="5"/>
        <v>12-2023</v>
      </c>
      <c r="D54" s="8">
        <v>45273.0</v>
      </c>
      <c r="E54" s="9">
        <f t="shared" ref="E54:E55" si="14">(2000/30)</f>
        <v>66.66666667</v>
      </c>
      <c r="F54" s="10">
        <f> (30-'Salários'!$N54)</f>
        <v>30</v>
      </c>
      <c r="G54" s="12">
        <f t="shared" si="13"/>
        <v>2000</v>
      </c>
      <c r="H54" s="10">
        <v>144.6</v>
      </c>
      <c r="I54" s="9">
        <v>8.0</v>
      </c>
      <c r="J54" s="10"/>
      <c r="K54" s="9"/>
      <c r="L54" s="4">
        <v>2.0</v>
      </c>
      <c r="M54" s="4">
        <v>300.0</v>
      </c>
      <c r="N54" s="4"/>
      <c r="O54" s="12">
        <f t="shared" si="8"/>
        <v>3056.8</v>
      </c>
      <c r="P54" s="4">
        <v>3.597287575E9</v>
      </c>
      <c r="Q54" s="7" t="s">
        <v>49</v>
      </c>
      <c r="R54" s="7"/>
    </row>
    <row r="55" ht="14.25" customHeight="1">
      <c r="B55" s="4" t="s">
        <v>32</v>
      </c>
      <c r="C55" s="5" t="str">
        <f t="shared" si="5"/>
        <v>12-2023</v>
      </c>
      <c r="D55" s="8">
        <v>45274.0</v>
      </c>
      <c r="E55" s="9">
        <f t="shared" si="14"/>
        <v>66.66666667</v>
      </c>
      <c r="F55" s="10">
        <f> (30-'Salários'!$N55)</f>
        <v>30</v>
      </c>
      <c r="G55" s="12">
        <v>2000.0</v>
      </c>
      <c r="H55" s="10">
        <v>143.6</v>
      </c>
      <c r="I55" s="9">
        <v>3.0</v>
      </c>
      <c r="J55" s="10"/>
      <c r="K55" s="9"/>
      <c r="L55" s="4">
        <v>2.0</v>
      </c>
      <c r="M55" s="4">
        <v>520.0</v>
      </c>
      <c r="N55" s="4"/>
      <c r="O55" s="12">
        <f t="shared" si="8"/>
        <v>2110.8</v>
      </c>
      <c r="P55" s="4">
        <v>1.2931826642E10</v>
      </c>
      <c r="Q55" s="7" t="s">
        <v>50</v>
      </c>
      <c r="R55" s="7"/>
    </row>
    <row r="56" ht="14.25" customHeight="1">
      <c r="B56" s="4"/>
      <c r="C56" s="5" t="str">
        <f t="shared" si="5"/>
        <v>12-1899</v>
      </c>
      <c r="D56" s="8"/>
      <c r="E56" s="9"/>
      <c r="F56" s="10"/>
      <c r="G56" s="12"/>
      <c r="H56" s="10"/>
      <c r="I56" s="9"/>
      <c r="J56" s="10"/>
      <c r="K56" s="9"/>
      <c r="L56" s="4"/>
      <c r="M56" s="4"/>
      <c r="N56" s="4"/>
      <c r="O56" s="12">
        <f t="shared" si="8"/>
        <v>0</v>
      </c>
      <c r="P56" s="7"/>
      <c r="Q56" s="7"/>
      <c r="R56" s="7"/>
    </row>
    <row r="57" ht="14.25" customHeight="1">
      <c r="B57" s="4"/>
      <c r="C57" s="5" t="str">
        <f t="shared" si="5"/>
        <v>12-1899</v>
      </c>
      <c r="D57" s="8"/>
      <c r="E57" s="9"/>
      <c r="F57" s="10"/>
      <c r="G57" s="12">
        <f t="shared" ref="G57:G60" si="15">(E57*F57)</f>
        <v>0</v>
      </c>
      <c r="H57" s="10"/>
      <c r="I57" s="9"/>
      <c r="J57" s="10"/>
      <c r="K57" s="9"/>
      <c r="L57" s="4"/>
      <c r="M57" s="4"/>
      <c r="N57" s="4"/>
      <c r="O57" s="12">
        <v>0.0</v>
      </c>
      <c r="P57" s="7"/>
      <c r="Q57" s="7"/>
      <c r="R57" s="7"/>
    </row>
    <row r="58" ht="14.25" customHeight="1">
      <c r="B58" s="4"/>
      <c r="C58" s="5" t="str">
        <f t="shared" si="5"/>
        <v>12-1899</v>
      </c>
      <c r="D58" s="8"/>
      <c r="E58" s="9"/>
      <c r="F58" s="10"/>
      <c r="G58" s="12">
        <f t="shared" si="15"/>
        <v>0</v>
      </c>
      <c r="H58" s="10"/>
      <c r="I58" s="9"/>
      <c r="J58" s="10"/>
      <c r="K58" s="9"/>
      <c r="L58" s="4"/>
      <c r="M58" s="4"/>
      <c r="N58" s="4"/>
      <c r="O58" s="12">
        <f t="shared" ref="O58:O74" si="16">(G58)+(H58*I58)+(J58*K58)+(L58*100)-(M58)</f>
        <v>0</v>
      </c>
      <c r="P58" s="7"/>
      <c r="Q58" s="7"/>
      <c r="R58" s="7"/>
    </row>
    <row r="59" ht="14.25" customHeight="1">
      <c r="B59" s="4"/>
      <c r="C59" s="5" t="str">
        <f t="shared" si="5"/>
        <v>12-1899</v>
      </c>
      <c r="D59" s="8"/>
      <c r="E59" s="9"/>
      <c r="F59" s="10"/>
      <c r="G59" s="12">
        <f t="shared" si="15"/>
        <v>0</v>
      </c>
      <c r="H59" s="10"/>
      <c r="I59" s="9"/>
      <c r="J59" s="10"/>
      <c r="K59" s="9"/>
      <c r="L59" s="4"/>
      <c r="M59" s="4"/>
      <c r="N59" s="4"/>
      <c r="O59" s="12">
        <f t="shared" si="16"/>
        <v>0</v>
      </c>
      <c r="P59" s="7"/>
      <c r="Q59" s="7"/>
      <c r="R59" s="7"/>
    </row>
    <row r="60" ht="14.25" customHeight="1">
      <c r="B60" s="4" t="s">
        <v>18</v>
      </c>
      <c r="C60" s="5" t="str">
        <f t="shared" si="5"/>
        <v>1-2024</v>
      </c>
      <c r="D60" s="8">
        <v>45293.0</v>
      </c>
      <c r="E60" s="9">
        <v>81.33333</v>
      </c>
      <c r="F60" s="10">
        <f> (30-'Salários'!$N60)</f>
        <v>30</v>
      </c>
      <c r="G60" s="12">
        <f t="shared" si="15"/>
        <v>2439.9999</v>
      </c>
      <c r="H60" s="10">
        <v>182.0</v>
      </c>
      <c r="I60" s="9">
        <v>20.0</v>
      </c>
      <c r="J60" s="10">
        <v>2.0</v>
      </c>
      <c r="K60" s="9">
        <v>20.0</v>
      </c>
      <c r="L60" s="4"/>
      <c r="M60" s="4">
        <v>1200.0</v>
      </c>
      <c r="N60" s="4"/>
      <c r="O60" s="12">
        <f t="shared" si="16"/>
        <v>4919.9999</v>
      </c>
      <c r="P60" s="4">
        <v>3.5991762704E10</v>
      </c>
      <c r="Q60" s="7"/>
      <c r="R60" s="7"/>
    </row>
    <row r="61" ht="14.25" customHeight="1">
      <c r="B61" s="4" t="s">
        <v>42</v>
      </c>
      <c r="C61" s="5" t="str">
        <f t="shared" si="5"/>
        <v>1-2024</v>
      </c>
      <c r="D61" s="8">
        <v>45293.0</v>
      </c>
      <c r="E61" s="9"/>
      <c r="F61" s="10">
        <f> (30-'Salários'!$N61)</f>
        <v>30</v>
      </c>
      <c r="G61" s="12">
        <v>3500.0</v>
      </c>
      <c r="H61" s="10"/>
      <c r="I61" s="9"/>
      <c r="J61" s="10"/>
      <c r="K61" s="9"/>
      <c r="L61" s="4"/>
      <c r="M61" s="4">
        <v>1000.0</v>
      </c>
      <c r="N61" s="4"/>
      <c r="O61" s="12">
        <f t="shared" si="16"/>
        <v>2500</v>
      </c>
      <c r="P61" s="11"/>
      <c r="Q61" s="7"/>
      <c r="R61" s="7"/>
    </row>
    <row r="62" ht="14.25" customHeight="1">
      <c r="B62" s="4" t="s">
        <v>22</v>
      </c>
      <c r="C62" s="5" t="str">
        <f t="shared" si="5"/>
        <v>1-2024</v>
      </c>
      <c r="D62" s="8">
        <v>45293.0</v>
      </c>
      <c r="E62" s="9">
        <v>50.0</v>
      </c>
      <c r="F62" s="10">
        <f> (30-'Salários'!$N62)</f>
        <v>30</v>
      </c>
      <c r="G62" s="12">
        <f t="shared" ref="G62:G64" si="17">(E62*F62)</f>
        <v>1500</v>
      </c>
      <c r="H62" s="10">
        <v>203.7</v>
      </c>
      <c r="I62" s="9">
        <v>10.0</v>
      </c>
      <c r="J62" s="10">
        <v>4.3</v>
      </c>
      <c r="K62" s="9">
        <v>3.33</v>
      </c>
      <c r="L62" s="4"/>
      <c r="M62" s="4"/>
      <c r="N62" s="4"/>
      <c r="O62" s="12">
        <f t="shared" si="16"/>
        <v>3551.319</v>
      </c>
      <c r="P62" s="4">
        <v>1.5175052675E10</v>
      </c>
      <c r="Q62" s="7"/>
      <c r="R62" s="7"/>
    </row>
    <row r="63" ht="14.25" customHeight="1">
      <c r="B63" s="4" t="s">
        <v>24</v>
      </c>
      <c r="C63" s="5" t="str">
        <f t="shared" si="5"/>
        <v>1-2024</v>
      </c>
      <c r="D63" s="8">
        <v>45293.0</v>
      </c>
      <c r="E63" s="9">
        <v>120.0</v>
      </c>
      <c r="F63" s="10">
        <v>17.0</v>
      </c>
      <c r="G63" s="12">
        <f t="shared" si="17"/>
        <v>2040</v>
      </c>
      <c r="H63" s="10"/>
      <c r="I63" s="9">
        <v>0.0</v>
      </c>
      <c r="J63" s="10"/>
      <c r="K63" s="9"/>
      <c r="L63" s="4"/>
      <c r="M63" s="4"/>
      <c r="N63" s="4"/>
      <c r="O63" s="12">
        <f t="shared" si="16"/>
        <v>2040</v>
      </c>
      <c r="P63" s="4" t="s">
        <v>25</v>
      </c>
      <c r="Q63" s="7"/>
      <c r="R63" s="7"/>
    </row>
    <row r="64" ht="14.25" customHeight="1">
      <c r="B64" s="4" t="s">
        <v>26</v>
      </c>
      <c r="C64" s="5" t="str">
        <f t="shared" si="5"/>
        <v>1-2024</v>
      </c>
      <c r="D64" s="8">
        <v>45293.0</v>
      </c>
      <c r="E64" s="9">
        <v>100.0</v>
      </c>
      <c r="F64" s="10">
        <f> (30-'Salários'!$N64)</f>
        <v>30</v>
      </c>
      <c r="G64" s="12">
        <f t="shared" si="17"/>
        <v>3000</v>
      </c>
      <c r="H64" s="10">
        <v>198.1</v>
      </c>
      <c r="I64" s="9">
        <v>13.0</v>
      </c>
      <c r="J64" s="10">
        <v>25.0</v>
      </c>
      <c r="K64" s="9">
        <v>13.0</v>
      </c>
      <c r="L64" s="4">
        <v>4.0</v>
      </c>
      <c r="M64" s="4"/>
      <c r="N64" s="4"/>
      <c r="O64" s="12">
        <f t="shared" si="16"/>
        <v>6300.3</v>
      </c>
      <c r="P64" s="4">
        <v>3.5998195061E10</v>
      </c>
      <c r="Q64" s="7"/>
      <c r="R64" s="7"/>
    </row>
    <row r="65" ht="14.25" customHeight="1">
      <c r="B65" s="19" t="s">
        <v>51</v>
      </c>
      <c r="C65" s="5" t="str">
        <f t="shared" si="5"/>
        <v>1-2024</v>
      </c>
      <c r="D65" s="8">
        <v>45293.0</v>
      </c>
      <c r="E65" s="9">
        <f>G65/F65</f>
        <v>66.66666667</v>
      </c>
      <c r="F65" s="10">
        <f> (30-'Salários'!$N65)</f>
        <v>30</v>
      </c>
      <c r="G65" s="12">
        <v>2000.0</v>
      </c>
      <c r="H65" s="10">
        <v>148.1</v>
      </c>
      <c r="I65" s="9">
        <v>10.0</v>
      </c>
      <c r="J65" s="10"/>
      <c r="K65" s="9"/>
      <c r="L65" s="4">
        <v>1.0</v>
      </c>
      <c r="M65" s="4">
        <v>150.0</v>
      </c>
      <c r="N65" s="4"/>
      <c r="O65" s="12">
        <f t="shared" si="16"/>
        <v>3431</v>
      </c>
      <c r="P65" s="19">
        <v>3.5997404188E10</v>
      </c>
      <c r="Q65" s="7"/>
      <c r="R65" s="7"/>
    </row>
    <row r="66" ht="14.25" customHeight="1">
      <c r="B66" s="4" t="s">
        <v>29</v>
      </c>
      <c r="C66" s="5" t="str">
        <f t="shared" si="5"/>
        <v>1-2024</v>
      </c>
      <c r="D66" s="8">
        <v>45293.0</v>
      </c>
      <c r="E66" s="9">
        <v>69.6667</v>
      </c>
      <c r="F66" s="10">
        <f> (30-'Salários'!$N66)</f>
        <v>30</v>
      </c>
      <c r="G66" s="12">
        <v>2390.0</v>
      </c>
      <c r="H66" s="10">
        <v>1.0</v>
      </c>
      <c r="I66" s="9">
        <v>435.21</v>
      </c>
      <c r="J66" s="10"/>
      <c r="K66" s="9"/>
      <c r="L66" s="4"/>
      <c r="M66" s="4"/>
      <c r="N66" s="4"/>
      <c r="O66" s="12">
        <f t="shared" si="16"/>
        <v>2825.21</v>
      </c>
      <c r="P66" s="4">
        <v>3.8974715821E10</v>
      </c>
      <c r="Q66" s="7"/>
      <c r="R66" s="7"/>
    </row>
    <row r="67" ht="14.25" customHeight="1">
      <c r="B67" s="4" t="s">
        <v>30</v>
      </c>
      <c r="C67" s="5" t="str">
        <f t="shared" si="5"/>
        <v>1-2024</v>
      </c>
      <c r="D67" s="8">
        <v>45293.0</v>
      </c>
      <c r="E67" s="9">
        <v>175.0</v>
      </c>
      <c r="F67" s="10">
        <f> (30-'Salários'!$N67)</f>
        <v>30</v>
      </c>
      <c r="G67" s="12">
        <f t="shared" ref="G67:G69" si="18">(E67*F67)</f>
        <v>5250</v>
      </c>
      <c r="H67" s="10"/>
      <c r="I67" s="9">
        <v>0.0</v>
      </c>
      <c r="J67" s="10"/>
      <c r="K67" s="9"/>
      <c r="L67" s="4"/>
      <c r="M67" s="4"/>
      <c r="N67" s="4"/>
      <c r="O67" s="12">
        <f t="shared" si="16"/>
        <v>5250</v>
      </c>
      <c r="P67" s="4"/>
      <c r="Q67" s="7"/>
      <c r="R67" s="7"/>
    </row>
    <row r="68" ht="14.25" customHeight="1">
      <c r="B68" s="4" t="s">
        <v>31</v>
      </c>
      <c r="C68" s="5" t="str">
        <f t="shared" si="5"/>
        <v>1-2024</v>
      </c>
      <c r="D68" s="8">
        <v>45293.0</v>
      </c>
      <c r="E68" s="9">
        <f t="shared" ref="E68:E69" si="19">(2000/30)</f>
        <v>66.66666667</v>
      </c>
      <c r="F68" s="10">
        <f> (30-'Salários'!$N68)</f>
        <v>30</v>
      </c>
      <c r="G68" s="12">
        <f t="shared" si="18"/>
        <v>2000</v>
      </c>
      <c r="H68" s="10">
        <v>100.5</v>
      </c>
      <c r="I68" s="9">
        <v>8.0</v>
      </c>
      <c r="J68" s="10"/>
      <c r="K68" s="9"/>
      <c r="L68" s="4">
        <v>1.0</v>
      </c>
      <c r="M68" s="4">
        <v>1000.0</v>
      </c>
      <c r="N68" s="4"/>
      <c r="O68" s="12">
        <f t="shared" si="16"/>
        <v>1904</v>
      </c>
      <c r="P68" s="4">
        <v>3.597287575E9</v>
      </c>
      <c r="Q68" s="7"/>
      <c r="R68" s="7"/>
    </row>
    <row r="69" ht="14.25" customHeight="1">
      <c r="B69" s="4" t="s">
        <v>32</v>
      </c>
      <c r="C69" s="5" t="str">
        <f t="shared" si="5"/>
        <v>1-2024</v>
      </c>
      <c r="D69" s="8">
        <v>45293.0</v>
      </c>
      <c r="E69" s="9">
        <f t="shared" si="19"/>
        <v>66.66666667</v>
      </c>
      <c r="F69" s="10">
        <f> (30-'Salários'!$N69)</f>
        <v>30</v>
      </c>
      <c r="G69" s="12">
        <f t="shared" si="18"/>
        <v>2000</v>
      </c>
      <c r="H69" s="10">
        <v>170.3</v>
      </c>
      <c r="I69" s="9">
        <v>3.0</v>
      </c>
      <c r="J69" s="10"/>
      <c r="K69" s="9"/>
      <c r="L69" s="4"/>
      <c r="M69" s="4">
        <v>350.0</v>
      </c>
      <c r="N69" s="4"/>
      <c r="O69" s="12">
        <f t="shared" si="16"/>
        <v>2160.9</v>
      </c>
      <c r="P69" s="4">
        <v>1.2931826642E10</v>
      </c>
      <c r="Q69" s="7"/>
      <c r="R69" s="7"/>
    </row>
    <row r="70" ht="14.25" customHeight="1">
      <c r="B70" s="4"/>
      <c r="C70" s="5" t="str">
        <f t="shared" si="5"/>
        <v>12-1899</v>
      </c>
      <c r="D70" s="8"/>
      <c r="E70" s="9"/>
      <c r="F70" s="10"/>
      <c r="G70" s="12">
        <v>2000.0</v>
      </c>
      <c r="H70" s="10"/>
      <c r="I70" s="9">
        <v>15.0</v>
      </c>
      <c r="J70" s="10"/>
      <c r="K70" s="9"/>
      <c r="L70" s="4"/>
      <c r="M70" s="4"/>
      <c r="N70" s="4"/>
      <c r="O70" s="12">
        <f t="shared" si="16"/>
        <v>2000</v>
      </c>
      <c r="P70" s="7"/>
      <c r="Q70" s="7"/>
      <c r="R70" s="7"/>
    </row>
    <row r="71" ht="14.25" customHeight="1">
      <c r="B71" s="4"/>
      <c r="C71" s="5" t="str">
        <f t="shared" si="5"/>
        <v>12-1899</v>
      </c>
      <c r="D71" s="8"/>
      <c r="E71" s="9"/>
      <c r="F71" s="10"/>
      <c r="G71" s="12">
        <f t="shared" ref="G71:G73" si="20">(E71*F71)</f>
        <v>0</v>
      </c>
      <c r="H71" s="10"/>
      <c r="I71" s="9"/>
      <c r="J71" s="10"/>
      <c r="K71" s="9"/>
      <c r="L71" s="4"/>
      <c r="M71" s="4"/>
      <c r="N71" s="4"/>
      <c r="O71" s="12">
        <f t="shared" si="16"/>
        <v>0</v>
      </c>
      <c r="P71" s="7"/>
      <c r="Q71" s="7"/>
      <c r="R71" s="7"/>
    </row>
    <row r="72" ht="14.25" customHeight="1">
      <c r="B72" s="4"/>
      <c r="C72" s="5" t="str">
        <f t="shared" si="5"/>
        <v>12-1899</v>
      </c>
      <c r="D72" s="8"/>
      <c r="E72" s="9"/>
      <c r="F72" s="10"/>
      <c r="G72" s="12">
        <f t="shared" si="20"/>
        <v>0</v>
      </c>
      <c r="H72" s="10"/>
      <c r="I72" s="9"/>
      <c r="J72" s="10"/>
      <c r="K72" s="9"/>
      <c r="L72" s="4"/>
      <c r="M72" s="4"/>
      <c r="N72" s="4"/>
      <c r="O72" s="12">
        <f t="shared" si="16"/>
        <v>0</v>
      </c>
      <c r="P72" s="7"/>
      <c r="Q72" s="7"/>
      <c r="R72" s="7"/>
    </row>
    <row r="73" ht="14.25" customHeight="1">
      <c r="B73" s="4"/>
      <c r="C73" s="5" t="str">
        <f t="shared" si="5"/>
        <v>12-1899</v>
      </c>
      <c r="D73" s="8"/>
      <c r="E73" s="9"/>
      <c r="F73" s="10"/>
      <c r="G73" s="12">
        <f t="shared" si="20"/>
        <v>0</v>
      </c>
      <c r="H73" s="10"/>
      <c r="I73" s="9"/>
      <c r="J73" s="10"/>
      <c r="K73" s="9"/>
      <c r="L73" s="4"/>
      <c r="M73" s="4"/>
      <c r="N73" s="4"/>
      <c r="O73" s="12">
        <f t="shared" si="16"/>
        <v>0</v>
      </c>
      <c r="P73" s="7"/>
      <c r="Q73" s="7"/>
      <c r="R73" s="7"/>
    </row>
    <row r="74" ht="14.25" customHeight="1">
      <c r="B74" s="4" t="s">
        <v>18</v>
      </c>
      <c r="C74" s="5" t="str">
        <f t="shared" si="5"/>
        <v>2-2024</v>
      </c>
      <c r="D74" s="20">
        <v>45323.0</v>
      </c>
      <c r="E74" s="9">
        <f t="shared" ref="E74:E75" si="21">(2000/30)</f>
        <v>66.66666667</v>
      </c>
      <c r="F74" s="10">
        <f> (30-'Salários'!$N74)</f>
        <v>30</v>
      </c>
      <c r="G74" s="21">
        <v>2440.0</v>
      </c>
      <c r="H74" s="22">
        <v>160.0</v>
      </c>
      <c r="I74" s="9">
        <v>20.0</v>
      </c>
      <c r="J74" s="22">
        <v>4.0</v>
      </c>
      <c r="K74" s="23">
        <v>20.0</v>
      </c>
      <c r="L74" s="19">
        <v>5.0</v>
      </c>
      <c r="M74" s="19">
        <v>1300.0</v>
      </c>
      <c r="N74" s="4"/>
      <c r="O74" s="24">
        <f t="shared" si="16"/>
        <v>4920</v>
      </c>
      <c r="P74" s="4">
        <v>3.5991762704E10</v>
      </c>
      <c r="Q74" s="7"/>
      <c r="R74" s="7"/>
    </row>
    <row r="75" ht="14.25" customHeight="1">
      <c r="B75" s="4" t="s">
        <v>52</v>
      </c>
      <c r="C75" s="5" t="str">
        <f t="shared" si="5"/>
        <v>2-2024</v>
      </c>
      <c r="D75" s="20">
        <v>45323.0</v>
      </c>
      <c r="E75" s="9">
        <f t="shared" si="21"/>
        <v>66.66666667</v>
      </c>
      <c r="F75" s="10">
        <f> (30-'Salários'!$N75)</f>
        <v>30</v>
      </c>
      <c r="G75" s="21">
        <v>3500.0</v>
      </c>
      <c r="H75" s="10"/>
      <c r="I75" s="9"/>
      <c r="J75" s="10"/>
      <c r="K75" s="23"/>
      <c r="L75" s="4"/>
      <c r="M75" s="25">
        <v>4090.0</v>
      </c>
      <c r="N75" s="4"/>
      <c r="O75" s="26">
        <v>2500.0</v>
      </c>
      <c r="P75" s="27"/>
      <c r="Q75" s="7"/>
      <c r="R75" s="7"/>
    </row>
    <row r="76" ht="14.25" customHeight="1">
      <c r="B76" s="4" t="s">
        <v>22</v>
      </c>
      <c r="C76" s="5" t="str">
        <f t="shared" si="5"/>
        <v>2-2024</v>
      </c>
      <c r="D76" s="20">
        <v>45323.0</v>
      </c>
      <c r="E76" s="9">
        <v>50.0</v>
      </c>
      <c r="F76" s="22">
        <v>23.0</v>
      </c>
      <c r="G76" s="12">
        <f t="shared" ref="G76:G78" si="22">(E76*F76)</f>
        <v>1150</v>
      </c>
      <c r="H76" s="22">
        <v>67.0</v>
      </c>
      <c r="I76" s="9">
        <v>10.0</v>
      </c>
      <c r="J76" s="10"/>
      <c r="K76" s="9"/>
      <c r="L76" s="4"/>
      <c r="M76" s="4"/>
      <c r="N76" s="4"/>
      <c r="O76" s="24">
        <f t="shared" ref="O76:O88" si="23">(G76)+(H76*I76)+(J76*K76)+(L76*100)-(M76)</f>
        <v>1820</v>
      </c>
      <c r="P76" s="4">
        <v>1.5175052675E10</v>
      </c>
      <c r="Q76" s="7"/>
      <c r="R76" s="7"/>
    </row>
    <row r="77" ht="14.25" customHeight="1">
      <c r="B77" s="4" t="s">
        <v>24</v>
      </c>
      <c r="C77" s="5" t="str">
        <f t="shared" si="5"/>
        <v>2-2024</v>
      </c>
      <c r="D77" s="20">
        <v>45323.0</v>
      </c>
      <c r="E77" s="9">
        <v>120.0</v>
      </c>
      <c r="F77" s="22">
        <v>15.0</v>
      </c>
      <c r="G77" s="12">
        <f t="shared" si="22"/>
        <v>1800</v>
      </c>
      <c r="H77" s="10"/>
      <c r="I77" s="9">
        <v>0.0</v>
      </c>
      <c r="J77" s="10"/>
      <c r="K77" s="9"/>
      <c r="L77" s="4"/>
      <c r="M77" s="4"/>
      <c r="N77" s="4"/>
      <c r="O77" s="24">
        <f t="shared" si="23"/>
        <v>1800</v>
      </c>
      <c r="P77" s="4" t="s">
        <v>25</v>
      </c>
      <c r="Q77" s="7"/>
      <c r="R77" s="7"/>
    </row>
    <row r="78" ht="14.25" customHeight="1">
      <c r="B78" s="4" t="s">
        <v>26</v>
      </c>
      <c r="C78" s="5" t="str">
        <f t="shared" si="5"/>
        <v>2-2024</v>
      </c>
      <c r="D78" s="20">
        <v>45323.0</v>
      </c>
      <c r="E78" s="9">
        <v>100.0</v>
      </c>
      <c r="F78" s="10">
        <f> (30-'Salários'!$N78)</f>
        <v>30</v>
      </c>
      <c r="G78" s="12">
        <f t="shared" si="22"/>
        <v>3000</v>
      </c>
      <c r="H78" s="22">
        <v>224.7</v>
      </c>
      <c r="I78" s="23">
        <v>13.0</v>
      </c>
      <c r="J78" s="22">
        <v>11.9</v>
      </c>
      <c r="K78" s="23">
        <v>13.0</v>
      </c>
      <c r="L78" s="19">
        <v>5.0</v>
      </c>
      <c r="M78" s="4"/>
      <c r="N78" s="4"/>
      <c r="O78" s="24">
        <f t="shared" si="23"/>
        <v>6575.8</v>
      </c>
      <c r="P78" s="4">
        <v>3.5998195061E10</v>
      </c>
      <c r="Q78" s="7"/>
      <c r="R78" s="7"/>
    </row>
    <row r="79" ht="14.25" customHeight="1">
      <c r="B79" s="19" t="s">
        <v>53</v>
      </c>
      <c r="C79" s="5" t="str">
        <f t="shared" si="5"/>
        <v>2-2024</v>
      </c>
      <c r="D79" s="20">
        <v>45323.0</v>
      </c>
      <c r="E79" s="23">
        <v>116.66</v>
      </c>
      <c r="F79" s="22">
        <v>14.0</v>
      </c>
      <c r="G79" s="21">
        <f>F79*E79</f>
        <v>1633.24</v>
      </c>
      <c r="H79" s="10"/>
      <c r="I79" s="9">
        <v>0.0</v>
      </c>
      <c r="J79" s="10"/>
      <c r="K79" s="9"/>
      <c r="L79" s="4"/>
      <c r="M79" s="19">
        <v>1000.0</v>
      </c>
      <c r="N79" s="4"/>
      <c r="O79" s="24">
        <f t="shared" si="23"/>
        <v>633.24</v>
      </c>
      <c r="P79" s="19">
        <v>4.484788624E9</v>
      </c>
      <c r="Q79" s="7"/>
      <c r="R79" s="7"/>
    </row>
    <row r="80" ht="14.25" customHeight="1">
      <c r="B80" s="4" t="s">
        <v>29</v>
      </c>
      <c r="C80" s="5" t="str">
        <f t="shared" si="5"/>
        <v>2-2024</v>
      </c>
      <c r="D80" s="20">
        <v>45323.0</v>
      </c>
      <c r="E80" s="9">
        <v>69.6667</v>
      </c>
      <c r="F80" s="10">
        <f> (30-'Salários'!$N80)</f>
        <v>30</v>
      </c>
      <c r="G80" s="21">
        <v>2390.0</v>
      </c>
      <c r="H80" s="10"/>
      <c r="I80" s="9">
        <v>0.0</v>
      </c>
      <c r="J80" s="22">
        <v>1.0</v>
      </c>
      <c r="K80" s="23">
        <v>44.6</v>
      </c>
      <c r="L80" s="4"/>
      <c r="M80" s="4"/>
      <c r="N80" s="4"/>
      <c r="O80" s="24">
        <f t="shared" si="23"/>
        <v>2434.6</v>
      </c>
      <c r="P80" s="4">
        <v>3.8974715821E10</v>
      </c>
      <c r="Q80" s="7"/>
      <c r="R80" s="7"/>
    </row>
    <row r="81" ht="14.25" customHeight="1">
      <c r="B81" s="4" t="s">
        <v>30</v>
      </c>
      <c r="C81" s="5" t="str">
        <f t="shared" si="5"/>
        <v>2-2024</v>
      </c>
      <c r="D81" s="20">
        <v>45323.0</v>
      </c>
      <c r="E81" s="9">
        <v>175.0</v>
      </c>
      <c r="F81" s="10">
        <f> (30-'Salários'!$N81)</f>
        <v>30</v>
      </c>
      <c r="G81" s="12">
        <f t="shared" ref="G81:G83" si="24">(E81*F81)</f>
        <v>5250</v>
      </c>
      <c r="H81" s="10"/>
      <c r="I81" s="9">
        <v>0.0</v>
      </c>
      <c r="J81" s="10"/>
      <c r="K81" s="9"/>
      <c r="L81" s="4"/>
      <c r="M81" s="4"/>
      <c r="N81" s="4"/>
      <c r="O81" s="24">
        <f t="shared" si="23"/>
        <v>5250</v>
      </c>
      <c r="P81" s="4"/>
      <c r="Q81" s="7"/>
      <c r="R81" s="7"/>
    </row>
    <row r="82" ht="14.25" customHeight="1">
      <c r="B82" s="4" t="s">
        <v>31</v>
      </c>
      <c r="C82" s="5" t="str">
        <f t="shared" si="5"/>
        <v>2-2024</v>
      </c>
      <c r="D82" s="20">
        <v>45323.0</v>
      </c>
      <c r="E82" s="9">
        <f t="shared" ref="E82:E84" si="25">(2000/30)</f>
        <v>66.66666667</v>
      </c>
      <c r="F82" s="10">
        <f> (30-'Salários'!$N82)</f>
        <v>30</v>
      </c>
      <c r="G82" s="12">
        <f t="shared" si="24"/>
        <v>2000</v>
      </c>
      <c r="H82" s="22">
        <v>100.4</v>
      </c>
      <c r="I82" s="9">
        <v>8.0</v>
      </c>
      <c r="J82" s="10"/>
      <c r="K82" s="9"/>
      <c r="L82" s="4"/>
      <c r="M82" s="4"/>
      <c r="N82" s="4"/>
      <c r="O82" s="24">
        <f t="shared" si="23"/>
        <v>2803.2</v>
      </c>
      <c r="P82" s="4">
        <v>3.597287575E9</v>
      </c>
      <c r="Q82" s="7"/>
      <c r="R82" s="7"/>
    </row>
    <row r="83" ht="14.25" customHeight="1">
      <c r="B83" s="4" t="s">
        <v>32</v>
      </c>
      <c r="C83" s="5" t="str">
        <f t="shared" si="5"/>
        <v>2-2024</v>
      </c>
      <c r="D83" s="20">
        <v>45323.0</v>
      </c>
      <c r="E83" s="9">
        <f t="shared" si="25"/>
        <v>66.66666667</v>
      </c>
      <c r="F83" s="10">
        <f> (30-'Salários'!$N83)</f>
        <v>30</v>
      </c>
      <c r="G83" s="12">
        <f t="shared" si="24"/>
        <v>2000</v>
      </c>
      <c r="H83" s="22">
        <v>164.4</v>
      </c>
      <c r="I83" s="9">
        <v>3.0</v>
      </c>
      <c r="J83" s="10"/>
      <c r="K83" s="9"/>
      <c r="L83" s="4"/>
      <c r="M83" s="19">
        <v>350.0</v>
      </c>
      <c r="N83" s="4"/>
      <c r="O83" s="24">
        <f t="shared" si="23"/>
        <v>2143.2</v>
      </c>
      <c r="P83" s="4">
        <v>1.2931826642E10</v>
      </c>
      <c r="Q83" s="7"/>
      <c r="R83" s="7"/>
    </row>
    <row r="84" ht="14.25" customHeight="1">
      <c r="B84" s="4" t="s">
        <v>54</v>
      </c>
      <c r="C84" s="5" t="str">
        <f t="shared" si="5"/>
        <v>2-2024</v>
      </c>
      <c r="D84" s="20">
        <v>45323.0</v>
      </c>
      <c r="E84" s="9">
        <f t="shared" si="25"/>
        <v>66.66666667</v>
      </c>
      <c r="F84" s="10">
        <f> (30-'Salários'!$N84)</f>
        <v>30</v>
      </c>
      <c r="G84" s="12">
        <v>2000.0</v>
      </c>
      <c r="H84" s="22">
        <v>167.5</v>
      </c>
      <c r="I84" s="9">
        <v>10.0</v>
      </c>
      <c r="J84" s="10"/>
      <c r="K84" s="9"/>
      <c r="L84" s="4"/>
      <c r="M84" s="4"/>
      <c r="N84" s="4"/>
      <c r="O84" s="24">
        <f t="shared" si="23"/>
        <v>3675</v>
      </c>
      <c r="P84" s="19">
        <v>3.5997404188E10</v>
      </c>
      <c r="Q84" s="7"/>
      <c r="R84" s="7"/>
    </row>
    <row r="85" ht="14.25" customHeight="1">
      <c r="B85" s="19" t="s">
        <v>55</v>
      </c>
      <c r="C85" s="5" t="str">
        <f t="shared" si="5"/>
        <v>12-1899</v>
      </c>
      <c r="D85" s="8"/>
      <c r="E85" s="23">
        <v>23.0</v>
      </c>
      <c r="F85" s="10">
        <f> (30-'Salários'!$N85)</f>
        <v>30</v>
      </c>
      <c r="G85" s="21">
        <v>1420.0</v>
      </c>
      <c r="H85" s="10"/>
      <c r="I85" s="9"/>
      <c r="J85" s="10"/>
      <c r="K85" s="9"/>
      <c r="L85" s="4"/>
      <c r="M85" s="4"/>
      <c r="N85" s="4"/>
      <c r="O85" s="12">
        <f t="shared" si="23"/>
        <v>1420</v>
      </c>
      <c r="P85" s="7"/>
      <c r="Q85" s="7"/>
      <c r="R85" s="7"/>
    </row>
    <row r="86" ht="14.25" customHeight="1">
      <c r="B86" s="4"/>
      <c r="C86" s="5" t="str">
        <f t="shared" si="5"/>
        <v>12-1899</v>
      </c>
      <c r="D86" s="8"/>
      <c r="E86" s="9"/>
      <c r="F86" s="10">
        <f> (30-'Salários'!$N86)</f>
        <v>30</v>
      </c>
      <c r="G86" s="12">
        <f t="shared" ref="G86:G87" si="26">(E86*F86)</f>
        <v>0</v>
      </c>
      <c r="H86" s="10"/>
      <c r="I86" s="9"/>
      <c r="J86" s="10"/>
      <c r="K86" s="9"/>
      <c r="L86" s="4"/>
      <c r="M86" s="4"/>
      <c r="N86" s="4"/>
      <c r="O86" s="12">
        <f t="shared" si="23"/>
        <v>0</v>
      </c>
      <c r="P86" s="7"/>
      <c r="Q86" s="7"/>
      <c r="R86" s="7"/>
    </row>
    <row r="87" ht="14.25" customHeight="1">
      <c r="B87" s="4"/>
      <c r="C87" s="5" t="str">
        <f t="shared" si="5"/>
        <v>12-1899</v>
      </c>
      <c r="D87" s="8"/>
      <c r="E87" s="9"/>
      <c r="F87" s="10">
        <f> (30-'Salários'!$N87)</f>
        <v>30</v>
      </c>
      <c r="G87" s="12">
        <f t="shared" si="26"/>
        <v>0</v>
      </c>
      <c r="H87" s="10"/>
      <c r="I87" s="9"/>
      <c r="J87" s="10"/>
      <c r="K87" s="9"/>
      <c r="L87" s="4"/>
      <c r="M87" s="4"/>
      <c r="N87" s="4"/>
      <c r="O87" s="12">
        <f t="shared" si="23"/>
        <v>0</v>
      </c>
      <c r="P87" s="7"/>
      <c r="Q87" s="7"/>
      <c r="R87" s="7"/>
    </row>
    <row r="88" ht="14.25" customHeight="1">
      <c r="B88" s="4" t="s">
        <v>18</v>
      </c>
      <c r="C88" s="5" t="str">
        <f t="shared" si="5"/>
        <v>3-2024</v>
      </c>
      <c r="D88" s="20">
        <v>45352.0</v>
      </c>
      <c r="E88" s="9">
        <f t="shared" ref="E88:E89" si="27">(2000/30)</f>
        <v>66.66666667</v>
      </c>
      <c r="F88" s="10">
        <f> (30-'Salários'!$N88)</f>
        <v>30</v>
      </c>
      <c r="G88" s="21">
        <v>2440.0</v>
      </c>
      <c r="H88" s="22">
        <v>167.0</v>
      </c>
      <c r="I88" s="9">
        <v>20.0</v>
      </c>
      <c r="J88" s="22">
        <v>6.0</v>
      </c>
      <c r="K88" s="23">
        <v>20.0</v>
      </c>
      <c r="L88" s="19">
        <v>3.0</v>
      </c>
      <c r="M88" s="19">
        <v>500.0</v>
      </c>
      <c r="N88" s="4"/>
      <c r="O88" s="12">
        <f t="shared" si="23"/>
        <v>5700</v>
      </c>
      <c r="P88" s="4">
        <v>3.5991762704E10</v>
      </c>
      <c r="Q88" s="7"/>
      <c r="R88" s="7"/>
      <c r="Z88" s="28" t="s">
        <v>56</v>
      </c>
    </row>
    <row r="89" ht="14.25" customHeight="1">
      <c r="B89" s="19" t="s">
        <v>52</v>
      </c>
      <c r="C89" s="5" t="str">
        <f t="shared" si="5"/>
        <v>3-2024</v>
      </c>
      <c r="D89" s="20">
        <v>45352.0</v>
      </c>
      <c r="E89" s="9">
        <f t="shared" si="27"/>
        <v>66.66666667</v>
      </c>
      <c r="F89" s="10">
        <f> (30-'Salários'!$N89)</f>
        <v>30</v>
      </c>
      <c r="G89" s="21">
        <v>3500.0</v>
      </c>
      <c r="H89" s="10"/>
      <c r="I89" s="9">
        <v>14.0</v>
      </c>
      <c r="J89" s="10"/>
      <c r="K89" s="9"/>
      <c r="L89" s="4"/>
      <c r="M89" s="19">
        <v>3090.0</v>
      </c>
      <c r="N89" s="4"/>
      <c r="O89" s="21">
        <v>2500.0</v>
      </c>
      <c r="P89" s="27"/>
      <c r="Q89" s="7"/>
      <c r="R89" s="7"/>
    </row>
    <row r="90" ht="14.25" customHeight="1">
      <c r="B90" s="4" t="s">
        <v>22</v>
      </c>
      <c r="C90" s="5" t="str">
        <f t="shared" si="5"/>
        <v>3-2024</v>
      </c>
      <c r="D90" s="20">
        <v>45352.0</v>
      </c>
      <c r="E90" s="9">
        <v>50.0</v>
      </c>
      <c r="F90" s="10">
        <f> (30-'Salários'!$N90)</f>
        <v>30</v>
      </c>
      <c r="G90" s="12">
        <f t="shared" ref="G90:G92" si="28">(E90*F90)</f>
        <v>1500</v>
      </c>
      <c r="H90" s="10"/>
      <c r="I90" s="9">
        <v>10.0</v>
      </c>
      <c r="J90" s="10"/>
      <c r="K90" s="9"/>
      <c r="L90" s="4"/>
      <c r="M90" s="4"/>
      <c r="N90" s="4"/>
      <c r="O90" s="12">
        <f t="shared" ref="O90:O103" si="29">(G90)+(H90*I90)+(J90*K90)+(L90*100)-(M90)</f>
        <v>1500</v>
      </c>
      <c r="P90" s="4">
        <v>1.5175052675E10</v>
      </c>
      <c r="Q90" s="7"/>
      <c r="R90" s="7"/>
    </row>
    <row r="91" ht="14.25" customHeight="1">
      <c r="B91" s="4" t="s">
        <v>24</v>
      </c>
      <c r="C91" s="5" t="str">
        <f t="shared" si="5"/>
        <v>3-2024</v>
      </c>
      <c r="D91" s="20">
        <v>45352.0</v>
      </c>
      <c r="E91" s="9">
        <v>120.0</v>
      </c>
      <c r="F91" s="22">
        <v>15.0</v>
      </c>
      <c r="G91" s="12">
        <f t="shared" si="28"/>
        <v>1800</v>
      </c>
      <c r="H91" s="10"/>
      <c r="I91" s="9">
        <v>0.0</v>
      </c>
      <c r="J91" s="10"/>
      <c r="K91" s="9"/>
      <c r="L91" s="4"/>
      <c r="M91" s="4"/>
      <c r="N91" s="4"/>
      <c r="O91" s="12">
        <f t="shared" si="29"/>
        <v>1800</v>
      </c>
      <c r="P91" s="4" t="s">
        <v>25</v>
      </c>
      <c r="Q91" s="7"/>
      <c r="R91" s="7"/>
    </row>
    <row r="92" ht="14.25" customHeight="1">
      <c r="B92" s="4" t="s">
        <v>26</v>
      </c>
      <c r="C92" s="5" t="str">
        <f t="shared" si="5"/>
        <v>3-2024</v>
      </c>
      <c r="D92" s="20">
        <v>45352.0</v>
      </c>
      <c r="E92" s="9">
        <v>100.0</v>
      </c>
      <c r="F92" s="10">
        <f> (30-'Salários'!$N92)</f>
        <v>30</v>
      </c>
      <c r="G92" s="12">
        <f t="shared" si="28"/>
        <v>3000</v>
      </c>
      <c r="H92" s="22">
        <v>157.9</v>
      </c>
      <c r="I92" s="23">
        <v>13.0</v>
      </c>
      <c r="J92" s="22">
        <v>7.8</v>
      </c>
      <c r="K92" s="23">
        <v>13.0</v>
      </c>
      <c r="L92" s="19">
        <v>1.5</v>
      </c>
      <c r="M92" s="4"/>
      <c r="N92" s="4"/>
      <c r="O92" s="12">
        <f t="shared" si="29"/>
        <v>5304.1</v>
      </c>
      <c r="P92" s="4">
        <v>3.5998195061E10</v>
      </c>
      <c r="Q92" s="7"/>
      <c r="R92" s="7"/>
    </row>
    <row r="93" ht="14.25" customHeight="1">
      <c r="B93" s="19" t="s">
        <v>53</v>
      </c>
      <c r="C93" s="5" t="str">
        <f t="shared" si="5"/>
        <v>3-2024</v>
      </c>
      <c r="D93" s="20">
        <v>45352.0</v>
      </c>
      <c r="E93" s="23">
        <v>116.6666</v>
      </c>
      <c r="F93" s="22">
        <v>30.0</v>
      </c>
      <c r="G93" s="21">
        <f>F93*E93</f>
        <v>3499.998</v>
      </c>
      <c r="H93" s="10"/>
      <c r="I93" s="9">
        <v>0.0</v>
      </c>
      <c r="J93" s="10"/>
      <c r="K93" s="9"/>
      <c r="L93" s="4"/>
      <c r="M93" s="19">
        <v>1230.0</v>
      </c>
      <c r="N93" s="4"/>
      <c r="O93" s="12">
        <f t="shared" si="29"/>
        <v>2269.998</v>
      </c>
      <c r="P93" s="19">
        <v>4.484788624E9</v>
      </c>
      <c r="Q93" s="7"/>
      <c r="R93" s="7"/>
    </row>
    <row r="94" ht="14.25" customHeight="1">
      <c r="B94" s="4" t="s">
        <v>29</v>
      </c>
      <c r="C94" s="5" t="str">
        <f t="shared" si="5"/>
        <v>3-2024</v>
      </c>
      <c r="D94" s="20">
        <v>45352.0</v>
      </c>
      <c r="E94" s="9">
        <v>69.6667</v>
      </c>
      <c r="F94" s="10">
        <f> (30-'Salários'!$N94)</f>
        <v>30</v>
      </c>
      <c r="G94" s="21">
        <v>2390.0</v>
      </c>
      <c r="H94" s="10"/>
      <c r="I94" s="9">
        <v>0.0</v>
      </c>
      <c r="J94" s="10"/>
      <c r="K94" s="9"/>
      <c r="L94" s="4"/>
      <c r="M94" s="4"/>
      <c r="N94" s="4"/>
      <c r="O94" s="12">
        <f t="shared" si="29"/>
        <v>2390</v>
      </c>
      <c r="P94" s="4">
        <v>3.8974715821E10</v>
      </c>
      <c r="Q94" s="7"/>
      <c r="R94" s="7"/>
    </row>
    <row r="95" ht="14.25" customHeight="1">
      <c r="B95" s="4" t="s">
        <v>30</v>
      </c>
      <c r="C95" s="5" t="str">
        <f t="shared" si="5"/>
        <v>3-2024</v>
      </c>
      <c r="D95" s="20">
        <v>45352.0</v>
      </c>
      <c r="E95" s="9">
        <v>175.0</v>
      </c>
      <c r="F95" s="10">
        <f> (30-'Salários'!$N95)</f>
        <v>30</v>
      </c>
      <c r="G95" s="12">
        <f t="shared" ref="G95:G97" si="30">(E95*F95)</f>
        <v>5250</v>
      </c>
      <c r="H95" s="10"/>
      <c r="I95" s="9">
        <v>0.0</v>
      </c>
      <c r="J95" s="10"/>
      <c r="K95" s="9"/>
      <c r="L95" s="4"/>
      <c r="M95" s="4"/>
      <c r="N95" s="4"/>
      <c r="O95" s="12">
        <f t="shared" si="29"/>
        <v>5250</v>
      </c>
      <c r="P95" s="4"/>
      <c r="Q95" s="7"/>
      <c r="R95" s="7"/>
    </row>
    <row r="96" ht="14.25" customHeight="1">
      <c r="B96" s="4" t="s">
        <v>31</v>
      </c>
      <c r="C96" s="5" t="str">
        <f t="shared" si="5"/>
        <v>3-2024</v>
      </c>
      <c r="D96" s="20">
        <v>45352.0</v>
      </c>
      <c r="E96" s="9">
        <f t="shared" ref="E96:E97" si="31">(2000/30)</f>
        <v>66.66666667</v>
      </c>
      <c r="F96" s="10">
        <f> (30-'Salários'!$N96)</f>
        <v>30</v>
      </c>
      <c r="G96" s="12">
        <f t="shared" si="30"/>
        <v>2000</v>
      </c>
      <c r="H96" s="22">
        <v>154.8</v>
      </c>
      <c r="I96" s="9">
        <v>8.0</v>
      </c>
      <c r="J96" s="10"/>
      <c r="K96" s="9"/>
      <c r="L96" s="4"/>
      <c r="M96" s="4"/>
      <c r="N96" s="4"/>
      <c r="O96" s="12">
        <f t="shared" si="29"/>
        <v>3238.4</v>
      </c>
      <c r="P96" s="4">
        <v>3.597287575E9</v>
      </c>
      <c r="Q96" s="7"/>
      <c r="R96" s="7"/>
    </row>
    <row r="97" ht="14.25" customHeight="1">
      <c r="B97" s="4" t="s">
        <v>32</v>
      </c>
      <c r="C97" s="5" t="str">
        <f t="shared" si="5"/>
        <v>3-2024</v>
      </c>
      <c r="D97" s="20">
        <v>45352.0</v>
      </c>
      <c r="E97" s="9">
        <f t="shared" si="31"/>
        <v>66.66666667</v>
      </c>
      <c r="F97" s="10">
        <f> (30-'Salários'!$N97)</f>
        <v>30</v>
      </c>
      <c r="G97" s="12">
        <f t="shared" si="30"/>
        <v>2000</v>
      </c>
      <c r="H97" s="22">
        <v>146.9</v>
      </c>
      <c r="I97" s="23">
        <v>5.0</v>
      </c>
      <c r="J97" s="10"/>
      <c r="K97" s="9"/>
      <c r="L97" s="4"/>
      <c r="M97" s="19">
        <v>300.0</v>
      </c>
      <c r="N97" s="4"/>
      <c r="O97" s="12">
        <f t="shared" si="29"/>
        <v>2434.5</v>
      </c>
      <c r="P97" s="4">
        <v>1.2931826642E10</v>
      </c>
      <c r="Q97" s="7"/>
      <c r="R97" s="7"/>
    </row>
    <row r="98" ht="14.25" customHeight="1">
      <c r="B98" s="19" t="s">
        <v>55</v>
      </c>
      <c r="C98" s="5" t="str">
        <f t="shared" si="5"/>
        <v>3-2024</v>
      </c>
      <c r="D98" s="20">
        <v>45352.0</v>
      </c>
      <c r="E98" s="9"/>
      <c r="F98" s="10">
        <f> (30-'Salários'!$N98)</f>
        <v>30</v>
      </c>
      <c r="G98" s="21">
        <v>1420.0</v>
      </c>
      <c r="H98" s="10"/>
      <c r="I98" s="9"/>
      <c r="J98" s="10"/>
      <c r="K98" s="9"/>
      <c r="L98" s="4"/>
      <c r="M98" s="4"/>
      <c r="N98" s="4"/>
      <c r="O98" s="24">
        <f t="shared" si="29"/>
        <v>1420</v>
      </c>
      <c r="P98" s="7"/>
      <c r="Q98" s="7"/>
      <c r="R98" s="7"/>
    </row>
    <row r="99" ht="14.25" customHeight="1">
      <c r="B99" s="19" t="s">
        <v>57</v>
      </c>
      <c r="C99" s="5" t="str">
        <f t="shared" si="5"/>
        <v>3-2024</v>
      </c>
      <c r="D99" s="20">
        <v>45352.0</v>
      </c>
      <c r="E99" s="9">
        <f t="shared" ref="E99:E100" si="32">(2000/30)</f>
        <v>66.66666667</v>
      </c>
      <c r="F99" s="10">
        <f> (30-'Salários'!$N99)</f>
        <v>30</v>
      </c>
      <c r="G99" s="12">
        <v>2000.0</v>
      </c>
      <c r="H99" s="22">
        <v>207.2</v>
      </c>
      <c r="I99" s="23">
        <v>15.0</v>
      </c>
      <c r="J99" s="10"/>
      <c r="K99" s="9"/>
      <c r="L99" s="19">
        <v>4.0</v>
      </c>
      <c r="M99" s="4"/>
      <c r="N99" s="4"/>
      <c r="O99" s="24">
        <f t="shared" si="29"/>
        <v>5508</v>
      </c>
      <c r="P99" s="19">
        <v>3.5997404188E10</v>
      </c>
      <c r="Q99" s="7"/>
      <c r="R99" s="7"/>
    </row>
    <row r="100" ht="14.25" customHeight="1">
      <c r="B100" s="19" t="s">
        <v>58</v>
      </c>
      <c r="C100" s="5" t="str">
        <f t="shared" si="5"/>
        <v>3-2024</v>
      </c>
      <c r="D100" s="20">
        <v>45352.0</v>
      </c>
      <c r="E100" s="9">
        <f t="shared" si="32"/>
        <v>66.66666667</v>
      </c>
      <c r="F100" s="10">
        <f> (30-'Salários'!$N100)</f>
        <v>30</v>
      </c>
      <c r="G100" s="21">
        <v>2000.0</v>
      </c>
      <c r="H100" s="22">
        <v>111.3</v>
      </c>
      <c r="I100" s="23">
        <v>15.0</v>
      </c>
      <c r="J100" s="10"/>
      <c r="K100" s="9"/>
      <c r="L100" s="19">
        <v>2.0</v>
      </c>
      <c r="M100" s="19">
        <v>800.0</v>
      </c>
      <c r="N100" s="4"/>
      <c r="O100" s="24">
        <f t="shared" si="29"/>
        <v>3069.5</v>
      </c>
      <c r="P100" s="7"/>
      <c r="Q100" s="7"/>
      <c r="R100" s="7"/>
    </row>
    <row r="101" ht="14.25" customHeight="1">
      <c r="B101" s="4"/>
      <c r="C101" s="5" t="str">
        <f t="shared" si="5"/>
        <v>12-1899</v>
      </c>
      <c r="D101" s="8"/>
      <c r="E101" s="9"/>
      <c r="F101" s="10">
        <f> (30-'Salários'!$N101)</f>
        <v>30</v>
      </c>
      <c r="G101" s="12">
        <f t="shared" ref="G101:G102" si="33">(E101*F101)</f>
        <v>0</v>
      </c>
      <c r="H101" s="10"/>
      <c r="I101" s="9"/>
      <c r="J101" s="10"/>
      <c r="K101" s="9"/>
      <c r="L101" s="4"/>
      <c r="M101" s="4"/>
      <c r="N101" s="4"/>
      <c r="O101" s="12">
        <f t="shared" si="29"/>
        <v>0</v>
      </c>
      <c r="P101" s="7"/>
      <c r="Q101" s="7"/>
      <c r="R101" s="7"/>
    </row>
    <row r="102" ht="14.25" customHeight="1">
      <c r="B102" s="4"/>
      <c r="C102" s="5" t="str">
        <f t="shared" si="5"/>
        <v>12-1899</v>
      </c>
      <c r="D102" s="8"/>
      <c r="E102" s="9"/>
      <c r="F102" s="10">
        <f> (30-'Salários'!$N102)</f>
        <v>30</v>
      </c>
      <c r="G102" s="12">
        <f t="shared" si="33"/>
        <v>0</v>
      </c>
      <c r="H102" s="10"/>
      <c r="I102" s="9"/>
      <c r="J102" s="10"/>
      <c r="K102" s="9"/>
      <c r="L102" s="4"/>
      <c r="M102" s="4"/>
      <c r="N102" s="4"/>
      <c r="O102" s="12">
        <f t="shared" si="29"/>
        <v>0</v>
      </c>
      <c r="P102" s="7"/>
      <c r="Q102" s="7"/>
      <c r="R102" s="7"/>
    </row>
    <row r="103" ht="14.25" customHeight="1">
      <c r="B103" s="4" t="s">
        <v>18</v>
      </c>
      <c r="C103" s="5" t="str">
        <f t="shared" si="5"/>
        <v>4-2024</v>
      </c>
      <c r="D103" s="29">
        <v>45383.0</v>
      </c>
      <c r="E103" s="9">
        <f t="shared" ref="E103:E104" si="34">(2000/30)</f>
        <v>66.66666667</v>
      </c>
      <c r="F103" s="10">
        <f> (30-'Salários'!$N103)</f>
        <v>30</v>
      </c>
      <c r="G103" s="21">
        <v>2440.0</v>
      </c>
      <c r="H103" s="22">
        <v>162.0</v>
      </c>
      <c r="I103" s="9">
        <v>20.0</v>
      </c>
      <c r="J103" s="22">
        <v>6.0</v>
      </c>
      <c r="K103" s="23">
        <v>20.0</v>
      </c>
      <c r="L103" s="19">
        <v>4.0</v>
      </c>
      <c r="M103" s="19">
        <v>1200.0</v>
      </c>
      <c r="N103" s="4"/>
      <c r="O103" s="24">
        <f t="shared" si="29"/>
        <v>5000</v>
      </c>
      <c r="P103" s="4">
        <v>3.5991762704E10</v>
      </c>
      <c r="Q103" s="7"/>
      <c r="R103" s="7"/>
    </row>
    <row r="104" ht="14.25" customHeight="1">
      <c r="B104" s="19" t="s">
        <v>52</v>
      </c>
      <c r="C104" s="5" t="str">
        <f t="shared" si="5"/>
        <v>4-2024</v>
      </c>
      <c r="D104" s="29">
        <v>45383.0</v>
      </c>
      <c r="E104" s="9">
        <f t="shared" si="34"/>
        <v>66.66666667</v>
      </c>
      <c r="F104" s="10">
        <f> (30-'Salários'!$N104)</f>
        <v>30</v>
      </c>
      <c r="G104" s="21">
        <v>3500.0</v>
      </c>
      <c r="H104" s="10"/>
      <c r="I104" s="9">
        <v>14.0</v>
      </c>
      <c r="J104" s="10"/>
      <c r="K104" s="9"/>
      <c r="L104" s="4"/>
      <c r="M104" s="19">
        <v>6600.0</v>
      </c>
      <c r="N104" s="4"/>
      <c r="O104" s="26">
        <v>2500.0</v>
      </c>
      <c r="P104" s="27"/>
      <c r="Q104" s="7"/>
      <c r="R104" s="7"/>
    </row>
    <row r="105" ht="14.25" customHeight="1">
      <c r="B105" s="4" t="s">
        <v>22</v>
      </c>
      <c r="C105" s="5" t="str">
        <f t="shared" si="5"/>
        <v>4-2024</v>
      </c>
      <c r="D105" s="29">
        <v>45383.0</v>
      </c>
      <c r="E105" s="9">
        <v>50.0</v>
      </c>
      <c r="F105" s="10">
        <f> (30-'Salários'!$N105)</f>
        <v>30</v>
      </c>
      <c r="G105" s="21">
        <v>1500.0</v>
      </c>
      <c r="H105" s="22">
        <v>139.3</v>
      </c>
      <c r="I105" s="9">
        <v>10.0</v>
      </c>
      <c r="J105" s="22">
        <v>2.6</v>
      </c>
      <c r="K105" s="23">
        <v>3.33</v>
      </c>
      <c r="L105" s="19">
        <v>4.0</v>
      </c>
      <c r="M105" s="19">
        <v>850.0</v>
      </c>
      <c r="N105" s="19"/>
      <c r="O105" s="24">
        <f t="shared" ref="O105:O126" si="35">(G105)+(H105*I105)+(J105*K105)+(L105*100)-(M105)</f>
        <v>2451.658</v>
      </c>
      <c r="P105" s="4">
        <v>1.5175052675E10</v>
      </c>
      <c r="Q105" s="7"/>
      <c r="R105" s="7"/>
    </row>
    <row r="106" ht="14.25" customHeight="1">
      <c r="B106" s="4" t="s">
        <v>24</v>
      </c>
      <c r="C106" s="5" t="str">
        <f t="shared" si="5"/>
        <v>4-2024</v>
      </c>
      <c r="D106" s="29">
        <v>45383.0</v>
      </c>
      <c r="E106" s="9">
        <v>120.0</v>
      </c>
      <c r="F106" s="22">
        <v>15.0</v>
      </c>
      <c r="G106" s="12">
        <f t="shared" ref="G106:G107" si="36">(E106*F106)</f>
        <v>1800</v>
      </c>
      <c r="H106" s="10"/>
      <c r="I106" s="9">
        <v>0.0</v>
      </c>
      <c r="J106" s="10"/>
      <c r="K106" s="9"/>
      <c r="L106" s="4"/>
      <c r="M106" s="4"/>
      <c r="N106" s="4"/>
      <c r="O106" s="24">
        <f t="shared" si="35"/>
        <v>1800</v>
      </c>
      <c r="P106" s="4" t="s">
        <v>25</v>
      </c>
      <c r="Q106" s="7"/>
      <c r="R106" s="7"/>
    </row>
    <row r="107" ht="14.25" customHeight="1">
      <c r="B107" s="4" t="s">
        <v>26</v>
      </c>
      <c r="C107" s="5" t="str">
        <f t="shared" si="5"/>
        <v>4-2024</v>
      </c>
      <c r="D107" s="29">
        <v>45383.0</v>
      </c>
      <c r="E107" s="9">
        <v>100.0</v>
      </c>
      <c r="F107" s="10">
        <f> (30-'Salários'!$N107)</f>
        <v>30</v>
      </c>
      <c r="G107" s="12">
        <f t="shared" si="36"/>
        <v>3000</v>
      </c>
      <c r="H107" s="22">
        <v>216.9</v>
      </c>
      <c r="I107" s="23">
        <v>13.0</v>
      </c>
      <c r="J107" s="22">
        <v>20.9</v>
      </c>
      <c r="K107" s="23">
        <v>13.0</v>
      </c>
      <c r="L107" s="19">
        <v>5.0</v>
      </c>
      <c r="M107" s="4"/>
      <c r="N107" s="4"/>
      <c r="O107" s="24">
        <f t="shared" si="35"/>
        <v>6591.4</v>
      </c>
      <c r="P107" s="4">
        <v>3.5998195061E10</v>
      </c>
      <c r="Q107" s="7"/>
      <c r="R107" s="7"/>
    </row>
    <row r="108" ht="14.25" customHeight="1">
      <c r="B108" s="19" t="s">
        <v>53</v>
      </c>
      <c r="C108" s="5" t="str">
        <f t="shared" si="5"/>
        <v>4-2024</v>
      </c>
      <c r="D108" s="29">
        <v>45383.0</v>
      </c>
      <c r="E108" s="23">
        <v>116.6666</v>
      </c>
      <c r="F108" s="22">
        <v>30.0</v>
      </c>
      <c r="G108" s="21">
        <f>F108*E108</f>
        <v>3499.998</v>
      </c>
      <c r="H108" s="10"/>
      <c r="I108" s="9">
        <v>0.0</v>
      </c>
      <c r="J108" s="10"/>
      <c r="K108" s="9"/>
      <c r="L108" s="4"/>
      <c r="M108" s="19">
        <v>700.0</v>
      </c>
      <c r="N108" s="4"/>
      <c r="O108" s="24">
        <f t="shared" si="35"/>
        <v>2799.998</v>
      </c>
      <c r="P108" s="19">
        <v>4.484788624E9</v>
      </c>
      <c r="Q108" s="7"/>
      <c r="R108" s="7"/>
    </row>
    <row r="109" ht="14.25" customHeight="1">
      <c r="B109" s="4" t="s">
        <v>29</v>
      </c>
      <c r="C109" s="5" t="str">
        <f t="shared" si="5"/>
        <v>4-2024</v>
      </c>
      <c r="D109" s="29">
        <v>45383.0</v>
      </c>
      <c r="E109" s="9">
        <v>69.6667</v>
      </c>
      <c r="F109" s="10">
        <f> (30-'Salários'!$N109)</f>
        <v>30</v>
      </c>
      <c r="G109" s="12">
        <f t="shared" ref="G109:G112" si="37">(E109*F109)</f>
        <v>2090.001</v>
      </c>
      <c r="H109" s="10"/>
      <c r="I109" s="9">
        <v>0.0</v>
      </c>
      <c r="J109" s="10"/>
      <c r="K109" s="9"/>
      <c r="L109" s="4"/>
      <c r="M109" s="4"/>
      <c r="N109" s="4"/>
      <c r="O109" s="24">
        <f t="shared" si="35"/>
        <v>2090.001</v>
      </c>
      <c r="P109" s="4">
        <v>3.8974715821E10</v>
      </c>
      <c r="Q109" s="7"/>
      <c r="R109" s="7"/>
    </row>
    <row r="110" ht="14.25" customHeight="1">
      <c r="B110" s="4" t="s">
        <v>30</v>
      </c>
      <c r="C110" s="5" t="str">
        <f t="shared" si="5"/>
        <v>4-2024</v>
      </c>
      <c r="D110" s="29">
        <v>45383.0</v>
      </c>
      <c r="E110" s="9">
        <v>175.0</v>
      </c>
      <c r="F110" s="10">
        <f> (30-'Salários'!$N110)</f>
        <v>30</v>
      </c>
      <c r="G110" s="12">
        <f t="shared" si="37"/>
        <v>5250</v>
      </c>
      <c r="H110" s="10"/>
      <c r="I110" s="9">
        <v>0.0</v>
      </c>
      <c r="J110" s="10"/>
      <c r="K110" s="9"/>
      <c r="L110" s="4"/>
      <c r="M110" s="4"/>
      <c r="N110" s="4"/>
      <c r="O110" s="24">
        <f t="shared" si="35"/>
        <v>5250</v>
      </c>
      <c r="P110" s="4"/>
      <c r="Q110" s="7"/>
      <c r="R110" s="7"/>
    </row>
    <row r="111" ht="14.25" customHeight="1">
      <c r="B111" s="4" t="s">
        <v>31</v>
      </c>
      <c r="C111" s="5" t="str">
        <f t="shared" si="5"/>
        <v>4-2024</v>
      </c>
      <c r="D111" s="29">
        <v>45383.0</v>
      </c>
      <c r="E111" s="9">
        <f t="shared" ref="E111:E114" si="38">(2000/30)</f>
        <v>66.66666667</v>
      </c>
      <c r="F111" s="10">
        <f> (30-'Salários'!$N111)</f>
        <v>30</v>
      </c>
      <c r="G111" s="12">
        <f t="shared" si="37"/>
        <v>2000</v>
      </c>
      <c r="H111" s="22">
        <v>59.1</v>
      </c>
      <c r="I111" s="9">
        <v>8.0</v>
      </c>
      <c r="J111" s="10"/>
      <c r="K111" s="9"/>
      <c r="L111" s="4"/>
      <c r="M111" s="4"/>
      <c r="N111" s="4"/>
      <c r="O111" s="24">
        <f t="shared" si="35"/>
        <v>2472.8</v>
      </c>
      <c r="P111" s="4">
        <v>3.597287575E9</v>
      </c>
      <c r="Q111" s="7"/>
      <c r="R111" s="7"/>
    </row>
    <row r="112" ht="14.25" customHeight="1">
      <c r="B112" s="4" t="s">
        <v>32</v>
      </c>
      <c r="C112" s="5" t="str">
        <f t="shared" si="5"/>
        <v>4-2024</v>
      </c>
      <c r="D112" s="29">
        <v>45383.0</v>
      </c>
      <c r="E112" s="9">
        <f t="shared" si="38"/>
        <v>66.66666667</v>
      </c>
      <c r="F112" s="10">
        <f> (30-'Salários'!$N112)</f>
        <v>30</v>
      </c>
      <c r="G112" s="12">
        <f t="shared" si="37"/>
        <v>2000</v>
      </c>
      <c r="H112" s="22">
        <v>128.6</v>
      </c>
      <c r="I112" s="23">
        <v>3.0</v>
      </c>
      <c r="J112" s="10"/>
      <c r="K112" s="9"/>
      <c r="L112" s="4"/>
      <c r="M112" s="4"/>
      <c r="N112" s="4"/>
      <c r="O112" s="24">
        <f t="shared" si="35"/>
        <v>2385.8</v>
      </c>
      <c r="P112" s="4">
        <v>1.2931826642E10</v>
      </c>
      <c r="Q112" s="7"/>
      <c r="R112" s="7"/>
    </row>
    <row r="113" ht="14.25" customHeight="1">
      <c r="B113" s="19" t="s">
        <v>57</v>
      </c>
      <c r="C113" s="5" t="str">
        <f t="shared" si="5"/>
        <v>4-2024</v>
      </c>
      <c r="D113" s="29">
        <v>45383.0</v>
      </c>
      <c r="E113" s="9">
        <f t="shared" si="38"/>
        <v>66.66666667</v>
      </c>
      <c r="F113" s="10">
        <f> (30-'Salários'!$N113)</f>
        <v>30</v>
      </c>
      <c r="G113" s="12">
        <v>2000.0</v>
      </c>
      <c r="H113" s="22">
        <v>133.8</v>
      </c>
      <c r="I113" s="23">
        <v>10.0</v>
      </c>
      <c r="J113" s="10"/>
      <c r="K113" s="9"/>
      <c r="L113" s="19">
        <v>1.0</v>
      </c>
      <c r="M113" s="4"/>
      <c r="N113" s="4"/>
      <c r="O113" s="24">
        <f t="shared" si="35"/>
        <v>3438</v>
      </c>
      <c r="P113" s="19">
        <v>3.5997404188E10</v>
      </c>
      <c r="Q113" s="7"/>
      <c r="R113" s="7"/>
    </row>
    <row r="114" ht="14.25" customHeight="1">
      <c r="B114" s="19" t="s">
        <v>58</v>
      </c>
      <c r="C114" s="5" t="str">
        <f t="shared" si="5"/>
        <v>4-2024</v>
      </c>
      <c r="D114" s="29">
        <v>45383.0</v>
      </c>
      <c r="E114" s="9">
        <f t="shared" si="38"/>
        <v>66.66666667</v>
      </c>
      <c r="F114" s="10">
        <f> (30-'Salários'!$N114)</f>
        <v>30</v>
      </c>
      <c r="G114" s="21">
        <v>2000.0</v>
      </c>
      <c r="H114" s="22">
        <v>143.8</v>
      </c>
      <c r="I114" s="23">
        <v>15.0</v>
      </c>
      <c r="J114" s="10"/>
      <c r="K114" s="9"/>
      <c r="L114" s="19">
        <v>1.0</v>
      </c>
      <c r="M114" s="19">
        <v>1500.0</v>
      </c>
      <c r="N114" s="4"/>
      <c r="O114" s="24">
        <f t="shared" si="35"/>
        <v>2757</v>
      </c>
      <c r="P114" s="7"/>
      <c r="Q114" s="7"/>
      <c r="R114" s="7"/>
    </row>
    <row r="115" ht="14.25" customHeight="1">
      <c r="B115" s="4"/>
      <c r="C115" s="5" t="str">
        <f t="shared" si="5"/>
        <v>12-1899</v>
      </c>
      <c r="D115" s="8"/>
      <c r="E115" s="9"/>
      <c r="F115" s="10">
        <f> (30-'Salários'!$N115)</f>
        <v>30</v>
      </c>
      <c r="G115" s="12">
        <f t="shared" ref="G115:G126" si="39">(E115*F115)</f>
        <v>0</v>
      </c>
      <c r="H115" s="10"/>
      <c r="I115" s="9"/>
      <c r="J115" s="10"/>
      <c r="K115" s="9"/>
      <c r="L115" s="4"/>
      <c r="M115" s="4"/>
      <c r="N115" s="4"/>
      <c r="O115" s="12">
        <f t="shared" si="35"/>
        <v>0</v>
      </c>
      <c r="P115" s="7"/>
      <c r="Q115" s="7"/>
      <c r="R115" s="7"/>
    </row>
    <row r="116" ht="14.25" customHeight="1">
      <c r="B116" s="4"/>
      <c r="C116" s="5" t="str">
        <f t="shared" si="5"/>
        <v>12-1899</v>
      </c>
      <c r="D116" s="8"/>
      <c r="E116" s="9"/>
      <c r="F116" s="10">
        <f> (30-'Salários'!$N116)</f>
        <v>30</v>
      </c>
      <c r="G116" s="12">
        <f t="shared" si="39"/>
        <v>0</v>
      </c>
      <c r="H116" s="10"/>
      <c r="I116" s="9"/>
      <c r="J116" s="10"/>
      <c r="K116" s="9"/>
      <c r="L116" s="4"/>
      <c r="M116" s="4"/>
      <c r="N116" s="4"/>
      <c r="O116" s="12">
        <f t="shared" si="35"/>
        <v>0</v>
      </c>
      <c r="P116" s="7"/>
      <c r="Q116" s="7"/>
      <c r="R116" s="7"/>
    </row>
    <row r="117" ht="14.25" customHeight="1">
      <c r="A117" s="30"/>
      <c r="B117" s="31" t="s">
        <v>18</v>
      </c>
      <c r="C117" s="32" t="str">
        <f t="shared" si="5"/>
        <v>5-2024</v>
      </c>
      <c r="D117" s="33">
        <v>45415.0</v>
      </c>
      <c r="E117" s="34">
        <v>81.3333</v>
      </c>
      <c r="F117" s="35">
        <v>30.0</v>
      </c>
      <c r="G117" s="36">
        <f t="shared" si="39"/>
        <v>2439.999</v>
      </c>
      <c r="H117" s="35">
        <v>161.0</v>
      </c>
      <c r="I117" s="37">
        <v>20.0</v>
      </c>
      <c r="J117" s="35">
        <v>8.0</v>
      </c>
      <c r="K117" s="34">
        <v>20.0</v>
      </c>
      <c r="L117" s="1">
        <v>3.0</v>
      </c>
      <c r="M117" s="1">
        <v>1200.0</v>
      </c>
      <c r="N117" s="38"/>
      <c r="O117" s="39">
        <f t="shared" si="35"/>
        <v>4919.999</v>
      </c>
      <c r="P117" s="31">
        <v>3.5991762704E10</v>
      </c>
      <c r="Q117" s="40"/>
      <c r="R117" s="4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30"/>
      <c r="B118" s="1" t="s">
        <v>57</v>
      </c>
      <c r="C118" s="32" t="str">
        <f t="shared" si="5"/>
        <v>5-2024</v>
      </c>
      <c r="D118" s="33">
        <v>45415.0</v>
      </c>
      <c r="E118" s="34">
        <v>66.6667</v>
      </c>
      <c r="F118" s="41">
        <f> (30-'Salários'!$N118)</f>
        <v>30</v>
      </c>
      <c r="G118" s="36">
        <f t="shared" si="39"/>
        <v>2000.001</v>
      </c>
      <c r="H118" s="35">
        <v>193.8</v>
      </c>
      <c r="I118" s="34">
        <v>10.0</v>
      </c>
      <c r="J118" s="41"/>
      <c r="K118" s="37"/>
      <c r="L118" s="1">
        <v>2.0</v>
      </c>
      <c r="M118" s="1"/>
      <c r="N118" s="31"/>
      <c r="O118" s="39">
        <f t="shared" si="35"/>
        <v>4138.001</v>
      </c>
      <c r="P118" s="42"/>
      <c r="Q118" s="40"/>
      <c r="R118" s="4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30"/>
      <c r="B119" s="31" t="s">
        <v>22</v>
      </c>
      <c r="C119" s="32" t="str">
        <f t="shared" si="5"/>
        <v>5-2024</v>
      </c>
      <c r="D119" s="33">
        <v>45415.0</v>
      </c>
      <c r="E119" s="37">
        <v>50.0</v>
      </c>
      <c r="F119" s="41">
        <f> (30-'Salários'!$N119)</f>
        <v>30</v>
      </c>
      <c r="G119" s="39">
        <f t="shared" si="39"/>
        <v>1500</v>
      </c>
      <c r="H119" s="35">
        <v>204.4</v>
      </c>
      <c r="I119" s="34">
        <v>10.0</v>
      </c>
      <c r="J119" s="35">
        <v>0.5</v>
      </c>
      <c r="K119" s="34">
        <v>3.33</v>
      </c>
      <c r="L119" s="1">
        <v>1.0</v>
      </c>
      <c r="M119" s="1">
        <v>850.0</v>
      </c>
      <c r="N119" s="31"/>
      <c r="O119" s="39">
        <f t="shared" si="35"/>
        <v>2795.665</v>
      </c>
      <c r="P119" s="31">
        <v>1.5175052675E10</v>
      </c>
      <c r="Q119" s="40"/>
      <c r="R119" s="4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30"/>
      <c r="B120" s="31" t="s">
        <v>26</v>
      </c>
      <c r="C120" s="32" t="str">
        <f t="shared" si="5"/>
        <v>5-2024</v>
      </c>
      <c r="D120" s="33">
        <v>45415.0</v>
      </c>
      <c r="E120" s="37">
        <v>100.0</v>
      </c>
      <c r="F120" s="41">
        <f> (30-'Salários'!$N120)</f>
        <v>30</v>
      </c>
      <c r="G120" s="39">
        <f t="shared" si="39"/>
        <v>3000</v>
      </c>
      <c r="H120" s="35">
        <v>233.3</v>
      </c>
      <c r="I120" s="34">
        <v>13.0</v>
      </c>
      <c r="J120" s="35">
        <v>27.9</v>
      </c>
      <c r="K120" s="34">
        <v>13.0</v>
      </c>
      <c r="L120" s="1">
        <v>4.0</v>
      </c>
      <c r="M120" s="31"/>
      <c r="N120" s="31"/>
      <c r="O120" s="39">
        <f t="shared" si="35"/>
        <v>6795.6</v>
      </c>
      <c r="P120" s="31">
        <v>3.5998195061E10</v>
      </c>
      <c r="Q120" s="40"/>
      <c r="R120" s="4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30"/>
      <c r="B121" s="1" t="s">
        <v>58</v>
      </c>
      <c r="C121" s="32" t="str">
        <f t="shared" si="5"/>
        <v>5-2024</v>
      </c>
      <c r="D121" s="33">
        <v>45415.0</v>
      </c>
      <c r="E121" s="34">
        <v>66.6667</v>
      </c>
      <c r="F121" s="41">
        <f> (30-'Salários'!$N121)</f>
        <v>30</v>
      </c>
      <c r="G121" s="36">
        <f t="shared" si="39"/>
        <v>2000.001</v>
      </c>
      <c r="H121" s="35">
        <v>213.0</v>
      </c>
      <c r="I121" s="34">
        <v>15.0</v>
      </c>
      <c r="J121" s="41"/>
      <c r="K121" s="37"/>
      <c r="L121" s="1">
        <v>3.0</v>
      </c>
      <c r="M121" s="1">
        <v>2100.0</v>
      </c>
      <c r="N121" s="31"/>
      <c r="O121" s="39">
        <f t="shared" si="35"/>
        <v>3395.001</v>
      </c>
      <c r="P121" s="43" t="s">
        <v>59</v>
      </c>
      <c r="Q121" s="40"/>
      <c r="R121" s="4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30"/>
      <c r="B122" s="31" t="s">
        <v>32</v>
      </c>
      <c r="C122" s="32" t="str">
        <f t="shared" si="5"/>
        <v>5-2024</v>
      </c>
      <c r="D122" s="33">
        <v>45415.0</v>
      </c>
      <c r="E122" s="34">
        <v>66.6667</v>
      </c>
      <c r="F122" s="41">
        <f> (30-'Salários'!$N122)</f>
        <v>30</v>
      </c>
      <c r="G122" s="36">
        <f t="shared" si="39"/>
        <v>2000.001</v>
      </c>
      <c r="H122" s="35">
        <v>22.1</v>
      </c>
      <c r="I122" s="34">
        <v>3.0</v>
      </c>
      <c r="J122" s="41"/>
      <c r="K122" s="37"/>
      <c r="L122" s="31"/>
      <c r="M122" s="31"/>
      <c r="N122" s="31"/>
      <c r="O122" s="39">
        <f t="shared" si="35"/>
        <v>2066.301</v>
      </c>
      <c r="P122" s="31">
        <v>1.2931826642E10</v>
      </c>
      <c r="Q122" s="40"/>
      <c r="R122" s="4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30"/>
      <c r="B123" s="31" t="s">
        <v>31</v>
      </c>
      <c r="C123" s="32" t="str">
        <f t="shared" si="5"/>
        <v>5-2024</v>
      </c>
      <c r="D123" s="33">
        <v>45415.0</v>
      </c>
      <c r="E123" s="37">
        <f>(2000/30)</f>
        <v>66.66666667</v>
      </c>
      <c r="F123" s="41">
        <f> (30-'Salários'!$N123)</f>
        <v>30</v>
      </c>
      <c r="G123" s="39">
        <f t="shared" si="39"/>
        <v>2000</v>
      </c>
      <c r="H123" s="35">
        <v>184.8</v>
      </c>
      <c r="I123" s="37">
        <v>8.0</v>
      </c>
      <c r="J123" s="41"/>
      <c r="K123" s="37"/>
      <c r="L123" s="1">
        <v>1.0</v>
      </c>
      <c r="M123" s="1">
        <v>650.0</v>
      </c>
      <c r="N123" s="31"/>
      <c r="O123" s="39">
        <f t="shared" si="35"/>
        <v>2928.4</v>
      </c>
      <c r="P123" s="31">
        <v>3.597287575E9</v>
      </c>
      <c r="Q123" s="40"/>
      <c r="R123" s="4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30"/>
      <c r="B124" s="31" t="s">
        <v>30</v>
      </c>
      <c r="C124" s="32" t="str">
        <f t="shared" si="5"/>
        <v>5-2024</v>
      </c>
      <c r="D124" s="33">
        <v>45415.0</v>
      </c>
      <c r="E124" s="37">
        <v>175.0</v>
      </c>
      <c r="F124" s="41">
        <f> (30-'Salários'!$N124)</f>
        <v>30</v>
      </c>
      <c r="G124" s="39">
        <f t="shared" si="39"/>
        <v>5250</v>
      </c>
      <c r="H124" s="41"/>
      <c r="I124" s="37">
        <v>0.0</v>
      </c>
      <c r="J124" s="41"/>
      <c r="K124" s="37"/>
      <c r="L124" s="31"/>
      <c r="M124" s="31"/>
      <c r="N124" s="31"/>
      <c r="O124" s="39">
        <f t="shared" si="35"/>
        <v>5250</v>
      </c>
      <c r="P124" s="31"/>
      <c r="Q124" s="40"/>
      <c r="R124" s="4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30"/>
      <c r="B125" s="31" t="s">
        <v>29</v>
      </c>
      <c r="C125" s="32" t="str">
        <f t="shared" si="5"/>
        <v>5-2024</v>
      </c>
      <c r="D125" s="33">
        <v>45415.0</v>
      </c>
      <c r="E125" s="34">
        <v>79.6667</v>
      </c>
      <c r="F125" s="41">
        <f> (30-'Salários'!$N125)</f>
        <v>30</v>
      </c>
      <c r="G125" s="36">
        <f t="shared" si="39"/>
        <v>2390.001</v>
      </c>
      <c r="H125" s="41"/>
      <c r="I125" s="37">
        <v>0.0</v>
      </c>
      <c r="J125" s="35">
        <v>1.0</v>
      </c>
      <c r="K125" s="34">
        <v>19.98</v>
      </c>
      <c r="L125" s="1"/>
      <c r="M125" s="31"/>
      <c r="N125" s="31"/>
      <c r="O125" s="39">
        <f t="shared" si="35"/>
        <v>2409.981</v>
      </c>
      <c r="P125" s="31">
        <v>3.8974715821E10</v>
      </c>
      <c r="Q125" s="40"/>
      <c r="R125" s="4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30"/>
      <c r="B126" s="31" t="s">
        <v>24</v>
      </c>
      <c r="C126" s="32" t="str">
        <f t="shared" si="5"/>
        <v>5-2024</v>
      </c>
      <c r="D126" s="33">
        <v>45415.0</v>
      </c>
      <c r="E126" s="37">
        <v>120.0</v>
      </c>
      <c r="F126" s="35">
        <v>15.0</v>
      </c>
      <c r="G126" s="39">
        <f t="shared" si="39"/>
        <v>1800</v>
      </c>
      <c r="H126" s="41"/>
      <c r="I126" s="37">
        <v>0.0</v>
      </c>
      <c r="J126" s="35">
        <v>1.0</v>
      </c>
      <c r="K126" s="34">
        <v>77.5</v>
      </c>
      <c r="L126" s="31"/>
      <c r="M126" s="31"/>
      <c r="N126" s="31"/>
      <c r="O126" s="39">
        <f t="shared" si="35"/>
        <v>1877.5</v>
      </c>
      <c r="P126" s="31" t="s">
        <v>25</v>
      </c>
      <c r="Q126" s="40"/>
      <c r="R126" s="4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44"/>
      <c r="B127" s="45" t="s">
        <v>53</v>
      </c>
      <c r="C127" s="46" t="str">
        <f t="shared" si="5"/>
        <v>5-2024</v>
      </c>
      <c r="D127" s="33">
        <v>45415.0</v>
      </c>
      <c r="E127" s="47">
        <v>116.6666</v>
      </c>
      <c r="F127" s="48">
        <v>30.0</v>
      </c>
      <c r="G127" s="49">
        <f>F127*E127</f>
        <v>3499.998</v>
      </c>
      <c r="H127" s="50"/>
      <c r="I127" s="47">
        <v>0.0</v>
      </c>
      <c r="J127" s="50"/>
      <c r="K127" s="51"/>
      <c r="L127" s="52"/>
      <c r="M127" s="53">
        <v>1000.0</v>
      </c>
      <c r="N127" s="52"/>
      <c r="O127" s="49">
        <f>(G127)+(H127*I127)+(J127*K127)+(L127*100)-(M127)</f>
        <v>2499.998</v>
      </c>
      <c r="P127" s="45"/>
      <c r="Q127" s="52"/>
      <c r="R127" s="52"/>
      <c r="S127" s="44"/>
      <c r="T127" s="44"/>
      <c r="U127" s="44"/>
      <c r="V127" s="44"/>
      <c r="W127" s="44"/>
      <c r="X127" s="44"/>
      <c r="Y127" s="44"/>
      <c r="Z127" s="44"/>
    </row>
    <row r="128">
      <c r="A128" s="54"/>
      <c r="B128" s="55"/>
      <c r="C128" s="55" t="str">
        <f t="shared" si="5"/>
        <v>12-1899</v>
      </c>
      <c r="D128" s="55"/>
      <c r="E128" s="56"/>
      <c r="F128" s="57">
        <f> (30-'Salários'!$N128)</f>
        <v>30</v>
      </c>
      <c r="G128" s="24">
        <f t="shared" ref="G128:G140" si="40">(E128*F128)</f>
        <v>0</v>
      </c>
      <c r="H128" s="57"/>
      <c r="I128" s="56"/>
      <c r="J128" s="57"/>
      <c r="K128" s="56"/>
      <c r="L128" s="55"/>
      <c r="M128" s="55"/>
      <c r="N128" s="55"/>
      <c r="O128" s="24">
        <f t="shared" ref="O128:O165" si="41">(G128)+(H128*I128)+(J128*K128)+(L128*100)-(M128)</f>
        <v>0</v>
      </c>
      <c r="P128" s="58"/>
      <c r="Q128" s="58"/>
    </row>
    <row r="129" ht="14.25" customHeight="1">
      <c r="A129" s="54"/>
      <c r="B129" s="55"/>
      <c r="C129" s="55" t="str">
        <f t="shared" si="5"/>
        <v>12-1899</v>
      </c>
      <c r="D129" s="55"/>
      <c r="E129" s="56"/>
      <c r="F129" s="57">
        <f> (30-'Salários'!$N129)</f>
        <v>30</v>
      </c>
      <c r="G129" s="24">
        <f t="shared" si="40"/>
        <v>0</v>
      </c>
      <c r="H129" s="57"/>
      <c r="I129" s="56"/>
      <c r="J129" s="57"/>
      <c r="K129" s="56"/>
      <c r="L129" s="55"/>
      <c r="M129" s="55"/>
      <c r="N129" s="55"/>
      <c r="O129" s="24">
        <f t="shared" si="41"/>
        <v>0</v>
      </c>
      <c r="P129" s="58"/>
      <c r="Q129" s="58"/>
      <c r="R129" s="58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54"/>
      <c r="B130" s="55"/>
      <c r="C130" s="55" t="str">
        <f t="shared" si="5"/>
        <v>12-1899</v>
      </c>
      <c r="D130" s="55"/>
      <c r="E130" s="56"/>
      <c r="F130" s="57">
        <f> (30-'Salários'!$N130)</f>
        <v>30</v>
      </c>
      <c r="G130" s="24">
        <f t="shared" si="40"/>
        <v>0</v>
      </c>
      <c r="H130" s="57"/>
      <c r="I130" s="56"/>
      <c r="J130" s="57"/>
      <c r="K130" s="56"/>
      <c r="L130" s="55"/>
      <c r="M130" s="55"/>
      <c r="N130" s="55"/>
      <c r="O130" s="24">
        <f t="shared" si="41"/>
        <v>0</v>
      </c>
      <c r="P130" s="58"/>
      <c r="Q130" s="58"/>
      <c r="R130" s="58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54"/>
      <c r="B131" s="55"/>
      <c r="C131" s="55" t="str">
        <f t="shared" si="5"/>
        <v>12-1899</v>
      </c>
      <c r="D131" s="55"/>
      <c r="E131" s="56"/>
      <c r="F131" s="57">
        <f> (30-'Salários'!$N131)</f>
        <v>30</v>
      </c>
      <c r="G131" s="24">
        <f t="shared" si="40"/>
        <v>0</v>
      </c>
      <c r="H131" s="57"/>
      <c r="I131" s="56"/>
      <c r="J131" s="57"/>
      <c r="K131" s="56"/>
      <c r="L131" s="55"/>
      <c r="M131" s="55"/>
      <c r="N131" s="55"/>
      <c r="O131" s="24">
        <f t="shared" si="41"/>
        <v>0</v>
      </c>
      <c r="P131" s="58"/>
      <c r="Q131" s="58"/>
      <c r="R131" s="59"/>
      <c r="S131" s="60"/>
      <c r="T131" s="60"/>
      <c r="U131" s="60"/>
      <c r="V131" s="60"/>
      <c r="W131" s="60"/>
      <c r="X131" s="60"/>
      <c r="Y131" s="60"/>
      <c r="Z131" s="60"/>
    </row>
    <row r="132" ht="14.25" customHeight="1">
      <c r="A132" s="30"/>
      <c r="B132" s="31" t="s">
        <v>18</v>
      </c>
      <c r="C132" s="32" t="str">
        <f t="shared" si="5"/>
        <v>12-1899</v>
      </c>
      <c r="D132" s="32"/>
      <c r="E132" s="34">
        <v>81.3333</v>
      </c>
      <c r="F132" s="41">
        <f> (30-'Salários'!$N132)</f>
        <v>30</v>
      </c>
      <c r="G132" s="36">
        <f t="shared" si="40"/>
        <v>2439.999</v>
      </c>
      <c r="H132" s="35">
        <v>226.0</v>
      </c>
      <c r="I132" s="37">
        <v>20.0</v>
      </c>
      <c r="J132" s="35">
        <v>7.0</v>
      </c>
      <c r="K132" s="34">
        <v>20.0</v>
      </c>
      <c r="L132" s="1">
        <v>6.0</v>
      </c>
      <c r="M132" s="1">
        <v>1200.0</v>
      </c>
      <c r="N132" s="31"/>
      <c r="O132" s="39">
        <f t="shared" si="41"/>
        <v>6499.999</v>
      </c>
      <c r="P132" s="40"/>
      <c r="Q132" s="40"/>
      <c r="R132" s="4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30"/>
      <c r="B133" s="1" t="s">
        <v>57</v>
      </c>
      <c r="C133" s="32" t="str">
        <f t="shared" si="5"/>
        <v>12-1899</v>
      </c>
      <c r="D133" s="32"/>
      <c r="E133" s="34">
        <v>66.6667</v>
      </c>
      <c r="F133" s="41">
        <f> (30-'Salários'!$N133)</f>
        <v>30</v>
      </c>
      <c r="G133" s="36">
        <f t="shared" si="40"/>
        <v>2000.001</v>
      </c>
      <c r="H133" s="35">
        <v>114.1</v>
      </c>
      <c r="I133" s="34">
        <v>10.0</v>
      </c>
      <c r="J133" s="41"/>
      <c r="K133" s="37"/>
      <c r="L133" s="1">
        <v>1.0</v>
      </c>
      <c r="M133" s="31"/>
      <c r="N133" s="31"/>
      <c r="O133" s="39">
        <f t="shared" si="41"/>
        <v>3241.001</v>
      </c>
      <c r="P133" s="40"/>
      <c r="Q133" s="40"/>
      <c r="R133" s="4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30"/>
      <c r="B134" s="31" t="s">
        <v>22</v>
      </c>
      <c r="C134" s="32" t="str">
        <f t="shared" si="5"/>
        <v>12-1899</v>
      </c>
      <c r="D134" s="32"/>
      <c r="E134" s="37">
        <v>50.0</v>
      </c>
      <c r="F134" s="41">
        <f> (30-'Salários'!$N134)</f>
        <v>30</v>
      </c>
      <c r="G134" s="39">
        <f t="shared" si="40"/>
        <v>1500</v>
      </c>
      <c r="H134" s="35">
        <v>215.0</v>
      </c>
      <c r="I134" s="34">
        <v>15.0</v>
      </c>
      <c r="J134" s="35">
        <v>1.2</v>
      </c>
      <c r="K134" s="34">
        <v>3.33</v>
      </c>
      <c r="L134" s="1">
        <v>1.0</v>
      </c>
      <c r="M134" s="31"/>
      <c r="N134" s="31"/>
      <c r="O134" s="39">
        <f t="shared" si="41"/>
        <v>4828.996</v>
      </c>
      <c r="P134" s="40"/>
      <c r="Q134" s="40"/>
      <c r="R134" s="4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30"/>
      <c r="B135" s="31" t="s">
        <v>26</v>
      </c>
      <c r="C135" s="32" t="str">
        <f t="shared" si="5"/>
        <v>12-1899</v>
      </c>
      <c r="D135" s="32"/>
      <c r="E135" s="37">
        <v>100.0</v>
      </c>
      <c r="F135" s="41">
        <f> (30-'Salários'!$N135)</f>
        <v>30</v>
      </c>
      <c r="G135" s="39">
        <f t="shared" si="40"/>
        <v>3000</v>
      </c>
      <c r="H135" s="35">
        <v>259.5</v>
      </c>
      <c r="I135" s="34">
        <v>13.0</v>
      </c>
      <c r="J135" s="35">
        <v>27.6</v>
      </c>
      <c r="K135" s="34">
        <v>13.0</v>
      </c>
      <c r="L135" s="1">
        <v>5.0</v>
      </c>
      <c r="M135" s="31"/>
      <c r="N135" s="31"/>
      <c r="O135" s="39">
        <f t="shared" si="41"/>
        <v>7232.3</v>
      </c>
      <c r="P135" s="43" t="s">
        <v>33</v>
      </c>
      <c r="Q135" s="40"/>
      <c r="R135" s="52"/>
      <c r="S135" s="44"/>
      <c r="T135" s="44"/>
      <c r="U135" s="44"/>
      <c r="V135" s="44"/>
      <c r="W135" s="44"/>
      <c r="X135" s="44"/>
      <c r="Y135" s="44"/>
      <c r="Z135" s="44"/>
    </row>
    <row r="136" ht="14.25" customHeight="1">
      <c r="A136" s="30"/>
      <c r="B136" s="1" t="s">
        <v>58</v>
      </c>
      <c r="C136" s="32" t="str">
        <f t="shared" si="5"/>
        <v>12-1899</v>
      </c>
      <c r="D136" s="61"/>
      <c r="E136" s="34">
        <v>66.6667</v>
      </c>
      <c r="F136" s="41">
        <f> (30-'Salários'!$N136)</f>
        <v>30</v>
      </c>
      <c r="G136" s="36">
        <f t="shared" si="40"/>
        <v>2000.001</v>
      </c>
      <c r="H136" s="35">
        <v>162.8</v>
      </c>
      <c r="I136" s="34">
        <v>15.0</v>
      </c>
      <c r="J136" s="35"/>
      <c r="K136" s="37"/>
      <c r="L136" s="1">
        <v>3.0</v>
      </c>
      <c r="M136" s="1">
        <v>2000.0</v>
      </c>
      <c r="N136" s="31"/>
      <c r="O136" s="39">
        <f t="shared" si="41"/>
        <v>2742.001</v>
      </c>
      <c r="P136" s="40"/>
      <c r="Q136" s="40"/>
      <c r="R136" s="4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30"/>
      <c r="B137" s="31" t="s">
        <v>32</v>
      </c>
      <c r="C137" s="32" t="str">
        <f t="shared" si="5"/>
        <v>12-1899</v>
      </c>
      <c r="D137" s="32"/>
      <c r="E137" s="34">
        <v>66.6667</v>
      </c>
      <c r="F137" s="41">
        <f> (30-'Salários'!$N137)</f>
        <v>30</v>
      </c>
      <c r="G137" s="36">
        <f t="shared" si="40"/>
        <v>2000.001</v>
      </c>
      <c r="H137" s="41"/>
      <c r="I137" s="34">
        <v>3.0</v>
      </c>
      <c r="J137" s="41"/>
      <c r="K137" s="37"/>
      <c r="L137" s="31"/>
      <c r="M137" s="31"/>
      <c r="N137" s="31"/>
      <c r="O137" s="39">
        <f t="shared" si="41"/>
        <v>2000.001</v>
      </c>
      <c r="P137" s="40"/>
      <c r="Q137" s="40"/>
      <c r="R137" s="4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0"/>
      <c r="B138" s="31" t="s">
        <v>31</v>
      </c>
      <c r="C138" s="32" t="str">
        <f t="shared" si="5"/>
        <v>12-1899</v>
      </c>
      <c r="D138" s="32"/>
      <c r="E138" s="37">
        <f>(2000/30)</f>
        <v>66.66666667</v>
      </c>
      <c r="F138" s="41">
        <f> (30-'Salários'!$N138)</f>
        <v>30</v>
      </c>
      <c r="G138" s="39">
        <f t="shared" si="40"/>
        <v>2000</v>
      </c>
      <c r="H138" s="35">
        <v>178.5</v>
      </c>
      <c r="I138" s="37">
        <v>8.0</v>
      </c>
      <c r="J138" s="41"/>
      <c r="K138" s="37"/>
      <c r="L138" s="1">
        <v>2.0</v>
      </c>
      <c r="M138" s="1">
        <v>2500.0</v>
      </c>
      <c r="N138" s="31"/>
      <c r="O138" s="39">
        <f t="shared" si="41"/>
        <v>1128</v>
      </c>
      <c r="P138" s="40"/>
      <c r="Q138" s="40"/>
      <c r="R138" s="4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30"/>
      <c r="B139" s="31" t="s">
        <v>30</v>
      </c>
      <c r="C139" s="32" t="str">
        <f t="shared" si="5"/>
        <v>12-1899</v>
      </c>
      <c r="D139" s="32"/>
      <c r="E139" s="37">
        <v>175.0</v>
      </c>
      <c r="F139" s="41">
        <f> (30-'Salários'!$N139)</f>
        <v>30</v>
      </c>
      <c r="G139" s="39">
        <f t="shared" si="40"/>
        <v>5250</v>
      </c>
      <c r="H139" s="41"/>
      <c r="I139" s="37">
        <v>0.0</v>
      </c>
      <c r="J139" s="41"/>
      <c r="K139" s="37"/>
      <c r="L139" s="31"/>
      <c r="M139" s="31"/>
      <c r="N139" s="31"/>
      <c r="O139" s="39">
        <f t="shared" si="41"/>
        <v>5250</v>
      </c>
      <c r="P139" s="40"/>
      <c r="Q139" s="40"/>
      <c r="R139" s="4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30"/>
      <c r="B140" s="31" t="s">
        <v>29</v>
      </c>
      <c r="C140" s="32" t="str">
        <f t="shared" si="5"/>
        <v>12-1899</v>
      </c>
      <c r="D140" s="32"/>
      <c r="E140" s="34">
        <v>79.6667</v>
      </c>
      <c r="F140" s="41">
        <f> (30-'Salários'!$N140)</f>
        <v>30</v>
      </c>
      <c r="G140" s="36">
        <f t="shared" si="40"/>
        <v>2390.001</v>
      </c>
      <c r="H140" s="41"/>
      <c r="I140" s="37">
        <v>0.0</v>
      </c>
      <c r="J140" s="41"/>
      <c r="K140" s="37"/>
      <c r="L140" s="31"/>
      <c r="M140" s="31"/>
      <c r="N140" s="31"/>
      <c r="O140" s="39">
        <f t="shared" si="41"/>
        <v>2390.001</v>
      </c>
      <c r="P140" s="40"/>
      <c r="Q140" s="40"/>
      <c r="R140" s="4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30"/>
      <c r="B141" s="31" t="s">
        <v>24</v>
      </c>
      <c r="C141" s="32" t="str">
        <f t="shared" si="5"/>
        <v>12-1899</v>
      </c>
      <c r="D141" s="32"/>
      <c r="E141" s="37">
        <v>120.0</v>
      </c>
      <c r="F141" s="35">
        <v>15.0</v>
      </c>
      <c r="G141" s="36">
        <v>2000.0</v>
      </c>
      <c r="H141" s="41"/>
      <c r="I141" s="37">
        <v>0.0</v>
      </c>
      <c r="J141" s="41"/>
      <c r="K141" s="37"/>
      <c r="L141" s="31"/>
      <c r="M141" s="31"/>
      <c r="N141" s="31"/>
      <c r="O141" s="39">
        <f t="shared" si="41"/>
        <v>2000</v>
      </c>
      <c r="P141" s="40"/>
      <c r="Q141" s="40"/>
      <c r="R141" s="4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30"/>
      <c r="B142" s="45" t="s">
        <v>53</v>
      </c>
      <c r="C142" s="46" t="str">
        <f t="shared" si="5"/>
        <v>12-1899</v>
      </c>
      <c r="D142" s="62"/>
      <c r="E142" s="47">
        <v>116.6666</v>
      </c>
      <c r="F142" s="48">
        <v>30.0</v>
      </c>
      <c r="G142" s="49">
        <f>F142*E142</f>
        <v>3499.998</v>
      </c>
      <c r="H142" s="41"/>
      <c r="I142" s="47">
        <v>0.0</v>
      </c>
      <c r="J142" s="41"/>
      <c r="K142" s="37"/>
      <c r="L142" s="31"/>
      <c r="M142" s="1">
        <v>700.0</v>
      </c>
      <c r="N142" s="31"/>
      <c r="O142" s="39">
        <f t="shared" si="41"/>
        <v>2799.998</v>
      </c>
      <c r="P142" s="40"/>
      <c r="Q142" s="40"/>
      <c r="R142" s="4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54"/>
      <c r="B143" s="55"/>
      <c r="C143" s="55" t="str">
        <f t="shared" si="5"/>
        <v>12-1899</v>
      </c>
      <c r="D143" s="55"/>
      <c r="E143" s="56"/>
      <c r="F143" s="57">
        <f> (30-'Salários'!$N143)</f>
        <v>30</v>
      </c>
      <c r="G143" s="24">
        <f t="shared" ref="G143:G149" si="42">(E143*F143)</f>
        <v>0</v>
      </c>
      <c r="H143" s="57"/>
      <c r="I143" s="56"/>
      <c r="J143" s="57"/>
      <c r="K143" s="56"/>
      <c r="L143" s="55"/>
      <c r="M143" s="55"/>
      <c r="N143" s="55"/>
      <c r="O143" s="24">
        <f t="shared" si="41"/>
        <v>0</v>
      </c>
      <c r="P143" s="58"/>
      <c r="Q143" s="58"/>
      <c r="R143" s="7"/>
    </row>
    <row r="144" ht="14.25" customHeight="1">
      <c r="A144" s="54"/>
      <c r="B144" s="55"/>
      <c r="C144" s="55" t="str">
        <f t="shared" si="5"/>
        <v>12-1899</v>
      </c>
      <c r="D144" s="55"/>
      <c r="E144" s="56"/>
      <c r="F144" s="57">
        <f> (30-'Salários'!$N144)</f>
        <v>30</v>
      </c>
      <c r="G144" s="24">
        <f t="shared" si="42"/>
        <v>0</v>
      </c>
      <c r="H144" s="57"/>
      <c r="I144" s="56"/>
      <c r="J144" s="57"/>
      <c r="K144" s="56"/>
      <c r="L144" s="55"/>
      <c r="M144" s="55"/>
      <c r="N144" s="55"/>
      <c r="O144" s="24">
        <f t="shared" si="41"/>
        <v>0</v>
      </c>
      <c r="P144" s="58"/>
      <c r="Q144" s="58"/>
      <c r="R144" s="7"/>
    </row>
    <row r="145" ht="14.25" customHeight="1">
      <c r="A145" s="54"/>
      <c r="B145" s="55"/>
      <c r="C145" s="55" t="str">
        <f t="shared" si="5"/>
        <v>12-1899</v>
      </c>
      <c r="D145" s="55"/>
      <c r="E145" s="56"/>
      <c r="F145" s="57">
        <f> (30-'Salários'!$N145)</f>
        <v>30</v>
      </c>
      <c r="G145" s="24">
        <f t="shared" si="42"/>
        <v>0</v>
      </c>
      <c r="H145" s="63"/>
      <c r="I145" s="56"/>
      <c r="J145" s="57"/>
      <c r="K145" s="56"/>
      <c r="L145" s="55"/>
      <c r="M145" s="55"/>
      <c r="N145" s="55"/>
      <c r="O145" s="24">
        <f t="shared" si="41"/>
        <v>0</v>
      </c>
      <c r="P145" s="58"/>
      <c r="Q145" s="58"/>
      <c r="R145" s="59"/>
      <c r="S145" s="60"/>
      <c r="T145" s="60"/>
      <c r="U145" s="60"/>
      <c r="V145" s="60"/>
      <c r="W145" s="60"/>
      <c r="X145" s="60"/>
      <c r="Y145" s="60"/>
      <c r="Z145" s="60"/>
    </row>
    <row r="146" ht="14.25" customHeight="1">
      <c r="A146" s="30"/>
      <c r="B146" s="31" t="s">
        <v>18</v>
      </c>
      <c r="C146" s="32" t="str">
        <f t="shared" si="5"/>
        <v>12-1899</v>
      </c>
      <c r="D146" s="32"/>
      <c r="E146" s="34">
        <v>81.3333</v>
      </c>
      <c r="F146" s="41">
        <f> (30-'Salários'!$N146)</f>
        <v>30</v>
      </c>
      <c r="G146" s="36">
        <f t="shared" si="42"/>
        <v>2439.999</v>
      </c>
      <c r="H146" s="35">
        <v>156.0</v>
      </c>
      <c r="I146" s="37">
        <v>20.0</v>
      </c>
      <c r="J146" s="35">
        <v>2.0</v>
      </c>
      <c r="K146" s="34">
        <v>20.0</v>
      </c>
      <c r="L146" s="1">
        <v>4.0</v>
      </c>
      <c r="M146" s="1"/>
      <c r="N146" s="31"/>
      <c r="O146" s="39">
        <f t="shared" si="41"/>
        <v>5999.999</v>
      </c>
      <c r="P146" s="43" t="s">
        <v>60</v>
      </c>
      <c r="Q146" s="40"/>
      <c r="R146" s="4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30"/>
      <c r="B147" s="1" t="s">
        <v>57</v>
      </c>
      <c r="C147" s="32" t="str">
        <f t="shared" si="5"/>
        <v>12-1899</v>
      </c>
      <c r="D147" s="32"/>
      <c r="E147" s="34">
        <v>66.6667</v>
      </c>
      <c r="F147" s="41">
        <f> (30-'Salários'!$N147)</f>
        <v>30</v>
      </c>
      <c r="G147" s="36">
        <f t="shared" si="42"/>
        <v>2000.001</v>
      </c>
      <c r="H147" s="35">
        <v>180.8</v>
      </c>
      <c r="I147" s="34">
        <v>10.0</v>
      </c>
      <c r="J147" s="35"/>
      <c r="K147" s="37"/>
      <c r="L147" s="1">
        <v>1.0</v>
      </c>
      <c r="M147" s="1">
        <v>200.0</v>
      </c>
      <c r="N147" s="31"/>
      <c r="O147" s="39">
        <f t="shared" si="41"/>
        <v>3708.001</v>
      </c>
      <c r="P147" s="40"/>
      <c r="Q147" s="40"/>
      <c r="R147" s="4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30"/>
      <c r="B148" s="31" t="s">
        <v>22</v>
      </c>
      <c r="C148" s="32" t="str">
        <f t="shared" si="5"/>
        <v>12-1899</v>
      </c>
      <c r="D148" s="32"/>
      <c r="E148" s="37">
        <v>50.0</v>
      </c>
      <c r="F148" s="41">
        <f> (30-'Salários'!$N148)</f>
        <v>30</v>
      </c>
      <c r="G148" s="39">
        <f t="shared" si="42"/>
        <v>1500</v>
      </c>
      <c r="H148" s="35">
        <v>150.0</v>
      </c>
      <c r="I148" s="34">
        <v>10.0</v>
      </c>
      <c r="J148" s="35">
        <v>0.2</v>
      </c>
      <c r="K148" s="34">
        <v>3.33</v>
      </c>
      <c r="L148" s="1">
        <v>2.0</v>
      </c>
      <c r="M148" s="31"/>
      <c r="N148" s="31"/>
      <c r="O148" s="39">
        <f t="shared" si="41"/>
        <v>3200.666</v>
      </c>
      <c r="P148" s="40"/>
      <c r="Q148" s="40"/>
      <c r="R148" s="4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0"/>
      <c r="B149" s="31" t="s">
        <v>26</v>
      </c>
      <c r="C149" s="32" t="str">
        <f t="shared" si="5"/>
        <v>12-1899</v>
      </c>
      <c r="D149" s="32"/>
      <c r="E149" s="37">
        <v>100.0</v>
      </c>
      <c r="F149" s="41">
        <f> (30-'Salários'!$N149)</f>
        <v>30</v>
      </c>
      <c r="G149" s="39">
        <f t="shared" si="42"/>
        <v>3000</v>
      </c>
      <c r="H149" s="35">
        <v>254.4</v>
      </c>
      <c r="I149" s="34">
        <v>13.0</v>
      </c>
      <c r="J149" s="35">
        <v>31.3</v>
      </c>
      <c r="K149" s="34">
        <v>13.0</v>
      </c>
      <c r="L149" s="1">
        <v>3.5</v>
      </c>
      <c r="M149" s="31"/>
      <c r="N149" s="31"/>
      <c r="O149" s="39">
        <f t="shared" si="41"/>
        <v>7064.1</v>
      </c>
      <c r="P149" s="43" t="s">
        <v>33</v>
      </c>
      <c r="Q149" s="40"/>
      <c r="R149" s="52"/>
      <c r="S149" s="44"/>
      <c r="T149" s="44"/>
      <c r="U149" s="44"/>
      <c r="V149" s="44"/>
      <c r="W149" s="44"/>
      <c r="X149" s="44"/>
      <c r="Y149" s="44"/>
      <c r="Z149" s="44"/>
    </row>
    <row r="150" ht="14.25" customHeight="1">
      <c r="A150" s="30"/>
      <c r="B150" s="1" t="s">
        <v>58</v>
      </c>
      <c r="C150" s="32" t="str">
        <f t="shared" si="5"/>
        <v>12-1899</v>
      </c>
      <c r="D150" s="61"/>
      <c r="E150" s="34">
        <v>66.6667</v>
      </c>
      <c r="F150" s="35">
        <v>21.0</v>
      </c>
      <c r="G150" s="36"/>
      <c r="H150" s="35">
        <v>97.7</v>
      </c>
      <c r="I150" s="34">
        <v>15.0</v>
      </c>
      <c r="J150" s="35"/>
      <c r="K150" s="37"/>
      <c r="L150" s="1"/>
      <c r="M150" s="1"/>
      <c r="N150" s="31"/>
      <c r="O150" s="39">
        <f t="shared" si="41"/>
        <v>1465.5</v>
      </c>
      <c r="P150" s="40"/>
      <c r="Q150" s="40"/>
      <c r="R150" s="4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30"/>
      <c r="B151" s="31" t="s">
        <v>32</v>
      </c>
      <c r="C151" s="32" t="str">
        <f t="shared" si="5"/>
        <v>12-1899</v>
      </c>
      <c r="D151" s="32"/>
      <c r="E151" s="34">
        <v>66.6667</v>
      </c>
      <c r="F151" s="41">
        <f> (30-'Salários'!$N151)</f>
        <v>30</v>
      </c>
      <c r="G151" s="36">
        <f t="shared" ref="G151:G155" si="43">(E151*F151)</f>
        <v>2000.001</v>
      </c>
      <c r="H151" s="35">
        <v>53.4</v>
      </c>
      <c r="I151" s="34">
        <v>3.0</v>
      </c>
      <c r="J151" s="41"/>
      <c r="K151" s="37"/>
      <c r="L151" s="31"/>
      <c r="M151" s="1">
        <v>480.0</v>
      </c>
      <c r="N151" s="31"/>
      <c r="O151" s="39">
        <f t="shared" si="41"/>
        <v>1680.201</v>
      </c>
      <c r="P151" s="40"/>
      <c r="Q151" s="40"/>
      <c r="R151" s="4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30"/>
      <c r="B152" s="31" t="s">
        <v>31</v>
      </c>
      <c r="C152" s="32" t="str">
        <f t="shared" si="5"/>
        <v>12-1899</v>
      </c>
      <c r="D152" s="32"/>
      <c r="E152" s="37">
        <f>(2000/30)</f>
        <v>66.66666667</v>
      </c>
      <c r="F152" s="41">
        <f> (30-'Salários'!$N152)</f>
        <v>30</v>
      </c>
      <c r="G152" s="39">
        <f t="shared" si="43"/>
        <v>2000</v>
      </c>
      <c r="H152" s="35">
        <v>116.5</v>
      </c>
      <c r="I152" s="37">
        <v>8.0</v>
      </c>
      <c r="J152" s="41"/>
      <c r="K152" s="37"/>
      <c r="L152" s="1">
        <v>0.5</v>
      </c>
      <c r="M152" s="1">
        <v>1600.0</v>
      </c>
      <c r="N152" s="31"/>
      <c r="O152" s="39">
        <f t="shared" si="41"/>
        <v>1382</v>
      </c>
      <c r="P152" s="40"/>
      <c r="Q152" s="40"/>
      <c r="R152" s="4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30"/>
      <c r="B153" s="31" t="s">
        <v>30</v>
      </c>
      <c r="C153" s="32" t="str">
        <f t="shared" si="5"/>
        <v>12-1899</v>
      </c>
      <c r="D153" s="32"/>
      <c r="E153" s="37">
        <v>175.0</v>
      </c>
      <c r="F153" s="41">
        <f> (30-'Salários'!$N153)</f>
        <v>30</v>
      </c>
      <c r="G153" s="39">
        <f t="shared" si="43"/>
        <v>5250</v>
      </c>
      <c r="H153" s="41"/>
      <c r="I153" s="37">
        <v>0.0</v>
      </c>
      <c r="J153" s="41"/>
      <c r="K153" s="37"/>
      <c r="L153" s="31"/>
      <c r="M153" s="31"/>
      <c r="N153" s="31"/>
      <c r="O153" s="39">
        <f t="shared" si="41"/>
        <v>5250</v>
      </c>
      <c r="P153" s="40"/>
      <c r="Q153" s="40"/>
      <c r="R153" s="4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30"/>
      <c r="B154" s="31" t="s">
        <v>29</v>
      </c>
      <c r="C154" s="32" t="str">
        <f t="shared" si="5"/>
        <v>12-1899</v>
      </c>
      <c r="D154" s="32"/>
      <c r="E154" s="34">
        <v>79.6667</v>
      </c>
      <c r="F154" s="41">
        <f> (30-'Salários'!$N154)</f>
        <v>30</v>
      </c>
      <c r="G154" s="36">
        <f t="shared" si="43"/>
        <v>2390.001</v>
      </c>
      <c r="H154" s="41"/>
      <c r="I154" s="37">
        <v>0.0</v>
      </c>
      <c r="J154" s="35">
        <v>1.0</v>
      </c>
      <c r="K154" s="34">
        <v>10.0</v>
      </c>
      <c r="L154" s="31"/>
      <c r="M154" s="31"/>
      <c r="N154" s="31"/>
      <c r="O154" s="39">
        <f t="shared" si="41"/>
        <v>2400.001</v>
      </c>
      <c r="P154" s="40"/>
      <c r="Q154" s="40"/>
      <c r="R154" s="4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30"/>
      <c r="B155" s="31" t="s">
        <v>24</v>
      </c>
      <c r="C155" s="32" t="str">
        <f t="shared" si="5"/>
        <v>12-1899</v>
      </c>
      <c r="D155" s="32"/>
      <c r="E155" s="34">
        <v>133.333</v>
      </c>
      <c r="F155" s="35">
        <v>16.0</v>
      </c>
      <c r="G155" s="36">
        <f t="shared" si="43"/>
        <v>2133.328</v>
      </c>
      <c r="H155" s="41"/>
      <c r="I155" s="37">
        <v>0.0</v>
      </c>
      <c r="J155" s="35">
        <v>1.0</v>
      </c>
      <c r="K155" s="34">
        <v>628.85</v>
      </c>
      <c r="L155" s="31"/>
      <c r="M155" s="31"/>
      <c r="N155" s="31"/>
      <c r="O155" s="39">
        <f t="shared" si="41"/>
        <v>2762.178</v>
      </c>
      <c r="P155" s="40"/>
      <c r="Q155" s="40"/>
      <c r="R155" s="4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30"/>
      <c r="B156" s="45" t="s">
        <v>53</v>
      </c>
      <c r="C156" s="46" t="str">
        <f t="shared" si="5"/>
        <v>12-1899</v>
      </c>
      <c r="D156" s="62"/>
      <c r="E156" s="47">
        <v>116.6666</v>
      </c>
      <c r="F156" s="41">
        <f> (30-'Salários'!$N156)</f>
        <v>30</v>
      </c>
      <c r="G156" s="49">
        <f>F156*E156</f>
        <v>3499.998</v>
      </c>
      <c r="H156" s="41"/>
      <c r="I156" s="47">
        <v>0.0</v>
      </c>
      <c r="J156" s="41"/>
      <c r="K156" s="37"/>
      <c r="L156" s="31"/>
      <c r="M156" s="1">
        <v>700.0</v>
      </c>
      <c r="N156" s="31"/>
      <c r="O156" s="39">
        <f t="shared" si="41"/>
        <v>2799.998</v>
      </c>
      <c r="P156" s="40"/>
      <c r="Q156" s="40"/>
      <c r="R156" s="4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54"/>
      <c r="B157" s="55"/>
      <c r="C157" s="55" t="str">
        <f t="shared" si="5"/>
        <v>12-1899</v>
      </c>
      <c r="D157" s="55"/>
      <c r="E157" s="56"/>
      <c r="F157" s="57">
        <f> (30-'Salários'!$N157)</f>
        <v>30</v>
      </c>
      <c r="G157" s="24">
        <f t="shared" ref="G157:G162" si="44">(E157*F157)</f>
        <v>0</v>
      </c>
      <c r="H157" s="57"/>
      <c r="I157" s="56"/>
      <c r="J157" s="57"/>
      <c r="K157" s="56"/>
      <c r="L157" s="55"/>
      <c r="M157" s="55"/>
      <c r="N157" s="55"/>
      <c r="O157" s="24">
        <f t="shared" si="41"/>
        <v>0</v>
      </c>
      <c r="P157" s="58"/>
      <c r="Q157" s="58"/>
      <c r="R157" s="58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54"/>
      <c r="B158" s="55"/>
      <c r="C158" s="55" t="str">
        <f t="shared" si="5"/>
        <v>12-1899</v>
      </c>
      <c r="D158" s="55"/>
      <c r="E158" s="56"/>
      <c r="F158" s="57">
        <f> (30-'Salários'!$N158)</f>
        <v>30</v>
      </c>
      <c r="G158" s="24">
        <f t="shared" si="44"/>
        <v>0</v>
      </c>
      <c r="H158" s="57"/>
      <c r="I158" s="56"/>
      <c r="J158" s="57"/>
      <c r="K158" s="56"/>
      <c r="L158" s="55"/>
      <c r="M158" s="55"/>
      <c r="N158" s="55"/>
      <c r="O158" s="24">
        <f t="shared" si="41"/>
        <v>0</v>
      </c>
      <c r="P158" s="58"/>
      <c r="Q158" s="58"/>
      <c r="R158" s="58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54"/>
      <c r="B159" s="55"/>
      <c r="C159" s="55" t="str">
        <f t="shared" si="5"/>
        <v>12-1899</v>
      </c>
      <c r="D159" s="55"/>
      <c r="E159" s="56"/>
      <c r="F159" s="57">
        <f> (30-'Salários'!$N159)</f>
        <v>30</v>
      </c>
      <c r="G159" s="24">
        <f t="shared" si="44"/>
        <v>0</v>
      </c>
      <c r="H159" s="57"/>
      <c r="I159" s="56"/>
      <c r="J159" s="57"/>
      <c r="K159" s="56"/>
      <c r="L159" s="55"/>
      <c r="M159" s="55"/>
      <c r="N159" s="55"/>
      <c r="O159" s="24">
        <f t="shared" si="41"/>
        <v>0</v>
      </c>
      <c r="P159" s="58"/>
      <c r="Q159" s="58"/>
      <c r="R159" s="59"/>
      <c r="S159" s="60"/>
      <c r="T159" s="60"/>
      <c r="U159" s="60"/>
      <c r="V159" s="60"/>
      <c r="W159" s="60"/>
      <c r="X159" s="60"/>
      <c r="Y159" s="60"/>
      <c r="Z159" s="60"/>
    </row>
    <row r="160" ht="14.25" customHeight="1">
      <c r="A160" s="54"/>
      <c r="B160" s="55"/>
      <c r="C160" s="55" t="str">
        <f t="shared" si="5"/>
        <v>12-1899</v>
      </c>
      <c r="D160" s="55"/>
      <c r="E160" s="56"/>
      <c r="F160" s="57">
        <f> (30-'Salários'!$N160)</f>
        <v>30</v>
      </c>
      <c r="G160" s="24">
        <f t="shared" si="44"/>
        <v>0</v>
      </c>
      <c r="H160" s="57"/>
      <c r="I160" s="56"/>
      <c r="J160" s="57"/>
      <c r="K160" s="56"/>
      <c r="L160" s="55"/>
      <c r="M160" s="55"/>
      <c r="N160" s="55"/>
      <c r="O160" s="24">
        <f t="shared" si="41"/>
        <v>0</v>
      </c>
      <c r="P160" s="58"/>
      <c r="Q160" s="58"/>
      <c r="R160" s="58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30"/>
      <c r="B161" s="31" t="s">
        <v>18</v>
      </c>
      <c r="C161" s="32" t="str">
        <f t="shared" si="5"/>
        <v>8-2024</v>
      </c>
      <c r="D161" s="33">
        <v>45509.0</v>
      </c>
      <c r="E161" s="34">
        <v>81.3333</v>
      </c>
      <c r="F161" s="41">
        <f> (30-'Salários'!$N161)</f>
        <v>30</v>
      </c>
      <c r="G161" s="36">
        <f t="shared" si="44"/>
        <v>2439.999</v>
      </c>
      <c r="H161" s="35">
        <v>195.0</v>
      </c>
      <c r="I161" s="37">
        <v>20.0</v>
      </c>
      <c r="J161" s="35">
        <v>2.0</v>
      </c>
      <c r="K161" s="34">
        <v>20.0</v>
      </c>
      <c r="L161" s="1">
        <v>3.0</v>
      </c>
      <c r="M161" s="1">
        <v>1200.0</v>
      </c>
      <c r="N161" s="31"/>
      <c r="O161" s="39">
        <f t="shared" si="41"/>
        <v>5479.999</v>
      </c>
      <c r="P161" s="43"/>
      <c r="Q161" s="40"/>
      <c r="R161" s="4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30"/>
      <c r="B162" s="1" t="s">
        <v>57</v>
      </c>
      <c r="C162" s="32" t="str">
        <f t="shared" si="5"/>
        <v>8-2024</v>
      </c>
      <c r="D162" s="33">
        <v>45510.0</v>
      </c>
      <c r="E162" s="34">
        <v>66.6667</v>
      </c>
      <c r="F162" s="41">
        <f> (30-'Salários'!$N162)</f>
        <v>30</v>
      </c>
      <c r="G162" s="36">
        <f t="shared" si="44"/>
        <v>2000.001</v>
      </c>
      <c r="H162" s="35">
        <v>173.7</v>
      </c>
      <c r="I162" s="34">
        <v>10.0</v>
      </c>
      <c r="J162" s="35"/>
      <c r="K162" s="37"/>
      <c r="L162" s="1">
        <v>0.5</v>
      </c>
      <c r="M162" s="1"/>
      <c r="N162" s="31"/>
      <c r="O162" s="39">
        <f t="shared" si="41"/>
        <v>3787.001</v>
      </c>
      <c r="P162" s="40"/>
      <c r="Q162" s="43" t="s">
        <v>61</v>
      </c>
      <c r="R162" s="4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30"/>
      <c r="B163" s="31" t="s">
        <v>22</v>
      </c>
      <c r="C163" s="32" t="str">
        <f t="shared" si="5"/>
        <v>8-2024</v>
      </c>
      <c r="D163" s="33">
        <v>45511.0</v>
      </c>
      <c r="E163" s="37">
        <v>50.0</v>
      </c>
      <c r="F163" s="41">
        <f> (30-'Salários'!$N163)</f>
        <v>30</v>
      </c>
      <c r="G163" s="36">
        <v>2000.0</v>
      </c>
      <c r="H163" s="35">
        <v>219.0</v>
      </c>
      <c r="I163" s="34">
        <v>15.0</v>
      </c>
      <c r="J163" s="35">
        <v>5.1</v>
      </c>
      <c r="K163" s="34">
        <v>3.33</v>
      </c>
      <c r="L163" s="1">
        <v>0.5</v>
      </c>
      <c r="M163" s="1"/>
      <c r="N163" s="31"/>
      <c r="O163" s="39">
        <f t="shared" si="41"/>
        <v>5351.983</v>
      </c>
      <c r="P163" s="40"/>
      <c r="Q163" s="43" t="s">
        <v>62</v>
      </c>
      <c r="R163" s="64">
        <v>7000.0</v>
      </c>
      <c r="S163" s="44"/>
      <c r="T163" s="44"/>
      <c r="U163" s="44"/>
      <c r="V163" s="44"/>
      <c r="W163" s="44"/>
      <c r="X163" s="44"/>
      <c r="Y163" s="44"/>
      <c r="Z163" s="44"/>
    </row>
    <row r="164" ht="14.25" customHeight="1">
      <c r="A164" s="30"/>
      <c r="B164" s="31" t="s">
        <v>26</v>
      </c>
      <c r="C164" s="32" t="str">
        <f t="shared" si="5"/>
        <v>8-2024</v>
      </c>
      <c r="D164" s="33">
        <v>45512.0</v>
      </c>
      <c r="E164" s="37">
        <v>100.0</v>
      </c>
      <c r="F164" s="41">
        <f> (30-'Salários'!$N164)</f>
        <v>30</v>
      </c>
      <c r="G164" s="39">
        <f>(E164*F164)</f>
        <v>3000</v>
      </c>
      <c r="H164" s="35">
        <v>200.0</v>
      </c>
      <c r="I164" s="34">
        <v>20.0</v>
      </c>
      <c r="J164" s="35"/>
      <c r="K164" s="34"/>
      <c r="L164" s="1"/>
      <c r="M164" s="31"/>
      <c r="N164" s="31"/>
      <c r="O164" s="39">
        <f t="shared" si="41"/>
        <v>7000</v>
      </c>
      <c r="P164" s="43"/>
      <c r="Q164" s="43" t="s">
        <v>63</v>
      </c>
      <c r="R164" s="65">
        <v>5351.98</v>
      </c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30"/>
      <c r="B165" s="1"/>
      <c r="C165" s="32" t="str">
        <f t="shared" si="5"/>
        <v>8-2024</v>
      </c>
      <c r="D165" s="33">
        <v>45513.0</v>
      </c>
      <c r="E165" s="34">
        <v>66.6667</v>
      </c>
      <c r="F165" s="35">
        <v>21.0</v>
      </c>
      <c r="G165" s="36"/>
      <c r="H165" s="35"/>
      <c r="I165" s="34">
        <v>15.0</v>
      </c>
      <c r="J165" s="35"/>
      <c r="K165" s="37"/>
      <c r="L165" s="1"/>
      <c r="M165" s="1"/>
      <c r="N165" s="31"/>
      <c r="O165" s="39">
        <f t="shared" si="41"/>
        <v>0</v>
      </c>
      <c r="P165" s="40"/>
      <c r="Q165" s="43" t="s">
        <v>64</v>
      </c>
      <c r="R165" s="66">
        <f>R163-R164</f>
        <v>1648.02</v>
      </c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30"/>
      <c r="B166" s="31" t="s">
        <v>32</v>
      </c>
      <c r="C166" s="32" t="str">
        <f t="shared" si="5"/>
        <v>8-2024</v>
      </c>
      <c r="D166" s="33">
        <v>45514.0</v>
      </c>
      <c r="E166" s="34">
        <v>66.6667</v>
      </c>
      <c r="F166" s="41">
        <f> (30-'Salários'!$N166)</f>
        <v>30</v>
      </c>
      <c r="G166" s="36">
        <f t="shared" ref="G166:G170" si="45">(E166*F166)</f>
        <v>2000.001</v>
      </c>
      <c r="H166" s="41"/>
      <c r="I166" s="34">
        <v>3.0</v>
      </c>
      <c r="J166" s="41"/>
      <c r="K166" s="37"/>
      <c r="L166" s="31"/>
      <c r="M166" s="1"/>
      <c r="N166" s="31"/>
      <c r="O166" s="36">
        <v>3523.67</v>
      </c>
      <c r="P166" s="43" t="s">
        <v>65</v>
      </c>
      <c r="Q166" s="40"/>
      <c r="R166" s="4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30"/>
      <c r="B167" s="31" t="s">
        <v>31</v>
      </c>
      <c r="C167" s="32" t="str">
        <f t="shared" si="5"/>
        <v>8-2024</v>
      </c>
      <c r="D167" s="33">
        <v>45515.0</v>
      </c>
      <c r="E167" s="37">
        <f>(2000/30)</f>
        <v>66.66666667</v>
      </c>
      <c r="F167" s="41">
        <f> (30-'Salários'!$N167)</f>
        <v>30</v>
      </c>
      <c r="G167" s="39">
        <f t="shared" si="45"/>
        <v>2000</v>
      </c>
      <c r="H167" s="35">
        <v>198.3</v>
      </c>
      <c r="I167" s="37">
        <v>8.0</v>
      </c>
      <c r="J167" s="41"/>
      <c r="K167" s="37"/>
      <c r="L167" s="1">
        <v>2.0</v>
      </c>
      <c r="M167" s="1">
        <v>500.0</v>
      </c>
      <c r="N167" s="31"/>
      <c r="O167" s="39">
        <f t="shared" ref="O167:O174" si="46">(G167)+(H167*I167)+(J167*K167)+(L167*100)-(M167)</f>
        <v>3286.4</v>
      </c>
      <c r="P167" s="40"/>
      <c r="Q167" s="40"/>
      <c r="R167" s="4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30"/>
      <c r="B168" s="31" t="s">
        <v>30</v>
      </c>
      <c r="C168" s="32" t="str">
        <f t="shared" si="5"/>
        <v>8-2024</v>
      </c>
      <c r="D168" s="33">
        <v>45516.0</v>
      </c>
      <c r="E168" s="37">
        <v>175.0</v>
      </c>
      <c r="F168" s="41">
        <f> (30-'Salários'!$N168)</f>
        <v>30</v>
      </c>
      <c r="G168" s="39">
        <f t="shared" si="45"/>
        <v>5250</v>
      </c>
      <c r="H168" s="41"/>
      <c r="I168" s="37">
        <v>0.0</v>
      </c>
      <c r="J168" s="41"/>
      <c r="K168" s="37"/>
      <c r="L168" s="31"/>
      <c r="M168" s="31"/>
      <c r="N168" s="31"/>
      <c r="O168" s="39">
        <f t="shared" si="46"/>
        <v>5250</v>
      </c>
      <c r="P168" s="40"/>
      <c r="Q168" s="40"/>
      <c r="R168" s="4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30"/>
      <c r="B169" s="31" t="s">
        <v>29</v>
      </c>
      <c r="C169" s="32" t="str">
        <f t="shared" si="5"/>
        <v>8-2024</v>
      </c>
      <c r="D169" s="33">
        <v>45517.0</v>
      </c>
      <c r="E169" s="34">
        <v>79.6667</v>
      </c>
      <c r="F169" s="41">
        <f> (30-'Salários'!$N169)</f>
        <v>30</v>
      </c>
      <c r="G169" s="36">
        <f t="shared" si="45"/>
        <v>2390.001</v>
      </c>
      <c r="H169" s="41"/>
      <c r="I169" s="37">
        <v>0.0</v>
      </c>
      <c r="J169" s="35">
        <v>1.0</v>
      </c>
      <c r="K169" s="34">
        <v>1500.0</v>
      </c>
      <c r="L169" s="31"/>
      <c r="M169" s="31"/>
      <c r="N169" s="31"/>
      <c r="O169" s="39">
        <f t="shared" si="46"/>
        <v>3890.001</v>
      </c>
      <c r="P169" s="40"/>
      <c r="Q169" s="40"/>
      <c r="R169" s="4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30"/>
      <c r="B170" s="31" t="s">
        <v>24</v>
      </c>
      <c r="C170" s="32" t="str">
        <f t="shared" si="5"/>
        <v>8-2024</v>
      </c>
      <c r="D170" s="33">
        <v>45518.0</v>
      </c>
      <c r="E170" s="34">
        <v>133.333</v>
      </c>
      <c r="F170" s="35">
        <v>15.0</v>
      </c>
      <c r="G170" s="36">
        <f t="shared" si="45"/>
        <v>1999.995</v>
      </c>
      <c r="H170" s="41"/>
      <c r="I170" s="37">
        <v>0.0</v>
      </c>
      <c r="J170" s="35">
        <v>1.0</v>
      </c>
      <c r="K170" s="34">
        <v>269.2</v>
      </c>
      <c r="L170" s="31"/>
      <c r="M170" s="31"/>
      <c r="N170" s="31"/>
      <c r="O170" s="39">
        <f t="shared" si="46"/>
        <v>2269.195</v>
      </c>
      <c r="P170" s="40"/>
      <c r="Q170" s="40"/>
      <c r="R170" s="4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30"/>
      <c r="B171" s="45" t="s">
        <v>53</v>
      </c>
      <c r="C171" s="46" t="str">
        <f t="shared" si="5"/>
        <v>8-2024</v>
      </c>
      <c r="D171" s="33">
        <v>45519.0</v>
      </c>
      <c r="E171" s="47">
        <v>116.6666</v>
      </c>
      <c r="F171" s="41">
        <f> (30-'Salários'!$N171)</f>
        <v>30</v>
      </c>
      <c r="G171" s="49">
        <f>F171*E171</f>
        <v>3499.998</v>
      </c>
      <c r="H171" s="35">
        <v>174.8</v>
      </c>
      <c r="I171" s="67">
        <v>8.0</v>
      </c>
      <c r="J171" s="41"/>
      <c r="K171" s="37"/>
      <c r="L171" s="31"/>
      <c r="M171" s="1">
        <v>900.0</v>
      </c>
      <c r="N171" s="31"/>
      <c r="O171" s="39">
        <f t="shared" si="46"/>
        <v>3998.398</v>
      </c>
      <c r="P171" s="40"/>
      <c r="Q171" s="40"/>
      <c r="R171" s="4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30"/>
      <c r="B172" s="1" t="s">
        <v>66</v>
      </c>
      <c r="C172" s="31" t="str">
        <f t="shared" si="5"/>
        <v>8-2024</v>
      </c>
      <c r="D172" s="33">
        <v>45520.0</v>
      </c>
      <c r="E172" s="37">
        <f>(2000/30)</f>
        <v>66.66666667</v>
      </c>
      <c r="F172" s="35">
        <v>14.0</v>
      </c>
      <c r="G172" s="39">
        <f t="shared" ref="G172:G174" si="47">(E172*F172)</f>
        <v>933.3333333</v>
      </c>
      <c r="H172" s="41"/>
      <c r="I172" s="37"/>
      <c r="J172" s="41"/>
      <c r="K172" s="37"/>
      <c r="L172" s="31"/>
      <c r="M172" s="31"/>
      <c r="N172" s="31"/>
      <c r="O172" s="39">
        <f t="shared" si="46"/>
        <v>933.3333333</v>
      </c>
      <c r="P172" s="43">
        <v>3.5997323056E10</v>
      </c>
      <c r="Q172" s="40"/>
      <c r="R172" s="4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30"/>
      <c r="B173" s="1" t="s">
        <v>67</v>
      </c>
      <c r="C173" s="31" t="str">
        <f t="shared" si="5"/>
        <v>8-2024</v>
      </c>
      <c r="D173" s="33">
        <v>45521.0</v>
      </c>
      <c r="E173" s="37"/>
      <c r="F173" s="41">
        <f> (30-'Salários'!$N173)</f>
        <v>30</v>
      </c>
      <c r="G173" s="39">
        <f t="shared" si="47"/>
        <v>0</v>
      </c>
      <c r="H173" s="41"/>
      <c r="I173" s="37"/>
      <c r="J173" s="41"/>
      <c r="K173" s="37"/>
      <c r="L173" s="31"/>
      <c r="M173" s="31"/>
      <c r="N173" s="31"/>
      <c r="O173" s="39">
        <f t="shared" si="46"/>
        <v>0</v>
      </c>
      <c r="P173" s="40"/>
      <c r="Q173" s="40"/>
      <c r="R173" s="52"/>
      <c r="S173" s="44"/>
      <c r="T173" s="44"/>
      <c r="U173" s="44"/>
      <c r="V173" s="44"/>
      <c r="W173" s="44"/>
      <c r="X173" s="44"/>
      <c r="Y173" s="44"/>
      <c r="Z173" s="44"/>
    </row>
    <row r="174" ht="14.25" customHeight="1">
      <c r="A174" s="54"/>
      <c r="B174" s="55"/>
      <c r="C174" s="55" t="str">
        <f t="shared" si="5"/>
        <v>12-1899</v>
      </c>
      <c r="D174" s="55"/>
      <c r="E174" s="56"/>
      <c r="F174" s="57">
        <f> (30-'Salários'!$N174)</f>
        <v>30</v>
      </c>
      <c r="G174" s="24">
        <f t="shared" si="47"/>
        <v>0</v>
      </c>
      <c r="H174" s="57"/>
      <c r="I174" s="56"/>
      <c r="J174" s="57"/>
      <c r="K174" s="56"/>
      <c r="L174" s="55"/>
      <c r="M174" s="55"/>
      <c r="N174" s="55"/>
      <c r="O174" s="24">
        <f t="shared" si="46"/>
        <v>0</v>
      </c>
      <c r="P174" s="58"/>
      <c r="Q174" s="58"/>
      <c r="R174" s="58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54"/>
      <c r="B175" s="55"/>
      <c r="C175" s="55"/>
      <c r="D175" s="55"/>
      <c r="E175" s="56"/>
      <c r="F175" s="57"/>
      <c r="G175" s="24"/>
      <c r="H175" s="57"/>
      <c r="I175" s="56"/>
      <c r="J175" s="57"/>
      <c r="K175" s="56"/>
      <c r="L175" s="55"/>
      <c r="M175" s="55"/>
      <c r="N175" s="55"/>
      <c r="O175" s="24"/>
      <c r="P175" s="58"/>
      <c r="Q175" s="58"/>
      <c r="R175" s="58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54"/>
      <c r="B176" s="55"/>
      <c r="C176" s="55"/>
      <c r="D176" s="55"/>
      <c r="E176" s="56"/>
      <c r="F176" s="57"/>
      <c r="G176" s="24"/>
      <c r="H176" s="57"/>
      <c r="I176" s="56"/>
      <c r="J176" s="57"/>
      <c r="K176" s="56"/>
      <c r="L176" s="55"/>
      <c r="M176" s="55"/>
      <c r="N176" s="55"/>
      <c r="O176" s="24"/>
      <c r="P176" s="58"/>
      <c r="Q176" s="58"/>
      <c r="R176" s="58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30"/>
      <c r="B177" s="31" t="s">
        <v>18</v>
      </c>
      <c r="C177" s="32" t="str">
        <f t="shared" ref="C177:C415" si="48">MONTH(D177)&amp; "-" &amp;YEAR(D177)</f>
        <v>12-1899</v>
      </c>
      <c r="D177" s="32"/>
      <c r="E177" s="34">
        <v>81.3333</v>
      </c>
      <c r="F177" s="41">
        <f> (30-'Salários'!$N177)</f>
        <v>30</v>
      </c>
      <c r="G177" s="36">
        <f t="shared" ref="G177:G178" si="49">(E177*F177)</f>
        <v>2439.999</v>
      </c>
      <c r="H177" s="35">
        <v>165.0</v>
      </c>
      <c r="I177" s="37">
        <v>20.0</v>
      </c>
      <c r="J177" s="35"/>
      <c r="K177" s="34">
        <v>20.0</v>
      </c>
      <c r="L177" s="1">
        <v>3.0</v>
      </c>
      <c r="M177" s="1">
        <v>1400.0</v>
      </c>
      <c r="N177" s="31"/>
      <c r="O177" s="39">
        <f t="shared" ref="O177:O189" si="50">(G177)+(H177*I177)+(J177*K177)+(L177*100)-(M177)</f>
        <v>4639.999</v>
      </c>
      <c r="P177" s="43"/>
      <c r="Q177" s="40"/>
      <c r="R177" s="31" t="s">
        <v>18</v>
      </c>
      <c r="S177" s="68">
        <v>4640.0</v>
      </c>
      <c r="T177" s="30"/>
      <c r="U177" s="30"/>
      <c r="V177" s="30"/>
      <c r="W177" s="30"/>
      <c r="X177" s="30"/>
      <c r="Y177" s="30"/>
      <c r="Z177" s="30"/>
    </row>
    <row r="178" ht="14.25" customHeight="1">
      <c r="A178" s="30"/>
      <c r="B178" s="1" t="s">
        <v>57</v>
      </c>
      <c r="C178" s="32" t="str">
        <f t="shared" si="48"/>
        <v>12-1899</v>
      </c>
      <c r="D178" s="32"/>
      <c r="E178" s="34">
        <v>66.6667</v>
      </c>
      <c r="F178" s="41">
        <f> (30-'Salários'!$N178)</f>
        <v>30</v>
      </c>
      <c r="G178" s="36">
        <f t="shared" si="49"/>
        <v>2000.001</v>
      </c>
      <c r="H178" s="35">
        <v>188.4</v>
      </c>
      <c r="I178" s="34">
        <v>10.0</v>
      </c>
      <c r="J178" s="35"/>
      <c r="K178" s="37"/>
      <c r="L178" s="1">
        <v>1.0</v>
      </c>
      <c r="M178" s="1"/>
      <c r="N178" s="31"/>
      <c r="O178" s="39">
        <f t="shared" si="50"/>
        <v>3984.001</v>
      </c>
      <c r="P178" s="40"/>
      <c r="Q178" s="40"/>
      <c r="R178" s="1" t="s">
        <v>57</v>
      </c>
      <c r="S178" s="68">
        <v>3984.0</v>
      </c>
      <c r="T178" s="30"/>
      <c r="U178" s="30"/>
      <c r="V178" s="30"/>
      <c r="W178" s="30"/>
      <c r="X178" s="30"/>
      <c r="Y178" s="30"/>
      <c r="Z178" s="30"/>
    </row>
    <row r="179" ht="14.25" customHeight="1">
      <c r="A179" s="30"/>
      <c r="B179" s="31" t="s">
        <v>22</v>
      </c>
      <c r="C179" s="32" t="str">
        <f t="shared" si="48"/>
        <v>12-1899</v>
      </c>
      <c r="D179" s="32"/>
      <c r="E179" s="37">
        <v>50.0</v>
      </c>
      <c r="F179" s="41">
        <f> (30-'Salários'!$N179)</f>
        <v>30</v>
      </c>
      <c r="G179" s="36">
        <v>2000.0</v>
      </c>
      <c r="H179" s="35">
        <v>216.6</v>
      </c>
      <c r="I179" s="34">
        <v>15.0</v>
      </c>
      <c r="J179" s="35">
        <v>6.1</v>
      </c>
      <c r="K179" s="34">
        <v>6.0</v>
      </c>
      <c r="L179" s="1">
        <v>1.5</v>
      </c>
      <c r="M179" s="31"/>
      <c r="N179" s="31"/>
      <c r="O179" s="39">
        <f t="shared" si="50"/>
        <v>5435.6</v>
      </c>
      <c r="P179" s="40"/>
      <c r="Q179" s="40"/>
      <c r="R179" s="31" t="s">
        <v>22</v>
      </c>
      <c r="S179" s="68">
        <v>5435.6</v>
      </c>
      <c r="T179" s="44"/>
      <c r="U179" s="44"/>
      <c r="V179" s="44"/>
      <c r="W179" s="44"/>
      <c r="X179" s="44"/>
      <c r="Y179" s="44"/>
      <c r="Z179" s="44"/>
    </row>
    <row r="180" ht="14.25" customHeight="1">
      <c r="A180" s="30"/>
      <c r="B180" s="31" t="s">
        <v>26</v>
      </c>
      <c r="C180" s="32" t="str">
        <f t="shared" si="48"/>
        <v>12-1899</v>
      </c>
      <c r="D180" s="32"/>
      <c r="E180" s="37">
        <v>100.0</v>
      </c>
      <c r="F180" s="41">
        <f> (30-'Salários'!$N180)</f>
        <v>30</v>
      </c>
      <c r="G180" s="39">
        <f t="shared" ref="G180:G184" si="51">(E180*F180)</f>
        <v>3000</v>
      </c>
      <c r="H180" s="35">
        <v>226.3</v>
      </c>
      <c r="I180" s="34">
        <v>20.0</v>
      </c>
      <c r="J180" s="35">
        <v>10.2</v>
      </c>
      <c r="K180" s="34">
        <v>20.0</v>
      </c>
      <c r="L180" s="1">
        <v>5.0</v>
      </c>
      <c r="M180" s="31"/>
      <c r="N180" s="31"/>
      <c r="O180" s="39">
        <f t="shared" si="50"/>
        <v>8230</v>
      </c>
      <c r="P180" s="43"/>
      <c r="Q180" s="40"/>
      <c r="R180" s="31" t="s">
        <v>26</v>
      </c>
      <c r="S180" s="68">
        <v>8230.0</v>
      </c>
      <c r="T180" s="30"/>
      <c r="U180" s="30"/>
      <c r="V180" s="30"/>
      <c r="W180" s="30"/>
      <c r="X180" s="30"/>
      <c r="Y180" s="30"/>
      <c r="Z180" s="30"/>
    </row>
    <row r="181" ht="14.25" customHeight="1">
      <c r="A181" s="30"/>
      <c r="B181" s="31" t="s">
        <v>31</v>
      </c>
      <c r="C181" s="32" t="str">
        <f t="shared" si="48"/>
        <v>12-1899</v>
      </c>
      <c r="D181" s="32"/>
      <c r="E181" s="37">
        <f>(2000/30)</f>
        <v>66.66666667</v>
      </c>
      <c r="F181" s="41">
        <f> (30-'Salários'!$N181)</f>
        <v>30</v>
      </c>
      <c r="G181" s="39">
        <f t="shared" si="51"/>
        <v>2000</v>
      </c>
      <c r="H181" s="35">
        <v>122.5</v>
      </c>
      <c r="I181" s="37">
        <v>8.0</v>
      </c>
      <c r="J181" s="41"/>
      <c r="K181" s="37"/>
      <c r="L181" s="1">
        <v>2.0</v>
      </c>
      <c r="M181" s="1">
        <v>4060.0</v>
      </c>
      <c r="N181" s="31"/>
      <c r="O181" s="39">
        <f t="shared" si="50"/>
        <v>-880</v>
      </c>
      <c r="P181" s="43" t="s">
        <v>68</v>
      </c>
      <c r="Q181" s="40"/>
      <c r="R181" s="31" t="s">
        <v>31</v>
      </c>
      <c r="S181" s="68">
        <v>3314.95</v>
      </c>
      <c r="T181" s="30"/>
      <c r="U181" s="30"/>
      <c r="V181" s="30"/>
      <c r="W181" s="30"/>
      <c r="X181" s="30"/>
      <c r="Y181" s="30"/>
      <c r="Z181" s="30"/>
    </row>
    <row r="182" ht="14.25" customHeight="1">
      <c r="A182" s="30"/>
      <c r="B182" s="31" t="s">
        <v>30</v>
      </c>
      <c r="C182" s="32" t="str">
        <f t="shared" si="48"/>
        <v>12-1899</v>
      </c>
      <c r="D182" s="32"/>
      <c r="E182" s="37">
        <v>175.0</v>
      </c>
      <c r="F182" s="41">
        <f> (30-'Salários'!$N182)</f>
        <v>30</v>
      </c>
      <c r="G182" s="39">
        <f t="shared" si="51"/>
        <v>5250</v>
      </c>
      <c r="H182" s="41"/>
      <c r="I182" s="37">
        <v>0.0</v>
      </c>
      <c r="J182" s="41"/>
      <c r="K182" s="37"/>
      <c r="L182" s="31"/>
      <c r="M182" s="31"/>
      <c r="N182" s="31"/>
      <c r="O182" s="39">
        <f t="shared" si="50"/>
        <v>5250</v>
      </c>
      <c r="P182" s="40"/>
      <c r="Q182" s="40"/>
      <c r="R182" s="31" t="s">
        <v>30</v>
      </c>
      <c r="S182" s="68">
        <v>5250.0</v>
      </c>
      <c r="T182" s="30"/>
      <c r="U182" s="30"/>
      <c r="V182" s="30"/>
      <c r="W182" s="30"/>
      <c r="X182" s="30"/>
      <c r="Y182" s="30"/>
      <c r="Z182" s="30"/>
    </row>
    <row r="183" ht="14.25" customHeight="1">
      <c r="A183" s="30"/>
      <c r="B183" s="31" t="s">
        <v>29</v>
      </c>
      <c r="C183" s="32" t="str">
        <f t="shared" si="48"/>
        <v>12-1899</v>
      </c>
      <c r="D183" s="32"/>
      <c r="E183" s="34">
        <v>79.6667</v>
      </c>
      <c r="F183" s="41">
        <f> (30-'Salários'!$N183)</f>
        <v>30</v>
      </c>
      <c r="G183" s="36">
        <f t="shared" si="51"/>
        <v>2390.001</v>
      </c>
      <c r="H183" s="41"/>
      <c r="I183" s="37">
        <v>0.0</v>
      </c>
      <c r="J183" s="35"/>
      <c r="K183" s="34"/>
      <c r="L183" s="31"/>
      <c r="M183" s="31"/>
      <c r="N183" s="31"/>
      <c r="O183" s="39">
        <f t="shared" si="50"/>
        <v>2390.001</v>
      </c>
      <c r="P183" s="40"/>
      <c r="Q183" s="40"/>
      <c r="R183" s="31" t="s">
        <v>29</v>
      </c>
      <c r="S183" s="68">
        <v>3890.0</v>
      </c>
      <c r="T183" s="30"/>
      <c r="U183" s="30"/>
      <c r="V183" s="30"/>
      <c r="W183" s="30"/>
      <c r="X183" s="30"/>
      <c r="Y183" s="30"/>
      <c r="Z183" s="30"/>
    </row>
    <row r="184" ht="14.25" customHeight="1">
      <c r="A184" s="30"/>
      <c r="B184" s="31" t="s">
        <v>24</v>
      </c>
      <c r="C184" s="32" t="str">
        <f t="shared" si="48"/>
        <v>12-1899</v>
      </c>
      <c r="D184" s="32"/>
      <c r="E184" s="34">
        <v>133.333</v>
      </c>
      <c r="F184" s="35">
        <v>17.0</v>
      </c>
      <c r="G184" s="36">
        <f t="shared" si="51"/>
        <v>2266.661</v>
      </c>
      <c r="H184" s="35">
        <v>1.0</v>
      </c>
      <c r="I184" s="34">
        <v>60.0</v>
      </c>
      <c r="J184" s="35"/>
      <c r="K184" s="34"/>
      <c r="L184" s="31"/>
      <c r="M184" s="31"/>
      <c r="N184" s="31"/>
      <c r="O184" s="39">
        <f t="shared" si="50"/>
        <v>2326.661</v>
      </c>
      <c r="P184" s="40"/>
      <c r="Q184" s="40"/>
      <c r="R184" s="31" t="s">
        <v>24</v>
      </c>
      <c r="S184" s="68">
        <v>2326.66</v>
      </c>
      <c r="T184" s="30"/>
      <c r="U184" s="30"/>
      <c r="V184" s="30"/>
      <c r="W184" s="30"/>
      <c r="X184" s="30"/>
      <c r="Y184" s="30"/>
      <c r="Z184" s="30"/>
    </row>
    <row r="185" ht="14.25" customHeight="1">
      <c r="A185" s="30"/>
      <c r="B185" s="45" t="s">
        <v>53</v>
      </c>
      <c r="C185" s="46" t="str">
        <f t="shared" si="48"/>
        <v>12-1899</v>
      </c>
      <c r="D185" s="62"/>
      <c r="E185" s="47">
        <v>116.6666</v>
      </c>
      <c r="F185" s="41">
        <f> (30-'Salários'!$N185)</f>
        <v>30</v>
      </c>
      <c r="G185" s="49">
        <f>F185*E185</f>
        <v>3499.998</v>
      </c>
      <c r="H185" s="35">
        <v>159.6</v>
      </c>
      <c r="I185" s="67">
        <v>8.0</v>
      </c>
      <c r="J185" s="41"/>
      <c r="K185" s="37"/>
      <c r="L185" s="31"/>
      <c r="M185" s="1">
        <v>1250.0</v>
      </c>
      <c r="N185" s="31"/>
      <c r="O185" s="39">
        <f t="shared" si="50"/>
        <v>3526.798</v>
      </c>
      <c r="P185" s="40"/>
      <c r="Q185" s="40"/>
      <c r="R185" s="45" t="s">
        <v>53</v>
      </c>
      <c r="S185" s="68">
        <v>3526.8</v>
      </c>
      <c r="T185" s="30"/>
      <c r="U185" s="30"/>
      <c r="V185" s="30"/>
      <c r="W185" s="30"/>
      <c r="X185" s="30"/>
      <c r="Y185" s="30"/>
      <c r="Z185" s="30"/>
    </row>
    <row r="186" ht="14.25" customHeight="1">
      <c r="A186" s="30"/>
      <c r="B186" s="1" t="s">
        <v>66</v>
      </c>
      <c r="C186" s="31" t="str">
        <f t="shared" si="48"/>
        <v>12-1899</v>
      </c>
      <c r="D186" s="33"/>
      <c r="E186" s="37">
        <f t="shared" ref="E186:E187" si="52">(2000/30)</f>
        <v>66.66666667</v>
      </c>
      <c r="F186" s="35">
        <v>30.0</v>
      </c>
      <c r="G186" s="39">
        <f t="shared" ref="G186:G191" si="53">(E186*F186)</f>
        <v>2000</v>
      </c>
      <c r="H186" s="41"/>
      <c r="I186" s="37"/>
      <c r="J186" s="41"/>
      <c r="K186" s="37"/>
      <c r="L186" s="31"/>
      <c r="M186" s="31"/>
      <c r="N186" s="31"/>
      <c r="O186" s="39">
        <f t="shared" si="50"/>
        <v>2000</v>
      </c>
      <c r="P186" s="43">
        <v>3.5997323056E10</v>
      </c>
      <c r="Q186" s="40"/>
      <c r="R186" s="1" t="s">
        <v>66</v>
      </c>
      <c r="S186" s="68">
        <v>2000.0</v>
      </c>
      <c r="T186" s="30"/>
      <c r="U186" s="30"/>
      <c r="V186" s="30"/>
      <c r="W186" s="30"/>
      <c r="X186" s="30"/>
      <c r="Y186" s="30"/>
      <c r="Z186" s="30"/>
    </row>
    <row r="187" ht="14.25" customHeight="1">
      <c r="A187" s="30"/>
      <c r="B187" s="1" t="s">
        <v>67</v>
      </c>
      <c r="C187" s="31" t="str">
        <f t="shared" si="48"/>
        <v>12-1899</v>
      </c>
      <c r="D187" s="33"/>
      <c r="E187" s="37">
        <f t="shared" si="52"/>
        <v>66.66666667</v>
      </c>
      <c r="F187" s="35">
        <v>30.0</v>
      </c>
      <c r="G187" s="39">
        <f t="shared" si="53"/>
        <v>2000</v>
      </c>
      <c r="H187" s="35">
        <v>100.1</v>
      </c>
      <c r="I187" s="37"/>
      <c r="J187" s="41"/>
      <c r="K187" s="37"/>
      <c r="L187" s="1">
        <v>3.0</v>
      </c>
      <c r="M187" s="31"/>
      <c r="N187" s="31"/>
      <c r="O187" s="39">
        <f t="shared" si="50"/>
        <v>2300</v>
      </c>
      <c r="P187" s="40"/>
      <c r="Q187" s="40"/>
      <c r="R187" s="1" t="s">
        <v>67</v>
      </c>
      <c r="S187" s="68">
        <v>2300.0</v>
      </c>
      <c r="T187" s="44"/>
      <c r="U187" s="44"/>
      <c r="V187" s="44"/>
      <c r="W187" s="44"/>
      <c r="X187" s="44"/>
      <c r="Y187" s="44"/>
      <c r="Z187" s="44"/>
    </row>
    <row r="188" ht="14.25" customHeight="1">
      <c r="A188" s="54"/>
      <c r="B188" s="55"/>
      <c r="C188" s="55" t="str">
        <f t="shared" si="48"/>
        <v>12-1899</v>
      </c>
      <c r="D188" s="55"/>
      <c r="E188" s="56"/>
      <c r="F188" s="57">
        <f> (30-'Salários'!$N188)</f>
        <v>30</v>
      </c>
      <c r="G188" s="24">
        <f t="shared" si="53"/>
        <v>0</v>
      </c>
      <c r="H188" s="57"/>
      <c r="I188" s="56"/>
      <c r="J188" s="57"/>
      <c r="K188" s="56"/>
      <c r="L188" s="55"/>
      <c r="M188" s="55"/>
      <c r="N188" s="55"/>
      <c r="O188" s="24">
        <f t="shared" si="50"/>
        <v>0</v>
      </c>
      <c r="P188" s="58"/>
      <c r="Q188" s="58"/>
      <c r="R188" s="58"/>
      <c r="S188" s="69"/>
      <c r="T188" s="54"/>
      <c r="U188" s="54"/>
      <c r="V188" s="54"/>
      <c r="W188" s="54"/>
      <c r="X188" s="54"/>
      <c r="Y188" s="54"/>
      <c r="Z188" s="54"/>
    </row>
    <row r="189" ht="14.25" customHeight="1">
      <c r="A189" s="54"/>
      <c r="B189" s="55"/>
      <c r="C189" s="55" t="str">
        <f t="shared" si="48"/>
        <v>12-1899</v>
      </c>
      <c r="D189" s="55"/>
      <c r="E189" s="56"/>
      <c r="F189" s="57">
        <f> (30-'Salários'!$N189)</f>
        <v>30</v>
      </c>
      <c r="G189" s="24">
        <f t="shared" si="53"/>
        <v>0</v>
      </c>
      <c r="H189" s="57"/>
      <c r="I189" s="56"/>
      <c r="J189" s="57"/>
      <c r="K189" s="56"/>
      <c r="L189" s="55"/>
      <c r="M189" s="55"/>
      <c r="N189" s="55"/>
      <c r="O189" s="24">
        <f t="shared" si="50"/>
        <v>0</v>
      </c>
      <c r="P189" s="58"/>
      <c r="Q189" s="58"/>
      <c r="R189" s="58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44"/>
      <c r="B190" s="45" t="s">
        <v>18</v>
      </c>
      <c r="C190" s="46" t="str">
        <f t="shared" si="48"/>
        <v>12-1899</v>
      </c>
      <c r="D190" s="62"/>
      <c r="E190" s="47">
        <v>81.3333</v>
      </c>
      <c r="F190" s="48">
        <f> (30-'Salários'!$N190)</f>
        <v>30</v>
      </c>
      <c r="G190" s="49">
        <f t="shared" si="53"/>
        <v>2439.999</v>
      </c>
      <c r="H190" s="70">
        <v>194.0</v>
      </c>
      <c r="I190" s="47">
        <v>20.0</v>
      </c>
      <c r="J190" s="70">
        <v>5.0</v>
      </c>
      <c r="K190" s="47">
        <v>20.0</v>
      </c>
      <c r="L190" s="71">
        <v>4.0</v>
      </c>
      <c r="M190" s="71">
        <v>1000.0</v>
      </c>
      <c r="N190" s="52"/>
      <c r="O190" s="49">
        <f t="shared" ref="O190:O193" si="54">(G190)+(H190*I190)+(J190*K190)+(L190*100)-(M190)</f>
        <v>5819.999</v>
      </c>
      <c r="P190" s="52"/>
      <c r="Q190" s="52"/>
      <c r="R190" s="52"/>
      <c r="S190" s="44"/>
      <c r="T190" s="44"/>
      <c r="U190" s="44"/>
      <c r="V190" s="44"/>
      <c r="W190" s="44"/>
      <c r="X190" s="44"/>
      <c r="Y190" s="44"/>
      <c r="Z190" s="44"/>
    </row>
    <row r="191" ht="14.25" customHeight="1">
      <c r="A191" s="44"/>
      <c r="B191" s="45" t="s">
        <v>57</v>
      </c>
      <c r="C191" s="46" t="str">
        <f t="shared" si="48"/>
        <v>12-1899</v>
      </c>
      <c r="D191" s="62"/>
      <c r="E191" s="47">
        <v>66.6667</v>
      </c>
      <c r="F191" s="48">
        <f> (30-'Salários'!$N191)</f>
        <v>30</v>
      </c>
      <c r="G191" s="49">
        <f t="shared" si="53"/>
        <v>2000.001</v>
      </c>
      <c r="H191" s="70">
        <v>157.4</v>
      </c>
      <c r="I191" s="47">
        <v>10.0</v>
      </c>
      <c r="J191" s="50"/>
      <c r="K191" s="51"/>
      <c r="L191" s="71">
        <v>1.0</v>
      </c>
      <c r="M191" s="71">
        <v>1000.0</v>
      </c>
      <c r="N191" s="52"/>
      <c r="O191" s="49">
        <f t="shared" si="54"/>
        <v>2674.001</v>
      </c>
      <c r="P191" s="52"/>
      <c r="Q191" s="52"/>
      <c r="R191" s="52"/>
      <c r="S191" s="44"/>
      <c r="T191" s="44"/>
      <c r="U191" s="44"/>
      <c r="V191" s="44"/>
      <c r="W191" s="44"/>
      <c r="X191" s="44"/>
      <c r="Y191" s="44"/>
      <c r="Z191" s="44"/>
    </row>
    <row r="192" ht="14.25" customHeight="1">
      <c r="A192" s="44"/>
      <c r="B192" s="45" t="s">
        <v>22</v>
      </c>
      <c r="C192" s="46" t="str">
        <f t="shared" si="48"/>
        <v>12-1899</v>
      </c>
      <c r="D192" s="62"/>
      <c r="E192" s="47">
        <v>50.0</v>
      </c>
      <c r="F192" s="48">
        <f> (30-'Salários'!$N192)</f>
        <v>30</v>
      </c>
      <c r="G192" s="72">
        <v>2000.0</v>
      </c>
      <c r="H192" s="70">
        <v>200.0</v>
      </c>
      <c r="I192" s="67">
        <v>10.0</v>
      </c>
      <c r="J192" s="70">
        <v>13.8</v>
      </c>
      <c r="K192" s="47">
        <v>3.33</v>
      </c>
      <c r="L192" s="71">
        <v>1.0</v>
      </c>
      <c r="M192" s="71">
        <v>1648.02</v>
      </c>
      <c r="N192" s="52"/>
      <c r="O192" s="49">
        <f t="shared" si="54"/>
        <v>2497.934</v>
      </c>
      <c r="P192" s="52"/>
      <c r="Q192" s="52"/>
      <c r="R192" s="52"/>
      <c r="S192" s="44"/>
      <c r="T192" s="44"/>
      <c r="U192" s="44"/>
      <c r="V192" s="44"/>
      <c r="W192" s="44"/>
      <c r="X192" s="44"/>
      <c r="Y192" s="44"/>
      <c r="Z192" s="44"/>
    </row>
    <row r="193" ht="14.25" customHeight="1">
      <c r="A193" s="44"/>
      <c r="B193" s="45" t="s">
        <v>26</v>
      </c>
      <c r="C193" s="46" t="str">
        <f t="shared" si="48"/>
        <v>12-1899</v>
      </c>
      <c r="D193" s="62"/>
      <c r="E193" s="47">
        <v>100.0</v>
      </c>
      <c r="F193" s="48">
        <f> (30-'Salários'!$N193)</f>
        <v>30</v>
      </c>
      <c r="G193" s="49">
        <f t="shared" ref="G193:G199" si="55">(E193*F193)</f>
        <v>3000</v>
      </c>
      <c r="H193" s="70">
        <v>202.4</v>
      </c>
      <c r="I193" s="67">
        <v>20.0</v>
      </c>
      <c r="J193" s="70">
        <v>14.1</v>
      </c>
      <c r="K193" s="67">
        <v>20.0</v>
      </c>
      <c r="L193" s="71">
        <v>5.0</v>
      </c>
      <c r="M193" s="52"/>
      <c r="N193" s="52"/>
      <c r="O193" s="49">
        <f t="shared" si="54"/>
        <v>7830</v>
      </c>
      <c r="P193" s="71" t="s">
        <v>69</v>
      </c>
      <c r="Q193" s="52"/>
      <c r="R193" s="52"/>
      <c r="S193" s="44"/>
      <c r="T193" s="44"/>
      <c r="U193" s="44"/>
      <c r="V193" s="44"/>
      <c r="W193" s="44"/>
      <c r="X193" s="44"/>
      <c r="Y193" s="44"/>
      <c r="Z193" s="44"/>
    </row>
    <row r="194" ht="14.25" customHeight="1">
      <c r="A194" s="30"/>
      <c r="B194" s="1" t="s">
        <v>66</v>
      </c>
      <c r="C194" s="31" t="str">
        <f t="shared" si="48"/>
        <v>12-1899</v>
      </c>
      <c r="D194" s="33"/>
      <c r="E194" s="37">
        <f t="shared" ref="E194:E195" si="56">(2000/30)</f>
        <v>66.66666667</v>
      </c>
      <c r="F194" s="35">
        <v>30.0</v>
      </c>
      <c r="G194" s="39">
        <f t="shared" si="55"/>
        <v>2000</v>
      </c>
      <c r="H194" s="41"/>
      <c r="I194" s="37"/>
      <c r="J194" s="41"/>
      <c r="K194" s="37"/>
      <c r="L194" s="31"/>
      <c r="M194" s="31"/>
      <c r="N194" s="31"/>
      <c r="O194" s="39">
        <f t="shared" ref="O194:O196" si="57">(G194)+(H194*I194)+(J194*K194)+(L194*100)-(M194)</f>
        <v>2000</v>
      </c>
      <c r="P194" s="43">
        <v>3.5997323056E10</v>
      </c>
      <c r="Q194" s="40"/>
      <c r="R194" s="4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30"/>
      <c r="B195" s="1" t="s">
        <v>67</v>
      </c>
      <c r="C195" s="31" t="str">
        <f t="shared" si="48"/>
        <v>12-1899</v>
      </c>
      <c r="D195" s="33"/>
      <c r="E195" s="37">
        <f t="shared" si="56"/>
        <v>66.66666667</v>
      </c>
      <c r="F195" s="35">
        <v>9.0</v>
      </c>
      <c r="G195" s="39">
        <f t="shared" si="55"/>
        <v>600</v>
      </c>
      <c r="H195" s="35" t="s">
        <v>70</v>
      </c>
      <c r="I195" s="37"/>
      <c r="J195" s="41"/>
      <c r="K195" s="37"/>
      <c r="L195" s="1">
        <v>1.0</v>
      </c>
      <c r="M195" s="31"/>
      <c r="N195" s="31"/>
      <c r="O195" s="39" t="str">
        <f t="shared" si="57"/>
        <v>#VALUE!</v>
      </c>
      <c r="P195" s="40"/>
      <c r="Q195" s="40"/>
      <c r="R195" s="52"/>
      <c r="S195" s="44"/>
      <c r="T195" s="44"/>
      <c r="U195" s="44"/>
      <c r="V195" s="44"/>
      <c r="W195" s="44"/>
      <c r="X195" s="44"/>
      <c r="Y195" s="44"/>
      <c r="Z195" s="44"/>
    </row>
    <row r="196" ht="14.25" customHeight="1">
      <c r="A196" s="60"/>
      <c r="B196" s="45" t="s">
        <v>31</v>
      </c>
      <c r="C196" s="73" t="str">
        <f t="shared" si="48"/>
        <v>12-1899</v>
      </c>
      <c r="D196" s="74"/>
      <c r="E196" s="75">
        <f>(2000/30)</f>
        <v>66.66666667</v>
      </c>
      <c r="F196" s="76">
        <f> (30-'Salários'!$N196)</f>
        <v>30</v>
      </c>
      <c r="G196" s="77">
        <f t="shared" si="55"/>
        <v>2000</v>
      </c>
      <c r="H196" s="78">
        <v>176.8</v>
      </c>
      <c r="I196" s="75">
        <v>8.0</v>
      </c>
      <c r="J196" s="79"/>
      <c r="K196" s="80"/>
      <c r="L196" s="81">
        <v>3.5</v>
      </c>
      <c r="M196" s="82">
        <v>725.6</v>
      </c>
      <c r="N196" s="59"/>
      <c r="O196" s="24">
        <f t="shared" si="57"/>
        <v>3038.8</v>
      </c>
      <c r="P196" s="59"/>
      <c r="Q196" s="59"/>
      <c r="R196" s="59"/>
      <c r="S196" s="60"/>
      <c r="T196" s="60"/>
      <c r="U196" s="60"/>
      <c r="V196" s="60"/>
      <c r="W196" s="60"/>
      <c r="X196" s="60"/>
      <c r="Y196" s="60"/>
      <c r="Z196" s="60"/>
    </row>
    <row r="197" ht="14.25" customHeight="1">
      <c r="A197" s="44"/>
      <c r="B197" s="45" t="s">
        <v>30</v>
      </c>
      <c r="C197" s="46" t="str">
        <f t="shared" si="48"/>
        <v>12-1899</v>
      </c>
      <c r="D197" s="62"/>
      <c r="E197" s="47">
        <v>175.0</v>
      </c>
      <c r="F197" s="48">
        <f> (30-'Salários'!$N197)</f>
        <v>30</v>
      </c>
      <c r="G197" s="49">
        <f t="shared" si="55"/>
        <v>5250</v>
      </c>
      <c r="H197" s="50"/>
      <c r="I197" s="47">
        <v>0.0</v>
      </c>
      <c r="J197" s="50"/>
      <c r="K197" s="51"/>
      <c r="L197" s="52"/>
      <c r="M197" s="52"/>
      <c r="N197" s="52"/>
      <c r="O197" s="49">
        <f t="shared" ref="O197:O199" si="58">(G197)+(H197*I197)+(J197*K197)+(L197*100)-(M197)</f>
        <v>5250</v>
      </c>
      <c r="P197" s="52"/>
      <c r="Q197" s="52"/>
      <c r="R197" s="52"/>
      <c r="S197" s="44"/>
      <c r="T197" s="44"/>
      <c r="U197" s="44"/>
      <c r="V197" s="44"/>
      <c r="W197" s="44"/>
      <c r="X197" s="44"/>
      <c r="Y197" s="44"/>
      <c r="Z197" s="44"/>
    </row>
    <row r="198" ht="14.25" customHeight="1">
      <c r="A198" s="44"/>
      <c r="B198" s="45" t="s">
        <v>29</v>
      </c>
      <c r="C198" s="46" t="str">
        <f t="shared" si="48"/>
        <v>12-1899</v>
      </c>
      <c r="D198" s="62"/>
      <c r="E198" s="47">
        <v>79.6667</v>
      </c>
      <c r="F198" s="48">
        <f> (30-'Salários'!$N198)</f>
        <v>30</v>
      </c>
      <c r="G198" s="49">
        <f t="shared" si="55"/>
        <v>2390.001</v>
      </c>
      <c r="H198" s="50"/>
      <c r="I198" s="47">
        <v>0.0</v>
      </c>
      <c r="J198" s="50"/>
      <c r="K198" s="51"/>
      <c r="L198" s="52"/>
      <c r="M198" s="52"/>
      <c r="N198" s="52"/>
      <c r="O198" s="49">
        <f t="shared" si="58"/>
        <v>2390.001</v>
      </c>
      <c r="P198" s="52"/>
      <c r="Q198" s="52"/>
      <c r="R198" s="52"/>
      <c r="S198" s="44"/>
      <c r="T198" s="44"/>
      <c r="U198" s="44"/>
      <c r="V198" s="44"/>
      <c r="W198" s="44"/>
      <c r="X198" s="44"/>
      <c r="Y198" s="44"/>
      <c r="Z198" s="44"/>
    </row>
    <row r="199" ht="14.25" customHeight="1">
      <c r="A199" s="44"/>
      <c r="B199" s="45" t="s">
        <v>24</v>
      </c>
      <c r="C199" s="46" t="str">
        <f t="shared" si="48"/>
        <v>12-1899</v>
      </c>
      <c r="D199" s="62"/>
      <c r="E199" s="47">
        <v>133.333</v>
      </c>
      <c r="F199" s="83">
        <v>17.0</v>
      </c>
      <c r="G199" s="49">
        <f t="shared" si="55"/>
        <v>2266.661</v>
      </c>
      <c r="H199" s="70">
        <v>1.0</v>
      </c>
      <c r="I199" s="67">
        <v>216.5</v>
      </c>
      <c r="J199" s="50"/>
      <c r="K199" s="51"/>
      <c r="L199" s="52"/>
      <c r="M199" s="52"/>
      <c r="N199" s="52"/>
      <c r="O199" s="49">
        <f t="shared" si="58"/>
        <v>2483.161</v>
      </c>
      <c r="P199" s="52"/>
      <c r="Q199" s="52"/>
      <c r="R199" s="52"/>
      <c r="S199" s="44"/>
      <c r="T199" s="44"/>
      <c r="U199" s="44"/>
      <c r="V199" s="44"/>
      <c r="W199" s="44"/>
      <c r="X199" s="44"/>
      <c r="Y199" s="44"/>
      <c r="Z199" s="44"/>
    </row>
    <row r="200" ht="14.25" customHeight="1">
      <c r="A200" s="30"/>
      <c r="B200" s="45" t="s">
        <v>53</v>
      </c>
      <c r="C200" s="46" t="str">
        <f t="shared" si="48"/>
        <v>12-1899</v>
      </c>
      <c r="D200" s="62"/>
      <c r="E200" s="47">
        <v>116.6666</v>
      </c>
      <c r="F200" s="41">
        <f> (30-'Salários'!$N200)</f>
        <v>30</v>
      </c>
      <c r="G200" s="49">
        <f>F200*E200</f>
        <v>3499.998</v>
      </c>
      <c r="H200" s="35">
        <v>190.7</v>
      </c>
      <c r="I200" s="67">
        <v>8.0</v>
      </c>
      <c r="J200" s="41"/>
      <c r="K200" s="37"/>
      <c r="L200" s="31"/>
      <c r="M200" s="1">
        <v>750.0</v>
      </c>
      <c r="N200" s="31"/>
      <c r="O200" s="39">
        <f t="shared" ref="O200:O203" si="59">(G200)+(H200*I200)+(J200*K200)+(L200*100)-(M200)</f>
        <v>4275.598</v>
      </c>
      <c r="P200" s="40"/>
      <c r="Q200" s="40"/>
      <c r="R200" s="4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54"/>
      <c r="B201" s="55"/>
      <c r="C201" s="55" t="str">
        <f t="shared" si="48"/>
        <v>12-1899</v>
      </c>
      <c r="D201" s="55"/>
      <c r="E201" s="56"/>
      <c r="F201" s="57">
        <f> (30-'Salários'!$N201)</f>
        <v>30</v>
      </c>
      <c r="G201" s="24">
        <f t="shared" ref="G201:G205" si="60">(E201*F201)</f>
        <v>0</v>
      </c>
      <c r="H201" s="57"/>
      <c r="I201" s="56"/>
      <c r="J201" s="57"/>
      <c r="K201" s="56"/>
      <c r="L201" s="55"/>
      <c r="M201" s="55"/>
      <c r="N201" s="55"/>
      <c r="O201" s="24">
        <f t="shared" si="59"/>
        <v>0</v>
      </c>
      <c r="P201" s="58"/>
      <c r="Q201" s="58"/>
      <c r="R201" s="59"/>
      <c r="S201" s="60"/>
      <c r="T201" s="60"/>
      <c r="U201" s="60"/>
      <c r="V201" s="60"/>
      <c r="W201" s="60"/>
      <c r="X201" s="60"/>
      <c r="Y201" s="60"/>
      <c r="Z201" s="60"/>
    </row>
    <row r="202" ht="14.25" customHeight="1">
      <c r="A202" s="54"/>
      <c r="B202" s="55"/>
      <c r="C202" s="55" t="str">
        <f t="shared" si="48"/>
        <v>12-1899</v>
      </c>
      <c r="D202" s="55"/>
      <c r="E202" s="56"/>
      <c r="F202" s="57">
        <f> (30-'Salários'!$N202)</f>
        <v>30</v>
      </c>
      <c r="G202" s="24">
        <f t="shared" si="60"/>
        <v>0</v>
      </c>
      <c r="H202" s="57"/>
      <c r="I202" s="56"/>
      <c r="J202" s="57"/>
      <c r="K202" s="56"/>
      <c r="L202" s="55"/>
      <c r="M202" s="55"/>
      <c r="N202" s="55"/>
      <c r="O202" s="24">
        <f t="shared" si="59"/>
        <v>0</v>
      </c>
      <c r="P202" s="58"/>
      <c r="Q202" s="58"/>
      <c r="R202" s="58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54"/>
      <c r="B203" s="55"/>
      <c r="C203" s="55" t="str">
        <f t="shared" si="48"/>
        <v>12-1899</v>
      </c>
      <c r="D203" s="55"/>
      <c r="E203" s="56"/>
      <c r="F203" s="57">
        <f> (30-'Salários'!$N203)</f>
        <v>30</v>
      </c>
      <c r="G203" s="24">
        <f t="shared" si="60"/>
        <v>0</v>
      </c>
      <c r="H203" s="57"/>
      <c r="I203" s="56"/>
      <c r="J203" s="57"/>
      <c r="K203" s="56"/>
      <c r="L203" s="55"/>
      <c r="M203" s="55"/>
      <c r="N203" s="55"/>
      <c r="O203" s="24">
        <f t="shared" si="59"/>
        <v>0</v>
      </c>
      <c r="P203" s="58"/>
      <c r="Q203" s="58"/>
      <c r="R203" s="58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44"/>
      <c r="B204" s="45" t="s">
        <v>18</v>
      </c>
      <c r="C204" s="46" t="str">
        <f t="shared" si="48"/>
        <v>12-1899</v>
      </c>
      <c r="D204" s="62"/>
      <c r="E204" s="47">
        <v>81.3333</v>
      </c>
      <c r="F204" s="48">
        <f> (30-'Salários'!$N204)</f>
        <v>30</v>
      </c>
      <c r="G204" s="49">
        <f t="shared" si="60"/>
        <v>2439.999</v>
      </c>
      <c r="H204" s="70">
        <v>194.0</v>
      </c>
      <c r="I204" s="47">
        <v>20.0</v>
      </c>
      <c r="J204" s="70">
        <v>10.5</v>
      </c>
      <c r="K204" s="47">
        <v>20.0</v>
      </c>
      <c r="L204" s="71">
        <v>1.0</v>
      </c>
      <c r="M204" s="71">
        <v>800.0</v>
      </c>
      <c r="N204" s="52"/>
      <c r="O204" s="49">
        <f t="shared" ref="O204:O207" si="61">(G204)+(H204*I204)+(J204*K204)+(L204*100)-(M204)</f>
        <v>5829.999</v>
      </c>
      <c r="P204" s="52"/>
      <c r="Q204" s="52"/>
      <c r="R204" s="52"/>
      <c r="S204" s="44"/>
      <c r="T204" s="44"/>
      <c r="U204" s="44"/>
      <c r="V204" s="44"/>
      <c r="W204" s="44"/>
      <c r="X204" s="44"/>
      <c r="Y204" s="44"/>
      <c r="Z204" s="44"/>
    </row>
    <row r="205" ht="14.25" customHeight="1">
      <c r="A205" s="44"/>
      <c r="B205" s="45" t="s">
        <v>57</v>
      </c>
      <c r="C205" s="46" t="str">
        <f t="shared" si="48"/>
        <v>12-1899</v>
      </c>
      <c r="D205" s="62"/>
      <c r="E205" s="47">
        <v>66.6667</v>
      </c>
      <c r="F205" s="83">
        <v>29.0</v>
      </c>
      <c r="G205" s="49">
        <f t="shared" si="60"/>
        <v>1933.3343</v>
      </c>
      <c r="H205" s="70">
        <v>118.0</v>
      </c>
      <c r="I205" s="47">
        <v>10.0</v>
      </c>
      <c r="J205" s="50"/>
      <c r="K205" s="51"/>
      <c r="L205" s="71">
        <v>0.5</v>
      </c>
      <c r="M205" s="71">
        <v>500.0</v>
      </c>
      <c r="N205" s="52"/>
      <c r="O205" s="49">
        <f t="shared" si="61"/>
        <v>2663.3343</v>
      </c>
      <c r="P205" s="52"/>
      <c r="Q205" s="52"/>
      <c r="R205" s="52"/>
      <c r="S205" s="44"/>
      <c r="T205" s="44"/>
      <c r="U205" s="44"/>
      <c r="V205" s="44"/>
      <c r="W205" s="44"/>
      <c r="X205" s="44"/>
      <c r="Y205" s="44"/>
      <c r="Z205" s="44"/>
    </row>
    <row r="206" ht="14.25" customHeight="1">
      <c r="A206" s="60"/>
      <c r="B206" s="45" t="s">
        <v>22</v>
      </c>
      <c r="C206" s="73" t="str">
        <f t="shared" si="48"/>
        <v>12-1899</v>
      </c>
      <c r="D206" s="74"/>
      <c r="E206" s="75">
        <v>50.0</v>
      </c>
      <c r="F206" s="76">
        <f> (30-'Salários'!$N206)</f>
        <v>30</v>
      </c>
      <c r="G206" s="84">
        <v>2000.0</v>
      </c>
      <c r="H206" s="78">
        <v>182.3</v>
      </c>
      <c r="I206" s="85">
        <v>10.0</v>
      </c>
      <c r="J206" s="78"/>
      <c r="K206" s="75"/>
      <c r="L206" s="59"/>
      <c r="M206" s="81"/>
      <c r="N206" s="59"/>
      <c r="O206" s="77">
        <f t="shared" si="61"/>
        <v>3823</v>
      </c>
      <c r="P206" s="59"/>
      <c r="Q206" s="59"/>
      <c r="R206" s="59"/>
      <c r="S206" s="60"/>
      <c r="T206" s="60"/>
      <c r="U206" s="60"/>
      <c r="V206" s="60"/>
      <c r="W206" s="60"/>
      <c r="X206" s="60"/>
      <c r="Y206" s="60"/>
      <c r="Z206" s="60"/>
    </row>
    <row r="207" ht="14.25" customHeight="1">
      <c r="A207" s="44"/>
      <c r="B207" s="45" t="s">
        <v>26</v>
      </c>
      <c r="C207" s="46" t="str">
        <f t="shared" si="48"/>
        <v>12-1899</v>
      </c>
      <c r="D207" s="62"/>
      <c r="E207" s="47">
        <v>100.0</v>
      </c>
      <c r="F207" s="48">
        <f> (30-'Salários'!$N207)</f>
        <v>30</v>
      </c>
      <c r="G207" s="49">
        <f t="shared" ref="G207:G210" si="62">(E207*F207)</f>
        <v>3000</v>
      </c>
      <c r="H207" s="70">
        <v>196.2</v>
      </c>
      <c r="I207" s="67">
        <v>20.0</v>
      </c>
      <c r="J207" s="70">
        <v>18.6</v>
      </c>
      <c r="K207" s="67">
        <v>20.0</v>
      </c>
      <c r="L207" s="71">
        <v>2.0</v>
      </c>
      <c r="M207" s="52"/>
      <c r="N207" s="52"/>
      <c r="O207" s="49">
        <f t="shared" si="61"/>
        <v>7496</v>
      </c>
      <c r="P207" s="52"/>
      <c r="Q207" s="52"/>
      <c r="R207" s="52"/>
      <c r="S207" s="44"/>
      <c r="T207" s="44"/>
      <c r="U207" s="44"/>
      <c r="V207" s="44"/>
      <c r="W207" s="44"/>
      <c r="X207" s="44"/>
      <c r="Y207" s="44"/>
      <c r="Z207" s="44"/>
    </row>
    <row r="208" ht="14.25" customHeight="1">
      <c r="A208" s="30"/>
      <c r="B208" s="1" t="s">
        <v>66</v>
      </c>
      <c r="C208" s="31" t="str">
        <f t="shared" si="48"/>
        <v>12-1899</v>
      </c>
      <c r="D208" s="33"/>
      <c r="E208" s="37">
        <f>(2000/30)</f>
        <v>66.66666667</v>
      </c>
      <c r="F208" s="35">
        <v>30.0</v>
      </c>
      <c r="G208" s="39">
        <f t="shared" si="62"/>
        <v>2000</v>
      </c>
      <c r="H208" s="41"/>
      <c r="I208" s="37"/>
      <c r="J208" s="41"/>
      <c r="K208" s="37"/>
      <c r="L208" s="31"/>
      <c r="M208" s="31"/>
      <c r="N208" s="31"/>
      <c r="O208" s="39">
        <f t="shared" ref="O208:O209" si="63">(G208)+(H208*I208)+(J208*K208)+(L208*100)-(M208)</f>
        <v>2000</v>
      </c>
      <c r="P208" s="43">
        <v>3.5997323056E10</v>
      </c>
      <c r="Q208" s="40"/>
      <c r="R208" s="4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30"/>
      <c r="B209" s="1" t="s">
        <v>71</v>
      </c>
      <c r="C209" s="31" t="str">
        <f t="shared" si="48"/>
        <v>12-1899</v>
      </c>
      <c r="D209" s="33"/>
      <c r="E209" s="47">
        <f t="shared" ref="E209:E210" si="64">SUM(2018/30)</f>
        <v>67.26666667</v>
      </c>
      <c r="F209" s="83">
        <v>29.0</v>
      </c>
      <c r="G209" s="49">
        <f t="shared" si="62"/>
        <v>1950.733333</v>
      </c>
      <c r="H209" s="35"/>
      <c r="I209" s="37"/>
      <c r="J209" s="41"/>
      <c r="K209" s="37"/>
      <c r="L209" s="1">
        <v>2.0</v>
      </c>
      <c r="M209" s="31"/>
      <c r="N209" s="31"/>
      <c r="O209" s="39">
        <f t="shared" si="63"/>
        <v>2150.733333</v>
      </c>
      <c r="P209" s="40"/>
      <c r="Q209" s="40"/>
      <c r="R209" s="52"/>
      <c r="S209" s="44"/>
      <c r="T209" s="44"/>
      <c r="U209" s="44"/>
      <c r="V209" s="44"/>
      <c r="W209" s="44"/>
      <c r="X209" s="44"/>
      <c r="Y209" s="44"/>
      <c r="Z209" s="44"/>
    </row>
    <row r="210" ht="14.25" customHeight="1">
      <c r="A210" s="60"/>
      <c r="B210" s="45" t="s">
        <v>31</v>
      </c>
      <c r="C210" s="73" t="str">
        <f t="shared" si="48"/>
        <v>12-1899</v>
      </c>
      <c r="D210" s="74"/>
      <c r="E210" s="75">
        <f t="shared" si="64"/>
        <v>67.26666667</v>
      </c>
      <c r="F210" s="86">
        <v>28.0</v>
      </c>
      <c r="G210" s="77">
        <f t="shared" si="62"/>
        <v>1883.466667</v>
      </c>
      <c r="H210" s="78">
        <v>110.6</v>
      </c>
      <c r="I210" s="75">
        <v>8.0</v>
      </c>
      <c r="J210" s="78"/>
      <c r="K210" s="80"/>
      <c r="L210" s="81">
        <v>0.5</v>
      </c>
      <c r="M210" s="82">
        <v>500.0</v>
      </c>
      <c r="N210" s="59"/>
      <c r="O210" s="77">
        <f t="shared" ref="O210:O213" si="65">(G210)+(H210*I210)+(J210*K210)+(L210*100)-(M210)</f>
        <v>2318.266667</v>
      </c>
      <c r="P210" s="59"/>
      <c r="Q210" s="59"/>
      <c r="R210" s="59"/>
      <c r="S210" s="60"/>
      <c r="T210" s="60"/>
      <c r="U210" s="60"/>
      <c r="V210" s="60"/>
      <c r="W210" s="60"/>
      <c r="X210" s="60"/>
      <c r="Y210" s="60"/>
      <c r="Z210" s="60"/>
    </row>
    <row r="211" ht="14.25" customHeight="1">
      <c r="A211" s="60"/>
      <c r="B211" s="45" t="s">
        <v>30</v>
      </c>
      <c r="C211" s="73" t="str">
        <f t="shared" si="48"/>
        <v>12-1899</v>
      </c>
      <c r="D211" s="74"/>
      <c r="E211" s="75">
        <v>175.0</v>
      </c>
      <c r="F211" s="76">
        <f> (30-'Salários'!$N211)</f>
        <v>30</v>
      </c>
      <c r="G211" s="84">
        <v>6000.0</v>
      </c>
      <c r="H211" s="79"/>
      <c r="I211" s="75">
        <v>0.0</v>
      </c>
      <c r="J211" s="79"/>
      <c r="K211" s="80"/>
      <c r="L211" s="59"/>
      <c r="M211" s="59"/>
      <c r="N211" s="59"/>
      <c r="O211" s="77">
        <f t="shared" si="65"/>
        <v>6000</v>
      </c>
      <c r="P211" s="59"/>
      <c r="Q211" s="59"/>
      <c r="R211" s="59"/>
      <c r="S211" s="60"/>
      <c r="T211" s="60"/>
      <c r="U211" s="60"/>
      <c r="V211" s="60"/>
      <c r="W211" s="60"/>
      <c r="X211" s="60"/>
      <c r="Y211" s="60"/>
      <c r="Z211" s="60"/>
    </row>
    <row r="212" ht="14.25" customHeight="1">
      <c r="A212" s="44"/>
      <c r="B212" s="45" t="s">
        <v>29</v>
      </c>
      <c r="C212" s="46" t="str">
        <f t="shared" si="48"/>
        <v>12-1899</v>
      </c>
      <c r="D212" s="62"/>
      <c r="E212" s="47">
        <v>79.6667</v>
      </c>
      <c r="F212" s="48">
        <f> (30-'Salários'!$N212)</f>
        <v>30</v>
      </c>
      <c r="G212" s="49">
        <f t="shared" ref="G212:G213" si="66">(E212*F212)</f>
        <v>2390.001</v>
      </c>
      <c r="H212" s="50"/>
      <c r="I212" s="47">
        <v>0.0</v>
      </c>
      <c r="J212" s="50"/>
      <c r="K212" s="51"/>
      <c r="L212" s="52"/>
      <c r="M212" s="52"/>
      <c r="N212" s="52"/>
      <c r="O212" s="49">
        <f t="shared" si="65"/>
        <v>2390.001</v>
      </c>
      <c r="P212" s="52"/>
      <c r="Q212" s="52"/>
      <c r="R212" s="52"/>
      <c r="S212" s="44"/>
      <c r="T212" s="44"/>
      <c r="U212" s="44"/>
      <c r="V212" s="44"/>
      <c r="W212" s="44"/>
      <c r="X212" s="44"/>
      <c r="Y212" s="44"/>
      <c r="Z212" s="44"/>
    </row>
    <row r="213" ht="14.25" customHeight="1">
      <c r="A213" s="44"/>
      <c r="B213" s="45" t="s">
        <v>24</v>
      </c>
      <c r="C213" s="46" t="str">
        <f t="shared" si="48"/>
        <v>12-1899</v>
      </c>
      <c r="D213" s="62"/>
      <c r="E213" s="47">
        <v>133.333</v>
      </c>
      <c r="F213" s="83">
        <v>15.0</v>
      </c>
      <c r="G213" s="49">
        <f t="shared" si="66"/>
        <v>1999.995</v>
      </c>
      <c r="H213" s="70">
        <v>1.0</v>
      </c>
      <c r="I213" s="67">
        <v>4867.14</v>
      </c>
      <c r="J213" s="50"/>
      <c r="K213" s="51"/>
      <c r="L213" s="52"/>
      <c r="M213" s="52"/>
      <c r="N213" s="52"/>
      <c r="O213" s="49">
        <f t="shared" si="65"/>
        <v>6867.135</v>
      </c>
      <c r="P213" s="52"/>
      <c r="Q213" s="52"/>
      <c r="R213" s="52"/>
      <c r="S213" s="44"/>
      <c r="T213" s="44"/>
      <c r="U213" s="44"/>
      <c r="V213" s="44"/>
      <c r="W213" s="44"/>
      <c r="X213" s="44"/>
      <c r="Y213" s="44"/>
      <c r="Z213" s="44"/>
    </row>
    <row r="214" ht="14.25" customHeight="1">
      <c r="A214" s="30"/>
      <c r="B214" s="45" t="s">
        <v>53</v>
      </c>
      <c r="C214" s="46" t="str">
        <f t="shared" si="48"/>
        <v>12-1899</v>
      </c>
      <c r="D214" s="62"/>
      <c r="E214" s="47">
        <v>116.6666</v>
      </c>
      <c r="F214" s="35">
        <v>30.0</v>
      </c>
      <c r="G214" s="72">
        <v>4000.0</v>
      </c>
      <c r="H214" s="35"/>
      <c r="I214" s="67">
        <v>8.0</v>
      </c>
      <c r="J214" s="41"/>
      <c r="K214" s="37"/>
      <c r="L214" s="31"/>
      <c r="M214" s="1">
        <v>1100.0</v>
      </c>
      <c r="N214" s="31"/>
      <c r="O214" s="39">
        <f>(G214)+(H214*I214)+(J214*K214)+(L214*100)-(M214)</f>
        <v>2900</v>
      </c>
      <c r="P214" s="40"/>
      <c r="Q214" s="40"/>
      <c r="R214" s="4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44"/>
      <c r="B215" s="53" t="s">
        <v>72</v>
      </c>
      <c r="C215" s="46" t="str">
        <f t="shared" si="48"/>
        <v>12-1899</v>
      </c>
      <c r="D215" s="62"/>
      <c r="E215" s="67">
        <v>100.0</v>
      </c>
      <c r="F215" s="48">
        <f> (30-'Salários'!$N215)</f>
        <v>30</v>
      </c>
      <c r="G215" s="72">
        <f>F215*E215</f>
        <v>3000</v>
      </c>
      <c r="H215" s="70">
        <v>196.2</v>
      </c>
      <c r="I215" s="67">
        <v>20.0</v>
      </c>
      <c r="J215" s="50"/>
      <c r="K215" s="51"/>
      <c r="L215" s="52"/>
      <c r="M215" s="52"/>
      <c r="N215" s="52"/>
      <c r="O215" s="49">
        <f>(G215)+(H215*I215)+(J215*K215)+(L215*100)-(M215)</f>
        <v>6924</v>
      </c>
      <c r="P215" s="52"/>
      <c r="Q215" s="52"/>
      <c r="R215" s="52"/>
      <c r="S215" s="44"/>
      <c r="T215" s="44"/>
      <c r="U215" s="44"/>
      <c r="V215" s="44"/>
      <c r="W215" s="44"/>
      <c r="X215" s="44"/>
      <c r="Y215" s="44"/>
      <c r="Z215" s="44"/>
    </row>
    <row r="216" ht="14.25" customHeight="1">
      <c r="A216" s="54"/>
      <c r="B216" s="55"/>
      <c r="C216" s="55" t="str">
        <f t="shared" si="48"/>
        <v>12-1899</v>
      </c>
      <c r="D216" s="55"/>
      <c r="E216" s="56"/>
      <c r="F216" s="57">
        <f> (30-'Salários'!$N216)</f>
        <v>30</v>
      </c>
      <c r="G216" s="24">
        <f t="shared" ref="G216:G224" si="67">(E216*F216)</f>
        <v>0</v>
      </c>
      <c r="H216" s="57"/>
      <c r="I216" s="56"/>
      <c r="J216" s="57"/>
      <c r="K216" s="56"/>
      <c r="L216" s="55"/>
      <c r="M216" s="55"/>
      <c r="N216" s="55"/>
      <c r="O216" s="24">
        <f t="shared" ref="O216:O220" si="68">(G216)+(H216*I216)+(J216*K216)+(L216*100)-(M216)</f>
        <v>0</v>
      </c>
      <c r="P216" s="58"/>
      <c r="Q216" s="58"/>
      <c r="R216" s="58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54"/>
      <c r="B217" s="55"/>
      <c r="C217" s="55" t="str">
        <f t="shared" si="48"/>
        <v>12-1899</v>
      </c>
      <c r="D217" s="55"/>
      <c r="E217" s="56"/>
      <c r="F217" s="57">
        <f> (30-'Salários'!$N217)</f>
        <v>30</v>
      </c>
      <c r="G217" s="24">
        <f t="shared" si="67"/>
        <v>0</v>
      </c>
      <c r="H217" s="57"/>
      <c r="I217" s="56"/>
      <c r="J217" s="57"/>
      <c r="K217" s="56"/>
      <c r="L217" s="55"/>
      <c r="M217" s="55"/>
      <c r="N217" s="55"/>
      <c r="O217" s="24">
        <f t="shared" si="68"/>
        <v>0</v>
      </c>
      <c r="P217" s="58"/>
      <c r="Q217" s="58"/>
      <c r="R217" s="58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54"/>
      <c r="B218" s="55"/>
      <c r="C218" s="55" t="str">
        <f t="shared" si="48"/>
        <v>12-1899</v>
      </c>
      <c r="D218" s="55"/>
      <c r="E218" s="56"/>
      <c r="F218" s="57">
        <f> (30-'Salários'!$N218)</f>
        <v>30</v>
      </c>
      <c r="G218" s="24">
        <f t="shared" si="67"/>
        <v>0</v>
      </c>
      <c r="H218" s="57"/>
      <c r="I218" s="56"/>
      <c r="J218" s="57"/>
      <c r="K218" s="56"/>
      <c r="L218" s="55"/>
      <c r="M218" s="55"/>
      <c r="N218" s="55"/>
      <c r="O218" s="24">
        <f t="shared" si="68"/>
        <v>0</v>
      </c>
      <c r="P218" s="58"/>
      <c r="Q218" s="58"/>
      <c r="R218" s="58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54"/>
      <c r="B219" s="55"/>
      <c r="C219" s="55" t="str">
        <f t="shared" si="48"/>
        <v>12-1899</v>
      </c>
      <c r="D219" s="55"/>
      <c r="E219" s="56"/>
      <c r="F219" s="57">
        <f> (30-'Salários'!$N219)</f>
        <v>30</v>
      </c>
      <c r="G219" s="24">
        <f t="shared" si="67"/>
        <v>0</v>
      </c>
      <c r="H219" s="57"/>
      <c r="I219" s="56"/>
      <c r="J219" s="57"/>
      <c r="K219" s="56"/>
      <c r="L219" s="55"/>
      <c r="M219" s="55"/>
      <c r="N219" s="55"/>
      <c r="O219" s="24">
        <f t="shared" si="68"/>
        <v>0</v>
      </c>
      <c r="P219" s="58"/>
      <c r="Q219" s="58"/>
      <c r="R219" s="58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54"/>
      <c r="B220" s="55"/>
      <c r="C220" s="55" t="str">
        <f t="shared" si="48"/>
        <v>12-1899</v>
      </c>
      <c r="D220" s="55"/>
      <c r="E220" s="56"/>
      <c r="F220" s="57">
        <f> (30-'Salários'!$N220)</f>
        <v>30</v>
      </c>
      <c r="G220" s="24">
        <f t="shared" si="67"/>
        <v>0</v>
      </c>
      <c r="H220" s="57"/>
      <c r="I220" s="56"/>
      <c r="J220" s="57"/>
      <c r="K220" s="56"/>
      <c r="L220" s="55"/>
      <c r="M220" s="55"/>
      <c r="N220" s="55"/>
      <c r="O220" s="24">
        <f t="shared" si="68"/>
        <v>0</v>
      </c>
      <c r="P220" s="58"/>
      <c r="Q220" s="58"/>
      <c r="R220" s="58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44"/>
      <c r="B221" s="45" t="s">
        <v>18</v>
      </c>
      <c r="C221" s="46" t="str">
        <f t="shared" si="48"/>
        <v>12-2024</v>
      </c>
      <c r="D221" s="87">
        <v>45629.0</v>
      </c>
      <c r="E221" s="47">
        <v>81.3333</v>
      </c>
      <c r="F221" s="48">
        <f> (30-'Salários'!$N221)</f>
        <v>30</v>
      </c>
      <c r="G221" s="49">
        <f t="shared" si="67"/>
        <v>2439.999</v>
      </c>
      <c r="H221" s="70">
        <v>164.0</v>
      </c>
      <c r="I221" s="47">
        <v>20.0</v>
      </c>
      <c r="J221" s="70">
        <v>7.0</v>
      </c>
      <c r="K221" s="47">
        <v>20.0</v>
      </c>
      <c r="L221" s="71">
        <v>8.0</v>
      </c>
      <c r="M221" s="53">
        <v>800.0</v>
      </c>
      <c r="N221" s="52"/>
      <c r="O221" s="49">
        <f t="shared" ref="O221:O233" si="69">(G221)+(H221*I221)+(J221*K221)+(L221*100)-(M221)</f>
        <v>5859.999</v>
      </c>
      <c r="P221" s="52"/>
      <c r="Q221" s="52"/>
      <c r="R221" s="52"/>
      <c r="S221" s="44"/>
      <c r="T221" s="44"/>
      <c r="U221" s="44"/>
      <c r="V221" s="44"/>
      <c r="W221" s="44"/>
      <c r="X221" s="44"/>
      <c r="Y221" s="44"/>
      <c r="Z221" s="44"/>
    </row>
    <row r="222" ht="14.25" customHeight="1">
      <c r="A222" s="44"/>
      <c r="B222" s="45" t="s">
        <v>57</v>
      </c>
      <c r="C222" s="46" t="str">
        <f t="shared" si="48"/>
        <v>12-2024</v>
      </c>
      <c r="D222" s="87">
        <v>45629.0</v>
      </c>
      <c r="E222" s="47">
        <v>66.6667</v>
      </c>
      <c r="F222" s="48">
        <f> (30-'Salários'!$N222)</f>
        <v>30</v>
      </c>
      <c r="G222" s="49">
        <f t="shared" si="67"/>
        <v>2000.001</v>
      </c>
      <c r="H222" s="70">
        <v>153.7</v>
      </c>
      <c r="I222" s="47">
        <v>10.0</v>
      </c>
      <c r="J222" s="50"/>
      <c r="K222" s="51"/>
      <c r="L222" s="71">
        <v>4.5</v>
      </c>
      <c r="M222" s="53">
        <v>1000.0</v>
      </c>
      <c r="N222" s="52"/>
      <c r="O222" s="49">
        <f t="shared" si="69"/>
        <v>2987.001</v>
      </c>
      <c r="P222" s="52"/>
      <c r="Q222" s="52"/>
      <c r="R222" s="52"/>
      <c r="S222" s="44"/>
      <c r="T222" s="44"/>
      <c r="U222" s="44"/>
      <c r="V222" s="44"/>
      <c r="W222" s="44"/>
      <c r="X222" s="44"/>
      <c r="Y222" s="44"/>
      <c r="Z222" s="44"/>
    </row>
    <row r="223" ht="14.25" customHeight="1">
      <c r="A223" s="44"/>
      <c r="B223" s="45" t="s">
        <v>22</v>
      </c>
      <c r="C223" s="46" t="str">
        <f t="shared" si="48"/>
        <v>12-2024</v>
      </c>
      <c r="D223" s="87">
        <v>45629.0</v>
      </c>
      <c r="E223" s="67">
        <v>66.67</v>
      </c>
      <c r="F223" s="83">
        <v>29.0</v>
      </c>
      <c r="G223" s="49">
        <f t="shared" si="67"/>
        <v>1933.43</v>
      </c>
      <c r="H223" s="70">
        <v>132.2</v>
      </c>
      <c r="I223" s="47">
        <v>10.0</v>
      </c>
      <c r="J223" s="70">
        <v>2.7</v>
      </c>
      <c r="K223" s="47">
        <v>3.33</v>
      </c>
      <c r="L223" s="71">
        <v>3.0</v>
      </c>
      <c r="M223" s="53"/>
      <c r="N223" s="52"/>
      <c r="O223" s="49">
        <f t="shared" si="69"/>
        <v>3564.421</v>
      </c>
      <c r="P223" s="52"/>
      <c r="Q223" s="52"/>
      <c r="R223" s="52"/>
      <c r="S223" s="44"/>
      <c r="T223" s="44"/>
      <c r="U223" s="44"/>
      <c r="V223" s="44"/>
      <c r="W223" s="44"/>
      <c r="X223" s="44"/>
      <c r="Y223" s="44"/>
      <c r="Z223" s="44"/>
    </row>
    <row r="224" ht="14.25" customHeight="1">
      <c r="A224" s="44"/>
      <c r="B224" s="45" t="s">
        <v>26</v>
      </c>
      <c r="C224" s="46" t="str">
        <f t="shared" si="48"/>
        <v>12-2024</v>
      </c>
      <c r="D224" s="87">
        <v>45629.0</v>
      </c>
      <c r="E224" s="47">
        <v>100.0</v>
      </c>
      <c r="F224" s="48">
        <f> (30-'Salários'!$N224)</f>
        <v>30</v>
      </c>
      <c r="G224" s="49">
        <f t="shared" si="67"/>
        <v>3000</v>
      </c>
      <c r="H224" s="70">
        <v>245.3</v>
      </c>
      <c r="I224" s="67">
        <v>20.0</v>
      </c>
      <c r="J224" s="70">
        <v>23.1</v>
      </c>
      <c r="K224" s="67">
        <v>20.0</v>
      </c>
      <c r="L224" s="71">
        <v>5.0</v>
      </c>
      <c r="M224" s="45"/>
      <c r="N224" s="52"/>
      <c r="O224" s="49">
        <f t="shared" si="69"/>
        <v>8868</v>
      </c>
      <c r="P224" s="52"/>
      <c r="Q224" s="52"/>
      <c r="R224" s="52"/>
      <c r="S224" s="44"/>
      <c r="T224" s="44"/>
      <c r="U224" s="44"/>
      <c r="V224" s="44"/>
      <c r="W224" s="44"/>
      <c r="X224" s="44"/>
      <c r="Y224" s="44"/>
      <c r="Z224" s="44"/>
    </row>
    <row r="225" ht="14.25" customHeight="1">
      <c r="A225" s="44"/>
      <c r="B225" s="45" t="s">
        <v>66</v>
      </c>
      <c r="C225" s="45" t="str">
        <f t="shared" si="48"/>
        <v>12-2024</v>
      </c>
      <c r="D225" s="87">
        <v>45629.0</v>
      </c>
      <c r="E225" s="47">
        <f t="shared" ref="E225:E227" si="70">(2000/30)</f>
        <v>66.66666667</v>
      </c>
      <c r="F225" s="48">
        <v>30.0</v>
      </c>
      <c r="G225" s="72">
        <v>2300.0</v>
      </c>
      <c r="H225" s="50"/>
      <c r="I225" s="51"/>
      <c r="J225" s="50"/>
      <c r="K225" s="51"/>
      <c r="L225" s="52"/>
      <c r="M225" s="45"/>
      <c r="N225" s="52"/>
      <c r="O225" s="49">
        <f t="shared" si="69"/>
        <v>2300</v>
      </c>
      <c r="P225" s="88">
        <v>3.5997323056E10</v>
      </c>
      <c r="Q225" s="52"/>
      <c r="R225" s="52"/>
      <c r="S225" s="44"/>
      <c r="T225" s="44"/>
      <c r="U225" s="44"/>
      <c r="V225" s="44"/>
      <c r="W225" s="44"/>
      <c r="X225" s="44"/>
      <c r="Y225" s="44"/>
      <c r="Z225" s="44"/>
    </row>
    <row r="226" ht="14.25" customHeight="1">
      <c r="A226" s="44"/>
      <c r="B226" s="45" t="s">
        <v>72</v>
      </c>
      <c r="C226" s="45" t="str">
        <f t="shared" si="48"/>
        <v>12-2024</v>
      </c>
      <c r="D226" s="87">
        <v>45629.0</v>
      </c>
      <c r="E226" s="47">
        <f t="shared" si="70"/>
        <v>66.66666667</v>
      </c>
      <c r="F226" s="48">
        <v>30.0</v>
      </c>
      <c r="G226" s="89">
        <v>3000.0</v>
      </c>
      <c r="H226" s="70">
        <v>200.9</v>
      </c>
      <c r="I226" s="89">
        <v>20.0</v>
      </c>
      <c r="J226" s="70">
        <v>0.0</v>
      </c>
      <c r="K226" s="89">
        <v>0.0</v>
      </c>
      <c r="L226" s="71">
        <v>0.0</v>
      </c>
      <c r="M226" s="45"/>
      <c r="N226" s="52"/>
      <c r="O226" s="49">
        <f t="shared" si="69"/>
        <v>7018</v>
      </c>
      <c r="P226" s="52"/>
      <c r="Q226" s="52"/>
      <c r="R226" s="52"/>
      <c r="S226" s="44"/>
      <c r="T226" s="44"/>
      <c r="U226" s="44"/>
      <c r="V226" s="44"/>
      <c r="W226" s="44"/>
      <c r="X226" s="44"/>
      <c r="Y226" s="44"/>
      <c r="Z226" s="44"/>
    </row>
    <row r="227" ht="14.25" customHeight="1">
      <c r="A227" s="44"/>
      <c r="B227" s="45" t="s">
        <v>31</v>
      </c>
      <c r="C227" s="46" t="str">
        <f t="shared" si="48"/>
        <v>12-2024</v>
      </c>
      <c r="D227" s="87">
        <v>45630.0</v>
      </c>
      <c r="E227" s="47">
        <f t="shared" si="70"/>
        <v>66.66666667</v>
      </c>
      <c r="F227" s="48">
        <f> (30-'Salários'!$N227)</f>
        <v>30</v>
      </c>
      <c r="G227" s="49">
        <f t="shared" ref="G227:G230" si="71">(E227*F227)</f>
        <v>2000</v>
      </c>
      <c r="H227" s="70">
        <v>138.6</v>
      </c>
      <c r="I227" s="47">
        <v>8.0</v>
      </c>
      <c r="J227" s="70"/>
      <c r="K227" s="89"/>
      <c r="L227" s="52"/>
      <c r="M227" s="53">
        <v>500.0</v>
      </c>
      <c r="N227" s="52"/>
      <c r="O227" s="49">
        <f t="shared" si="69"/>
        <v>2608.8</v>
      </c>
      <c r="P227" s="71" t="s">
        <v>73</v>
      </c>
      <c r="Q227" s="52"/>
      <c r="R227" s="52"/>
      <c r="S227" s="44"/>
      <c r="T227" s="44"/>
      <c r="U227" s="44"/>
      <c r="V227" s="44"/>
      <c r="W227" s="44"/>
      <c r="X227" s="44"/>
      <c r="Y227" s="44"/>
      <c r="Z227" s="44"/>
    </row>
    <row r="228" ht="14.25" customHeight="1">
      <c r="A228" s="44"/>
      <c r="B228" s="45" t="s">
        <v>30</v>
      </c>
      <c r="C228" s="46" t="str">
        <f t="shared" si="48"/>
        <v>12-2024</v>
      </c>
      <c r="D228" s="87">
        <v>45629.0</v>
      </c>
      <c r="E228" s="47">
        <v>175.0</v>
      </c>
      <c r="F228" s="48">
        <f> (30-'Salários'!$N228)</f>
        <v>30</v>
      </c>
      <c r="G228" s="49">
        <f t="shared" si="71"/>
        <v>5250</v>
      </c>
      <c r="H228" s="50"/>
      <c r="I228" s="47">
        <v>0.0</v>
      </c>
      <c r="J228" s="50"/>
      <c r="K228" s="51"/>
      <c r="L228" s="52"/>
      <c r="M228" s="45"/>
      <c r="N228" s="52"/>
      <c r="O228" s="49">
        <f t="shared" si="69"/>
        <v>5250</v>
      </c>
      <c r="P228" s="52"/>
      <c r="Q228" s="52"/>
      <c r="R228" s="52"/>
      <c r="S228" s="44"/>
      <c r="T228" s="44"/>
      <c r="U228" s="44"/>
      <c r="V228" s="44"/>
      <c r="W228" s="44"/>
      <c r="X228" s="44"/>
      <c r="Y228" s="44"/>
      <c r="Z228" s="44"/>
    </row>
    <row r="229" ht="14.25" customHeight="1">
      <c r="A229" s="44"/>
      <c r="B229" s="45" t="s">
        <v>29</v>
      </c>
      <c r="C229" s="46" t="str">
        <f t="shared" si="48"/>
        <v>12-2024</v>
      </c>
      <c r="D229" s="87">
        <v>45629.0</v>
      </c>
      <c r="E229" s="47">
        <v>79.6667</v>
      </c>
      <c r="F229" s="48">
        <f> (30-'Salários'!$N229)</f>
        <v>30</v>
      </c>
      <c r="G229" s="49">
        <f t="shared" si="71"/>
        <v>2390.001</v>
      </c>
      <c r="H229" s="50"/>
      <c r="I229" s="47">
        <v>0.0</v>
      </c>
      <c r="J229" s="70">
        <v>1.0</v>
      </c>
      <c r="K229" s="89">
        <v>1300.0</v>
      </c>
      <c r="L229" s="52"/>
      <c r="M229" s="45"/>
      <c r="N229" s="52"/>
      <c r="O229" s="49">
        <f t="shared" si="69"/>
        <v>3690.001</v>
      </c>
      <c r="P229" s="52"/>
      <c r="Q229" s="52"/>
      <c r="R229" s="52"/>
      <c r="S229" s="44"/>
      <c r="T229" s="44"/>
      <c r="U229" s="44"/>
      <c r="V229" s="44"/>
      <c r="W229" s="44"/>
      <c r="X229" s="44"/>
      <c r="Y229" s="44"/>
      <c r="Z229" s="44"/>
    </row>
    <row r="230" ht="14.25" customHeight="1">
      <c r="A230" s="44"/>
      <c r="B230" s="45" t="s">
        <v>24</v>
      </c>
      <c r="C230" s="46" t="str">
        <f t="shared" si="48"/>
        <v>12-2024</v>
      </c>
      <c r="D230" s="87">
        <v>45629.0</v>
      </c>
      <c r="E230" s="47">
        <v>133.333</v>
      </c>
      <c r="F230" s="83">
        <v>17.0</v>
      </c>
      <c r="G230" s="49">
        <f t="shared" si="71"/>
        <v>2266.661</v>
      </c>
      <c r="H230" s="70">
        <v>1.0</v>
      </c>
      <c r="I230" s="67">
        <v>139.0</v>
      </c>
      <c r="J230" s="50"/>
      <c r="K230" s="51"/>
      <c r="L230" s="52"/>
      <c r="M230" s="45"/>
      <c r="N230" s="52"/>
      <c r="O230" s="49">
        <f t="shared" si="69"/>
        <v>2405.661</v>
      </c>
      <c r="P230" s="52"/>
      <c r="Q230" s="52"/>
      <c r="R230" s="52"/>
      <c r="S230" s="44"/>
      <c r="T230" s="44"/>
      <c r="U230" s="44"/>
      <c r="V230" s="44"/>
      <c r="W230" s="44"/>
      <c r="X230" s="44"/>
      <c r="Y230" s="44"/>
      <c r="Z230" s="44"/>
    </row>
    <row r="231" ht="14.25" customHeight="1">
      <c r="A231" s="44"/>
      <c r="B231" s="45" t="s">
        <v>53</v>
      </c>
      <c r="C231" s="46" t="str">
        <f t="shared" si="48"/>
        <v>12-2024</v>
      </c>
      <c r="D231" s="87">
        <v>45629.0</v>
      </c>
      <c r="E231" s="47">
        <v>116.6666</v>
      </c>
      <c r="F231" s="48">
        <f> (30-'Salários'!$N231)</f>
        <v>30</v>
      </c>
      <c r="G231" s="72">
        <v>4000.0</v>
      </c>
      <c r="H231" s="50"/>
      <c r="I231" s="47">
        <v>8.0</v>
      </c>
      <c r="J231" s="50"/>
      <c r="K231" s="51"/>
      <c r="L231" s="52"/>
      <c r="M231" s="53">
        <v>1400.0</v>
      </c>
      <c r="N231" s="52"/>
      <c r="O231" s="49">
        <f t="shared" si="69"/>
        <v>2600</v>
      </c>
      <c r="P231" s="52"/>
      <c r="Q231" s="52"/>
      <c r="R231" s="52"/>
      <c r="S231" s="44"/>
      <c r="T231" s="44"/>
      <c r="U231" s="44"/>
      <c r="V231" s="44"/>
      <c r="W231" s="44"/>
      <c r="X231" s="44"/>
      <c r="Y231" s="44"/>
      <c r="Z231" s="44"/>
    </row>
    <row r="232" ht="14.25" customHeight="1">
      <c r="A232" s="44"/>
      <c r="B232" s="53" t="s">
        <v>74</v>
      </c>
      <c r="C232" s="46" t="str">
        <f t="shared" si="48"/>
        <v>12-2024</v>
      </c>
      <c r="D232" s="87">
        <v>45629.0</v>
      </c>
      <c r="E232" s="47">
        <v>100.0</v>
      </c>
      <c r="F232" s="48">
        <f> (30-'Salários'!$N232)</f>
        <v>30</v>
      </c>
      <c r="G232" s="72">
        <v>4000.0</v>
      </c>
      <c r="H232" s="70">
        <v>180.0</v>
      </c>
      <c r="I232" s="89">
        <v>20.0</v>
      </c>
      <c r="J232" s="70">
        <v>0.0</v>
      </c>
      <c r="K232" s="89">
        <v>0.0</v>
      </c>
      <c r="L232" s="71">
        <v>0.0</v>
      </c>
      <c r="M232" s="45"/>
      <c r="N232" s="52"/>
      <c r="O232" s="49">
        <f t="shared" si="69"/>
        <v>7600</v>
      </c>
      <c r="P232" s="52"/>
      <c r="Q232" s="52"/>
      <c r="R232" s="52"/>
      <c r="S232" s="44"/>
      <c r="T232" s="44"/>
      <c r="U232" s="44"/>
      <c r="V232" s="44"/>
      <c r="W232" s="44"/>
      <c r="X232" s="44"/>
      <c r="Y232" s="44"/>
      <c r="Z232" s="44"/>
    </row>
    <row r="233" ht="14.25" customHeight="1">
      <c r="A233" s="44"/>
      <c r="B233" s="53" t="s">
        <v>75</v>
      </c>
      <c r="C233" s="45" t="str">
        <f t="shared" si="48"/>
        <v>12-2024</v>
      </c>
      <c r="D233" s="87">
        <v>45629.0</v>
      </c>
      <c r="E233" s="51"/>
      <c r="F233" s="48">
        <f> (30-'Salários'!$N233)</f>
        <v>30</v>
      </c>
      <c r="G233" s="72">
        <v>2500.0</v>
      </c>
      <c r="H233" s="50"/>
      <c r="I233" s="51"/>
      <c r="J233" s="50"/>
      <c r="K233" s="51"/>
      <c r="L233" s="52"/>
      <c r="M233" s="53">
        <v>380.0</v>
      </c>
      <c r="N233" s="52"/>
      <c r="O233" s="49">
        <f t="shared" si="69"/>
        <v>2120</v>
      </c>
      <c r="P233" s="52"/>
      <c r="Q233" s="52"/>
      <c r="R233" s="52"/>
      <c r="S233" s="44"/>
      <c r="T233" s="44"/>
      <c r="U233" s="44"/>
      <c r="V233" s="44"/>
      <c r="W233" s="44"/>
      <c r="X233" s="44"/>
      <c r="Y233" s="44"/>
      <c r="Z233" s="44"/>
    </row>
    <row r="234" ht="14.25" customHeight="1">
      <c r="A234" s="30"/>
      <c r="B234" s="1" t="s">
        <v>76</v>
      </c>
      <c r="C234" s="31" t="str">
        <f t="shared" si="48"/>
        <v>12-2024</v>
      </c>
      <c r="D234" s="87">
        <v>45629.0</v>
      </c>
      <c r="E234" s="37"/>
      <c r="F234" s="41">
        <f> (30-'Salários'!$N234)</f>
        <v>30</v>
      </c>
      <c r="G234" s="36">
        <v>2500.0</v>
      </c>
      <c r="H234" s="41"/>
      <c r="I234" s="37"/>
      <c r="J234" s="41"/>
      <c r="K234" s="37"/>
      <c r="L234" s="1">
        <v>5.0</v>
      </c>
      <c r="M234" s="1">
        <v>250.0</v>
      </c>
      <c r="N234" s="31"/>
      <c r="O234" s="39">
        <f t="shared" ref="O234:O238" si="72">(G234)+(H234*I234)+(J234*K234)+(L234*100)-(M234)</f>
        <v>2750</v>
      </c>
      <c r="P234" s="40"/>
      <c r="Q234" s="40"/>
      <c r="R234" s="4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30"/>
      <c r="B235" s="1" t="s">
        <v>77</v>
      </c>
      <c r="C235" s="31" t="str">
        <f t="shared" si="48"/>
        <v>12-2024</v>
      </c>
      <c r="D235" s="87">
        <v>45629.0</v>
      </c>
      <c r="E235" s="47">
        <f>(2000/30)</f>
        <v>66.66666667</v>
      </c>
      <c r="F235" s="48">
        <f> (30-'Salários'!$N235)</f>
        <v>30</v>
      </c>
      <c r="G235" s="49">
        <f t="shared" ref="G235:G242" si="73">(E235*F235)</f>
        <v>2000</v>
      </c>
      <c r="H235" s="41"/>
      <c r="I235" s="37"/>
      <c r="J235" s="41"/>
      <c r="K235" s="37"/>
      <c r="L235" s="1"/>
      <c r="M235" s="31"/>
      <c r="N235" s="31"/>
      <c r="O235" s="39">
        <f t="shared" si="72"/>
        <v>2000</v>
      </c>
      <c r="P235" s="40"/>
      <c r="Q235" s="40"/>
      <c r="R235" s="52"/>
      <c r="S235" s="44"/>
      <c r="T235" s="44"/>
      <c r="U235" s="44"/>
      <c r="V235" s="44"/>
      <c r="W235" s="44"/>
      <c r="X235" s="44"/>
      <c r="Y235" s="44"/>
      <c r="Z235" s="44"/>
    </row>
    <row r="236" ht="14.25" customHeight="1">
      <c r="A236" s="54"/>
      <c r="B236" s="55"/>
      <c r="C236" s="55" t="str">
        <f t="shared" si="48"/>
        <v>12-1899</v>
      </c>
      <c r="D236" s="55"/>
      <c r="E236" s="56"/>
      <c r="F236" s="57">
        <f> (30-'Salários'!$N236)</f>
        <v>30</v>
      </c>
      <c r="G236" s="24">
        <f t="shared" si="73"/>
        <v>0</v>
      </c>
      <c r="H236" s="57"/>
      <c r="I236" s="56"/>
      <c r="J236" s="57"/>
      <c r="K236" s="56"/>
      <c r="L236" s="55"/>
      <c r="M236" s="55"/>
      <c r="N236" s="55"/>
      <c r="O236" s="24">
        <f t="shared" si="72"/>
        <v>0</v>
      </c>
      <c r="P236" s="58"/>
      <c r="Q236" s="58"/>
      <c r="R236" s="58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54"/>
      <c r="B237" s="55"/>
      <c r="C237" s="55" t="str">
        <f t="shared" si="48"/>
        <v>12-1899</v>
      </c>
      <c r="D237" s="55"/>
      <c r="E237" s="56"/>
      <c r="F237" s="57">
        <f> (30-'Salários'!$N237)</f>
        <v>30</v>
      </c>
      <c r="G237" s="24">
        <f t="shared" si="73"/>
        <v>0</v>
      </c>
      <c r="H237" s="57"/>
      <c r="I237" s="56"/>
      <c r="J237" s="57"/>
      <c r="K237" s="56"/>
      <c r="L237" s="55"/>
      <c r="M237" s="55"/>
      <c r="N237" s="55"/>
      <c r="O237" s="24">
        <f t="shared" si="72"/>
        <v>0</v>
      </c>
      <c r="P237" s="58"/>
      <c r="Q237" s="58"/>
      <c r="R237" s="58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54"/>
      <c r="B238" s="55"/>
      <c r="C238" s="55" t="str">
        <f t="shared" si="48"/>
        <v>12-1899</v>
      </c>
      <c r="D238" s="55"/>
      <c r="E238" s="56"/>
      <c r="F238" s="57">
        <f> (30-'Salários'!$N238)</f>
        <v>30</v>
      </c>
      <c r="G238" s="24">
        <f t="shared" si="73"/>
        <v>0</v>
      </c>
      <c r="H238" s="57"/>
      <c r="I238" s="56"/>
      <c r="J238" s="57"/>
      <c r="K238" s="56"/>
      <c r="L238" s="55"/>
      <c r="M238" s="55"/>
      <c r="N238" s="55"/>
      <c r="O238" s="24">
        <f t="shared" si="72"/>
        <v>0</v>
      </c>
      <c r="P238" s="58"/>
      <c r="Q238" s="58"/>
      <c r="R238" s="58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44"/>
      <c r="B239" s="45" t="s">
        <v>18</v>
      </c>
      <c r="C239" s="46" t="str">
        <f t="shared" si="48"/>
        <v>1-2025</v>
      </c>
      <c r="D239" s="87">
        <v>45658.0</v>
      </c>
      <c r="E239" s="47">
        <v>81.3333</v>
      </c>
      <c r="F239" s="48">
        <f> (30-'Salários'!$N239)</f>
        <v>30</v>
      </c>
      <c r="G239" s="49">
        <f t="shared" si="73"/>
        <v>2439.999</v>
      </c>
      <c r="H239" s="70">
        <v>170.0</v>
      </c>
      <c r="I239" s="47">
        <v>20.0</v>
      </c>
      <c r="J239" s="70">
        <v>5.5</v>
      </c>
      <c r="K239" s="47">
        <v>20.0</v>
      </c>
      <c r="L239" s="71">
        <v>2.0</v>
      </c>
      <c r="M239" s="71">
        <v>1000.0</v>
      </c>
      <c r="N239" s="52"/>
      <c r="O239" s="49">
        <f t="shared" ref="O239:O251" si="74">(G239)+(H239*I239)+(J239*K239)+(L239*100)-(M239)</f>
        <v>5149.999</v>
      </c>
      <c r="P239" s="52"/>
      <c r="Q239" s="52"/>
      <c r="R239" s="52"/>
      <c r="S239" s="44"/>
      <c r="T239" s="44"/>
      <c r="U239" s="44"/>
      <c r="V239" s="44"/>
      <c r="W239" s="44"/>
      <c r="X239" s="44"/>
      <c r="Y239" s="44"/>
      <c r="Z239" s="44"/>
    </row>
    <row r="240" ht="14.25" customHeight="1">
      <c r="A240" s="44"/>
      <c r="B240" s="45" t="s">
        <v>57</v>
      </c>
      <c r="C240" s="46" t="str">
        <f t="shared" si="48"/>
        <v>1-2025</v>
      </c>
      <c r="D240" s="87">
        <v>45658.0</v>
      </c>
      <c r="E240" s="47">
        <v>66.6667</v>
      </c>
      <c r="F240" s="48">
        <f> (30-'Salários'!$N240)</f>
        <v>30</v>
      </c>
      <c r="G240" s="49">
        <f t="shared" si="73"/>
        <v>2000.001</v>
      </c>
      <c r="H240" s="70">
        <v>92.0</v>
      </c>
      <c r="I240" s="47">
        <v>10.0</v>
      </c>
      <c r="J240" s="50"/>
      <c r="K240" s="51"/>
      <c r="L240" s="52"/>
      <c r="M240" s="71">
        <v>732.0</v>
      </c>
      <c r="N240" s="52"/>
      <c r="O240" s="49">
        <f t="shared" si="74"/>
        <v>2188.001</v>
      </c>
      <c r="P240" s="52"/>
      <c r="Q240" s="52"/>
      <c r="R240" s="52"/>
      <c r="S240" s="44"/>
      <c r="T240" s="44"/>
      <c r="U240" s="44"/>
      <c r="V240" s="44"/>
      <c r="W240" s="44"/>
      <c r="X240" s="44"/>
      <c r="Y240" s="44"/>
      <c r="Z240" s="44"/>
    </row>
    <row r="241" ht="14.25" customHeight="1">
      <c r="A241" s="44"/>
      <c r="B241" s="45" t="s">
        <v>22</v>
      </c>
      <c r="C241" s="46" t="str">
        <f t="shared" si="48"/>
        <v>1-2025</v>
      </c>
      <c r="D241" s="87">
        <v>45658.0</v>
      </c>
      <c r="E241" s="67">
        <v>66.67</v>
      </c>
      <c r="F241" s="83">
        <v>29.0</v>
      </c>
      <c r="G241" s="49">
        <f t="shared" si="73"/>
        <v>1933.43</v>
      </c>
      <c r="H241" s="70">
        <v>39.6</v>
      </c>
      <c r="I241" s="47">
        <v>10.0</v>
      </c>
      <c r="J241" s="50"/>
      <c r="K241" s="47">
        <v>3.33</v>
      </c>
      <c r="L241" s="52"/>
      <c r="M241" s="71"/>
      <c r="N241" s="52"/>
      <c r="O241" s="49">
        <f t="shared" si="74"/>
        <v>2329.43</v>
      </c>
      <c r="P241" s="52"/>
      <c r="Q241" s="52"/>
      <c r="R241" s="52"/>
      <c r="S241" s="44"/>
      <c r="T241" s="44"/>
      <c r="U241" s="44"/>
      <c r="V241" s="44"/>
      <c r="W241" s="44"/>
      <c r="X241" s="44"/>
      <c r="Y241" s="44"/>
      <c r="Z241" s="44"/>
    </row>
    <row r="242" ht="14.25" customHeight="1">
      <c r="A242" s="44"/>
      <c r="B242" s="45" t="s">
        <v>26</v>
      </c>
      <c r="C242" s="46" t="str">
        <f t="shared" si="48"/>
        <v>1-2025</v>
      </c>
      <c r="D242" s="87">
        <v>45658.0</v>
      </c>
      <c r="E242" s="47">
        <v>100.0</v>
      </c>
      <c r="F242" s="48">
        <f> (30-'Salários'!$N242)</f>
        <v>30</v>
      </c>
      <c r="G242" s="49">
        <f t="shared" si="73"/>
        <v>3000</v>
      </c>
      <c r="H242" s="70">
        <v>156.2</v>
      </c>
      <c r="I242" s="67">
        <v>20.0</v>
      </c>
      <c r="J242" s="70">
        <v>9.1</v>
      </c>
      <c r="K242" s="67">
        <v>20.0</v>
      </c>
      <c r="L242" s="71">
        <v>5.0</v>
      </c>
      <c r="M242" s="52"/>
      <c r="N242" s="52"/>
      <c r="O242" s="49">
        <f t="shared" si="74"/>
        <v>6806</v>
      </c>
      <c r="P242" s="52"/>
      <c r="Q242" s="52"/>
      <c r="R242" s="52"/>
      <c r="S242" s="44"/>
      <c r="T242" s="44"/>
      <c r="U242" s="44"/>
      <c r="V242" s="44"/>
      <c r="W242" s="44"/>
      <c r="X242" s="44"/>
      <c r="Y242" s="44"/>
      <c r="Z242" s="44"/>
    </row>
    <row r="243" ht="14.25" customHeight="1">
      <c r="A243" s="44"/>
      <c r="B243" s="45" t="s">
        <v>66</v>
      </c>
      <c r="C243" s="45" t="str">
        <f t="shared" si="48"/>
        <v>1-2025</v>
      </c>
      <c r="D243" s="87">
        <v>45658.0</v>
      </c>
      <c r="E243" s="47">
        <f t="shared" ref="E243:E245" si="75">(2000/30)</f>
        <v>66.66666667</v>
      </c>
      <c r="F243" s="48">
        <v>30.0</v>
      </c>
      <c r="G243" s="72">
        <v>2300.0</v>
      </c>
      <c r="H243" s="50"/>
      <c r="I243" s="51"/>
      <c r="J243" s="50"/>
      <c r="K243" s="51"/>
      <c r="L243" s="52"/>
      <c r="M243" s="52"/>
      <c r="N243" s="52"/>
      <c r="O243" s="49">
        <f t="shared" si="74"/>
        <v>2300</v>
      </c>
      <c r="P243" s="88">
        <v>3.5997323056E10</v>
      </c>
      <c r="Q243" s="52"/>
      <c r="R243" s="52"/>
      <c r="S243" s="44"/>
      <c r="T243" s="44"/>
      <c r="U243" s="44"/>
      <c r="V243" s="44"/>
      <c r="W243" s="44"/>
      <c r="X243" s="44"/>
      <c r="Y243" s="44"/>
      <c r="Z243" s="44"/>
    </row>
    <row r="244" ht="14.25" customHeight="1">
      <c r="A244" s="44"/>
      <c r="B244" s="45" t="s">
        <v>72</v>
      </c>
      <c r="C244" s="45" t="str">
        <f t="shared" si="48"/>
        <v>1-2025</v>
      </c>
      <c r="D244" s="87">
        <v>45658.0</v>
      </c>
      <c r="E244" s="47">
        <f t="shared" si="75"/>
        <v>66.66666667</v>
      </c>
      <c r="F244" s="48">
        <v>30.0</v>
      </c>
      <c r="G244" s="89">
        <v>3000.0</v>
      </c>
      <c r="H244" s="70">
        <v>201.3</v>
      </c>
      <c r="I244" s="89">
        <v>20.0</v>
      </c>
      <c r="J244" s="50"/>
      <c r="K244" s="51"/>
      <c r="L244" s="52"/>
      <c r="M244" s="52"/>
      <c r="N244" s="52"/>
      <c r="O244" s="49">
        <f t="shared" si="74"/>
        <v>7026</v>
      </c>
      <c r="P244" s="52"/>
      <c r="Q244" s="52"/>
      <c r="R244" s="52"/>
      <c r="S244" s="44"/>
      <c r="T244" s="44"/>
      <c r="U244" s="44"/>
      <c r="V244" s="44"/>
      <c r="W244" s="44"/>
      <c r="X244" s="44"/>
      <c r="Y244" s="44"/>
      <c r="Z244" s="44"/>
    </row>
    <row r="245" ht="14.25" customHeight="1">
      <c r="A245" s="44"/>
      <c r="B245" s="45" t="s">
        <v>31</v>
      </c>
      <c r="C245" s="46" t="str">
        <f t="shared" si="48"/>
        <v>1-2025</v>
      </c>
      <c r="D245" s="87">
        <v>45658.0</v>
      </c>
      <c r="E245" s="47">
        <f t="shared" si="75"/>
        <v>66.66666667</v>
      </c>
      <c r="F245" s="48">
        <f> (30-'Salários'!$N245)</f>
        <v>30</v>
      </c>
      <c r="G245" s="49">
        <f t="shared" ref="G245:G248" si="76">(E245*F245)</f>
        <v>2000</v>
      </c>
      <c r="H245" s="70">
        <v>52.3</v>
      </c>
      <c r="I245" s="47">
        <v>8.0</v>
      </c>
      <c r="J245" s="50"/>
      <c r="K245" s="51"/>
      <c r="L245" s="71">
        <v>0.5</v>
      </c>
      <c r="M245" s="53">
        <v>500.0</v>
      </c>
      <c r="N245" s="52"/>
      <c r="O245" s="49">
        <f t="shared" si="74"/>
        <v>1968.4</v>
      </c>
      <c r="P245" s="52"/>
      <c r="Q245" s="52"/>
      <c r="R245" s="52"/>
      <c r="S245" s="44"/>
      <c r="T245" s="44"/>
      <c r="U245" s="44"/>
      <c r="V245" s="44"/>
      <c r="W245" s="44"/>
      <c r="X245" s="44"/>
      <c r="Y245" s="44"/>
      <c r="Z245" s="44"/>
    </row>
    <row r="246" ht="14.25" customHeight="1">
      <c r="A246" s="44"/>
      <c r="B246" s="45" t="s">
        <v>30</v>
      </c>
      <c r="C246" s="46" t="str">
        <f t="shared" si="48"/>
        <v>1-2025</v>
      </c>
      <c r="D246" s="87">
        <v>45658.0</v>
      </c>
      <c r="E246" s="47">
        <v>175.0</v>
      </c>
      <c r="F246" s="48">
        <f> (30-'Salários'!$N246)</f>
        <v>30</v>
      </c>
      <c r="G246" s="49">
        <f t="shared" si="76"/>
        <v>5250</v>
      </c>
      <c r="H246" s="50"/>
      <c r="I246" s="47">
        <v>0.0</v>
      </c>
      <c r="J246" s="50"/>
      <c r="K246" s="51"/>
      <c r="L246" s="52"/>
      <c r="M246" s="52"/>
      <c r="N246" s="52"/>
      <c r="O246" s="49">
        <f t="shared" si="74"/>
        <v>5250</v>
      </c>
      <c r="P246" s="52"/>
      <c r="Q246" s="52"/>
      <c r="R246" s="52"/>
      <c r="S246" s="44"/>
      <c r="T246" s="44"/>
      <c r="U246" s="44"/>
      <c r="V246" s="44"/>
      <c r="W246" s="44"/>
      <c r="X246" s="44"/>
      <c r="Y246" s="44"/>
      <c r="Z246" s="44"/>
    </row>
    <row r="247" ht="14.25" customHeight="1">
      <c r="A247" s="44"/>
      <c r="B247" s="53" t="s">
        <v>78</v>
      </c>
      <c r="C247" s="46" t="str">
        <f t="shared" si="48"/>
        <v>1-2025</v>
      </c>
      <c r="D247" s="87">
        <v>45658.0</v>
      </c>
      <c r="E247" s="47">
        <v>79.6667</v>
      </c>
      <c r="F247" s="48">
        <f> (30-'Salários'!$N247)</f>
        <v>30</v>
      </c>
      <c r="G247" s="49">
        <f t="shared" si="76"/>
        <v>2390.001</v>
      </c>
      <c r="H247" s="50"/>
      <c r="I247" s="47">
        <v>0.0</v>
      </c>
      <c r="J247" s="50"/>
      <c r="K247" s="51"/>
      <c r="L247" s="52"/>
      <c r="M247" s="52"/>
      <c r="N247" s="52"/>
      <c r="O247" s="49">
        <f t="shared" si="74"/>
        <v>2390.001</v>
      </c>
      <c r="P247" s="52"/>
      <c r="Q247" s="52"/>
      <c r="R247" s="52"/>
      <c r="S247" s="44"/>
      <c r="T247" s="44"/>
      <c r="U247" s="44"/>
      <c r="V247" s="44"/>
      <c r="W247" s="44"/>
      <c r="X247" s="44"/>
      <c r="Y247" s="44"/>
      <c r="Z247" s="44"/>
    </row>
    <row r="248" ht="14.25" customHeight="1">
      <c r="A248" s="44"/>
      <c r="B248" s="45" t="s">
        <v>24</v>
      </c>
      <c r="C248" s="46" t="str">
        <f t="shared" si="48"/>
        <v>1-2025</v>
      </c>
      <c r="D248" s="87">
        <v>45658.0</v>
      </c>
      <c r="E248" s="47">
        <v>133.333</v>
      </c>
      <c r="F248" s="83">
        <v>17.0</v>
      </c>
      <c r="G248" s="49">
        <f t="shared" si="76"/>
        <v>2266.661</v>
      </c>
      <c r="H248" s="70">
        <v>1.0</v>
      </c>
      <c r="I248" s="67">
        <v>207.41</v>
      </c>
      <c r="J248" s="50"/>
      <c r="K248" s="51"/>
      <c r="L248" s="52"/>
      <c r="M248" s="52"/>
      <c r="N248" s="52"/>
      <c r="O248" s="49">
        <f t="shared" si="74"/>
        <v>2474.071</v>
      </c>
      <c r="P248" s="52"/>
      <c r="Q248" s="52"/>
      <c r="R248" s="52"/>
      <c r="S248" s="44"/>
      <c r="T248" s="44"/>
      <c r="U248" s="44"/>
      <c r="V248" s="44"/>
      <c r="W248" s="44"/>
      <c r="X248" s="44"/>
      <c r="Y248" s="44"/>
      <c r="Z248" s="44"/>
    </row>
    <row r="249" ht="14.25" customHeight="1">
      <c r="A249" s="44"/>
      <c r="B249" s="45" t="s">
        <v>53</v>
      </c>
      <c r="C249" s="46" t="str">
        <f t="shared" si="48"/>
        <v>1-2025</v>
      </c>
      <c r="D249" s="87">
        <v>45658.0</v>
      </c>
      <c r="E249" s="47">
        <v>116.6666</v>
      </c>
      <c r="F249" s="48">
        <f> (30-'Salários'!$N249)</f>
        <v>30</v>
      </c>
      <c r="G249" s="72">
        <v>4000.0</v>
      </c>
      <c r="H249" s="50"/>
      <c r="I249" s="47">
        <v>8.0</v>
      </c>
      <c r="J249" s="50"/>
      <c r="K249" s="51"/>
      <c r="L249" s="52"/>
      <c r="M249" s="71">
        <v>1200.0</v>
      </c>
      <c r="N249" s="52"/>
      <c r="O249" s="49">
        <f t="shared" si="74"/>
        <v>2800</v>
      </c>
      <c r="P249" s="52"/>
      <c r="Q249" s="52"/>
      <c r="R249" s="52"/>
      <c r="S249" s="44"/>
      <c r="T249" s="44"/>
      <c r="U249" s="44"/>
      <c r="V249" s="44"/>
      <c r="W249" s="44"/>
      <c r="X249" s="44"/>
      <c r="Y249" s="44"/>
      <c r="Z249" s="44"/>
    </row>
    <row r="250" ht="14.25" customHeight="1">
      <c r="A250" s="44"/>
      <c r="B250" s="53" t="s">
        <v>74</v>
      </c>
      <c r="C250" s="46" t="str">
        <f t="shared" si="48"/>
        <v>1-2025</v>
      </c>
      <c r="D250" s="87">
        <v>45658.0</v>
      </c>
      <c r="E250" s="47">
        <v>100.0</v>
      </c>
      <c r="F250" s="48">
        <f> (30-'Salários'!$N250)</f>
        <v>30</v>
      </c>
      <c r="G250" s="72">
        <v>4000.0</v>
      </c>
      <c r="H250" s="70">
        <v>146.6</v>
      </c>
      <c r="I250" s="89">
        <v>20.0</v>
      </c>
      <c r="J250" s="50"/>
      <c r="K250" s="51"/>
      <c r="L250" s="52"/>
      <c r="M250" s="52"/>
      <c r="N250" s="52"/>
      <c r="O250" s="49">
        <f t="shared" si="74"/>
        <v>6932</v>
      </c>
      <c r="P250" s="52"/>
      <c r="Q250" s="52"/>
      <c r="R250" s="52"/>
      <c r="S250" s="44"/>
      <c r="T250" s="44"/>
      <c r="U250" s="44"/>
      <c r="V250" s="44"/>
      <c r="W250" s="44"/>
      <c r="X250" s="44"/>
      <c r="Y250" s="44"/>
      <c r="Z250" s="44"/>
    </row>
    <row r="251" ht="14.25" customHeight="1">
      <c r="A251" s="44"/>
      <c r="B251" s="53"/>
      <c r="C251" s="45" t="str">
        <f t="shared" si="48"/>
        <v>1-2025</v>
      </c>
      <c r="D251" s="87">
        <v>45658.0</v>
      </c>
      <c r="E251" s="51"/>
      <c r="F251" s="48">
        <f> (30-'Salários'!$N251)</f>
        <v>30</v>
      </c>
      <c r="G251" s="72">
        <v>2500.0</v>
      </c>
      <c r="H251" s="50"/>
      <c r="I251" s="51"/>
      <c r="J251" s="50"/>
      <c r="K251" s="51"/>
      <c r="L251" s="52"/>
      <c r="M251" s="52"/>
      <c r="N251" s="52"/>
      <c r="O251" s="49">
        <f t="shared" si="74"/>
        <v>2500</v>
      </c>
      <c r="P251" s="52"/>
      <c r="Q251" s="52"/>
      <c r="R251" s="52"/>
      <c r="S251" s="44"/>
      <c r="T251" s="44"/>
      <c r="U251" s="44"/>
      <c r="V251" s="44"/>
      <c r="W251" s="44"/>
      <c r="X251" s="44"/>
      <c r="Y251" s="44"/>
      <c r="Z251" s="44"/>
    </row>
    <row r="252" ht="14.25" customHeight="1">
      <c r="A252" s="30"/>
      <c r="B252" s="1" t="s">
        <v>76</v>
      </c>
      <c r="C252" s="31" t="str">
        <f t="shared" si="48"/>
        <v>1-2025</v>
      </c>
      <c r="D252" s="87">
        <v>45658.0</v>
      </c>
      <c r="E252" s="37"/>
      <c r="F252" s="41">
        <f> (30-'Salários'!$N252)</f>
        <v>30</v>
      </c>
      <c r="G252" s="36">
        <v>2500.0</v>
      </c>
      <c r="H252" s="41"/>
      <c r="I252" s="37"/>
      <c r="J252" s="41"/>
      <c r="K252" s="37"/>
      <c r="L252" s="31"/>
      <c r="M252" s="31"/>
      <c r="N252" s="31"/>
      <c r="O252" s="39">
        <f t="shared" ref="O252:O255" si="77">(G252)+(H252*I252)+(J252*K252)+(L252*100)-(M252)</f>
        <v>2500</v>
      </c>
      <c r="P252" s="40"/>
      <c r="Q252" s="40"/>
      <c r="R252" s="4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54"/>
      <c r="B253" s="90"/>
      <c r="C253" s="55" t="str">
        <f t="shared" si="48"/>
        <v>12-1899</v>
      </c>
      <c r="D253" s="91"/>
      <c r="E253" s="75"/>
      <c r="F253" s="76">
        <f> (30-'Salários'!$N253)</f>
        <v>30</v>
      </c>
      <c r="G253" s="77">
        <f t="shared" ref="G253:G257" si="78">(E253*F253)</f>
        <v>0</v>
      </c>
      <c r="H253" s="57"/>
      <c r="I253" s="56"/>
      <c r="J253" s="57"/>
      <c r="K253" s="56"/>
      <c r="L253" s="55"/>
      <c r="M253" s="55"/>
      <c r="N253" s="55"/>
      <c r="O253" s="24">
        <f t="shared" si="77"/>
        <v>0</v>
      </c>
      <c r="P253" s="58"/>
      <c r="Q253" s="58"/>
      <c r="R253" s="58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54"/>
      <c r="B254" s="55"/>
      <c r="C254" s="55" t="str">
        <f t="shared" si="48"/>
        <v>12-1899</v>
      </c>
      <c r="D254" s="55"/>
      <c r="E254" s="56"/>
      <c r="F254" s="57">
        <f> (30-'Salários'!$N254)</f>
        <v>30</v>
      </c>
      <c r="G254" s="24">
        <f t="shared" si="78"/>
        <v>0</v>
      </c>
      <c r="H254" s="57"/>
      <c r="I254" s="56"/>
      <c r="J254" s="57"/>
      <c r="K254" s="56"/>
      <c r="L254" s="55"/>
      <c r="M254" s="55"/>
      <c r="N254" s="55"/>
      <c r="O254" s="24">
        <f t="shared" si="77"/>
        <v>0</v>
      </c>
      <c r="P254" s="58"/>
      <c r="Q254" s="58"/>
      <c r="R254" s="58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54"/>
      <c r="B255" s="55"/>
      <c r="C255" s="55" t="str">
        <f t="shared" si="48"/>
        <v>12-1899</v>
      </c>
      <c r="D255" s="55"/>
      <c r="E255" s="56"/>
      <c r="F255" s="57">
        <f> (30-'Salários'!$N255)</f>
        <v>30</v>
      </c>
      <c r="G255" s="24">
        <f t="shared" si="78"/>
        <v>0</v>
      </c>
      <c r="H255" s="57"/>
      <c r="I255" s="56"/>
      <c r="J255" s="57"/>
      <c r="K255" s="56"/>
      <c r="L255" s="55"/>
      <c r="M255" s="55"/>
      <c r="N255" s="55"/>
      <c r="O255" s="24">
        <f t="shared" si="77"/>
        <v>0</v>
      </c>
      <c r="P255" s="58"/>
      <c r="Q255" s="58"/>
      <c r="R255" s="58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92"/>
      <c r="B256" s="93" t="s">
        <v>18</v>
      </c>
      <c r="C256" s="94" t="str">
        <f t="shared" si="48"/>
        <v>2-2025</v>
      </c>
      <c r="D256" s="95">
        <v>45689.0</v>
      </c>
      <c r="E256" s="96">
        <v>81.3333</v>
      </c>
      <c r="F256" s="97">
        <f> (30-'Salários'!$N256)</f>
        <v>30</v>
      </c>
      <c r="G256" s="98">
        <f t="shared" si="78"/>
        <v>2439.999</v>
      </c>
      <c r="H256" s="99">
        <v>195.0</v>
      </c>
      <c r="I256" s="96">
        <v>20.0</v>
      </c>
      <c r="J256" s="99">
        <v>9.0</v>
      </c>
      <c r="K256" s="96">
        <v>20.0</v>
      </c>
      <c r="L256" s="100">
        <v>5.0</v>
      </c>
      <c r="M256" s="101"/>
      <c r="N256" s="101"/>
      <c r="O256" s="98">
        <f t="shared" ref="O256:O268" si="79">(G256)+(H256*I256)+(J256*K256)+(L256*100)-(M256)</f>
        <v>7019.999</v>
      </c>
      <c r="P256" s="101"/>
      <c r="Q256" s="102"/>
      <c r="R256" s="102"/>
      <c r="S256" s="92"/>
      <c r="T256" s="92"/>
      <c r="U256" s="92"/>
      <c r="V256" s="92"/>
      <c r="W256" s="92"/>
      <c r="X256" s="92"/>
      <c r="Y256" s="92"/>
      <c r="Z256" s="92"/>
    </row>
    <row r="257" ht="14.25" customHeight="1">
      <c r="A257" s="92"/>
      <c r="B257" s="93" t="s">
        <v>57</v>
      </c>
      <c r="C257" s="94" t="str">
        <f t="shared" si="48"/>
        <v>2-2025</v>
      </c>
      <c r="D257" s="95">
        <v>45689.0</v>
      </c>
      <c r="E257" s="96">
        <v>66.6667</v>
      </c>
      <c r="F257" s="97">
        <f> (30-'Salários'!$N257)</f>
        <v>30</v>
      </c>
      <c r="G257" s="98">
        <f t="shared" si="78"/>
        <v>2000.001</v>
      </c>
      <c r="H257" s="99">
        <v>83.5</v>
      </c>
      <c r="I257" s="96">
        <v>10.0</v>
      </c>
      <c r="J257" s="103"/>
      <c r="K257" s="104"/>
      <c r="L257" s="100">
        <v>1.5</v>
      </c>
      <c r="M257" s="101"/>
      <c r="N257" s="101"/>
      <c r="O257" s="98">
        <f t="shared" si="79"/>
        <v>2985.001</v>
      </c>
      <c r="P257" s="101"/>
      <c r="Q257" s="102"/>
      <c r="R257" s="102"/>
      <c r="S257" s="92"/>
      <c r="T257" s="92"/>
      <c r="U257" s="92"/>
      <c r="V257" s="92"/>
      <c r="W257" s="92"/>
      <c r="X257" s="92"/>
      <c r="Y257" s="92"/>
      <c r="Z257" s="92"/>
    </row>
    <row r="258" ht="14.25" customHeight="1">
      <c r="A258" s="92"/>
      <c r="B258" s="93" t="s">
        <v>22</v>
      </c>
      <c r="C258" s="94" t="str">
        <f t="shared" si="48"/>
        <v>2-2025</v>
      </c>
      <c r="D258" s="95">
        <v>45689.0</v>
      </c>
      <c r="E258" s="96">
        <v>50.0</v>
      </c>
      <c r="F258" s="97">
        <f> (30-'Salários'!$N258)</f>
        <v>30</v>
      </c>
      <c r="G258" s="98">
        <v>2000.0</v>
      </c>
      <c r="H258" s="99">
        <v>0.0</v>
      </c>
      <c r="I258" s="96">
        <v>10.0</v>
      </c>
      <c r="J258" s="103"/>
      <c r="K258" s="96">
        <v>3.33</v>
      </c>
      <c r="L258" s="101"/>
      <c r="M258" s="100">
        <v>900.0</v>
      </c>
      <c r="N258" s="101"/>
      <c r="O258" s="98">
        <f t="shared" si="79"/>
        <v>1100</v>
      </c>
      <c r="P258" s="101"/>
      <c r="Q258" s="102"/>
      <c r="R258" s="102"/>
      <c r="S258" s="92"/>
      <c r="T258" s="92"/>
      <c r="U258" s="92"/>
      <c r="V258" s="92"/>
      <c r="W258" s="92"/>
      <c r="X258" s="92"/>
      <c r="Y258" s="92"/>
      <c r="Z258" s="92"/>
    </row>
    <row r="259" ht="14.25" customHeight="1">
      <c r="A259" s="92"/>
      <c r="B259" s="93" t="s">
        <v>26</v>
      </c>
      <c r="C259" s="94" t="str">
        <f t="shared" si="48"/>
        <v>2-2025</v>
      </c>
      <c r="D259" s="95">
        <v>45689.0</v>
      </c>
      <c r="E259" s="96">
        <v>100.0</v>
      </c>
      <c r="F259" s="97">
        <f> (30-'Salários'!$N259)</f>
        <v>30</v>
      </c>
      <c r="G259" s="98">
        <f t="shared" ref="G259:G260" si="80">(E259*F259)</f>
        <v>3000</v>
      </c>
      <c r="H259" s="99">
        <v>220.3</v>
      </c>
      <c r="I259" s="105">
        <v>20.0</v>
      </c>
      <c r="J259" s="99">
        <v>9.3</v>
      </c>
      <c r="K259" s="105">
        <v>20.0</v>
      </c>
      <c r="L259" s="100">
        <v>5.0</v>
      </c>
      <c r="M259" s="101"/>
      <c r="N259" s="101"/>
      <c r="O259" s="98">
        <f t="shared" si="79"/>
        <v>8092</v>
      </c>
      <c r="P259" s="101"/>
      <c r="Q259" s="102"/>
      <c r="R259" s="102"/>
      <c r="S259" s="92"/>
      <c r="T259" s="92"/>
      <c r="U259" s="92"/>
      <c r="V259" s="92"/>
      <c r="W259" s="92"/>
      <c r="X259" s="92"/>
      <c r="Y259" s="92"/>
      <c r="Z259" s="92"/>
    </row>
    <row r="260" ht="14.25" customHeight="1">
      <c r="A260" s="92"/>
      <c r="B260" s="93"/>
      <c r="C260" s="93" t="str">
        <f t="shared" si="48"/>
        <v>2-2025</v>
      </c>
      <c r="D260" s="95">
        <v>45689.0</v>
      </c>
      <c r="E260" s="96">
        <f t="shared" ref="E260:E262" si="81">(2000/30)</f>
        <v>66.66666667</v>
      </c>
      <c r="F260" s="97">
        <v>30.0</v>
      </c>
      <c r="G260" s="98">
        <f t="shared" si="80"/>
        <v>2000</v>
      </c>
      <c r="H260" s="103"/>
      <c r="I260" s="104"/>
      <c r="J260" s="103"/>
      <c r="K260" s="104"/>
      <c r="L260" s="101"/>
      <c r="M260" s="101"/>
      <c r="N260" s="101"/>
      <c r="O260" s="98">
        <f t="shared" si="79"/>
        <v>2000</v>
      </c>
      <c r="P260" s="106">
        <v>3.5997323056E10</v>
      </c>
      <c r="Q260" s="102"/>
      <c r="R260" s="102"/>
      <c r="S260" s="92"/>
      <c r="T260" s="92"/>
      <c r="U260" s="92"/>
      <c r="V260" s="92"/>
      <c r="W260" s="92"/>
      <c r="X260" s="92"/>
      <c r="Y260" s="92"/>
      <c r="Z260" s="92"/>
    </row>
    <row r="261" ht="14.25" customHeight="1">
      <c r="A261" s="92"/>
      <c r="B261" s="93"/>
      <c r="C261" s="93" t="str">
        <f t="shared" si="48"/>
        <v>2-2025</v>
      </c>
      <c r="D261" s="95">
        <v>45689.0</v>
      </c>
      <c r="E261" s="96">
        <f t="shared" si="81"/>
        <v>66.66666667</v>
      </c>
      <c r="F261" s="97">
        <v>30.0</v>
      </c>
      <c r="G261" s="107"/>
      <c r="H261" s="103"/>
      <c r="I261" s="104"/>
      <c r="J261" s="103"/>
      <c r="K261" s="104"/>
      <c r="L261" s="101"/>
      <c r="M261" s="101"/>
      <c r="N261" s="101"/>
      <c r="O261" s="98">
        <f t="shared" si="79"/>
        <v>0</v>
      </c>
      <c r="P261" s="101"/>
      <c r="Q261" s="102"/>
      <c r="R261" s="102"/>
      <c r="S261" s="92"/>
      <c r="T261" s="92"/>
      <c r="U261" s="92"/>
      <c r="V261" s="92"/>
      <c r="W261" s="92"/>
      <c r="X261" s="92"/>
      <c r="Y261" s="92"/>
      <c r="Z261" s="92"/>
    </row>
    <row r="262" ht="14.25" customHeight="1">
      <c r="A262" s="92"/>
      <c r="B262" s="93" t="s">
        <v>31</v>
      </c>
      <c r="C262" s="94" t="str">
        <f t="shared" si="48"/>
        <v>2-2025</v>
      </c>
      <c r="D262" s="95">
        <v>45689.0</v>
      </c>
      <c r="E262" s="96">
        <f t="shared" si="81"/>
        <v>66.66666667</v>
      </c>
      <c r="F262" s="97">
        <f> (30-'Salários'!$N262)</f>
        <v>30</v>
      </c>
      <c r="G262" s="98">
        <f t="shared" ref="G262:G265" si="82">(E262*F262)</f>
        <v>2000</v>
      </c>
      <c r="H262" s="99">
        <v>134.6</v>
      </c>
      <c r="I262" s="96">
        <v>8.0</v>
      </c>
      <c r="J262" s="103"/>
      <c r="K262" s="104"/>
      <c r="L262" s="100">
        <v>1.5</v>
      </c>
      <c r="M262" s="108"/>
      <c r="N262" s="101"/>
      <c r="O262" s="98">
        <f t="shared" si="79"/>
        <v>3226.8</v>
      </c>
      <c r="P262" s="101"/>
      <c r="Q262" s="102"/>
      <c r="R262" s="102"/>
      <c r="S262" s="92"/>
      <c r="T262" s="92"/>
      <c r="U262" s="92"/>
      <c r="V262" s="92"/>
      <c r="W262" s="92"/>
      <c r="X262" s="92"/>
      <c r="Y262" s="92"/>
      <c r="Z262" s="92"/>
    </row>
    <row r="263" ht="14.25" customHeight="1">
      <c r="A263" s="92"/>
      <c r="B263" s="93" t="s">
        <v>30</v>
      </c>
      <c r="C263" s="94" t="str">
        <f t="shared" si="48"/>
        <v>2-2025</v>
      </c>
      <c r="D263" s="95">
        <v>45689.0</v>
      </c>
      <c r="E263" s="96">
        <v>175.0</v>
      </c>
      <c r="F263" s="97">
        <f> (30-'Salários'!$N263)</f>
        <v>30</v>
      </c>
      <c r="G263" s="98">
        <f t="shared" si="82"/>
        <v>5250</v>
      </c>
      <c r="H263" s="103"/>
      <c r="I263" s="96">
        <v>0.0</v>
      </c>
      <c r="J263" s="103"/>
      <c r="K263" s="104"/>
      <c r="L263" s="101"/>
      <c r="M263" s="101"/>
      <c r="N263" s="101"/>
      <c r="O263" s="98">
        <f t="shared" si="79"/>
        <v>5250</v>
      </c>
      <c r="P263" s="101"/>
      <c r="Q263" s="102"/>
      <c r="R263" s="102"/>
      <c r="S263" s="92"/>
      <c r="T263" s="92"/>
      <c r="U263" s="92"/>
      <c r="V263" s="92"/>
      <c r="W263" s="92"/>
      <c r="X263" s="92"/>
      <c r="Y263" s="92"/>
      <c r="Z263" s="92"/>
    </row>
    <row r="264" ht="14.25" customHeight="1">
      <c r="A264" s="92"/>
      <c r="B264" s="93" t="s">
        <v>29</v>
      </c>
      <c r="C264" s="94" t="str">
        <f t="shared" si="48"/>
        <v>2-2025</v>
      </c>
      <c r="D264" s="95">
        <v>45689.0</v>
      </c>
      <c r="E264" s="96">
        <v>79.6667</v>
      </c>
      <c r="F264" s="97">
        <f> (30-'Salários'!$N264)</f>
        <v>30</v>
      </c>
      <c r="G264" s="98">
        <f t="shared" si="82"/>
        <v>2390.001</v>
      </c>
      <c r="H264" s="103"/>
      <c r="I264" s="96">
        <v>0.0</v>
      </c>
      <c r="J264" s="103"/>
      <c r="K264" s="104"/>
      <c r="L264" s="101"/>
      <c r="M264" s="101"/>
      <c r="N264" s="101"/>
      <c r="O264" s="98">
        <f t="shared" si="79"/>
        <v>2390.001</v>
      </c>
      <c r="P264" s="101"/>
      <c r="Q264" s="102"/>
      <c r="R264" s="102"/>
      <c r="S264" s="92"/>
      <c r="T264" s="92"/>
      <c r="U264" s="92"/>
      <c r="V264" s="92"/>
      <c r="W264" s="92"/>
      <c r="X264" s="92"/>
      <c r="Y264" s="92"/>
      <c r="Z264" s="92"/>
    </row>
    <row r="265" ht="14.25" customHeight="1">
      <c r="A265" s="92"/>
      <c r="B265" s="93" t="s">
        <v>24</v>
      </c>
      <c r="C265" s="94" t="str">
        <f t="shared" si="48"/>
        <v>2-2025</v>
      </c>
      <c r="D265" s="95">
        <v>45689.0</v>
      </c>
      <c r="E265" s="96">
        <v>133.333</v>
      </c>
      <c r="F265" s="97">
        <v>15.0</v>
      </c>
      <c r="G265" s="98">
        <f t="shared" si="82"/>
        <v>1999.995</v>
      </c>
      <c r="H265" s="103"/>
      <c r="I265" s="96">
        <v>0.0</v>
      </c>
      <c r="J265" s="103"/>
      <c r="K265" s="104"/>
      <c r="L265" s="101"/>
      <c r="M265" s="101"/>
      <c r="N265" s="101"/>
      <c r="O265" s="98">
        <f t="shared" si="79"/>
        <v>1999.995</v>
      </c>
      <c r="P265" s="101"/>
      <c r="Q265" s="102"/>
      <c r="R265" s="102"/>
      <c r="S265" s="92"/>
      <c r="T265" s="92"/>
      <c r="U265" s="92"/>
      <c r="V265" s="92"/>
      <c r="W265" s="92"/>
      <c r="X265" s="92"/>
      <c r="Y265" s="92"/>
      <c r="Z265" s="92"/>
    </row>
    <row r="266" ht="14.25" customHeight="1">
      <c r="A266" s="92"/>
      <c r="B266" s="93" t="s">
        <v>53</v>
      </c>
      <c r="C266" s="94" t="str">
        <f t="shared" si="48"/>
        <v>2-2025</v>
      </c>
      <c r="D266" s="95">
        <v>45689.0</v>
      </c>
      <c r="E266" s="96">
        <v>116.6666</v>
      </c>
      <c r="F266" s="97">
        <f> (30-'Salários'!$N266)</f>
        <v>30</v>
      </c>
      <c r="G266" s="98">
        <f>F266*E266</f>
        <v>3499.998</v>
      </c>
      <c r="H266" s="103"/>
      <c r="I266" s="96">
        <v>0.0</v>
      </c>
      <c r="J266" s="103"/>
      <c r="K266" s="104"/>
      <c r="L266" s="101"/>
      <c r="M266" s="100">
        <v>1700.0</v>
      </c>
      <c r="N266" s="101"/>
      <c r="O266" s="98">
        <f t="shared" si="79"/>
        <v>1799.998</v>
      </c>
      <c r="P266" s="101"/>
      <c r="Q266" s="102"/>
      <c r="R266" s="102"/>
      <c r="S266" s="92"/>
      <c r="T266" s="92"/>
      <c r="U266" s="92"/>
      <c r="V266" s="92"/>
      <c r="W266" s="92"/>
      <c r="X266" s="92"/>
      <c r="Y266" s="92"/>
      <c r="Z266" s="92"/>
    </row>
    <row r="267" ht="14.25" customHeight="1">
      <c r="A267" s="92"/>
      <c r="B267" s="108" t="s">
        <v>79</v>
      </c>
      <c r="C267" s="93" t="str">
        <f t="shared" si="48"/>
        <v>2-2025</v>
      </c>
      <c r="D267" s="95">
        <v>45689.0</v>
      </c>
      <c r="E267" s="104"/>
      <c r="F267" s="97">
        <f> (30-'Salários'!$N267)</f>
        <v>30</v>
      </c>
      <c r="G267" s="109">
        <v>3000.0</v>
      </c>
      <c r="H267" s="99">
        <v>214.0</v>
      </c>
      <c r="I267" s="107">
        <v>20.0</v>
      </c>
      <c r="J267" s="103"/>
      <c r="K267" s="104"/>
      <c r="L267" s="101"/>
      <c r="M267" s="101"/>
      <c r="N267" s="101"/>
      <c r="O267" s="98">
        <f t="shared" si="79"/>
        <v>7280</v>
      </c>
      <c r="P267" s="101"/>
      <c r="Q267" s="102"/>
      <c r="R267" s="102"/>
      <c r="S267" s="92"/>
      <c r="T267" s="92"/>
      <c r="U267" s="92"/>
      <c r="V267" s="92"/>
      <c r="W267" s="92"/>
      <c r="X267" s="92"/>
      <c r="Y267" s="92"/>
      <c r="Z267" s="92"/>
    </row>
    <row r="268" ht="14.25" customHeight="1">
      <c r="A268" s="92"/>
      <c r="B268" s="108" t="s">
        <v>74</v>
      </c>
      <c r="C268" s="94" t="str">
        <f t="shared" si="48"/>
        <v>2-2025</v>
      </c>
      <c r="D268" s="95">
        <v>45689.0</v>
      </c>
      <c r="E268" s="96">
        <v>100.0</v>
      </c>
      <c r="F268" s="97">
        <f> (30-'Salários'!$N268)</f>
        <v>30</v>
      </c>
      <c r="G268" s="109">
        <v>4000.0</v>
      </c>
      <c r="H268" s="99">
        <v>92.1</v>
      </c>
      <c r="I268" s="107">
        <v>20.0</v>
      </c>
      <c r="J268" s="103"/>
      <c r="K268" s="104"/>
      <c r="L268" s="101"/>
      <c r="M268" s="101"/>
      <c r="N268" s="101"/>
      <c r="O268" s="98">
        <f t="shared" si="79"/>
        <v>5842</v>
      </c>
      <c r="P268" s="101"/>
      <c r="Q268" s="102"/>
      <c r="R268" s="102"/>
      <c r="S268" s="92"/>
      <c r="T268" s="92"/>
      <c r="U268" s="92"/>
      <c r="V268" s="92"/>
      <c r="W268" s="92"/>
      <c r="X268" s="92"/>
      <c r="Y268" s="92"/>
      <c r="Z268" s="92"/>
    </row>
    <row r="269" ht="14.25" customHeight="1">
      <c r="A269" s="54"/>
      <c r="B269" s="55"/>
      <c r="C269" s="55" t="str">
        <f t="shared" si="48"/>
        <v>12-1899</v>
      </c>
      <c r="D269" s="55"/>
      <c r="E269" s="56"/>
      <c r="F269" s="57">
        <f> (30-'Salários'!$N269)</f>
        <v>30</v>
      </c>
      <c r="G269" s="24">
        <f t="shared" ref="G269:G272" si="83">(E269*F269)</f>
        <v>0</v>
      </c>
      <c r="H269" s="57"/>
      <c r="I269" s="56"/>
      <c r="J269" s="57"/>
      <c r="K269" s="56"/>
      <c r="L269" s="55"/>
      <c r="M269" s="55"/>
      <c r="N269" s="55"/>
      <c r="O269" s="24">
        <f t="shared" ref="O269:O272" si="84">(G269)+(H269*I269)+(J269*K269)+(L269*100)-(M269)</f>
        <v>0</v>
      </c>
      <c r="P269" s="58"/>
      <c r="Q269" s="58"/>
      <c r="R269" s="58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54"/>
      <c r="B270" s="55"/>
      <c r="C270" s="55" t="str">
        <f t="shared" si="48"/>
        <v>12-1899</v>
      </c>
      <c r="D270" s="55"/>
      <c r="E270" s="56"/>
      <c r="F270" s="57">
        <f> (30-'Salários'!$N270)</f>
        <v>30</v>
      </c>
      <c r="G270" s="24">
        <f t="shared" si="83"/>
        <v>0</v>
      </c>
      <c r="H270" s="57"/>
      <c r="I270" s="56"/>
      <c r="J270" s="57"/>
      <c r="K270" s="56"/>
      <c r="L270" s="55"/>
      <c r="M270" s="55"/>
      <c r="N270" s="55"/>
      <c r="O270" s="24">
        <f t="shared" si="84"/>
        <v>0</v>
      </c>
      <c r="P270" s="58"/>
      <c r="Q270" s="58"/>
      <c r="R270" s="58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54"/>
      <c r="B271" s="55"/>
      <c r="C271" s="55" t="str">
        <f t="shared" si="48"/>
        <v>12-1899</v>
      </c>
      <c r="D271" s="55"/>
      <c r="E271" s="56"/>
      <c r="F271" s="57">
        <f> (30-'Salários'!$N271)</f>
        <v>30</v>
      </c>
      <c r="G271" s="24">
        <f t="shared" si="83"/>
        <v>0</v>
      </c>
      <c r="H271" s="57"/>
      <c r="I271" s="56"/>
      <c r="J271" s="57"/>
      <c r="K271" s="56"/>
      <c r="L271" s="55"/>
      <c r="M271" s="55"/>
      <c r="N271" s="55"/>
      <c r="O271" s="24">
        <f t="shared" si="84"/>
        <v>0</v>
      </c>
      <c r="P271" s="58"/>
      <c r="Q271" s="58"/>
      <c r="R271" s="58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54"/>
      <c r="B272" s="55"/>
      <c r="C272" s="55" t="str">
        <f t="shared" si="48"/>
        <v>12-1899</v>
      </c>
      <c r="D272" s="55"/>
      <c r="E272" s="56"/>
      <c r="F272" s="57">
        <f> (30-'Salários'!$N272)</f>
        <v>30</v>
      </c>
      <c r="G272" s="24">
        <f t="shared" si="83"/>
        <v>0</v>
      </c>
      <c r="H272" s="57"/>
      <c r="I272" s="56"/>
      <c r="J272" s="57"/>
      <c r="K272" s="56"/>
      <c r="L272" s="55"/>
      <c r="M272" s="55"/>
      <c r="N272" s="55"/>
      <c r="O272" s="24">
        <f t="shared" si="84"/>
        <v>0</v>
      </c>
      <c r="P272" s="58"/>
      <c r="Q272" s="58"/>
      <c r="R272" s="58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30"/>
      <c r="B273" s="45" t="s">
        <v>18</v>
      </c>
      <c r="C273" s="46" t="str">
        <f t="shared" si="48"/>
        <v>3-2025</v>
      </c>
      <c r="D273" s="87">
        <v>45717.0</v>
      </c>
      <c r="E273" s="47">
        <f>SUM(G273/F273)</f>
        <v>100</v>
      </c>
      <c r="F273" s="48">
        <f> (30-'Salários'!$N273)</f>
        <v>30</v>
      </c>
      <c r="G273" s="72">
        <v>3000.0</v>
      </c>
      <c r="H273" s="70">
        <v>204.0</v>
      </c>
      <c r="I273" s="47">
        <v>20.0</v>
      </c>
      <c r="J273" s="70">
        <v>23.0</v>
      </c>
      <c r="K273" s="47">
        <v>20.0</v>
      </c>
      <c r="L273" s="71">
        <v>4.5</v>
      </c>
      <c r="M273" s="52"/>
      <c r="N273" s="52"/>
      <c r="O273" s="49">
        <f t="shared" ref="O273:O286" si="85">(G273)+(H273*I273)+(J273*K273)+(L273*100)-(M273)</f>
        <v>7990</v>
      </c>
      <c r="P273" s="52"/>
      <c r="Q273" s="40"/>
      <c r="R273" s="4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30"/>
      <c r="B274" s="45" t="s">
        <v>57</v>
      </c>
      <c r="C274" s="46" t="str">
        <f t="shared" si="48"/>
        <v>12-1899</v>
      </c>
      <c r="D274" s="62"/>
      <c r="E274" s="47">
        <v>66.6667</v>
      </c>
      <c r="F274" s="48">
        <f> (30-'Salários'!$N274)</f>
        <v>30</v>
      </c>
      <c r="G274" s="49">
        <f>(E274*F274)</f>
        <v>2000.001</v>
      </c>
      <c r="H274" s="70">
        <v>131.0</v>
      </c>
      <c r="I274" s="47">
        <v>10.0</v>
      </c>
      <c r="J274" s="50"/>
      <c r="K274" s="51"/>
      <c r="L274" s="71">
        <v>0.5</v>
      </c>
      <c r="M274" s="52"/>
      <c r="N274" s="52"/>
      <c r="O274" s="49">
        <f t="shared" si="85"/>
        <v>3360.001</v>
      </c>
      <c r="P274" s="52"/>
      <c r="Q274" s="40"/>
      <c r="R274" s="4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30"/>
      <c r="B275" s="53" t="s">
        <v>80</v>
      </c>
      <c r="C275" s="46" t="str">
        <f t="shared" si="48"/>
        <v>12-1899</v>
      </c>
      <c r="D275" s="62"/>
      <c r="E275" s="47">
        <f>SUM(G275/F275)</f>
        <v>116.6666667</v>
      </c>
      <c r="F275" s="48">
        <f> (30-'Salários'!$N275)</f>
        <v>30</v>
      </c>
      <c r="G275" s="72">
        <v>3500.0</v>
      </c>
      <c r="H275" s="70">
        <v>138.8</v>
      </c>
      <c r="I275" s="67">
        <v>15.0</v>
      </c>
      <c r="J275" s="50"/>
      <c r="K275" s="47"/>
      <c r="L275" s="52"/>
      <c r="M275" s="110">
        <v>1500.0</v>
      </c>
      <c r="N275" s="52"/>
      <c r="O275" s="49">
        <f t="shared" si="85"/>
        <v>4082</v>
      </c>
      <c r="P275" s="52"/>
      <c r="Q275" s="40"/>
      <c r="R275" s="4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30"/>
      <c r="B276" s="45" t="s">
        <v>26</v>
      </c>
      <c r="C276" s="46" t="str">
        <f t="shared" si="48"/>
        <v>12-1899</v>
      </c>
      <c r="D276" s="62"/>
      <c r="E276" s="47">
        <v>100.0</v>
      </c>
      <c r="F276" s="48">
        <f> (30-'Salários'!$N276)</f>
        <v>30</v>
      </c>
      <c r="G276" s="49">
        <f>(E276*F276)</f>
        <v>3000</v>
      </c>
      <c r="H276" s="70">
        <v>225.5</v>
      </c>
      <c r="I276" s="47">
        <v>20.0</v>
      </c>
      <c r="J276" s="70">
        <v>23.6</v>
      </c>
      <c r="K276" s="47">
        <v>20.0</v>
      </c>
      <c r="L276" s="71">
        <v>4.0</v>
      </c>
      <c r="M276" s="52"/>
      <c r="N276" s="52"/>
      <c r="O276" s="49">
        <f t="shared" si="85"/>
        <v>8382</v>
      </c>
      <c r="P276" s="52"/>
      <c r="Q276" s="40"/>
      <c r="R276" s="4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30"/>
      <c r="B277" s="45" t="s">
        <v>72</v>
      </c>
      <c r="C277" s="45" t="str">
        <f t="shared" si="48"/>
        <v>12-1899</v>
      </c>
      <c r="D277" s="62"/>
      <c r="E277" s="47">
        <f t="shared" ref="E277:E278" si="86">(2000/30)</f>
        <v>66.66666667</v>
      </c>
      <c r="F277" s="48">
        <v>30.0</v>
      </c>
      <c r="G277" s="89">
        <v>3000.0</v>
      </c>
      <c r="H277" s="70">
        <v>201.0</v>
      </c>
      <c r="I277" s="89">
        <v>20.0</v>
      </c>
      <c r="J277" s="50"/>
      <c r="K277" s="51"/>
      <c r="L277" s="52"/>
      <c r="M277" s="52"/>
      <c r="N277" s="52"/>
      <c r="O277" s="49">
        <f t="shared" si="85"/>
        <v>7020</v>
      </c>
      <c r="P277" s="88"/>
      <c r="Q277" s="40"/>
      <c r="R277" s="4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30"/>
      <c r="B278" s="45" t="s">
        <v>31</v>
      </c>
      <c r="C278" s="46" t="str">
        <f t="shared" si="48"/>
        <v>12-1899</v>
      </c>
      <c r="D278" s="62"/>
      <c r="E278" s="47">
        <f t="shared" si="86"/>
        <v>66.66666667</v>
      </c>
      <c r="F278" s="48">
        <f> (30-'Salários'!$N278)</f>
        <v>30</v>
      </c>
      <c r="G278" s="49">
        <f>(E278*F278)</f>
        <v>2000</v>
      </c>
      <c r="H278" s="70">
        <v>21.3</v>
      </c>
      <c r="I278" s="47">
        <v>8.0</v>
      </c>
      <c r="J278" s="50"/>
      <c r="K278" s="51"/>
      <c r="L278" s="52"/>
      <c r="M278" s="45"/>
      <c r="N278" s="52"/>
      <c r="O278" s="49">
        <f t="shared" si="85"/>
        <v>2170.4</v>
      </c>
      <c r="P278" s="71" t="s">
        <v>81</v>
      </c>
      <c r="Q278" s="40"/>
      <c r="R278" s="4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30"/>
      <c r="B279" s="45" t="s">
        <v>30</v>
      </c>
      <c r="C279" s="46" t="str">
        <f t="shared" si="48"/>
        <v>12-1899</v>
      </c>
      <c r="D279" s="62"/>
      <c r="E279" s="47">
        <v>175.0</v>
      </c>
      <c r="F279" s="48">
        <f> (30-'Salários'!$N279)</f>
        <v>30</v>
      </c>
      <c r="G279" s="72">
        <v>8000.0</v>
      </c>
      <c r="H279" s="50"/>
      <c r="I279" s="47"/>
      <c r="J279" s="50"/>
      <c r="K279" s="51"/>
      <c r="L279" s="52"/>
      <c r="M279" s="52"/>
      <c r="N279" s="52"/>
      <c r="O279" s="49">
        <f t="shared" si="85"/>
        <v>8000</v>
      </c>
      <c r="P279" s="52"/>
      <c r="Q279" s="40"/>
      <c r="R279" s="4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30"/>
      <c r="B280" s="45" t="s">
        <v>29</v>
      </c>
      <c r="C280" s="46" t="str">
        <f t="shared" si="48"/>
        <v>12-1899</v>
      </c>
      <c r="D280" s="62"/>
      <c r="E280" s="47">
        <f>SUM(G280/F280)</f>
        <v>83.33333333</v>
      </c>
      <c r="F280" s="48">
        <f> (30-'Salários'!$N280)</f>
        <v>30</v>
      </c>
      <c r="G280" s="72">
        <v>2500.0</v>
      </c>
      <c r="H280" s="50"/>
      <c r="I280" s="47"/>
      <c r="J280" s="50"/>
      <c r="K280" s="51"/>
      <c r="L280" s="52"/>
      <c r="M280" s="52"/>
      <c r="N280" s="52"/>
      <c r="O280" s="49">
        <f t="shared" si="85"/>
        <v>2500</v>
      </c>
      <c r="P280" s="52"/>
      <c r="Q280" s="40"/>
      <c r="R280" s="4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30"/>
      <c r="B281" s="45" t="s">
        <v>24</v>
      </c>
      <c r="C281" s="46" t="str">
        <f t="shared" si="48"/>
        <v>12-1899</v>
      </c>
      <c r="D281" s="62"/>
      <c r="E281" s="47">
        <v>133.333</v>
      </c>
      <c r="F281" s="83">
        <v>16.0</v>
      </c>
      <c r="G281" s="49">
        <f>(E281*F281)</f>
        <v>2133.328</v>
      </c>
      <c r="H281" s="50"/>
      <c r="I281" s="47"/>
      <c r="J281" s="50"/>
      <c r="K281" s="51"/>
      <c r="L281" s="52"/>
      <c r="M281" s="52"/>
      <c r="N281" s="52"/>
      <c r="O281" s="49">
        <f t="shared" si="85"/>
        <v>2133.328</v>
      </c>
      <c r="P281" s="52"/>
      <c r="Q281" s="40"/>
      <c r="R281" s="4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30"/>
      <c r="B282" s="45" t="s">
        <v>53</v>
      </c>
      <c r="C282" s="46" t="str">
        <f t="shared" si="48"/>
        <v>12-1899</v>
      </c>
      <c r="D282" s="62"/>
      <c r="E282" s="47">
        <v>116.6666</v>
      </c>
      <c r="F282" s="48">
        <f> (30-'Salários'!$N282)</f>
        <v>30</v>
      </c>
      <c r="G282" s="72">
        <v>4000.0</v>
      </c>
      <c r="H282" s="50"/>
      <c r="I282" s="47"/>
      <c r="J282" s="50"/>
      <c r="K282" s="51"/>
      <c r="L282" s="52"/>
      <c r="M282" s="71">
        <v>700.0</v>
      </c>
      <c r="N282" s="52"/>
      <c r="O282" s="49">
        <f t="shared" si="85"/>
        <v>3300</v>
      </c>
      <c r="P282" s="52"/>
      <c r="Q282" s="40"/>
      <c r="R282" s="4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30"/>
      <c r="B283" s="53" t="s">
        <v>82</v>
      </c>
      <c r="C283" s="45" t="str">
        <f t="shared" si="48"/>
        <v>12-1899</v>
      </c>
      <c r="D283" s="52"/>
      <c r="E283" s="51">
        <f t="shared" ref="E283:E284" si="87">SUM(G283/F283)</f>
        <v>133.3333333</v>
      </c>
      <c r="F283" s="48">
        <f> (30-'Salários'!$N283)</f>
        <v>30</v>
      </c>
      <c r="G283" s="72">
        <v>4000.0</v>
      </c>
      <c r="H283" s="111">
        <v>178.5</v>
      </c>
      <c r="I283" s="72">
        <v>20.0</v>
      </c>
      <c r="J283" s="50"/>
      <c r="K283" s="51"/>
      <c r="L283" s="52"/>
      <c r="M283" s="52"/>
      <c r="N283" s="52"/>
      <c r="O283" s="49">
        <f t="shared" si="85"/>
        <v>7570</v>
      </c>
      <c r="P283" s="52"/>
      <c r="Q283" s="40"/>
      <c r="R283" s="4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30"/>
      <c r="B284" s="53" t="s">
        <v>83</v>
      </c>
      <c r="C284" s="45" t="str">
        <f t="shared" si="48"/>
        <v>12-1899</v>
      </c>
      <c r="D284" s="52"/>
      <c r="E284" s="51">
        <f t="shared" si="87"/>
        <v>83.33333333</v>
      </c>
      <c r="F284" s="48">
        <f> (30-'Salários'!$N284)</f>
        <v>30</v>
      </c>
      <c r="G284" s="72">
        <v>2500.0</v>
      </c>
      <c r="H284" s="112"/>
      <c r="I284" s="49"/>
      <c r="J284" s="50"/>
      <c r="K284" s="51"/>
      <c r="L284" s="52"/>
      <c r="M284" s="52"/>
      <c r="N284" s="52"/>
      <c r="O284" s="49">
        <f t="shared" si="85"/>
        <v>2500</v>
      </c>
      <c r="P284" s="52"/>
      <c r="Q284" s="40"/>
      <c r="R284" s="4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30"/>
      <c r="B285" s="53" t="s">
        <v>84</v>
      </c>
      <c r="C285" s="45" t="str">
        <f t="shared" si="48"/>
        <v>12-1899</v>
      </c>
      <c r="D285" s="52"/>
      <c r="E285" s="51"/>
      <c r="F285" s="48">
        <f> (30-'Salários'!$N285)</f>
        <v>30</v>
      </c>
      <c r="G285" s="72">
        <v>3000.0</v>
      </c>
      <c r="H285" s="70">
        <v>138.8</v>
      </c>
      <c r="I285" s="89">
        <v>15.0</v>
      </c>
      <c r="J285" s="50"/>
      <c r="K285" s="51"/>
      <c r="L285" s="52"/>
      <c r="M285" s="52"/>
      <c r="N285" s="52"/>
      <c r="O285" s="49">
        <f t="shared" si="85"/>
        <v>5082</v>
      </c>
      <c r="P285" s="52"/>
      <c r="Q285" s="40"/>
      <c r="R285" s="4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B286" s="113"/>
      <c r="C286" s="113" t="str">
        <f t="shared" si="48"/>
        <v>12-1899</v>
      </c>
      <c r="D286" s="59"/>
      <c r="E286" s="80"/>
      <c r="F286" s="76">
        <f> (30-'Salários'!$N286)</f>
        <v>30</v>
      </c>
      <c r="G286" s="77">
        <f t="shared" ref="G286:G288" si="88">(E286*F286)</f>
        <v>0</v>
      </c>
      <c r="H286" s="79"/>
      <c r="I286" s="80"/>
      <c r="J286" s="79"/>
      <c r="K286" s="80"/>
      <c r="L286" s="59"/>
      <c r="M286" s="59"/>
      <c r="N286" s="59"/>
      <c r="O286" s="77">
        <f t="shared" si="85"/>
        <v>0</v>
      </c>
      <c r="P286" s="59"/>
      <c r="Q286" s="7"/>
      <c r="R286" s="7"/>
    </row>
    <row r="287" ht="14.25" customHeight="1">
      <c r="B287" s="4"/>
      <c r="C287" s="114" t="str">
        <f t="shared" si="48"/>
        <v>12-1899</v>
      </c>
      <c r="D287" s="4"/>
      <c r="E287" s="9"/>
      <c r="F287" s="10">
        <f> (30-'Salários'!$N287)</f>
        <v>30</v>
      </c>
      <c r="G287" s="12">
        <f t="shared" si="88"/>
        <v>0</v>
      </c>
      <c r="H287" s="10"/>
      <c r="I287" s="9"/>
      <c r="J287" s="10"/>
      <c r="K287" s="9"/>
      <c r="L287" s="4"/>
      <c r="M287" s="4"/>
      <c r="N287" s="4"/>
      <c r="O287" s="12">
        <f t="shared" ref="O287:O288" si="89">(G287)+(H287*I287)+(J287*K287)+(L287*100)-(M287)</f>
        <v>0</v>
      </c>
      <c r="P287" s="7"/>
      <c r="Q287" s="7"/>
      <c r="R287" s="7"/>
    </row>
    <row r="288" ht="14.25" customHeight="1">
      <c r="B288" s="4"/>
      <c r="C288" s="114" t="str">
        <f t="shared" si="48"/>
        <v>12-1899</v>
      </c>
      <c r="D288" s="4"/>
      <c r="E288" s="9"/>
      <c r="F288" s="10">
        <f> (30-'Salários'!$N288)</f>
        <v>30</v>
      </c>
      <c r="G288" s="12">
        <f t="shared" si="88"/>
        <v>0</v>
      </c>
      <c r="H288" s="10"/>
      <c r="I288" s="9"/>
      <c r="J288" s="10"/>
      <c r="K288" s="9"/>
      <c r="L288" s="4"/>
      <c r="M288" s="4"/>
      <c r="N288" s="4"/>
      <c r="O288" s="12">
        <f t="shared" si="89"/>
        <v>0</v>
      </c>
      <c r="P288" s="7"/>
      <c r="Q288" s="7"/>
      <c r="R288" s="7"/>
    </row>
    <row r="289" ht="14.25" customHeight="1">
      <c r="A289" s="30"/>
      <c r="B289" s="45" t="s">
        <v>18</v>
      </c>
      <c r="C289" s="46" t="str">
        <f t="shared" si="48"/>
        <v>4-2025</v>
      </c>
      <c r="D289" s="87">
        <v>45748.0</v>
      </c>
      <c r="E289" s="47">
        <f>SUM(G289/F289)</f>
        <v>100</v>
      </c>
      <c r="F289" s="48">
        <f> (30-'Salários'!$N289)</f>
        <v>30</v>
      </c>
      <c r="G289" s="72">
        <v>3000.0</v>
      </c>
      <c r="H289" s="70">
        <v>205.5</v>
      </c>
      <c r="I289" s="47">
        <v>20.0</v>
      </c>
      <c r="J289" s="70">
        <v>11.0</v>
      </c>
      <c r="K289" s="47">
        <v>20.0</v>
      </c>
      <c r="L289" s="71">
        <v>3.0</v>
      </c>
      <c r="M289" s="53">
        <v>600.0</v>
      </c>
      <c r="N289" s="52"/>
      <c r="O289" s="49">
        <f t="shared" ref="O289:O314" si="90">(G289)+(H289*I289)+(J289*K289)+(L289*100)-(M289)</f>
        <v>7030</v>
      </c>
      <c r="P289" s="52"/>
      <c r="Q289" s="40"/>
      <c r="R289" s="4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30"/>
      <c r="B290" s="45" t="s">
        <v>57</v>
      </c>
      <c r="C290" s="46" t="str">
        <f t="shared" si="48"/>
        <v>12-1899</v>
      </c>
      <c r="D290" s="62"/>
      <c r="E290" s="47">
        <v>66.6667</v>
      </c>
      <c r="F290" s="48">
        <f> (30-'Salários'!$N290)</f>
        <v>30</v>
      </c>
      <c r="G290" s="49">
        <f>(E290*F290)</f>
        <v>2000.001</v>
      </c>
      <c r="H290" s="70">
        <v>132.9</v>
      </c>
      <c r="I290" s="47">
        <v>10.0</v>
      </c>
      <c r="J290" s="50"/>
      <c r="K290" s="51"/>
      <c r="L290" s="52"/>
      <c r="M290" s="45"/>
      <c r="N290" s="52"/>
      <c r="O290" s="49">
        <f t="shared" si="90"/>
        <v>3329.001</v>
      </c>
      <c r="P290" s="52"/>
      <c r="Q290" s="40"/>
      <c r="R290" s="4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30"/>
      <c r="B291" s="53" t="s">
        <v>85</v>
      </c>
      <c r="C291" s="46" t="str">
        <f t="shared" si="48"/>
        <v>12-1899</v>
      </c>
      <c r="D291" s="62"/>
      <c r="E291" s="47">
        <f>SUM(G291/F291)</f>
        <v>100</v>
      </c>
      <c r="F291" s="48">
        <f> (30-'Salários'!$N291)</f>
        <v>30</v>
      </c>
      <c r="G291" s="72">
        <v>3000.0</v>
      </c>
      <c r="H291" s="70">
        <v>215.6</v>
      </c>
      <c r="I291" s="67">
        <v>15.0</v>
      </c>
      <c r="J291" s="50"/>
      <c r="K291" s="47"/>
      <c r="L291" s="52"/>
      <c r="M291" s="45"/>
      <c r="N291" s="52"/>
      <c r="O291" s="49">
        <f t="shared" si="90"/>
        <v>6234</v>
      </c>
      <c r="P291" s="52"/>
      <c r="Q291" s="40"/>
      <c r="R291" s="4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30"/>
      <c r="B292" s="45" t="s">
        <v>26</v>
      </c>
      <c r="C292" s="46" t="str">
        <f t="shared" si="48"/>
        <v>12-1899</v>
      </c>
      <c r="D292" s="62"/>
      <c r="E292" s="47">
        <v>100.0</v>
      </c>
      <c r="F292" s="48">
        <f> (30-'Salários'!$N292)</f>
        <v>30</v>
      </c>
      <c r="G292" s="49">
        <f>(E292*F292)</f>
        <v>3000</v>
      </c>
      <c r="H292" s="70">
        <v>234.4</v>
      </c>
      <c r="I292" s="47">
        <v>20.0</v>
      </c>
      <c r="J292" s="70">
        <v>27.3</v>
      </c>
      <c r="K292" s="47">
        <v>20.0</v>
      </c>
      <c r="L292" s="71">
        <v>4.0</v>
      </c>
      <c r="M292" s="45"/>
      <c r="N292" s="52"/>
      <c r="O292" s="49">
        <f t="shared" si="90"/>
        <v>8634</v>
      </c>
      <c r="P292" s="52"/>
      <c r="Q292" s="40"/>
      <c r="R292" s="4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30"/>
      <c r="B293" s="45" t="s">
        <v>72</v>
      </c>
      <c r="C293" s="45" t="str">
        <f t="shared" si="48"/>
        <v>12-1899</v>
      </c>
      <c r="D293" s="62"/>
      <c r="E293" s="47">
        <f t="shared" ref="E293:E294" si="91">(2000/30)</f>
        <v>66.66666667</v>
      </c>
      <c r="F293" s="48">
        <v>30.0</v>
      </c>
      <c r="G293" s="89">
        <v>3000.0</v>
      </c>
      <c r="H293" s="70">
        <v>186.0</v>
      </c>
      <c r="I293" s="89">
        <v>20.0</v>
      </c>
      <c r="J293" s="50"/>
      <c r="K293" s="51"/>
      <c r="L293" s="52"/>
      <c r="M293" s="53">
        <v>1000.0</v>
      </c>
      <c r="N293" s="52"/>
      <c r="O293" s="49">
        <f t="shared" si="90"/>
        <v>5720</v>
      </c>
      <c r="P293" s="88"/>
      <c r="Q293" s="40"/>
      <c r="R293" s="4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30"/>
      <c r="B294" s="53" t="s">
        <v>86</v>
      </c>
      <c r="C294" s="46" t="str">
        <f t="shared" si="48"/>
        <v>12-1899</v>
      </c>
      <c r="D294" s="62"/>
      <c r="E294" s="47">
        <f t="shared" si="91"/>
        <v>66.66666667</v>
      </c>
      <c r="F294" s="48">
        <f> (30-'Salários'!$N294)</f>
        <v>30</v>
      </c>
      <c r="G294" s="72">
        <v>4000.0</v>
      </c>
      <c r="H294" s="70">
        <v>114.7</v>
      </c>
      <c r="I294" s="67">
        <v>20.0</v>
      </c>
      <c r="J294" s="50"/>
      <c r="K294" s="51"/>
      <c r="L294" s="52"/>
      <c r="M294" s="53">
        <v>1500.0</v>
      </c>
      <c r="N294" s="52"/>
      <c r="O294" s="49">
        <f t="shared" si="90"/>
        <v>4794</v>
      </c>
      <c r="P294" s="52"/>
      <c r="Q294" s="40"/>
      <c r="R294" s="4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30"/>
      <c r="B295" s="45" t="s">
        <v>30</v>
      </c>
      <c r="C295" s="46" t="str">
        <f t="shared" si="48"/>
        <v>12-1899</v>
      </c>
      <c r="D295" s="62"/>
      <c r="E295" s="47">
        <v>175.0</v>
      </c>
      <c r="F295" s="48">
        <f> (30-'Salários'!$N295)</f>
        <v>30</v>
      </c>
      <c r="G295" s="72">
        <v>8000.0</v>
      </c>
      <c r="H295" s="50"/>
      <c r="I295" s="47"/>
      <c r="J295" s="50"/>
      <c r="K295" s="51"/>
      <c r="L295" s="52"/>
      <c r="M295" s="45"/>
      <c r="N295" s="52"/>
      <c r="O295" s="49">
        <f t="shared" si="90"/>
        <v>8000</v>
      </c>
      <c r="P295" s="52"/>
      <c r="Q295" s="40"/>
      <c r="R295" s="4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30"/>
      <c r="B296" s="45" t="s">
        <v>29</v>
      </c>
      <c r="C296" s="46" t="str">
        <f t="shared" si="48"/>
        <v>12-1899</v>
      </c>
      <c r="D296" s="62"/>
      <c r="E296" s="47">
        <f>SUM(G296/F296)</f>
        <v>83.33333333</v>
      </c>
      <c r="F296" s="48">
        <f> (30-'Salários'!$N296)</f>
        <v>30</v>
      </c>
      <c r="G296" s="72">
        <v>2500.0</v>
      </c>
      <c r="H296" s="50"/>
      <c r="I296" s="47"/>
      <c r="J296" s="50"/>
      <c r="K296" s="51"/>
      <c r="L296" s="52"/>
      <c r="M296" s="45"/>
      <c r="N296" s="52"/>
      <c r="O296" s="49">
        <f t="shared" si="90"/>
        <v>2500</v>
      </c>
      <c r="P296" s="52"/>
      <c r="Q296" s="40"/>
      <c r="R296" s="4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30"/>
      <c r="B297" s="45" t="s">
        <v>24</v>
      </c>
      <c r="C297" s="46" t="str">
        <f t="shared" si="48"/>
        <v>12-1899</v>
      </c>
      <c r="D297" s="62"/>
      <c r="E297" s="47">
        <v>133.333</v>
      </c>
      <c r="F297" s="83">
        <v>17.0</v>
      </c>
      <c r="G297" s="49">
        <f>(E297*F297)</f>
        <v>2266.661</v>
      </c>
      <c r="H297" s="70">
        <v>1.0</v>
      </c>
      <c r="I297" s="67">
        <v>45.6</v>
      </c>
      <c r="J297" s="50"/>
      <c r="K297" s="51"/>
      <c r="L297" s="52"/>
      <c r="M297" s="45"/>
      <c r="N297" s="52"/>
      <c r="O297" s="49">
        <f t="shared" si="90"/>
        <v>2312.261</v>
      </c>
      <c r="P297" s="52"/>
      <c r="Q297" s="40"/>
      <c r="R297" s="4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30"/>
      <c r="B298" s="45" t="s">
        <v>53</v>
      </c>
      <c r="C298" s="46" t="str">
        <f t="shared" si="48"/>
        <v>12-1899</v>
      </c>
      <c r="D298" s="62"/>
      <c r="E298" s="47">
        <v>116.6666</v>
      </c>
      <c r="F298" s="48">
        <f> (30-'Salários'!$N298)</f>
        <v>30</v>
      </c>
      <c r="G298" s="72">
        <v>4000.0</v>
      </c>
      <c r="H298" s="50"/>
      <c r="I298" s="47"/>
      <c r="J298" s="50"/>
      <c r="K298" s="51"/>
      <c r="L298" s="52"/>
      <c r="M298" s="53"/>
      <c r="N298" s="52"/>
      <c r="O298" s="49">
        <f t="shared" si="90"/>
        <v>4000</v>
      </c>
      <c r="P298" s="52"/>
      <c r="Q298" s="40"/>
      <c r="R298" s="4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30"/>
      <c r="B299" s="53" t="s">
        <v>82</v>
      </c>
      <c r="C299" s="45" t="str">
        <f t="shared" si="48"/>
        <v>12-1899</v>
      </c>
      <c r="D299" s="52"/>
      <c r="E299" s="51">
        <f t="shared" ref="E299:E300" si="92">SUM(G299/F299)</f>
        <v>133.3333333</v>
      </c>
      <c r="F299" s="48">
        <f> (30-'Salários'!$N299)</f>
        <v>30</v>
      </c>
      <c r="G299" s="72">
        <v>4000.0</v>
      </c>
      <c r="H299" s="111">
        <v>215.0</v>
      </c>
      <c r="I299" s="72">
        <v>20.0</v>
      </c>
      <c r="J299" s="50"/>
      <c r="K299" s="51"/>
      <c r="L299" s="52"/>
      <c r="M299" s="45"/>
      <c r="N299" s="52"/>
      <c r="O299" s="49">
        <f t="shared" si="90"/>
        <v>8300</v>
      </c>
      <c r="P299" s="52"/>
      <c r="Q299" s="40"/>
      <c r="R299" s="4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30"/>
      <c r="B300" s="53" t="s">
        <v>83</v>
      </c>
      <c r="C300" s="45" t="str">
        <f t="shared" si="48"/>
        <v>12-1899</v>
      </c>
      <c r="D300" s="52"/>
      <c r="E300" s="51">
        <f t="shared" si="92"/>
        <v>83.33333333</v>
      </c>
      <c r="F300" s="48">
        <f> (30-'Salários'!$N300)</f>
        <v>30</v>
      </c>
      <c r="G300" s="72">
        <v>2500.0</v>
      </c>
      <c r="H300" s="112"/>
      <c r="I300" s="49"/>
      <c r="J300" s="50"/>
      <c r="K300" s="51"/>
      <c r="L300" s="71">
        <v>2.0</v>
      </c>
      <c r="M300" s="53">
        <v>150.0</v>
      </c>
      <c r="N300" s="52"/>
      <c r="O300" s="49">
        <f t="shared" si="90"/>
        <v>2550</v>
      </c>
      <c r="P300" s="52"/>
      <c r="Q300" s="40"/>
      <c r="R300" s="4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B301" s="82"/>
      <c r="C301" s="113" t="str">
        <f t="shared" si="48"/>
        <v>12-1899</v>
      </c>
      <c r="D301" s="59"/>
      <c r="E301" s="80"/>
      <c r="F301" s="76">
        <f> (30-'Salários'!$N301)</f>
        <v>30</v>
      </c>
      <c r="G301" s="77">
        <f t="shared" ref="G301:G302" si="93">(E301*F301)</f>
        <v>0</v>
      </c>
      <c r="H301" s="79"/>
      <c r="I301" s="80"/>
      <c r="J301" s="79"/>
      <c r="K301" s="80"/>
      <c r="L301" s="59"/>
      <c r="M301" s="113"/>
      <c r="N301" s="59"/>
      <c r="O301" s="77">
        <f t="shared" si="90"/>
        <v>0</v>
      </c>
      <c r="P301" s="59"/>
      <c r="Q301" s="7"/>
      <c r="R301" s="7"/>
    </row>
    <row r="302" ht="14.25" customHeight="1">
      <c r="B302" s="113"/>
      <c r="C302" s="113" t="str">
        <f t="shared" si="48"/>
        <v>12-1899</v>
      </c>
      <c r="D302" s="59"/>
      <c r="E302" s="80"/>
      <c r="F302" s="76">
        <f> (30-'Salários'!$N302)</f>
        <v>30</v>
      </c>
      <c r="G302" s="77">
        <f t="shared" si="93"/>
        <v>0</v>
      </c>
      <c r="H302" s="79"/>
      <c r="I302" s="80"/>
      <c r="J302" s="79"/>
      <c r="K302" s="80"/>
      <c r="L302" s="59"/>
      <c r="M302" s="113"/>
      <c r="N302" s="59"/>
      <c r="O302" s="77">
        <f t="shared" si="90"/>
        <v>0</v>
      </c>
      <c r="P302" s="59"/>
      <c r="Q302" s="7"/>
      <c r="R302" s="7"/>
    </row>
    <row r="303" ht="14.25" customHeight="1">
      <c r="A303" s="30"/>
      <c r="B303" s="45" t="s">
        <v>18</v>
      </c>
      <c r="C303" s="46" t="str">
        <f t="shared" si="48"/>
        <v>5-2025</v>
      </c>
      <c r="D303" s="87">
        <v>45783.0</v>
      </c>
      <c r="E303" s="47">
        <f>SUM(G303/F303)</f>
        <v>100</v>
      </c>
      <c r="F303" s="48">
        <f> (30-'Salários'!$N303)</f>
        <v>30</v>
      </c>
      <c r="G303" s="72">
        <v>3000.0</v>
      </c>
      <c r="H303" s="70">
        <v>172.4</v>
      </c>
      <c r="I303" s="47">
        <v>20.0</v>
      </c>
      <c r="J303" s="70">
        <v>12.0</v>
      </c>
      <c r="K303" s="47">
        <v>20.0</v>
      </c>
      <c r="L303" s="71">
        <v>4.0</v>
      </c>
      <c r="M303" s="53">
        <v>600.0</v>
      </c>
      <c r="N303" s="52"/>
      <c r="O303" s="49">
        <f t="shared" si="90"/>
        <v>6488</v>
      </c>
      <c r="P303" s="40"/>
      <c r="Q303" s="40"/>
      <c r="R303" s="4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30"/>
      <c r="B304" s="45" t="s">
        <v>57</v>
      </c>
      <c r="C304" s="46" t="str">
        <f t="shared" si="48"/>
        <v>5-2025</v>
      </c>
      <c r="D304" s="87">
        <v>45784.0</v>
      </c>
      <c r="E304" s="47">
        <v>66.6667</v>
      </c>
      <c r="F304" s="83">
        <v>9.0</v>
      </c>
      <c r="G304" s="49">
        <f>(E304*F304)</f>
        <v>600.0003</v>
      </c>
      <c r="H304" s="70">
        <v>59.0</v>
      </c>
      <c r="I304" s="47">
        <v>10.0</v>
      </c>
      <c r="J304" s="50"/>
      <c r="K304" s="51"/>
      <c r="L304" s="52"/>
      <c r="M304" s="45"/>
      <c r="N304" s="52"/>
      <c r="O304" s="49">
        <f t="shared" si="90"/>
        <v>1190.0003</v>
      </c>
      <c r="P304" s="40"/>
      <c r="Q304" s="40"/>
      <c r="R304" s="4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30"/>
      <c r="B305" s="53" t="s">
        <v>87</v>
      </c>
      <c r="C305" s="46" t="str">
        <f t="shared" si="48"/>
        <v>5-2025</v>
      </c>
      <c r="D305" s="87">
        <v>45785.0</v>
      </c>
      <c r="E305" s="47">
        <f>SUM(G305/F305)</f>
        <v>100</v>
      </c>
      <c r="F305" s="48">
        <f> (30-'Salários'!$N305)</f>
        <v>30</v>
      </c>
      <c r="G305" s="72">
        <v>3000.0</v>
      </c>
      <c r="H305" s="70">
        <v>224.6</v>
      </c>
      <c r="I305" s="67">
        <v>15.0</v>
      </c>
      <c r="J305" s="50"/>
      <c r="K305" s="47"/>
      <c r="L305" s="52"/>
      <c r="M305" s="45"/>
      <c r="N305" s="52"/>
      <c r="O305" s="49">
        <f t="shared" si="90"/>
        <v>6369</v>
      </c>
      <c r="P305" s="40"/>
      <c r="Q305" s="40"/>
      <c r="R305" s="4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30"/>
      <c r="B306" s="45" t="s">
        <v>26</v>
      </c>
      <c r="C306" s="46" t="str">
        <f t="shared" si="48"/>
        <v>5-2025</v>
      </c>
      <c r="D306" s="87">
        <v>45786.0</v>
      </c>
      <c r="E306" s="47">
        <v>100.0</v>
      </c>
      <c r="F306" s="48">
        <f> (30-'Salários'!$N306)</f>
        <v>30</v>
      </c>
      <c r="G306" s="49">
        <f>(E306*F306)</f>
        <v>3000</v>
      </c>
      <c r="H306" s="70">
        <v>255.0</v>
      </c>
      <c r="I306" s="47">
        <v>20.0</v>
      </c>
      <c r="J306" s="70">
        <v>15.2</v>
      </c>
      <c r="K306" s="47">
        <v>20.0</v>
      </c>
      <c r="L306" s="71">
        <v>5.0</v>
      </c>
      <c r="M306" s="45"/>
      <c r="N306" s="52"/>
      <c r="O306" s="49">
        <f t="shared" si="90"/>
        <v>8904</v>
      </c>
      <c r="P306" s="40"/>
      <c r="Q306" s="40"/>
      <c r="R306" s="4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/>
      <c r="B307" s="45" t="s">
        <v>72</v>
      </c>
      <c r="C307" s="45" t="str">
        <f t="shared" si="48"/>
        <v>5-2025</v>
      </c>
      <c r="D307" s="87">
        <v>45787.0</v>
      </c>
      <c r="E307" s="47">
        <f t="shared" ref="E307:E308" si="94">(2000/30)</f>
        <v>66.66666667</v>
      </c>
      <c r="F307" s="48">
        <v>30.0</v>
      </c>
      <c r="G307" s="89">
        <v>3800.0</v>
      </c>
      <c r="H307" s="70">
        <v>190.6</v>
      </c>
      <c r="I307" s="89">
        <v>20.0</v>
      </c>
      <c r="J307" s="50"/>
      <c r="K307" s="51"/>
      <c r="L307" s="52"/>
      <c r="M307" s="45"/>
      <c r="N307" s="52"/>
      <c r="O307" s="49">
        <f t="shared" si="90"/>
        <v>7612</v>
      </c>
      <c r="P307" s="40"/>
      <c r="Q307" s="40"/>
      <c r="R307" s="4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/>
      <c r="B308" s="53" t="s">
        <v>88</v>
      </c>
      <c r="C308" s="46" t="str">
        <f t="shared" si="48"/>
        <v>5-2025</v>
      </c>
      <c r="D308" s="87">
        <v>45788.0</v>
      </c>
      <c r="E308" s="47">
        <f t="shared" si="94"/>
        <v>66.66666667</v>
      </c>
      <c r="F308" s="48">
        <f> (30-'Salários'!$N308)</f>
        <v>30</v>
      </c>
      <c r="G308" s="72">
        <v>4500.0</v>
      </c>
      <c r="H308" s="70">
        <v>84.1</v>
      </c>
      <c r="I308" s="67">
        <v>20.0</v>
      </c>
      <c r="J308" s="70">
        <v>1.0</v>
      </c>
      <c r="K308" s="89">
        <v>123.3</v>
      </c>
      <c r="L308" s="52"/>
      <c r="M308" s="53">
        <v>1500.0</v>
      </c>
      <c r="N308" s="52"/>
      <c r="O308" s="49">
        <f t="shared" si="90"/>
        <v>4805.3</v>
      </c>
      <c r="P308" s="40"/>
      <c r="Q308" s="40"/>
      <c r="R308" s="4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/>
      <c r="B309" s="45" t="s">
        <v>30</v>
      </c>
      <c r="C309" s="46" t="str">
        <f t="shared" si="48"/>
        <v>5-2025</v>
      </c>
      <c r="D309" s="87">
        <v>45789.0</v>
      </c>
      <c r="E309" s="47">
        <v>175.0</v>
      </c>
      <c r="F309" s="48">
        <f> (30-'Salários'!$N309)</f>
        <v>30</v>
      </c>
      <c r="G309" s="72">
        <v>8000.0</v>
      </c>
      <c r="H309" s="50"/>
      <c r="I309" s="47"/>
      <c r="J309" s="50"/>
      <c r="K309" s="51"/>
      <c r="L309" s="52"/>
      <c r="M309" s="45"/>
      <c r="N309" s="52"/>
      <c r="O309" s="49">
        <f t="shared" si="90"/>
        <v>8000</v>
      </c>
      <c r="P309" s="40"/>
      <c r="Q309" s="40"/>
      <c r="R309" s="4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/>
      <c r="B310" s="45" t="s">
        <v>29</v>
      </c>
      <c r="C310" s="46" t="str">
        <f t="shared" si="48"/>
        <v>5-2025</v>
      </c>
      <c r="D310" s="87">
        <v>45790.0</v>
      </c>
      <c r="E310" s="47">
        <f>SUM(G310/F310)</f>
        <v>90</v>
      </c>
      <c r="F310" s="48">
        <f> (30-'Salários'!$N310)</f>
        <v>30</v>
      </c>
      <c r="G310" s="72">
        <v>2700.0</v>
      </c>
      <c r="H310" s="50"/>
      <c r="I310" s="47"/>
      <c r="J310" s="50"/>
      <c r="K310" s="51"/>
      <c r="L310" s="52"/>
      <c r="M310" s="45"/>
      <c r="N310" s="52"/>
      <c r="O310" s="49">
        <f t="shared" si="90"/>
        <v>2700</v>
      </c>
      <c r="P310" s="40"/>
      <c r="Q310" s="40"/>
      <c r="R310" s="4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/>
      <c r="B311" s="45" t="s">
        <v>24</v>
      </c>
      <c r="C311" s="46" t="str">
        <f t="shared" si="48"/>
        <v>5-2025</v>
      </c>
      <c r="D311" s="87">
        <v>45791.0</v>
      </c>
      <c r="E311" s="47">
        <v>133.333</v>
      </c>
      <c r="F311" s="83">
        <v>18.0</v>
      </c>
      <c r="G311" s="49">
        <f>(E311*F311)</f>
        <v>2399.994</v>
      </c>
      <c r="H311" s="70">
        <v>1.0</v>
      </c>
      <c r="I311" s="67">
        <v>105.0</v>
      </c>
      <c r="J311" s="50"/>
      <c r="K311" s="51"/>
      <c r="L311" s="52"/>
      <c r="M311" s="45"/>
      <c r="N311" s="52"/>
      <c r="O311" s="49">
        <f t="shared" si="90"/>
        <v>2504.994</v>
      </c>
      <c r="P311" s="40"/>
      <c r="Q311" s="40"/>
      <c r="R311" s="4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30"/>
      <c r="B312" s="45" t="s">
        <v>53</v>
      </c>
      <c r="C312" s="46" t="str">
        <f t="shared" si="48"/>
        <v>5-2025</v>
      </c>
      <c r="D312" s="87">
        <v>45792.0</v>
      </c>
      <c r="E312" s="47">
        <v>116.6666</v>
      </c>
      <c r="F312" s="48">
        <f> (30-'Salários'!$N312)</f>
        <v>30</v>
      </c>
      <c r="G312" s="72">
        <v>4000.0</v>
      </c>
      <c r="H312" s="50"/>
      <c r="I312" s="47"/>
      <c r="J312" s="50"/>
      <c r="K312" s="51"/>
      <c r="L312" s="52"/>
      <c r="M312" s="53">
        <v>500.0</v>
      </c>
      <c r="N312" s="52"/>
      <c r="O312" s="49">
        <f t="shared" si="90"/>
        <v>3500</v>
      </c>
      <c r="P312" s="40"/>
      <c r="Q312" s="40"/>
      <c r="R312" s="4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30"/>
      <c r="B313" s="53" t="s">
        <v>82</v>
      </c>
      <c r="C313" s="45" t="str">
        <f t="shared" si="48"/>
        <v>5-2025</v>
      </c>
      <c r="D313" s="87">
        <v>45793.0</v>
      </c>
      <c r="E313" s="51">
        <f t="shared" ref="E313:E314" si="95">SUM(G313/F313)</f>
        <v>133.3333333</v>
      </c>
      <c r="F313" s="48">
        <f> (30-'Salários'!$N313)</f>
        <v>30</v>
      </c>
      <c r="G313" s="72">
        <v>4000.0</v>
      </c>
      <c r="H313" s="111">
        <v>197.62</v>
      </c>
      <c r="I313" s="72">
        <v>20.0</v>
      </c>
      <c r="J313" s="70">
        <v>1.0</v>
      </c>
      <c r="K313" s="89">
        <v>100.0</v>
      </c>
      <c r="L313" s="52"/>
      <c r="M313" s="45"/>
      <c r="N313" s="52"/>
      <c r="O313" s="49">
        <f t="shared" si="90"/>
        <v>8052.4</v>
      </c>
      <c r="P313" s="40"/>
      <c r="Q313" s="40"/>
      <c r="R313" s="4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30"/>
      <c r="B314" s="53" t="s">
        <v>83</v>
      </c>
      <c r="C314" s="45" t="str">
        <f t="shared" si="48"/>
        <v>5-2025</v>
      </c>
      <c r="D314" s="87">
        <v>45794.0</v>
      </c>
      <c r="E314" s="51">
        <f t="shared" si="95"/>
        <v>83.33333333</v>
      </c>
      <c r="F314" s="48">
        <f> (30-'Salários'!$N314)</f>
        <v>30</v>
      </c>
      <c r="G314" s="72">
        <v>2500.0</v>
      </c>
      <c r="H314" s="112"/>
      <c r="I314" s="49"/>
      <c r="J314" s="50"/>
      <c r="K314" s="51"/>
      <c r="L314" s="52"/>
      <c r="M314" s="45"/>
      <c r="N314" s="52"/>
      <c r="O314" s="49">
        <f t="shared" si="90"/>
        <v>2500</v>
      </c>
      <c r="P314" s="40"/>
      <c r="Q314" s="40"/>
      <c r="R314" s="4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B315" s="19"/>
      <c r="C315" s="114" t="str">
        <f t="shared" si="48"/>
        <v>12-1899</v>
      </c>
      <c r="D315" s="4"/>
      <c r="E315" s="9"/>
      <c r="F315" s="10">
        <f> (30-'Salários'!$N315)</f>
        <v>30</v>
      </c>
      <c r="G315" s="12">
        <f t="shared" ref="G315:G317" si="96">(E315*F315)</f>
        <v>0</v>
      </c>
      <c r="H315" s="10"/>
      <c r="I315" s="9"/>
      <c r="J315" s="10"/>
      <c r="K315" s="9"/>
      <c r="L315" s="4"/>
      <c r="M315" s="4"/>
      <c r="N315" s="4"/>
      <c r="O315" s="12">
        <f t="shared" ref="O315:O317" si="97">(G315)+(H315*I315)+(J315*K315)+(L315*100)-(M315)</f>
        <v>0</v>
      </c>
      <c r="P315" s="115"/>
      <c r="Q315" s="7"/>
      <c r="R315" s="7"/>
    </row>
    <row r="316" ht="13.5" customHeight="1">
      <c r="B316" s="4"/>
      <c r="C316" s="114" t="str">
        <f t="shared" si="48"/>
        <v>12-1899</v>
      </c>
      <c r="D316" s="4"/>
      <c r="E316" s="9"/>
      <c r="F316" s="10">
        <f> (30-'Salários'!$N316)</f>
        <v>30</v>
      </c>
      <c r="G316" s="12">
        <f t="shared" si="96"/>
        <v>0</v>
      </c>
      <c r="H316" s="10"/>
      <c r="I316" s="9"/>
      <c r="J316" s="10"/>
      <c r="K316" s="9"/>
      <c r="L316" s="4"/>
      <c r="M316" s="4"/>
      <c r="N316" s="4"/>
      <c r="O316" s="12">
        <f t="shared" si="97"/>
        <v>0</v>
      </c>
      <c r="P316" s="115"/>
      <c r="Q316" s="7"/>
      <c r="R316" s="7"/>
    </row>
    <row r="317" ht="14.25" customHeight="1">
      <c r="B317" s="4"/>
      <c r="C317" s="114" t="str">
        <f t="shared" si="48"/>
        <v>12-1899</v>
      </c>
      <c r="D317" s="4"/>
      <c r="E317" s="9"/>
      <c r="F317" s="10">
        <f> (30-'Salários'!$N317)</f>
        <v>30</v>
      </c>
      <c r="G317" s="12">
        <f t="shared" si="96"/>
        <v>0</v>
      </c>
      <c r="H317" s="10"/>
      <c r="I317" s="9"/>
      <c r="J317" s="10"/>
      <c r="K317" s="9"/>
      <c r="L317" s="4"/>
      <c r="M317" s="4"/>
      <c r="N317" s="4"/>
      <c r="O317" s="12">
        <f t="shared" si="97"/>
        <v>0</v>
      </c>
      <c r="P317" s="7"/>
      <c r="Q317" s="7"/>
      <c r="R317" s="7"/>
    </row>
    <row r="318" ht="14.25" customHeight="1">
      <c r="A318" s="30"/>
      <c r="B318" s="45" t="s">
        <v>18</v>
      </c>
      <c r="C318" s="46" t="str">
        <f t="shared" si="48"/>
        <v>6-2025</v>
      </c>
      <c r="D318" s="87">
        <v>45809.0</v>
      </c>
      <c r="E318" s="47">
        <f>SUM(G318/F318)</f>
        <v>100</v>
      </c>
      <c r="F318" s="48">
        <f> (30-'Salários'!$N318)</f>
        <v>30</v>
      </c>
      <c r="G318" s="72">
        <v>3000.0</v>
      </c>
      <c r="H318" s="70">
        <v>236.0</v>
      </c>
      <c r="I318" s="47">
        <v>20.0</v>
      </c>
      <c r="J318" s="70">
        <v>3.0</v>
      </c>
      <c r="K318" s="47">
        <v>20.0</v>
      </c>
      <c r="L318" s="71">
        <v>5.0</v>
      </c>
      <c r="M318" s="53">
        <v>700.0</v>
      </c>
      <c r="N318" s="52"/>
      <c r="O318" s="49">
        <f t="shared" ref="O318:O329" si="98">(G318)+(H318*I318)+(J318*K318)+(L318*100)-(M318)</f>
        <v>7580</v>
      </c>
      <c r="P318" s="40"/>
      <c r="Q318" s="40"/>
      <c r="R318" s="4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30"/>
      <c r="B319" s="53" t="s">
        <v>84</v>
      </c>
      <c r="C319" s="46" t="str">
        <f t="shared" si="48"/>
        <v>12-1899</v>
      </c>
      <c r="D319" s="62"/>
      <c r="E319" s="47">
        <v>66.6667</v>
      </c>
      <c r="F319" s="48">
        <f> (30-'Salários'!$N319)</f>
        <v>30</v>
      </c>
      <c r="G319" s="72">
        <v>3000.0</v>
      </c>
      <c r="H319" s="70">
        <v>241.2</v>
      </c>
      <c r="I319" s="67">
        <v>15.0</v>
      </c>
      <c r="J319" s="50"/>
      <c r="K319" s="51"/>
      <c r="L319" s="52"/>
      <c r="M319" s="45"/>
      <c r="N319" s="52"/>
      <c r="O319" s="49">
        <f t="shared" si="98"/>
        <v>6618</v>
      </c>
      <c r="P319" s="40"/>
      <c r="Q319" s="40"/>
      <c r="R319" s="4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30"/>
      <c r="B320" s="53" t="s">
        <v>86</v>
      </c>
      <c r="C320" s="46" t="str">
        <f t="shared" si="48"/>
        <v>12-1899</v>
      </c>
      <c r="D320" s="62"/>
      <c r="E320" s="47">
        <f>SUM(G320/F320)</f>
        <v>150</v>
      </c>
      <c r="F320" s="48">
        <f> (30-'Salários'!$N320)</f>
        <v>30</v>
      </c>
      <c r="G320" s="72">
        <v>4500.0</v>
      </c>
      <c r="H320" s="70">
        <v>164.5</v>
      </c>
      <c r="I320" s="67">
        <v>20.0</v>
      </c>
      <c r="J320" s="50"/>
      <c r="K320" s="47"/>
      <c r="L320" s="52"/>
      <c r="M320" s="53">
        <v>1500.0</v>
      </c>
      <c r="N320" s="52"/>
      <c r="O320" s="49">
        <f t="shared" si="98"/>
        <v>6290</v>
      </c>
      <c r="P320" s="40"/>
      <c r="Q320" s="40"/>
      <c r="R320" s="4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30"/>
      <c r="B321" s="45" t="s">
        <v>26</v>
      </c>
      <c r="C321" s="46" t="str">
        <f t="shared" si="48"/>
        <v>12-1899</v>
      </c>
      <c r="D321" s="62"/>
      <c r="E321" s="47">
        <v>100.0</v>
      </c>
      <c r="F321" s="48">
        <f> (30-'Salários'!$N321)</f>
        <v>30</v>
      </c>
      <c r="G321" s="49">
        <f>(E321*F321)</f>
        <v>3000</v>
      </c>
      <c r="H321" s="70">
        <v>151.45</v>
      </c>
      <c r="I321" s="47">
        <v>20.0</v>
      </c>
      <c r="J321" s="70">
        <v>7.7</v>
      </c>
      <c r="K321" s="47">
        <v>20.0</v>
      </c>
      <c r="L321" s="71">
        <v>4.0</v>
      </c>
      <c r="M321" s="45"/>
      <c r="N321" s="52"/>
      <c r="O321" s="49">
        <f t="shared" si="98"/>
        <v>6583</v>
      </c>
      <c r="P321" s="40"/>
      <c r="Q321" s="40"/>
      <c r="R321" s="4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30"/>
      <c r="B322" s="45" t="s">
        <v>72</v>
      </c>
      <c r="C322" s="45" t="str">
        <f t="shared" si="48"/>
        <v>12-1899</v>
      </c>
      <c r="D322" s="62"/>
      <c r="E322" s="47">
        <f t="shared" ref="E322:E323" si="99">(2000/30)</f>
        <v>66.66666667</v>
      </c>
      <c r="F322" s="48">
        <v>30.0</v>
      </c>
      <c r="G322" s="89">
        <v>3800.0</v>
      </c>
      <c r="H322" s="70">
        <v>233.0</v>
      </c>
      <c r="I322" s="89">
        <v>20.0</v>
      </c>
      <c r="J322" s="50"/>
      <c r="K322" s="51"/>
      <c r="L322" s="52"/>
      <c r="M322" s="53"/>
      <c r="N322" s="52"/>
      <c r="O322" s="49">
        <f t="shared" si="98"/>
        <v>8460</v>
      </c>
      <c r="P322" s="40"/>
      <c r="Q322" s="40"/>
      <c r="R322" s="4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30"/>
      <c r="B323" s="45"/>
      <c r="C323" s="46" t="str">
        <f t="shared" si="48"/>
        <v>12-1899</v>
      </c>
      <c r="D323" s="62"/>
      <c r="E323" s="47">
        <f t="shared" si="99"/>
        <v>66.66666667</v>
      </c>
      <c r="F323" s="48">
        <f> (30-'Salários'!$N323)</f>
        <v>30</v>
      </c>
      <c r="G323" s="49"/>
      <c r="H323" s="50"/>
      <c r="I323" s="47"/>
      <c r="J323" s="50"/>
      <c r="K323" s="51"/>
      <c r="L323" s="52"/>
      <c r="M323" s="45"/>
      <c r="N323" s="52"/>
      <c r="O323" s="49">
        <f t="shared" si="98"/>
        <v>0</v>
      </c>
      <c r="P323" s="40"/>
      <c r="Q323" s="40"/>
      <c r="R323" s="4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30"/>
      <c r="B324" s="45" t="s">
        <v>30</v>
      </c>
      <c r="C324" s="46" t="str">
        <f t="shared" si="48"/>
        <v>12-1899</v>
      </c>
      <c r="D324" s="62"/>
      <c r="E324" s="47">
        <v>175.0</v>
      </c>
      <c r="F324" s="48">
        <f> (30-'Salários'!$N324)</f>
        <v>30</v>
      </c>
      <c r="G324" s="72">
        <v>8000.0</v>
      </c>
      <c r="H324" s="50"/>
      <c r="I324" s="47"/>
      <c r="J324" s="50"/>
      <c r="K324" s="51"/>
      <c r="L324" s="52"/>
      <c r="M324" s="45"/>
      <c r="N324" s="52"/>
      <c r="O324" s="49">
        <f t="shared" si="98"/>
        <v>8000</v>
      </c>
      <c r="P324" s="40"/>
      <c r="Q324" s="40"/>
      <c r="R324" s="4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30"/>
      <c r="B325" s="45" t="s">
        <v>29</v>
      </c>
      <c r="C325" s="46" t="str">
        <f t="shared" si="48"/>
        <v>12-1899</v>
      </c>
      <c r="D325" s="62"/>
      <c r="E325" s="47">
        <f>SUM(G325/F325)</f>
        <v>100</v>
      </c>
      <c r="F325" s="48">
        <f> (30-'Salários'!$N325)</f>
        <v>30</v>
      </c>
      <c r="G325" s="72">
        <v>3000.0</v>
      </c>
      <c r="H325" s="50"/>
      <c r="I325" s="47"/>
      <c r="J325" s="50"/>
      <c r="K325" s="51"/>
      <c r="L325" s="52"/>
      <c r="M325" s="45"/>
      <c r="N325" s="52"/>
      <c r="O325" s="49">
        <f t="shared" si="98"/>
        <v>3000</v>
      </c>
      <c r="P325" s="40"/>
      <c r="Q325" s="40"/>
      <c r="R325" s="4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30"/>
      <c r="B326" s="45" t="s">
        <v>24</v>
      </c>
      <c r="C326" s="46" t="str">
        <f t="shared" si="48"/>
        <v>12-1899</v>
      </c>
      <c r="D326" s="62"/>
      <c r="E326" s="47">
        <v>133.333</v>
      </c>
      <c r="F326" s="48">
        <v>15.0</v>
      </c>
      <c r="G326" s="49">
        <f>(E326*F326)</f>
        <v>1999.995</v>
      </c>
      <c r="H326" s="70">
        <v>1.0</v>
      </c>
      <c r="I326" s="67">
        <v>414.76</v>
      </c>
      <c r="J326" s="50"/>
      <c r="K326" s="51"/>
      <c r="L326" s="52"/>
      <c r="M326" s="45"/>
      <c r="N326" s="52"/>
      <c r="O326" s="49">
        <f t="shared" si="98"/>
        <v>2414.755</v>
      </c>
      <c r="P326" s="40"/>
      <c r="Q326" s="40"/>
      <c r="R326" s="4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30"/>
      <c r="B327" s="45" t="s">
        <v>53</v>
      </c>
      <c r="C327" s="46" t="str">
        <f t="shared" si="48"/>
        <v>12-1899</v>
      </c>
      <c r="D327" s="62"/>
      <c r="E327" s="47">
        <v>116.6666</v>
      </c>
      <c r="F327" s="48">
        <f> (30-'Salários'!$N327)</f>
        <v>30</v>
      </c>
      <c r="G327" s="72">
        <v>4000.0</v>
      </c>
      <c r="H327" s="50"/>
      <c r="I327" s="47"/>
      <c r="J327" s="50"/>
      <c r="K327" s="51"/>
      <c r="L327" s="52"/>
      <c r="M327" s="53">
        <v>500.0</v>
      </c>
      <c r="N327" s="52"/>
      <c r="O327" s="49">
        <f t="shared" si="98"/>
        <v>3500</v>
      </c>
      <c r="P327" s="40"/>
      <c r="Q327" s="40"/>
      <c r="R327" s="4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30"/>
      <c r="B328" s="53" t="s">
        <v>82</v>
      </c>
      <c r="C328" s="45" t="str">
        <f t="shared" si="48"/>
        <v>12-1899</v>
      </c>
      <c r="D328" s="52"/>
      <c r="E328" s="51">
        <f t="shared" ref="E328:E329" si="100">SUM(G328/F328)</f>
        <v>133.3333333</v>
      </c>
      <c r="F328" s="48">
        <f> (30-'Salários'!$N328)</f>
        <v>30</v>
      </c>
      <c r="G328" s="72">
        <v>4000.0</v>
      </c>
      <c r="H328" s="111">
        <v>229.29</v>
      </c>
      <c r="I328" s="72">
        <v>20.0</v>
      </c>
      <c r="J328" s="50"/>
      <c r="K328" s="51"/>
      <c r="L328" s="71"/>
      <c r="M328" s="45"/>
      <c r="N328" s="52"/>
      <c r="O328" s="49">
        <f t="shared" si="98"/>
        <v>8585.8</v>
      </c>
      <c r="P328" s="40"/>
      <c r="Q328" s="40"/>
      <c r="R328" s="4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30"/>
      <c r="B329" s="53" t="s">
        <v>83</v>
      </c>
      <c r="C329" s="45" t="str">
        <f t="shared" si="48"/>
        <v>12-1899</v>
      </c>
      <c r="D329" s="52"/>
      <c r="E329" s="51">
        <f t="shared" si="100"/>
        <v>100</v>
      </c>
      <c r="F329" s="48">
        <f> (30-'Salários'!$N329)</f>
        <v>30</v>
      </c>
      <c r="G329" s="72">
        <v>3000.0</v>
      </c>
      <c r="H329" s="112"/>
      <c r="I329" s="49"/>
      <c r="J329" s="50"/>
      <c r="K329" s="51"/>
      <c r="L329" s="71">
        <v>2.0</v>
      </c>
      <c r="M329" s="53">
        <v>225.0</v>
      </c>
      <c r="N329" s="52"/>
      <c r="O329" s="49">
        <f t="shared" si="98"/>
        <v>2975</v>
      </c>
      <c r="P329" s="40"/>
      <c r="Q329" s="40"/>
      <c r="R329" s="4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30"/>
      <c r="B330" s="1" t="s">
        <v>89</v>
      </c>
      <c r="C330" s="31" t="str">
        <f t="shared" si="48"/>
        <v>12-1899</v>
      </c>
      <c r="D330" s="31"/>
      <c r="E330" s="37"/>
      <c r="F330" s="41">
        <f> (30-'Salários'!$N330)</f>
        <v>30</v>
      </c>
      <c r="G330" s="39">
        <f t="shared" ref="G330:G331" si="101">(E330*F330)</f>
        <v>0</v>
      </c>
      <c r="H330" s="41"/>
      <c r="I330" s="37"/>
      <c r="J330" s="35"/>
      <c r="K330" s="37"/>
      <c r="L330" s="31"/>
      <c r="M330" s="31"/>
      <c r="N330" s="31"/>
      <c r="O330" s="39">
        <f t="shared" ref="O330:O331" si="102">(G330)+(H330*I330)+(J330*K330)+(L330*100)-(M330)</f>
        <v>0</v>
      </c>
      <c r="P330" s="43" t="s">
        <v>90</v>
      </c>
      <c r="Q330" s="40"/>
      <c r="R330" s="4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B331" s="4"/>
      <c r="C331" s="114" t="str">
        <f t="shared" si="48"/>
        <v>12-1899</v>
      </c>
      <c r="D331" s="4"/>
      <c r="E331" s="9"/>
      <c r="F331" s="10">
        <f> (30-'Salários'!$N331)</f>
        <v>30</v>
      </c>
      <c r="G331" s="12">
        <f t="shared" si="101"/>
        <v>0</v>
      </c>
      <c r="H331" s="10"/>
      <c r="I331" s="9"/>
      <c r="J331" s="10"/>
      <c r="K331" s="9"/>
      <c r="L331" s="4"/>
      <c r="M331" s="4"/>
      <c r="N331" s="4"/>
      <c r="O331" s="12">
        <f t="shared" si="102"/>
        <v>0</v>
      </c>
      <c r="P331" s="7"/>
      <c r="Q331" s="7"/>
      <c r="R331" s="7"/>
    </row>
    <row r="332" ht="14.25" customHeight="1">
      <c r="A332" s="30"/>
      <c r="B332" s="45" t="s">
        <v>18</v>
      </c>
      <c r="C332" s="46" t="str">
        <f t="shared" si="48"/>
        <v>7-2025</v>
      </c>
      <c r="D332" s="87">
        <v>45839.0</v>
      </c>
      <c r="E332" s="47">
        <f>SUM(G332/F332)</f>
        <v>100</v>
      </c>
      <c r="F332" s="48">
        <f> (30-'Salários'!$N332)</f>
        <v>30</v>
      </c>
      <c r="G332" s="72">
        <v>3000.0</v>
      </c>
      <c r="H332" s="70">
        <v>164.3</v>
      </c>
      <c r="I332" s="47">
        <v>20.0</v>
      </c>
      <c r="J332" s="70">
        <v>5.0</v>
      </c>
      <c r="K332" s="47">
        <v>20.0</v>
      </c>
      <c r="L332" s="71">
        <v>5.0</v>
      </c>
      <c r="M332" s="53">
        <v>600.0</v>
      </c>
      <c r="N332" s="52"/>
      <c r="O332" s="49">
        <f t="shared" ref="O332:O343" si="103">(G332)+(H332*I332)+(J332*K332)+(L332*100)-(M332)</f>
        <v>6286</v>
      </c>
      <c r="P332" s="40"/>
      <c r="Q332" s="40"/>
      <c r="R332" s="4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30"/>
      <c r="B333" s="53" t="s">
        <v>84</v>
      </c>
      <c r="C333" s="46" t="str">
        <f t="shared" si="48"/>
        <v>12-1899</v>
      </c>
      <c r="D333" s="62"/>
      <c r="E333" s="47">
        <v>66.6667</v>
      </c>
      <c r="F333" s="48">
        <f> (30-'Salários'!$N333)</f>
        <v>30</v>
      </c>
      <c r="G333" s="72">
        <v>3000.0</v>
      </c>
      <c r="H333" s="70">
        <v>206.3</v>
      </c>
      <c r="I333" s="67">
        <v>15.0</v>
      </c>
      <c r="J333" s="50"/>
      <c r="K333" s="51"/>
      <c r="L333" s="71"/>
      <c r="M333" s="45"/>
      <c r="N333" s="52"/>
      <c r="O333" s="49">
        <f t="shared" si="103"/>
        <v>6094.5</v>
      </c>
      <c r="P333" s="40"/>
      <c r="Q333" s="40"/>
      <c r="R333" s="4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30"/>
      <c r="B334" s="53" t="s">
        <v>91</v>
      </c>
      <c r="C334" s="46" t="str">
        <f t="shared" si="48"/>
        <v>12-1899</v>
      </c>
      <c r="D334" s="62"/>
      <c r="E334" s="47">
        <f>SUM(G334/F334)</f>
        <v>150</v>
      </c>
      <c r="F334" s="48">
        <f> (30-'Salários'!$N334)</f>
        <v>30</v>
      </c>
      <c r="G334" s="72">
        <v>4500.0</v>
      </c>
      <c r="H334" s="70">
        <v>180.9</v>
      </c>
      <c r="I334" s="67">
        <v>20.0</v>
      </c>
      <c r="J334" s="50"/>
      <c r="K334" s="47"/>
      <c r="L334" s="52"/>
      <c r="M334" s="53">
        <v>1500.0</v>
      </c>
      <c r="N334" s="52"/>
      <c r="O334" s="49">
        <f t="shared" si="103"/>
        <v>6618</v>
      </c>
      <c r="P334" s="40"/>
      <c r="Q334" s="40"/>
      <c r="R334" s="4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30"/>
      <c r="B335" s="45" t="s">
        <v>26</v>
      </c>
      <c r="C335" s="46" t="str">
        <f t="shared" si="48"/>
        <v>12-1899</v>
      </c>
      <c r="D335" s="62"/>
      <c r="E335" s="47">
        <v>100.0</v>
      </c>
      <c r="F335" s="48">
        <f> (30-'Salários'!$N335)</f>
        <v>30</v>
      </c>
      <c r="G335" s="49">
        <f>(E335*F335)</f>
        <v>3000</v>
      </c>
      <c r="H335" s="70">
        <v>244.0</v>
      </c>
      <c r="I335" s="47">
        <v>20.0</v>
      </c>
      <c r="J335" s="70">
        <v>24.1</v>
      </c>
      <c r="K335" s="47">
        <v>20.0</v>
      </c>
      <c r="L335" s="71">
        <v>5.0</v>
      </c>
      <c r="M335" s="45"/>
      <c r="N335" s="52"/>
      <c r="O335" s="49">
        <f t="shared" si="103"/>
        <v>8862</v>
      </c>
      <c r="P335" s="40"/>
      <c r="Q335" s="40"/>
      <c r="R335" s="4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30"/>
      <c r="B336" s="45" t="s">
        <v>72</v>
      </c>
      <c r="C336" s="45" t="str">
        <f t="shared" si="48"/>
        <v>12-1899</v>
      </c>
      <c r="D336" s="62"/>
      <c r="E336" s="47">
        <f t="shared" ref="E336:E337" si="104">(2000/30)</f>
        <v>66.66666667</v>
      </c>
      <c r="F336" s="48">
        <v>30.0</v>
      </c>
      <c r="G336" s="89">
        <v>3800.0</v>
      </c>
      <c r="H336" s="70">
        <v>231.0</v>
      </c>
      <c r="I336" s="89">
        <v>20.0</v>
      </c>
      <c r="J336" s="50"/>
      <c r="K336" s="51"/>
      <c r="L336" s="52"/>
      <c r="M336" s="45"/>
      <c r="N336" s="52"/>
      <c r="O336" s="49">
        <f t="shared" si="103"/>
        <v>8420</v>
      </c>
      <c r="P336" s="40"/>
      <c r="Q336" s="40"/>
      <c r="R336" s="4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30"/>
      <c r="B337" s="45"/>
      <c r="C337" s="46" t="str">
        <f t="shared" si="48"/>
        <v>12-1899</v>
      </c>
      <c r="D337" s="62"/>
      <c r="E337" s="47">
        <f t="shared" si="104"/>
        <v>66.66666667</v>
      </c>
      <c r="F337" s="48">
        <f> (30-'Salários'!$N337)</f>
        <v>30</v>
      </c>
      <c r="G337" s="49">
        <f>(E337*F337)</f>
        <v>2000</v>
      </c>
      <c r="H337" s="50"/>
      <c r="I337" s="47">
        <v>8.0</v>
      </c>
      <c r="J337" s="50"/>
      <c r="K337" s="51"/>
      <c r="L337" s="52"/>
      <c r="M337" s="45"/>
      <c r="N337" s="52"/>
      <c r="O337" s="49">
        <f t="shared" si="103"/>
        <v>2000</v>
      </c>
      <c r="P337" s="40"/>
      <c r="Q337" s="40"/>
      <c r="R337" s="4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30"/>
      <c r="B338" s="45" t="s">
        <v>30</v>
      </c>
      <c r="C338" s="46" t="str">
        <f t="shared" si="48"/>
        <v>12-1899</v>
      </c>
      <c r="D338" s="62"/>
      <c r="E338" s="47">
        <v>175.0</v>
      </c>
      <c r="F338" s="48">
        <f> (30-'Salários'!$N338)</f>
        <v>30</v>
      </c>
      <c r="G338" s="72">
        <v>6000.0</v>
      </c>
      <c r="H338" s="50"/>
      <c r="I338" s="47"/>
      <c r="J338" s="50"/>
      <c r="K338" s="51"/>
      <c r="L338" s="52"/>
      <c r="M338" s="45"/>
      <c r="N338" s="52"/>
      <c r="O338" s="49">
        <f t="shared" si="103"/>
        <v>6000</v>
      </c>
      <c r="P338" s="40"/>
      <c r="Q338" s="40"/>
      <c r="R338" s="4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30"/>
      <c r="B339" s="45" t="s">
        <v>29</v>
      </c>
      <c r="C339" s="46" t="str">
        <f t="shared" si="48"/>
        <v>12-1899</v>
      </c>
      <c r="D339" s="62"/>
      <c r="E339" s="47">
        <f>SUM(G339/F339)</f>
        <v>100</v>
      </c>
      <c r="F339" s="48">
        <f> (30-'Salários'!$N339)</f>
        <v>30</v>
      </c>
      <c r="G339" s="72">
        <v>3000.0</v>
      </c>
      <c r="H339" s="50"/>
      <c r="I339" s="47"/>
      <c r="J339" s="50"/>
      <c r="K339" s="51"/>
      <c r="L339" s="52"/>
      <c r="M339" s="45"/>
      <c r="N339" s="52"/>
      <c r="O339" s="49">
        <f t="shared" si="103"/>
        <v>3000</v>
      </c>
      <c r="P339" s="40"/>
      <c r="Q339" s="40"/>
      <c r="R339" s="4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30"/>
      <c r="B340" s="45" t="s">
        <v>24</v>
      </c>
      <c r="C340" s="46" t="str">
        <f t="shared" si="48"/>
        <v>12-1899</v>
      </c>
      <c r="D340" s="62"/>
      <c r="E340" s="47">
        <v>133.333</v>
      </c>
      <c r="F340" s="83">
        <v>17.0</v>
      </c>
      <c r="G340" s="49">
        <f>(E340*F340)</f>
        <v>2266.661</v>
      </c>
      <c r="H340" s="50"/>
      <c r="I340" s="47"/>
      <c r="J340" s="50"/>
      <c r="K340" s="51"/>
      <c r="L340" s="52"/>
      <c r="M340" s="45"/>
      <c r="N340" s="52"/>
      <c r="O340" s="49">
        <f t="shared" si="103"/>
        <v>2266.661</v>
      </c>
      <c r="P340" s="40"/>
      <c r="Q340" s="40"/>
      <c r="R340" s="4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30"/>
      <c r="B341" s="45" t="s">
        <v>53</v>
      </c>
      <c r="C341" s="46" t="str">
        <f t="shared" si="48"/>
        <v>12-1899</v>
      </c>
      <c r="D341" s="62"/>
      <c r="E341" s="47">
        <v>116.6666</v>
      </c>
      <c r="F341" s="48">
        <f> (30-'Salários'!$N341)</f>
        <v>30</v>
      </c>
      <c r="G341" s="72">
        <v>4000.0</v>
      </c>
      <c r="H341" s="50"/>
      <c r="I341" s="47"/>
      <c r="J341" s="50"/>
      <c r="K341" s="51"/>
      <c r="L341" s="52"/>
      <c r="M341" s="45"/>
      <c r="N341" s="52"/>
      <c r="O341" s="49">
        <f t="shared" si="103"/>
        <v>4000</v>
      </c>
      <c r="P341" s="40"/>
      <c r="Q341" s="40"/>
      <c r="R341" s="4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30"/>
      <c r="B342" s="53" t="s">
        <v>82</v>
      </c>
      <c r="C342" s="45" t="str">
        <f t="shared" si="48"/>
        <v>12-1899</v>
      </c>
      <c r="D342" s="52"/>
      <c r="E342" s="51">
        <f t="shared" ref="E342:E343" si="105">SUM(G342/F342)</f>
        <v>133.3333333</v>
      </c>
      <c r="F342" s="48">
        <f> (30-'Salários'!$N342)</f>
        <v>30</v>
      </c>
      <c r="G342" s="72">
        <v>4000.0</v>
      </c>
      <c r="H342" s="111">
        <v>221.93</v>
      </c>
      <c r="I342" s="72">
        <v>20.0</v>
      </c>
      <c r="J342" s="50"/>
      <c r="K342" s="51"/>
      <c r="L342" s="52"/>
      <c r="M342" s="45"/>
      <c r="N342" s="52"/>
      <c r="O342" s="49">
        <f t="shared" si="103"/>
        <v>8438.6</v>
      </c>
      <c r="P342" s="40"/>
      <c r="Q342" s="40"/>
      <c r="R342" s="4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30"/>
      <c r="B343" s="53" t="s">
        <v>83</v>
      </c>
      <c r="C343" s="45" t="str">
        <f t="shared" si="48"/>
        <v>12-1899</v>
      </c>
      <c r="D343" s="52"/>
      <c r="E343" s="51">
        <f t="shared" si="105"/>
        <v>100</v>
      </c>
      <c r="F343" s="48">
        <f> (30-'Salários'!$N343)</f>
        <v>30</v>
      </c>
      <c r="G343" s="72">
        <v>3000.0</v>
      </c>
      <c r="H343" s="112"/>
      <c r="I343" s="49"/>
      <c r="J343" s="50"/>
      <c r="K343" s="51"/>
      <c r="L343" s="52"/>
      <c r="M343" s="45"/>
      <c r="N343" s="52"/>
      <c r="O343" s="49">
        <f t="shared" si="103"/>
        <v>3000</v>
      </c>
      <c r="P343" s="40"/>
      <c r="Q343" s="40"/>
      <c r="R343" s="4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30"/>
      <c r="B344" s="1" t="s">
        <v>89</v>
      </c>
      <c r="C344" s="31" t="str">
        <f t="shared" si="48"/>
        <v>12-1899</v>
      </c>
      <c r="D344" s="31"/>
      <c r="E344" s="37"/>
      <c r="F344" s="41">
        <f> (30-'Salários'!$N344)</f>
        <v>30</v>
      </c>
      <c r="G344" s="36">
        <v>2500.0</v>
      </c>
      <c r="H344" s="41"/>
      <c r="I344" s="37"/>
      <c r="J344" s="41"/>
      <c r="K344" s="37"/>
      <c r="L344" s="31"/>
      <c r="M344" s="31"/>
      <c r="N344" s="31"/>
      <c r="O344" s="39">
        <f t="shared" ref="O344:O349" si="106">(G344)+(H344*I344)+(J344*K344)+(L344*100)-(M344)</f>
        <v>2500</v>
      </c>
      <c r="P344" s="40"/>
      <c r="Q344" s="40"/>
      <c r="R344" s="4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30"/>
      <c r="B345" s="1" t="s">
        <v>92</v>
      </c>
      <c r="C345" s="31" t="str">
        <f t="shared" si="48"/>
        <v>12-1899</v>
      </c>
      <c r="D345" s="31"/>
      <c r="E345" s="37"/>
      <c r="F345" s="41">
        <f> (30-'Salários'!$N345)</f>
        <v>30</v>
      </c>
      <c r="G345" s="36">
        <v>1000.0</v>
      </c>
      <c r="H345" s="41"/>
      <c r="I345" s="37"/>
      <c r="J345" s="41"/>
      <c r="K345" s="37"/>
      <c r="L345" s="31"/>
      <c r="M345" s="31"/>
      <c r="N345" s="31"/>
      <c r="O345" s="39">
        <f t="shared" si="106"/>
        <v>1000</v>
      </c>
      <c r="P345" s="40"/>
      <c r="Q345" s="40"/>
      <c r="R345" s="4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B346" s="4"/>
      <c r="C346" s="114" t="str">
        <f t="shared" si="48"/>
        <v>12-1899</v>
      </c>
      <c r="D346" s="4"/>
      <c r="E346" s="9"/>
      <c r="F346" s="10">
        <f> (30-'Salários'!$N346)</f>
        <v>30</v>
      </c>
      <c r="G346" s="12">
        <f t="shared" ref="G346:G349" si="107">(E346*F346)</f>
        <v>0</v>
      </c>
      <c r="H346" s="10"/>
      <c r="I346" s="9"/>
      <c r="J346" s="10"/>
      <c r="K346" s="9"/>
      <c r="L346" s="4"/>
      <c r="M346" s="4"/>
      <c r="N346" s="4"/>
      <c r="O346" s="12">
        <f t="shared" si="106"/>
        <v>0</v>
      </c>
      <c r="P346" s="7"/>
      <c r="Q346" s="7"/>
      <c r="R346" s="7"/>
    </row>
    <row r="347" ht="14.25" customHeight="1">
      <c r="B347" s="4"/>
      <c r="C347" s="114" t="str">
        <f t="shared" si="48"/>
        <v>12-1899</v>
      </c>
      <c r="D347" s="4"/>
      <c r="E347" s="9"/>
      <c r="F347" s="10">
        <f> (30-'Salários'!$N347)</f>
        <v>30</v>
      </c>
      <c r="G347" s="12">
        <f t="shared" si="107"/>
        <v>0</v>
      </c>
      <c r="H347" s="10"/>
      <c r="I347" s="9"/>
      <c r="J347" s="10"/>
      <c r="K347" s="9"/>
      <c r="L347" s="4"/>
      <c r="M347" s="4"/>
      <c r="N347" s="4"/>
      <c r="O347" s="12">
        <f t="shared" si="106"/>
        <v>0</v>
      </c>
      <c r="P347" s="7"/>
      <c r="Q347" s="7"/>
      <c r="R347" s="7"/>
    </row>
    <row r="348" ht="14.25" customHeight="1">
      <c r="B348" s="4"/>
      <c r="C348" s="114" t="str">
        <f t="shared" si="48"/>
        <v>12-1899</v>
      </c>
      <c r="D348" s="4"/>
      <c r="E348" s="9"/>
      <c r="F348" s="10">
        <f> (30-'Salários'!$N348)</f>
        <v>30</v>
      </c>
      <c r="G348" s="12">
        <f t="shared" si="107"/>
        <v>0</v>
      </c>
      <c r="H348" s="10"/>
      <c r="I348" s="9"/>
      <c r="J348" s="10"/>
      <c r="K348" s="9"/>
      <c r="L348" s="4"/>
      <c r="M348" s="4"/>
      <c r="N348" s="4"/>
      <c r="O348" s="12">
        <f t="shared" si="106"/>
        <v>0</v>
      </c>
      <c r="P348" s="7"/>
      <c r="Q348" s="7"/>
      <c r="R348" s="7"/>
    </row>
    <row r="349" ht="14.25" customHeight="1">
      <c r="B349" s="4"/>
      <c r="C349" s="114" t="str">
        <f t="shared" si="48"/>
        <v>12-1899</v>
      </c>
      <c r="D349" s="4"/>
      <c r="E349" s="9"/>
      <c r="F349" s="10">
        <f> (30-'Salários'!$N349)</f>
        <v>30</v>
      </c>
      <c r="G349" s="12">
        <f t="shared" si="107"/>
        <v>0</v>
      </c>
      <c r="H349" s="10"/>
      <c r="I349" s="9"/>
      <c r="J349" s="10"/>
      <c r="K349" s="9"/>
      <c r="L349" s="4"/>
      <c r="M349" s="4"/>
      <c r="N349" s="4"/>
      <c r="O349" s="12">
        <f t="shared" si="106"/>
        <v>0</v>
      </c>
      <c r="P349" s="7"/>
      <c r="Q349" s="7"/>
      <c r="R349" s="7"/>
    </row>
    <row r="350" ht="14.25" customHeight="1">
      <c r="A350" s="30"/>
      <c r="B350" s="45" t="s">
        <v>18</v>
      </c>
      <c r="C350" s="46" t="str">
        <f t="shared" si="48"/>
        <v>8-2025</v>
      </c>
      <c r="D350" s="87">
        <v>45870.0</v>
      </c>
      <c r="E350" s="47">
        <f>SUM(G350/F350)</f>
        <v>60.49166667</v>
      </c>
      <c r="F350" s="48">
        <f> (30-'Salários'!$N350)</f>
        <v>30</v>
      </c>
      <c r="G350" s="72">
        <v>1814.75</v>
      </c>
      <c r="H350" s="70">
        <v>231.8</v>
      </c>
      <c r="I350" s="47">
        <v>20.0</v>
      </c>
      <c r="J350" s="70">
        <v>21.0</v>
      </c>
      <c r="K350" s="47">
        <v>20.0</v>
      </c>
      <c r="L350" s="71">
        <v>3.0</v>
      </c>
      <c r="M350" s="53"/>
      <c r="N350" s="52"/>
      <c r="O350" s="49">
        <f t="shared" ref="O350:O354" si="108">(G350)+(H350*I350)+(J350*K350)+(L350*100)-(M350)</f>
        <v>7170.75</v>
      </c>
      <c r="P350" s="43"/>
      <c r="Q350" s="40"/>
      <c r="R350" s="4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30"/>
      <c r="B351" s="53" t="s">
        <v>84</v>
      </c>
      <c r="C351" s="46" t="str">
        <f t="shared" si="48"/>
        <v>8-2025</v>
      </c>
      <c r="D351" s="87">
        <v>45870.0</v>
      </c>
      <c r="E351" s="47">
        <v>66.6667</v>
      </c>
      <c r="F351" s="48">
        <f> (30-'Salários'!$N351)</f>
        <v>30</v>
      </c>
      <c r="G351" s="72">
        <v>3000.0</v>
      </c>
      <c r="H351" s="70">
        <v>230.1</v>
      </c>
      <c r="I351" s="67">
        <v>15.0</v>
      </c>
      <c r="J351" s="50"/>
      <c r="K351" s="51"/>
      <c r="L351" s="52"/>
      <c r="M351" s="45"/>
      <c r="N351" s="52"/>
      <c r="O351" s="49">
        <f t="shared" si="108"/>
        <v>6451.5</v>
      </c>
      <c r="P351" s="40"/>
      <c r="Q351" s="40"/>
      <c r="R351" s="4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30"/>
      <c r="B352" s="53" t="s">
        <v>91</v>
      </c>
      <c r="C352" s="46" t="str">
        <f t="shared" si="48"/>
        <v>8-2025</v>
      </c>
      <c r="D352" s="87">
        <v>45870.0</v>
      </c>
      <c r="E352" s="47">
        <f>SUM(G352/F352)</f>
        <v>150</v>
      </c>
      <c r="F352" s="48">
        <f> (30-'Salários'!$N352)</f>
        <v>30</v>
      </c>
      <c r="G352" s="72">
        <v>4500.0</v>
      </c>
      <c r="H352" s="70">
        <v>192.8</v>
      </c>
      <c r="I352" s="67">
        <v>20.0</v>
      </c>
      <c r="J352" s="50"/>
      <c r="K352" s="47"/>
      <c r="L352" s="52"/>
      <c r="M352" s="53">
        <v>1500.0</v>
      </c>
      <c r="N352" s="52"/>
      <c r="O352" s="49">
        <f t="shared" si="108"/>
        <v>6856</v>
      </c>
      <c r="P352" s="40"/>
      <c r="Q352" s="40"/>
      <c r="R352" s="4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30"/>
      <c r="B353" s="45" t="s">
        <v>26</v>
      </c>
      <c r="C353" s="46" t="str">
        <f t="shared" si="48"/>
        <v>8-2025</v>
      </c>
      <c r="D353" s="87">
        <v>45870.0</v>
      </c>
      <c r="E353" s="47">
        <v>100.0</v>
      </c>
      <c r="F353" s="48">
        <f> (30-'Salários'!$N353)</f>
        <v>30</v>
      </c>
      <c r="G353" s="49">
        <f>(E353*F353)</f>
        <v>3000</v>
      </c>
      <c r="H353" s="70">
        <v>261.7</v>
      </c>
      <c r="I353" s="47">
        <v>20.0</v>
      </c>
      <c r="J353" s="70">
        <v>14.1</v>
      </c>
      <c r="K353" s="47">
        <v>20.0</v>
      </c>
      <c r="L353" s="71">
        <v>4.0</v>
      </c>
      <c r="M353" s="45"/>
      <c r="N353" s="52"/>
      <c r="O353" s="49">
        <f t="shared" si="108"/>
        <v>8916</v>
      </c>
      <c r="P353" s="40"/>
      <c r="Q353" s="40"/>
      <c r="R353" s="4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30"/>
      <c r="B354" s="45" t="s">
        <v>72</v>
      </c>
      <c r="C354" s="45" t="str">
        <f t="shared" si="48"/>
        <v>8-2025</v>
      </c>
      <c r="D354" s="87">
        <v>45870.0</v>
      </c>
      <c r="E354" s="47">
        <f t="shared" ref="E354:E355" si="109">(2000/30)</f>
        <v>66.66666667</v>
      </c>
      <c r="F354" s="48">
        <v>30.0</v>
      </c>
      <c r="G354" s="89">
        <v>3800.0</v>
      </c>
      <c r="H354" s="70">
        <v>167.4</v>
      </c>
      <c r="I354" s="89">
        <v>20.0</v>
      </c>
      <c r="J354" s="50"/>
      <c r="K354" s="51"/>
      <c r="L354" s="52"/>
      <c r="M354" s="53">
        <v>1000.0</v>
      </c>
      <c r="N354" s="52"/>
      <c r="O354" s="49">
        <f t="shared" si="108"/>
        <v>6148</v>
      </c>
      <c r="P354" s="40"/>
      <c r="Q354" s="40"/>
      <c r="R354" s="4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30"/>
      <c r="B355" s="45"/>
      <c r="C355" s="46" t="str">
        <f t="shared" si="48"/>
        <v>8-2025</v>
      </c>
      <c r="D355" s="87">
        <v>45870.0</v>
      </c>
      <c r="E355" s="47">
        <f t="shared" si="109"/>
        <v>66.66666667</v>
      </c>
      <c r="F355" s="48">
        <f> (30-'Salários'!$N355)</f>
        <v>30</v>
      </c>
      <c r="G355" s="49">
        <f>(E355*F355)</f>
        <v>2000</v>
      </c>
      <c r="H355" s="50"/>
      <c r="I355" s="47"/>
      <c r="J355" s="50"/>
      <c r="K355" s="51"/>
      <c r="L355" s="52"/>
      <c r="M355" s="45"/>
      <c r="N355" s="52"/>
      <c r="O355" s="49"/>
      <c r="P355" s="40"/>
      <c r="Q355" s="40"/>
      <c r="R355" s="4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30"/>
      <c r="B356" s="45" t="s">
        <v>30</v>
      </c>
      <c r="C356" s="46" t="str">
        <f t="shared" si="48"/>
        <v>8-2025</v>
      </c>
      <c r="D356" s="87">
        <v>45870.0</v>
      </c>
      <c r="E356" s="47">
        <v>175.0</v>
      </c>
      <c r="F356" s="48">
        <f> (30-'Salários'!$N356)</f>
        <v>30</v>
      </c>
      <c r="G356" s="72">
        <v>8000.0</v>
      </c>
      <c r="H356" s="50"/>
      <c r="I356" s="47"/>
      <c r="J356" s="50"/>
      <c r="K356" s="51"/>
      <c r="L356" s="52"/>
      <c r="M356" s="45"/>
      <c r="N356" s="52"/>
      <c r="O356" s="49">
        <f t="shared" ref="O356:O361" si="110">(G356)+(H356*I356)+(J356*K356)+(L356*100)-(M356)</f>
        <v>8000</v>
      </c>
      <c r="P356" s="40"/>
      <c r="Q356" s="40"/>
      <c r="R356" s="4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30"/>
      <c r="B357" s="45" t="s">
        <v>29</v>
      </c>
      <c r="C357" s="46" t="str">
        <f t="shared" si="48"/>
        <v>8-2025</v>
      </c>
      <c r="D357" s="87">
        <v>45870.0</v>
      </c>
      <c r="E357" s="47">
        <f>SUM(G357/F357)</f>
        <v>100</v>
      </c>
      <c r="F357" s="48">
        <f> (30-'Salários'!$N357)</f>
        <v>30</v>
      </c>
      <c r="G357" s="72">
        <v>3000.0</v>
      </c>
      <c r="H357" s="50"/>
      <c r="I357" s="47"/>
      <c r="J357" s="50"/>
      <c r="K357" s="51"/>
      <c r="L357" s="52"/>
      <c r="M357" s="45"/>
      <c r="N357" s="52"/>
      <c r="O357" s="49">
        <f t="shared" si="110"/>
        <v>3000</v>
      </c>
      <c r="P357" s="40"/>
      <c r="Q357" s="40"/>
      <c r="R357" s="4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30"/>
      <c r="B358" s="45" t="s">
        <v>24</v>
      </c>
      <c r="C358" s="46" t="str">
        <f t="shared" si="48"/>
        <v>8-2025</v>
      </c>
      <c r="D358" s="87">
        <v>45870.0</v>
      </c>
      <c r="E358" s="47">
        <v>133.333</v>
      </c>
      <c r="F358" s="83">
        <v>9.0</v>
      </c>
      <c r="G358" s="49">
        <f>(E358*F358)</f>
        <v>1199.997</v>
      </c>
      <c r="H358" s="70"/>
      <c r="I358" s="67"/>
      <c r="J358" s="50"/>
      <c r="K358" s="51"/>
      <c r="L358" s="52"/>
      <c r="M358" s="45"/>
      <c r="N358" s="52"/>
      <c r="O358" s="49">
        <f t="shared" si="110"/>
        <v>1199.997</v>
      </c>
      <c r="P358" s="40"/>
      <c r="Q358" s="40"/>
      <c r="R358" s="4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30"/>
      <c r="B359" s="45" t="s">
        <v>53</v>
      </c>
      <c r="C359" s="46" t="str">
        <f t="shared" si="48"/>
        <v>8-2025</v>
      </c>
      <c r="D359" s="87">
        <v>45870.0</v>
      </c>
      <c r="E359" s="47">
        <v>116.6666</v>
      </c>
      <c r="F359" s="48">
        <f> (30-'Salários'!$N359)</f>
        <v>30</v>
      </c>
      <c r="G359" s="72">
        <v>4000.0</v>
      </c>
      <c r="H359" s="70">
        <v>1.0</v>
      </c>
      <c r="I359" s="67">
        <v>3000.0</v>
      </c>
      <c r="J359" s="50"/>
      <c r="K359" s="51"/>
      <c r="L359" s="52"/>
      <c r="M359" s="53">
        <v>1400.0</v>
      </c>
      <c r="N359" s="52"/>
      <c r="O359" s="49">
        <f t="shared" si="110"/>
        <v>5600</v>
      </c>
      <c r="P359" s="40"/>
      <c r="Q359" s="40"/>
      <c r="R359" s="4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30"/>
      <c r="B360" s="53" t="s">
        <v>82</v>
      </c>
      <c r="C360" s="45" t="str">
        <f t="shared" si="48"/>
        <v>8-2025</v>
      </c>
      <c r="D360" s="87">
        <v>45870.0</v>
      </c>
      <c r="E360" s="51">
        <f t="shared" ref="E360:E361" si="111">SUM(G360/F360)</f>
        <v>133.3333333</v>
      </c>
      <c r="F360" s="48">
        <f> (30-'Salários'!$N360)</f>
        <v>30</v>
      </c>
      <c r="G360" s="72">
        <v>4000.0</v>
      </c>
      <c r="H360" s="111">
        <v>222.93</v>
      </c>
      <c r="I360" s="72">
        <v>20.0</v>
      </c>
      <c r="J360" s="50"/>
      <c r="K360" s="51"/>
      <c r="L360" s="52"/>
      <c r="M360" s="45"/>
      <c r="N360" s="52"/>
      <c r="O360" s="49">
        <f t="shared" si="110"/>
        <v>8458.6</v>
      </c>
      <c r="P360" s="40"/>
      <c r="Q360" s="40"/>
      <c r="R360" s="4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30"/>
      <c r="B361" s="53" t="s">
        <v>83</v>
      </c>
      <c r="C361" s="45" t="str">
        <f t="shared" si="48"/>
        <v>8-2025</v>
      </c>
      <c r="D361" s="87">
        <v>45870.0</v>
      </c>
      <c r="E361" s="51">
        <f t="shared" si="111"/>
        <v>100</v>
      </c>
      <c r="F361" s="48">
        <f> (30-'Salários'!$N361)</f>
        <v>30</v>
      </c>
      <c r="G361" s="72">
        <v>3000.0</v>
      </c>
      <c r="H361" s="112"/>
      <c r="I361" s="49"/>
      <c r="J361" s="50"/>
      <c r="K361" s="51"/>
      <c r="L361" s="52"/>
      <c r="M361" s="45"/>
      <c r="N361" s="52"/>
      <c r="O361" s="49">
        <f t="shared" si="110"/>
        <v>3000</v>
      </c>
      <c r="P361" s="40"/>
      <c r="Q361" s="40"/>
      <c r="R361" s="4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30"/>
      <c r="B362" s="1" t="s">
        <v>89</v>
      </c>
      <c r="C362" s="31" t="str">
        <f t="shared" si="48"/>
        <v>8-2025</v>
      </c>
      <c r="D362" s="87">
        <v>45870.0</v>
      </c>
      <c r="E362" s="37"/>
      <c r="F362" s="41">
        <f> (30-'Salários'!$N362)</f>
        <v>30</v>
      </c>
      <c r="G362" s="36">
        <v>2500.0</v>
      </c>
      <c r="H362" s="41"/>
      <c r="I362" s="37"/>
      <c r="J362" s="41"/>
      <c r="K362" s="37"/>
      <c r="L362" s="31"/>
      <c r="M362" s="31"/>
      <c r="N362" s="31"/>
      <c r="O362" s="39">
        <f t="shared" ref="O362:O367" si="112">(G362)+(H362*I362)+(J362*K362)+(L362*100)-(M362)</f>
        <v>2500</v>
      </c>
      <c r="P362" s="40"/>
      <c r="Q362" s="40"/>
      <c r="R362" s="4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30"/>
      <c r="B363" s="1" t="s">
        <v>92</v>
      </c>
      <c r="C363" s="31" t="str">
        <f t="shared" si="48"/>
        <v>8-2025</v>
      </c>
      <c r="D363" s="87">
        <v>45870.0</v>
      </c>
      <c r="E363" s="37"/>
      <c r="F363" s="41">
        <f> (30-'Salários'!$N363)</f>
        <v>30</v>
      </c>
      <c r="G363" s="36">
        <v>1000.0</v>
      </c>
      <c r="H363" s="41"/>
      <c r="I363" s="37"/>
      <c r="J363" s="41"/>
      <c r="K363" s="37"/>
      <c r="L363" s="31"/>
      <c r="M363" s="31"/>
      <c r="N363" s="31"/>
      <c r="O363" s="39">
        <f t="shared" si="112"/>
        <v>1000</v>
      </c>
      <c r="P363" s="40"/>
      <c r="Q363" s="40"/>
      <c r="R363" s="4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B364" s="4"/>
      <c r="C364" s="114" t="str">
        <f t="shared" si="48"/>
        <v>12-1899</v>
      </c>
      <c r="D364" s="7"/>
      <c r="E364" s="9"/>
      <c r="F364" s="10">
        <f> (30-'Salários'!$N364)</f>
        <v>30</v>
      </c>
      <c r="G364" s="12">
        <f t="shared" ref="G364:G367" si="113">(E364*F364)</f>
        <v>0</v>
      </c>
      <c r="H364" s="10"/>
      <c r="I364" s="9"/>
      <c r="J364" s="10"/>
      <c r="K364" s="9"/>
      <c r="L364" s="4"/>
      <c r="M364" s="4"/>
      <c r="N364" s="4"/>
      <c r="O364" s="12">
        <f t="shared" si="112"/>
        <v>0</v>
      </c>
      <c r="P364" s="7"/>
      <c r="Q364" s="7"/>
      <c r="R364" s="7"/>
    </row>
    <row r="365" ht="14.25" customHeight="1">
      <c r="B365" s="4"/>
      <c r="C365" s="114" t="str">
        <f t="shared" si="48"/>
        <v>12-1899</v>
      </c>
      <c r="D365" s="7"/>
      <c r="E365" s="9"/>
      <c r="F365" s="10">
        <f> (30-'Salários'!$N365)</f>
        <v>30</v>
      </c>
      <c r="G365" s="12">
        <f t="shared" si="113"/>
        <v>0</v>
      </c>
      <c r="H365" s="10"/>
      <c r="I365" s="9"/>
      <c r="J365" s="10"/>
      <c r="K365" s="9"/>
      <c r="L365" s="4"/>
      <c r="M365" s="4"/>
      <c r="N365" s="4"/>
      <c r="O365" s="12">
        <f t="shared" si="112"/>
        <v>0</v>
      </c>
      <c r="P365" s="7"/>
      <c r="Q365" s="7"/>
      <c r="R365" s="7"/>
    </row>
    <row r="366" ht="14.25" customHeight="1">
      <c r="B366" s="4"/>
      <c r="C366" s="114" t="str">
        <f t="shared" si="48"/>
        <v>12-1899</v>
      </c>
      <c r="D366" s="7"/>
      <c r="E366" s="9"/>
      <c r="F366" s="10">
        <f> (30-'Salários'!$N366)</f>
        <v>30</v>
      </c>
      <c r="G366" s="12">
        <f t="shared" si="113"/>
        <v>0</v>
      </c>
      <c r="H366" s="10"/>
      <c r="I366" s="9"/>
      <c r="J366" s="10"/>
      <c r="K366" s="9"/>
      <c r="L366" s="4"/>
      <c r="M366" s="4"/>
      <c r="N366" s="4"/>
      <c r="O366" s="12">
        <f t="shared" si="112"/>
        <v>0</v>
      </c>
      <c r="P366" s="7"/>
      <c r="Q366" s="7"/>
      <c r="R366" s="7"/>
    </row>
    <row r="367" ht="14.25" customHeight="1">
      <c r="B367" s="4"/>
      <c r="C367" s="114" t="str">
        <f t="shared" si="48"/>
        <v>12-1899</v>
      </c>
      <c r="D367" s="7"/>
      <c r="E367" s="9"/>
      <c r="F367" s="10">
        <f> (30-'Salários'!$N367)</f>
        <v>30</v>
      </c>
      <c r="G367" s="12">
        <f t="shared" si="113"/>
        <v>0</v>
      </c>
      <c r="H367" s="10"/>
      <c r="I367" s="9"/>
      <c r="J367" s="10"/>
      <c r="K367" s="9"/>
      <c r="L367" s="4"/>
      <c r="M367" s="4"/>
      <c r="N367" s="4"/>
      <c r="O367" s="12">
        <f t="shared" si="112"/>
        <v>0</v>
      </c>
      <c r="P367" s="7"/>
      <c r="Q367" s="7"/>
      <c r="R367" s="7"/>
    </row>
    <row r="368" ht="14.25" customHeight="1">
      <c r="A368" s="116" t="s">
        <v>70</v>
      </c>
      <c r="B368" s="45" t="s">
        <v>18</v>
      </c>
      <c r="C368" s="46" t="str">
        <f t="shared" si="48"/>
        <v>9-2025</v>
      </c>
      <c r="D368" s="117">
        <v>45901.0</v>
      </c>
      <c r="E368" s="47">
        <f>SUM(G368/F368)</f>
        <v>60.49166667</v>
      </c>
      <c r="F368" s="48">
        <f> (30-'Salários'!$N368)</f>
        <v>30</v>
      </c>
      <c r="G368" s="72">
        <v>1814.75</v>
      </c>
      <c r="H368" s="70">
        <v>157.8</v>
      </c>
      <c r="I368" s="47">
        <v>20.0</v>
      </c>
      <c r="J368" s="70">
        <v>7.0</v>
      </c>
      <c r="K368" s="47">
        <v>20.0</v>
      </c>
      <c r="L368" s="71">
        <v>3.0</v>
      </c>
      <c r="M368" s="45"/>
      <c r="N368" s="52"/>
      <c r="O368" s="49">
        <f t="shared" ref="O368:O379" si="114">(G368)+(H368*I368)+(J368*K368)+(L368*100)-(M368)</f>
        <v>5410.75</v>
      </c>
      <c r="P368" s="40"/>
      <c r="Q368" s="40"/>
      <c r="R368" s="4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30"/>
      <c r="B369" s="53" t="s">
        <v>84</v>
      </c>
      <c r="C369" s="46" t="str">
        <f t="shared" si="48"/>
        <v>9-2025</v>
      </c>
      <c r="D369" s="117">
        <v>45901.0</v>
      </c>
      <c r="E369" s="47">
        <v>66.6667</v>
      </c>
      <c r="F369" s="48">
        <f> (30-'Salários'!$N369)</f>
        <v>30</v>
      </c>
      <c r="G369" s="72">
        <v>3000.0</v>
      </c>
      <c r="H369" s="70">
        <v>218.0</v>
      </c>
      <c r="I369" s="67">
        <v>15.0</v>
      </c>
      <c r="J369" s="50"/>
      <c r="K369" s="51"/>
      <c r="L369" s="52"/>
      <c r="M369" s="45"/>
      <c r="N369" s="52"/>
      <c r="O369" s="49">
        <f t="shared" si="114"/>
        <v>6270</v>
      </c>
      <c r="P369" s="40"/>
      <c r="Q369" s="40"/>
      <c r="R369" s="4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30"/>
      <c r="B370" s="53" t="s">
        <v>91</v>
      </c>
      <c r="C370" s="46" t="str">
        <f t="shared" si="48"/>
        <v>9-2025</v>
      </c>
      <c r="D370" s="117">
        <v>45901.0</v>
      </c>
      <c r="E370" s="47">
        <f>SUM(G370/F370)</f>
        <v>150</v>
      </c>
      <c r="F370" s="48">
        <f> (30-'Salários'!$N370)</f>
        <v>30</v>
      </c>
      <c r="G370" s="72">
        <v>4500.0</v>
      </c>
      <c r="H370" s="70">
        <v>177.3</v>
      </c>
      <c r="I370" s="67">
        <v>20.0</v>
      </c>
      <c r="J370" s="50"/>
      <c r="K370" s="47"/>
      <c r="L370" s="52"/>
      <c r="M370" s="53">
        <v>1500.0</v>
      </c>
      <c r="N370" s="52"/>
      <c r="O370" s="49">
        <f t="shared" si="114"/>
        <v>6546</v>
      </c>
      <c r="P370" s="40"/>
      <c r="Q370" s="40"/>
      <c r="R370" s="4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30"/>
      <c r="B371" s="45" t="s">
        <v>26</v>
      </c>
      <c r="C371" s="46" t="str">
        <f t="shared" si="48"/>
        <v>9-2025</v>
      </c>
      <c r="D371" s="117">
        <v>45901.0</v>
      </c>
      <c r="E371" s="47">
        <v>100.0</v>
      </c>
      <c r="F371" s="48">
        <f> (30-'Salários'!$N371)</f>
        <v>30</v>
      </c>
      <c r="G371" s="49">
        <f>(E371*F371)</f>
        <v>3000</v>
      </c>
      <c r="H371" s="70">
        <v>112.2</v>
      </c>
      <c r="I371" s="47">
        <v>20.0</v>
      </c>
      <c r="J371" s="70">
        <v>8.0</v>
      </c>
      <c r="K371" s="47">
        <v>20.0</v>
      </c>
      <c r="L371" s="71">
        <v>2.0</v>
      </c>
      <c r="M371" s="45"/>
      <c r="N371" s="52"/>
      <c r="O371" s="49">
        <f t="shared" si="114"/>
        <v>5604</v>
      </c>
      <c r="P371" s="40"/>
      <c r="Q371" s="40"/>
      <c r="R371" s="4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30"/>
      <c r="B372" s="45" t="s">
        <v>72</v>
      </c>
      <c r="C372" s="45" t="str">
        <f t="shared" si="48"/>
        <v>9-2025</v>
      </c>
      <c r="D372" s="117">
        <v>45901.0</v>
      </c>
      <c r="E372" s="47">
        <f t="shared" ref="E372:E373" si="115">(2000/30)</f>
        <v>66.66666667</v>
      </c>
      <c r="F372" s="48">
        <v>30.0</v>
      </c>
      <c r="G372" s="89">
        <v>3800.0</v>
      </c>
      <c r="H372" s="70">
        <v>222.6</v>
      </c>
      <c r="I372" s="89">
        <v>20.0</v>
      </c>
      <c r="J372" s="50"/>
      <c r="K372" s="51"/>
      <c r="L372" s="52"/>
      <c r="M372" s="53">
        <v>2000.0</v>
      </c>
      <c r="N372" s="52"/>
      <c r="O372" s="49">
        <f t="shared" si="114"/>
        <v>6252</v>
      </c>
      <c r="P372" s="40"/>
      <c r="Q372" s="40"/>
      <c r="R372" s="4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30"/>
      <c r="B373" s="53" t="s">
        <v>92</v>
      </c>
      <c r="C373" s="46" t="str">
        <f t="shared" si="48"/>
        <v>9-2025</v>
      </c>
      <c r="D373" s="117">
        <v>45901.0</v>
      </c>
      <c r="E373" s="47">
        <f t="shared" si="115"/>
        <v>66.66666667</v>
      </c>
      <c r="F373" s="48">
        <f> (30-'Salários'!$N373)</f>
        <v>30</v>
      </c>
      <c r="G373" s="72">
        <v>1375.0</v>
      </c>
      <c r="H373" s="50"/>
      <c r="I373" s="47"/>
      <c r="J373" s="50"/>
      <c r="K373" s="51"/>
      <c r="L373" s="52"/>
      <c r="M373" s="45"/>
      <c r="N373" s="52"/>
      <c r="O373" s="49">
        <f t="shared" si="114"/>
        <v>1375</v>
      </c>
      <c r="P373" s="43" t="s">
        <v>65</v>
      </c>
      <c r="Q373" s="40"/>
      <c r="R373" s="4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30"/>
      <c r="B374" s="45" t="s">
        <v>30</v>
      </c>
      <c r="C374" s="46" t="str">
        <f t="shared" si="48"/>
        <v>9-2025</v>
      </c>
      <c r="D374" s="117">
        <v>45901.0</v>
      </c>
      <c r="E374" s="47">
        <v>175.0</v>
      </c>
      <c r="F374" s="48">
        <f> (30-'Salários'!$N374)</f>
        <v>30</v>
      </c>
      <c r="G374" s="72">
        <v>8000.0</v>
      </c>
      <c r="H374" s="50"/>
      <c r="I374" s="47"/>
      <c r="J374" s="50"/>
      <c r="K374" s="51"/>
      <c r="L374" s="52"/>
      <c r="M374" s="45"/>
      <c r="N374" s="52"/>
      <c r="O374" s="49">
        <f t="shared" si="114"/>
        <v>8000</v>
      </c>
      <c r="P374" s="40"/>
      <c r="Q374" s="40"/>
      <c r="R374" s="4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30"/>
      <c r="B375" s="45" t="s">
        <v>29</v>
      </c>
      <c r="C375" s="46" t="str">
        <f t="shared" si="48"/>
        <v>9-2025</v>
      </c>
      <c r="D375" s="117">
        <v>45901.0</v>
      </c>
      <c r="E375" s="47">
        <f>SUM(G375/F375)</f>
        <v>100</v>
      </c>
      <c r="F375" s="48">
        <f> (30-'Salários'!$N375)</f>
        <v>30</v>
      </c>
      <c r="G375" s="72">
        <v>3000.0</v>
      </c>
      <c r="H375" s="50"/>
      <c r="I375" s="47"/>
      <c r="J375" s="50"/>
      <c r="K375" s="51"/>
      <c r="L375" s="52"/>
      <c r="M375" s="45"/>
      <c r="N375" s="52"/>
      <c r="O375" s="49">
        <f t="shared" si="114"/>
        <v>3000</v>
      </c>
      <c r="P375" s="40"/>
      <c r="Q375" s="40"/>
      <c r="R375" s="4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30"/>
      <c r="B376" s="53" t="s">
        <v>93</v>
      </c>
      <c r="C376" s="46" t="str">
        <f t="shared" si="48"/>
        <v>9-2025</v>
      </c>
      <c r="D376" s="117">
        <v>45901.0</v>
      </c>
      <c r="E376" s="47">
        <v>133.333</v>
      </c>
      <c r="F376" s="48">
        <v>15.0</v>
      </c>
      <c r="G376" s="49"/>
      <c r="H376" s="50"/>
      <c r="I376" s="47"/>
      <c r="J376" s="50"/>
      <c r="K376" s="51"/>
      <c r="L376" s="52"/>
      <c r="M376" s="45"/>
      <c r="N376" s="52"/>
      <c r="O376" s="49">
        <f t="shared" si="114"/>
        <v>0</v>
      </c>
      <c r="P376" s="40"/>
      <c r="Q376" s="40"/>
      <c r="R376" s="4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30"/>
      <c r="B377" s="45" t="s">
        <v>53</v>
      </c>
      <c r="C377" s="46" t="str">
        <f t="shared" si="48"/>
        <v>9-2025</v>
      </c>
      <c r="D377" s="117">
        <v>45901.0</v>
      </c>
      <c r="E377" s="47">
        <v>116.6666</v>
      </c>
      <c r="F377" s="48">
        <f> (30-'Salários'!$N377)</f>
        <v>30</v>
      </c>
      <c r="G377" s="72">
        <v>4000.0</v>
      </c>
      <c r="H377" s="50"/>
      <c r="I377" s="47"/>
      <c r="J377" s="50"/>
      <c r="K377" s="51"/>
      <c r="L377" s="52"/>
      <c r="M377" s="45"/>
      <c r="N377" s="52"/>
      <c r="O377" s="49">
        <f t="shared" si="114"/>
        <v>4000</v>
      </c>
      <c r="P377" s="40"/>
      <c r="Q377" s="40"/>
      <c r="R377" s="4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30"/>
      <c r="B378" s="53" t="s">
        <v>82</v>
      </c>
      <c r="C378" s="45" t="str">
        <f t="shared" si="48"/>
        <v>9-2025</v>
      </c>
      <c r="D378" s="117">
        <v>45901.0</v>
      </c>
      <c r="E378" s="51">
        <f t="shared" ref="E378:E379" si="116">SUM(G378/F378)</f>
        <v>133.3333333</v>
      </c>
      <c r="F378" s="48">
        <f> (30-'Salários'!$N378)</f>
        <v>30</v>
      </c>
      <c r="G378" s="72">
        <v>4000.0</v>
      </c>
      <c r="H378" s="111">
        <v>137.99</v>
      </c>
      <c r="I378" s="72">
        <v>20.0</v>
      </c>
      <c r="J378" s="50"/>
      <c r="K378" s="51"/>
      <c r="L378" s="52"/>
      <c r="M378" s="45"/>
      <c r="N378" s="52"/>
      <c r="O378" s="49">
        <f t="shared" si="114"/>
        <v>6759.8</v>
      </c>
      <c r="P378" s="40"/>
      <c r="Q378" s="40"/>
      <c r="R378" s="4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30"/>
      <c r="B379" s="53" t="s">
        <v>83</v>
      </c>
      <c r="C379" s="45" t="str">
        <f t="shared" si="48"/>
        <v>9-2025</v>
      </c>
      <c r="D379" s="117">
        <v>45901.0</v>
      </c>
      <c r="E379" s="51">
        <f t="shared" si="116"/>
        <v>100</v>
      </c>
      <c r="F379" s="48">
        <f> (30-'Salários'!$N379)</f>
        <v>30</v>
      </c>
      <c r="G379" s="72">
        <v>3000.0</v>
      </c>
      <c r="H379" s="112"/>
      <c r="I379" s="49"/>
      <c r="J379" s="50"/>
      <c r="K379" s="51"/>
      <c r="L379" s="52"/>
      <c r="M379" s="45"/>
      <c r="N379" s="52"/>
      <c r="O379" s="49">
        <f t="shared" si="114"/>
        <v>3000</v>
      </c>
      <c r="P379" s="43" t="s">
        <v>94</v>
      </c>
      <c r="Q379" s="40"/>
      <c r="R379" s="4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30"/>
      <c r="B380" s="1" t="s">
        <v>89</v>
      </c>
      <c r="C380" s="31" t="str">
        <f t="shared" si="48"/>
        <v>9-2025</v>
      </c>
      <c r="D380" s="117">
        <v>45901.0</v>
      </c>
      <c r="E380" s="37"/>
      <c r="F380" s="41">
        <f> (30-'Salários'!$N380)</f>
        <v>30</v>
      </c>
      <c r="G380" s="36">
        <v>2500.0</v>
      </c>
      <c r="H380" s="41"/>
      <c r="I380" s="37"/>
      <c r="J380" s="41"/>
      <c r="K380" s="37"/>
      <c r="L380" s="31"/>
      <c r="M380" s="31"/>
      <c r="N380" s="31"/>
      <c r="O380" s="39">
        <f t="shared" ref="O380:O415" si="117">(G380)+(H380*I380)+(J380*K380)+(L380*100)-(M380)</f>
        <v>2500</v>
      </c>
      <c r="P380" s="40"/>
      <c r="Q380" s="40"/>
      <c r="R380" s="4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30"/>
      <c r="B381" s="1" t="s">
        <v>95</v>
      </c>
      <c r="C381" s="31" t="str">
        <f t="shared" si="48"/>
        <v>9-2025</v>
      </c>
      <c r="D381" s="117">
        <v>45901.0</v>
      </c>
      <c r="E381" s="37"/>
      <c r="F381" s="41">
        <f> (30-'Salários'!$N381)</f>
        <v>30</v>
      </c>
      <c r="G381" s="36"/>
      <c r="H381" s="41"/>
      <c r="I381" s="34">
        <v>25.0</v>
      </c>
      <c r="J381" s="41"/>
      <c r="K381" s="37"/>
      <c r="L381" s="31"/>
      <c r="M381" s="31"/>
      <c r="N381" s="31"/>
      <c r="O381" s="39">
        <f t="shared" si="117"/>
        <v>0</v>
      </c>
      <c r="P381" s="43" t="s">
        <v>96</v>
      </c>
      <c r="Q381" s="40"/>
      <c r="R381" s="4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30"/>
      <c r="B382" s="1" t="s">
        <v>97</v>
      </c>
      <c r="C382" s="31" t="str">
        <f t="shared" si="48"/>
        <v>8-2025</v>
      </c>
      <c r="D382" s="87">
        <v>45870.0</v>
      </c>
      <c r="E382" s="37"/>
      <c r="F382" s="41">
        <f> (30-'Salários'!$N382)</f>
        <v>30</v>
      </c>
      <c r="G382" s="39">
        <f t="shared" ref="G382:G385" si="118">(E382*F382)</f>
        <v>0</v>
      </c>
      <c r="H382" s="35">
        <v>140.79</v>
      </c>
      <c r="I382" s="34">
        <v>40.0</v>
      </c>
      <c r="J382" s="41"/>
      <c r="K382" s="37"/>
      <c r="L382" s="31"/>
      <c r="M382" s="31"/>
      <c r="N382" s="31"/>
      <c r="O382" s="39">
        <f t="shared" si="117"/>
        <v>5631.6</v>
      </c>
      <c r="P382" s="40"/>
      <c r="Q382" s="40"/>
      <c r="R382" s="4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B383" s="4"/>
      <c r="C383" s="114" t="str">
        <f t="shared" si="48"/>
        <v>12-1899</v>
      </c>
      <c r="D383" s="7"/>
      <c r="E383" s="9"/>
      <c r="F383" s="10">
        <f> (30-'Salários'!$N383)</f>
        <v>30</v>
      </c>
      <c r="G383" s="12">
        <f t="shared" si="118"/>
        <v>0</v>
      </c>
      <c r="H383" s="10"/>
      <c r="I383" s="9"/>
      <c r="J383" s="10"/>
      <c r="K383" s="9"/>
      <c r="L383" s="4"/>
      <c r="M383" s="4"/>
      <c r="N383" s="4"/>
      <c r="O383" s="12">
        <f t="shared" si="117"/>
        <v>0</v>
      </c>
      <c r="P383" s="7"/>
      <c r="Q383" s="7"/>
      <c r="R383" s="7"/>
    </row>
    <row r="384" ht="14.25" customHeight="1">
      <c r="B384" s="4"/>
      <c r="C384" s="114" t="str">
        <f t="shared" si="48"/>
        <v>12-1899</v>
      </c>
      <c r="D384" s="7"/>
      <c r="E384" s="9"/>
      <c r="F384" s="10">
        <f> (30-'Salários'!$N384)</f>
        <v>30</v>
      </c>
      <c r="G384" s="12">
        <f t="shared" si="118"/>
        <v>0</v>
      </c>
      <c r="H384" s="10"/>
      <c r="I384" s="9"/>
      <c r="J384" s="10"/>
      <c r="K384" s="9"/>
      <c r="L384" s="4"/>
      <c r="M384" s="4"/>
      <c r="N384" s="4"/>
      <c r="O384" s="12">
        <f t="shared" si="117"/>
        <v>0</v>
      </c>
      <c r="P384" s="7"/>
      <c r="Q384" s="7"/>
      <c r="R384" s="7"/>
    </row>
    <row r="385" ht="14.25" customHeight="1">
      <c r="B385" s="55"/>
      <c r="C385" s="114" t="str">
        <f t="shared" si="48"/>
        <v>12-1899</v>
      </c>
      <c r="D385" s="7"/>
      <c r="E385" s="9"/>
      <c r="F385" s="10">
        <f> (30-'Salários'!$N385)</f>
        <v>30</v>
      </c>
      <c r="G385" s="12">
        <f t="shared" si="118"/>
        <v>0</v>
      </c>
      <c r="H385" s="10"/>
      <c r="I385" s="9"/>
      <c r="J385" s="10"/>
      <c r="K385" s="9"/>
      <c r="L385" s="4"/>
      <c r="M385" s="4"/>
      <c r="N385" s="4"/>
      <c r="O385" s="12">
        <f t="shared" si="117"/>
        <v>0</v>
      </c>
      <c r="P385" s="7"/>
      <c r="Q385" s="7"/>
      <c r="R385" s="7"/>
    </row>
    <row r="386" ht="14.25" customHeight="1">
      <c r="A386" s="30"/>
      <c r="B386" s="45" t="s">
        <v>18</v>
      </c>
      <c r="C386" s="31" t="str">
        <f t="shared" si="48"/>
        <v>10-2025</v>
      </c>
      <c r="D386" s="117">
        <v>45935.0</v>
      </c>
      <c r="E386" s="47">
        <f>SUM(G386/F386)</f>
        <v>60.49166667</v>
      </c>
      <c r="F386" s="48">
        <f> (30-'Salários'!$N386)</f>
        <v>30</v>
      </c>
      <c r="G386" s="72">
        <v>1814.75</v>
      </c>
      <c r="H386" s="70">
        <v>252.0</v>
      </c>
      <c r="I386" s="47">
        <v>20.0</v>
      </c>
      <c r="J386" s="35">
        <v>18.0</v>
      </c>
      <c r="K386" s="34">
        <v>20.0</v>
      </c>
      <c r="L386" s="1">
        <v>4.0</v>
      </c>
      <c r="M386" s="31"/>
      <c r="N386" s="31"/>
      <c r="O386" s="39">
        <f t="shared" si="117"/>
        <v>7614.75</v>
      </c>
      <c r="P386" s="40"/>
      <c r="Q386" s="40"/>
      <c r="R386" s="4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30"/>
      <c r="B387" s="53"/>
      <c r="C387" s="31" t="str">
        <f t="shared" si="48"/>
        <v>10-2025</v>
      </c>
      <c r="D387" s="117">
        <v>45935.0</v>
      </c>
      <c r="E387" s="47">
        <v>66.6667</v>
      </c>
      <c r="F387" s="48">
        <f> (30-'Salários'!$N387)</f>
        <v>30</v>
      </c>
      <c r="G387" s="72">
        <v>3000.0</v>
      </c>
      <c r="H387" s="70"/>
      <c r="I387" s="67"/>
      <c r="J387" s="41"/>
      <c r="K387" s="37"/>
      <c r="L387" s="31"/>
      <c r="M387" s="31"/>
      <c r="N387" s="31"/>
      <c r="O387" s="39">
        <f t="shared" si="117"/>
        <v>3000</v>
      </c>
      <c r="P387" s="40"/>
      <c r="Q387" s="40"/>
      <c r="R387" s="4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30"/>
      <c r="B388" s="53" t="s">
        <v>91</v>
      </c>
      <c r="C388" s="31" t="str">
        <f t="shared" si="48"/>
        <v>10-2025</v>
      </c>
      <c r="D388" s="117">
        <v>45935.0</v>
      </c>
      <c r="E388" s="47">
        <f>SUM(G388/F388)</f>
        <v>150</v>
      </c>
      <c r="F388" s="48">
        <f> (30-'Salários'!$N388)</f>
        <v>30</v>
      </c>
      <c r="G388" s="72">
        <v>4500.0</v>
      </c>
      <c r="H388" s="70">
        <v>250.1</v>
      </c>
      <c r="I388" s="67">
        <v>20.0</v>
      </c>
      <c r="J388" s="41"/>
      <c r="K388" s="37"/>
      <c r="L388" s="31"/>
      <c r="M388" s="1">
        <v>1500.0</v>
      </c>
      <c r="N388" s="31"/>
      <c r="O388" s="39">
        <f t="shared" si="117"/>
        <v>8002</v>
      </c>
      <c r="P388" s="40"/>
      <c r="Q388" s="40"/>
      <c r="R388" s="4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30"/>
      <c r="B389" s="45" t="s">
        <v>26</v>
      </c>
      <c r="C389" s="31" t="str">
        <f t="shared" si="48"/>
        <v>10-2025</v>
      </c>
      <c r="D389" s="117">
        <v>45935.0</v>
      </c>
      <c r="E389" s="47">
        <v>100.0</v>
      </c>
      <c r="F389" s="48">
        <f> (30-'Salários'!$N389)</f>
        <v>30</v>
      </c>
      <c r="G389" s="49">
        <f>(E389*F389)</f>
        <v>3000</v>
      </c>
      <c r="H389" s="70">
        <v>175.3</v>
      </c>
      <c r="I389" s="47">
        <v>20.0</v>
      </c>
      <c r="J389" s="35">
        <v>23.4</v>
      </c>
      <c r="K389" s="34">
        <v>20.0</v>
      </c>
      <c r="L389" s="31"/>
      <c r="M389" s="31"/>
      <c r="N389" s="31"/>
      <c r="O389" s="39">
        <f t="shared" si="117"/>
        <v>6974</v>
      </c>
      <c r="P389" s="40"/>
      <c r="Q389" s="40"/>
      <c r="R389" s="4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30"/>
      <c r="B390" s="45" t="s">
        <v>72</v>
      </c>
      <c r="C390" s="31" t="str">
        <f t="shared" si="48"/>
        <v>10-2025</v>
      </c>
      <c r="D390" s="117">
        <v>45935.0</v>
      </c>
      <c r="E390" s="47">
        <f t="shared" ref="E390:E391" si="119">(2000/30)</f>
        <v>66.66666667</v>
      </c>
      <c r="F390" s="48">
        <v>30.0</v>
      </c>
      <c r="G390" s="89">
        <v>3800.0</v>
      </c>
      <c r="H390" s="70">
        <v>215.3</v>
      </c>
      <c r="I390" s="89">
        <v>20.0</v>
      </c>
      <c r="J390" s="41"/>
      <c r="K390" s="37"/>
      <c r="L390" s="31"/>
      <c r="M390" s="1">
        <v>1000.0</v>
      </c>
      <c r="N390" s="31"/>
      <c r="O390" s="39">
        <f t="shared" si="117"/>
        <v>7106</v>
      </c>
      <c r="P390" s="40"/>
      <c r="Q390" s="40"/>
      <c r="R390" s="4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30"/>
      <c r="B391" s="53" t="s">
        <v>98</v>
      </c>
      <c r="C391" s="31" t="str">
        <f t="shared" si="48"/>
        <v>10-2025</v>
      </c>
      <c r="D391" s="117">
        <v>45935.0</v>
      </c>
      <c r="E391" s="47">
        <f t="shared" si="119"/>
        <v>66.66666667</v>
      </c>
      <c r="F391" s="48">
        <f> (30-'Salários'!$N391)</f>
        <v>30</v>
      </c>
      <c r="G391" s="49"/>
      <c r="H391" s="50"/>
      <c r="I391" s="47"/>
      <c r="J391" s="41"/>
      <c r="K391" s="37"/>
      <c r="L391" s="31"/>
      <c r="M391" s="31"/>
      <c r="N391" s="31"/>
      <c r="O391" s="39">
        <f t="shared" si="117"/>
        <v>0</v>
      </c>
      <c r="P391" s="40"/>
      <c r="Q391" s="40"/>
      <c r="R391" s="4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30"/>
      <c r="B392" s="45" t="s">
        <v>30</v>
      </c>
      <c r="C392" s="31" t="str">
        <f t="shared" si="48"/>
        <v>10-2025</v>
      </c>
      <c r="D392" s="117">
        <v>45935.0</v>
      </c>
      <c r="E392" s="47">
        <v>175.0</v>
      </c>
      <c r="F392" s="48">
        <f> (30-'Salários'!$N392)</f>
        <v>30</v>
      </c>
      <c r="G392" s="72">
        <v>8000.0</v>
      </c>
      <c r="H392" s="50"/>
      <c r="I392" s="47"/>
      <c r="J392" s="41"/>
      <c r="K392" s="37"/>
      <c r="L392" s="31"/>
      <c r="M392" s="31"/>
      <c r="N392" s="31"/>
      <c r="O392" s="39">
        <f t="shared" si="117"/>
        <v>8000</v>
      </c>
      <c r="P392" s="40"/>
      <c r="Q392" s="40"/>
      <c r="R392" s="4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30"/>
      <c r="B393" s="45" t="s">
        <v>29</v>
      </c>
      <c r="C393" s="31" t="str">
        <f t="shared" si="48"/>
        <v>10-2025</v>
      </c>
      <c r="D393" s="117">
        <v>45935.0</v>
      </c>
      <c r="E393" s="47">
        <f>SUM(G393/F393)</f>
        <v>100</v>
      </c>
      <c r="F393" s="48">
        <f> (30-'Salários'!$N393)</f>
        <v>30</v>
      </c>
      <c r="G393" s="72">
        <v>3000.0</v>
      </c>
      <c r="H393" s="50"/>
      <c r="I393" s="47"/>
      <c r="J393" s="41"/>
      <c r="K393" s="37"/>
      <c r="L393" s="31"/>
      <c r="M393" s="31"/>
      <c r="N393" s="31"/>
      <c r="O393" s="39">
        <f t="shared" si="117"/>
        <v>3000</v>
      </c>
      <c r="P393" s="40"/>
      <c r="Q393" s="40"/>
      <c r="R393" s="4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30"/>
      <c r="B394" s="53" t="s">
        <v>99</v>
      </c>
      <c r="C394" s="31" t="str">
        <f t="shared" si="48"/>
        <v>10-2025</v>
      </c>
      <c r="D394" s="117">
        <v>45935.0</v>
      </c>
      <c r="E394" s="47"/>
      <c r="F394" s="48"/>
      <c r="G394" s="49"/>
      <c r="H394" s="50"/>
      <c r="I394" s="47"/>
      <c r="J394" s="41"/>
      <c r="K394" s="37"/>
      <c r="L394" s="31"/>
      <c r="M394" s="31"/>
      <c r="N394" s="31"/>
      <c r="O394" s="39">
        <f t="shared" si="117"/>
        <v>0</v>
      </c>
      <c r="P394" s="40"/>
      <c r="Q394" s="40"/>
      <c r="R394" s="4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30"/>
      <c r="B395" s="45" t="s">
        <v>53</v>
      </c>
      <c r="C395" s="31" t="str">
        <f t="shared" si="48"/>
        <v>10-2025</v>
      </c>
      <c r="D395" s="117">
        <v>45935.0</v>
      </c>
      <c r="E395" s="47">
        <v>116.6666</v>
      </c>
      <c r="F395" s="48">
        <f> (30-'Salários'!$N395)</f>
        <v>30</v>
      </c>
      <c r="G395" s="72">
        <v>4000.0</v>
      </c>
      <c r="H395" s="50"/>
      <c r="I395" s="47"/>
      <c r="J395" s="41"/>
      <c r="K395" s="37"/>
      <c r="L395" s="31"/>
      <c r="M395" s="31"/>
      <c r="N395" s="31"/>
      <c r="O395" s="39">
        <f t="shared" si="117"/>
        <v>4000</v>
      </c>
      <c r="P395" s="40"/>
      <c r="Q395" s="40"/>
      <c r="R395" s="4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30"/>
      <c r="B396" s="53" t="s">
        <v>82</v>
      </c>
      <c r="C396" s="31" t="str">
        <f t="shared" si="48"/>
        <v>10-2025</v>
      </c>
      <c r="D396" s="117">
        <v>45935.0</v>
      </c>
      <c r="E396" s="51">
        <f t="shared" ref="E396:E397" si="120">SUM(G396/F396)</f>
        <v>133.3333333</v>
      </c>
      <c r="F396" s="48">
        <f> (30-'Salários'!$N396)</f>
        <v>30</v>
      </c>
      <c r="G396" s="72">
        <v>4000.0</v>
      </c>
      <c r="H396" s="111">
        <v>196.04</v>
      </c>
      <c r="I396" s="72">
        <v>20.0</v>
      </c>
      <c r="J396" s="41"/>
      <c r="K396" s="37"/>
      <c r="L396" s="31"/>
      <c r="M396" s="31"/>
      <c r="N396" s="31"/>
      <c r="O396" s="39">
        <f t="shared" si="117"/>
        <v>7920.8</v>
      </c>
      <c r="P396" s="40"/>
      <c r="Q396" s="40"/>
      <c r="R396" s="4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30"/>
      <c r="B397" s="53" t="s">
        <v>83</v>
      </c>
      <c r="C397" s="31" t="str">
        <f t="shared" si="48"/>
        <v>10-2025</v>
      </c>
      <c r="D397" s="117">
        <v>45935.0</v>
      </c>
      <c r="E397" s="51">
        <f t="shared" si="120"/>
        <v>100</v>
      </c>
      <c r="F397" s="48">
        <f> (30-'Salários'!$N397)</f>
        <v>30</v>
      </c>
      <c r="G397" s="72">
        <v>3000.0</v>
      </c>
      <c r="H397" s="112"/>
      <c r="I397" s="49"/>
      <c r="J397" s="41"/>
      <c r="K397" s="37"/>
      <c r="L397" s="31"/>
      <c r="M397" s="31"/>
      <c r="N397" s="31"/>
      <c r="O397" s="39">
        <f t="shared" si="117"/>
        <v>3000</v>
      </c>
      <c r="P397" s="40"/>
      <c r="Q397" s="40"/>
      <c r="R397" s="4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30"/>
      <c r="B398" s="1" t="s">
        <v>89</v>
      </c>
      <c r="C398" s="31" t="str">
        <f t="shared" si="48"/>
        <v>10-2025</v>
      </c>
      <c r="D398" s="117">
        <v>45935.0</v>
      </c>
      <c r="E398" s="37"/>
      <c r="F398" s="41">
        <f> (30-'Salários'!$N398)</f>
        <v>30</v>
      </c>
      <c r="G398" s="36">
        <v>2500.0</v>
      </c>
      <c r="H398" s="41"/>
      <c r="I398" s="37"/>
      <c r="J398" s="41"/>
      <c r="K398" s="37"/>
      <c r="L398" s="31"/>
      <c r="M398" s="31"/>
      <c r="N398" s="31"/>
      <c r="O398" s="39">
        <f t="shared" si="117"/>
        <v>2500</v>
      </c>
      <c r="P398" s="40"/>
      <c r="Q398" s="40"/>
      <c r="R398" s="4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30"/>
      <c r="B399" s="1" t="s">
        <v>51</v>
      </c>
      <c r="C399" s="31" t="str">
        <f t="shared" si="48"/>
        <v>10-2025</v>
      </c>
      <c r="D399" s="117">
        <v>45935.0</v>
      </c>
      <c r="E399" s="37"/>
      <c r="F399" s="41">
        <f> (30-'Salários'!$N399)</f>
        <v>30</v>
      </c>
      <c r="G399" s="39">
        <f t="shared" ref="G399:G403" si="121">(E399*F399)</f>
        <v>0</v>
      </c>
      <c r="H399" s="35">
        <v>225.0</v>
      </c>
      <c r="I399" s="37"/>
      <c r="J399" s="41"/>
      <c r="K399" s="37"/>
      <c r="L399" s="31"/>
      <c r="M399" s="31"/>
      <c r="N399" s="31"/>
      <c r="O399" s="39">
        <f t="shared" si="117"/>
        <v>0</v>
      </c>
      <c r="P399" s="40"/>
      <c r="Q399" s="40"/>
      <c r="R399" s="4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B400" s="4"/>
      <c r="C400" s="114" t="str">
        <f t="shared" si="48"/>
        <v>12-1899</v>
      </c>
      <c r="D400" s="7"/>
      <c r="E400" s="9"/>
      <c r="F400" s="10">
        <f> (30-'Salários'!$N400)</f>
        <v>30</v>
      </c>
      <c r="G400" s="12">
        <f t="shared" si="121"/>
        <v>0</v>
      </c>
      <c r="H400" s="10"/>
      <c r="I400" s="9"/>
      <c r="J400" s="10"/>
      <c r="K400" s="9"/>
      <c r="L400" s="4"/>
      <c r="M400" s="4"/>
      <c r="N400" s="4"/>
      <c r="O400" s="12">
        <f t="shared" si="117"/>
        <v>0</v>
      </c>
      <c r="P400" s="7"/>
      <c r="Q400" s="7"/>
      <c r="R400" s="7"/>
    </row>
    <row r="401" ht="14.25" customHeight="1">
      <c r="B401" s="4"/>
      <c r="C401" s="114" t="str">
        <f t="shared" si="48"/>
        <v>12-1899</v>
      </c>
      <c r="D401" s="7"/>
      <c r="E401" s="9"/>
      <c r="F401" s="10">
        <f> (30-'Salários'!$N401)</f>
        <v>30</v>
      </c>
      <c r="G401" s="12">
        <f t="shared" si="121"/>
        <v>0</v>
      </c>
      <c r="H401" s="10"/>
      <c r="I401" s="9"/>
      <c r="J401" s="10"/>
      <c r="K401" s="9"/>
      <c r="L401" s="4"/>
      <c r="M401" s="4"/>
      <c r="N401" s="4"/>
      <c r="O401" s="12">
        <f t="shared" si="117"/>
        <v>0</v>
      </c>
      <c r="P401" s="7"/>
      <c r="Q401" s="7"/>
      <c r="R401" s="7"/>
    </row>
    <row r="402" ht="14.25" customHeight="1">
      <c r="B402" s="4"/>
      <c r="C402" s="114" t="str">
        <f t="shared" si="48"/>
        <v>12-1899</v>
      </c>
      <c r="D402" s="7"/>
      <c r="E402" s="9"/>
      <c r="F402" s="10">
        <f> (30-'Salários'!$N402)</f>
        <v>30</v>
      </c>
      <c r="G402" s="12">
        <f t="shared" si="121"/>
        <v>0</v>
      </c>
      <c r="H402" s="10"/>
      <c r="I402" s="9"/>
      <c r="J402" s="10"/>
      <c r="K402" s="9"/>
      <c r="L402" s="4"/>
      <c r="M402" s="4"/>
      <c r="N402" s="4"/>
      <c r="O402" s="12">
        <f t="shared" si="117"/>
        <v>0</v>
      </c>
      <c r="P402" s="7"/>
      <c r="Q402" s="7"/>
      <c r="R402" s="7"/>
    </row>
    <row r="403" ht="14.25" customHeight="1">
      <c r="B403" s="4"/>
      <c r="C403" s="114" t="str">
        <f t="shared" si="48"/>
        <v>12-1899</v>
      </c>
      <c r="D403" s="7"/>
      <c r="E403" s="9"/>
      <c r="F403" s="10">
        <f> (30-'Salários'!$N403)</f>
        <v>30</v>
      </c>
      <c r="G403" s="12">
        <f t="shared" si="121"/>
        <v>0</v>
      </c>
      <c r="H403" s="10"/>
      <c r="I403" s="9"/>
      <c r="J403" s="10"/>
      <c r="K403" s="9"/>
      <c r="L403" s="4"/>
      <c r="M403" s="4"/>
      <c r="N403" s="4"/>
      <c r="O403" s="12">
        <f t="shared" si="117"/>
        <v>0</v>
      </c>
      <c r="P403" s="7"/>
      <c r="Q403" s="7"/>
      <c r="R403" s="7"/>
    </row>
    <row r="404" ht="14.25" customHeight="1">
      <c r="A404" s="30"/>
      <c r="B404" s="45" t="s">
        <v>18</v>
      </c>
      <c r="C404" s="31" t="str">
        <f t="shared" si="48"/>
        <v>11-2025</v>
      </c>
      <c r="D404" s="117">
        <v>45966.0</v>
      </c>
      <c r="E404" s="47">
        <f>SUM(G404/F404)</f>
        <v>80.49166667</v>
      </c>
      <c r="F404" s="48">
        <f> (30-'Salários'!$N404)</f>
        <v>30</v>
      </c>
      <c r="G404" s="72">
        <v>2414.75</v>
      </c>
      <c r="H404" s="70">
        <v>211.0</v>
      </c>
      <c r="I404" s="47">
        <v>20.0</v>
      </c>
      <c r="J404" s="35">
        <v>10.0</v>
      </c>
      <c r="K404" s="34">
        <v>20.0</v>
      </c>
      <c r="L404" s="1">
        <v>3.0</v>
      </c>
      <c r="M404" s="1">
        <v>700.0</v>
      </c>
      <c r="N404" s="31"/>
      <c r="O404" s="39">
        <f t="shared" si="117"/>
        <v>6434.75</v>
      </c>
      <c r="P404" s="40"/>
      <c r="Q404" s="40"/>
      <c r="R404" s="4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30"/>
      <c r="B405" s="53" t="s">
        <v>100</v>
      </c>
      <c r="C405" s="31" t="str">
        <f t="shared" si="48"/>
        <v>11-2025</v>
      </c>
      <c r="D405" s="117">
        <v>45966.0</v>
      </c>
      <c r="E405" s="47">
        <v>66.6667</v>
      </c>
      <c r="F405" s="48">
        <f> (30-'Salários'!$N405)</f>
        <v>30</v>
      </c>
      <c r="G405" s="72">
        <v>3000.0</v>
      </c>
      <c r="H405" s="70">
        <v>121.5</v>
      </c>
      <c r="I405" s="67">
        <v>15.0</v>
      </c>
      <c r="J405" s="35"/>
      <c r="K405" s="34"/>
      <c r="L405" s="31"/>
      <c r="M405" s="31"/>
      <c r="N405" s="31"/>
      <c r="O405" s="39">
        <f t="shared" si="117"/>
        <v>4822.5</v>
      </c>
      <c r="P405" s="40"/>
      <c r="Q405" s="40"/>
      <c r="R405" s="4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30"/>
      <c r="B406" s="53" t="s">
        <v>91</v>
      </c>
      <c r="C406" s="31" t="str">
        <f t="shared" si="48"/>
        <v>11-2025</v>
      </c>
      <c r="D406" s="117">
        <v>45966.0</v>
      </c>
      <c r="E406" s="47">
        <f>SUM(G406/F406)</f>
        <v>150</v>
      </c>
      <c r="F406" s="48">
        <f> (30-'Salários'!$N406)</f>
        <v>30</v>
      </c>
      <c r="G406" s="72">
        <v>4500.0</v>
      </c>
      <c r="H406" s="70">
        <v>249.9</v>
      </c>
      <c r="I406" s="67">
        <v>20.0</v>
      </c>
      <c r="J406" s="41"/>
      <c r="K406" s="37"/>
      <c r="L406" s="31"/>
      <c r="M406" s="1">
        <v>1500.0</v>
      </c>
      <c r="N406" s="31"/>
      <c r="O406" s="39">
        <f t="shared" si="117"/>
        <v>7998</v>
      </c>
      <c r="P406" s="40"/>
      <c r="Q406" s="40"/>
      <c r="R406" s="4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30"/>
      <c r="B407" s="45" t="s">
        <v>26</v>
      </c>
      <c r="C407" s="31" t="str">
        <f t="shared" si="48"/>
        <v>11-2025</v>
      </c>
      <c r="D407" s="117">
        <v>45966.0</v>
      </c>
      <c r="E407" s="47">
        <v>100.0</v>
      </c>
      <c r="F407" s="83">
        <v>30.0</v>
      </c>
      <c r="G407" s="49">
        <f>(E407*F407)</f>
        <v>3000</v>
      </c>
      <c r="H407" s="70">
        <v>165.6</v>
      </c>
      <c r="I407" s="47">
        <v>20.0</v>
      </c>
      <c r="J407" s="35">
        <v>5.2</v>
      </c>
      <c r="K407" s="34">
        <v>20.0</v>
      </c>
      <c r="L407" s="1">
        <v>2.0</v>
      </c>
      <c r="M407" s="31"/>
      <c r="N407" s="31"/>
      <c r="O407" s="39">
        <f t="shared" si="117"/>
        <v>6616</v>
      </c>
      <c r="P407" s="40"/>
      <c r="Q407" s="40"/>
      <c r="R407" s="4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30"/>
      <c r="B408" s="45" t="s">
        <v>72</v>
      </c>
      <c r="C408" s="31" t="str">
        <f t="shared" si="48"/>
        <v>11-2025</v>
      </c>
      <c r="D408" s="117">
        <v>45966.0</v>
      </c>
      <c r="E408" s="47">
        <f t="shared" ref="E408:E409" si="122">(2000/30)</f>
        <v>66.66666667</v>
      </c>
      <c r="F408" s="48">
        <v>30.0</v>
      </c>
      <c r="G408" s="89">
        <v>3800.0</v>
      </c>
      <c r="H408" s="70">
        <v>254.0</v>
      </c>
      <c r="I408" s="89">
        <v>20.0</v>
      </c>
      <c r="J408" s="41"/>
      <c r="K408" s="37"/>
      <c r="L408" s="31"/>
      <c r="M408" s="31"/>
      <c r="N408" s="31"/>
      <c r="O408" s="39">
        <f t="shared" si="117"/>
        <v>8880</v>
      </c>
      <c r="P408" s="40"/>
      <c r="Q408" s="40"/>
      <c r="R408" s="4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30"/>
      <c r="B409" s="53" t="s">
        <v>98</v>
      </c>
      <c r="C409" s="31" t="str">
        <f t="shared" si="48"/>
        <v>11-2025</v>
      </c>
      <c r="D409" s="117">
        <v>45966.0</v>
      </c>
      <c r="E409" s="47">
        <f t="shared" si="122"/>
        <v>66.66666667</v>
      </c>
      <c r="F409" s="48">
        <f> (30-'Salários'!$N409)</f>
        <v>30</v>
      </c>
      <c r="G409" s="49"/>
      <c r="H409" s="50"/>
      <c r="I409" s="47"/>
      <c r="J409" s="41"/>
      <c r="K409" s="37"/>
      <c r="L409" s="31"/>
      <c r="M409" s="31"/>
      <c r="N409" s="31"/>
      <c r="O409" s="39">
        <f t="shared" si="117"/>
        <v>0</v>
      </c>
      <c r="P409" s="40"/>
      <c r="Q409" s="40"/>
      <c r="R409" s="4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30"/>
      <c r="B410" s="45" t="s">
        <v>30</v>
      </c>
      <c r="C410" s="31" t="str">
        <f t="shared" si="48"/>
        <v>11-2025</v>
      </c>
      <c r="D410" s="117">
        <v>45966.0</v>
      </c>
      <c r="E410" s="47">
        <v>175.0</v>
      </c>
      <c r="F410" s="48">
        <f> (30-'Salários'!$N410)</f>
        <v>30</v>
      </c>
      <c r="G410" s="72">
        <v>6500.0</v>
      </c>
      <c r="H410" s="50"/>
      <c r="I410" s="47"/>
      <c r="J410" s="41"/>
      <c r="K410" s="37"/>
      <c r="L410" s="31"/>
      <c r="M410" s="31"/>
      <c r="N410" s="31"/>
      <c r="O410" s="39">
        <f t="shared" si="117"/>
        <v>6500</v>
      </c>
      <c r="P410" s="40"/>
      <c r="Q410" s="40"/>
      <c r="R410" s="4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30"/>
      <c r="B411" s="45" t="s">
        <v>29</v>
      </c>
      <c r="C411" s="31" t="str">
        <f t="shared" si="48"/>
        <v>11-2025</v>
      </c>
      <c r="D411" s="117">
        <v>45966.0</v>
      </c>
      <c r="E411" s="47">
        <f>SUM(G411/F411)</f>
        <v>100</v>
      </c>
      <c r="F411" s="48">
        <f> (30-'Salários'!$N411)</f>
        <v>30</v>
      </c>
      <c r="G411" s="72">
        <v>3000.0</v>
      </c>
      <c r="H411" s="50"/>
      <c r="I411" s="47"/>
      <c r="J411" s="41"/>
      <c r="K411" s="37"/>
      <c r="L411" s="31"/>
      <c r="M411" s="31"/>
      <c r="N411" s="31"/>
      <c r="O411" s="39">
        <f t="shared" si="117"/>
        <v>3000</v>
      </c>
      <c r="P411" s="40"/>
      <c r="Q411" s="40"/>
      <c r="R411" s="4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30"/>
      <c r="B412" s="53" t="s">
        <v>99</v>
      </c>
      <c r="C412" s="31" t="str">
        <f t="shared" si="48"/>
        <v>11-2025</v>
      </c>
      <c r="D412" s="117">
        <v>45966.0</v>
      </c>
      <c r="E412" s="47"/>
      <c r="F412" s="48"/>
      <c r="G412" s="49"/>
      <c r="H412" s="50"/>
      <c r="I412" s="47"/>
      <c r="J412" s="41"/>
      <c r="K412" s="37"/>
      <c r="L412" s="31"/>
      <c r="M412" s="31"/>
      <c r="N412" s="31"/>
      <c r="O412" s="39">
        <f t="shared" si="117"/>
        <v>0</v>
      </c>
      <c r="P412" s="40"/>
      <c r="Q412" s="40"/>
      <c r="R412" s="4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30"/>
      <c r="B413" s="45" t="s">
        <v>53</v>
      </c>
      <c r="C413" s="31" t="str">
        <f t="shared" si="48"/>
        <v>11-2025</v>
      </c>
      <c r="D413" s="117">
        <v>45966.0</v>
      </c>
      <c r="E413" s="47">
        <v>116.6666</v>
      </c>
      <c r="F413" s="48">
        <f> (30-'Salários'!$N413)</f>
        <v>30</v>
      </c>
      <c r="G413" s="72">
        <v>4000.0</v>
      </c>
      <c r="H413" s="50"/>
      <c r="I413" s="47"/>
      <c r="J413" s="41"/>
      <c r="K413" s="37"/>
      <c r="L413" s="31"/>
      <c r="M413" s="31"/>
      <c r="N413" s="31"/>
      <c r="O413" s="39">
        <f t="shared" si="117"/>
        <v>4000</v>
      </c>
      <c r="P413" s="40"/>
      <c r="Q413" s="40"/>
      <c r="R413" s="4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30"/>
      <c r="B414" s="53" t="s">
        <v>82</v>
      </c>
      <c r="C414" s="31" t="str">
        <f t="shared" si="48"/>
        <v>11-2025</v>
      </c>
      <c r="D414" s="117">
        <v>45966.0</v>
      </c>
      <c r="E414" s="51">
        <f>SUM(G414/F414)</f>
        <v>133.3333333</v>
      </c>
      <c r="F414" s="48">
        <f> (30-'Salários'!$N414)</f>
        <v>30</v>
      </c>
      <c r="G414" s="72">
        <v>4000.0</v>
      </c>
      <c r="H414" s="111" t="s">
        <v>101</v>
      </c>
      <c r="I414" s="72">
        <v>20.0</v>
      </c>
      <c r="J414" s="41"/>
      <c r="K414" s="37"/>
      <c r="L414" s="31"/>
      <c r="M414" s="31"/>
      <c r="N414" s="31"/>
      <c r="O414" s="39" t="str">
        <f t="shared" si="117"/>
        <v>#VALUE!</v>
      </c>
      <c r="P414" s="40"/>
      <c r="Q414" s="40"/>
      <c r="R414" s="4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30"/>
      <c r="B415" s="1" t="s">
        <v>89</v>
      </c>
      <c r="C415" s="31" t="str">
        <f t="shared" si="48"/>
        <v>11-2025</v>
      </c>
      <c r="D415" s="117">
        <v>45966.0</v>
      </c>
      <c r="E415" s="37"/>
      <c r="F415" s="41">
        <f> (30-'Salários'!$N415)</f>
        <v>30</v>
      </c>
      <c r="G415" s="36">
        <v>2500.0</v>
      </c>
      <c r="H415" s="41"/>
      <c r="I415" s="37"/>
      <c r="J415" s="41"/>
      <c r="K415" s="37"/>
      <c r="L415" s="31"/>
      <c r="M415" s="31"/>
      <c r="N415" s="31"/>
      <c r="O415" s="39">
        <f t="shared" si="117"/>
        <v>2500</v>
      </c>
      <c r="P415" s="40"/>
      <c r="Q415" s="40"/>
      <c r="R415" s="4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B416" s="13"/>
      <c r="P416" s="7"/>
      <c r="Q416" s="7"/>
      <c r="R416" s="7"/>
    </row>
    <row r="417" ht="14.25" customHeight="1">
      <c r="B417" s="19"/>
      <c r="C417" s="114" t="str">
        <f t="shared" ref="C417:C432" si="123">MONTH(D417)&amp; "-" &amp;YEAR(D417)</f>
        <v>12-1899</v>
      </c>
      <c r="D417" s="118"/>
      <c r="E417" s="9"/>
      <c r="F417" s="10">
        <f> (30-'Salários'!$N417)</f>
        <v>30</v>
      </c>
      <c r="G417" s="21"/>
      <c r="H417" s="10"/>
      <c r="I417" s="9"/>
      <c r="J417" s="10"/>
      <c r="K417" s="9"/>
      <c r="L417" s="4"/>
      <c r="M417" s="4"/>
      <c r="N417" s="4"/>
      <c r="O417" s="12">
        <f t="shared" ref="O417:O425" si="124">(G417)+(H417*I417)+(J417*K417)+(L417*100)-(M417)</f>
        <v>0</v>
      </c>
      <c r="P417" s="7"/>
      <c r="Q417" s="7"/>
      <c r="R417" s="7"/>
    </row>
    <row r="418" ht="14.25" customHeight="1">
      <c r="B418" s="4"/>
      <c r="C418" s="114" t="str">
        <f t="shared" si="123"/>
        <v>12-1899</v>
      </c>
      <c r="D418" s="7"/>
      <c r="E418" s="9"/>
      <c r="F418" s="10">
        <f> (30-'Salários'!$N418)</f>
        <v>30</v>
      </c>
      <c r="G418" s="12">
        <f t="shared" ref="G418:G419" si="125">(E418*F418)</f>
        <v>0</v>
      </c>
      <c r="H418" s="10"/>
      <c r="I418" s="9"/>
      <c r="J418" s="10"/>
      <c r="K418" s="9"/>
      <c r="L418" s="4"/>
      <c r="M418" s="4"/>
      <c r="N418" s="4"/>
      <c r="O418" s="12">
        <f t="shared" si="124"/>
        <v>0</v>
      </c>
      <c r="P418" s="7"/>
      <c r="Q418" s="7"/>
      <c r="R418" s="7"/>
    </row>
    <row r="419" ht="14.25" customHeight="1">
      <c r="B419" s="4"/>
      <c r="C419" s="114" t="str">
        <f t="shared" si="123"/>
        <v>12-1899</v>
      </c>
      <c r="D419" s="7"/>
      <c r="E419" s="9"/>
      <c r="F419" s="10">
        <f> (30-'Salários'!$N419)</f>
        <v>30</v>
      </c>
      <c r="G419" s="12">
        <f t="shared" si="125"/>
        <v>0</v>
      </c>
      <c r="H419" s="10"/>
      <c r="I419" s="9"/>
      <c r="J419" s="10"/>
      <c r="K419" s="9"/>
      <c r="L419" s="4"/>
      <c r="M419" s="4"/>
      <c r="N419" s="4"/>
      <c r="O419" s="12">
        <f t="shared" si="124"/>
        <v>0</v>
      </c>
      <c r="P419" s="7"/>
      <c r="Q419" s="7"/>
      <c r="R419" s="7"/>
    </row>
    <row r="420" ht="14.25" customHeight="1">
      <c r="A420" s="54"/>
      <c r="B420" s="45" t="s">
        <v>18</v>
      </c>
      <c r="C420" s="55" t="str">
        <f t="shared" si="123"/>
        <v>12-2025</v>
      </c>
      <c r="D420" s="118">
        <v>45992.0</v>
      </c>
      <c r="E420" s="75">
        <f>SUM(G420/F420)</f>
        <v>80.49166667</v>
      </c>
      <c r="F420" s="76">
        <f> (30-'Salários'!$N420)</f>
        <v>30</v>
      </c>
      <c r="G420" s="84">
        <v>2414.75</v>
      </c>
      <c r="H420" s="78">
        <v>211.0</v>
      </c>
      <c r="I420" s="75">
        <v>20.0</v>
      </c>
      <c r="J420" s="63">
        <v>22.0</v>
      </c>
      <c r="K420" s="119">
        <v>20.0</v>
      </c>
      <c r="L420" s="90">
        <v>3.0</v>
      </c>
      <c r="M420" s="90">
        <v>700.0</v>
      </c>
      <c r="N420" s="55"/>
      <c r="O420" s="24">
        <f t="shared" si="124"/>
        <v>6674.75</v>
      </c>
      <c r="P420" s="45" t="s">
        <v>18</v>
      </c>
      <c r="Q420" s="58"/>
      <c r="R420" s="58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54"/>
      <c r="B421" s="53" t="s">
        <v>102</v>
      </c>
      <c r="C421" s="55" t="str">
        <f t="shared" si="123"/>
        <v>12-2025</v>
      </c>
      <c r="D421" s="118">
        <v>45992.0</v>
      </c>
      <c r="E421" s="75">
        <v>66.6667</v>
      </c>
      <c r="F421" s="76">
        <f> (30-'Salários'!$N421)</f>
        <v>30</v>
      </c>
      <c r="G421" s="84">
        <v>3500.0</v>
      </c>
      <c r="H421" s="78">
        <v>230.2</v>
      </c>
      <c r="I421" s="85">
        <v>15.0</v>
      </c>
      <c r="J421" s="57"/>
      <c r="K421" s="56"/>
      <c r="L421" s="55"/>
      <c r="M421" s="55"/>
      <c r="N421" s="55"/>
      <c r="O421" s="24">
        <f t="shared" si="124"/>
        <v>6953</v>
      </c>
      <c r="P421" s="53" t="s">
        <v>102</v>
      </c>
      <c r="Q421" s="58"/>
      <c r="R421" s="58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54"/>
      <c r="B422" s="53" t="s">
        <v>91</v>
      </c>
      <c r="C422" s="55" t="str">
        <f t="shared" si="123"/>
        <v>12-2025</v>
      </c>
      <c r="D422" s="118">
        <v>45992.0</v>
      </c>
      <c r="E422" s="75">
        <f>SUM(G422/F422)</f>
        <v>150</v>
      </c>
      <c r="F422" s="76">
        <f> (30-'Salários'!$N422)</f>
        <v>30</v>
      </c>
      <c r="G422" s="84">
        <v>4500.0</v>
      </c>
      <c r="H422" s="78">
        <v>159.3</v>
      </c>
      <c r="I422" s="85">
        <v>20.0</v>
      </c>
      <c r="J422" s="57"/>
      <c r="K422" s="56"/>
      <c r="L422" s="55"/>
      <c r="M422" s="90">
        <v>1500.0</v>
      </c>
      <c r="N422" s="55"/>
      <c r="O422" s="24">
        <f t="shared" si="124"/>
        <v>6186</v>
      </c>
      <c r="P422" s="53" t="s">
        <v>91</v>
      </c>
      <c r="Q422" s="58"/>
      <c r="R422" s="58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54"/>
      <c r="B423" s="45" t="s">
        <v>26</v>
      </c>
      <c r="C423" s="55" t="str">
        <f t="shared" si="123"/>
        <v>12-2025</v>
      </c>
      <c r="D423" s="118">
        <v>45992.0</v>
      </c>
      <c r="E423" s="75">
        <v>100.0</v>
      </c>
      <c r="F423" s="76">
        <f> (30-'Salários'!$N423)</f>
        <v>30</v>
      </c>
      <c r="G423" s="77">
        <f>(E423*F423)</f>
        <v>3000</v>
      </c>
      <c r="H423" s="78">
        <v>228.6</v>
      </c>
      <c r="I423" s="75">
        <v>20.0</v>
      </c>
      <c r="J423" s="63">
        <v>14.1</v>
      </c>
      <c r="K423" s="119">
        <v>20.0</v>
      </c>
      <c r="L423" s="55"/>
      <c r="M423" s="55"/>
      <c r="N423" s="55"/>
      <c r="O423" s="24">
        <f t="shared" si="124"/>
        <v>7854</v>
      </c>
      <c r="P423" s="45" t="s">
        <v>26</v>
      </c>
      <c r="Q423" s="58"/>
      <c r="R423" s="58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54"/>
      <c r="B424" s="45" t="s">
        <v>72</v>
      </c>
      <c r="C424" s="55" t="str">
        <f t="shared" si="123"/>
        <v>12-2025</v>
      </c>
      <c r="D424" s="118">
        <v>45992.0</v>
      </c>
      <c r="E424" s="75">
        <f t="shared" ref="E424:E425" si="126">(2000/30)</f>
        <v>66.66666667</v>
      </c>
      <c r="F424" s="76">
        <v>30.0</v>
      </c>
      <c r="G424" s="120">
        <v>3800.0</v>
      </c>
      <c r="H424" s="78">
        <v>204.9</v>
      </c>
      <c r="I424" s="120">
        <v>20.0</v>
      </c>
      <c r="J424" s="57"/>
      <c r="K424" s="56"/>
      <c r="L424" s="55"/>
      <c r="M424" s="90">
        <v>665.0</v>
      </c>
      <c r="N424" s="55"/>
      <c r="O424" s="24">
        <f t="shared" si="124"/>
        <v>7233</v>
      </c>
      <c r="P424" s="45" t="s">
        <v>72</v>
      </c>
      <c r="Q424" s="58"/>
      <c r="R424" s="58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54"/>
      <c r="B425" s="53" t="s">
        <v>98</v>
      </c>
      <c r="C425" s="55" t="str">
        <f t="shared" si="123"/>
        <v>12-2025</v>
      </c>
      <c r="D425" s="118">
        <v>45992.0</v>
      </c>
      <c r="E425" s="75">
        <f t="shared" si="126"/>
        <v>66.66666667</v>
      </c>
      <c r="F425" s="76">
        <f> (30-'Salários'!$N425)</f>
        <v>30</v>
      </c>
      <c r="G425" s="84">
        <v>4000.0</v>
      </c>
      <c r="H425" s="79"/>
      <c r="I425" s="75"/>
      <c r="J425" s="57"/>
      <c r="K425" s="56"/>
      <c r="L425" s="55"/>
      <c r="M425" s="55"/>
      <c r="N425" s="55"/>
      <c r="O425" s="24">
        <f t="shared" si="124"/>
        <v>4000</v>
      </c>
      <c r="P425" s="53" t="s">
        <v>98</v>
      </c>
      <c r="Q425" s="58"/>
      <c r="R425" s="58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54"/>
      <c r="B426" s="45" t="s">
        <v>30</v>
      </c>
      <c r="C426" s="55" t="str">
        <f t="shared" si="123"/>
        <v>12-2025</v>
      </c>
      <c r="D426" s="118">
        <v>45992.0</v>
      </c>
      <c r="E426" s="75">
        <v>175.0</v>
      </c>
      <c r="F426" s="76">
        <f> (30-'Salários'!$N426)</f>
        <v>30</v>
      </c>
      <c r="G426" s="84">
        <v>8000.0</v>
      </c>
      <c r="H426" s="79"/>
      <c r="I426" s="75"/>
      <c r="J426" s="57"/>
      <c r="K426" s="56"/>
      <c r="L426" s="55"/>
      <c r="M426" s="55"/>
      <c r="N426" s="55"/>
      <c r="O426" s="26">
        <v>6000.0</v>
      </c>
      <c r="P426" s="45" t="s">
        <v>30</v>
      </c>
      <c r="Q426" s="58"/>
      <c r="R426" s="58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54"/>
      <c r="B427" s="45" t="s">
        <v>29</v>
      </c>
      <c r="C427" s="55" t="str">
        <f t="shared" si="123"/>
        <v>12-2025</v>
      </c>
      <c r="D427" s="118">
        <v>45992.0</v>
      </c>
      <c r="E427" s="75">
        <f>SUM(G427/F427)</f>
        <v>100</v>
      </c>
      <c r="F427" s="76">
        <f> (30-'Salários'!$N427)</f>
        <v>30</v>
      </c>
      <c r="G427" s="84">
        <v>3000.0</v>
      </c>
      <c r="H427" s="79"/>
      <c r="I427" s="75"/>
      <c r="J427" s="57"/>
      <c r="K427" s="56"/>
      <c r="L427" s="55"/>
      <c r="M427" s="55"/>
      <c r="N427" s="55"/>
      <c r="O427" s="24">
        <f t="shared" ref="O427:O432" si="127">(G427)+(H427*I427)+(J427*K427)+(L427*100)-(M427)</f>
        <v>3000</v>
      </c>
      <c r="P427" s="45" t="s">
        <v>29</v>
      </c>
      <c r="Q427" s="58"/>
      <c r="R427" s="58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54"/>
      <c r="B428" s="53" t="s">
        <v>99</v>
      </c>
      <c r="C428" s="55" t="str">
        <f t="shared" si="123"/>
        <v>12-2025</v>
      </c>
      <c r="D428" s="118">
        <v>45992.0</v>
      </c>
      <c r="E428" s="75"/>
      <c r="F428" s="76"/>
      <c r="G428" s="77"/>
      <c r="H428" s="78">
        <v>200.1</v>
      </c>
      <c r="I428" s="85">
        <v>25.0</v>
      </c>
      <c r="J428" s="57"/>
      <c r="K428" s="56"/>
      <c r="L428" s="55"/>
      <c r="M428" s="55"/>
      <c r="N428" s="55"/>
      <c r="O428" s="24">
        <f t="shared" si="127"/>
        <v>5002.5</v>
      </c>
      <c r="P428" s="53" t="s">
        <v>99</v>
      </c>
      <c r="Q428" s="58"/>
      <c r="R428" s="58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54"/>
      <c r="B429" s="45" t="s">
        <v>53</v>
      </c>
      <c r="C429" s="55" t="str">
        <f t="shared" si="123"/>
        <v>12-2025</v>
      </c>
      <c r="D429" s="118">
        <v>45992.0</v>
      </c>
      <c r="E429" s="75">
        <v>116.6666</v>
      </c>
      <c r="F429" s="76">
        <f> (30-'Salários'!$N429)</f>
        <v>30</v>
      </c>
      <c r="G429" s="84">
        <v>4000.0</v>
      </c>
      <c r="H429" s="79"/>
      <c r="I429" s="75"/>
      <c r="J429" s="57"/>
      <c r="K429" s="56"/>
      <c r="L429" s="55"/>
      <c r="M429" s="90">
        <v>500.0</v>
      </c>
      <c r="N429" s="55"/>
      <c r="O429" s="24">
        <f t="shared" si="127"/>
        <v>3500</v>
      </c>
      <c r="P429" s="45" t="s">
        <v>53</v>
      </c>
      <c r="Q429" s="58"/>
      <c r="R429" s="58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54"/>
      <c r="B430" s="53" t="s">
        <v>82</v>
      </c>
      <c r="C430" s="55" t="str">
        <f t="shared" si="123"/>
        <v>12-2025</v>
      </c>
      <c r="D430" s="118">
        <v>45992.0</v>
      </c>
      <c r="E430" s="80">
        <f>SUM(G430/F430)</f>
        <v>133.3333333</v>
      </c>
      <c r="F430" s="76">
        <f> (30-'Salários'!$N430)</f>
        <v>30</v>
      </c>
      <c r="G430" s="84">
        <v>4000.0</v>
      </c>
      <c r="H430" s="121">
        <v>241.1</v>
      </c>
      <c r="I430" s="84">
        <v>20.0</v>
      </c>
      <c r="J430" s="57"/>
      <c r="K430" s="56"/>
      <c r="L430" s="55"/>
      <c r="M430" s="55"/>
      <c r="N430" s="55"/>
      <c r="O430" s="24">
        <f t="shared" si="127"/>
        <v>8822</v>
      </c>
      <c r="P430" s="53" t="s">
        <v>82</v>
      </c>
      <c r="Q430" s="58"/>
      <c r="R430" s="58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54"/>
      <c r="B431" s="1" t="s">
        <v>89</v>
      </c>
      <c r="C431" s="55" t="str">
        <f t="shared" si="123"/>
        <v>12-2025</v>
      </c>
      <c r="D431" s="118">
        <v>45992.0</v>
      </c>
      <c r="E431" s="56"/>
      <c r="F431" s="57">
        <f> (30-'Salários'!$N431)</f>
        <v>30</v>
      </c>
      <c r="G431" s="26">
        <v>2500.0</v>
      </c>
      <c r="H431" s="57"/>
      <c r="I431" s="56"/>
      <c r="J431" s="57"/>
      <c r="K431" s="56"/>
      <c r="L431" s="55"/>
      <c r="M431" s="55"/>
      <c r="N431" s="55"/>
      <c r="O431" s="24">
        <f t="shared" si="127"/>
        <v>2500</v>
      </c>
      <c r="P431" s="1" t="s">
        <v>89</v>
      </c>
      <c r="Q431" s="58"/>
      <c r="R431" s="58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54"/>
      <c r="B432" s="1" t="s">
        <v>51</v>
      </c>
      <c r="C432" s="55" t="str">
        <f t="shared" si="123"/>
        <v>12-2025</v>
      </c>
      <c r="D432" s="118">
        <v>45992.0</v>
      </c>
      <c r="E432" s="56"/>
      <c r="F432" s="57">
        <f> (30-'Salários'!$N432)</f>
        <v>30</v>
      </c>
      <c r="G432" s="24">
        <f>(E432*F432)</f>
        <v>0</v>
      </c>
      <c r="H432" s="63">
        <v>194.3</v>
      </c>
      <c r="I432" s="119">
        <v>30.0</v>
      </c>
      <c r="J432" s="57"/>
      <c r="K432" s="56"/>
      <c r="L432" s="55"/>
      <c r="M432" s="55"/>
      <c r="N432" s="55"/>
      <c r="O432" s="24">
        <f t="shared" si="127"/>
        <v>5829</v>
      </c>
      <c r="P432" s="90" t="s">
        <v>51</v>
      </c>
      <c r="Q432" s="58"/>
      <c r="R432" s="58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54"/>
      <c r="B433" s="1" t="s">
        <v>103</v>
      </c>
      <c r="G433" s="21">
        <v>1500.0</v>
      </c>
      <c r="O433" s="12">
        <f>(G433)+(H433*I433)+(J433*K433)+(L433*100)-(M433)</f>
        <v>1500</v>
      </c>
      <c r="P433" s="1" t="s">
        <v>103</v>
      </c>
      <c r="Q433" s="58"/>
      <c r="R433" s="58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B434" s="4"/>
      <c r="C434" s="114" t="str">
        <f t="shared" ref="C434:C435" si="128">MONTH(D434)&amp; "-" &amp;YEAR(D434)</f>
        <v>12-1899</v>
      </c>
      <c r="D434" s="7"/>
      <c r="E434" s="9"/>
      <c r="F434" s="10">
        <f> (30-'Salários'!$N434)</f>
        <v>30</v>
      </c>
      <c r="G434" s="12">
        <f t="shared" ref="G434:G435" si="129">(E434*F434)</f>
        <v>0</v>
      </c>
      <c r="H434" s="10"/>
      <c r="I434" s="9"/>
      <c r="J434" s="10"/>
      <c r="K434" s="9"/>
      <c r="L434" s="4"/>
      <c r="M434" s="4"/>
      <c r="N434" s="4"/>
      <c r="O434" s="12">
        <f t="shared" ref="O434:O435" si="130">(G434)+(H434*I434)+(J434*K434)+(L434*100)-(M434)</f>
        <v>0</v>
      </c>
      <c r="P434" s="7"/>
      <c r="Q434" s="7"/>
      <c r="R434" s="7"/>
    </row>
    <row r="435" ht="12.75" customHeight="1">
      <c r="B435" s="4"/>
      <c r="C435" s="114" t="str">
        <f t="shared" si="128"/>
        <v>12-1899</v>
      </c>
      <c r="D435" s="7"/>
      <c r="E435" s="9"/>
      <c r="F435" s="10">
        <f> (30-'Salários'!$N435)</f>
        <v>30</v>
      </c>
      <c r="G435" s="12">
        <f t="shared" si="129"/>
        <v>0</v>
      </c>
      <c r="H435" s="10"/>
      <c r="I435" s="9"/>
      <c r="J435" s="10"/>
      <c r="K435" s="9"/>
      <c r="L435" s="4"/>
      <c r="M435" s="4"/>
      <c r="N435" s="4"/>
      <c r="O435" s="12">
        <f t="shared" si="130"/>
        <v>0</v>
      </c>
      <c r="P435" s="7"/>
      <c r="Q435" s="7"/>
      <c r="R435" s="7"/>
    </row>
    <row r="436" ht="12.75" customHeight="1">
      <c r="B436" s="122" t="s">
        <v>104</v>
      </c>
      <c r="H436" s="10"/>
      <c r="I436" s="9"/>
      <c r="J436" s="10"/>
      <c r="K436" s="9"/>
      <c r="L436" s="4"/>
      <c r="M436" s="4"/>
      <c r="N436" s="4"/>
      <c r="O436" s="12"/>
      <c r="P436" s="7"/>
      <c r="Q436" s="7"/>
      <c r="R436" s="7"/>
    </row>
    <row r="437" ht="12.75" customHeight="1">
      <c r="H437" s="10"/>
      <c r="I437" s="9"/>
      <c r="J437" s="10"/>
      <c r="K437" s="9"/>
      <c r="L437" s="4"/>
      <c r="M437" s="4"/>
      <c r="N437" s="4"/>
      <c r="O437" s="12"/>
      <c r="P437" s="7"/>
      <c r="Q437" s="7"/>
      <c r="R437" s="7"/>
    </row>
    <row r="438" ht="14.25" customHeight="1">
      <c r="A438" s="60"/>
      <c r="B438" s="113" t="s">
        <v>18</v>
      </c>
      <c r="C438" s="113" t="str">
        <f t="shared" ref="C438:C471" si="131">MONTH(D438)&amp; "-" &amp;YEAR(D438)</f>
        <v>12-1899</v>
      </c>
      <c r="D438" s="7"/>
      <c r="E438" s="75">
        <f>SUM(G438/F438)</f>
        <v>0</v>
      </c>
      <c r="F438" s="76">
        <f> (30-'Salários'!$N438)</f>
        <v>30</v>
      </c>
      <c r="G438" s="84"/>
      <c r="H438" s="123"/>
      <c r="I438" s="75">
        <v>20.0</v>
      </c>
      <c r="J438" s="76"/>
      <c r="K438" s="75">
        <v>20.0</v>
      </c>
      <c r="L438" s="113"/>
      <c r="M438" s="59"/>
      <c r="N438" s="59"/>
      <c r="O438" s="77">
        <f t="shared" ref="O438:O451" si="132">(G438)+(H438*I438)+(J438*K438)+(L438*100)-(M438)</f>
        <v>0</v>
      </c>
      <c r="P438" s="59"/>
      <c r="Q438" s="59"/>
      <c r="R438" s="59"/>
      <c r="S438" s="60"/>
      <c r="T438" s="60"/>
      <c r="U438" s="60"/>
      <c r="V438" s="60"/>
      <c r="W438" s="60"/>
      <c r="X438" s="60"/>
      <c r="Y438" s="60"/>
      <c r="Z438" s="60"/>
    </row>
    <row r="439" ht="14.25" customHeight="1">
      <c r="A439" s="60"/>
      <c r="B439" s="124"/>
      <c r="C439" s="113" t="str">
        <f t="shared" si="131"/>
        <v>12-1899</v>
      </c>
      <c r="D439" s="7"/>
      <c r="E439" s="75">
        <v>66.6667</v>
      </c>
      <c r="F439" s="76">
        <f> (30-'Salários'!$N439)</f>
        <v>30</v>
      </c>
      <c r="G439" s="77">
        <v>3000.0</v>
      </c>
      <c r="H439" s="79"/>
      <c r="I439" s="80"/>
      <c r="J439" s="79"/>
      <c r="K439" s="80"/>
      <c r="L439" s="59"/>
      <c r="M439" s="59"/>
      <c r="N439" s="59"/>
      <c r="O439" s="77">
        <f t="shared" si="132"/>
        <v>3000</v>
      </c>
      <c r="P439" s="59"/>
      <c r="Q439" s="59"/>
      <c r="R439" s="59"/>
      <c r="S439" s="60"/>
      <c r="T439" s="60"/>
      <c r="U439" s="60"/>
      <c r="V439" s="60"/>
      <c r="W439" s="60"/>
      <c r="X439" s="60"/>
      <c r="Y439" s="60"/>
      <c r="Z439" s="60"/>
    </row>
    <row r="440" ht="14.25" customHeight="1">
      <c r="A440" s="60"/>
      <c r="B440" s="125" t="s">
        <v>91</v>
      </c>
      <c r="C440" s="113" t="str">
        <f t="shared" si="131"/>
        <v>12-1899</v>
      </c>
      <c r="D440" s="7"/>
      <c r="E440" s="75">
        <f>SUM(G440/F440)</f>
        <v>150</v>
      </c>
      <c r="F440" s="76">
        <f> (30-'Salários'!$N440)</f>
        <v>30</v>
      </c>
      <c r="G440" s="77">
        <v>4500.0</v>
      </c>
      <c r="H440" s="123"/>
      <c r="I440" s="75">
        <v>20.0</v>
      </c>
      <c r="J440" s="79"/>
      <c r="K440" s="80"/>
      <c r="L440" s="59"/>
      <c r="M440" s="113"/>
      <c r="N440" s="59"/>
      <c r="O440" s="77">
        <f t="shared" si="132"/>
        <v>4500</v>
      </c>
      <c r="P440" s="59"/>
      <c r="Q440" s="59"/>
      <c r="R440" s="59"/>
      <c r="S440" s="60"/>
      <c r="T440" s="60"/>
      <c r="U440" s="60"/>
      <c r="V440" s="60"/>
      <c r="W440" s="60"/>
      <c r="X440" s="60"/>
      <c r="Y440" s="60"/>
      <c r="Z440" s="60"/>
    </row>
    <row r="441" ht="14.25" customHeight="1">
      <c r="A441" s="60"/>
      <c r="B441" s="113" t="s">
        <v>26</v>
      </c>
      <c r="C441" s="113" t="str">
        <f t="shared" si="131"/>
        <v>12-1899</v>
      </c>
      <c r="D441" s="7"/>
      <c r="E441" s="75">
        <v>100.0</v>
      </c>
      <c r="F441" s="76">
        <f> (30-'Salários'!$N441)</f>
        <v>30</v>
      </c>
      <c r="G441" s="77">
        <f>(E441*F441)</f>
        <v>3000</v>
      </c>
      <c r="H441" s="123"/>
      <c r="I441" s="75">
        <v>20.0</v>
      </c>
      <c r="J441" s="76"/>
      <c r="K441" s="75">
        <v>20.0</v>
      </c>
      <c r="L441" s="59"/>
      <c r="M441" s="59"/>
      <c r="N441" s="59"/>
      <c r="O441" s="77">
        <f t="shared" si="132"/>
        <v>3000</v>
      </c>
      <c r="P441" s="59"/>
      <c r="Q441" s="59"/>
      <c r="R441" s="59"/>
      <c r="S441" s="60"/>
      <c r="T441" s="60"/>
      <c r="U441" s="60"/>
      <c r="V441" s="60"/>
      <c r="W441" s="60"/>
      <c r="X441" s="60"/>
      <c r="Y441" s="60"/>
      <c r="Z441" s="60"/>
    </row>
    <row r="442" ht="14.25" customHeight="1">
      <c r="A442" s="60"/>
      <c r="B442" s="113" t="s">
        <v>72</v>
      </c>
      <c r="C442" s="113" t="str">
        <f t="shared" si="131"/>
        <v>12-1899</v>
      </c>
      <c r="D442" s="7"/>
      <c r="E442" s="75">
        <f t="shared" ref="E442:E443" si="133">(2000/30)</f>
        <v>66.66666667</v>
      </c>
      <c r="F442" s="76">
        <v>30.0</v>
      </c>
      <c r="G442" s="77">
        <v>3800.0</v>
      </c>
      <c r="H442" s="123"/>
      <c r="I442" s="77">
        <v>20.0</v>
      </c>
      <c r="J442" s="79"/>
      <c r="K442" s="80"/>
      <c r="L442" s="59"/>
      <c r="M442" s="113"/>
      <c r="N442" s="59"/>
      <c r="O442" s="77">
        <f t="shared" si="132"/>
        <v>3800</v>
      </c>
      <c r="P442" s="59"/>
      <c r="Q442" s="59"/>
      <c r="R442" s="59"/>
      <c r="S442" s="60"/>
      <c r="T442" s="60"/>
      <c r="U442" s="60"/>
      <c r="V442" s="60"/>
      <c r="W442" s="60"/>
      <c r="X442" s="60"/>
      <c r="Y442" s="60"/>
      <c r="Z442" s="60"/>
    </row>
    <row r="443" ht="14.25" customHeight="1">
      <c r="A443" s="60"/>
      <c r="B443" s="125" t="s">
        <v>98</v>
      </c>
      <c r="C443" s="113" t="str">
        <f t="shared" si="131"/>
        <v>12-1899</v>
      </c>
      <c r="D443" s="7"/>
      <c r="E443" s="75">
        <f t="shared" si="133"/>
        <v>66.66666667</v>
      </c>
      <c r="F443" s="76">
        <f> (30-'Salários'!$N443)</f>
        <v>30</v>
      </c>
      <c r="G443" s="80"/>
      <c r="H443" s="79"/>
      <c r="I443" s="80"/>
      <c r="J443" s="79"/>
      <c r="K443" s="80"/>
      <c r="L443" s="59"/>
      <c r="M443" s="59"/>
      <c r="N443" s="59"/>
      <c r="O443" s="77">
        <f t="shared" si="132"/>
        <v>0</v>
      </c>
      <c r="P443" s="59"/>
      <c r="Q443" s="59"/>
      <c r="R443" s="59"/>
      <c r="S443" s="60"/>
      <c r="T443" s="60"/>
      <c r="U443" s="60"/>
      <c r="V443" s="60"/>
      <c r="W443" s="60"/>
      <c r="X443" s="60"/>
      <c r="Y443" s="60"/>
      <c r="Z443" s="60"/>
    </row>
    <row r="444" ht="14.25" customHeight="1">
      <c r="A444" s="60"/>
      <c r="B444" s="113" t="s">
        <v>30</v>
      </c>
      <c r="C444" s="113" t="str">
        <f t="shared" si="131"/>
        <v>12-1899</v>
      </c>
      <c r="D444" s="7"/>
      <c r="E444" s="75">
        <v>175.0</v>
      </c>
      <c r="F444" s="76">
        <f> (30-'Salários'!$N444)</f>
        <v>30</v>
      </c>
      <c r="G444" s="77">
        <v>8000.0</v>
      </c>
      <c r="H444" s="79"/>
      <c r="I444" s="80"/>
      <c r="J444" s="79"/>
      <c r="K444" s="80"/>
      <c r="L444" s="59"/>
      <c r="M444" s="59"/>
      <c r="N444" s="59"/>
      <c r="O444" s="77">
        <f t="shared" si="132"/>
        <v>8000</v>
      </c>
      <c r="P444" s="59"/>
      <c r="Q444" s="59"/>
      <c r="R444" s="59"/>
      <c r="S444" s="60"/>
      <c r="T444" s="60"/>
      <c r="U444" s="60"/>
      <c r="V444" s="60"/>
      <c r="W444" s="60"/>
      <c r="X444" s="60"/>
      <c r="Y444" s="60"/>
      <c r="Z444" s="60"/>
    </row>
    <row r="445" ht="14.25" customHeight="1">
      <c r="A445" s="60"/>
      <c r="B445" s="113" t="s">
        <v>29</v>
      </c>
      <c r="C445" s="113" t="str">
        <f t="shared" si="131"/>
        <v>12-1899</v>
      </c>
      <c r="D445" s="7"/>
      <c r="E445" s="75">
        <f>SUM(G445/F445)</f>
        <v>100</v>
      </c>
      <c r="F445" s="76">
        <f> (30-'Salários'!$N445)</f>
        <v>30</v>
      </c>
      <c r="G445" s="77">
        <v>3000.0</v>
      </c>
      <c r="H445" s="79"/>
      <c r="I445" s="80"/>
      <c r="J445" s="79"/>
      <c r="K445" s="80"/>
      <c r="L445" s="59"/>
      <c r="M445" s="59"/>
      <c r="N445" s="59"/>
      <c r="O445" s="77">
        <f t="shared" si="132"/>
        <v>3000</v>
      </c>
      <c r="P445" s="59"/>
      <c r="Q445" s="59"/>
      <c r="R445" s="59"/>
      <c r="S445" s="60"/>
      <c r="T445" s="60"/>
      <c r="U445" s="60"/>
      <c r="V445" s="60"/>
      <c r="W445" s="60"/>
      <c r="X445" s="60"/>
      <c r="Y445" s="60"/>
      <c r="Z445" s="60"/>
    </row>
    <row r="446" ht="14.25" customHeight="1">
      <c r="A446" s="60"/>
      <c r="B446" s="125" t="s">
        <v>99</v>
      </c>
      <c r="C446" s="113" t="str">
        <f t="shared" si="131"/>
        <v>12-1899</v>
      </c>
      <c r="D446" s="7"/>
      <c r="E446" s="80"/>
      <c r="F446" s="79"/>
      <c r="G446" s="80"/>
      <c r="H446" s="79"/>
      <c r="I446" s="80"/>
      <c r="J446" s="79"/>
      <c r="K446" s="80"/>
      <c r="L446" s="59"/>
      <c r="M446" s="59"/>
      <c r="N446" s="59"/>
      <c r="O446" s="77">
        <f t="shared" si="132"/>
        <v>0</v>
      </c>
      <c r="P446" s="59"/>
      <c r="Q446" s="59"/>
      <c r="R446" s="59"/>
      <c r="S446" s="60"/>
      <c r="T446" s="60"/>
      <c r="U446" s="60"/>
      <c r="V446" s="60"/>
      <c r="W446" s="60"/>
      <c r="X446" s="60"/>
      <c r="Y446" s="60"/>
      <c r="Z446" s="60"/>
    </row>
    <row r="447" ht="14.25" customHeight="1">
      <c r="A447" s="60"/>
      <c r="B447" s="113" t="s">
        <v>53</v>
      </c>
      <c r="C447" s="113" t="str">
        <f t="shared" si="131"/>
        <v>12-1899</v>
      </c>
      <c r="D447" s="7"/>
      <c r="E447" s="75">
        <v>116.6666</v>
      </c>
      <c r="F447" s="76">
        <f> (30-'Salários'!$N447)</f>
        <v>30</v>
      </c>
      <c r="G447" s="77">
        <v>4000.0</v>
      </c>
      <c r="H447" s="79"/>
      <c r="I447" s="80"/>
      <c r="J447" s="79"/>
      <c r="K447" s="80"/>
      <c r="L447" s="59"/>
      <c r="M447" s="59"/>
      <c r="N447" s="59"/>
      <c r="O447" s="77">
        <f t="shared" si="132"/>
        <v>4000</v>
      </c>
      <c r="P447" s="59"/>
      <c r="Q447" s="59"/>
      <c r="R447" s="59"/>
      <c r="S447" s="60"/>
      <c r="T447" s="60"/>
      <c r="U447" s="60"/>
      <c r="V447" s="60"/>
      <c r="W447" s="60"/>
      <c r="X447" s="60"/>
      <c r="Y447" s="60"/>
      <c r="Z447" s="60"/>
    </row>
    <row r="448" ht="14.25" customHeight="1">
      <c r="A448" s="60"/>
      <c r="B448" s="125" t="s">
        <v>82</v>
      </c>
      <c r="C448" s="113" t="str">
        <f t="shared" si="131"/>
        <v>12-1899</v>
      </c>
      <c r="D448" s="7"/>
      <c r="E448" s="77">
        <f t="shared" ref="E448:E449" si="134">SUM(G448/F448)</f>
        <v>133.3333333</v>
      </c>
      <c r="F448" s="76">
        <f> (30-'Salários'!$N448)</f>
        <v>30</v>
      </c>
      <c r="G448" s="77">
        <v>4000.0</v>
      </c>
      <c r="H448" s="123"/>
      <c r="I448" s="77">
        <v>20.0</v>
      </c>
      <c r="J448" s="79"/>
      <c r="K448" s="80"/>
      <c r="L448" s="59"/>
      <c r="M448" s="59"/>
      <c r="N448" s="59"/>
      <c r="O448" s="77">
        <f t="shared" si="132"/>
        <v>4000</v>
      </c>
      <c r="P448" s="59"/>
      <c r="Q448" s="59"/>
      <c r="R448" s="59"/>
      <c r="S448" s="60"/>
      <c r="T448" s="60"/>
      <c r="U448" s="60"/>
      <c r="V448" s="60"/>
      <c r="W448" s="60"/>
      <c r="X448" s="60"/>
      <c r="Y448" s="60"/>
      <c r="Z448" s="60"/>
    </row>
    <row r="449" ht="14.25" customHeight="1">
      <c r="A449" s="60"/>
      <c r="B449" s="125" t="s">
        <v>83</v>
      </c>
      <c r="C449" s="113" t="str">
        <f t="shared" si="131"/>
        <v>12-1899</v>
      </c>
      <c r="D449" s="7"/>
      <c r="E449" s="77">
        <f t="shared" si="134"/>
        <v>100</v>
      </c>
      <c r="F449" s="76">
        <f> (30-'Salários'!$N449)</f>
        <v>30</v>
      </c>
      <c r="G449" s="77">
        <v>3000.0</v>
      </c>
      <c r="H449" s="79"/>
      <c r="I449" s="80"/>
      <c r="J449" s="79"/>
      <c r="K449" s="80"/>
      <c r="L449" s="59"/>
      <c r="M449" s="59"/>
      <c r="N449" s="59"/>
      <c r="O449" s="77">
        <f t="shared" si="132"/>
        <v>3000</v>
      </c>
      <c r="P449" s="59"/>
      <c r="Q449" s="59"/>
      <c r="R449" s="59"/>
      <c r="S449" s="60"/>
      <c r="T449" s="60"/>
      <c r="U449" s="60"/>
      <c r="V449" s="60"/>
      <c r="W449" s="60"/>
      <c r="X449" s="60"/>
      <c r="Y449" s="60"/>
      <c r="Z449" s="60"/>
    </row>
    <row r="450" ht="14.25" customHeight="1">
      <c r="A450" s="60"/>
      <c r="B450" s="125" t="s">
        <v>89</v>
      </c>
      <c r="C450" s="113" t="str">
        <f t="shared" si="131"/>
        <v>12-1899</v>
      </c>
      <c r="D450" s="7"/>
      <c r="E450" s="80"/>
      <c r="F450" s="76">
        <f> (30-'Salários'!$N450)</f>
        <v>30</v>
      </c>
      <c r="G450" s="77">
        <v>2500.0</v>
      </c>
      <c r="H450" s="79"/>
      <c r="I450" s="80"/>
      <c r="J450" s="79"/>
      <c r="K450" s="80"/>
      <c r="L450" s="59"/>
      <c r="M450" s="59"/>
      <c r="N450" s="59"/>
      <c r="O450" s="77">
        <f t="shared" si="132"/>
        <v>2500</v>
      </c>
      <c r="P450" s="59"/>
      <c r="Q450" s="59"/>
      <c r="R450" s="59"/>
      <c r="S450" s="60"/>
      <c r="T450" s="60"/>
      <c r="U450" s="60"/>
      <c r="V450" s="60"/>
      <c r="W450" s="60"/>
      <c r="X450" s="60"/>
      <c r="Y450" s="60"/>
      <c r="Z450" s="60"/>
    </row>
    <row r="451" ht="14.25" customHeight="1">
      <c r="A451" s="60"/>
      <c r="B451" s="125" t="s">
        <v>51</v>
      </c>
      <c r="C451" s="113" t="str">
        <f t="shared" si="131"/>
        <v>12-1899</v>
      </c>
      <c r="D451" s="7"/>
      <c r="E451" s="80"/>
      <c r="F451" s="76">
        <f> (30-'Salários'!$N451)</f>
        <v>30</v>
      </c>
      <c r="G451" s="77">
        <f t="shared" ref="G451:G458" si="135">(E451*F451)</f>
        <v>0</v>
      </c>
      <c r="H451" s="76"/>
      <c r="I451" s="80"/>
      <c r="J451" s="79"/>
      <c r="K451" s="80"/>
      <c r="L451" s="59"/>
      <c r="M451" s="59"/>
      <c r="N451" s="59"/>
      <c r="O451" s="77">
        <f t="shared" si="132"/>
        <v>0</v>
      </c>
      <c r="P451" s="59"/>
      <c r="Q451" s="59"/>
      <c r="R451" s="59"/>
      <c r="S451" s="60"/>
      <c r="T451" s="60"/>
      <c r="U451" s="60"/>
      <c r="V451" s="60"/>
      <c r="W451" s="60"/>
      <c r="X451" s="60"/>
      <c r="Y451" s="60"/>
      <c r="Z451" s="60"/>
    </row>
    <row r="452" ht="14.25" customHeight="1">
      <c r="B452" s="4"/>
      <c r="C452" s="114" t="str">
        <f t="shared" si="131"/>
        <v>12-1899</v>
      </c>
      <c r="D452" s="7"/>
      <c r="E452" s="9"/>
      <c r="F452" s="10">
        <f> (30-'Salários'!$N452)</f>
        <v>30</v>
      </c>
      <c r="G452" s="12">
        <f t="shared" si="135"/>
        <v>0</v>
      </c>
      <c r="H452" s="10"/>
      <c r="I452" s="9"/>
      <c r="J452" s="10"/>
      <c r="K452" s="9"/>
      <c r="L452" s="4"/>
      <c r="M452" s="4"/>
      <c r="N452" s="4"/>
      <c r="O452" s="12">
        <f t="shared" ref="O452:O464" si="136">(G452)+(H452*I452)+(J452*K452)+(L452*100)-(M452)</f>
        <v>0</v>
      </c>
      <c r="P452" s="7"/>
      <c r="Q452" s="7"/>
      <c r="R452" s="7"/>
    </row>
    <row r="453" ht="14.25" customHeight="1">
      <c r="B453" s="4"/>
      <c r="C453" s="114" t="str">
        <f t="shared" si="131"/>
        <v>12-1899</v>
      </c>
      <c r="D453" s="7"/>
      <c r="E453" s="9"/>
      <c r="F453" s="10">
        <f> (30-'Salários'!$N453)</f>
        <v>30</v>
      </c>
      <c r="G453" s="12">
        <f t="shared" si="135"/>
        <v>0</v>
      </c>
      <c r="H453" s="10"/>
      <c r="I453" s="9"/>
      <c r="J453" s="10"/>
      <c r="K453" s="9"/>
      <c r="L453" s="4"/>
      <c r="M453" s="4"/>
      <c r="N453" s="4"/>
      <c r="O453" s="12">
        <f t="shared" si="136"/>
        <v>0</v>
      </c>
      <c r="P453" s="7"/>
      <c r="Q453" s="7"/>
      <c r="R453" s="7"/>
    </row>
    <row r="454" ht="14.25" customHeight="1">
      <c r="B454" s="4"/>
      <c r="C454" s="114" t="str">
        <f t="shared" si="131"/>
        <v>12-1899</v>
      </c>
      <c r="D454" s="7"/>
      <c r="E454" s="9"/>
      <c r="F454" s="10">
        <f> (30-'Salários'!$N454)</f>
        <v>30</v>
      </c>
      <c r="G454" s="12">
        <f t="shared" si="135"/>
        <v>0</v>
      </c>
      <c r="H454" s="10"/>
      <c r="I454" s="9"/>
      <c r="J454" s="10"/>
      <c r="K454" s="9"/>
      <c r="L454" s="4"/>
      <c r="M454" s="4"/>
      <c r="N454" s="4"/>
      <c r="O454" s="12">
        <f t="shared" si="136"/>
        <v>0</v>
      </c>
      <c r="P454" s="7"/>
      <c r="Q454" s="7"/>
      <c r="R454" s="7"/>
    </row>
    <row r="455" ht="14.25" customHeight="1">
      <c r="B455" s="4"/>
      <c r="C455" s="114" t="str">
        <f t="shared" si="131"/>
        <v>12-1899</v>
      </c>
      <c r="D455" s="7"/>
      <c r="E455" s="9"/>
      <c r="F455" s="10">
        <f> (30-'Salários'!$N455)</f>
        <v>30</v>
      </c>
      <c r="G455" s="12">
        <f t="shared" si="135"/>
        <v>0</v>
      </c>
      <c r="H455" s="10"/>
      <c r="I455" s="9"/>
      <c r="J455" s="10"/>
      <c r="K455" s="9"/>
      <c r="L455" s="4"/>
      <c r="M455" s="4"/>
      <c r="N455" s="4"/>
      <c r="O455" s="12">
        <f t="shared" si="136"/>
        <v>0</v>
      </c>
      <c r="P455" s="7"/>
      <c r="Q455" s="7"/>
      <c r="R455" s="7"/>
    </row>
    <row r="456" ht="14.25" customHeight="1">
      <c r="B456" s="4"/>
      <c r="C456" s="114" t="str">
        <f t="shared" si="131"/>
        <v>12-1899</v>
      </c>
      <c r="D456" s="7"/>
      <c r="E456" s="9"/>
      <c r="F456" s="10">
        <f> (30-'Salários'!$N456)</f>
        <v>30</v>
      </c>
      <c r="G456" s="12">
        <f t="shared" si="135"/>
        <v>0</v>
      </c>
      <c r="H456" s="10"/>
      <c r="I456" s="9"/>
      <c r="J456" s="10"/>
      <c r="K456" s="9"/>
      <c r="L456" s="4"/>
      <c r="M456" s="4"/>
      <c r="N456" s="4"/>
      <c r="O456" s="12">
        <f t="shared" si="136"/>
        <v>0</v>
      </c>
      <c r="P456" s="7"/>
      <c r="Q456" s="7"/>
      <c r="R456" s="7"/>
    </row>
    <row r="457" ht="14.25" customHeight="1">
      <c r="B457" s="4"/>
      <c r="C457" s="114" t="str">
        <f t="shared" si="131"/>
        <v>12-1899</v>
      </c>
      <c r="D457" s="7"/>
      <c r="E457" s="9"/>
      <c r="F457" s="10">
        <f> (30-'Salários'!$N457)</f>
        <v>30</v>
      </c>
      <c r="G457" s="12">
        <f t="shared" si="135"/>
        <v>0</v>
      </c>
      <c r="H457" s="10"/>
      <c r="I457" s="9"/>
      <c r="J457" s="10"/>
      <c r="K457" s="9"/>
      <c r="L457" s="4"/>
      <c r="M457" s="4"/>
      <c r="N457" s="4"/>
      <c r="O457" s="12">
        <f t="shared" si="136"/>
        <v>0</v>
      </c>
      <c r="P457" s="7"/>
      <c r="Q457" s="7"/>
      <c r="R457" s="7"/>
    </row>
    <row r="458" ht="14.25" customHeight="1">
      <c r="B458" s="4"/>
      <c r="C458" s="114" t="str">
        <f t="shared" si="131"/>
        <v>12-1899</v>
      </c>
      <c r="D458" s="7"/>
      <c r="E458" s="9"/>
      <c r="F458" s="10">
        <f> (30-'Salários'!$N458)</f>
        <v>30</v>
      </c>
      <c r="G458" s="12">
        <f t="shared" si="135"/>
        <v>0</v>
      </c>
      <c r="H458" s="10"/>
      <c r="I458" s="9"/>
      <c r="J458" s="10"/>
      <c r="K458" s="9"/>
      <c r="L458" s="4"/>
      <c r="M458" s="4"/>
      <c r="N458" s="4"/>
      <c r="O458" s="12">
        <f t="shared" si="136"/>
        <v>0</v>
      </c>
      <c r="P458" s="7"/>
      <c r="Q458" s="7"/>
      <c r="R458" s="7"/>
    </row>
    <row r="459" ht="14.25" customHeight="1">
      <c r="B459" s="93" t="s">
        <v>18</v>
      </c>
      <c r="C459" s="55" t="str">
        <f t="shared" si="131"/>
        <v>12-2025</v>
      </c>
      <c r="D459" s="118">
        <v>45992.0</v>
      </c>
      <c r="E459" s="75">
        <f>SUM(G459/F459)</f>
        <v>80.49166667</v>
      </c>
      <c r="F459" s="76">
        <f> (30-'Salários'!$N459)</f>
        <v>30</v>
      </c>
      <c r="G459" s="84">
        <v>2414.75</v>
      </c>
      <c r="H459" s="78">
        <v>208.0</v>
      </c>
      <c r="I459" s="75">
        <v>20.0</v>
      </c>
      <c r="J459" s="63">
        <v>14.0</v>
      </c>
      <c r="K459" s="119">
        <v>20.0</v>
      </c>
      <c r="L459" s="90">
        <v>2.0</v>
      </c>
      <c r="M459" s="90">
        <v>700.0</v>
      </c>
      <c r="N459" s="55"/>
      <c r="O459" s="24">
        <f t="shared" si="136"/>
        <v>6354.75</v>
      </c>
      <c r="P459" s="45" t="s">
        <v>18</v>
      </c>
      <c r="Q459" s="7"/>
      <c r="R459" s="7"/>
    </row>
    <row r="460" ht="14.25" customHeight="1">
      <c r="B460" s="108" t="s">
        <v>102</v>
      </c>
      <c r="C460" s="55" t="str">
        <f t="shared" si="131"/>
        <v>12-2025</v>
      </c>
      <c r="D460" s="118">
        <v>45992.0</v>
      </c>
      <c r="E460" s="75">
        <v>66.6667</v>
      </c>
      <c r="F460" s="76">
        <f> (30-'Salários'!$N460)</f>
        <v>30</v>
      </c>
      <c r="G460" s="84">
        <v>3500.0</v>
      </c>
      <c r="H460" s="78">
        <v>172.74</v>
      </c>
      <c r="I460" s="85">
        <v>15.0</v>
      </c>
      <c r="J460" s="57"/>
      <c r="K460" s="56"/>
      <c r="L460" s="55"/>
      <c r="M460" s="55"/>
      <c r="N460" s="55"/>
      <c r="O460" s="24">
        <f t="shared" si="136"/>
        <v>6091.1</v>
      </c>
      <c r="P460" s="53" t="s">
        <v>102</v>
      </c>
      <c r="Q460" s="7"/>
      <c r="R460" s="7"/>
    </row>
    <row r="461" ht="14.25" customHeight="1">
      <c r="B461" s="108" t="s">
        <v>91</v>
      </c>
      <c r="C461" s="55" t="str">
        <f t="shared" si="131"/>
        <v>12-2025</v>
      </c>
      <c r="D461" s="118">
        <v>45992.0</v>
      </c>
      <c r="E461" s="75">
        <f>SUM(G461/F461)</f>
        <v>150</v>
      </c>
      <c r="F461" s="76">
        <f> (30-'Salários'!$N461)</f>
        <v>30</v>
      </c>
      <c r="G461" s="84">
        <v>4500.0</v>
      </c>
      <c r="H461" s="78">
        <v>97.9</v>
      </c>
      <c r="I461" s="85">
        <v>20.0</v>
      </c>
      <c r="J461" s="57"/>
      <c r="K461" s="56"/>
      <c r="L461" s="55"/>
      <c r="M461" s="90"/>
      <c r="N461" s="55"/>
      <c r="O461" s="24">
        <f t="shared" si="136"/>
        <v>6458</v>
      </c>
      <c r="P461" s="53" t="s">
        <v>91</v>
      </c>
      <c r="Q461" s="7"/>
      <c r="R461" s="7"/>
    </row>
    <row r="462" ht="14.25" customHeight="1">
      <c r="B462" s="93" t="s">
        <v>26</v>
      </c>
      <c r="C462" s="55" t="str">
        <f t="shared" si="131"/>
        <v>12-2025</v>
      </c>
      <c r="D462" s="118">
        <v>45992.0</v>
      </c>
      <c r="E462" s="75">
        <v>100.0</v>
      </c>
      <c r="F462" s="76">
        <f> (30-'Salários'!$N462)</f>
        <v>30</v>
      </c>
      <c r="G462" s="77">
        <f>(E462*F462)</f>
        <v>3000</v>
      </c>
      <c r="H462" s="78">
        <v>189.9</v>
      </c>
      <c r="I462" s="75">
        <v>20.0</v>
      </c>
      <c r="J462" s="63">
        <v>14.0</v>
      </c>
      <c r="K462" s="119">
        <v>20.0</v>
      </c>
      <c r="L462" s="90"/>
      <c r="M462" s="55"/>
      <c r="N462" s="55"/>
      <c r="O462" s="24">
        <f t="shared" si="136"/>
        <v>7078</v>
      </c>
      <c r="P462" s="45" t="s">
        <v>26</v>
      </c>
      <c r="Q462" s="7"/>
      <c r="R462" s="7"/>
    </row>
    <row r="463" ht="14.25" customHeight="1">
      <c r="B463" s="93" t="s">
        <v>72</v>
      </c>
      <c r="C463" s="55" t="str">
        <f t="shared" si="131"/>
        <v>12-2025</v>
      </c>
      <c r="D463" s="118">
        <v>45992.0</v>
      </c>
      <c r="E463" s="75">
        <f t="shared" ref="E463:E464" si="137">(2000/30)</f>
        <v>66.66666667</v>
      </c>
      <c r="F463" s="76">
        <v>30.0</v>
      </c>
      <c r="G463" s="120">
        <v>3800.0</v>
      </c>
      <c r="H463" s="78">
        <v>179.8</v>
      </c>
      <c r="I463" s="120">
        <v>20.0</v>
      </c>
      <c r="J463" s="57"/>
      <c r="K463" s="56"/>
      <c r="L463" s="55"/>
      <c r="M463" s="90">
        <v>1700.0</v>
      </c>
      <c r="N463" s="90">
        <v>2.0</v>
      </c>
      <c r="O463" s="24">
        <f t="shared" si="136"/>
        <v>5696</v>
      </c>
      <c r="P463" s="45" t="s">
        <v>72</v>
      </c>
      <c r="Q463" s="7"/>
      <c r="R463" s="7"/>
    </row>
    <row r="464" ht="14.25" customHeight="1">
      <c r="B464" s="108" t="s">
        <v>98</v>
      </c>
      <c r="C464" s="55" t="str">
        <f t="shared" si="131"/>
        <v>12-2025</v>
      </c>
      <c r="D464" s="118">
        <v>45992.0</v>
      </c>
      <c r="E464" s="75">
        <f t="shared" si="137"/>
        <v>66.66666667</v>
      </c>
      <c r="F464" s="76">
        <f> (30-'Salários'!$N464)</f>
        <v>30</v>
      </c>
      <c r="G464" s="84">
        <v>4000.0</v>
      </c>
      <c r="H464" s="79"/>
      <c r="I464" s="75"/>
      <c r="J464" s="57"/>
      <c r="K464" s="56"/>
      <c r="L464" s="55"/>
      <c r="M464" s="55"/>
      <c r="N464" s="55"/>
      <c r="O464" s="24">
        <f t="shared" si="136"/>
        <v>4000</v>
      </c>
      <c r="P464" s="53" t="s">
        <v>98</v>
      </c>
      <c r="Q464" s="7"/>
      <c r="R464" s="7"/>
    </row>
    <row r="465" ht="14.25" customHeight="1">
      <c r="B465" s="113" t="s">
        <v>30</v>
      </c>
      <c r="C465" s="55" t="str">
        <f t="shared" si="131"/>
        <v>12-2025</v>
      </c>
      <c r="D465" s="118">
        <v>45992.0</v>
      </c>
      <c r="E465" s="75">
        <v>175.0</v>
      </c>
      <c r="F465" s="76">
        <f> (30-'Salários'!$N465)</f>
        <v>30</v>
      </c>
      <c r="G465" s="84">
        <v>8000.0</v>
      </c>
      <c r="H465" s="79"/>
      <c r="I465" s="75"/>
      <c r="J465" s="57"/>
      <c r="K465" s="56"/>
      <c r="L465" s="55"/>
      <c r="M465" s="55"/>
      <c r="N465" s="55"/>
      <c r="O465" s="26">
        <v>6000.0</v>
      </c>
      <c r="P465" s="45" t="s">
        <v>30</v>
      </c>
      <c r="Q465" s="7"/>
      <c r="R465" s="7"/>
    </row>
    <row r="466" ht="14.25" customHeight="1">
      <c r="B466" s="113" t="s">
        <v>29</v>
      </c>
      <c r="C466" s="55" t="str">
        <f t="shared" si="131"/>
        <v>12-2025</v>
      </c>
      <c r="D466" s="118">
        <v>45992.0</v>
      </c>
      <c r="E466" s="75">
        <f>SUM(G466/F466)</f>
        <v>100</v>
      </c>
      <c r="F466" s="76">
        <f> (30-'Salários'!$N466)</f>
        <v>30</v>
      </c>
      <c r="G466" s="84">
        <v>3000.0</v>
      </c>
      <c r="H466" s="79"/>
      <c r="I466" s="75"/>
      <c r="J466" s="57"/>
      <c r="K466" s="56"/>
      <c r="L466" s="55"/>
      <c r="M466" s="55"/>
      <c r="N466" s="55"/>
      <c r="O466" s="24">
        <f t="shared" ref="O466:O471" si="138">(G466)+(H466*I466)+(J466*K466)+(L466*100)-(M466)</f>
        <v>3000</v>
      </c>
      <c r="P466" s="45" t="s">
        <v>29</v>
      </c>
      <c r="Q466" s="7"/>
      <c r="R466" s="7"/>
    </row>
    <row r="467" ht="14.25" customHeight="1">
      <c r="B467" s="108" t="s">
        <v>99</v>
      </c>
      <c r="C467" s="55" t="str">
        <f t="shared" si="131"/>
        <v>12-2025</v>
      </c>
      <c r="D467" s="118">
        <v>45992.0</v>
      </c>
      <c r="E467" s="75"/>
      <c r="F467" s="76"/>
      <c r="G467" s="77"/>
      <c r="H467" s="78">
        <v>127.0</v>
      </c>
      <c r="I467" s="85">
        <v>25.0</v>
      </c>
      <c r="J467" s="63">
        <v>4.0</v>
      </c>
      <c r="K467" s="119">
        <v>100.0</v>
      </c>
      <c r="L467" s="55"/>
      <c r="M467" s="55"/>
      <c r="N467" s="55"/>
      <c r="O467" s="24">
        <f t="shared" si="138"/>
        <v>3575</v>
      </c>
      <c r="P467" s="53" t="s">
        <v>99</v>
      </c>
      <c r="Q467" s="7"/>
      <c r="R467" s="7"/>
    </row>
    <row r="468" ht="14.25" customHeight="1">
      <c r="B468" s="93" t="s">
        <v>53</v>
      </c>
      <c r="C468" s="55" t="str">
        <f t="shared" si="131"/>
        <v>12-2025</v>
      </c>
      <c r="D468" s="118">
        <v>45992.0</v>
      </c>
      <c r="E468" s="75">
        <v>116.6666</v>
      </c>
      <c r="F468" s="76">
        <f> (30-'Salários'!$N468)</f>
        <v>30</v>
      </c>
      <c r="G468" s="84">
        <v>4000.0</v>
      </c>
      <c r="H468" s="79"/>
      <c r="I468" s="75"/>
      <c r="J468" s="57"/>
      <c r="K468" s="56"/>
      <c r="L468" s="55"/>
      <c r="M468" s="90"/>
      <c r="N468" s="55"/>
      <c r="O468" s="24">
        <f t="shared" si="138"/>
        <v>4000</v>
      </c>
      <c r="P468" s="45" t="s">
        <v>53</v>
      </c>
      <c r="Q468" s="7"/>
      <c r="R468" s="7"/>
    </row>
    <row r="469" ht="14.25" customHeight="1">
      <c r="B469" s="108" t="s">
        <v>82</v>
      </c>
      <c r="C469" s="55" t="str">
        <f t="shared" si="131"/>
        <v>12-2025</v>
      </c>
      <c r="D469" s="118">
        <v>45992.0</v>
      </c>
      <c r="E469" s="80">
        <f>SUM(G469/F469)</f>
        <v>133.3333333</v>
      </c>
      <c r="F469" s="76">
        <f> (30-'Salários'!$N469)</f>
        <v>30</v>
      </c>
      <c r="G469" s="84">
        <v>4000.0</v>
      </c>
      <c r="H469" s="121">
        <v>116.51</v>
      </c>
      <c r="I469" s="84">
        <v>20.0</v>
      </c>
      <c r="J469" s="57"/>
      <c r="K469" s="56"/>
      <c r="L469" s="55"/>
      <c r="M469" s="55"/>
      <c r="N469" s="55"/>
      <c r="O469" s="24">
        <f t="shared" si="138"/>
        <v>6330.2</v>
      </c>
      <c r="P469" s="53" t="s">
        <v>82</v>
      </c>
      <c r="Q469" s="7"/>
      <c r="R469" s="7"/>
    </row>
    <row r="470" ht="14.25" customHeight="1">
      <c r="B470" s="126" t="s">
        <v>89</v>
      </c>
      <c r="C470" s="55" t="str">
        <f t="shared" si="131"/>
        <v>12-2025</v>
      </c>
      <c r="D470" s="118">
        <v>45992.0</v>
      </c>
      <c r="E470" s="56"/>
      <c r="F470" s="57">
        <f> (30-'Salários'!$N470)</f>
        <v>30</v>
      </c>
      <c r="G470" s="26"/>
      <c r="H470" s="63">
        <v>127.0</v>
      </c>
      <c r="I470" s="119">
        <v>5.0</v>
      </c>
      <c r="J470" s="57"/>
      <c r="K470" s="56"/>
      <c r="L470" s="55"/>
      <c r="M470" s="55"/>
      <c r="N470" s="55"/>
      <c r="O470" s="24">
        <f t="shared" si="138"/>
        <v>635</v>
      </c>
      <c r="P470" s="1" t="s">
        <v>89</v>
      </c>
      <c r="Q470" s="7"/>
      <c r="R470" s="7"/>
    </row>
    <row r="471" ht="14.25" customHeight="1">
      <c r="B471" s="126" t="s">
        <v>51</v>
      </c>
      <c r="C471" s="55" t="str">
        <f t="shared" si="131"/>
        <v>12-2025</v>
      </c>
      <c r="D471" s="118">
        <v>45992.0</v>
      </c>
      <c r="E471" s="56"/>
      <c r="F471" s="57">
        <f> (30-'Salários'!$N471)</f>
        <v>30</v>
      </c>
      <c r="G471" s="24">
        <f>(E471*F471)</f>
        <v>0</v>
      </c>
      <c r="H471" s="63">
        <v>197.5</v>
      </c>
      <c r="I471" s="119">
        <v>30.0</v>
      </c>
      <c r="J471" s="57"/>
      <c r="K471" s="56"/>
      <c r="L471" s="55"/>
      <c r="M471" s="55"/>
      <c r="N471" s="55"/>
      <c r="O471" s="24">
        <f t="shared" si="138"/>
        <v>5925</v>
      </c>
      <c r="P471" s="90" t="s">
        <v>51</v>
      </c>
      <c r="Q471" s="7"/>
      <c r="R471" s="7"/>
    </row>
    <row r="472" ht="14.25" customHeight="1">
      <c r="B472" s="90" t="s">
        <v>103</v>
      </c>
      <c r="G472" s="21">
        <v>1500.0</v>
      </c>
      <c r="O472" s="12">
        <f>(G472)+(H472*I472)+(J472*K472)+(L472*100)-(M472)</f>
        <v>1500</v>
      </c>
      <c r="P472" s="1" t="s">
        <v>103</v>
      </c>
      <c r="Q472" s="7"/>
      <c r="R472" s="7"/>
    </row>
    <row r="473" ht="14.25" customHeight="1">
      <c r="B473" s="126" t="s">
        <v>105</v>
      </c>
      <c r="C473" s="114" t="str">
        <f t="shared" ref="C473:C490" si="139">MONTH(D473)&amp; "-" &amp;YEAR(D473)</f>
        <v>12-1899</v>
      </c>
      <c r="D473" s="7"/>
      <c r="E473" s="9"/>
      <c r="F473" s="10">
        <f> (30-'Salários'!$N473)</f>
        <v>30</v>
      </c>
      <c r="G473" s="21">
        <v>4000.0</v>
      </c>
      <c r="H473" s="10"/>
      <c r="I473" s="9"/>
      <c r="J473" s="10"/>
      <c r="K473" s="9"/>
      <c r="L473" s="4"/>
      <c r="M473" s="4"/>
      <c r="N473" s="4"/>
      <c r="O473" s="12">
        <f t="shared" ref="O473:O483" si="140">(G473)+(H473*I473)+(J473*K473)+(L473*100)-(M473)</f>
        <v>4000</v>
      </c>
      <c r="P473" s="115" t="s">
        <v>105</v>
      </c>
      <c r="Q473" s="7"/>
      <c r="R473" s="7"/>
    </row>
    <row r="474" ht="14.25" customHeight="1">
      <c r="B474" s="4"/>
      <c r="C474" s="114" t="str">
        <f t="shared" si="139"/>
        <v>12-1899</v>
      </c>
      <c r="D474" s="7"/>
      <c r="E474" s="9"/>
      <c r="F474" s="10">
        <f> (30-'Salários'!$N474)</f>
        <v>30</v>
      </c>
      <c r="G474" s="12">
        <f t="shared" ref="G474:G477" si="141">(E474*F474)</f>
        <v>0</v>
      </c>
      <c r="H474" s="10"/>
      <c r="I474" s="9"/>
      <c r="J474" s="10"/>
      <c r="K474" s="9"/>
      <c r="L474" s="4"/>
      <c r="M474" s="4"/>
      <c r="N474" s="4"/>
      <c r="O474" s="12">
        <f t="shared" si="140"/>
        <v>0</v>
      </c>
      <c r="P474" s="7"/>
      <c r="Q474" s="7"/>
      <c r="R474" s="7"/>
    </row>
    <row r="475" ht="14.25" customHeight="1">
      <c r="B475" s="4"/>
      <c r="C475" s="114" t="str">
        <f t="shared" si="139"/>
        <v>12-1899</v>
      </c>
      <c r="D475" s="7"/>
      <c r="E475" s="9"/>
      <c r="F475" s="10">
        <f> (30-'Salários'!$N475)</f>
        <v>30</v>
      </c>
      <c r="G475" s="12">
        <f t="shared" si="141"/>
        <v>0</v>
      </c>
      <c r="H475" s="10"/>
      <c r="I475" s="9"/>
      <c r="J475" s="10"/>
      <c r="K475" s="9"/>
      <c r="L475" s="4"/>
      <c r="M475" s="4"/>
      <c r="N475" s="4"/>
      <c r="O475" s="12">
        <f t="shared" si="140"/>
        <v>0</v>
      </c>
      <c r="P475" s="7"/>
      <c r="Q475" s="7"/>
      <c r="R475" s="7"/>
    </row>
    <row r="476" ht="14.25" customHeight="1">
      <c r="B476" s="4"/>
      <c r="C476" s="114" t="str">
        <f t="shared" si="139"/>
        <v>12-1899</v>
      </c>
      <c r="D476" s="7"/>
      <c r="E476" s="9"/>
      <c r="F476" s="10">
        <f> (30-'Salários'!$N476)</f>
        <v>30</v>
      </c>
      <c r="G476" s="12">
        <f t="shared" si="141"/>
        <v>0</v>
      </c>
      <c r="H476" s="10"/>
      <c r="I476" s="9"/>
      <c r="J476" s="10"/>
      <c r="K476" s="9"/>
      <c r="L476" s="4"/>
      <c r="M476" s="4"/>
      <c r="N476" s="4"/>
      <c r="O476" s="12">
        <f t="shared" si="140"/>
        <v>0</v>
      </c>
      <c r="P476" s="7"/>
      <c r="Q476" s="7"/>
      <c r="R476" s="7"/>
    </row>
    <row r="477" ht="14.25" customHeight="1">
      <c r="B477" s="55"/>
      <c r="C477" s="114" t="str">
        <f t="shared" si="139"/>
        <v>12-1899</v>
      </c>
      <c r="D477" s="7"/>
      <c r="E477" s="9"/>
      <c r="F477" s="10">
        <f> (30-'Salários'!$N477)</f>
        <v>30</v>
      </c>
      <c r="G477" s="12">
        <f t="shared" si="141"/>
        <v>0</v>
      </c>
      <c r="H477" s="10"/>
      <c r="I477" s="9"/>
      <c r="J477" s="10"/>
      <c r="K477" s="9"/>
      <c r="L477" s="4"/>
      <c r="M477" s="4"/>
      <c r="N477" s="4"/>
      <c r="O477" s="12">
        <f t="shared" si="140"/>
        <v>0</v>
      </c>
      <c r="P477" s="55"/>
      <c r="Q477" s="7"/>
      <c r="R477" s="7"/>
    </row>
    <row r="478" ht="14.25" customHeight="1">
      <c r="A478" s="30"/>
      <c r="B478" s="45" t="s">
        <v>18</v>
      </c>
      <c r="C478" s="31" t="str">
        <f t="shared" si="139"/>
        <v>12-2025</v>
      </c>
      <c r="D478" s="117">
        <v>45992.0</v>
      </c>
      <c r="E478" s="47">
        <f>SUM(G478/F478)</f>
        <v>80.49166667</v>
      </c>
      <c r="F478" s="48">
        <f> (30-'Salários'!$N478)</f>
        <v>30</v>
      </c>
      <c r="G478" s="72">
        <v>2414.75</v>
      </c>
      <c r="H478" s="35">
        <v>148.0</v>
      </c>
      <c r="I478" s="47">
        <v>20.0</v>
      </c>
      <c r="J478" s="35">
        <v>1.0</v>
      </c>
      <c r="K478" s="34">
        <v>20.0</v>
      </c>
      <c r="L478" s="1">
        <v>0.0</v>
      </c>
      <c r="M478" s="1"/>
      <c r="N478" s="31"/>
      <c r="O478" s="39">
        <f t="shared" si="140"/>
        <v>5394.75</v>
      </c>
      <c r="P478" s="45" t="s">
        <v>18</v>
      </c>
      <c r="Q478" s="40"/>
      <c r="R478" s="4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30"/>
      <c r="B479" s="53" t="s">
        <v>102</v>
      </c>
      <c r="C479" s="31" t="str">
        <f t="shared" si="139"/>
        <v>12-2025</v>
      </c>
      <c r="D479" s="117">
        <v>45992.0</v>
      </c>
      <c r="E479" s="47">
        <v>66.6667</v>
      </c>
      <c r="F479" s="48">
        <f> (30-'Salários'!$N479)</f>
        <v>30</v>
      </c>
      <c r="G479" s="72">
        <v>3500.0</v>
      </c>
      <c r="H479" s="35">
        <v>230.3</v>
      </c>
      <c r="I479" s="67">
        <v>15.0</v>
      </c>
      <c r="J479" s="41"/>
      <c r="K479" s="37"/>
      <c r="L479" s="31"/>
      <c r="M479" s="31"/>
      <c r="N479" s="31"/>
      <c r="O479" s="39">
        <f t="shared" si="140"/>
        <v>6954.5</v>
      </c>
      <c r="P479" s="53" t="s">
        <v>102</v>
      </c>
      <c r="Q479" s="40"/>
      <c r="R479" s="4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30"/>
      <c r="B480" s="53" t="s">
        <v>91</v>
      </c>
      <c r="C480" s="31" t="str">
        <f t="shared" si="139"/>
        <v>12-2025</v>
      </c>
      <c r="D480" s="117">
        <v>45992.0</v>
      </c>
      <c r="E480" s="47">
        <f>SUM(G480/F480)</f>
        <v>150</v>
      </c>
      <c r="F480" s="48">
        <f> (30-'Salários'!$N480)</f>
        <v>30</v>
      </c>
      <c r="G480" s="72">
        <v>4500.0</v>
      </c>
      <c r="H480" s="35">
        <v>206.6</v>
      </c>
      <c r="I480" s="67">
        <v>20.0</v>
      </c>
      <c r="J480" s="41"/>
      <c r="K480" s="37"/>
      <c r="L480" s="31"/>
      <c r="M480" s="1"/>
      <c r="N480" s="31"/>
      <c r="O480" s="39">
        <f t="shared" si="140"/>
        <v>8632</v>
      </c>
      <c r="P480" s="53" t="s">
        <v>91</v>
      </c>
      <c r="Q480" s="40"/>
      <c r="R480" s="4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30"/>
      <c r="B481" s="45" t="s">
        <v>26</v>
      </c>
      <c r="C481" s="31" t="str">
        <f t="shared" si="139"/>
        <v>12-2025</v>
      </c>
      <c r="D481" s="117">
        <v>45992.0</v>
      </c>
      <c r="E481" s="47">
        <v>100.0</v>
      </c>
      <c r="F481" s="48">
        <f> (30-'Salários'!$N481)</f>
        <v>30</v>
      </c>
      <c r="G481" s="49">
        <f>(E481*F481)</f>
        <v>3000</v>
      </c>
      <c r="H481" s="35">
        <v>180.8</v>
      </c>
      <c r="I481" s="47">
        <v>20.0</v>
      </c>
      <c r="J481" s="35">
        <v>14.7</v>
      </c>
      <c r="K481" s="34">
        <v>20.0</v>
      </c>
      <c r="L481" s="31"/>
      <c r="M481" s="31"/>
      <c r="N481" s="31"/>
      <c r="O481" s="39">
        <f t="shared" si="140"/>
        <v>6910</v>
      </c>
      <c r="P481" s="45" t="s">
        <v>26</v>
      </c>
      <c r="Q481" s="40"/>
      <c r="R481" s="4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30"/>
      <c r="B482" s="45" t="s">
        <v>72</v>
      </c>
      <c r="C482" s="31" t="str">
        <f t="shared" si="139"/>
        <v>12-2025</v>
      </c>
      <c r="D482" s="117">
        <v>45992.0</v>
      </c>
      <c r="E482" s="47">
        <f t="shared" ref="E482:E483" si="142">(2000/30)</f>
        <v>66.66666667</v>
      </c>
      <c r="F482" s="48">
        <v>30.0</v>
      </c>
      <c r="G482" s="89">
        <v>3800.0</v>
      </c>
      <c r="H482" s="35">
        <v>213.8</v>
      </c>
      <c r="I482" s="89">
        <v>20.0</v>
      </c>
      <c r="J482" s="41"/>
      <c r="K482" s="37"/>
      <c r="L482" s="31"/>
      <c r="M482" s="1">
        <v>1000.0</v>
      </c>
      <c r="N482" s="1"/>
      <c r="O482" s="39">
        <f t="shared" si="140"/>
        <v>7076</v>
      </c>
      <c r="P482" s="45" t="s">
        <v>72</v>
      </c>
      <c r="Q482" s="40"/>
      <c r="R482" s="4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30"/>
      <c r="B483" s="53" t="s">
        <v>98</v>
      </c>
      <c r="C483" s="31" t="str">
        <f t="shared" si="139"/>
        <v>12-2025</v>
      </c>
      <c r="D483" s="117">
        <v>45992.0</v>
      </c>
      <c r="E483" s="47">
        <f t="shared" si="142"/>
        <v>66.66666667</v>
      </c>
      <c r="F483" s="48">
        <f> (30-'Salários'!$N483)</f>
        <v>30</v>
      </c>
      <c r="G483" s="72">
        <v>4000.0</v>
      </c>
      <c r="H483" s="41"/>
      <c r="I483" s="47"/>
      <c r="J483" s="41"/>
      <c r="K483" s="37"/>
      <c r="L483" s="31"/>
      <c r="M483" s="31"/>
      <c r="N483" s="31"/>
      <c r="O483" s="39">
        <f t="shared" si="140"/>
        <v>4000</v>
      </c>
      <c r="P483" s="53" t="s">
        <v>98</v>
      </c>
      <c r="Q483" s="40"/>
      <c r="R483" s="4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30"/>
      <c r="B484" s="45" t="s">
        <v>30</v>
      </c>
      <c r="C484" s="31" t="str">
        <f t="shared" si="139"/>
        <v>12-2025</v>
      </c>
      <c r="D484" s="117">
        <v>45992.0</v>
      </c>
      <c r="E484" s="47">
        <v>175.0</v>
      </c>
      <c r="F484" s="48">
        <f> (30-'Salários'!$N484)</f>
        <v>30</v>
      </c>
      <c r="G484" s="72">
        <v>6000.0</v>
      </c>
      <c r="H484" s="41"/>
      <c r="I484" s="47"/>
      <c r="J484" s="41"/>
      <c r="K484" s="37"/>
      <c r="L484" s="31"/>
      <c r="M484" s="31"/>
      <c r="N484" s="31"/>
      <c r="O484" s="36">
        <v>6000.0</v>
      </c>
      <c r="P484" s="45" t="s">
        <v>30</v>
      </c>
      <c r="Q484" s="40"/>
      <c r="R484" s="4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30"/>
      <c r="B485" s="45" t="s">
        <v>29</v>
      </c>
      <c r="C485" s="31" t="str">
        <f t="shared" si="139"/>
        <v>12-2025</v>
      </c>
      <c r="D485" s="117">
        <v>45992.0</v>
      </c>
      <c r="E485" s="47">
        <f>SUM(G485/F485)</f>
        <v>100</v>
      </c>
      <c r="F485" s="48">
        <f> (30-'Salários'!$N485)</f>
        <v>30</v>
      </c>
      <c r="G485" s="72">
        <v>3000.0</v>
      </c>
      <c r="H485" s="41"/>
      <c r="I485" s="47"/>
      <c r="J485" s="41"/>
      <c r="K485" s="37"/>
      <c r="L485" s="31"/>
      <c r="M485" s="31"/>
      <c r="N485" s="31"/>
      <c r="O485" s="39">
        <f t="shared" ref="O485:O490" si="143">(G485)+(H485*I485)+(J485*K485)+(L485*100)-(M485)</f>
        <v>3000</v>
      </c>
      <c r="P485" s="45" t="s">
        <v>29</v>
      </c>
      <c r="Q485" s="40"/>
      <c r="R485" s="4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30"/>
      <c r="B486" s="53" t="s">
        <v>99</v>
      </c>
      <c r="C486" s="31" t="str">
        <f t="shared" si="139"/>
        <v>12-2025</v>
      </c>
      <c r="D486" s="117">
        <v>45992.0</v>
      </c>
      <c r="E486" s="47"/>
      <c r="F486" s="48"/>
      <c r="G486" s="49"/>
      <c r="H486" s="35">
        <v>180.0</v>
      </c>
      <c r="I486" s="67">
        <v>25.0</v>
      </c>
      <c r="J486" s="41"/>
      <c r="K486" s="34">
        <v>100.0</v>
      </c>
      <c r="L486" s="31"/>
      <c r="M486" s="31"/>
      <c r="N486" s="31"/>
      <c r="O486" s="39">
        <f t="shared" si="143"/>
        <v>4500</v>
      </c>
      <c r="P486" s="53" t="s">
        <v>99</v>
      </c>
      <c r="Q486" s="40"/>
      <c r="R486" s="4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30"/>
      <c r="B487" s="45" t="s">
        <v>53</v>
      </c>
      <c r="C487" s="31" t="str">
        <f t="shared" si="139"/>
        <v>12-2025</v>
      </c>
      <c r="D487" s="117">
        <v>45992.0</v>
      </c>
      <c r="E487" s="47">
        <v>116.6666</v>
      </c>
      <c r="F487" s="48">
        <f> (30-'Salários'!$N487)</f>
        <v>30</v>
      </c>
      <c r="G487" s="72">
        <v>4000.0</v>
      </c>
      <c r="H487" s="41"/>
      <c r="I487" s="47"/>
      <c r="J487" s="41"/>
      <c r="K487" s="37"/>
      <c r="L487" s="31"/>
      <c r="M487" s="1">
        <v>300.0</v>
      </c>
      <c r="N487" s="31"/>
      <c r="O487" s="39">
        <f t="shared" si="143"/>
        <v>3700</v>
      </c>
      <c r="P487" s="45" t="s">
        <v>53</v>
      </c>
      <c r="Q487" s="40"/>
      <c r="R487" s="4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30"/>
      <c r="B488" s="53" t="s">
        <v>82</v>
      </c>
      <c r="C488" s="31" t="str">
        <f t="shared" si="139"/>
        <v>12-2025</v>
      </c>
      <c r="D488" s="117">
        <v>45992.0</v>
      </c>
      <c r="E488" s="51">
        <f>SUM(G488/F488)</f>
        <v>133.3333333</v>
      </c>
      <c r="F488" s="48">
        <f> (30-'Salários'!$N488)</f>
        <v>30</v>
      </c>
      <c r="G488" s="72">
        <v>4000.0</v>
      </c>
      <c r="H488" s="35">
        <v>233.41</v>
      </c>
      <c r="I488" s="72">
        <v>20.0</v>
      </c>
      <c r="J488" s="41"/>
      <c r="K488" s="37"/>
      <c r="L488" s="31"/>
      <c r="M488" s="31"/>
      <c r="N488" s="31"/>
      <c r="O488" s="39">
        <f t="shared" si="143"/>
        <v>8668.2</v>
      </c>
      <c r="P488" s="53" t="s">
        <v>82</v>
      </c>
      <c r="Q488" s="40"/>
      <c r="R488" s="4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30"/>
      <c r="B489" s="1" t="s">
        <v>89</v>
      </c>
      <c r="C489" s="31" t="str">
        <f t="shared" si="139"/>
        <v>12-2025</v>
      </c>
      <c r="D489" s="117">
        <v>45992.0</v>
      </c>
      <c r="E489" s="37"/>
      <c r="F489" s="41">
        <f> (30-'Salários'!$N489)</f>
        <v>30</v>
      </c>
      <c r="G489" s="36">
        <v>2500.0</v>
      </c>
      <c r="H489" s="35">
        <v>193.0</v>
      </c>
      <c r="I489" s="34">
        <v>5.0</v>
      </c>
      <c r="J489" s="35">
        <v>1.0</v>
      </c>
      <c r="K489" s="34">
        <v>380.0</v>
      </c>
      <c r="L489" s="31"/>
      <c r="M489" s="31"/>
      <c r="N489" s="31"/>
      <c r="O489" s="39">
        <f t="shared" si="143"/>
        <v>3845</v>
      </c>
      <c r="P489" s="1" t="s">
        <v>89</v>
      </c>
      <c r="Q489" s="40"/>
      <c r="R489" s="4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30"/>
      <c r="B490" s="1" t="s">
        <v>51</v>
      </c>
      <c r="C490" s="31" t="str">
        <f t="shared" si="139"/>
        <v>12-2025</v>
      </c>
      <c r="D490" s="117">
        <v>45992.0</v>
      </c>
      <c r="E490" s="37"/>
      <c r="F490" s="41">
        <f> (30-'Salários'!$N490)</f>
        <v>30</v>
      </c>
      <c r="G490" s="39">
        <f>(E490*F490)</f>
        <v>0</v>
      </c>
      <c r="H490" s="35">
        <v>200.0</v>
      </c>
      <c r="I490" s="34">
        <v>30.0</v>
      </c>
      <c r="J490" s="41"/>
      <c r="K490" s="37"/>
      <c r="L490" s="31"/>
      <c r="M490" s="31"/>
      <c r="N490" s="31"/>
      <c r="O490" s="39">
        <f t="shared" si="143"/>
        <v>6000</v>
      </c>
      <c r="P490" s="1" t="s">
        <v>51</v>
      </c>
      <c r="Q490" s="40"/>
      <c r="R490" s="4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30"/>
      <c r="B491" s="1" t="s">
        <v>103</v>
      </c>
      <c r="C491" s="30"/>
      <c r="D491" s="30"/>
      <c r="E491" s="30"/>
      <c r="F491" s="30"/>
      <c r="G491" s="36">
        <v>1700.0</v>
      </c>
      <c r="H491" s="41"/>
      <c r="I491" s="30"/>
      <c r="J491" s="41"/>
      <c r="K491" s="30"/>
      <c r="L491" s="30"/>
      <c r="M491" s="30"/>
      <c r="N491" s="30"/>
      <c r="O491" s="39">
        <f>(G491)+(H491*I491)+(J491*K491)+(L491*100)-(M491)</f>
        <v>1700</v>
      </c>
      <c r="P491" s="1" t="s">
        <v>103</v>
      </c>
      <c r="Q491" s="40"/>
      <c r="R491" s="4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30"/>
      <c r="B492" s="1" t="s">
        <v>105</v>
      </c>
      <c r="C492" s="31" t="str">
        <f t="shared" ref="C492:C650" si="144">MONTH(D492)&amp; "-" &amp;YEAR(D492)</f>
        <v>12-1899</v>
      </c>
      <c r="D492" s="40"/>
      <c r="E492" s="37"/>
      <c r="F492" s="41">
        <f> (30-'Salários'!$N492)</f>
        <v>30</v>
      </c>
      <c r="G492" s="36">
        <v>4000.0</v>
      </c>
      <c r="H492" s="41"/>
      <c r="I492" s="37"/>
      <c r="J492" s="41"/>
      <c r="K492" s="37"/>
      <c r="L492" s="31"/>
      <c r="M492" s="31"/>
      <c r="N492" s="31"/>
      <c r="O492" s="39">
        <f t="shared" ref="O492:O650" si="145">(G492)+(H492*I492)+(J492*K492)+(L492*100)-(M492)</f>
        <v>4000</v>
      </c>
      <c r="P492" s="1" t="s">
        <v>105</v>
      </c>
      <c r="Q492" s="40"/>
      <c r="R492" s="4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30"/>
      <c r="B493" s="1" t="s">
        <v>106</v>
      </c>
      <c r="C493" s="31" t="str">
        <f t="shared" si="144"/>
        <v>12-1899</v>
      </c>
      <c r="D493" s="40"/>
      <c r="E493" s="34">
        <v>66.671</v>
      </c>
      <c r="F493" s="35">
        <v>28.0</v>
      </c>
      <c r="G493" s="36">
        <f>SUM(F493*E493)</f>
        <v>1866.788</v>
      </c>
      <c r="H493" s="41"/>
      <c r="I493" s="37"/>
      <c r="J493" s="41"/>
      <c r="K493" s="37"/>
      <c r="L493" s="31"/>
      <c r="M493" s="31"/>
      <c r="N493" s="31"/>
      <c r="O493" s="39">
        <f t="shared" si="145"/>
        <v>1866.788</v>
      </c>
      <c r="P493" s="31"/>
      <c r="Q493" s="40"/>
      <c r="R493" s="4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B494" s="19" t="s">
        <v>107</v>
      </c>
      <c r="C494" s="5" t="str">
        <f t="shared" si="144"/>
        <v>12-1899</v>
      </c>
      <c r="D494" s="8"/>
      <c r="E494" s="9"/>
      <c r="F494" s="10">
        <f> (30-'Salários'!$N494)</f>
        <v>30</v>
      </c>
      <c r="G494" s="12">
        <f t="shared" ref="G494:G650" si="146">(E494*F494)</f>
        <v>0</v>
      </c>
      <c r="H494" s="22">
        <v>14.0</v>
      </c>
      <c r="I494" s="23">
        <v>100.0</v>
      </c>
      <c r="J494" s="10"/>
      <c r="K494" s="9"/>
      <c r="L494" s="4"/>
      <c r="M494" s="4"/>
      <c r="N494" s="4"/>
      <c r="O494" s="24">
        <f t="shared" si="145"/>
        <v>1400</v>
      </c>
      <c r="P494" s="7"/>
      <c r="Q494" s="7"/>
      <c r="R494" s="7"/>
    </row>
    <row r="495" ht="14.25" customHeight="1">
      <c r="B495" s="4"/>
      <c r="C495" s="114" t="str">
        <f t="shared" si="144"/>
        <v>12-1899</v>
      </c>
      <c r="D495" s="7"/>
      <c r="E495" s="9"/>
      <c r="F495" s="10">
        <f> (30-'Salários'!$N495)</f>
        <v>30</v>
      </c>
      <c r="G495" s="12">
        <f t="shared" si="146"/>
        <v>0</v>
      </c>
      <c r="H495" s="10"/>
      <c r="I495" s="9"/>
      <c r="J495" s="10"/>
      <c r="K495" s="9"/>
      <c r="L495" s="4"/>
      <c r="M495" s="4"/>
      <c r="N495" s="4"/>
      <c r="O495" s="24">
        <f t="shared" si="145"/>
        <v>0</v>
      </c>
      <c r="P495" s="7"/>
      <c r="Q495" s="7"/>
      <c r="R495" s="7"/>
    </row>
    <row r="496" ht="14.25" customHeight="1">
      <c r="B496" s="4"/>
      <c r="C496" s="114" t="str">
        <f t="shared" si="144"/>
        <v>12-1899</v>
      </c>
      <c r="D496" s="7"/>
      <c r="E496" s="9"/>
      <c r="F496" s="10">
        <f> (30-'Salários'!$N496)</f>
        <v>30</v>
      </c>
      <c r="G496" s="12">
        <f t="shared" si="146"/>
        <v>0</v>
      </c>
      <c r="H496" s="10"/>
      <c r="I496" s="9"/>
      <c r="J496" s="10"/>
      <c r="K496" s="9"/>
      <c r="L496" s="4"/>
      <c r="M496" s="4"/>
      <c r="N496" s="4"/>
      <c r="O496" s="24">
        <f t="shared" si="145"/>
        <v>0</v>
      </c>
      <c r="P496" s="7"/>
      <c r="Q496" s="7"/>
      <c r="R496" s="7"/>
    </row>
    <row r="497" ht="14.25" customHeight="1">
      <c r="B497" s="4"/>
      <c r="C497" s="114" t="str">
        <f t="shared" si="144"/>
        <v>12-1899</v>
      </c>
      <c r="D497" s="7"/>
      <c r="E497" s="9"/>
      <c r="F497" s="10">
        <f> (30-'Salários'!$N497)</f>
        <v>30</v>
      </c>
      <c r="G497" s="12">
        <f t="shared" si="146"/>
        <v>0</v>
      </c>
      <c r="H497" s="10"/>
      <c r="I497" s="9"/>
      <c r="J497" s="10"/>
      <c r="K497" s="9"/>
      <c r="L497" s="4"/>
      <c r="M497" s="4"/>
      <c r="N497" s="4"/>
      <c r="O497" s="24">
        <f t="shared" si="145"/>
        <v>0</v>
      </c>
      <c r="P497" s="7"/>
      <c r="Q497" s="7"/>
      <c r="R497" s="7"/>
    </row>
    <row r="498" ht="14.25" customHeight="1">
      <c r="B498" s="4"/>
      <c r="C498" s="114" t="str">
        <f t="shared" si="144"/>
        <v>12-1899</v>
      </c>
      <c r="D498" s="7"/>
      <c r="E498" s="9"/>
      <c r="F498" s="10">
        <f> (30-'Salários'!$N498)</f>
        <v>30</v>
      </c>
      <c r="G498" s="12">
        <f t="shared" si="146"/>
        <v>0</v>
      </c>
      <c r="H498" s="10"/>
      <c r="I498" s="9"/>
      <c r="J498" s="10"/>
      <c r="K498" s="9"/>
      <c r="L498" s="4"/>
      <c r="M498" s="4"/>
      <c r="N498" s="4"/>
      <c r="O498" s="24">
        <f t="shared" si="145"/>
        <v>0</v>
      </c>
      <c r="P498" s="7"/>
      <c r="Q498" s="7"/>
      <c r="R498" s="7"/>
    </row>
    <row r="499" ht="14.25" customHeight="1">
      <c r="B499" s="4"/>
      <c r="C499" s="114" t="str">
        <f t="shared" si="144"/>
        <v>12-1899</v>
      </c>
      <c r="D499" s="7"/>
      <c r="E499" s="9"/>
      <c r="F499" s="10">
        <f> (30-'Salários'!$N499)</f>
        <v>30</v>
      </c>
      <c r="G499" s="12">
        <f t="shared" si="146"/>
        <v>0</v>
      </c>
      <c r="H499" s="10"/>
      <c r="I499" s="9"/>
      <c r="J499" s="10"/>
      <c r="K499" s="9"/>
      <c r="L499" s="4"/>
      <c r="M499" s="4"/>
      <c r="N499" s="4"/>
      <c r="O499" s="24">
        <f t="shared" si="145"/>
        <v>0</v>
      </c>
      <c r="P499" s="7"/>
      <c r="Q499" s="7"/>
      <c r="R499" s="7"/>
    </row>
    <row r="500" ht="14.25" customHeight="1">
      <c r="B500" s="4"/>
      <c r="C500" s="114" t="str">
        <f t="shared" si="144"/>
        <v>12-1899</v>
      </c>
      <c r="D500" s="7"/>
      <c r="E500" s="9"/>
      <c r="F500" s="10">
        <f> (30-'Salários'!$N500)</f>
        <v>30</v>
      </c>
      <c r="G500" s="12">
        <f t="shared" si="146"/>
        <v>0</v>
      </c>
      <c r="H500" s="10"/>
      <c r="I500" s="9"/>
      <c r="J500" s="10"/>
      <c r="K500" s="9"/>
      <c r="L500" s="4"/>
      <c r="M500" s="4"/>
      <c r="N500" s="4"/>
      <c r="O500" s="24">
        <f t="shared" si="145"/>
        <v>0</v>
      </c>
      <c r="P500" s="7"/>
      <c r="Q500" s="7"/>
      <c r="R500" s="7"/>
    </row>
    <row r="501" ht="14.25" customHeight="1">
      <c r="B501" s="4"/>
      <c r="C501" s="114" t="str">
        <f t="shared" si="144"/>
        <v>12-1899</v>
      </c>
      <c r="D501" s="7"/>
      <c r="E501" s="9"/>
      <c r="F501" s="10">
        <f> (30-'Salários'!$N501)</f>
        <v>30</v>
      </c>
      <c r="G501" s="12">
        <f t="shared" si="146"/>
        <v>0</v>
      </c>
      <c r="H501" s="10"/>
      <c r="I501" s="9"/>
      <c r="J501" s="10"/>
      <c r="K501" s="9"/>
      <c r="L501" s="4"/>
      <c r="M501" s="4"/>
      <c r="N501" s="4"/>
      <c r="O501" s="24">
        <f t="shared" si="145"/>
        <v>0</v>
      </c>
      <c r="P501" s="7"/>
      <c r="Q501" s="7"/>
      <c r="R501" s="7"/>
    </row>
    <row r="502" ht="14.25" customHeight="1">
      <c r="B502" s="4"/>
      <c r="C502" s="114" t="str">
        <f t="shared" si="144"/>
        <v>12-1899</v>
      </c>
      <c r="D502" s="7"/>
      <c r="E502" s="9"/>
      <c r="F502" s="10">
        <f> (30-'Salários'!$N502)</f>
        <v>30</v>
      </c>
      <c r="G502" s="12">
        <f t="shared" si="146"/>
        <v>0</v>
      </c>
      <c r="H502" s="10"/>
      <c r="I502" s="9"/>
      <c r="J502" s="10"/>
      <c r="K502" s="9"/>
      <c r="L502" s="4"/>
      <c r="M502" s="4"/>
      <c r="N502" s="4"/>
      <c r="O502" s="24">
        <f t="shared" si="145"/>
        <v>0</v>
      </c>
      <c r="P502" s="7"/>
      <c r="Q502" s="7"/>
      <c r="R502" s="7"/>
    </row>
    <row r="503" ht="14.25" customHeight="1">
      <c r="B503" s="4"/>
      <c r="C503" s="114" t="str">
        <f t="shared" si="144"/>
        <v>12-1899</v>
      </c>
      <c r="D503" s="7"/>
      <c r="E503" s="9"/>
      <c r="F503" s="10">
        <f> (30-'Salários'!$N503)</f>
        <v>30</v>
      </c>
      <c r="G503" s="12">
        <f t="shared" si="146"/>
        <v>0</v>
      </c>
      <c r="H503" s="10"/>
      <c r="I503" s="9"/>
      <c r="J503" s="10"/>
      <c r="K503" s="9"/>
      <c r="L503" s="4"/>
      <c r="M503" s="4"/>
      <c r="N503" s="4"/>
      <c r="O503" s="24">
        <f t="shared" si="145"/>
        <v>0</v>
      </c>
      <c r="P503" s="7"/>
      <c r="Q503" s="7"/>
      <c r="R503" s="7"/>
    </row>
    <row r="504" ht="14.25" customHeight="1">
      <c r="B504" s="4"/>
      <c r="C504" s="114" t="str">
        <f t="shared" si="144"/>
        <v>12-1899</v>
      </c>
      <c r="D504" s="7"/>
      <c r="E504" s="9"/>
      <c r="F504" s="10">
        <f> (30-'Salários'!$N504)</f>
        <v>30</v>
      </c>
      <c r="G504" s="12">
        <f t="shared" si="146"/>
        <v>0</v>
      </c>
      <c r="H504" s="10"/>
      <c r="I504" s="9"/>
      <c r="J504" s="10"/>
      <c r="K504" s="9"/>
      <c r="L504" s="4"/>
      <c r="M504" s="4"/>
      <c r="N504" s="4"/>
      <c r="O504" s="24">
        <f t="shared" si="145"/>
        <v>0</v>
      </c>
      <c r="P504" s="7"/>
      <c r="Q504" s="7"/>
      <c r="R504" s="7"/>
    </row>
    <row r="505" ht="14.25" customHeight="1">
      <c r="B505" s="4"/>
      <c r="C505" s="114" t="str">
        <f t="shared" si="144"/>
        <v>12-1899</v>
      </c>
      <c r="D505" s="7"/>
      <c r="E505" s="9"/>
      <c r="F505" s="10">
        <f> (30-'Salários'!$N505)</f>
        <v>30</v>
      </c>
      <c r="G505" s="12">
        <f t="shared" si="146"/>
        <v>0</v>
      </c>
      <c r="H505" s="10"/>
      <c r="I505" s="9"/>
      <c r="J505" s="10"/>
      <c r="K505" s="9"/>
      <c r="L505" s="4"/>
      <c r="M505" s="4"/>
      <c r="N505" s="4"/>
      <c r="O505" s="24">
        <f t="shared" si="145"/>
        <v>0</v>
      </c>
      <c r="P505" s="7"/>
      <c r="Q505" s="7"/>
      <c r="R505" s="7"/>
    </row>
    <row r="506" ht="14.25" customHeight="1">
      <c r="B506" s="4"/>
      <c r="C506" s="114" t="str">
        <f t="shared" si="144"/>
        <v>12-1899</v>
      </c>
      <c r="D506" s="7"/>
      <c r="E506" s="9"/>
      <c r="F506" s="10">
        <f> (30-'Salários'!$N506)</f>
        <v>30</v>
      </c>
      <c r="G506" s="12">
        <f t="shared" si="146"/>
        <v>0</v>
      </c>
      <c r="H506" s="10"/>
      <c r="I506" s="9"/>
      <c r="J506" s="10"/>
      <c r="K506" s="9"/>
      <c r="L506" s="4"/>
      <c r="M506" s="4"/>
      <c r="N506" s="4"/>
      <c r="O506" s="24">
        <f t="shared" si="145"/>
        <v>0</v>
      </c>
      <c r="P506" s="7"/>
      <c r="Q506" s="7"/>
      <c r="R506" s="7"/>
    </row>
    <row r="507" ht="14.25" customHeight="1">
      <c r="B507" s="4"/>
      <c r="C507" s="114" t="str">
        <f t="shared" si="144"/>
        <v>12-1899</v>
      </c>
      <c r="D507" s="7"/>
      <c r="E507" s="9"/>
      <c r="F507" s="10">
        <f> (30-'Salários'!$N507)</f>
        <v>30</v>
      </c>
      <c r="G507" s="12">
        <f t="shared" si="146"/>
        <v>0</v>
      </c>
      <c r="H507" s="10"/>
      <c r="I507" s="9"/>
      <c r="J507" s="10"/>
      <c r="K507" s="9"/>
      <c r="L507" s="4"/>
      <c r="M507" s="4"/>
      <c r="N507" s="4"/>
      <c r="O507" s="24">
        <f t="shared" si="145"/>
        <v>0</v>
      </c>
      <c r="P507" s="7"/>
      <c r="Q507" s="7"/>
      <c r="R507" s="7"/>
    </row>
    <row r="508" ht="14.25" customHeight="1">
      <c r="B508" s="4"/>
      <c r="C508" s="114" t="str">
        <f t="shared" si="144"/>
        <v>12-1899</v>
      </c>
      <c r="D508" s="7"/>
      <c r="E508" s="9"/>
      <c r="F508" s="10">
        <f> (30-'Salários'!$N508)</f>
        <v>30</v>
      </c>
      <c r="G508" s="12">
        <f t="shared" si="146"/>
        <v>0</v>
      </c>
      <c r="H508" s="10"/>
      <c r="I508" s="9"/>
      <c r="J508" s="10"/>
      <c r="K508" s="9"/>
      <c r="L508" s="4"/>
      <c r="M508" s="4"/>
      <c r="N508" s="4"/>
      <c r="O508" s="24">
        <f t="shared" si="145"/>
        <v>0</v>
      </c>
      <c r="P508" s="7"/>
      <c r="Q508" s="7"/>
      <c r="R508" s="7"/>
    </row>
    <row r="509" ht="14.25" customHeight="1">
      <c r="B509" s="4"/>
      <c r="C509" s="114" t="str">
        <f t="shared" si="144"/>
        <v>12-1899</v>
      </c>
      <c r="D509" s="7"/>
      <c r="E509" s="9"/>
      <c r="F509" s="10">
        <f> (30-'Salários'!$N509)</f>
        <v>30</v>
      </c>
      <c r="G509" s="12">
        <f t="shared" si="146"/>
        <v>0</v>
      </c>
      <c r="H509" s="10"/>
      <c r="I509" s="9"/>
      <c r="J509" s="10"/>
      <c r="K509" s="9"/>
      <c r="L509" s="4"/>
      <c r="M509" s="4"/>
      <c r="N509" s="4"/>
      <c r="O509" s="24">
        <f t="shared" si="145"/>
        <v>0</v>
      </c>
      <c r="P509" s="7"/>
      <c r="Q509" s="7"/>
      <c r="R509" s="7"/>
    </row>
    <row r="510" ht="14.25" customHeight="1">
      <c r="B510" s="4"/>
      <c r="C510" s="114" t="str">
        <f t="shared" si="144"/>
        <v>12-1899</v>
      </c>
      <c r="D510" s="7"/>
      <c r="E510" s="9"/>
      <c r="F510" s="10">
        <f> (30-'Salários'!$N510)</f>
        <v>30</v>
      </c>
      <c r="G510" s="12">
        <f t="shared" si="146"/>
        <v>0</v>
      </c>
      <c r="H510" s="10"/>
      <c r="I510" s="9"/>
      <c r="J510" s="10"/>
      <c r="K510" s="9"/>
      <c r="L510" s="4"/>
      <c r="M510" s="4"/>
      <c r="N510" s="4"/>
      <c r="O510" s="24">
        <f t="shared" si="145"/>
        <v>0</v>
      </c>
      <c r="P510" s="7"/>
      <c r="Q510" s="7"/>
      <c r="R510" s="7"/>
    </row>
    <row r="511" ht="14.25" customHeight="1">
      <c r="B511" s="4"/>
      <c r="C511" s="114" t="str">
        <f t="shared" si="144"/>
        <v>12-1899</v>
      </c>
      <c r="D511" s="7"/>
      <c r="E511" s="9"/>
      <c r="F511" s="10">
        <f> (30-'Salários'!$N511)</f>
        <v>30</v>
      </c>
      <c r="G511" s="12">
        <f t="shared" si="146"/>
        <v>0</v>
      </c>
      <c r="H511" s="10"/>
      <c r="I511" s="9"/>
      <c r="J511" s="10"/>
      <c r="K511" s="9"/>
      <c r="L511" s="4"/>
      <c r="M511" s="4"/>
      <c r="N511" s="4"/>
      <c r="O511" s="24">
        <f t="shared" si="145"/>
        <v>0</v>
      </c>
      <c r="P511" s="7"/>
      <c r="Q511" s="7"/>
      <c r="R511" s="7"/>
    </row>
    <row r="512" ht="14.25" customHeight="1">
      <c r="B512" s="4"/>
      <c r="C512" s="114" t="str">
        <f t="shared" si="144"/>
        <v>12-1899</v>
      </c>
      <c r="D512" s="7"/>
      <c r="E512" s="9"/>
      <c r="F512" s="10">
        <f> (30-'Salários'!$N512)</f>
        <v>30</v>
      </c>
      <c r="G512" s="12">
        <f t="shared" si="146"/>
        <v>0</v>
      </c>
      <c r="H512" s="10"/>
      <c r="I512" s="9"/>
      <c r="J512" s="10"/>
      <c r="K512" s="9"/>
      <c r="L512" s="4"/>
      <c r="M512" s="4"/>
      <c r="N512" s="4"/>
      <c r="O512" s="24">
        <f t="shared" si="145"/>
        <v>0</v>
      </c>
      <c r="P512" s="7"/>
      <c r="Q512" s="7"/>
      <c r="R512" s="7"/>
    </row>
    <row r="513" ht="14.25" customHeight="1">
      <c r="B513" s="4"/>
      <c r="C513" s="114" t="str">
        <f t="shared" si="144"/>
        <v>12-1899</v>
      </c>
      <c r="D513" s="7"/>
      <c r="E513" s="9"/>
      <c r="F513" s="10">
        <f> (30-'Salários'!$N513)</f>
        <v>30</v>
      </c>
      <c r="G513" s="12">
        <f t="shared" si="146"/>
        <v>0</v>
      </c>
      <c r="H513" s="10"/>
      <c r="I513" s="9"/>
      <c r="J513" s="10"/>
      <c r="K513" s="9"/>
      <c r="L513" s="4"/>
      <c r="M513" s="4"/>
      <c r="N513" s="4"/>
      <c r="O513" s="24">
        <f t="shared" si="145"/>
        <v>0</v>
      </c>
      <c r="P513" s="7"/>
      <c r="Q513" s="7"/>
      <c r="R513" s="7"/>
    </row>
    <row r="514" ht="14.25" customHeight="1">
      <c r="B514" s="4"/>
      <c r="C514" s="114" t="str">
        <f t="shared" si="144"/>
        <v>12-1899</v>
      </c>
      <c r="D514" s="7"/>
      <c r="E514" s="9"/>
      <c r="F514" s="10">
        <f> (30-'Salários'!$N514)</f>
        <v>30</v>
      </c>
      <c r="G514" s="12">
        <f t="shared" si="146"/>
        <v>0</v>
      </c>
      <c r="H514" s="10"/>
      <c r="I514" s="9"/>
      <c r="J514" s="10"/>
      <c r="K514" s="9"/>
      <c r="L514" s="4"/>
      <c r="M514" s="4"/>
      <c r="N514" s="4"/>
      <c r="O514" s="24">
        <f t="shared" si="145"/>
        <v>0</v>
      </c>
      <c r="P514" s="7"/>
      <c r="Q514" s="7"/>
      <c r="R514" s="7"/>
    </row>
    <row r="515" ht="14.25" customHeight="1">
      <c r="B515" s="4"/>
      <c r="C515" s="114" t="str">
        <f t="shared" si="144"/>
        <v>12-1899</v>
      </c>
      <c r="D515" s="7"/>
      <c r="E515" s="9"/>
      <c r="F515" s="10">
        <f> (30-'Salários'!$N515)</f>
        <v>30</v>
      </c>
      <c r="G515" s="12">
        <f t="shared" si="146"/>
        <v>0</v>
      </c>
      <c r="H515" s="10"/>
      <c r="I515" s="9"/>
      <c r="J515" s="10"/>
      <c r="K515" s="9"/>
      <c r="L515" s="4"/>
      <c r="M515" s="4"/>
      <c r="N515" s="4"/>
      <c r="O515" s="24">
        <f t="shared" si="145"/>
        <v>0</v>
      </c>
      <c r="P515" s="7"/>
      <c r="Q515" s="7"/>
      <c r="R515" s="7"/>
    </row>
    <row r="516" ht="14.25" customHeight="1">
      <c r="B516" s="4"/>
      <c r="C516" s="114" t="str">
        <f t="shared" si="144"/>
        <v>12-1899</v>
      </c>
      <c r="D516" s="7"/>
      <c r="E516" s="9"/>
      <c r="F516" s="10">
        <f> (30-'Salários'!$N516)</f>
        <v>30</v>
      </c>
      <c r="G516" s="12">
        <f t="shared" si="146"/>
        <v>0</v>
      </c>
      <c r="H516" s="10"/>
      <c r="I516" s="9"/>
      <c r="J516" s="10"/>
      <c r="K516" s="9"/>
      <c r="L516" s="4"/>
      <c r="M516" s="4"/>
      <c r="N516" s="4"/>
      <c r="O516" s="24">
        <f t="shared" si="145"/>
        <v>0</v>
      </c>
      <c r="P516" s="7"/>
      <c r="Q516" s="7"/>
      <c r="R516" s="7"/>
    </row>
    <row r="517" ht="14.25" customHeight="1">
      <c r="B517" s="4"/>
      <c r="C517" s="114" t="str">
        <f t="shared" si="144"/>
        <v>12-1899</v>
      </c>
      <c r="D517" s="7"/>
      <c r="E517" s="9"/>
      <c r="F517" s="10">
        <f> (30-'Salários'!$N517)</f>
        <v>30</v>
      </c>
      <c r="G517" s="12">
        <f t="shared" si="146"/>
        <v>0</v>
      </c>
      <c r="H517" s="10"/>
      <c r="I517" s="9"/>
      <c r="J517" s="10"/>
      <c r="K517" s="9"/>
      <c r="L517" s="4"/>
      <c r="M517" s="4"/>
      <c r="N517" s="4"/>
      <c r="O517" s="24">
        <f t="shared" si="145"/>
        <v>0</v>
      </c>
      <c r="P517" s="7"/>
      <c r="Q517" s="7"/>
      <c r="R517" s="7"/>
    </row>
    <row r="518" ht="14.25" customHeight="1">
      <c r="B518" s="4"/>
      <c r="C518" s="114" t="str">
        <f t="shared" si="144"/>
        <v>12-1899</v>
      </c>
      <c r="D518" s="7"/>
      <c r="E518" s="9"/>
      <c r="F518" s="10">
        <f> (30-'Salários'!$N518)</f>
        <v>30</v>
      </c>
      <c r="G518" s="12">
        <f t="shared" si="146"/>
        <v>0</v>
      </c>
      <c r="H518" s="10"/>
      <c r="I518" s="9"/>
      <c r="J518" s="10"/>
      <c r="K518" s="9"/>
      <c r="L518" s="4"/>
      <c r="M518" s="4"/>
      <c r="N518" s="4"/>
      <c r="O518" s="24">
        <f t="shared" si="145"/>
        <v>0</v>
      </c>
      <c r="P518" s="7"/>
      <c r="Q518" s="7"/>
      <c r="R518" s="7"/>
    </row>
    <row r="519" ht="14.25" customHeight="1">
      <c r="B519" s="4"/>
      <c r="C519" s="114" t="str">
        <f t="shared" si="144"/>
        <v>12-1899</v>
      </c>
      <c r="D519" s="7"/>
      <c r="E519" s="9"/>
      <c r="F519" s="10">
        <f> (30-'Salários'!$N519)</f>
        <v>30</v>
      </c>
      <c r="G519" s="12">
        <f t="shared" si="146"/>
        <v>0</v>
      </c>
      <c r="H519" s="10"/>
      <c r="I519" s="9"/>
      <c r="J519" s="10"/>
      <c r="K519" s="9"/>
      <c r="L519" s="4"/>
      <c r="M519" s="4"/>
      <c r="N519" s="4"/>
      <c r="O519" s="24">
        <f t="shared" si="145"/>
        <v>0</v>
      </c>
      <c r="P519" s="7"/>
      <c r="Q519" s="7"/>
      <c r="R519" s="7"/>
    </row>
    <row r="520" ht="14.25" customHeight="1">
      <c r="B520" s="4"/>
      <c r="C520" s="114" t="str">
        <f t="shared" si="144"/>
        <v>12-1899</v>
      </c>
      <c r="D520" s="7"/>
      <c r="E520" s="9"/>
      <c r="F520" s="10">
        <f> (30-'Salários'!$N520)</f>
        <v>30</v>
      </c>
      <c r="G520" s="12">
        <f t="shared" si="146"/>
        <v>0</v>
      </c>
      <c r="H520" s="10"/>
      <c r="I520" s="9"/>
      <c r="J520" s="10"/>
      <c r="K520" s="9"/>
      <c r="L520" s="4"/>
      <c r="M520" s="4"/>
      <c r="N520" s="4"/>
      <c r="O520" s="12">
        <f t="shared" si="145"/>
        <v>0</v>
      </c>
      <c r="P520" s="7"/>
      <c r="Q520" s="7"/>
      <c r="R520" s="7"/>
    </row>
    <row r="521" ht="14.25" customHeight="1">
      <c r="B521" s="4"/>
      <c r="C521" s="114" t="str">
        <f t="shared" si="144"/>
        <v>12-1899</v>
      </c>
      <c r="D521" s="7"/>
      <c r="E521" s="9"/>
      <c r="F521" s="10">
        <f> (30-'Salários'!$N521)</f>
        <v>30</v>
      </c>
      <c r="G521" s="12">
        <f t="shared" si="146"/>
        <v>0</v>
      </c>
      <c r="H521" s="10"/>
      <c r="I521" s="9"/>
      <c r="J521" s="10"/>
      <c r="K521" s="9"/>
      <c r="L521" s="4"/>
      <c r="M521" s="4"/>
      <c r="N521" s="4"/>
      <c r="O521" s="12">
        <f t="shared" si="145"/>
        <v>0</v>
      </c>
      <c r="P521" s="7"/>
      <c r="Q521" s="7"/>
      <c r="R521" s="7"/>
    </row>
    <row r="522" ht="14.25" customHeight="1">
      <c r="B522" s="4"/>
      <c r="C522" s="114" t="str">
        <f t="shared" si="144"/>
        <v>12-1899</v>
      </c>
      <c r="D522" s="7"/>
      <c r="E522" s="9"/>
      <c r="F522" s="10">
        <f> (30-'Salários'!$N522)</f>
        <v>30</v>
      </c>
      <c r="G522" s="12">
        <f t="shared" si="146"/>
        <v>0</v>
      </c>
      <c r="H522" s="10"/>
      <c r="I522" s="9"/>
      <c r="J522" s="10"/>
      <c r="K522" s="9"/>
      <c r="L522" s="4"/>
      <c r="M522" s="4"/>
      <c r="N522" s="4"/>
      <c r="O522" s="12">
        <f t="shared" si="145"/>
        <v>0</v>
      </c>
      <c r="P522" s="7"/>
      <c r="Q522" s="7"/>
      <c r="R522" s="7"/>
    </row>
    <row r="523" ht="14.25" customHeight="1">
      <c r="B523" s="4"/>
      <c r="C523" s="114" t="str">
        <f t="shared" si="144"/>
        <v>12-1899</v>
      </c>
      <c r="D523" s="7"/>
      <c r="E523" s="9"/>
      <c r="F523" s="10">
        <f> (30-'Salários'!$N523)</f>
        <v>30</v>
      </c>
      <c r="G523" s="12">
        <f t="shared" si="146"/>
        <v>0</v>
      </c>
      <c r="H523" s="10"/>
      <c r="I523" s="9"/>
      <c r="J523" s="10"/>
      <c r="K523" s="9"/>
      <c r="L523" s="4"/>
      <c r="M523" s="4"/>
      <c r="N523" s="4"/>
      <c r="O523" s="12">
        <f t="shared" si="145"/>
        <v>0</v>
      </c>
      <c r="P523" s="7"/>
      <c r="Q523" s="7"/>
      <c r="R523" s="7"/>
    </row>
    <row r="524" ht="14.25" customHeight="1">
      <c r="B524" s="4"/>
      <c r="C524" s="114" t="str">
        <f t="shared" si="144"/>
        <v>12-1899</v>
      </c>
      <c r="D524" s="7"/>
      <c r="E524" s="9"/>
      <c r="F524" s="10">
        <f> (30-'Salários'!$N524)</f>
        <v>30</v>
      </c>
      <c r="G524" s="12">
        <f t="shared" si="146"/>
        <v>0</v>
      </c>
      <c r="H524" s="10"/>
      <c r="I524" s="9"/>
      <c r="J524" s="10"/>
      <c r="K524" s="9"/>
      <c r="L524" s="4"/>
      <c r="M524" s="4"/>
      <c r="N524" s="4"/>
      <c r="O524" s="12">
        <f t="shared" si="145"/>
        <v>0</v>
      </c>
      <c r="P524" s="7"/>
      <c r="Q524" s="7"/>
      <c r="R524" s="7"/>
    </row>
    <row r="525" ht="14.25" customHeight="1">
      <c r="B525" s="4"/>
      <c r="C525" s="114" t="str">
        <f t="shared" si="144"/>
        <v>12-1899</v>
      </c>
      <c r="D525" s="7"/>
      <c r="E525" s="9"/>
      <c r="F525" s="10">
        <f> (30-'Salários'!$N525)</f>
        <v>30</v>
      </c>
      <c r="G525" s="12">
        <f t="shared" si="146"/>
        <v>0</v>
      </c>
      <c r="H525" s="10"/>
      <c r="I525" s="9"/>
      <c r="J525" s="10"/>
      <c r="K525" s="9"/>
      <c r="L525" s="4"/>
      <c r="M525" s="4"/>
      <c r="N525" s="4"/>
      <c r="O525" s="12">
        <f t="shared" si="145"/>
        <v>0</v>
      </c>
      <c r="P525" s="7"/>
      <c r="Q525" s="7"/>
      <c r="R525" s="7"/>
    </row>
    <row r="526" ht="14.25" customHeight="1">
      <c r="B526" s="4"/>
      <c r="C526" s="114" t="str">
        <f t="shared" si="144"/>
        <v>12-1899</v>
      </c>
      <c r="D526" s="7"/>
      <c r="E526" s="9"/>
      <c r="F526" s="10">
        <f> (30-'Salários'!$N526)</f>
        <v>30</v>
      </c>
      <c r="G526" s="12">
        <f t="shared" si="146"/>
        <v>0</v>
      </c>
      <c r="H526" s="10"/>
      <c r="I526" s="9"/>
      <c r="J526" s="10"/>
      <c r="K526" s="9"/>
      <c r="L526" s="4"/>
      <c r="M526" s="4"/>
      <c r="N526" s="4"/>
      <c r="O526" s="12">
        <f t="shared" si="145"/>
        <v>0</v>
      </c>
      <c r="P526" s="7"/>
      <c r="Q526" s="7"/>
      <c r="R526" s="7"/>
    </row>
    <row r="527" ht="14.25" customHeight="1">
      <c r="B527" s="4"/>
      <c r="C527" s="114" t="str">
        <f t="shared" si="144"/>
        <v>12-1899</v>
      </c>
      <c r="D527" s="7"/>
      <c r="E527" s="9"/>
      <c r="F527" s="10">
        <f> (30-'Salários'!$N527)</f>
        <v>30</v>
      </c>
      <c r="G527" s="12">
        <f t="shared" si="146"/>
        <v>0</v>
      </c>
      <c r="H527" s="10"/>
      <c r="I527" s="9"/>
      <c r="J527" s="10"/>
      <c r="K527" s="9"/>
      <c r="L527" s="4"/>
      <c r="M527" s="4"/>
      <c r="N527" s="4"/>
      <c r="O527" s="12">
        <f t="shared" si="145"/>
        <v>0</v>
      </c>
      <c r="P527" s="7"/>
      <c r="Q527" s="7"/>
      <c r="R527" s="7"/>
    </row>
    <row r="528" ht="14.25" customHeight="1">
      <c r="B528" s="4"/>
      <c r="C528" s="114" t="str">
        <f t="shared" si="144"/>
        <v>12-1899</v>
      </c>
      <c r="D528" s="7"/>
      <c r="E528" s="9"/>
      <c r="F528" s="10">
        <f> (30-'Salários'!$N528)</f>
        <v>30</v>
      </c>
      <c r="G528" s="12">
        <f t="shared" si="146"/>
        <v>0</v>
      </c>
      <c r="H528" s="10"/>
      <c r="I528" s="9"/>
      <c r="J528" s="10"/>
      <c r="K528" s="9"/>
      <c r="L528" s="4"/>
      <c r="M528" s="4"/>
      <c r="N528" s="4"/>
      <c r="O528" s="12">
        <f t="shared" si="145"/>
        <v>0</v>
      </c>
      <c r="P528" s="7"/>
      <c r="Q528" s="7"/>
      <c r="R528" s="7"/>
    </row>
    <row r="529" ht="14.25" customHeight="1">
      <c r="B529" s="4"/>
      <c r="C529" s="114" t="str">
        <f t="shared" si="144"/>
        <v>12-1899</v>
      </c>
      <c r="D529" s="7"/>
      <c r="E529" s="9"/>
      <c r="F529" s="10">
        <f> (30-'Salários'!$N529)</f>
        <v>30</v>
      </c>
      <c r="G529" s="12">
        <f t="shared" si="146"/>
        <v>0</v>
      </c>
      <c r="H529" s="10"/>
      <c r="I529" s="9"/>
      <c r="J529" s="10"/>
      <c r="K529" s="9"/>
      <c r="L529" s="4"/>
      <c r="M529" s="4"/>
      <c r="N529" s="4"/>
      <c r="O529" s="12">
        <f t="shared" si="145"/>
        <v>0</v>
      </c>
      <c r="P529" s="7"/>
      <c r="Q529" s="7"/>
      <c r="R529" s="7"/>
    </row>
    <row r="530" ht="14.25" customHeight="1">
      <c r="B530" s="4"/>
      <c r="C530" s="114" t="str">
        <f t="shared" si="144"/>
        <v>12-1899</v>
      </c>
      <c r="D530" s="7"/>
      <c r="E530" s="9"/>
      <c r="F530" s="10">
        <f> (30-'Salários'!$N530)</f>
        <v>30</v>
      </c>
      <c r="G530" s="12">
        <f t="shared" si="146"/>
        <v>0</v>
      </c>
      <c r="H530" s="10"/>
      <c r="I530" s="9"/>
      <c r="J530" s="10"/>
      <c r="K530" s="9"/>
      <c r="L530" s="4"/>
      <c r="M530" s="4"/>
      <c r="N530" s="4"/>
      <c r="O530" s="12">
        <f t="shared" si="145"/>
        <v>0</v>
      </c>
      <c r="P530" s="7"/>
      <c r="Q530" s="7"/>
      <c r="R530" s="7"/>
    </row>
    <row r="531" ht="14.25" customHeight="1">
      <c r="B531" s="4"/>
      <c r="C531" s="114" t="str">
        <f t="shared" si="144"/>
        <v>12-1899</v>
      </c>
      <c r="D531" s="7"/>
      <c r="E531" s="9"/>
      <c r="F531" s="10">
        <f> (30-'Salários'!$N531)</f>
        <v>30</v>
      </c>
      <c r="G531" s="12">
        <f t="shared" si="146"/>
        <v>0</v>
      </c>
      <c r="H531" s="10"/>
      <c r="I531" s="9"/>
      <c r="J531" s="10"/>
      <c r="K531" s="9"/>
      <c r="L531" s="4"/>
      <c r="M531" s="4"/>
      <c r="N531" s="4"/>
      <c r="O531" s="12">
        <f t="shared" si="145"/>
        <v>0</v>
      </c>
      <c r="P531" s="7"/>
      <c r="Q531" s="7"/>
      <c r="R531" s="7"/>
    </row>
    <row r="532" ht="14.25" customHeight="1">
      <c r="B532" s="4"/>
      <c r="C532" s="114" t="str">
        <f t="shared" si="144"/>
        <v>12-1899</v>
      </c>
      <c r="D532" s="7"/>
      <c r="E532" s="9"/>
      <c r="F532" s="10">
        <f> (30-'Salários'!$N532)</f>
        <v>30</v>
      </c>
      <c r="G532" s="12">
        <f t="shared" si="146"/>
        <v>0</v>
      </c>
      <c r="H532" s="10"/>
      <c r="I532" s="9"/>
      <c r="J532" s="10"/>
      <c r="K532" s="9"/>
      <c r="L532" s="4"/>
      <c r="M532" s="4"/>
      <c r="N532" s="4"/>
      <c r="O532" s="12">
        <f t="shared" si="145"/>
        <v>0</v>
      </c>
      <c r="P532" s="7"/>
      <c r="Q532" s="7"/>
      <c r="R532" s="7"/>
    </row>
    <row r="533" ht="14.25" customHeight="1">
      <c r="B533" s="4"/>
      <c r="C533" s="114" t="str">
        <f t="shared" si="144"/>
        <v>12-1899</v>
      </c>
      <c r="D533" s="7"/>
      <c r="E533" s="9"/>
      <c r="F533" s="10">
        <f> (30-'Salários'!$N533)</f>
        <v>30</v>
      </c>
      <c r="G533" s="12">
        <f t="shared" si="146"/>
        <v>0</v>
      </c>
      <c r="H533" s="10"/>
      <c r="I533" s="9"/>
      <c r="J533" s="10"/>
      <c r="K533" s="9"/>
      <c r="L533" s="4"/>
      <c r="M533" s="4"/>
      <c r="N533" s="4"/>
      <c r="O533" s="12">
        <f t="shared" si="145"/>
        <v>0</v>
      </c>
      <c r="P533" s="7"/>
      <c r="Q533" s="7"/>
      <c r="R533" s="7"/>
    </row>
    <row r="534" ht="14.25" customHeight="1">
      <c r="B534" s="4"/>
      <c r="C534" s="114" t="str">
        <f t="shared" si="144"/>
        <v>12-1899</v>
      </c>
      <c r="D534" s="7"/>
      <c r="E534" s="9"/>
      <c r="F534" s="10">
        <f> (30-'Salários'!$N534)</f>
        <v>30</v>
      </c>
      <c r="G534" s="12">
        <f t="shared" si="146"/>
        <v>0</v>
      </c>
      <c r="H534" s="10"/>
      <c r="I534" s="9"/>
      <c r="J534" s="10"/>
      <c r="K534" s="9"/>
      <c r="L534" s="4"/>
      <c r="M534" s="4"/>
      <c r="N534" s="4"/>
      <c r="O534" s="12">
        <f t="shared" si="145"/>
        <v>0</v>
      </c>
      <c r="P534" s="7"/>
      <c r="Q534" s="7"/>
      <c r="R534" s="7"/>
    </row>
    <row r="535" ht="14.25" customHeight="1">
      <c r="B535" s="4"/>
      <c r="C535" s="114" t="str">
        <f t="shared" si="144"/>
        <v>12-1899</v>
      </c>
      <c r="D535" s="7"/>
      <c r="E535" s="9"/>
      <c r="F535" s="10">
        <f> (30-'Salários'!$N535)</f>
        <v>30</v>
      </c>
      <c r="G535" s="12">
        <f t="shared" si="146"/>
        <v>0</v>
      </c>
      <c r="H535" s="10"/>
      <c r="I535" s="9"/>
      <c r="J535" s="10"/>
      <c r="K535" s="9"/>
      <c r="L535" s="4"/>
      <c r="M535" s="4"/>
      <c r="N535" s="4"/>
      <c r="O535" s="12">
        <f t="shared" si="145"/>
        <v>0</v>
      </c>
      <c r="P535" s="7"/>
      <c r="Q535" s="7"/>
      <c r="R535" s="7"/>
    </row>
    <row r="536" ht="14.25" customHeight="1">
      <c r="B536" s="4"/>
      <c r="C536" s="114" t="str">
        <f t="shared" si="144"/>
        <v>12-1899</v>
      </c>
      <c r="D536" s="7"/>
      <c r="E536" s="9"/>
      <c r="F536" s="10">
        <f> (30-'Salários'!$N536)</f>
        <v>30</v>
      </c>
      <c r="G536" s="12">
        <f t="shared" si="146"/>
        <v>0</v>
      </c>
      <c r="H536" s="10"/>
      <c r="I536" s="9"/>
      <c r="J536" s="10"/>
      <c r="K536" s="9"/>
      <c r="L536" s="4"/>
      <c r="M536" s="4"/>
      <c r="N536" s="4"/>
      <c r="O536" s="12">
        <f t="shared" si="145"/>
        <v>0</v>
      </c>
      <c r="P536" s="7"/>
      <c r="Q536" s="7"/>
      <c r="R536" s="7"/>
    </row>
    <row r="537" ht="14.25" customHeight="1">
      <c r="B537" s="4"/>
      <c r="C537" s="114" t="str">
        <f t="shared" si="144"/>
        <v>12-1899</v>
      </c>
      <c r="D537" s="7"/>
      <c r="E537" s="9"/>
      <c r="F537" s="10">
        <f> (30-'Salários'!$N537)</f>
        <v>30</v>
      </c>
      <c r="G537" s="12">
        <f t="shared" si="146"/>
        <v>0</v>
      </c>
      <c r="H537" s="10"/>
      <c r="I537" s="9"/>
      <c r="J537" s="10"/>
      <c r="K537" s="9"/>
      <c r="L537" s="4"/>
      <c r="M537" s="4"/>
      <c r="N537" s="4"/>
      <c r="O537" s="12">
        <f t="shared" si="145"/>
        <v>0</v>
      </c>
      <c r="P537" s="7"/>
      <c r="Q537" s="7"/>
      <c r="R537" s="7"/>
    </row>
    <row r="538" ht="14.25" customHeight="1">
      <c r="B538" s="4"/>
      <c r="C538" s="114" t="str">
        <f t="shared" si="144"/>
        <v>12-1899</v>
      </c>
      <c r="D538" s="7"/>
      <c r="E538" s="9"/>
      <c r="F538" s="10">
        <f> (30-'Salários'!$N538)</f>
        <v>30</v>
      </c>
      <c r="G538" s="12">
        <f t="shared" si="146"/>
        <v>0</v>
      </c>
      <c r="H538" s="10"/>
      <c r="I538" s="9"/>
      <c r="J538" s="10"/>
      <c r="K538" s="9"/>
      <c r="L538" s="4"/>
      <c r="M538" s="4"/>
      <c r="N538" s="4"/>
      <c r="O538" s="12">
        <f t="shared" si="145"/>
        <v>0</v>
      </c>
      <c r="P538" s="7"/>
      <c r="Q538" s="7"/>
      <c r="R538" s="7"/>
    </row>
    <row r="539" ht="14.25" customHeight="1">
      <c r="B539" s="4"/>
      <c r="C539" s="114" t="str">
        <f t="shared" si="144"/>
        <v>12-1899</v>
      </c>
      <c r="D539" s="7"/>
      <c r="E539" s="9"/>
      <c r="F539" s="10">
        <f> (30-'Salários'!$N539)</f>
        <v>30</v>
      </c>
      <c r="G539" s="12">
        <f t="shared" si="146"/>
        <v>0</v>
      </c>
      <c r="H539" s="10"/>
      <c r="I539" s="9"/>
      <c r="J539" s="10"/>
      <c r="K539" s="9"/>
      <c r="L539" s="4"/>
      <c r="M539" s="4"/>
      <c r="N539" s="4"/>
      <c r="O539" s="12">
        <f t="shared" si="145"/>
        <v>0</v>
      </c>
      <c r="P539" s="7"/>
      <c r="Q539" s="7"/>
      <c r="R539" s="7"/>
    </row>
    <row r="540" ht="14.25" customHeight="1">
      <c r="B540" s="4"/>
      <c r="C540" s="114" t="str">
        <f t="shared" si="144"/>
        <v>12-1899</v>
      </c>
      <c r="D540" s="7"/>
      <c r="E540" s="9"/>
      <c r="F540" s="10">
        <f> (30-'Salários'!$N540)</f>
        <v>30</v>
      </c>
      <c r="G540" s="12">
        <f t="shared" si="146"/>
        <v>0</v>
      </c>
      <c r="H540" s="10"/>
      <c r="I540" s="9"/>
      <c r="J540" s="10"/>
      <c r="K540" s="9"/>
      <c r="L540" s="4"/>
      <c r="M540" s="4"/>
      <c r="N540" s="4"/>
      <c r="O540" s="12">
        <f t="shared" si="145"/>
        <v>0</v>
      </c>
      <c r="P540" s="7"/>
      <c r="Q540" s="7"/>
      <c r="R540" s="7"/>
    </row>
    <row r="541" ht="14.25" customHeight="1">
      <c r="B541" s="4"/>
      <c r="C541" s="114" t="str">
        <f t="shared" si="144"/>
        <v>12-1899</v>
      </c>
      <c r="D541" s="7"/>
      <c r="E541" s="9"/>
      <c r="F541" s="10">
        <f> (30-'Salários'!$N541)</f>
        <v>30</v>
      </c>
      <c r="G541" s="12">
        <f t="shared" si="146"/>
        <v>0</v>
      </c>
      <c r="H541" s="10"/>
      <c r="I541" s="9"/>
      <c r="J541" s="10"/>
      <c r="K541" s="9"/>
      <c r="L541" s="4"/>
      <c r="M541" s="4"/>
      <c r="N541" s="4"/>
      <c r="O541" s="12">
        <f t="shared" si="145"/>
        <v>0</v>
      </c>
      <c r="P541" s="7"/>
      <c r="Q541" s="7"/>
      <c r="R541" s="7"/>
    </row>
    <row r="542" ht="14.25" customHeight="1">
      <c r="B542" s="4"/>
      <c r="C542" s="114" t="str">
        <f t="shared" si="144"/>
        <v>12-1899</v>
      </c>
      <c r="D542" s="7"/>
      <c r="E542" s="9"/>
      <c r="F542" s="10">
        <f> (30-'Salários'!$N542)</f>
        <v>30</v>
      </c>
      <c r="G542" s="12">
        <f t="shared" si="146"/>
        <v>0</v>
      </c>
      <c r="H542" s="10"/>
      <c r="I542" s="9"/>
      <c r="J542" s="10"/>
      <c r="K542" s="9"/>
      <c r="L542" s="4"/>
      <c r="M542" s="4"/>
      <c r="N542" s="4"/>
      <c r="O542" s="12">
        <f t="shared" si="145"/>
        <v>0</v>
      </c>
      <c r="P542" s="7"/>
      <c r="Q542" s="7"/>
      <c r="R542" s="7"/>
    </row>
    <row r="543" ht="14.25" customHeight="1">
      <c r="B543" s="4"/>
      <c r="C543" s="114" t="str">
        <f t="shared" si="144"/>
        <v>12-1899</v>
      </c>
      <c r="D543" s="7"/>
      <c r="E543" s="9"/>
      <c r="F543" s="10">
        <f> (30-'Salários'!$N543)</f>
        <v>30</v>
      </c>
      <c r="G543" s="12">
        <f t="shared" si="146"/>
        <v>0</v>
      </c>
      <c r="H543" s="10"/>
      <c r="I543" s="9"/>
      <c r="J543" s="10"/>
      <c r="K543" s="9"/>
      <c r="L543" s="4"/>
      <c r="M543" s="4"/>
      <c r="N543" s="4"/>
      <c r="O543" s="12">
        <f t="shared" si="145"/>
        <v>0</v>
      </c>
      <c r="P543" s="7"/>
      <c r="Q543" s="7"/>
      <c r="R543" s="7"/>
    </row>
    <row r="544" ht="14.25" customHeight="1">
      <c r="B544" s="4"/>
      <c r="C544" s="114" t="str">
        <f t="shared" si="144"/>
        <v>12-1899</v>
      </c>
      <c r="D544" s="7"/>
      <c r="E544" s="9"/>
      <c r="F544" s="10">
        <f> (30-'Salários'!$N544)</f>
        <v>30</v>
      </c>
      <c r="G544" s="12">
        <f t="shared" si="146"/>
        <v>0</v>
      </c>
      <c r="H544" s="10"/>
      <c r="I544" s="9"/>
      <c r="J544" s="10"/>
      <c r="K544" s="9"/>
      <c r="L544" s="4"/>
      <c r="M544" s="4"/>
      <c r="N544" s="4"/>
      <c r="O544" s="12">
        <f t="shared" si="145"/>
        <v>0</v>
      </c>
      <c r="P544" s="7"/>
      <c r="Q544" s="7"/>
      <c r="R544" s="7"/>
    </row>
    <row r="545" ht="14.25" customHeight="1">
      <c r="B545" s="4"/>
      <c r="C545" s="114" t="str">
        <f t="shared" si="144"/>
        <v>12-1899</v>
      </c>
      <c r="D545" s="7"/>
      <c r="E545" s="9"/>
      <c r="F545" s="10">
        <f> (30-'Salários'!$N545)</f>
        <v>30</v>
      </c>
      <c r="G545" s="12">
        <f t="shared" si="146"/>
        <v>0</v>
      </c>
      <c r="H545" s="10"/>
      <c r="I545" s="9"/>
      <c r="J545" s="10"/>
      <c r="K545" s="9"/>
      <c r="L545" s="4"/>
      <c r="M545" s="4"/>
      <c r="N545" s="4"/>
      <c r="O545" s="12">
        <f t="shared" si="145"/>
        <v>0</v>
      </c>
      <c r="P545" s="7"/>
      <c r="Q545" s="7"/>
      <c r="R545" s="7"/>
    </row>
    <row r="546" ht="14.25" customHeight="1">
      <c r="B546" s="4"/>
      <c r="C546" s="114" t="str">
        <f t="shared" si="144"/>
        <v>12-1899</v>
      </c>
      <c r="D546" s="7"/>
      <c r="E546" s="9"/>
      <c r="F546" s="10">
        <f> (30-'Salários'!$N546)</f>
        <v>30</v>
      </c>
      <c r="G546" s="12">
        <f t="shared" si="146"/>
        <v>0</v>
      </c>
      <c r="H546" s="10"/>
      <c r="I546" s="9"/>
      <c r="J546" s="10"/>
      <c r="K546" s="9"/>
      <c r="L546" s="4"/>
      <c r="M546" s="4"/>
      <c r="N546" s="4"/>
      <c r="O546" s="12">
        <f t="shared" si="145"/>
        <v>0</v>
      </c>
      <c r="P546" s="7"/>
      <c r="Q546" s="7"/>
      <c r="R546" s="7"/>
    </row>
    <row r="547" ht="14.25" customHeight="1">
      <c r="B547" s="4"/>
      <c r="C547" s="114" t="str">
        <f t="shared" si="144"/>
        <v>12-1899</v>
      </c>
      <c r="D547" s="7"/>
      <c r="E547" s="9"/>
      <c r="F547" s="10">
        <f> (30-'Salários'!$N547)</f>
        <v>30</v>
      </c>
      <c r="G547" s="12">
        <f t="shared" si="146"/>
        <v>0</v>
      </c>
      <c r="H547" s="10"/>
      <c r="I547" s="9"/>
      <c r="J547" s="10"/>
      <c r="K547" s="9"/>
      <c r="L547" s="4"/>
      <c r="M547" s="4"/>
      <c r="N547" s="4"/>
      <c r="O547" s="12">
        <f t="shared" si="145"/>
        <v>0</v>
      </c>
      <c r="P547" s="7"/>
      <c r="Q547" s="7"/>
      <c r="R547" s="7"/>
    </row>
    <row r="548" ht="14.25" customHeight="1">
      <c r="B548" s="4"/>
      <c r="C548" s="114" t="str">
        <f t="shared" si="144"/>
        <v>12-1899</v>
      </c>
      <c r="D548" s="7"/>
      <c r="E548" s="9"/>
      <c r="F548" s="10">
        <f> (30-'Salários'!$N548)</f>
        <v>30</v>
      </c>
      <c r="G548" s="12">
        <f t="shared" si="146"/>
        <v>0</v>
      </c>
      <c r="H548" s="10"/>
      <c r="I548" s="9"/>
      <c r="J548" s="10"/>
      <c r="K548" s="9"/>
      <c r="L548" s="4"/>
      <c r="M548" s="4"/>
      <c r="N548" s="4"/>
      <c r="O548" s="12">
        <f t="shared" si="145"/>
        <v>0</v>
      </c>
      <c r="P548" s="7"/>
      <c r="Q548" s="7"/>
      <c r="R548" s="7"/>
    </row>
    <row r="549" ht="14.25" customHeight="1">
      <c r="B549" s="4"/>
      <c r="C549" s="114" t="str">
        <f t="shared" si="144"/>
        <v>12-1899</v>
      </c>
      <c r="D549" s="7"/>
      <c r="E549" s="9"/>
      <c r="F549" s="10">
        <f> (30-'Salários'!$N549)</f>
        <v>30</v>
      </c>
      <c r="G549" s="12">
        <f t="shared" si="146"/>
        <v>0</v>
      </c>
      <c r="H549" s="10"/>
      <c r="I549" s="9"/>
      <c r="J549" s="10"/>
      <c r="K549" s="9"/>
      <c r="L549" s="4"/>
      <c r="M549" s="4"/>
      <c r="N549" s="4"/>
      <c r="O549" s="12">
        <f t="shared" si="145"/>
        <v>0</v>
      </c>
      <c r="P549" s="7"/>
      <c r="Q549" s="7"/>
      <c r="R549" s="7"/>
    </row>
    <row r="550" ht="14.25" customHeight="1">
      <c r="B550" s="4"/>
      <c r="C550" s="114" t="str">
        <f t="shared" si="144"/>
        <v>12-1899</v>
      </c>
      <c r="D550" s="7"/>
      <c r="E550" s="9"/>
      <c r="F550" s="10">
        <f> (30-'Salários'!$N550)</f>
        <v>30</v>
      </c>
      <c r="G550" s="12">
        <f t="shared" si="146"/>
        <v>0</v>
      </c>
      <c r="H550" s="10"/>
      <c r="I550" s="9"/>
      <c r="J550" s="10"/>
      <c r="K550" s="9"/>
      <c r="L550" s="4"/>
      <c r="M550" s="4"/>
      <c r="N550" s="4"/>
      <c r="O550" s="12">
        <f t="shared" si="145"/>
        <v>0</v>
      </c>
      <c r="P550" s="7"/>
      <c r="Q550" s="7"/>
      <c r="R550" s="7"/>
    </row>
    <row r="551" ht="14.25" customHeight="1">
      <c r="B551" s="4"/>
      <c r="C551" s="114" t="str">
        <f t="shared" si="144"/>
        <v>12-1899</v>
      </c>
      <c r="D551" s="7"/>
      <c r="E551" s="9"/>
      <c r="F551" s="10">
        <f> (30-'Salários'!$N551)</f>
        <v>30</v>
      </c>
      <c r="G551" s="12">
        <f t="shared" si="146"/>
        <v>0</v>
      </c>
      <c r="H551" s="10"/>
      <c r="I551" s="9"/>
      <c r="J551" s="10"/>
      <c r="K551" s="9"/>
      <c r="L551" s="4"/>
      <c r="M551" s="4"/>
      <c r="N551" s="4"/>
      <c r="O551" s="12">
        <f t="shared" si="145"/>
        <v>0</v>
      </c>
      <c r="P551" s="7"/>
      <c r="Q551" s="7"/>
      <c r="R551" s="7"/>
    </row>
    <row r="552" ht="14.25" customHeight="1">
      <c r="B552" s="4"/>
      <c r="C552" s="114" t="str">
        <f t="shared" si="144"/>
        <v>12-1899</v>
      </c>
      <c r="D552" s="7"/>
      <c r="E552" s="9"/>
      <c r="F552" s="10">
        <f> (30-'Salários'!$N552)</f>
        <v>30</v>
      </c>
      <c r="G552" s="12">
        <f t="shared" si="146"/>
        <v>0</v>
      </c>
      <c r="H552" s="10"/>
      <c r="I552" s="9"/>
      <c r="J552" s="10"/>
      <c r="K552" s="9"/>
      <c r="L552" s="4"/>
      <c r="M552" s="4"/>
      <c r="N552" s="4"/>
      <c r="O552" s="12">
        <f t="shared" si="145"/>
        <v>0</v>
      </c>
      <c r="P552" s="7"/>
      <c r="Q552" s="7"/>
      <c r="R552" s="7"/>
    </row>
    <row r="553" ht="14.25" customHeight="1">
      <c r="B553" s="4"/>
      <c r="C553" s="114" t="str">
        <f t="shared" si="144"/>
        <v>12-1899</v>
      </c>
      <c r="D553" s="7"/>
      <c r="E553" s="9"/>
      <c r="F553" s="10">
        <f> (30-'Salários'!$N553)</f>
        <v>30</v>
      </c>
      <c r="G553" s="12">
        <f t="shared" si="146"/>
        <v>0</v>
      </c>
      <c r="H553" s="10"/>
      <c r="I553" s="9"/>
      <c r="J553" s="10"/>
      <c r="K553" s="9"/>
      <c r="L553" s="4"/>
      <c r="M553" s="4"/>
      <c r="N553" s="4"/>
      <c r="O553" s="12">
        <f t="shared" si="145"/>
        <v>0</v>
      </c>
      <c r="P553" s="7"/>
      <c r="Q553" s="7"/>
      <c r="R553" s="7"/>
    </row>
    <row r="554" ht="14.25" customHeight="1">
      <c r="B554" s="4"/>
      <c r="C554" s="114" t="str">
        <f t="shared" si="144"/>
        <v>12-1899</v>
      </c>
      <c r="D554" s="7"/>
      <c r="E554" s="9"/>
      <c r="F554" s="10">
        <f> (30-'Salários'!$N554)</f>
        <v>30</v>
      </c>
      <c r="G554" s="12">
        <f t="shared" si="146"/>
        <v>0</v>
      </c>
      <c r="H554" s="10"/>
      <c r="I554" s="9"/>
      <c r="J554" s="10"/>
      <c r="K554" s="9"/>
      <c r="L554" s="4"/>
      <c r="M554" s="4"/>
      <c r="N554" s="4"/>
      <c r="O554" s="12">
        <f t="shared" si="145"/>
        <v>0</v>
      </c>
      <c r="P554" s="7"/>
      <c r="Q554" s="7"/>
      <c r="R554" s="7"/>
    </row>
    <row r="555" ht="14.25" customHeight="1">
      <c r="B555" s="4"/>
      <c r="C555" s="114" t="str">
        <f t="shared" si="144"/>
        <v>12-1899</v>
      </c>
      <c r="D555" s="7"/>
      <c r="E555" s="9"/>
      <c r="F555" s="10">
        <f> (30-'Salários'!$N555)</f>
        <v>30</v>
      </c>
      <c r="G555" s="12">
        <f t="shared" si="146"/>
        <v>0</v>
      </c>
      <c r="H555" s="10"/>
      <c r="I555" s="9"/>
      <c r="J555" s="10"/>
      <c r="K555" s="9"/>
      <c r="L555" s="4"/>
      <c r="M555" s="4"/>
      <c r="N555" s="4"/>
      <c r="O555" s="12">
        <f t="shared" si="145"/>
        <v>0</v>
      </c>
      <c r="P555" s="7"/>
      <c r="Q555" s="7"/>
      <c r="R555" s="7"/>
    </row>
    <row r="556" ht="14.25" customHeight="1">
      <c r="B556" s="4"/>
      <c r="C556" s="114" t="str">
        <f t="shared" si="144"/>
        <v>12-1899</v>
      </c>
      <c r="D556" s="7"/>
      <c r="E556" s="9"/>
      <c r="F556" s="10">
        <f> (30-'Salários'!$N556)</f>
        <v>30</v>
      </c>
      <c r="G556" s="12">
        <f t="shared" si="146"/>
        <v>0</v>
      </c>
      <c r="H556" s="10"/>
      <c r="I556" s="9"/>
      <c r="J556" s="10"/>
      <c r="K556" s="9"/>
      <c r="L556" s="4"/>
      <c r="M556" s="4"/>
      <c r="N556" s="4"/>
      <c r="O556" s="12">
        <f t="shared" si="145"/>
        <v>0</v>
      </c>
      <c r="P556" s="7"/>
      <c r="Q556" s="7"/>
      <c r="R556" s="7"/>
    </row>
    <row r="557" ht="14.25" customHeight="1">
      <c r="B557" s="4"/>
      <c r="C557" s="114" t="str">
        <f t="shared" si="144"/>
        <v>12-1899</v>
      </c>
      <c r="D557" s="7"/>
      <c r="E557" s="9"/>
      <c r="F557" s="10">
        <f> (30-'Salários'!$N557)</f>
        <v>30</v>
      </c>
      <c r="G557" s="12">
        <f t="shared" si="146"/>
        <v>0</v>
      </c>
      <c r="H557" s="10"/>
      <c r="I557" s="9"/>
      <c r="J557" s="10"/>
      <c r="K557" s="9"/>
      <c r="L557" s="4"/>
      <c r="M557" s="4"/>
      <c r="N557" s="4"/>
      <c r="O557" s="12">
        <f t="shared" si="145"/>
        <v>0</v>
      </c>
      <c r="P557" s="7"/>
      <c r="Q557" s="7"/>
      <c r="R557" s="7"/>
    </row>
    <row r="558" ht="14.25" customHeight="1">
      <c r="B558" s="4"/>
      <c r="C558" s="114" t="str">
        <f t="shared" si="144"/>
        <v>12-1899</v>
      </c>
      <c r="D558" s="7"/>
      <c r="E558" s="9"/>
      <c r="F558" s="10">
        <f> (30-'Salários'!$N558)</f>
        <v>30</v>
      </c>
      <c r="G558" s="12">
        <f t="shared" si="146"/>
        <v>0</v>
      </c>
      <c r="H558" s="10"/>
      <c r="I558" s="9"/>
      <c r="J558" s="10"/>
      <c r="K558" s="9"/>
      <c r="L558" s="4"/>
      <c r="M558" s="4"/>
      <c r="N558" s="4"/>
      <c r="O558" s="12">
        <f t="shared" si="145"/>
        <v>0</v>
      </c>
      <c r="P558" s="7"/>
      <c r="Q558" s="7"/>
      <c r="R558" s="7"/>
    </row>
    <row r="559" ht="14.25" customHeight="1">
      <c r="B559" s="4"/>
      <c r="C559" s="114" t="str">
        <f t="shared" si="144"/>
        <v>12-1899</v>
      </c>
      <c r="D559" s="7"/>
      <c r="E559" s="9"/>
      <c r="F559" s="10">
        <f> (30-'Salários'!$N559)</f>
        <v>30</v>
      </c>
      <c r="G559" s="12">
        <f t="shared" si="146"/>
        <v>0</v>
      </c>
      <c r="H559" s="10"/>
      <c r="I559" s="9"/>
      <c r="J559" s="10"/>
      <c r="K559" s="9"/>
      <c r="L559" s="4"/>
      <c r="M559" s="4"/>
      <c r="N559" s="4"/>
      <c r="O559" s="12">
        <f t="shared" si="145"/>
        <v>0</v>
      </c>
      <c r="P559" s="7"/>
      <c r="Q559" s="7"/>
      <c r="R559" s="7"/>
    </row>
    <row r="560" ht="14.25" customHeight="1">
      <c r="B560" s="4"/>
      <c r="C560" s="114" t="str">
        <f t="shared" si="144"/>
        <v>12-1899</v>
      </c>
      <c r="D560" s="7"/>
      <c r="E560" s="9"/>
      <c r="F560" s="10">
        <f> (30-'Salários'!$N560)</f>
        <v>30</v>
      </c>
      <c r="G560" s="12">
        <f t="shared" si="146"/>
        <v>0</v>
      </c>
      <c r="H560" s="10"/>
      <c r="I560" s="9"/>
      <c r="J560" s="10"/>
      <c r="K560" s="9"/>
      <c r="L560" s="4"/>
      <c r="M560" s="4"/>
      <c r="N560" s="4"/>
      <c r="O560" s="12">
        <f t="shared" si="145"/>
        <v>0</v>
      </c>
      <c r="P560" s="7"/>
      <c r="Q560" s="7"/>
      <c r="R560" s="7"/>
    </row>
    <row r="561" ht="14.25" customHeight="1">
      <c r="B561" s="4"/>
      <c r="C561" s="114" t="str">
        <f t="shared" si="144"/>
        <v>12-1899</v>
      </c>
      <c r="D561" s="7"/>
      <c r="E561" s="9"/>
      <c r="F561" s="10">
        <f> (30-'Salários'!$N561)</f>
        <v>30</v>
      </c>
      <c r="G561" s="12">
        <f t="shared" si="146"/>
        <v>0</v>
      </c>
      <c r="H561" s="10"/>
      <c r="I561" s="9"/>
      <c r="J561" s="10"/>
      <c r="K561" s="9"/>
      <c r="L561" s="4"/>
      <c r="M561" s="4"/>
      <c r="N561" s="4"/>
      <c r="O561" s="12">
        <f t="shared" si="145"/>
        <v>0</v>
      </c>
      <c r="P561" s="7"/>
      <c r="Q561" s="7"/>
      <c r="R561" s="7"/>
    </row>
    <row r="562" ht="14.25" customHeight="1">
      <c r="B562" s="4"/>
      <c r="C562" s="114" t="str">
        <f t="shared" si="144"/>
        <v>12-1899</v>
      </c>
      <c r="D562" s="7"/>
      <c r="E562" s="9"/>
      <c r="F562" s="10">
        <f> (30-'Salários'!$N562)</f>
        <v>30</v>
      </c>
      <c r="G562" s="12">
        <f t="shared" si="146"/>
        <v>0</v>
      </c>
      <c r="H562" s="10"/>
      <c r="I562" s="9"/>
      <c r="J562" s="10"/>
      <c r="K562" s="9"/>
      <c r="L562" s="4"/>
      <c r="M562" s="4"/>
      <c r="N562" s="4"/>
      <c r="O562" s="12">
        <f t="shared" si="145"/>
        <v>0</v>
      </c>
      <c r="P562" s="7"/>
      <c r="Q562" s="7"/>
      <c r="R562" s="7"/>
    </row>
    <row r="563" ht="14.25" customHeight="1">
      <c r="B563" s="4"/>
      <c r="C563" s="114" t="str">
        <f t="shared" si="144"/>
        <v>12-1899</v>
      </c>
      <c r="D563" s="7"/>
      <c r="E563" s="9"/>
      <c r="F563" s="10">
        <f> (30-'Salários'!$N563)</f>
        <v>30</v>
      </c>
      <c r="G563" s="12">
        <f t="shared" si="146"/>
        <v>0</v>
      </c>
      <c r="H563" s="10"/>
      <c r="I563" s="9"/>
      <c r="J563" s="10"/>
      <c r="K563" s="9"/>
      <c r="L563" s="4"/>
      <c r="M563" s="4"/>
      <c r="N563" s="4"/>
      <c r="O563" s="12">
        <f t="shared" si="145"/>
        <v>0</v>
      </c>
      <c r="P563" s="7"/>
      <c r="Q563" s="7"/>
      <c r="R563" s="7"/>
    </row>
    <row r="564" ht="14.25" customHeight="1">
      <c r="B564" s="4"/>
      <c r="C564" s="114" t="str">
        <f t="shared" si="144"/>
        <v>12-1899</v>
      </c>
      <c r="D564" s="7"/>
      <c r="E564" s="9"/>
      <c r="F564" s="10">
        <f> (30-'Salários'!$N564)</f>
        <v>30</v>
      </c>
      <c r="G564" s="12">
        <f t="shared" si="146"/>
        <v>0</v>
      </c>
      <c r="H564" s="10"/>
      <c r="I564" s="9"/>
      <c r="J564" s="10"/>
      <c r="K564" s="9"/>
      <c r="L564" s="4"/>
      <c r="M564" s="4"/>
      <c r="N564" s="4"/>
      <c r="O564" s="12">
        <f t="shared" si="145"/>
        <v>0</v>
      </c>
      <c r="P564" s="7"/>
      <c r="Q564" s="7"/>
      <c r="R564" s="7"/>
    </row>
    <row r="565" ht="14.25" customHeight="1">
      <c r="B565" s="4"/>
      <c r="C565" s="114" t="str">
        <f t="shared" si="144"/>
        <v>12-1899</v>
      </c>
      <c r="D565" s="7"/>
      <c r="E565" s="9"/>
      <c r="F565" s="10">
        <f> (30-'Salários'!$N565)</f>
        <v>30</v>
      </c>
      <c r="G565" s="12">
        <f t="shared" si="146"/>
        <v>0</v>
      </c>
      <c r="H565" s="10"/>
      <c r="I565" s="9"/>
      <c r="J565" s="10"/>
      <c r="K565" s="9"/>
      <c r="L565" s="4"/>
      <c r="M565" s="4"/>
      <c r="N565" s="4"/>
      <c r="O565" s="12">
        <f t="shared" si="145"/>
        <v>0</v>
      </c>
      <c r="P565" s="7"/>
      <c r="Q565" s="7"/>
      <c r="R565" s="7"/>
    </row>
    <row r="566" ht="14.25" customHeight="1">
      <c r="B566" s="4"/>
      <c r="C566" s="114" t="str">
        <f t="shared" si="144"/>
        <v>12-1899</v>
      </c>
      <c r="D566" s="7"/>
      <c r="E566" s="9"/>
      <c r="F566" s="10">
        <f> (30-'Salários'!$N566)</f>
        <v>30</v>
      </c>
      <c r="G566" s="12">
        <f t="shared" si="146"/>
        <v>0</v>
      </c>
      <c r="H566" s="10"/>
      <c r="I566" s="9"/>
      <c r="J566" s="10"/>
      <c r="K566" s="9"/>
      <c r="L566" s="4"/>
      <c r="M566" s="4"/>
      <c r="N566" s="4"/>
      <c r="O566" s="12">
        <f t="shared" si="145"/>
        <v>0</v>
      </c>
      <c r="P566" s="7"/>
      <c r="Q566" s="7"/>
      <c r="R566" s="7"/>
    </row>
    <row r="567" ht="14.25" customHeight="1">
      <c r="B567" s="4"/>
      <c r="C567" s="114" t="str">
        <f t="shared" si="144"/>
        <v>12-1899</v>
      </c>
      <c r="D567" s="7"/>
      <c r="E567" s="9"/>
      <c r="F567" s="10">
        <f> (30-'Salários'!$N567)</f>
        <v>30</v>
      </c>
      <c r="G567" s="12">
        <f t="shared" si="146"/>
        <v>0</v>
      </c>
      <c r="H567" s="10"/>
      <c r="I567" s="9"/>
      <c r="J567" s="10"/>
      <c r="K567" s="9"/>
      <c r="L567" s="4"/>
      <c r="M567" s="4"/>
      <c r="N567" s="4"/>
      <c r="O567" s="12">
        <f t="shared" si="145"/>
        <v>0</v>
      </c>
      <c r="P567" s="7"/>
      <c r="Q567" s="7"/>
      <c r="R567" s="7"/>
    </row>
    <row r="568" ht="14.25" customHeight="1">
      <c r="B568" s="4"/>
      <c r="C568" s="114" t="str">
        <f t="shared" si="144"/>
        <v>12-1899</v>
      </c>
      <c r="D568" s="7"/>
      <c r="E568" s="9"/>
      <c r="F568" s="10">
        <f> (30-'Salários'!$N568)</f>
        <v>30</v>
      </c>
      <c r="G568" s="12">
        <f t="shared" si="146"/>
        <v>0</v>
      </c>
      <c r="H568" s="10"/>
      <c r="I568" s="9"/>
      <c r="J568" s="10"/>
      <c r="K568" s="9"/>
      <c r="L568" s="4"/>
      <c r="M568" s="4"/>
      <c r="N568" s="4"/>
      <c r="O568" s="12">
        <f t="shared" si="145"/>
        <v>0</v>
      </c>
      <c r="P568" s="7"/>
      <c r="Q568" s="7"/>
      <c r="R568" s="7"/>
    </row>
    <row r="569" ht="14.25" customHeight="1">
      <c r="B569" s="4"/>
      <c r="C569" s="114" t="str">
        <f t="shared" si="144"/>
        <v>12-1899</v>
      </c>
      <c r="D569" s="127"/>
      <c r="E569" s="9"/>
      <c r="F569" s="10">
        <f> (30-'Salários'!$N569)</f>
        <v>30</v>
      </c>
      <c r="G569" s="12">
        <f t="shared" si="146"/>
        <v>0</v>
      </c>
      <c r="H569" s="10"/>
      <c r="I569" s="9"/>
      <c r="J569" s="10"/>
      <c r="K569" s="9"/>
      <c r="L569" s="4"/>
      <c r="M569" s="4"/>
      <c r="N569" s="4"/>
      <c r="O569" s="12">
        <f t="shared" si="145"/>
        <v>0</v>
      </c>
      <c r="P569" s="12">
        <f t="shared" ref="P569:P570" si="147">(H569)+(I569*J569)+(K569*L569)+(M569*100)-(N569)</f>
        <v>0</v>
      </c>
      <c r="Q569" s="7"/>
    </row>
    <row r="570" ht="14.25" customHeight="1">
      <c r="B570" s="4"/>
      <c r="C570" s="114" t="str">
        <f t="shared" si="144"/>
        <v>12-1899</v>
      </c>
      <c r="D570" s="127"/>
      <c r="E570" s="9"/>
      <c r="F570" s="10">
        <f> (30-'Salários'!$N570)</f>
        <v>30</v>
      </c>
      <c r="G570" s="12">
        <f t="shared" si="146"/>
        <v>0</v>
      </c>
      <c r="H570" s="10"/>
      <c r="I570" s="9"/>
      <c r="J570" s="10"/>
      <c r="K570" s="9"/>
      <c r="L570" s="4"/>
      <c r="M570" s="4"/>
      <c r="N570" s="4"/>
      <c r="O570" s="12">
        <f t="shared" si="145"/>
        <v>0</v>
      </c>
      <c r="P570" s="12">
        <f t="shared" si="147"/>
        <v>0</v>
      </c>
      <c r="Q570" s="7"/>
    </row>
    <row r="571" ht="14.25" customHeight="1">
      <c r="B571" s="13"/>
      <c r="C571" s="114" t="str">
        <f t="shared" si="144"/>
        <v>12-1899</v>
      </c>
      <c r="D571" s="128"/>
      <c r="E571" s="9"/>
      <c r="F571" s="10">
        <f> (30-'Salários'!$N571)</f>
        <v>30</v>
      </c>
      <c r="G571" s="12">
        <f t="shared" si="146"/>
        <v>0</v>
      </c>
      <c r="H571" s="10"/>
      <c r="I571" s="9"/>
      <c r="J571" s="10"/>
      <c r="K571" s="9"/>
      <c r="L571" s="4"/>
      <c r="M571" s="4"/>
      <c r="N571" s="4"/>
      <c r="O571" s="12">
        <f t="shared" si="145"/>
        <v>0</v>
      </c>
    </row>
    <row r="572" ht="14.25" customHeight="1">
      <c r="B572" s="13"/>
      <c r="C572" s="114" t="str">
        <f t="shared" si="144"/>
        <v>12-1899</v>
      </c>
      <c r="D572" s="128"/>
      <c r="E572" s="9"/>
      <c r="F572" s="10">
        <f> (30-'Salários'!$N572)</f>
        <v>30</v>
      </c>
      <c r="G572" s="12">
        <f t="shared" si="146"/>
        <v>0</v>
      </c>
      <c r="H572" s="10"/>
      <c r="I572" s="9"/>
      <c r="J572" s="10"/>
      <c r="K572" s="9"/>
      <c r="L572" s="4"/>
      <c r="M572" s="4"/>
      <c r="N572" s="4"/>
      <c r="O572" s="12">
        <f t="shared" si="145"/>
        <v>0</v>
      </c>
    </row>
    <row r="573" ht="14.25" customHeight="1">
      <c r="B573" s="13"/>
      <c r="C573" s="114" t="str">
        <f t="shared" si="144"/>
        <v>12-1899</v>
      </c>
      <c r="D573" s="128"/>
      <c r="E573" s="9"/>
      <c r="F573" s="10">
        <f> (30-'Salários'!$N573)</f>
        <v>30</v>
      </c>
      <c r="G573" s="12">
        <f t="shared" si="146"/>
        <v>0</v>
      </c>
      <c r="H573" s="10"/>
      <c r="I573" s="9"/>
      <c r="J573" s="10"/>
      <c r="K573" s="9"/>
      <c r="L573" s="4"/>
      <c r="M573" s="4"/>
      <c r="N573" s="4"/>
      <c r="O573" s="12">
        <f t="shared" si="145"/>
        <v>0</v>
      </c>
    </row>
    <row r="574" ht="14.25" customHeight="1">
      <c r="B574" s="13"/>
      <c r="C574" s="114" t="str">
        <f t="shared" si="144"/>
        <v>12-1899</v>
      </c>
      <c r="D574" s="128"/>
      <c r="E574" s="9"/>
      <c r="F574" s="10">
        <f> (30-'Salários'!$N574)</f>
        <v>30</v>
      </c>
      <c r="G574" s="12">
        <f t="shared" si="146"/>
        <v>0</v>
      </c>
      <c r="H574" s="10"/>
      <c r="I574" s="9"/>
      <c r="J574" s="10"/>
      <c r="K574" s="9"/>
      <c r="L574" s="4"/>
      <c r="M574" s="4"/>
      <c r="N574" s="4"/>
      <c r="O574" s="12">
        <f t="shared" si="145"/>
        <v>0</v>
      </c>
    </row>
    <row r="575" ht="14.25" customHeight="1">
      <c r="B575" s="13"/>
      <c r="C575" s="114" t="str">
        <f t="shared" si="144"/>
        <v>12-1899</v>
      </c>
      <c r="D575" s="128"/>
      <c r="E575" s="9"/>
      <c r="F575" s="10">
        <f> (30-'Salários'!$N575)</f>
        <v>30</v>
      </c>
      <c r="G575" s="12">
        <f t="shared" si="146"/>
        <v>0</v>
      </c>
      <c r="H575" s="10"/>
      <c r="I575" s="9"/>
      <c r="J575" s="10"/>
      <c r="K575" s="9"/>
      <c r="L575" s="4"/>
      <c r="M575" s="4"/>
      <c r="N575" s="4"/>
      <c r="O575" s="12">
        <f t="shared" si="145"/>
        <v>0</v>
      </c>
    </row>
    <row r="576" ht="14.25" customHeight="1">
      <c r="B576" s="13"/>
      <c r="C576" s="114" t="str">
        <f t="shared" si="144"/>
        <v>12-1899</v>
      </c>
      <c r="D576" s="128"/>
      <c r="E576" s="9"/>
      <c r="F576" s="10">
        <f> (30-'Salários'!$N576)</f>
        <v>30</v>
      </c>
      <c r="G576" s="12">
        <f t="shared" si="146"/>
        <v>0</v>
      </c>
      <c r="H576" s="10"/>
      <c r="I576" s="9"/>
      <c r="J576" s="10"/>
      <c r="K576" s="9"/>
      <c r="L576" s="4"/>
      <c r="M576" s="4"/>
      <c r="N576" s="4"/>
      <c r="O576" s="12">
        <f t="shared" si="145"/>
        <v>0</v>
      </c>
    </row>
    <row r="577" ht="14.25" customHeight="1">
      <c r="B577" s="13"/>
      <c r="C577" s="114" t="str">
        <f t="shared" si="144"/>
        <v>12-1899</v>
      </c>
      <c r="D577" s="128"/>
      <c r="E577" s="9"/>
      <c r="F577" s="10">
        <f> (30-'Salários'!$N577)</f>
        <v>30</v>
      </c>
      <c r="G577" s="12">
        <f t="shared" si="146"/>
        <v>0</v>
      </c>
      <c r="H577" s="10"/>
      <c r="I577" s="9"/>
      <c r="J577" s="10"/>
      <c r="K577" s="9"/>
      <c r="L577" s="4"/>
      <c r="M577" s="4"/>
      <c r="N577" s="4"/>
      <c r="O577" s="12">
        <f t="shared" si="145"/>
        <v>0</v>
      </c>
    </row>
    <row r="578" ht="14.25" customHeight="1">
      <c r="B578" s="13"/>
      <c r="C578" s="114" t="str">
        <f t="shared" si="144"/>
        <v>12-1899</v>
      </c>
      <c r="D578" s="128"/>
      <c r="E578" s="9"/>
      <c r="F578" s="10">
        <f> (30-'Salários'!$N578)</f>
        <v>30</v>
      </c>
      <c r="G578" s="12">
        <f t="shared" si="146"/>
        <v>0</v>
      </c>
      <c r="H578" s="10"/>
      <c r="I578" s="9"/>
      <c r="J578" s="10"/>
      <c r="K578" s="9"/>
      <c r="L578" s="4"/>
      <c r="M578" s="4"/>
      <c r="N578" s="4"/>
      <c r="O578" s="12">
        <f t="shared" si="145"/>
        <v>0</v>
      </c>
    </row>
    <row r="579" ht="14.25" customHeight="1">
      <c r="B579" s="13"/>
      <c r="C579" s="114" t="str">
        <f t="shared" si="144"/>
        <v>12-1899</v>
      </c>
      <c r="D579" s="128"/>
      <c r="E579" s="9"/>
      <c r="F579" s="10">
        <f> (30-'Salários'!$N579)</f>
        <v>30</v>
      </c>
      <c r="G579" s="12">
        <f t="shared" si="146"/>
        <v>0</v>
      </c>
      <c r="H579" s="10"/>
      <c r="I579" s="9"/>
      <c r="J579" s="10"/>
      <c r="K579" s="9"/>
      <c r="L579" s="4"/>
      <c r="M579" s="4"/>
      <c r="N579" s="4"/>
      <c r="O579" s="12">
        <f t="shared" si="145"/>
        <v>0</v>
      </c>
    </row>
    <row r="580" ht="14.25" customHeight="1">
      <c r="B580" s="13"/>
      <c r="C580" s="114" t="str">
        <f t="shared" si="144"/>
        <v>12-1899</v>
      </c>
      <c r="D580" s="128"/>
      <c r="E580" s="9"/>
      <c r="F580" s="10">
        <f> (30-'Salários'!$N580)</f>
        <v>30</v>
      </c>
      <c r="G580" s="12">
        <f t="shared" si="146"/>
        <v>0</v>
      </c>
      <c r="H580" s="10"/>
      <c r="I580" s="9"/>
      <c r="J580" s="10"/>
      <c r="K580" s="9"/>
      <c r="L580" s="4"/>
      <c r="M580" s="4"/>
      <c r="N580" s="4"/>
      <c r="O580" s="12">
        <f t="shared" si="145"/>
        <v>0</v>
      </c>
    </row>
    <row r="581" ht="14.25" customHeight="1">
      <c r="B581" s="13"/>
      <c r="C581" s="114" t="str">
        <f t="shared" si="144"/>
        <v>12-1899</v>
      </c>
      <c r="D581" s="128"/>
      <c r="E581" s="9"/>
      <c r="F581" s="10">
        <f> (30-'Salários'!$N581)</f>
        <v>30</v>
      </c>
      <c r="G581" s="12">
        <f t="shared" si="146"/>
        <v>0</v>
      </c>
      <c r="H581" s="10"/>
      <c r="I581" s="9"/>
      <c r="J581" s="10"/>
      <c r="K581" s="9"/>
      <c r="L581" s="4"/>
      <c r="M581" s="4"/>
      <c r="N581" s="4"/>
      <c r="O581" s="12">
        <f t="shared" si="145"/>
        <v>0</v>
      </c>
    </row>
    <row r="582" ht="14.25" customHeight="1">
      <c r="B582" s="13"/>
      <c r="C582" s="114" t="str">
        <f t="shared" si="144"/>
        <v>12-1899</v>
      </c>
      <c r="D582" s="128"/>
      <c r="E582" s="9"/>
      <c r="F582" s="10">
        <f> (30-'Salários'!$N582)</f>
        <v>30</v>
      </c>
      <c r="G582" s="12">
        <f t="shared" si="146"/>
        <v>0</v>
      </c>
      <c r="H582" s="10"/>
      <c r="I582" s="9"/>
      <c r="J582" s="10"/>
      <c r="K582" s="9"/>
      <c r="L582" s="4"/>
      <c r="M582" s="4"/>
      <c r="N582" s="4"/>
      <c r="O582" s="12">
        <f t="shared" si="145"/>
        <v>0</v>
      </c>
    </row>
    <row r="583" ht="14.25" customHeight="1">
      <c r="B583" s="13"/>
      <c r="C583" s="114" t="str">
        <f t="shared" si="144"/>
        <v>12-1899</v>
      </c>
      <c r="D583" s="128"/>
      <c r="E583" s="9"/>
      <c r="F583" s="10">
        <f> (30-'Salários'!$N583)</f>
        <v>30</v>
      </c>
      <c r="G583" s="12">
        <f t="shared" si="146"/>
        <v>0</v>
      </c>
      <c r="H583" s="10"/>
      <c r="I583" s="9"/>
      <c r="J583" s="10"/>
      <c r="K583" s="9"/>
      <c r="L583" s="4"/>
      <c r="M583" s="4"/>
      <c r="N583" s="4"/>
      <c r="O583" s="12">
        <f t="shared" si="145"/>
        <v>0</v>
      </c>
    </row>
    <row r="584" ht="14.25" customHeight="1">
      <c r="B584" s="13"/>
      <c r="C584" s="114" t="str">
        <f t="shared" si="144"/>
        <v>12-1899</v>
      </c>
      <c r="D584" s="128"/>
      <c r="E584" s="9"/>
      <c r="F584" s="10">
        <f> (30-'Salários'!$N584)</f>
        <v>30</v>
      </c>
      <c r="G584" s="12">
        <f t="shared" si="146"/>
        <v>0</v>
      </c>
      <c r="H584" s="10"/>
      <c r="I584" s="9"/>
      <c r="J584" s="10"/>
      <c r="K584" s="9"/>
      <c r="L584" s="4"/>
      <c r="M584" s="4"/>
      <c r="N584" s="4"/>
      <c r="O584" s="12">
        <f t="shared" si="145"/>
        <v>0</v>
      </c>
    </row>
    <row r="585" ht="14.25" customHeight="1">
      <c r="B585" s="13"/>
      <c r="C585" s="114" t="str">
        <f t="shared" si="144"/>
        <v>12-1899</v>
      </c>
      <c r="D585" s="128"/>
      <c r="E585" s="9"/>
      <c r="F585" s="10">
        <f> (30-'Salários'!$N585)</f>
        <v>30</v>
      </c>
      <c r="G585" s="12">
        <f t="shared" si="146"/>
        <v>0</v>
      </c>
      <c r="H585" s="10"/>
      <c r="I585" s="9"/>
      <c r="J585" s="10"/>
      <c r="K585" s="9"/>
      <c r="L585" s="4"/>
      <c r="M585" s="4"/>
      <c r="N585" s="4"/>
      <c r="O585" s="12">
        <f t="shared" si="145"/>
        <v>0</v>
      </c>
    </row>
    <row r="586" ht="14.25" customHeight="1">
      <c r="B586" s="13"/>
      <c r="C586" s="114" t="str">
        <f t="shared" si="144"/>
        <v>12-1899</v>
      </c>
      <c r="D586" s="128"/>
      <c r="E586" s="9"/>
      <c r="F586" s="10">
        <f> (30-'Salários'!$N586)</f>
        <v>30</v>
      </c>
      <c r="G586" s="12">
        <f t="shared" si="146"/>
        <v>0</v>
      </c>
      <c r="H586" s="10"/>
      <c r="I586" s="9"/>
      <c r="J586" s="10"/>
      <c r="K586" s="9"/>
      <c r="L586" s="4"/>
      <c r="M586" s="4"/>
      <c r="N586" s="4"/>
      <c r="O586" s="12">
        <f t="shared" si="145"/>
        <v>0</v>
      </c>
    </row>
    <row r="587" ht="14.25" customHeight="1">
      <c r="B587" s="13"/>
      <c r="C587" s="114" t="str">
        <f t="shared" si="144"/>
        <v>12-1899</v>
      </c>
      <c r="D587" s="128"/>
      <c r="E587" s="9"/>
      <c r="F587" s="10">
        <f> (30-'Salários'!$N587)</f>
        <v>30</v>
      </c>
      <c r="G587" s="12">
        <f t="shared" si="146"/>
        <v>0</v>
      </c>
      <c r="H587" s="10"/>
      <c r="I587" s="9"/>
      <c r="J587" s="10"/>
      <c r="K587" s="9"/>
      <c r="L587" s="4"/>
      <c r="M587" s="4"/>
      <c r="N587" s="4"/>
      <c r="O587" s="12">
        <f t="shared" si="145"/>
        <v>0</v>
      </c>
    </row>
    <row r="588" ht="14.25" customHeight="1">
      <c r="B588" s="13"/>
      <c r="C588" s="114" t="str">
        <f t="shared" si="144"/>
        <v>12-1899</v>
      </c>
      <c r="D588" s="128"/>
      <c r="E588" s="9"/>
      <c r="F588" s="10">
        <f> (30-'Salários'!$N588)</f>
        <v>30</v>
      </c>
      <c r="G588" s="12">
        <f t="shared" si="146"/>
        <v>0</v>
      </c>
      <c r="H588" s="10"/>
      <c r="I588" s="9"/>
      <c r="J588" s="10"/>
      <c r="K588" s="9"/>
      <c r="L588" s="4"/>
      <c r="M588" s="4"/>
      <c r="N588" s="4"/>
      <c r="O588" s="12">
        <f t="shared" si="145"/>
        <v>0</v>
      </c>
    </row>
    <row r="589" ht="14.25" customHeight="1">
      <c r="B589" s="13"/>
      <c r="C589" s="114" t="str">
        <f t="shared" si="144"/>
        <v>12-1899</v>
      </c>
      <c r="D589" s="128"/>
      <c r="E589" s="9"/>
      <c r="F589" s="10">
        <f> (30-'Salários'!$N589)</f>
        <v>30</v>
      </c>
      <c r="G589" s="12">
        <f t="shared" si="146"/>
        <v>0</v>
      </c>
      <c r="H589" s="10"/>
      <c r="I589" s="9"/>
      <c r="J589" s="10"/>
      <c r="K589" s="9"/>
      <c r="L589" s="4"/>
      <c r="M589" s="4"/>
      <c r="N589" s="4"/>
      <c r="O589" s="12">
        <f t="shared" si="145"/>
        <v>0</v>
      </c>
    </row>
    <row r="590" ht="14.25" customHeight="1">
      <c r="B590" s="13"/>
      <c r="C590" s="114" t="str">
        <f t="shared" si="144"/>
        <v>12-1899</v>
      </c>
      <c r="D590" s="128"/>
      <c r="E590" s="9"/>
      <c r="F590" s="10">
        <f> (30-'Salários'!$N590)</f>
        <v>30</v>
      </c>
      <c r="G590" s="12">
        <f t="shared" si="146"/>
        <v>0</v>
      </c>
      <c r="H590" s="10"/>
      <c r="I590" s="9"/>
      <c r="J590" s="10"/>
      <c r="K590" s="9"/>
      <c r="L590" s="4"/>
      <c r="M590" s="4"/>
      <c r="N590" s="4"/>
      <c r="O590" s="12">
        <f t="shared" si="145"/>
        <v>0</v>
      </c>
    </row>
    <row r="591" ht="14.25" customHeight="1">
      <c r="B591" s="13"/>
      <c r="C591" s="114" t="str">
        <f t="shared" si="144"/>
        <v>12-1899</v>
      </c>
      <c r="D591" s="128"/>
      <c r="E591" s="9"/>
      <c r="F591" s="10">
        <f> (30-'Salários'!$N591)</f>
        <v>30</v>
      </c>
      <c r="G591" s="12">
        <f t="shared" si="146"/>
        <v>0</v>
      </c>
      <c r="H591" s="10"/>
      <c r="I591" s="9"/>
      <c r="J591" s="10"/>
      <c r="K591" s="9"/>
      <c r="L591" s="4"/>
      <c r="M591" s="4"/>
      <c r="N591" s="4"/>
      <c r="O591" s="12">
        <f t="shared" si="145"/>
        <v>0</v>
      </c>
    </row>
    <row r="592" ht="14.25" customHeight="1">
      <c r="B592" s="13"/>
      <c r="C592" s="114" t="str">
        <f t="shared" si="144"/>
        <v>12-1899</v>
      </c>
      <c r="D592" s="128"/>
      <c r="E592" s="9"/>
      <c r="F592" s="10">
        <f> (30-'Salários'!$N592)</f>
        <v>30</v>
      </c>
      <c r="G592" s="12">
        <f t="shared" si="146"/>
        <v>0</v>
      </c>
      <c r="H592" s="10"/>
      <c r="I592" s="9"/>
      <c r="J592" s="10"/>
      <c r="K592" s="9"/>
      <c r="L592" s="4"/>
      <c r="M592" s="4"/>
      <c r="N592" s="4"/>
      <c r="O592" s="12">
        <f t="shared" si="145"/>
        <v>0</v>
      </c>
    </row>
    <row r="593" ht="14.25" customHeight="1">
      <c r="B593" s="13"/>
      <c r="C593" s="114" t="str">
        <f t="shared" si="144"/>
        <v>12-1899</v>
      </c>
      <c r="D593" s="128"/>
      <c r="E593" s="9"/>
      <c r="F593" s="10">
        <f> (30-'Salários'!$N593)</f>
        <v>30</v>
      </c>
      <c r="G593" s="12">
        <f t="shared" si="146"/>
        <v>0</v>
      </c>
      <c r="H593" s="10"/>
      <c r="I593" s="9"/>
      <c r="J593" s="10"/>
      <c r="K593" s="9"/>
      <c r="L593" s="4"/>
      <c r="M593" s="4"/>
      <c r="N593" s="4"/>
      <c r="O593" s="12">
        <f t="shared" si="145"/>
        <v>0</v>
      </c>
    </row>
    <row r="594" ht="14.25" customHeight="1">
      <c r="B594" s="13"/>
      <c r="C594" s="114" t="str">
        <f t="shared" si="144"/>
        <v>12-1899</v>
      </c>
      <c r="D594" s="128"/>
      <c r="E594" s="9"/>
      <c r="F594" s="10">
        <f> (30-'Salários'!$N594)</f>
        <v>30</v>
      </c>
      <c r="G594" s="12">
        <f t="shared" si="146"/>
        <v>0</v>
      </c>
      <c r="H594" s="10"/>
      <c r="I594" s="9"/>
      <c r="J594" s="10"/>
      <c r="K594" s="9"/>
      <c r="L594" s="4"/>
      <c r="M594" s="4"/>
      <c r="N594" s="4"/>
      <c r="O594" s="12">
        <f t="shared" si="145"/>
        <v>0</v>
      </c>
    </row>
    <row r="595" ht="14.25" customHeight="1">
      <c r="B595" s="13"/>
      <c r="C595" s="114" t="str">
        <f t="shared" si="144"/>
        <v>12-1899</v>
      </c>
      <c r="D595" s="128"/>
      <c r="E595" s="9"/>
      <c r="F595" s="10">
        <f> (30-'Salários'!$N595)</f>
        <v>30</v>
      </c>
      <c r="G595" s="12">
        <f t="shared" si="146"/>
        <v>0</v>
      </c>
      <c r="H595" s="10"/>
      <c r="I595" s="9"/>
      <c r="J595" s="10"/>
      <c r="K595" s="9"/>
      <c r="L595" s="4"/>
      <c r="M595" s="4"/>
      <c r="N595" s="4"/>
      <c r="O595" s="12">
        <f t="shared" si="145"/>
        <v>0</v>
      </c>
    </row>
    <row r="596" ht="14.25" customHeight="1">
      <c r="B596" s="13"/>
      <c r="C596" s="114" t="str">
        <f t="shared" si="144"/>
        <v>12-1899</v>
      </c>
      <c r="D596" s="128"/>
      <c r="E596" s="9"/>
      <c r="F596" s="10">
        <f> (30-'Salários'!$N596)</f>
        <v>30</v>
      </c>
      <c r="G596" s="12">
        <f t="shared" si="146"/>
        <v>0</v>
      </c>
      <c r="H596" s="10"/>
      <c r="I596" s="9"/>
      <c r="J596" s="10"/>
      <c r="K596" s="9"/>
      <c r="L596" s="4"/>
      <c r="M596" s="4"/>
      <c r="N596" s="4"/>
      <c r="O596" s="12">
        <f t="shared" si="145"/>
        <v>0</v>
      </c>
    </row>
    <row r="597" ht="14.25" customHeight="1">
      <c r="B597" s="13"/>
      <c r="C597" s="114" t="str">
        <f t="shared" si="144"/>
        <v>12-1899</v>
      </c>
      <c r="D597" s="128"/>
      <c r="E597" s="9"/>
      <c r="F597" s="10">
        <f> (30-'Salários'!$N597)</f>
        <v>30</v>
      </c>
      <c r="G597" s="12">
        <f t="shared" si="146"/>
        <v>0</v>
      </c>
      <c r="H597" s="10"/>
      <c r="I597" s="9"/>
      <c r="J597" s="10"/>
      <c r="K597" s="9"/>
      <c r="L597" s="4"/>
      <c r="M597" s="4"/>
      <c r="N597" s="4"/>
      <c r="O597" s="12">
        <f t="shared" si="145"/>
        <v>0</v>
      </c>
    </row>
    <row r="598" ht="14.25" customHeight="1">
      <c r="B598" s="13"/>
      <c r="C598" s="114" t="str">
        <f t="shared" si="144"/>
        <v>12-1899</v>
      </c>
      <c r="D598" s="128"/>
      <c r="E598" s="9"/>
      <c r="F598" s="10">
        <f> (30-'Salários'!$N598)</f>
        <v>30</v>
      </c>
      <c r="G598" s="12">
        <f t="shared" si="146"/>
        <v>0</v>
      </c>
      <c r="H598" s="10"/>
      <c r="I598" s="9"/>
      <c r="J598" s="10"/>
      <c r="K598" s="9"/>
      <c r="L598" s="4"/>
      <c r="M598" s="4"/>
      <c r="N598" s="4"/>
      <c r="O598" s="12">
        <f t="shared" si="145"/>
        <v>0</v>
      </c>
    </row>
    <row r="599" ht="14.25" customHeight="1">
      <c r="B599" s="13"/>
      <c r="C599" s="114" t="str">
        <f t="shared" si="144"/>
        <v>12-1899</v>
      </c>
      <c r="D599" s="128"/>
      <c r="E599" s="9"/>
      <c r="F599" s="10">
        <f> (30-'Salários'!$N599)</f>
        <v>30</v>
      </c>
      <c r="G599" s="12">
        <f t="shared" si="146"/>
        <v>0</v>
      </c>
      <c r="H599" s="10"/>
      <c r="I599" s="9"/>
      <c r="J599" s="10"/>
      <c r="K599" s="9"/>
      <c r="L599" s="4"/>
      <c r="M599" s="4"/>
      <c r="N599" s="4"/>
      <c r="O599" s="12">
        <f t="shared" si="145"/>
        <v>0</v>
      </c>
    </row>
    <row r="600" ht="14.25" customHeight="1">
      <c r="B600" s="13"/>
      <c r="C600" s="114" t="str">
        <f t="shared" si="144"/>
        <v>12-1899</v>
      </c>
      <c r="D600" s="128"/>
      <c r="E600" s="9"/>
      <c r="F600" s="10">
        <f> (30-'Salários'!$N600)</f>
        <v>30</v>
      </c>
      <c r="G600" s="12">
        <f t="shared" si="146"/>
        <v>0</v>
      </c>
      <c r="H600" s="10"/>
      <c r="I600" s="9"/>
      <c r="J600" s="10"/>
      <c r="K600" s="9"/>
      <c r="L600" s="4"/>
      <c r="M600" s="4"/>
      <c r="N600" s="4"/>
      <c r="O600" s="12">
        <f t="shared" si="145"/>
        <v>0</v>
      </c>
    </row>
    <row r="601" ht="14.25" customHeight="1">
      <c r="B601" s="13"/>
      <c r="C601" s="114" t="str">
        <f t="shared" si="144"/>
        <v>12-1899</v>
      </c>
      <c r="D601" s="128"/>
      <c r="E601" s="9"/>
      <c r="F601" s="10">
        <f> (30-'Salários'!$N601)</f>
        <v>30</v>
      </c>
      <c r="G601" s="12">
        <f t="shared" si="146"/>
        <v>0</v>
      </c>
      <c r="H601" s="10"/>
      <c r="I601" s="9"/>
      <c r="J601" s="10"/>
      <c r="K601" s="9"/>
      <c r="L601" s="4"/>
      <c r="M601" s="4"/>
      <c r="N601" s="4"/>
      <c r="O601" s="12">
        <f t="shared" si="145"/>
        <v>0</v>
      </c>
    </row>
    <row r="602" ht="14.25" customHeight="1">
      <c r="B602" s="13"/>
      <c r="C602" s="114" t="str">
        <f t="shared" si="144"/>
        <v>12-1899</v>
      </c>
      <c r="D602" s="128"/>
      <c r="E602" s="9"/>
      <c r="F602" s="10">
        <f> (30-'Salários'!$N602)</f>
        <v>30</v>
      </c>
      <c r="G602" s="12">
        <f t="shared" si="146"/>
        <v>0</v>
      </c>
      <c r="H602" s="10"/>
      <c r="I602" s="9"/>
      <c r="J602" s="10"/>
      <c r="K602" s="9"/>
      <c r="L602" s="4"/>
      <c r="M602" s="4"/>
      <c r="N602" s="4"/>
      <c r="O602" s="12">
        <f t="shared" si="145"/>
        <v>0</v>
      </c>
    </row>
    <row r="603" ht="14.25" customHeight="1">
      <c r="B603" s="13"/>
      <c r="C603" s="114" t="str">
        <f t="shared" si="144"/>
        <v>12-1899</v>
      </c>
      <c r="D603" s="128"/>
      <c r="E603" s="9"/>
      <c r="F603" s="10">
        <f> (30-'Salários'!$N603)</f>
        <v>30</v>
      </c>
      <c r="G603" s="12">
        <f t="shared" si="146"/>
        <v>0</v>
      </c>
      <c r="H603" s="10"/>
      <c r="I603" s="9"/>
      <c r="J603" s="10"/>
      <c r="K603" s="9"/>
      <c r="L603" s="4"/>
      <c r="M603" s="4"/>
      <c r="N603" s="4"/>
      <c r="O603" s="12">
        <f t="shared" si="145"/>
        <v>0</v>
      </c>
    </row>
    <row r="604" ht="14.25" customHeight="1">
      <c r="B604" s="13"/>
      <c r="C604" s="114" t="str">
        <f t="shared" si="144"/>
        <v>12-1899</v>
      </c>
      <c r="D604" s="128"/>
      <c r="E604" s="9"/>
      <c r="F604" s="10">
        <f> (30-'Salários'!$N604)</f>
        <v>30</v>
      </c>
      <c r="G604" s="12">
        <f t="shared" si="146"/>
        <v>0</v>
      </c>
      <c r="H604" s="10"/>
      <c r="I604" s="9"/>
      <c r="J604" s="10"/>
      <c r="K604" s="9"/>
      <c r="L604" s="4"/>
      <c r="M604" s="4"/>
      <c r="N604" s="4"/>
      <c r="O604" s="12">
        <f t="shared" si="145"/>
        <v>0</v>
      </c>
    </row>
    <row r="605" ht="14.25" customHeight="1">
      <c r="B605" s="13"/>
      <c r="C605" s="114" t="str">
        <f t="shared" si="144"/>
        <v>12-1899</v>
      </c>
      <c r="D605" s="128"/>
      <c r="E605" s="9"/>
      <c r="F605" s="10">
        <f> (30-'Salários'!$N605)</f>
        <v>30</v>
      </c>
      <c r="G605" s="12">
        <f t="shared" si="146"/>
        <v>0</v>
      </c>
      <c r="H605" s="10"/>
      <c r="I605" s="9"/>
      <c r="J605" s="10"/>
      <c r="K605" s="9"/>
      <c r="L605" s="4"/>
      <c r="M605" s="4"/>
      <c r="N605" s="4"/>
      <c r="O605" s="12">
        <f t="shared" si="145"/>
        <v>0</v>
      </c>
    </row>
    <row r="606" ht="14.25" customHeight="1">
      <c r="B606" s="13"/>
      <c r="C606" s="114" t="str">
        <f t="shared" si="144"/>
        <v>12-1899</v>
      </c>
      <c r="D606" s="128"/>
      <c r="E606" s="9"/>
      <c r="F606" s="10">
        <f> (30-'Salários'!$N606)</f>
        <v>30</v>
      </c>
      <c r="G606" s="12">
        <f t="shared" si="146"/>
        <v>0</v>
      </c>
      <c r="H606" s="10"/>
      <c r="I606" s="9"/>
      <c r="J606" s="10"/>
      <c r="K606" s="9"/>
      <c r="L606" s="4"/>
      <c r="M606" s="4"/>
      <c r="N606" s="4"/>
      <c r="O606" s="12">
        <f t="shared" si="145"/>
        <v>0</v>
      </c>
    </row>
    <row r="607" ht="14.25" customHeight="1">
      <c r="B607" s="13"/>
      <c r="C607" s="114" t="str">
        <f t="shared" si="144"/>
        <v>12-1899</v>
      </c>
      <c r="D607" s="128"/>
      <c r="E607" s="9"/>
      <c r="F607" s="10">
        <f> (30-'Salários'!$N607)</f>
        <v>30</v>
      </c>
      <c r="G607" s="12">
        <f t="shared" si="146"/>
        <v>0</v>
      </c>
      <c r="H607" s="10"/>
      <c r="I607" s="9"/>
      <c r="J607" s="10"/>
      <c r="K607" s="9"/>
      <c r="L607" s="4"/>
      <c r="M607" s="4"/>
      <c r="N607" s="4"/>
      <c r="O607" s="12">
        <f t="shared" si="145"/>
        <v>0</v>
      </c>
    </row>
    <row r="608" ht="14.25" customHeight="1">
      <c r="B608" s="13"/>
      <c r="C608" s="114" t="str">
        <f t="shared" si="144"/>
        <v>12-1899</v>
      </c>
      <c r="D608" s="128"/>
      <c r="E608" s="9"/>
      <c r="F608" s="10">
        <f> (30-'Salários'!$N608)</f>
        <v>30</v>
      </c>
      <c r="G608" s="12">
        <f t="shared" si="146"/>
        <v>0</v>
      </c>
      <c r="H608" s="10"/>
      <c r="I608" s="9"/>
      <c r="J608" s="10"/>
      <c r="K608" s="9"/>
      <c r="L608" s="4"/>
      <c r="M608" s="4"/>
      <c r="N608" s="4"/>
      <c r="O608" s="12">
        <f t="shared" si="145"/>
        <v>0</v>
      </c>
    </row>
    <row r="609" ht="14.25" customHeight="1">
      <c r="B609" s="13"/>
      <c r="C609" s="114" t="str">
        <f t="shared" si="144"/>
        <v>12-1899</v>
      </c>
      <c r="D609" s="128"/>
      <c r="E609" s="9"/>
      <c r="F609" s="10">
        <f> (30-'Salários'!$N609)</f>
        <v>30</v>
      </c>
      <c r="G609" s="12">
        <f t="shared" si="146"/>
        <v>0</v>
      </c>
      <c r="H609" s="10"/>
      <c r="I609" s="9"/>
      <c r="J609" s="10"/>
      <c r="K609" s="9"/>
      <c r="L609" s="4"/>
      <c r="M609" s="4"/>
      <c r="N609" s="4"/>
      <c r="O609" s="12">
        <f t="shared" si="145"/>
        <v>0</v>
      </c>
    </row>
    <row r="610" ht="14.25" customHeight="1">
      <c r="B610" s="13"/>
      <c r="C610" s="114" t="str">
        <f t="shared" si="144"/>
        <v>12-1899</v>
      </c>
      <c r="D610" s="128"/>
      <c r="E610" s="9"/>
      <c r="F610" s="10">
        <f> (30-'Salários'!$N610)</f>
        <v>30</v>
      </c>
      <c r="G610" s="12">
        <f t="shared" si="146"/>
        <v>0</v>
      </c>
      <c r="H610" s="10"/>
      <c r="I610" s="9"/>
      <c r="J610" s="10"/>
      <c r="K610" s="9"/>
      <c r="L610" s="4"/>
      <c r="M610" s="4"/>
      <c r="N610" s="4"/>
      <c r="O610" s="12">
        <f t="shared" si="145"/>
        <v>0</v>
      </c>
    </row>
    <row r="611" ht="14.25" customHeight="1">
      <c r="B611" s="13"/>
      <c r="C611" s="114" t="str">
        <f t="shared" si="144"/>
        <v>12-1899</v>
      </c>
      <c r="D611" s="128"/>
      <c r="E611" s="9"/>
      <c r="F611" s="10">
        <f> (30-'Salários'!$N611)</f>
        <v>30</v>
      </c>
      <c r="G611" s="12">
        <f t="shared" si="146"/>
        <v>0</v>
      </c>
      <c r="H611" s="10"/>
      <c r="I611" s="9"/>
      <c r="J611" s="10"/>
      <c r="K611" s="9"/>
      <c r="L611" s="4"/>
      <c r="M611" s="4"/>
      <c r="N611" s="4"/>
      <c r="O611" s="12">
        <f t="shared" si="145"/>
        <v>0</v>
      </c>
    </row>
    <row r="612" ht="14.25" customHeight="1">
      <c r="B612" s="13"/>
      <c r="C612" s="114" t="str">
        <f t="shared" si="144"/>
        <v>12-1899</v>
      </c>
      <c r="D612" s="128"/>
      <c r="E612" s="9"/>
      <c r="F612" s="10">
        <f> (30-'Salários'!$N612)</f>
        <v>30</v>
      </c>
      <c r="G612" s="12">
        <f t="shared" si="146"/>
        <v>0</v>
      </c>
      <c r="H612" s="10"/>
      <c r="I612" s="9"/>
      <c r="J612" s="10"/>
      <c r="K612" s="9"/>
      <c r="L612" s="4"/>
      <c r="M612" s="4"/>
      <c r="N612" s="4"/>
      <c r="O612" s="12">
        <f t="shared" si="145"/>
        <v>0</v>
      </c>
    </row>
    <row r="613" ht="14.25" customHeight="1">
      <c r="B613" s="13"/>
      <c r="C613" s="114" t="str">
        <f t="shared" si="144"/>
        <v>12-1899</v>
      </c>
      <c r="D613" s="128"/>
      <c r="E613" s="9"/>
      <c r="F613" s="10">
        <f> (30-'Salários'!$N613)</f>
        <v>30</v>
      </c>
      <c r="G613" s="12">
        <f t="shared" si="146"/>
        <v>0</v>
      </c>
      <c r="H613" s="10"/>
      <c r="I613" s="9"/>
      <c r="J613" s="10"/>
      <c r="K613" s="9"/>
      <c r="L613" s="4"/>
      <c r="M613" s="4"/>
      <c r="N613" s="4"/>
      <c r="O613" s="12">
        <f t="shared" si="145"/>
        <v>0</v>
      </c>
    </row>
    <row r="614" ht="14.25" customHeight="1">
      <c r="B614" s="13"/>
      <c r="C614" s="114" t="str">
        <f t="shared" si="144"/>
        <v>12-1899</v>
      </c>
      <c r="D614" s="128"/>
      <c r="E614" s="9"/>
      <c r="F614" s="10">
        <f> (30-'Salários'!$N614)</f>
        <v>30</v>
      </c>
      <c r="G614" s="12">
        <f t="shared" si="146"/>
        <v>0</v>
      </c>
      <c r="H614" s="10"/>
      <c r="I614" s="9"/>
      <c r="J614" s="10"/>
      <c r="K614" s="9"/>
      <c r="L614" s="4"/>
      <c r="M614" s="4"/>
      <c r="N614" s="4"/>
      <c r="O614" s="12">
        <f t="shared" si="145"/>
        <v>0</v>
      </c>
    </row>
    <row r="615" ht="14.25" customHeight="1">
      <c r="B615" s="13"/>
      <c r="C615" s="114" t="str">
        <f t="shared" si="144"/>
        <v>12-1899</v>
      </c>
      <c r="D615" s="128"/>
      <c r="E615" s="9"/>
      <c r="F615" s="10">
        <f> (30-'Salários'!$N615)</f>
        <v>30</v>
      </c>
      <c r="G615" s="12">
        <f t="shared" si="146"/>
        <v>0</v>
      </c>
      <c r="H615" s="10"/>
      <c r="I615" s="9"/>
      <c r="J615" s="10"/>
      <c r="K615" s="9"/>
      <c r="L615" s="4"/>
      <c r="M615" s="4"/>
      <c r="N615" s="4"/>
      <c r="O615" s="12">
        <f t="shared" si="145"/>
        <v>0</v>
      </c>
    </row>
    <row r="616" ht="14.25" customHeight="1">
      <c r="B616" s="13"/>
      <c r="C616" s="114" t="str">
        <f t="shared" si="144"/>
        <v>12-1899</v>
      </c>
      <c r="D616" s="128"/>
      <c r="E616" s="9"/>
      <c r="F616" s="10">
        <f> (30-'Salários'!$N616)</f>
        <v>30</v>
      </c>
      <c r="G616" s="12">
        <f t="shared" si="146"/>
        <v>0</v>
      </c>
      <c r="H616" s="10"/>
      <c r="I616" s="9"/>
      <c r="J616" s="10"/>
      <c r="K616" s="9"/>
      <c r="L616" s="4"/>
      <c r="M616" s="4"/>
      <c r="N616" s="4"/>
      <c r="O616" s="12">
        <f t="shared" si="145"/>
        <v>0</v>
      </c>
    </row>
    <row r="617" ht="14.25" customHeight="1">
      <c r="B617" s="13"/>
      <c r="C617" s="114" t="str">
        <f t="shared" si="144"/>
        <v>12-1899</v>
      </c>
      <c r="D617" s="128"/>
      <c r="E617" s="9"/>
      <c r="F617" s="10">
        <f> (30-'Salários'!$N617)</f>
        <v>30</v>
      </c>
      <c r="G617" s="12">
        <f t="shared" si="146"/>
        <v>0</v>
      </c>
      <c r="H617" s="10"/>
      <c r="I617" s="9"/>
      <c r="J617" s="10"/>
      <c r="K617" s="9"/>
      <c r="L617" s="4"/>
      <c r="M617" s="4"/>
      <c r="N617" s="4"/>
      <c r="O617" s="12">
        <f t="shared" si="145"/>
        <v>0</v>
      </c>
    </row>
    <row r="618" ht="14.25" customHeight="1">
      <c r="B618" s="13"/>
      <c r="C618" s="114" t="str">
        <f t="shared" si="144"/>
        <v>12-1899</v>
      </c>
      <c r="D618" s="128"/>
      <c r="E618" s="9"/>
      <c r="F618" s="10">
        <f> (30-'Salários'!$N618)</f>
        <v>30</v>
      </c>
      <c r="G618" s="12">
        <f t="shared" si="146"/>
        <v>0</v>
      </c>
      <c r="H618" s="10"/>
      <c r="I618" s="9"/>
      <c r="J618" s="10"/>
      <c r="K618" s="9"/>
      <c r="L618" s="4"/>
      <c r="M618" s="4"/>
      <c r="N618" s="4"/>
      <c r="O618" s="12">
        <f t="shared" si="145"/>
        <v>0</v>
      </c>
    </row>
    <row r="619" ht="14.25" customHeight="1">
      <c r="B619" s="13"/>
      <c r="C619" s="114" t="str">
        <f t="shared" si="144"/>
        <v>12-1899</v>
      </c>
      <c r="D619" s="128"/>
      <c r="E619" s="9"/>
      <c r="F619" s="10">
        <f> (30-'Salários'!$N619)</f>
        <v>30</v>
      </c>
      <c r="G619" s="12">
        <f t="shared" si="146"/>
        <v>0</v>
      </c>
      <c r="H619" s="10"/>
      <c r="I619" s="9"/>
      <c r="J619" s="10"/>
      <c r="K619" s="9"/>
      <c r="L619" s="4"/>
      <c r="M619" s="4"/>
      <c r="N619" s="4"/>
      <c r="O619" s="12">
        <f t="shared" si="145"/>
        <v>0</v>
      </c>
    </row>
    <row r="620" ht="14.25" customHeight="1">
      <c r="B620" s="13"/>
      <c r="C620" s="114" t="str">
        <f t="shared" si="144"/>
        <v>12-1899</v>
      </c>
      <c r="D620" s="128"/>
      <c r="E620" s="9"/>
      <c r="F620" s="10">
        <f> (30-'Salários'!$N620)</f>
        <v>30</v>
      </c>
      <c r="G620" s="12">
        <f t="shared" si="146"/>
        <v>0</v>
      </c>
      <c r="H620" s="10"/>
      <c r="I620" s="9"/>
      <c r="J620" s="10"/>
      <c r="K620" s="9"/>
      <c r="L620" s="4"/>
      <c r="M620" s="4"/>
      <c r="N620" s="4"/>
      <c r="O620" s="12">
        <f t="shared" si="145"/>
        <v>0</v>
      </c>
    </row>
    <row r="621" ht="14.25" customHeight="1">
      <c r="B621" s="13"/>
      <c r="C621" s="114" t="str">
        <f t="shared" si="144"/>
        <v>12-1899</v>
      </c>
      <c r="D621" s="128"/>
      <c r="E621" s="9"/>
      <c r="F621" s="10">
        <f> (30-'Salários'!$N621)</f>
        <v>30</v>
      </c>
      <c r="G621" s="12">
        <f t="shared" si="146"/>
        <v>0</v>
      </c>
      <c r="H621" s="10"/>
      <c r="I621" s="9"/>
      <c r="J621" s="10"/>
      <c r="K621" s="9"/>
      <c r="L621" s="4"/>
      <c r="M621" s="4"/>
      <c r="N621" s="4"/>
      <c r="O621" s="12">
        <f t="shared" si="145"/>
        <v>0</v>
      </c>
    </row>
    <row r="622" ht="14.25" customHeight="1">
      <c r="B622" s="13"/>
      <c r="C622" s="114" t="str">
        <f t="shared" si="144"/>
        <v>12-1899</v>
      </c>
      <c r="D622" s="128"/>
      <c r="E622" s="9"/>
      <c r="F622" s="10">
        <f> (30-'Salários'!$N622)</f>
        <v>30</v>
      </c>
      <c r="G622" s="12">
        <f t="shared" si="146"/>
        <v>0</v>
      </c>
      <c r="H622" s="10"/>
      <c r="I622" s="9"/>
      <c r="J622" s="10"/>
      <c r="K622" s="9"/>
      <c r="L622" s="4"/>
      <c r="M622" s="4"/>
      <c r="N622" s="4"/>
      <c r="O622" s="12">
        <f t="shared" si="145"/>
        <v>0</v>
      </c>
    </row>
    <row r="623" ht="14.25" customHeight="1">
      <c r="B623" s="13"/>
      <c r="C623" s="114" t="str">
        <f t="shared" si="144"/>
        <v>12-1899</v>
      </c>
      <c r="D623" s="128"/>
      <c r="E623" s="9"/>
      <c r="F623" s="10">
        <f> (30-'Salários'!$N623)</f>
        <v>30</v>
      </c>
      <c r="G623" s="12">
        <f t="shared" si="146"/>
        <v>0</v>
      </c>
      <c r="H623" s="10"/>
      <c r="I623" s="9"/>
      <c r="J623" s="10"/>
      <c r="K623" s="9"/>
      <c r="L623" s="4"/>
      <c r="M623" s="4"/>
      <c r="N623" s="4"/>
      <c r="O623" s="12">
        <f t="shared" si="145"/>
        <v>0</v>
      </c>
    </row>
    <row r="624" ht="14.25" customHeight="1">
      <c r="B624" s="13"/>
      <c r="C624" s="114" t="str">
        <f t="shared" si="144"/>
        <v>12-1899</v>
      </c>
      <c r="D624" s="128"/>
      <c r="E624" s="9"/>
      <c r="F624" s="10">
        <f> (30-'Salários'!$N624)</f>
        <v>30</v>
      </c>
      <c r="G624" s="12">
        <f t="shared" si="146"/>
        <v>0</v>
      </c>
      <c r="H624" s="10"/>
      <c r="I624" s="9"/>
      <c r="J624" s="10"/>
      <c r="K624" s="9"/>
      <c r="L624" s="4"/>
      <c r="M624" s="4"/>
      <c r="N624" s="4"/>
      <c r="O624" s="12">
        <f t="shared" si="145"/>
        <v>0</v>
      </c>
    </row>
    <row r="625" ht="14.25" customHeight="1">
      <c r="B625" s="13"/>
      <c r="C625" s="114" t="str">
        <f t="shared" si="144"/>
        <v>12-1899</v>
      </c>
      <c r="D625" s="128"/>
      <c r="E625" s="9"/>
      <c r="F625" s="10">
        <f> (30-'Salários'!$N625)</f>
        <v>30</v>
      </c>
      <c r="G625" s="12">
        <f t="shared" si="146"/>
        <v>0</v>
      </c>
      <c r="H625" s="10"/>
      <c r="I625" s="9"/>
      <c r="J625" s="10"/>
      <c r="K625" s="9"/>
      <c r="L625" s="4"/>
      <c r="M625" s="4"/>
      <c r="N625" s="4"/>
      <c r="O625" s="12">
        <f t="shared" si="145"/>
        <v>0</v>
      </c>
    </row>
    <row r="626" ht="14.25" customHeight="1">
      <c r="B626" s="13"/>
      <c r="C626" s="114" t="str">
        <f t="shared" si="144"/>
        <v>12-1899</v>
      </c>
      <c r="D626" s="128"/>
      <c r="E626" s="9"/>
      <c r="F626" s="10">
        <f> (30-'Salários'!$N626)</f>
        <v>30</v>
      </c>
      <c r="G626" s="12">
        <f t="shared" si="146"/>
        <v>0</v>
      </c>
      <c r="H626" s="10"/>
      <c r="I626" s="9"/>
      <c r="J626" s="10"/>
      <c r="K626" s="9"/>
      <c r="L626" s="4"/>
      <c r="M626" s="4"/>
      <c r="N626" s="4"/>
      <c r="O626" s="12">
        <f t="shared" si="145"/>
        <v>0</v>
      </c>
    </row>
    <row r="627" ht="14.25" customHeight="1">
      <c r="B627" s="13"/>
      <c r="C627" s="114" t="str">
        <f t="shared" si="144"/>
        <v>12-1899</v>
      </c>
      <c r="D627" s="128"/>
      <c r="E627" s="9"/>
      <c r="F627" s="10">
        <f> (30-'Salários'!$N627)</f>
        <v>30</v>
      </c>
      <c r="G627" s="12">
        <f t="shared" si="146"/>
        <v>0</v>
      </c>
      <c r="H627" s="10"/>
      <c r="I627" s="9"/>
      <c r="J627" s="10"/>
      <c r="K627" s="9"/>
      <c r="L627" s="4"/>
      <c r="M627" s="4"/>
      <c r="N627" s="4"/>
      <c r="O627" s="12">
        <f t="shared" si="145"/>
        <v>0</v>
      </c>
    </row>
    <row r="628" ht="14.25" customHeight="1">
      <c r="B628" s="13"/>
      <c r="C628" s="114" t="str">
        <f t="shared" si="144"/>
        <v>12-1899</v>
      </c>
      <c r="D628" s="128"/>
      <c r="E628" s="9"/>
      <c r="F628" s="10">
        <f> (30-'Salários'!$N628)</f>
        <v>30</v>
      </c>
      <c r="G628" s="12">
        <f t="shared" si="146"/>
        <v>0</v>
      </c>
      <c r="H628" s="10"/>
      <c r="I628" s="9"/>
      <c r="J628" s="10"/>
      <c r="K628" s="9"/>
      <c r="L628" s="4"/>
      <c r="M628" s="4"/>
      <c r="N628" s="4"/>
      <c r="O628" s="12">
        <f t="shared" si="145"/>
        <v>0</v>
      </c>
    </row>
    <row r="629" ht="14.25" customHeight="1">
      <c r="B629" s="13"/>
      <c r="C629" s="114" t="str">
        <f t="shared" si="144"/>
        <v>12-1899</v>
      </c>
      <c r="D629" s="128"/>
      <c r="E629" s="9"/>
      <c r="F629" s="10">
        <f> (30-'Salários'!$N629)</f>
        <v>30</v>
      </c>
      <c r="G629" s="12">
        <f t="shared" si="146"/>
        <v>0</v>
      </c>
      <c r="H629" s="10"/>
      <c r="I629" s="9"/>
      <c r="J629" s="10"/>
      <c r="K629" s="9"/>
      <c r="L629" s="4"/>
      <c r="M629" s="4"/>
      <c r="N629" s="4"/>
      <c r="O629" s="12">
        <f t="shared" si="145"/>
        <v>0</v>
      </c>
    </row>
    <row r="630" ht="14.25" customHeight="1">
      <c r="B630" s="13"/>
      <c r="C630" s="114" t="str">
        <f t="shared" si="144"/>
        <v>12-1899</v>
      </c>
      <c r="D630" s="128"/>
      <c r="E630" s="9"/>
      <c r="F630" s="10">
        <f> (30-'Salários'!$N630)</f>
        <v>30</v>
      </c>
      <c r="G630" s="12">
        <f t="shared" si="146"/>
        <v>0</v>
      </c>
      <c r="H630" s="10"/>
      <c r="I630" s="9"/>
      <c r="J630" s="10"/>
      <c r="K630" s="9"/>
      <c r="L630" s="4"/>
      <c r="M630" s="4"/>
      <c r="N630" s="4"/>
      <c r="O630" s="12">
        <f t="shared" si="145"/>
        <v>0</v>
      </c>
    </row>
    <row r="631" ht="14.25" customHeight="1">
      <c r="B631" s="13"/>
      <c r="C631" s="114" t="str">
        <f t="shared" si="144"/>
        <v>12-1899</v>
      </c>
      <c r="D631" s="128"/>
      <c r="E631" s="9"/>
      <c r="F631" s="10">
        <f> (30-'Salários'!$N631)</f>
        <v>30</v>
      </c>
      <c r="G631" s="12">
        <f t="shared" si="146"/>
        <v>0</v>
      </c>
      <c r="H631" s="10"/>
      <c r="I631" s="9"/>
      <c r="J631" s="10"/>
      <c r="K631" s="9"/>
      <c r="L631" s="4"/>
      <c r="M631" s="4"/>
      <c r="N631" s="4"/>
      <c r="O631" s="12">
        <f t="shared" si="145"/>
        <v>0</v>
      </c>
    </row>
    <row r="632" ht="14.25" customHeight="1">
      <c r="B632" s="13"/>
      <c r="C632" s="114" t="str">
        <f t="shared" si="144"/>
        <v>12-1899</v>
      </c>
      <c r="D632" s="128"/>
      <c r="E632" s="9"/>
      <c r="F632" s="10">
        <f> (30-'Salários'!$N632)</f>
        <v>30</v>
      </c>
      <c r="G632" s="12">
        <f t="shared" si="146"/>
        <v>0</v>
      </c>
      <c r="H632" s="10"/>
      <c r="I632" s="9"/>
      <c r="J632" s="10"/>
      <c r="K632" s="9"/>
      <c r="L632" s="4"/>
      <c r="M632" s="4"/>
      <c r="N632" s="4"/>
      <c r="O632" s="12">
        <f t="shared" si="145"/>
        <v>0</v>
      </c>
    </row>
    <row r="633" ht="14.25" customHeight="1">
      <c r="B633" s="13"/>
      <c r="C633" s="114" t="str">
        <f t="shared" si="144"/>
        <v>12-1899</v>
      </c>
      <c r="D633" s="128"/>
      <c r="E633" s="9"/>
      <c r="F633" s="10">
        <f> (30-'Salários'!$N633)</f>
        <v>30</v>
      </c>
      <c r="G633" s="12">
        <f t="shared" si="146"/>
        <v>0</v>
      </c>
      <c r="H633" s="10"/>
      <c r="I633" s="9"/>
      <c r="J633" s="10"/>
      <c r="K633" s="9"/>
      <c r="L633" s="4"/>
      <c r="M633" s="4"/>
      <c r="N633" s="4"/>
      <c r="O633" s="12">
        <f t="shared" si="145"/>
        <v>0</v>
      </c>
    </row>
    <row r="634" ht="14.25" customHeight="1">
      <c r="B634" s="13"/>
      <c r="C634" s="114" t="str">
        <f t="shared" si="144"/>
        <v>12-1899</v>
      </c>
      <c r="D634" s="128"/>
      <c r="E634" s="9"/>
      <c r="F634" s="10">
        <f> (30-'Salários'!$N634)</f>
        <v>30</v>
      </c>
      <c r="G634" s="12">
        <f t="shared" si="146"/>
        <v>0</v>
      </c>
      <c r="H634" s="10"/>
      <c r="I634" s="9"/>
      <c r="J634" s="10"/>
      <c r="K634" s="9"/>
      <c r="L634" s="4"/>
      <c r="M634" s="4"/>
      <c r="N634" s="4"/>
      <c r="O634" s="12">
        <f t="shared" si="145"/>
        <v>0</v>
      </c>
    </row>
    <row r="635" ht="14.25" customHeight="1">
      <c r="B635" s="13"/>
      <c r="C635" s="114" t="str">
        <f t="shared" si="144"/>
        <v>12-1899</v>
      </c>
      <c r="D635" s="128"/>
      <c r="E635" s="9"/>
      <c r="F635" s="10">
        <f> (30-'Salários'!$N635)</f>
        <v>30</v>
      </c>
      <c r="G635" s="12">
        <f t="shared" si="146"/>
        <v>0</v>
      </c>
      <c r="H635" s="10"/>
      <c r="I635" s="9"/>
      <c r="J635" s="10"/>
      <c r="K635" s="9"/>
      <c r="L635" s="4"/>
      <c r="M635" s="4"/>
      <c r="N635" s="4"/>
      <c r="O635" s="12">
        <f t="shared" si="145"/>
        <v>0</v>
      </c>
    </row>
    <row r="636" ht="14.25" customHeight="1">
      <c r="B636" s="13"/>
      <c r="C636" s="114" t="str">
        <f t="shared" si="144"/>
        <v>12-1899</v>
      </c>
      <c r="D636" s="128"/>
      <c r="E636" s="9"/>
      <c r="F636" s="10">
        <f> (30-'Salários'!$N636)</f>
        <v>30</v>
      </c>
      <c r="G636" s="12">
        <f t="shared" si="146"/>
        <v>0</v>
      </c>
      <c r="H636" s="10"/>
      <c r="I636" s="9"/>
      <c r="J636" s="10"/>
      <c r="K636" s="9"/>
      <c r="L636" s="4"/>
      <c r="M636" s="4"/>
      <c r="N636" s="4"/>
      <c r="O636" s="12">
        <f t="shared" si="145"/>
        <v>0</v>
      </c>
    </row>
    <row r="637" ht="14.25" customHeight="1">
      <c r="B637" s="13"/>
      <c r="C637" s="114" t="str">
        <f t="shared" si="144"/>
        <v>12-1899</v>
      </c>
      <c r="D637" s="128"/>
      <c r="E637" s="9"/>
      <c r="F637" s="10">
        <f> (30-'Salários'!$N637)</f>
        <v>30</v>
      </c>
      <c r="G637" s="12">
        <f t="shared" si="146"/>
        <v>0</v>
      </c>
      <c r="H637" s="10"/>
      <c r="I637" s="9"/>
      <c r="J637" s="10"/>
      <c r="K637" s="9"/>
      <c r="L637" s="4"/>
      <c r="M637" s="4"/>
      <c r="N637" s="4"/>
      <c r="O637" s="12">
        <f t="shared" si="145"/>
        <v>0</v>
      </c>
    </row>
    <row r="638" ht="14.25" customHeight="1">
      <c r="B638" s="13"/>
      <c r="C638" s="114" t="str">
        <f t="shared" si="144"/>
        <v>12-1899</v>
      </c>
      <c r="D638" s="128"/>
      <c r="E638" s="9"/>
      <c r="F638" s="10">
        <f> (30-'Salários'!$N638)</f>
        <v>30</v>
      </c>
      <c r="G638" s="12">
        <f t="shared" si="146"/>
        <v>0</v>
      </c>
      <c r="H638" s="10"/>
      <c r="I638" s="9"/>
      <c r="J638" s="10"/>
      <c r="K638" s="9"/>
      <c r="L638" s="4"/>
      <c r="M638" s="4"/>
      <c r="N638" s="4"/>
      <c r="O638" s="12">
        <f t="shared" si="145"/>
        <v>0</v>
      </c>
    </row>
    <row r="639" ht="14.25" customHeight="1">
      <c r="B639" s="13"/>
      <c r="C639" s="114" t="str">
        <f t="shared" si="144"/>
        <v>12-1899</v>
      </c>
      <c r="D639" s="128"/>
      <c r="E639" s="9"/>
      <c r="F639" s="10">
        <f> (30-'Salários'!$N639)</f>
        <v>30</v>
      </c>
      <c r="G639" s="12">
        <f t="shared" si="146"/>
        <v>0</v>
      </c>
      <c r="H639" s="10"/>
      <c r="I639" s="9"/>
      <c r="J639" s="10"/>
      <c r="K639" s="9"/>
      <c r="L639" s="4"/>
      <c r="M639" s="4"/>
      <c r="N639" s="4"/>
      <c r="O639" s="12">
        <f t="shared" si="145"/>
        <v>0</v>
      </c>
    </row>
    <row r="640" ht="14.25" customHeight="1">
      <c r="B640" s="13"/>
      <c r="C640" s="114" t="str">
        <f t="shared" si="144"/>
        <v>12-1899</v>
      </c>
      <c r="D640" s="128"/>
      <c r="E640" s="9"/>
      <c r="F640" s="10">
        <f> (30-'Salários'!$N640)</f>
        <v>30</v>
      </c>
      <c r="G640" s="12">
        <f t="shared" si="146"/>
        <v>0</v>
      </c>
      <c r="H640" s="10"/>
      <c r="I640" s="9"/>
      <c r="J640" s="10"/>
      <c r="K640" s="9"/>
      <c r="L640" s="4"/>
      <c r="M640" s="4"/>
      <c r="N640" s="4"/>
      <c r="O640" s="12">
        <f t="shared" si="145"/>
        <v>0</v>
      </c>
    </row>
    <row r="641" ht="14.25" customHeight="1">
      <c r="B641" s="13"/>
      <c r="C641" s="114" t="str">
        <f t="shared" si="144"/>
        <v>12-1899</v>
      </c>
      <c r="D641" s="128"/>
      <c r="E641" s="9"/>
      <c r="F641" s="10">
        <f> (30-'Salários'!$N641)</f>
        <v>30</v>
      </c>
      <c r="G641" s="12">
        <f t="shared" si="146"/>
        <v>0</v>
      </c>
      <c r="H641" s="10"/>
      <c r="I641" s="9"/>
      <c r="J641" s="10"/>
      <c r="K641" s="9"/>
      <c r="L641" s="4"/>
      <c r="M641" s="4"/>
      <c r="N641" s="4"/>
      <c r="O641" s="12">
        <f t="shared" si="145"/>
        <v>0</v>
      </c>
    </row>
    <row r="642" ht="14.25" customHeight="1">
      <c r="B642" s="13"/>
      <c r="C642" s="114" t="str">
        <f t="shared" si="144"/>
        <v>12-1899</v>
      </c>
      <c r="D642" s="128"/>
      <c r="E642" s="9"/>
      <c r="F642" s="10">
        <f> (30-'Salários'!$N642)</f>
        <v>30</v>
      </c>
      <c r="G642" s="12">
        <f t="shared" si="146"/>
        <v>0</v>
      </c>
      <c r="H642" s="10"/>
      <c r="I642" s="9"/>
      <c r="J642" s="10"/>
      <c r="K642" s="9"/>
      <c r="L642" s="4"/>
      <c r="M642" s="4"/>
      <c r="N642" s="4"/>
      <c r="O642" s="12">
        <f t="shared" si="145"/>
        <v>0</v>
      </c>
    </row>
    <row r="643" ht="14.25" customHeight="1">
      <c r="B643" s="13"/>
      <c r="C643" s="114" t="str">
        <f t="shared" si="144"/>
        <v>12-1899</v>
      </c>
      <c r="D643" s="128"/>
      <c r="E643" s="9"/>
      <c r="F643" s="10">
        <f> (30-'Salários'!$N643)</f>
        <v>30</v>
      </c>
      <c r="G643" s="12">
        <f t="shared" si="146"/>
        <v>0</v>
      </c>
      <c r="H643" s="10"/>
      <c r="I643" s="9"/>
      <c r="J643" s="10"/>
      <c r="K643" s="9"/>
      <c r="L643" s="4"/>
      <c r="M643" s="4"/>
      <c r="N643" s="4"/>
      <c r="O643" s="12">
        <f t="shared" si="145"/>
        <v>0</v>
      </c>
    </row>
    <row r="644" ht="14.25" customHeight="1">
      <c r="B644" s="13"/>
      <c r="C644" s="114" t="str">
        <f t="shared" si="144"/>
        <v>12-1899</v>
      </c>
      <c r="D644" s="128"/>
      <c r="E644" s="9"/>
      <c r="F644" s="10">
        <f> (30-'Salários'!$N644)</f>
        <v>30</v>
      </c>
      <c r="G644" s="12">
        <f t="shared" si="146"/>
        <v>0</v>
      </c>
      <c r="H644" s="10"/>
      <c r="I644" s="9"/>
      <c r="J644" s="10"/>
      <c r="K644" s="9"/>
      <c r="L644" s="4"/>
      <c r="M644" s="4"/>
      <c r="N644" s="4"/>
      <c r="O644" s="12">
        <f t="shared" si="145"/>
        <v>0</v>
      </c>
    </row>
    <row r="645" ht="14.25" customHeight="1">
      <c r="B645" s="13"/>
      <c r="C645" s="114" t="str">
        <f t="shared" si="144"/>
        <v>12-1899</v>
      </c>
      <c r="D645" s="128"/>
      <c r="E645" s="9"/>
      <c r="F645" s="10">
        <f> (30-'Salários'!$N645)</f>
        <v>30</v>
      </c>
      <c r="G645" s="12">
        <f t="shared" si="146"/>
        <v>0</v>
      </c>
      <c r="H645" s="10"/>
      <c r="I645" s="9"/>
      <c r="J645" s="10"/>
      <c r="K645" s="9"/>
      <c r="L645" s="4"/>
      <c r="M645" s="4"/>
      <c r="N645" s="4"/>
      <c r="O645" s="12">
        <f t="shared" si="145"/>
        <v>0</v>
      </c>
    </row>
    <row r="646" ht="14.25" customHeight="1">
      <c r="B646" s="13"/>
      <c r="C646" s="114" t="str">
        <f t="shared" si="144"/>
        <v>12-1899</v>
      </c>
      <c r="D646" s="128"/>
      <c r="E646" s="9"/>
      <c r="F646" s="10">
        <f> (30-'Salários'!$N646)</f>
        <v>30</v>
      </c>
      <c r="G646" s="12">
        <f t="shared" si="146"/>
        <v>0</v>
      </c>
      <c r="H646" s="10"/>
      <c r="I646" s="9"/>
      <c r="J646" s="10"/>
      <c r="K646" s="9"/>
      <c r="L646" s="4"/>
      <c r="M646" s="4"/>
      <c r="N646" s="4"/>
      <c r="O646" s="12">
        <f t="shared" si="145"/>
        <v>0</v>
      </c>
    </row>
    <row r="647" ht="14.25" customHeight="1">
      <c r="B647" s="13"/>
      <c r="C647" s="114" t="str">
        <f t="shared" si="144"/>
        <v>12-1899</v>
      </c>
      <c r="D647" s="128"/>
      <c r="E647" s="9"/>
      <c r="F647" s="10">
        <f> (30-'Salários'!$N647)</f>
        <v>30</v>
      </c>
      <c r="G647" s="12">
        <f t="shared" si="146"/>
        <v>0</v>
      </c>
      <c r="H647" s="10"/>
      <c r="I647" s="9"/>
      <c r="J647" s="10"/>
      <c r="K647" s="9"/>
      <c r="L647" s="4"/>
      <c r="M647" s="4"/>
      <c r="N647" s="4"/>
      <c r="O647" s="12">
        <f t="shared" si="145"/>
        <v>0</v>
      </c>
    </row>
    <row r="648" ht="14.25" customHeight="1">
      <c r="B648" s="13"/>
      <c r="C648" s="114" t="str">
        <f t="shared" si="144"/>
        <v>12-1899</v>
      </c>
      <c r="D648" s="128"/>
      <c r="E648" s="9"/>
      <c r="F648" s="10">
        <f> (30-'Salários'!$N648)</f>
        <v>30</v>
      </c>
      <c r="G648" s="12">
        <f t="shared" si="146"/>
        <v>0</v>
      </c>
      <c r="H648" s="10"/>
      <c r="I648" s="9"/>
      <c r="J648" s="10"/>
      <c r="K648" s="9"/>
      <c r="L648" s="4"/>
      <c r="M648" s="4"/>
      <c r="N648" s="4"/>
      <c r="O648" s="12">
        <f t="shared" si="145"/>
        <v>0</v>
      </c>
    </row>
    <row r="649" ht="14.25" customHeight="1">
      <c r="B649" s="13"/>
      <c r="C649" s="114" t="str">
        <f t="shared" si="144"/>
        <v>12-1899</v>
      </c>
      <c r="D649" s="128"/>
      <c r="E649" s="9"/>
      <c r="F649" s="10">
        <f> (30-'Salários'!$N649)</f>
        <v>30</v>
      </c>
      <c r="G649" s="12">
        <f t="shared" si="146"/>
        <v>0</v>
      </c>
      <c r="H649" s="10"/>
      <c r="I649" s="9"/>
      <c r="J649" s="10"/>
      <c r="K649" s="9"/>
      <c r="L649" s="4"/>
      <c r="M649" s="4"/>
      <c r="N649" s="4"/>
      <c r="O649" s="12">
        <f t="shared" si="145"/>
        <v>0</v>
      </c>
    </row>
    <row r="650" ht="14.25" customHeight="1">
      <c r="B650" s="13"/>
      <c r="C650" s="114" t="str">
        <f t="shared" si="144"/>
        <v>12-1899</v>
      </c>
      <c r="D650" s="128"/>
      <c r="E650" s="9"/>
      <c r="F650" s="10">
        <f> (30-'Salários'!$N650)</f>
        <v>30</v>
      </c>
      <c r="G650" s="12">
        <f t="shared" si="146"/>
        <v>0</v>
      </c>
      <c r="H650" s="10"/>
      <c r="I650" s="9"/>
      <c r="J650" s="10"/>
      <c r="K650" s="9"/>
      <c r="L650" s="4"/>
      <c r="M650" s="4"/>
      <c r="N650" s="4"/>
      <c r="O650" s="12">
        <f t="shared" si="145"/>
        <v>0</v>
      </c>
    </row>
    <row r="651" ht="14.25" customHeight="1">
      <c r="B651" s="13"/>
      <c r="C651" s="128"/>
      <c r="D651" s="128"/>
    </row>
    <row r="652" ht="14.25" customHeight="1">
      <c r="B652" s="13"/>
      <c r="C652" s="128"/>
      <c r="D652" s="128"/>
    </row>
    <row r="653" ht="14.25" customHeight="1">
      <c r="B653" s="13"/>
      <c r="C653" s="128"/>
      <c r="D653" s="128"/>
    </row>
    <row r="654" ht="14.25" customHeight="1">
      <c r="B654" s="13"/>
      <c r="C654" s="128"/>
      <c r="D654" s="128"/>
    </row>
    <row r="655" ht="14.25" customHeight="1">
      <c r="B655" s="13"/>
      <c r="C655" s="128"/>
      <c r="D655" s="128"/>
    </row>
    <row r="656" ht="14.25" customHeight="1">
      <c r="B656" s="13"/>
      <c r="C656" s="128"/>
      <c r="D656" s="128"/>
    </row>
    <row r="657" ht="14.25" customHeight="1">
      <c r="B657" s="13"/>
      <c r="C657" s="128"/>
      <c r="D657" s="128"/>
    </row>
    <row r="658" ht="14.25" customHeight="1">
      <c r="B658" s="13"/>
      <c r="C658" s="128"/>
      <c r="D658" s="128"/>
    </row>
    <row r="659" ht="14.25" customHeight="1">
      <c r="B659" s="13"/>
      <c r="C659" s="128"/>
      <c r="D659" s="128"/>
    </row>
    <row r="660" ht="14.25" customHeight="1">
      <c r="B660" s="13"/>
      <c r="C660" s="128"/>
      <c r="D660" s="128"/>
    </row>
    <row r="661" ht="14.25" customHeight="1">
      <c r="B661" s="13"/>
      <c r="C661" s="128"/>
      <c r="D661" s="128"/>
    </row>
    <row r="662" ht="14.25" customHeight="1">
      <c r="B662" s="13"/>
      <c r="C662" s="128"/>
      <c r="D662" s="128"/>
    </row>
    <row r="663" ht="14.25" customHeight="1">
      <c r="B663" s="13"/>
      <c r="C663" s="128"/>
      <c r="D663" s="128"/>
    </row>
    <row r="664" ht="14.25" customHeight="1">
      <c r="B664" s="13"/>
      <c r="C664" s="128"/>
      <c r="D664" s="128"/>
    </row>
    <row r="665" ht="14.25" customHeight="1">
      <c r="B665" s="13"/>
      <c r="C665" s="128"/>
      <c r="D665" s="128"/>
    </row>
    <row r="666" ht="14.25" customHeight="1">
      <c r="B666" s="13"/>
      <c r="C666" s="128"/>
      <c r="D666" s="128"/>
    </row>
    <row r="667" ht="14.25" customHeight="1">
      <c r="B667" s="13"/>
      <c r="C667" s="128"/>
      <c r="D667" s="128"/>
    </row>
    <row r="668" ht="14.25" customHeight="1">
      <c r="B668" s="13"/>
      <c r="C668" s="128"/>
      <c r="D668" s="128"/>
    </row>
    <row r="669" ht="14.25" customHeight="1">
      <c r="B669" s="13"/>
      <c r="C669" s="128"/>
      <c r="D669" s="128"/>
    </row>
    <row r="670" ht="14.25" customHeight="1">
      <c r="B670" s="13"/>
      <c r="C670" s="128"/>
      <c r="D670" s="128"/>
    </row>
    <row r="671" ht="14.25" customHeight="1">
      <c r="B671" s="13"/>
      <c r="C671" s="128"/>
      <c r="D671" s="128"/>
    </row>
    <row r="672" ht="14.25" customHeight="1">
      <c r="B672" s="13"/>
      <c r="C672" s="128"/>
      <c r="D672" s="128"/>
    </row>
    <row r="673" ht="14.25" customHeight="1">
      <c r="B673" s="13"/>
      <c r="C673" s="128"/>
      <c r="D673" s="128"/>
    </row>
    <row r="674" ht="14.25" customHeight="1">
      <c r="B674" s="13"/>
      <c r="C674" s="128"/>
      <c r="D674" s="128"/>
    </row>
    <row r="675" ht="14.25" customHeight="1">
      <c r="B675" s="13"/>
      <c r="C675" s="128"/>
      <c r="D675" s="128"/>
    </row>
    <row r="676" ht="14.25" customHeight="1">
      <c r="B676" s="13"/>
      <c r="C676" s="128"/>
      <c r="D676" s="128"/>
    </row>
    <row r="677" ht="14.25" customHeight="1">
      <c r="B677" s="13"/>
      <c r="C677" s="128"/>
      <c r="D677" s="128"/>
    </row>
    <row r="678" ht="14.25" customHeight="1">
      <c r="B678" s="13"/>
      <c r="C678" s="128"/>
      <c r="D678" s="128"/>
    </row>
    <row r="679" ht="14.25" customHeight="1">
      <c r="B679" s="13"/>
      <c r="C679" s="128"/>
      <c r="D679" s="128"/>
    </row>
    <row r="680" ht="14.25" customHeight="1">
      <c r="B680" s="13"/>
      <c r="C680" s="128"/>
      <c r="D680" s="128"/>
    </row>
    <row r="681" ht="14.25" customHeight="1">
      <c r="B681" s="13"/>
      <c r="C681" s="128"/>
      <c r="D681" s="128"/>
    </row>
    <row r="682" ht="14.25" customHeight="1">
      <c r="B682" s="13"/>
      <c r="C682" s="128"/>
      <c r="D682" s="128"/>
    </row>
    <row r="683" ht="14.25" customHeight="1">
      <c r="B683" s="13"/>
      <c r="C683" s="128"/>
      <c r="D683" s="128"/>
    </row>
    <row r="684" ht="14.25" customHeight="1">
      <c r="B684" s="13"/>
      <c r="C684" s="128"/>
      <c r="D684" s="128"/>
    </row>
    <row r="685" ht="14.25" customHeight="1">
      <c r="B685" s="13"/>
      <c r="C685" s="128"/>
      <c r="D685" s="128"/>
    </row>
    <row r="686" ht="14.25" customHeight="1">
      <c r="B686" s="13"/>
      <c r="C686" s="128"/>
      <c r="D686" s="128"/>
    </row>
    <row r="687" ht="14.25" customHeight="1">
      <c r="B687" s="13"/>
      <c r="C687" s="128"/>
      <c r="D687" s="128"/>
    </row>
    <row r="688" ht="14.25" customHeight="1">
      <c r="B688" s="13"/>
      <c r="C688" s="128"/>
      <c r="D688" s="128"/>
    </row>
    <row r="689" ht="14.25" customHeight="1">
      <c r="B689" s="13"/>
      <c r="C689" s="128"/>
      <c r="D689" s="128"/>
    </row>
    <row r="690" ht="14.25" customHeight="1">
      <c r="B690" s="13"/>
      <c r="C690" s="128"/>
      <c r="D690" s="128"/>
    </row>
    <row r="691" ht="14.25" customHeight="1">
      <c r="B691" s="13"/>
      <c r="C691" s="128"/>
      <c r="D691" s="128"/>
    </row>
    <row r="692" ht="14.25" customHeight="1">
      <c r="B692" s="13"/>
      <c r="C692" s="128"/>
      <c r="D692" s="128"/>
    </row>
    <row r="693" ht="14.25" customHeight="1">
      <c r="B693" s="13"/>
      <c r="C693" s="128"/>
      <c r="D693" s="128"/>
    </row>
    <row r="694" ht="14.25" customHeight="1">
      <c r="B694" s="13"/>
      <c r="C694" s="128"/>
      <c r="D694" s="128"/>
    </row>
    <row r="695" ht="14.25" customHeight="1">
      <c r="B695" s="13"/>
      <c r="C695" s="128"/>
      <c r="D695" s="128"/>
    </row>
    <row r="696" ht="14.25" customHeight="1">
      <c r="B696" s="13"/>
      <c r="C696" s="128"/>
      <c r="D696" s="128"/>
    </row>
    <row r="697" ht="14.25" customHeight="1">
      <c r="B697" s="13"/>
      <c r="C697" s="128"/>
      <c r="D697" s="128"/>
    </row>
    <row r="698" ht="14.25" customHeight="1">
      <c r="B698" s="13"/>
      <c r="C698" s="128"/>
      <c r="D698" s="128"/>
    </row>
    <row r="699" ht="14.25" customHeight="1">
      <c r="B699" s="13"/>
      <c r="C699" s="128"/>
      <c r="D699" s="128"/>
    </row>
    <row r="700" ht="14.25" customHeight="1">
      <c r="B700" s="13"/>
      <c r="C700" s="128"/>
      <c r="D700" s="128"/>
    </row>
    <row r="701" ht="14.25" customHeight="1">
      <c r="B701" s="13"/>
      <c r="C701" s="128"/>
      <c r="D701" s="128"/>
    </row>
    <row r="702" ht="14.25" customHeight="1">
      <c r="B702" s="13"/>
      <c r="C702" s="128"/>
      <c r="D702" s="128"/>
    </row>
    <row r="703" ht="14.25" customHeight="1">
      <c r="B703" s="13"/>
      <c r="C703" s="128"/>
      <c r="D703" s="128"/>
    </row>
    <row r="704" ht="14.25" customHeight="1">
      <c r="B704" s="13"/>
      <c r="C704" s="128"/>
      <c r="D704" s="128"/>
    </row>
    <row r="705" ht="14.25" customHeight="1">
      <c r="B705" s="13"/>
      <c r="C705" s="128"/>
      <c r="D705" s="128"/>
    </row>
    <row r="706" ht="14.25" customHeight="1">
      <c r="B706" s="13"/>
      <c r="C706" s="128"/>
      <c r="D706" s="128"/>
    </row>
    <row r="707" ht="14.25" customHeight="1">
      <c r="B707" s="13"/>
      <c r="C707" s="128"/>
      <c r="D707" s="128"/>
    </row>
    <row r="708" ht="14.25" customHeight="1">
      <c r="B708" s="13"/>
      <c r="C708" s="128"/>
      <c r="D708" s="128"/>
    </row>
    <row r="709" ht="14.25" customHeight="1">
      <c r="B709" s="13"/>
      <c r="C709" s="128"/>
      <c r="D709" s="128"/>
    </row>
    <row r="710" ht="14.25" customHeight="1">
      <c r="B710" s="13"/>
      <c r="C710" s="128"/>
      <c r="D710" s="128"/>
    </row>
    <row r="711" ht="14.25" customHeight="1">
      <c r="B711" s="13"/>
      <c r="C711" s="128"/>
      <c r="D711" s="128"/>
    </row>
    <row r="712" ht="14.25" customHeight="1">
      <c r="B712" s="13"/>
      <c r="C712" s="128"/>
      <c r="D712" s="128"/>
    </row>
    <row r="713" ht="14.25" customHeight="1">
      <c r="B713" s="13"/>
      <c r="C713" s="128"/>
      <c r="D713" s="128"/>
    </row>
    <row r="714" ht="14.25" customHeight="1">
      <c r="B714" s="13"/>
      <c r="C714" s="128"/>
      <c r="D714" s="128"/>
    </row>
    <row r="715" ht="14.25" customHeight="1">
      <c r="B715" s="13"/>
      <c r="C715" s="128"/>
      <c r="D715" s="128"/>
    </row>
    <row r="716" ht="14.25" customHeight="1">
      <c r="B716" s="13"/>
      <c r="C716" s="128"/>
      <c r="D716" s="128"/>
    </row>
    <row r="717" ht="14.25" customHeight="1">
      <c r="B717" s="13"/>
      <c r="C717" s="128"/>
      <c r="D717" s="128"/>
    </row>
    <row r="718" ht="14.25" customHeight="1">
      <c r="B718" s="13"/>
      <c r="C718" s="128"/>
      <c r="D718" s="128"/>
    </row>
    <row r="719" ht="14.25" customHeight="1">
      <c r="B719" s="13"/>
      <c r="C719" s="128"/>
      <c r="D719" s="128"/>
    </row>
    <row r="720" ht="14.25" customHeight="1">
      <c r="B720" s="13"/>
      <c r="C720" s="128"/>
      <c r="D720" s="128"/>
    </row>
    <row r="721" ht="14.25" customHeight="1">
      <c r="B721" s="13"/>
      <c r="C721" s="128"/>
      <c r="D721" s="128"/>
    </row>
    <row r="722" ht="14.25" customHeight="1">
      <c r="B722" s="13"/>
      <c r="C722" s="128"/>
      <c r="D722" s="128"/>
    </row>
    <row r="723" ht="14.25" customHeight="1">
      <c r="B723" s="13"/>
      <c r="C723" s="128"/>
      <c r="D723" s="128"/>
    </row>
    <row r="724" ht="14.25" customHeight="1">
      <c r="B724" s="13"/>
      <c r="C724" s="128"/>
      <c r="D724" s="128"/>
    </row>
    <row r="725" ht="14.25" customHeight="1">
      <c r="B725" s="13"/>
      <c r="C725" s="128"/>
      <c r="D725" s="128"/>
    </row>
    <row r="726" ht="14.25" customHeight="1">
      <c r="B726" s="13"/>
      <c r="C726" s="128"/>
      <c r="D726" s="128"/>
    </row>
    <row r="727" ht="14.25" customHeight="1">
      <c r="B727" s="13"/>
      <c r="C727" s="128"/>
      <c r="D727" s="128"/>
    </row>
    <row r="728" ht="14.25" customHeight="1">
      <c r="B728" s="13"/>
      <c r="C728" s="128"/>
      <c r="D728" s="128"/>
    </row>
    <row r="729" ht="14.25" customHeight="1">
      <c r="B729" s="13"/>
      <c r="C729" s="128"/>
      <c r="D729" s="128"/>
    </row>
    <row r="730" ht="14.25" customHeight="1">
      <c r="B730" s="13"/>
      <c r="C730" s="128"/>
      <c r="D730" s="128"/>
    </row>
    <row r="731" ht="14.25" customHeight="1">
      <c r="B731" s="13"/>
      <c r="C731" s="128"/>
      <c r="D731" s="128"/>
    </row>
    <row r="732" ht="14.25" customHeight="1">
      <c r="B732" s="13"/>
      <c r="C732" s="128"/>
      <c r="D732" s="128"/>
    </row>
    <row r="733" ht="14.25" customHeight="1">
      <c r="B733" s="13"/>
      <c r="C733" s="128"/>
      <c r="D733" s="128"/>
    </row>
    <row r="734" ht="14.25" customHeight="1">
      <c r="B734" s="13"/>
      <c r="C734" s="128"/>
      <c r="D734" s="128"/>
    </row>
    <row r="735" ht="14.25" customHeight="1">
      <c r="B735" s="13"/>
      <c r="C735" s="128"/>
      <c r="D735" s="128"/>
    </row>
    <row r="736" ht="14.25" customHeight="1">
      <c r="B736" s="13"/>
      <c r="C736" s="128"/>
      <c r="D736" s="128"/>
    </row>
    <row r="737" ht="14.25" customHeight="1">
      <c r="B737" s="13"/>
      <c r="C737" s="128"/>
      <c r="D737" s="128"/>
    </row>
    <row r="738" ht="14.25" customHeight="1">
      <c r="B738" s="13"/>
      <c r="C738" s="128"/>
      <c r="D738" s="128"/>
    </row>
    <row r="739" ht="14.25" customHeight="1">
      <c r="B739" s="13"/>
      <c r="C739" s="128"/>
      <c r="D739" s="128"/>
    </row>
    <row r="740" ht="14.25" customHeight="1">
      <c r="B740" s="13"/>
      <c r="C740" s="128"/>
      <c r="D740" s="128"/>
    </row>
    <row r="741" ht="14.25" customHeight="1">
      <c r="B741" s="13"/>
      <c r="C741" s="128"/>
      <c r="D741" s="128"/>
    </row>
    <row r="742" ht="14.25" customHeight="1">
      <c r="B742" s="13"/>
      <c r="C742" s="128"/>
      <c r="D742" s="128"/>
    </row>
    <row r="743" ht="14.25" customHeight="1">
      <c r="B743" s="13"/>
      <c r="C743" s="128"/>
      <c r="D743" s="128"/>
    </row>
    <row r="744" ht="14.25" customHeight="1">
      <c r="B744" s="13"/>
      <c r="C744" s="128"/>
      <c r="D744" s="128"/>
    </row>
    <row r="745" ht="14.25" customHeight="1">
      <c r="B745" s="13"/>
      <c r="C745" s="128"/>
      <c r="D745" s="128"/>
    </row>
    <row r="746" ht="14.25" customHeight="1">
      <c r="B746" s="13"/>
      <c r="C746" s="128"/>
      <c r="D746" s="128"/>
    </row>
    <row r="747" ht="14.25" customHeight="1">
      <c r="B747" s="13"/>
      <c r="C747" s="128"/>
      <c r="D747" s="128"/>
    </row>
    <row r="748" ht="14.25" customHeight="1">
      <c r="B748" s="13"/>
      <c r="C748" s="128"/>
      <c r="D748" s="128"/>
    </row>
    <row r="749" ht="14.25" customHeight="1">
      <c r="B749" s="13"/>
      <c r="C749" s="128"/>
      <c r="D749" s="128"/>
    </row>
    <row r="750" ht="14.25" customHeight="1">
      <c r="B750" s="13"/>
      <c r="C750" s="128"/>
      <c r="D750" s="128"/>
    </row>
    <row r="751" ht="14.25" customHeight="1">
      <c r="B751" s="13"/>
      <c r="C751" s="128"/>
      <c r="D751" s="128"/>
    </row>
    <row r="752" ht="14.25" customHeight="1">
      <c r="B752" s="13"/>
      <c r="C752" s="128"/>
      <c r="D752" s="128"/>
    </row>
    <row r="753" ht="14.25" customHeight="1">
      <c r="B753" s="13"/>
      <c r="C753" s="128"/>
      <c r="D753" s="128"/>
    </row>
    <row r="754" ht="14.25" customHeight="1">
      <c r="B754" s="13"/>
      <c r="C754" s="128"/>
      <c r="D754" s="128"/>
    </row>
    <row r="755" ht="14.25" customHeight="1">
      <c r="B755" s="13"/>
      <c r="C755" s="128"/>
      <c r="D755" s="128"/>
    </row>
    <row r="756" ht="14.25" customHeight="1">
      <c r="B756" s="13"/>
      <c r="C756" s="128"/>
      <c r="D756" s="128"/>
    </row>
    <row r="757" ht="14.25" customHeight="1">
      <c r="B757" s="13"/>
      <c r="C757" s="128"/>
      <c r="D757" s="128"/>
    </row>
    <row r="758" ht="14.25" customHeight="1">
      <c r="B758" s="13"/>
      <c r="C758" s="128"/>
      <c r="D758" s="128"/>
    </row>
    <row r="759" ht="14.25" customHeight="1">
      <c r="B759" s="13"/>
      <c r="C759" s="128"/>
      <c r="D759" s="128"/>
    </row>
    <row r="760" ht="14.25" customHeight="1">
      <c r="B760" s="13"/>
      <c r="C760" s="128"/>
      <c r="D760" s="128"/>
    </row>
    <row r="761" ht="14.25" customHeight="1">
      <c r="B761" s="13"/>
      <c r="C761" s="128"/>
      <c r="D761" s="128"/>
    </row>
    <row r="762" ht="14.25" customHeight="1">
      <c r="B762" s="13"/>
      <c r="C762" s="128"/>
      <c r="D762" s="128"/>
    </row>
    <row r="763" ht="14.25" customHeight="1">
      <c r="B763" s="13"/>
      <c r="C763" s="128"/>
      <c r="D763" s="128"/>
    </row>
    <row r="764" ht="14.25" customHeight="1">
      <c r="B764" s="13"/>
      <c r="C764" s="128"/>
      <c r="D764" s="128"/>
    </row>
    <row r="765" ht="14.25" customHeight="1">
      <c r="B765" s="13"/>
      <c r="C765" s="128"/>
      <c r="D765" s="128"/>
    </row>
    <row r="766" ht="14.25" customHeight="1">
      <c r="B766" s="13"/>
      <c r="C766" s="128"/>
      <c r="D766" s="128"/>
    </row>
    <row r="767" ht="14.25" customHeight="1">
      <c r="B767" s="13"/>
      <c r="C767" s="128"/>
      <c r="D767" s="128"/>
    </row>
    <row r="768" ht="14.25" customHeight="1">
      <c r="B768" s="13"/>
      <c r="C768" s="128"/>
      <c r="D768" s="128"/>
    </row>
    <row r="769" ht="14.25" customHeight="1">
      <c r="B769" s="13"/>
      <c r="C769" s="128"/>
      <c r="D769" s="128"/>
    </row>
    <row r="770" ht="14.25" customHeight="1">
      <c r="B770" s="13"/>
      <c r="C770" s="128"/>
      <c r="D770" s="128"/>
    </row>
    <row r="771" ht="14.25" customHeight="1">
      <c r="B771" s="13"/>
      <c r="C771" s="128"/>
      <c r="D771" s="128"/>
    </row>
    <row r="772" ht="14.25" customHeight="1">
      <c r="B772" s="13"/>
      <c r="C772" s="128"/>
      <c r="D772" s="128"/>
    </row>
    <row r="773" ht="14.25" customHeight="1">
      <c r="B773" s="13"/>
      <c r="C773" s="128"/>
      <c r="D773" s="128"/>
    </row>
    <row r="774" ht="14.25" customHeight="1">
      <c r="B774" s="13"/>
      <c r="C774" s="128"/>
      <c r="D774" s="128"/>
    </row>
    <row r="775" ht="14.25" customHeight="1">
      <c r="B775" s="13"/>
      <c r="C775" s="128"/>
      <c r="D775" s="128"/>
    </row>
    <row r="776" ht="14.25" customHeight="1">
      <c r="B776" s="13"/>
      <c r="C776" s="128"/>
      <c r="D776" s="128"/>
    </row>
    <row r="777" ht="14.25" customHeight="1">
      <c r="B777" s="13"/>
      <c r="C777" s="128"/>
      <c r="D777" s="128"/>
    </row>
    <row r="778" ht="14.25" customHeight="1">
      <c r="B778" s="13"/>
      <c r="C778" s="128"/>
      <c r="D778" s="128"/>
    </row>
    <row r="779" ht="14.25" customHeight="1">
      <c r="B779" s="13"/>
      <c r="C779" s="128"/>
      <c r="D779" s="128"/>
    </row>
    <row r="780" ht="14.25" customHeight="1">
      <c r="B780" s="13"/>
      <c r="C780" s="128"/>
      <c r="D780" s="128"/>
    </row>
    <row r="781" ht="14.25" customHeight="1">
      <c r="B781" s="13"/>
      <c r="C781" s="128"/>
      <c r="D781" s="128"/>
    </row>
    <row r="782" ht="14.25" customHeight="1">
      <c r="B782" s="13"/>
      <c r="C782" s="128"/>
      <c r="D782" s="128"/>
    </row>
    <row r="783" ht="14.25" customHeight="1">
      <c r="B783" s="13"/>
      <c r="C783" s="128"/>
      <c r="D783" s="128"/>
    </row>
    <row r="784" ht="14.25" customHeight="1">
      <c r="B784" s="13"/>
      <c r="C784" s="128"/>
      <c r="D784" s="128"/>
    </row>
    <row r="785" ht="14.25" customHeight="1">
      <c r="B785" s="13"/>
      <c r="C785" s="128"/>
      <c r="D785" s="128"/>
    </row>
    <row r="786" ht="14.25" customHeight="1">
      <c r="B786" s="13"/>
      <c r="C786" s="128"/>
      <c r="D786" s="128"/>
    </row>
    <row r="787" ht="14.25" customHeight="1">
      <c r="B787" s="13"/>
      <c r="C787" s="128"/>
      <c r="D787" s="128"/>
    </row>
    <row r="788" ht="14.25" customHeight="1">
      <c r="B788" s="13"/>
      <c r="C788" s="128"/>
      <c r="D788" s="128"/>
    </row>
    <row r="789" ht="14.25" customHeight="1">
      <c r="B789" s="13"/>
      <c r="C789" s="128"/>
      <c r="D789" s="128"/>
    </row>
    <row r="790" ht="14.25" customHeight="1">
      <c r="B790" s="13"/>
      <c r="C790" s="128"/>
      <c r="D790" s="128"/>
    </row>
    <row r="791" ht="14.25" customHeight="1">
      <c r="B791" s="13"/>
      <c r="C791" s="128"/>
      <c r="D791" s="128"/>
    </row>
    <row r="792" ht="14.25" customHeight="1">
      <c r="B792" s="13"/>
      <c r="C792" s="128"/>
      <c r="D792" s="128"/>
    </row>
    <row r="793" ht="14.25" customHeight="1">
      <c r="B793" s="13"/>
      <c r="C793" s="128"/>
      <c r="D793" s="128"/>
    </row>
    <row r="794" ht="14.25" customHeight="1">
      <c r="B794" s="13"/>
      <c r="C794" s="128"/>
      <c r="D794" s="128"/>
    </row>
    <row r="795" ht="14.25" customHeight="1">
      <c r="B795" s="13"/>
      <c r="C795" s="128"/>
      <c r="D795" s="128"/>
    </row>
    <row r="796" ht="14.25" customHeight="1">
      <c r="B796" s="13"/>
      <c r="C796" s="128"/>
      <c r="D796" s="128"/>
    </row>
    <row r="797" ht="14.25" customHeight="1">
      <c r="B797" s="13"/>
      <c r="C797" s="128"/>
      <c r="D797" s="128"/>
    </row>
    <row r="798" ht="14.25" customHeight="1">
      <c r="B798" s="13"/>
      <c r="C798" s="128"/>
      <c r="D798" s="128"/>
    </row>
    <row r="799" ht="14.25" customHeight="1">
      <c r="B799" s="13"/>
      <c r="C799" s="128"/>
      <c r="D799" s="128"/>
    </row>
    <row r="800" ht="14.25" customHeight="1">
      <c r="B800" s="13"/>
      <c r="C800" s="128"/>
      <c r="D800" s="128"/>
    </row>
    <row r="801" ht="14.25" customHeight="1">
      <c r="B801" s="13"/>
      <c r="C801" s="128"/>
      <c r="D801" s="128"/>
    </row>
    <row r="802" ht="14.25" customHeight="1">
      <c r="B802" s="13"/>
      <c r="C802" s="128"/>
      <c r="D802" s="128"/>
    </row>
    <row r="803" ht="14.25" customHeight="1">
      <c r="B803" s="13"/>
      <c r="C803" s="128"/>
      <c r="D803" s="128"/>
    </row>
    <row r="804" ht="14.25" customHeight="1">
      <c r="B804" s="13"/>
      <c r="C804" s="128"/>
      <c r="D804" s="128"/>
    </row>
    <row r="805" ht="14.25" customHeight="1">
      <c r="B805" s="13"/>
      <c r="C805" s="128"/>
      <c r="D805" s="128"/>
    </row>
    <row r="806" ht="14.25" customHeight="1">
      <c r="B806" s="13"/>
      <c r="C806" s="128"/>
      <c r="D806" s="128"/>
    </row>
    <row r="807" ht="14.25" customHeight="1">
      <c r="B807" s="13"/>
      <c r="C807" s="128"/>
      <c r="D807" s="128"/>
    </row>
    <row r="808" ht="14.25" customHeight="1">
      <c r="B808" s="13"/>
      <c r="C808" s="128"/>
      <c r="D808" s="128"/>
    </row>
    <row r="809" ht="14.25" customHeight="1">
      <c r="B809" s="13"/>
      <c r="C809" s="128"/>
      <c r="D809" s="128"/>
    </row>
    <row r="810" ht="14.25" customHeight="1">
      <c r="B810" s="13"/>
      <c r="C810" s="128"/>
      <c r="D810" s="128"/>
    </row>
    <row r="811" ht="14.25" customHeight="1">
      <c r="B811" s="13"/>
      <c r="C811" s="128"/>
      <c r="D811" s="128"/>
    </row>
    <row r="812" ht="14.25" customHeight="1">
      <c r="B812" s="13"/>
      <c r="C812" s="128"/>
      <c r="D812" s="128"/>
    </row>
    <row r="813" ht="14.25" customHeight="1">
      <c r="B813" s="13"/>
      <c r="C813" s="128"/>
      <c r="D813" s="128"/>
    </row>
    <row r="814" ht="14.25" customHeight="1">
      <c r="B814" s="13"/>
      <c r="C814" s="128"/>
      <c r="D814" s="128"/>
    </row>
    <row r="815" ht="14.25" customHeight="1">
      <c r="B815" s="13"/>
      <c r="C815" s="128"/>
      <c r="D815" s="128"/>
    </row>
    <row r="816" ht="14.25" customHeight="1">
      <c r="B816" s="13"/>
      <c r="C816" s="128"/>
      <c r="D816" s="128"/>
    </row>
    <row r="817" ht="14.25" customHeight="1">
      <c r="B817" s="13"/>
      <c r="C817" s="128"/>
      <c r="D817" s="128"/>
    </row>
    <row r="818" ht="14.25" customHeight="1">
      <c r="B818" s="13"/>
      <c r="C818" s="128"/>
      <c r="D818" s="128"/>
    </row>
    <row r="819" ht="14.25" customHeight="1">
      <c r="B819" s="13"/>
      <c r="C819" s="128"/>
      <c r="D819" s="128"/>
    </row>
    <row r="820" ht="14.25" customHeight="1">
      <c r="B820" s="13"/>
      <c r="C820" s="128"/>
      <c r="D820" s="128"/>
    </row>
    <row r="821" ht="14.25" customHeight="1">
      <c r="B821" s="13"/>
      <c r="C821" s="128"/>
      <c r="D821" s="128"/>
    </row>
    <row r="822" ht="14.25" customHeight="1">
      <c r="B822" s="13"/>
      <c r="C822" s="128"/>
      <c r="D822" s="128"/>
    </row>
    <row r="823" ht="14.25" customHeight="1">
      <c r="B823" s="13"/>
      <c r="C823" s="128"/>
      <c r="D823" s="128"/>
    </row>
    <row r="824" ht="14.25" customHeight="1">
      <c r="B824" s="13"/>
      <c r="C824" s="128"/>
      <c r="D824" s="128"/>
    </row>
    <row r="825" ht="14.25" customHeight="1">
      <c r="B825" s="13"/>
      <c r="C825" s="128"/>
      <c r="D825" s="128"/>
    </row>
    <row r="826" ht="14.25" customHeight="1">
      <c r="B826" s="13"/>
      <c r="C826" s="128"/>
      <c r="D826" s="128"/>
    </row>
    <row r="827" ht="14.25" customHeight="1">
      <c r="B827" s="13"/>
      <c r="C827" s="128"/>
      <c r="D827" s="128"/>
    </row>
    <row r="828" ht="14.25" customHeight="1">
      <c r="B828" s="13"/>
      <c r="C828" s="128"/>
      <c r="D828" s="128"/>
    </row>
    <row r="829" ht="14.25" customHeight="1">
      <c r="B829" s="13"/>
      <c r="C829" s="128"/>
      <c r="D829" s="128"/>
    </row>
    <row r="830" ht="14.25" customHeight="1">
      <c r="B830" s="13"/>
      <c r="C830" s="128"/>
      <c r="D830" s="128"/>
    </row>
    <row r="831" ht="14.25" customHeight="1">
      <c r="B831" s="13"/>
      <c r="C831" s="128"/>
      <c r="D831" s="128"/>
    </row>
    <row r="832" ht="14.25" customHeight="1">
      <c r="B832" s="13"/>
      <c r="C832" s="128"/>
      <c r="D832" s="128"/>
    </row>
    <row r="833" ht="14.25" customHeight="1">
      <c r="B833" s="13"/>
      <c r="C833" s="128"/>
      <c r="D833" s="128"/>
    </row>
    <row r="834" ht="14.25" customHeight="1">
      <c r="B834" s="13"/>
      <c r="C834" s="128"/>
      <c r="D834" s="128"/>
    </row>
    <row r="835" ht="14.25" customHeight="1">
      <c r="B835" s="13"/>
      <c r="C835" s="128"/>
      <c r="D835" s="128"/>
    </row>
    <row r="836" ht="14.25" customHeight="1">
      <c r="B836" s="13"/>
      <c r="C836" s="128"/>
      <c r="D836" s="128"/>
    </row>
    <row r="837" ht="14.25" customHeight="1">
      <c r="B837" s="13"/>
      <c r="C837" s="128"/>
      <c r="D837" s="128"/>
    </row>
    <row r="838" ht="14.25" customHeight="1">
      <c r="B838" s="13"/>
      <c r="C838" s="128"/>
      <c r="D838" s="128"/>
    </row>
    <row r="839" ht="14.25" customHeight="1">
      <c r="B839" s="13"/>
      <c r="C839" s="128"/>
      <c r="D839" s="128"/>
    </row>
    <row r="840" ht="14.25" customHeight="1">
      <c r="B840" s="13"/>
      <c r="C840" s="128"/>
      <c r="D840" s="128"/>
    </row>
    <row r="841" ht="14.25" customHeight="1">
      <c r="B841" s="13"/>
      <c r="C841" s="128"/>
      <c r="D841" s="128"/>
    </row>
    <row r="842" ht="14.25" customHeight="1">
      <c r="B842" s="13"/>
      <c r="C842" s="128"/>
      <c r="D842" s="128"/>
    </row>
    <row r="843" ht="14.25" customHeight="1">
      <c r="B843" s="13"/>
      <c r="C843" s="128"/>
      <c r="D843" s="128"/>
    </row>
    <row r="844" ht="14.25" customHeight="1">
      <c r="B844" s="13"/>
      <c r="C844" s="128"/>
      <c r="D844" s="128"/>
    </row>
    <row r="845" ht="14.25" customHeight="1">
      <c r="B845" s="13"/>
      <c r="C845" s="128"/>
      <c r="D845" s="128"/>
    </row>
    <row r="846" ht="14.25" customHeight="1">
      <c r="B846" s="13"/>
      <c r="C846" s="128"/>
      <c r="D846" s="128"/>
    </row>
    <row r="847" ht="14.25" customHeight="1">
      <c r="B847" s="13"/>
      <c r="C847" s="128"/>
      <c r="D847" s="128"/>
    </row>
    <row r="848" ht="14.25" customHeight="1">
      <c r="B848" s="13"/>
      <c r="C848" s="128"/>
      <c r="D848" s="128"/>
    </row>
    <row r="849" ht="14.25" customHeight="1">
      <c r="B849" s="13"/>
      <c r="C849" s="128"/>
      <c r="D849" s="128"/>
    </row>
    <row r="850" ht="14.25" customHeight="1">
      <c r="B850" s="13"/>
      <c r="C850" s="128"/>
      <c r="D850" s="128"/>
    </row>
    <row r="851" ht="14.25" customHeight="1">
      <c r="B851" s="13"/>
      <c r="C851" s="128"/>
      <c r="D851" s="128"/>
    </row>
    <row r="852" ht="14.25" customHeight="1">
      <c r="B852" s="13"/>
      <c r="C852" s="128"/>
      <c r="D852" s="128"/>
    </row>
    <row r="853" ht="14.25" customHeight="1">
      <c r="B853" s="13"/>
      <c r="C853" s="128"/>
      <c r="D853" s="128"/>
    </row>
    <row r="854" ht="14.25" customHeight="1">
      <c r="B854" s="13"/>
      <c r="C854" s="128"/>
      <c r="D854" s="128"/>
    </row>
    <row r="855" ht="14.25" customHeight="1">
      <c r="B855" s="13"/>
      <c r="C855" s="128"/>
      <c r="D855" s="128"/>
    </row>
    <row r="856" ht="14.25" customHeight="1">
      <c r="B856" s="13"/>
      <c r="C856" s="128"/>
      <c r="D856" s="128"/>
    </row>
    <row r="857" ht="14.25" customHeight="1">
      <c r="B857" s="13"/>
      <c r="C857" s="128"/>
      <c r="D857" s="128"/>
    </row>
    <row r="858" ht="14.25" customHeight="1">
      <c r="B858" s="13"/>
      <c r="C858" s="128"/>
      <c r="D858" s="128"/>
    </row>
    <row r="859" ht="14.25" customHeight="1">
      <c r="B859" s="13"/>
      <c r="C859" s="128"/>
      <c r="D859" s="128"/>
    </row>
    <row r="860" ht="14.25" customHeight="1">
      <c r="B860" s="13"/>
      <c r="C860" s="128"/>
      <c r="D860" s="128"/>
    </row>
    <row r="861" ht="14.25" customHeight="1">
      <c r="B861" s="13"/>
      <c r="C861" s="128"/>
      <c r="D861" s="128"/>
    </row>
    <row r="862" ht="14.25" customHeight="1">
      <c r="B862" s="13"/>
      <c r="C862" s="128"/>
      <c r="D862" s="128"/>
    </row>
    <row r="863" ht="14.25" customHeight="1">
      <c r="B863" s="13"/>
      <c r="C863" s="128"/>
      <c r="D863" s="128"/>
    </row>
    <row r="864" ht="14.25" customHeight="1">
      <c r="B864" s="13"/>
      <c r="C864" s="128"/>
      <c r="D864" s="128"/>
    </row>
    <row r="865" ht="14.25" customHeight="1">
      <c r="B865" s="13"/>
      <c r="C865" s="128"/>
      <c r="D865" s="128"/>
    </row>
    <row r="866" ht="14.25" customHeight="1">
      <c r="B866" s="13"/>
      <c r="C866" s="128"/>
      <c r="D866" s="128"/>
    </row>
    <row r="867" ht="14.25" customHeight="1">
      <c r="B867" s="13"/>
      <c r="C867" s="128"/>
      <c r="D867" s="128"/>
    </row>
    <row r="868" ht="14.25" customHeight="1">
      <c r="B868" s="13"/>
      <c r="C868" s="128"/>
      <c r="D868" s="128"/>
    </row>
    <row r="869" ht="14.25" customHeight="1">
      <c r="B869" s="13"/>
      <c r="C869" s="128"/>
      <c r="D869" s="128"/>
    </row>
    <row r="870" ht="14.25" customHeight="1">
      <c r="B870" s="13"/>
      <c r="C870" s="128"/>
      <c r="D870" s="128"/>
    </row>
    <row r="871" ht="14.25" customHeight="1">
      <c r="B871" s="13"/>
      <c r="C871" s="128"/>
      <c r="D871" s="128"/>
    </row>
    <row r="872" ht="14.25" customHeight="1">
      <c r="B872" s="13"/>
      <c r="C872" s="128"/>
      <c r="D872" s="128"/>
    </row>
    <row r="873" ht="14.25" customHeight="1">
      <c r="B873" s="13"/>
      <c r="C873" s="128"/>
      <c r="D873" s="128"/>
    </row>
    <row r="874" ht="14.25" customHeight="1">
      <c r="B874" s="13"/>
      <c r="C874" s="128"/>
      <c r="D874" s="128"/>
    </row>
    <row r="875" ht="14.25" customHeight="1">
      <c r="B875" s="13"/>
      <c r="C875" s="128"/>
      <c r="D875" s="128"/>
    </row>
    <row r="876" ht="14.25" customHeight="1">
      <c r="B876" s="13"/>
      <c r="C876" s="128"/>
      <c r="D876" s="128"/>
    </row>
    <row r="877" ht="14.25" customHeight="1">
      <c r="B877" s="13"/>
      <c r="C877" s="128"/>
      <c r="D877" s="128"/>
    </row>
    <row r="878" ht="14.25" customHeight="1">
      <c r="B878" s="13"/>
      <c r="C878" s="128"/>
      <c r="D878" s="128"/>
    </row>
    <row r="879" ht="14.25" customHeight="1">
      <c r="B879" s="13"/>
      <c r="C879" s="128"/>
      <c r="D879" s="128"/>
    </row>
    <row r="880" ht="14.25" customHeight="1">
      <c r="B880" s="13"/>
      <c r="C880" s="128"/>
      <c r="D880" s="128"/>
    </row>
    <row r="881" ht="14.25" customHeight="1">
      <c r="B881" s="13"/>
      <c r="C881" s="128"/>
      <c r="D881" s="128"/>
    </row>
    <row r="882" ht="14.25" customHeight="1">
      <c r="B882" s="13"/>
      <c r="C882" s="128"/>
      <c r="D882" s="128"/>
    </row>
    <row r="883" ht="14.25" customHeight="1">
      <c r="B883" s="13"/>
      <c r="C883" s="128"/>
      <c r="D883" s="128"/>
    </row>
    <row r="884" ht="14.25" customHeight="1">
      <c r="B884" s="13"/>
      <c r="C884" s="128"/>
      <c r="D884" s="128"/>
    </row>
    <row r="885" ht="14.25" customHeight="1">
      <c r="B885" s="13"/>
      <c r="C885" s="128"/>
      <c r="D885" s="128"/>
    </row>
    <row r="886" ht="14.25" customHeight="1">
      <c r="B886" s="13"/>
      <c r="C886" s="128"/>
      <c r="D886" s="128"/>
    </row>
    <row r="887" ht="14.25" customHeight="1">
      <c r="B887" s="13"/>
      <c r="C887" s="128"/>
      <c r="D887" s="128"/>
    </row>
    <row r="888" ht="14.25" customHeight="1">
      <c r="B888" s="13"/>
      <c r="C888" s="128"/>
      <c r="D888" s="128"/>
    </row>
    <row r="889" ht="14.25" customHeight="1">
      <c r="B889" s="13"/>
      <c r="C889" s="128"/>
      <c r="D889" s="128"/>
    </row>
    <row r="890" ht="14.25" customHeight="1">
      <c r="B890" s="13"/>
      <c r="C890" s="128"/>
      <c r="D890" s="128"/>
    </row>
    <row r="891" ht="14.25" customHeight="1">
      <c r="B891" s="13"/>
      <c r="C891" s="128"/>
      <c r="D891" s="128"/>
    </row>
    <row r="892" ht="14.25" customHeight="1">
      <c r="B892" s="13"/>
      <c r="C892" s="128"/>
      <c r="D892" s="128"/>
    </row>
    <row r="893" ht="14.25" customHeight="1">
      <c r="B893" s="13"/>
      <c r="C893" s="128"/>
      <c r="D893" s="128"/>
    </row>
    <row r="894" ht="14.25" customHeight="1">
      <c r="B894" s="13"/>
      <c r="C894" s="128"/>
      <c r="D894" s="128"/>
    </row>
    <row r="895" ht="14.25" customHeight="1">
      <c r="B895" s="13"/>
      <c r="C895" s="128"/>
      <c r="D895" s="128"/>
    </row>
    <row r="896" ht="14.25" customHeight="1">
      <c r="B896" s="13"/>
      <c r="C896" s="128"/>
      <c r="D896" s="128"/>
    </row>
    <row r="897" ht="14.25" customHeight="1">
      <c r="B897" s="13"/>
      <c r="C897" s="128"/>
      <c r="D897" s="128"/>
    </row>
    <row r="898" ht="14.25" customHeight="1">
      <c r="B898" s="13"/>
      <c r="C898" s="128"/>
      <c r="D898" s="128"/>
    </row>
    <row r="899" ht="14.25" customHeight="1">
      <c r="B899" s="13"/>
      <c r="C899" s="128"/>
      <c r="D899" s="128"/>
    </row>
    <row r="900" ht="14.25" customHeight="1">
      <c r="B900" s="13"/>
      <c r="C900" s="128"/>
      <c r="D900" s="128"/>
    </row>
    <row r="901" ht="14.25" customHeight="1">
      <c r="B901" s="13"/>
      <c r="C901" s="128"/>
      <c r="D901" s="128"/>
    </row>
    <row r="902" ht="14.25" customHeight="1">
      <c r="B902" s="13"/>
      <c r="C902" s="128"/>
      <c r="D902" s="128"/>
    </row>
    <row r="903" ht="14.25" customHeight="1">
      <c r="B903" s="13"/>
      <c r="C903" s="128"/>
      <c r="D903" s="128"/>
    </row>
    <row r="904" ht="14.25" customHeight="1">
      <c r="B904" s="13"/>
      <c r="C904" s="128"/>
      <c r="D904" s="128"/>
    </row>
    <row r="905" ht="14.25" customHeight="1">
      <c r="B905" s="13"/>
      <c r="C905" s="128"/>
      <c r="D905" s="128"/>
    </row>
    <row r="906" ht="14.25" customHeight="1">
      <c r="B906" s="13"/>
      <c r="C906" s="128"/>
      <c r="D906" s="128"/>
    </row>
    <row r="907" ht="14.25" customHeight="1">
      <c r="B907" s="13"/>
      <c r="C907" s="128"/>
      <c r="D907" s="128"/>
    </row>
    <row r="908" ht="14.25" customHeight="1">
      <c r="B908" s="13"/>
      <c r="C908" s="128"/>
      <c r="D908" s="128"/>
    </row>
    <row r="909" ht="14.25" customHeight="1">
      <c r="B909" s="13"/>
      <c r="C909" s="128"/>
      <c r="D909" s="128"/>
    </row>
    <row r="910" ht="14.25" customHeight="1">
      <c r="B910" s="13"/>
      <c r="C910" s="128"/>
      <c r="D910" s="128"/>
    </row>
    <row r="911" ht="14.25" customHeight="1">
      <c r="B911" s="13"/>
      <c r="C911" s="128"/>
      <c r="D911" s="128"/>
    </row>
    <row r="912" ht="14.25" customHeight="1">
      <c r="B912" s="13"/>
      <c r="C912" s="128"/>
      <c r="D912" s="128"/>
    </row>
    <row r="913" ht="14.25" customHeight="1">
      <c r="B913" s="13"/>
      <c r="C913" s="128"/>
      <c r="D913" s="128"/>
    </row>
    <row r="914" ht="14.25" customHeight="1">
      <c r="B914" s="13"/>
      <c r="C914" s="128"/>
      <c r="D914" s="128"/>
    </row>
    <row r="915" ht="14.25" customHeight="1">
      <c r="B915" s="13"/>
      <c r="C915" s="128"/>
      <c r="D915" s="128"/>
    </row>
    <row r="916" ht="14.25" customHeight="1">
      <c r="B916" s="13"/>
      <c r="C916" s="128"/>
      <c r="D916" s="128"/>
    </row>
    <row r="917" ht="14.25" customHeight="1">
      <c r="B917" s="13"/>
      <c r="C917" s="128"/>
      <c r="D917" s="128"/>
    </row>
    <row r="918" ht="14.25" customHeight="1">
      <c r="B918" s="13"/>
      <c r="C918" s="128"/>
      <c r="D918" s="128"/>
    </row>
    <row r="919" ht="14.25" customHeight="1">
      <c r="B919" s="13"/>
      <c r="C919" s="128"/>
      <c r="D919" s="128"/>
    </row>
    <row r="920" ht="14.25" customHeight="1">
      <c r="B920" s="13"/>
      <c r="C920" s="128"/>
      <c r="D920" s="128"/>
    </row>
    <row r="921" ht="14.25" customHeight="1">
      <c r="B921" s="13"/>
      <c r="C921" s="128"/>
      <c r="D921" s="128"/>
    </row>
    <row r="922" ht="14.25" customHeight="1">
      <c r="B922" s="13"/>
      <c r="C922" s="128"/>
      <c r="D922" s="128"/>
    </row>
    <row r="923" ht="14.25" customHeight="1">
      <c r="B923" s="13"/>
      <c r="C923" s="128"/>
      <c r="D923" s="128"/>
    </row>
    <row r="924" ht="14.25" customHeight="1">
      <c r="B924" s="13"/>
      <c r="C924" s="128"/>
      <c r="D924" s="128"/>
    </row>
    <row r="925" ht="14.25" customHeight="1">
      <c r="B925" s="13"/>
      <c r="C925" s="128"/>
      <c r="D925" s="128"/>
    </row>
    <row r="926" ht="14.25" customHeight="1">
      <c r="B926" s="13"/>
      <c r="C926" s="128"/>
      <c r="D926" s="128"/>
    </row>
    <row r="927" ht="14.25" customHeight="1">
      <c r="B927" s="13"/>
      <c r="C927" s="128"/>
      <c r="D927" s="128"/>
    </row>
    <row r="928" ht="14.25" customHeight="1">
      <c r="B928" s="13"/>
      <c r="C928" s="128"/>
      <c r="D928" s="128"/>
    </row>
    <row r="929" ht="14.25" customHeight="1">
      <c r="B929" s="13"/>
      <c r="C929" s="128"/>
      <c r="D929" s="128"/>
    </row>
    <row r="930" ht="14.25" customHeight="1">
      <c r="B930" s="13"/>
      <c r="C930" s="128"/>
      <c r="D930" s="128"/>
    </row>
    <row r="931" ht="14.25" customHeight="1">
      <c r="B931" s="13"/>
      <c r="C931" s="128"/>
      <c r="D931" s="128"/>
    </row>
    <row r="932" ht="14.25" customHeight="1">
      <c r="B932" s="13"/>
      <c r="C932" s="128"/>
      <c r="D932" s="128"/>
    </row>
    <row r="933" ht="14.25" customHeight="1">
      <c r="B933" s="13"/>
      <c r="C933" s="128"/>
      <c r="D933" s="128"/>
    </row>
    <row r="934" ht="14.25" customHeight="1">
      <c r="B934" s="13"/>
      <c r="C934" s="128"/>
      <c r="D934" s="128"/>
    </row>
    <row r="935" ht="14.25" customHeight="1">
      <c r="B935" s="13"/>
      <c r="C935" s="128"/>
      <c r="D935" s="128"/>
    </row>
    <row r="936" ht="14.25" customHeight="1">
      <c r="B936" s="13"/>
      <c r="C936" s="128"/>
      <c r="D936" s="128"/>
    </row>
    <row r="937" ht="14.25" customHeight="1">
      <c r="B937" s="13"/>
      <c r="C937" s="128"/>
      <c r="D937" s="128"/>
    </row>
    <row r="938" ht="14.25" customHeight="1">
      <c r="B938" s="13"/>
      <c r="C938" s="128"/>
      <c r="D938" s="128"/>
    </row>
    <row r="939" ht="14.25" customHeight="1">
      <c r="B939" s="13"/>
      <c r="C939" s="128"/>
      <c r="D939" s="128"/>
    </row>
    <row r="940" ht="14.25" customHeight="1">
      <c r="B940" s="13"/>
      <c r="C940" s="128"/>
      <c r="D940" s="128"/>
    </row>
    <row r="941" ht="14.25" customHeight="1">
      <c r="B941" s="13"/>
      <c r="C941" s="128"/>
      <c r="D941" s="128"/>
    </row>
    <row r="942" ht="14.25" customHeight="1">
      <c r="B942" s="13"/>
      <c r="C942" s="128"/>
      <c r="D942" s="128"/>
    </row>
    <row r="943" ht="14.25" customHeight="1">
      <c r="B943" s="13"/>
      <c r="C943" s="128"/>
      <c r="D943" s="128"/>
    </row>
    <row r="944" ht="14.25" customHeight="1">
      <c r="B944" s="13"/>
      <c r="C944" s="128"/>
      <c r="D944" s="128"/>
    </row>
    <row r="945" ht="14.25" customHeight="1">
      <c r="B945" s="13"/>
      <c r="C945" s="128"/>
      <c r="D945" s="128"/>
    </row>
    <row r="946" ht="14.25" customHeight="1">
      <c r="B946" s="13"/>
      <c r="C946" s="128"/>
      <c r="D946" s="128"/>
    </row>
    <row r="947" ht="14.25" customHeight="1">
      <c r="B947" s="13"/>
      <c r="C947" s="128"/>
      <c r="D947" s="128"/>
    </row>
    <row r="948" ht="14.25" customHeight="1">
      <c r="B948" s="13"/>
      <c r="C948" s="128"/>
      <c r="D948" s="128"/>
    </row>
    <row r="949" ht="14.25" customHeight="1">
      <c r="B949" s="13"/>
      <c r="C949" s="128"/>
      <c r="D949" s="128"/>
    </row>
    <row r="950" ht="14.25" customHeight="1">
      <c r="B950" s="13"/>
      <c r="C950" s="128"/>
      <c r="D950" s="128"/>
    </row>
    <row r="951" ht="14.25" customHeight="1">
      <c r="B951" s="13"/>
      <c r="C951" s="128"/>
      <c r="D951" s="128"/>
    </row>
    <row r="952" ht="14.25" customHeight="1">
      <c r="B952" s="13"/>
      <c r="C952" s="128"/>
      <c r="D952" s="128"/>
    </row>
    <row r="953" ht="14.25" customHeight="1">
      <c r="B953" s="13"/>
      <c r="C953" s="128"/>
      <c r="D953" s="128"/>
    </row>
    <row r="954" ht="14.25" customHeight="1">
      <c r="B954" s="13"/>
      <c r="C954" s="128"/>
      <c r="D954" s="128"/>
    </row>
    <row r="955" ht="14.25" customHeight="1">
      <c r="B955" s="13"/>
      <c r="C955" s="128"/>
      <c r="D955" s="128"/>
    </row>
    <row r="956" ht="14.25" customHeight="1">
      <c r="B956" s="13"/>
      <c r="C956" s="128"/>
      <c r="D956" s="128"/>
    </row>
    <row r="957" ht="14.25" customHeight="1">
      <c r="B957" s="13"/>
      <c r="C957" s="128"/>
      <c r="D957" s="128"/>
    </row>
    <row r="958" ht="14.25" customHeight="1">
      <c r="B958" s="13"/>
      <c r="C958" s="128"/>
      <c r="D958" s="128"/>
    </row>
    <row r="959" ht="14.25" customHeight="1">
      <c r="B959" s="13"/>
      <c r="C959" s="128"/>
      <c r="D959" s="128"/>
    </row>
    <row r="960" ht="14.25" customHeight="1">
      <c r="B960" s="13"/>
      <c r="C960" s="128"/>
      <c r="D960" s="128"/>
    </row>
    <row r="961" ht="14.25" customHeight="1">
      <c r="B961" s="13"/>
      <c r="C961" s="128"/>
      <c r="D961" s="128"/>
    </row>
    <row r="962" ht="14.25" customHeight="1">
      <c r="B962" s="13"/>
      <c r="C962" s="128"/>
      <c r="D962" s="128"/>
    </row>
    <row r="963" ht="14.25" customHeight="1">
      <c r="B963" s="13"/>
      <c r="C963" s="128"/>
      <c r="D963" s="128"/>
    </row>
    <row r="964" ht="14.25" customHeight="1">
      <c r="B964" s="13"/>
      <c r="C964" s="128"/>
      <c r="D964" s="128"/>
    </row>
    <row r="965" ht="14.25" customHeight="1">
      <c r="B965" s="13"/>
      <c r="C965" s="128"/>
      <c r="D965" s="128"/>
    </row>
    <row r="966" ht="14.25" customHeight="1">
      <c r="B966" s="13"/>
      <c r="C966" s="128"/>
      <c r="D966" s="128"/>
    </row>
    <row r="967" ht="14.25" customHeight="1">
      <c r="B967" s="13"/>
      <c r="C967" s="128"/>
      <c r="D967" s="128"/>
    </row>
    <row r="968" ht="14.25" customHeight="1">
      <c r="B968" s="13"/>
      <c r="C968" s="128"/>
      <c r="D968" s="128"/>
    </row>
    <row r="969" ht="14.25" customHeight="1">
      <c r="B969" s="13"/>
      <c r="C969" s="128"/>
      <c r="D969" s="128"/>
    </row>
    <row r="970" ht="14.25" customHeight="1">
      <c r="B970" s="13"/>
      <c r="C970" s="128"/>
      <c r="D970" s="128"/>
    </row>
    <row r="971" ht="14.25" customHeight="1">
      <c r="B971" s="13"/>
      <c r="C971" s="128"/>
      <c r="D971" s="128"/>
    </row>
    <row r="972" ht="14.25" customHeight="1">
      <c r="B972" s="13"/>
      <c r="C972" s="128"/>
      <c r="D972" s="128"/>
    </row>
    <row r="973" ht="14.25" customHeight="1">
      <c r="B973" s="13"/>
      <c r="C973" s="128"/>
      <c r="D973" s="128"/>
    </row>
    <row r="974" ht="14.25" customHeight="1">
      <c r="B974" s="13"/>
      <c r="C974" s="128"/>
      <c r="D974" s="128"/>
    </row>
    <row r="975" ht="14.25" customHeight="1">
      <c r="B975" s="13"/>
      <c r="C975" s="128"/>
      <c r="D975" s="128"/>
    </row>
    <row r="976" ht="14.25" customHeight="1">
      <c r="B976" s="13"/>
      <c r="C976" s="128"/>
      <c r="D976" s="128"/>
    </row>
    <row r="977" ht="14.25" customHeight="1">
      <c r="B977" s="13"/>
      <c r="C977" s="128"/>
      <c r="D977" s="128"/>
    </row>
    <row r="978" ht="14.25" customHeight="1">
      <c r="B978" s="13"/>
      <c r="C978" s="128"/>
      <c r="D978" s="128"/>
    </row>
    <row r="979" ht="14.25" customHeight="1">
      <c r="B979" s="13"/>
      <c r="C979" s="128"/>
      <c r="D979" s="128"/>
    </row>
    <row r="980" ht="14.25" customHeight="1">
      <c r="B980" s="13"/>
      <c r="C980" s="128"/>
      <c r="D980" s="128"/>
    </row>
    <row r="981" ht="14.25" customHeight="1">
      <c r="B981" s="13"/>
      <c r="C981" s="128"/>
      <c r="D981" s="128"/>
    </row>
    <row r="982" ht="14.25" customHeight="1">
      <c r="B982" s="13"/>
      <c r="C982" s="128"/>
      <c r="D982" s="128"/>
    </row>
    <row r="983" ht="14.25" customHeight="1">
      <c r="B983" s="13"/>
      <c r="C983" s="128"/>
      <c r="D983" s="128"/>
    </row>
    <row r="984" ht="14.25" customHeight="1">
      <c r="B984" s="13"/>
      <c r="C984" s="128"/>
      <c r="D984" s="128"/>
    </row>
    <row r="985" ht="14.25" customHeight="1">
      <c r="B985" s="13"/>
      <c r="C985" s="128"/>
      <c r="D985" s="128"/>
    </row>
    <row r="986" ht="14.25" customHeight="1">
      <c r="B986" s="13"/>
      <c r="C986" s="128"/>
      <c r="D986" s="128"/>
    </row>
    <row r="987" ht="14.25" customHeight="1">
      <c r="B987" s="13"/>
      <c r="C987" s="128"/>
      <c r="D987" s="128"/>
    </row>
    <row r="988" ht="14.25" customHeight="1">
      <c r="B988" s="13"/>
      <c r="C988" s="128"/>
      <c r="D988" s="128"/>
    </row>
    <row r="989" ht="14.25" customHeight="1">
      <c r="B989" s="13"/>
      <c r="C989" s="128"/>
      <c r="D989" s="128"/>
    </row>
    <row r="990" ht="14.25" customHeight="1">
      <c r="B990" s="13"/>
      <c r="C990" s="128"/>
      <c r="D990" s="128"/>
    </row>
    <row r="991" ht="14.25" customHeight="1">
      <c r="B991" s="13"/>
      <c r="C991" s="128"/>
      <c r="D991" s="128"/>
    </row>
    <row r="992" ht="14.25" customHeight="1">
      <c r="B992" s="13"/>
      <c r="C992" s="128"/>
      <c r="D992" s="128"/>
    </row>
    <row r="993" ht="14.25" customHeight="1">
      <c r="B993" s="13"/>
      <c r="C993" s="128"/>
      <c r="D993" s="128"/>
    </row>
    <row r="994" ht="14.25" customHeight="1">
      <c r="B994" s="13"/>
      <c r="C994" s="128"/>
      <c r="D994" s="128"/>
    </row>
    <row r="995" ht="14.25" customHeight="1">
      <c r="B995" s="13"/>
      <c r="C995" s="128"/>
      <c r="D995" s="128"/>
    </row>
    <row r="996" ht="14.25" customHeight="1">
      <c r="B996" s="13"/>
      <c r="C996" s="128"/>
      <c r="D996" s="128"/>
    </row>
    <row r="997" ht="14.25" customHeight="1">
      <c r="B997" s="13"/>
      <c r="C997" s="128"/>
      <c r="D997" s="128"/>
    </row>
    <row r="998" ht="14.25" customHeight="1">
      <c r="B998" s="13"/>
      <c r="C998" s="128"/>
      <c r="D998" s="128"/>
    </row>
    <row r="999" ht="14.25" customHeight="1">
      <c r="B999" s="13"/>
      <c r="C999" s="128"/>
      <c r="D999" s="128"/>
    </row>
    <row r="1000" ht="14.25" customHeight="1">
      <c r="B1000" s="13"/>
      <c r="C1000" s="128"/>
      <c r="D1000" s="128"/>
    </row>
    <row r="1001" ht="14.25" customHeight="1">
      <c r="B1001" s="13"/>
      <c r="C1001" s="128"/>
      <c r="D1001" s="128"/>
    </row>
    <row r="1002" ht="14.25" customHeight="1">
      <c r="B1002" s="13"/>
      <c r="C1002" s="128"/>
      <c r="D1002" s="128"/>
    </row>
    <row r="1003" ht="14.25" customHeight="1">
      <c r="B1003" s="13"/>
      <c r="C1003" s="128"/>
      <c r="D1003" s="128"/>
    </row>
    <row r="1004" ht="14.25" customHeight="1">
      <c r="B1004" s="13"/>
      <c r="C1004" s="128"/>
      <c r="D1004" s="128"/>
    </row>
    <row r="1005" ht="14.25" customHeight="1">
      <c r="B1005" s="13"/>
      <c r="C1005" s="128"/>
      <c r="D1005" s="128"/>
    </row>
    <row r="1006" ht="14.25" customHeight="1">
      <c r="B1006" s="13"/>
      <c r="C1006" s="128"/>
      <c r="D1006" s="128"/>
    </row>
    <row r="1007" ht="14.25" customHeight="1">
      <c r="B1007" s="13"/>
      <c r="C1007" s="128"/>
      <c r="D1007" s="128"/>
    </row>
    <row r="1008" ht="14.25" customHeight="1">
      <c r="B1008" s="13"/>
      <c r="C1008" s="128"/>
      <c r="D1008" s="128"/>
    </row>
    <row r="1009" ht="14.25" customHeight="1">
      <c r="B1009" s="13"/>
      <c r="C1009" s="128"/>
      <c r="D1009" s="128"/>
    </row>
    <row r="1010" ht="14.25" customHeight="1">
      <c r="B1010" s="13"/>
      <c r="C1010" s="128"/>
      <c r="D1010" s="128"/>
    </row>
  </sheetData>
  <mergeCells count="2">
    <mergeCell ref="A1:W3"/>
    <mergeCell ref="B436:G437"/>
  </mergeCells>
  <dataValidations>
    <dataValidation type="custom" allowBlank="1" showErrorMessage="1" sqref="H6">
      <formula1>'Horímetros'!E76</formula1>
    </dataValidation>
  </dataValidations>
  <hyperlinks>
    <hyperlink r:id="rId2" ref="P7"/>
  </hyperlinks>
  <printOptions/>
  <pageMargins bottom="0.787401575" footer="0.0" header="0.0" left="0.511811024" right="0.511811024" top="0.787401575"/>
  <pageSetup paperSize="9"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19.86"/>
    <col customWidth="1" min="4" max="4" width="16.86"/>
    <col customWidth="1" min="5" max="5" width="21.43"/>
    <col customWidth="1" min="6" max="6" width="16.29"/>
    <col customWidth="1" min="7" max="7" width="22.0"/>
    <col customWidth="1" min="8" max="8" width="16.14"/>
    <col customWidth="1" min="9" max="9" width="16.43"/>
    <col customWidth="1" min="10" max="13" width="10.57"/>
    <col customWidth="1" min="14" max="20" width="8.71"/>
  </cols>
  <sheetData>
    <row r="1" ht="14.25" customHeight="1">
      <c r="B1" s="129"/>
    </row>
    <row r="2" ht="1.5" customHeight="1"/>
    <row r="3" ht="27.0" customHeight="1">
      <c r="A3" s="130"/>
      <c r="B3" s="131" t="s">
        <v>108</v>
      </c>
      <c r="C3" s="131" t="s">
        <v>2</v>
      </c>
      <c r="D3" s="131" t="s">
        <v>109</v>
      </c>
      <c r="E3" s="131" t="s">
        <v>110</v>
      </c>
      <c r="F3" s="131" t="s">
        <v>111</v>
      </c>
      <c r="G3" s="131" t="s">
        <v>112</v>
      </c>
      <c r="H3" s="131" t="s">
        <v>113</v>
      </c>
      <c r="I3" s="132"/>
      <c r="J3" s="132"/>
      <c r="K3" s="132"/>
      <c r="L3" s="132"/>
      <c r="M3" s="132"/>
      <c r="N3" s="130"/>
      <c r="O3" s="130"/>
      <c r="P3" s="130"/>
      <c r="Q3" s="130"/>
      <c r="R3" s="130"/>
      <c r="S3" s="130"/>
      <c r="T3" s="130"/>
    </row>
    <row r="4" ht="14.25" hidden="1" customHeight="1">
      <c r="B4" s="133">
        <v>45231.0</v>
      </c>
      <c r="C4" s="134" t="str">
        <f t="shared" ref="C4:C865" si="1">MONTH(B4)&amp; "-" &amp;YEAR(B4)</f>
        <v>11-2023</v>
      </c>
      <c r="D4" s="135">
        <v>2425.0</v>
      </c>
      <c r="E4" s="135">
        <v>2428.0</v>
      </c>
      <c r="F4" s="135">
        <f>'220 nova Anderson '!$E4-'220 nova Anderson '!$D4</f>
        <v>3</v>
      </c>
      <c r="G4" s="135">
        <f>'220 nova Anderson '!$F4-10</f>
        <v>-7</v>
      </c>
      <c r="H4" s="135">
        <v>400.0</v>
      </c>
      <c r="I4" s="135"/>
      <c r="J4" s="135"/>
      <c r="K4" s="135"/>
      <c r="L4" s="135"/>
      <c r="M4" s="135"/>
    </row>
    <row r="5" ht="14.25" hidden="1" customHeight="1">
      <c r="B5" s="133">
        <v>45232.0</v>
      </c>
      <c r="C5" s="134" t="str">
        <f t="shared" si="1"/>
        <v>11-2023</v>
      </c>
      <c r="D5" s="135">
        <f t="shared" ref="D5:D6" si="2">E4</f>
        <v>2428</v>
      </c>
      <c r="E5" s="135">
        <v>2435.0</v>
      </c>
      <c r="F5" s="135">
        <f>'220 nova Anderson '!$E5-'220 nova Anderson '!$D5</f>
        <v>7</v>
      </c>
      <c r="G5" s="135">
        <f>'220 nova Anderson '!$F5-10</f>
        <v>-3</v>
      </c>
      <c r="H5" s="135"/>
      <c r="I5" s="135"/>
      <c r="J5" s="135"/>
      <c r="K5" s="135"/>
      <c r="L5" s="135"/>
      <c r="M5" s="135"/>
    </row>
    <row r="6" ht="14.25" hidden="1" customHeight="1">
      <c r="B6" s="133">
        <v>45233.0</v>
      </c>
      <c r="C6" s="134" t="str">
        <f t="shared" si="1"/>
        <v>11-2023</v>
      </c>
      <c r="D6" s="135">
        <f t="shared" si="2"/>
        <v>2435</v>
      </c>
      <c r="E6" s="135">
        <v>2442.0</v>
      </c>
      <c r="F6" s="135">
        <f>'220 nova Anderson '!$E6-'220 nova Anderson '!$D6</f>
        <v>7</v>
      </c>
      <c r="G6" s="135">
        <f>'220 nova Anderson '!$F6-10</f>
        <v>-3</v>
      </c>
      <c r="H6" s="135"/>
      <c r="I6" s="135"/>
      <c r="J6" s="135"/>
      <c r="K6" s="135"/>
      <c r="L6" s="135"/>
      <c r="M6" s="135"/>
    </row>
    <row r="7" ht="14.25" hidden="1" customHeight="1">
      <c r="B7" s="133">
        <v>45234.0</v>
      </c>
      <c r="C7" s="134" t="str">
        <f t="shared" si="1"/>
        <v>11-2023</v>
      </c>
      <c r="D7" s="135"/>
      <c r="E7" s="135"/>
      <c r="F7" s="135">
        <f>'220 nova Anderson '!$E7-'220 nova Anderson '!$D7</f>
        <v>0</v>
      </c>
      <c r="G7" s="135">
        <f>'220 nova Anderson '!$F7-10</f>
        <v>-10</v>
      </c>
      <c r="H7" s="135"/>
      <c r="I7" s="135"/>
      <c r="J7" s="135"/>
      <c r="K7" s="135"/>
      <c r="L7" s="135"/>
      <c r="M7" s="135"/>
    </row>
    <row r="8" ht="14.25" hidden="1" customHeight="1">
      <c r="B8" s="133">
        <v>45235.0</v>
      </c>
      <c r="C8" s="134" t="str">
        <f t="shared" si="1"/>
        <v>11-2023</v>
      </c>
      <c r="D8" s="135" t="str">
        <f>E7</f>
        <v/>
      </c>
      <c r="E8" s="135"/>
      <c r="F8" s="135">
        <f>'220 nova Anderson '!$E8-'220 nova Anderson '!$D8</f>
        <v>0</v>
      </c>
      <c r="G8" s="135">
        <f>'220 nova Anderson '!$F8-10</f>
        <v>-10</v>
      </c>
      <c r="H8" s="135"/>
      <c r="I8" s="135"/>
      <c r="J8" s="135"/>
      <c r="K8" s="135"/>
      <c r="L8" s="135"/>
      <c r="M8" s="135"/>
    </row>
    <row r="9" ht="14.25" hidden="1" customHeight="1">
      <c r="B9" s="133">
        <v>45236.0</v>
      </c>
      <c r="C9" s="134" t="str">
        <f t="shared" si="1"/>
        <v>11-2023</v>
      </c>
      <c r="D9" s="135">
        <v>2442.0</v>
      </c>
      <c r="E9" s="135">
        <v>2451.0</v>
      </c>
      <c r="F9" s="135">
        <f>'220 nova Anderson '!$E9-'220 nova Anderson '!$D9</f>
        <v>9</v>
      </c>
      <c r="G9" s="135">
        <f>'220 nova Anderson '!$F9-10</f>
        <v>-1</v>
      </c>
      <c r="H9" s="135"/>
      <c r="I9" s="135"/>
      <c r="J9" s="135"/>
      <c r="K9" s="135"/>
      <c r="L9" s="135"/>
      <c r="M9" s="135"/>
    </row>
    <row r="10" ht="14.25" hidden="1" customHeight="1">
      <c r="B10" s="133">
        <v>45237.0</v>
      </c>
      <c r="C10" s="134" t="str">
        <f t="shared" si="1"/>
        <v>11-2023</v>
      </c>
      <c r="D10" s="135">
        <f t="shared" ref="D10:D14" si="3">E9</f>
        <v>2451</v>
      </c>
      <c r="E10" s="135">
        <v>2461.0</v>
      </c>
      <c r="F10" s="135">
        <f>'220 nova Anderson '!$E10-'220 nova Anderson '!$D10</f>
        <v>10</v>
      </c>
      <c r="G10" s="135">
        <f>'220 nova Anderson '!$F10-10</f>
        <v>0</v>
      </c>
      <c r="H10" s="135">
        <v>370.0</v>
      </c>
      <c r="I10" s="135"/>
      <c r="J10" s="135"/>
      <c r="K10" s="135"/>
      <c r="L10" s="135"/>
      <c r="M10" s="135"/>
    </row>
    <row r="11" ht="14.25" hidden="1" customHeight="1">
      <c r="B11" s="133">
        <v>45238.0</v>
      </c>
      <c r="C11" s="134" t="str">
        <f t="shared" si="1"/>
        <v>11-2023</v>
      </c>
      <c r="D11" s="135">
        <f t="shared" si="3"/>
        <v>2461</v>
      </c>
      <c r="E11" s="135">
        <v>2470.0</v>
      </c>
      <c r="F11" s="135">
        <f>'220 nova Anderson '!$E11-'220 nova Anderson '!$D11</f>
        <v>9</v>
      </c>
      <c r="G11" s="135">
        <f>'220 nova Anderson '!$F11-10</f>
        <v>-1</v>
      </c>
      <c r="H11" s="135"/>
      <c r="I11" s="135"/>
      <c r="J11" s="135"/>
      <c r="K11" s="135"/>
      <c r="L11" s="135"/>
      <c r="M11" s="135"/>
    </row>
    <row r="12" ht="14.25" hidden="1" customHeight="1">
      <c r="B12" s="133">
        <v>45239.0</v>
      </c>
      <c r="C12" s="134" t="str">
        <f t="shared" si="1"/>
        <v>11-2023</v>
      </c>
      <c r="D12" s="135">
        <f t="shared" si="3"/>
        <v>2470</v>
      </c>
      <c r="E12" s="135">
        <v>2479.0</v>
      </c>
      <c r="F12" s="135">
        <f>'220 nova Anderson '!$E12-'220 nova Anderson '!$D12</f>
        <v>9</v>
      </c>
      <c r="G12" s="135">
        <f>'220 nova Anderson '!$F12-10</f>
        <v>-1</v>
      </c>
      <c r="H12" s="135"/>
      <c r="I12" s="135"/>
      <c r="J12" s="135"/>
      <c r="K12" s="135"/>
      <c r="L12" s="135"/>
      <c r="M12" s="135"/>
    </row>
    <row r="13" ht="14.25" hidden="1" customHeight="1">
      <c r="B13" s="133">
        <v>45240.0</v>
      </c>
      <c r="C13" s="134" t="str">
        <f t="shared" si="1"/>
        <v>11-2023</v>
      </c>
      <c r="D13" s="135">
        <f t="shared" si="3"/>
        <v>2479</v>
      </c>
      <c r="E13" s="135">
        <v>2482.0</v>
      </c>
      <c r="F13" s="135">
        <f>'220 nova Anderson '!$E13-'220 nova Anderson '!$D13</f>
        <v>3</v>
      </c>
      <c r="G13" s="135">
        <f>'220 nova Anderson '!$F13-10</f>
        <v>-7</v>
      </c>
      <c r="H13" s="135">
        <v>319.0</v>
      </c>
      <c r="I13" s="135"/>
      <c r="J13" s="135"/>
      <c r="K13" s="135"/>
      <c r="L13" s="135"/>
      <c r="M13" s="135"/>
    </row>
    <row r="14" ht="14.25" hidden="1" customHeight="1">
      <c r="B14" s="133">
        <v>45241.0</v>
      </c>
      <c r="C14" s="134" t="str">
        <f t="shared" si="1"/>
        <v>11-2023</v>
      </c>
      <c r="D14" s="135">
        <f t="shared" si="3"/>
        <v>2482</v>
      </c>
      <c r="E14" s="135">
        <v>2490.0</v>
      </c>
      <c r="F14" s="135">
        <f>'220 nova Anderson '!$E14-'220 nova Anderson '!$D14</f>
        <v>8</v>
      </c>
      <c r="G14" s="135">
        <f>'220 nova Anderson '!$F14-10</f>
        <v>-2</v>
      </c>
      <c r="H14" s="135"/>
      <c r="I14" s="135"/>
      <c r="J14" s="135"/>
      <c r="K14" s="135"/>
      <c r="L14" s="135"/>
      <c r="M14" s="135"/>
    </row>
    <row r="15" ht="14.25" hidden="1" customHeight="1">
      <c r="B15" s="133">
        <v>45242.0</v>
      </c>
      <c r="C15" s="134" t="str">
        <f t="shared" si="1"/>
        <v>11-2023</v>
      </c>
      <c r="D15" s="135"/>
      <c r="E15" s="135"/>
      <c r="F15" s="135">
        <f>'220 nova Anderson '!$E15-'220 nova Anderson '!$D15</f>
        <v>0</v>
      </c>
      <c r="G15" s="135">
        <f>'220 nova Anderson '!$F15-10</f>
        <v>-10</v>
      </c>
      <c r="H15" s="135"/>
      <c r="I15" s="135"/>
      <c r="J15" s="135"/>
      <c r="K15" s="135"/>
      <c r="L15" s="135"/>
      <c r="M15" s="135"/>
    </row>
    <row r="16" ht="14.25" hidden="1" customHeight="1">
      <c r="B16" s="133">
        <v>45243.0</v>
      </c>
      <c r="C16" s="134" t="str">
        <f t="shared" si="1"/>
        <v>11-2023</v>
      </c>
      <c r="D16" s="135">
        <v>2490.0</v>
      </c>
      <c r="E16" s="135">
        <v>2496.5</v>
      </c>
      <c r="F16" s="135">
        <f>'220 nova Anderson '!$E16-'220 nova Anderson '!$D16</f>
        <v>6.5</v>
      </c>
      <c r="G16" s="135">
        <f>'220 nova Anderson '!$F16-10</f>
        <v>-3.5</v>
      </c>
      <c r="H16" s="135"/>
      <c r="I16" s="135"/>
      <c r="J16" s="135"/>
      <c r="K16" s="135"/>
      <c r="L16" s="135"/>
      <c r="M16" s="135"/>
    </row>
    <row r="17" ht="14.25" hidden="1" customHeight="1">
      <c r="B17" s="133">
        <v>45244.0</v>
      </c>
      <c r="C17" s="134" t="str">
        <f t="shared" si="1"/>
        <v>11-2023</v>
      </c>
      <c r="D17" s="135">
        <f t="shared" ref="D17:D21" si="4">E16</f>
        <v>2496.5</v>
      </c>
      <c r="E17" s="135">
        <v>2497.0</v>
      </c>
      <c r="F17" s="135">
        <f>'220 nova Anderson '!$E17-'220 nova Anderson '!$D17</f>
        <v>0.5</v>
      </c>
      <c r="G17" s="135">
        <f>'220 nova Anderson '!$F17-10</f>
        <v>-9.5</v>
      </c>
      <c r="H17" s="135"/>
      <c r="I17" s="135"/>
      <c r="J17" s="135"/>
      <c r="K17" s="135"/>
      <c r="L17" s="135"/>
      <c r="M17" s="135"/>
    </row>
    <row r="18" ht="14.25" hidden="1" customHeight="1">
      <c r="B18" s="133">
        <v>45245.0</v>
      </c>
      <c r="C18" s="134" t="str">
        <f t="shared" si="1"/>
        <v>11-2023</v>
      </c>
      <c r="D18" s="135">
        <f t="shared" si="4"/>
        <v>2497</v>
      </c>
      <c r="E18" s="135">
        <v>2508.0</v>
      </c>
      <c r="F18" s="135">
        <f>'220 nova Anderson '!$E18-'220 nova Anderson '!$D18</f>
        <v>11</v>
      </c>
      <c r="G18" s="135">
        <f>'220 nova Anderson '!$F18-10</f>
        <v>1</v>
      </c>
      <c r="H18" s="135">
        <v>680.0</v>
      </c>
      <c r="I18" s="135"/>
      <c r="J18" s="135"/>
      <c r="K18" s="135"/>
      <c r="L18" s="135"/>
      <c r="M18" s="135"/>
    </row>
    <row r="19" ht="14.25" hidden="1" customHeight="1">
      <c r="B19" s="133">
        <v>45246.0</v>
      </c>
      <c r="C19" s="134" t="str">
        <f t="shared" si="1"/>
        <v>11-2023</v>
      </c>
      <c r="D19" s="135">
        <f t="shared" si="4"/>
        <v>2508</v>
      </c>
      <c r="E19" s="135">
        <v>2519.0</v>
      </c>
      <c r="F19" s="135">
        <f>'220 nova Anderson '!$E19-'220 nova Anderson '!$D19</f>
        <v>11</v>
      </c>
      <c r="G19" s="135">
        <f>'220 nova Anderson '!$F19-10</f>
        <v>1</v>
      </c>
      <c r="H19" s="135"/>
      <c r="I19" s="135"/>
      <c r="J19" s="135"/>
      <c r="K19" s="135"/>
      <c r="L19" s="135"/>
      <c r="M19" s="135"/>
    </row>
    <row r="20" ht="14.25" hidden="1" customHeight="1">
      <c r="B20" s="133">
        <v>45247.0</v>
      </c>
      <c r="C20" s="134" t="str">
        <f t="shared" si="1"/>
        <v>11-2023</v>
      </c>
      <c r="D20" s="135">
        <f t="shared" si="4"/>
        <v>2519</v>
      </c>
      <c r="E20" s="135">
        <v>2530.0</v>
      </c>
      <c r="F20" s="135">
        <f>'220 nova Anderson '!$E20-'220 nova Anderson '!$D20</f>
        <v>11</v>
      </c>
      <c r="G20" s="135">
        <f>'220 nova Anderson '!$F20-10</f>
        <v>1</v>
      </c>
      <c r="H20" s="135"/>
      <c r="I20" s="135"/>
      <c r="J20" s="135"/>
      <c r="K20" s="135"/>
      <c r="L20" s="135"/>
      <c r="M20" s="135"/>
    </row>
    <row r="21" ht="14.25" hidden="1" customHeight="1">
      <c r="B21" s="133">
        <v>45248.0</v>
      </c>
      <c r="C21" s="134" t="str">
        <f t="shared" si="1"/>
        <v>11-2023</v>
      </c>
      <c r="D21" s="135">
        <f t="shared" si="4"/>
        <v>2530</v>
      </c>
      <c r="E21" s="135">
        <v>2536.0</v>
      </c>
      <c r="F21" s="135">
        <f>'220 nova Anderson '!$E21-'220 nova Anderson '!$D21</f>
        <v>6</v>
      </c>
      <c r="G21" s="135">
        <f>'220 nova Anderson '!$F21-10</f>
        <v>-4</v>
      </c>
      <c r="H21" s="135">
        <v>225.0</v>
      </c>
      <c r="I21" s="135"/>
      <c r="J21" s="135"/>
      <c r="K21" s="135"/>
      <c r="L21" s="135"/>
      <c r="M21" s="135"/>
    </row>
    <row r="22" ht="14.25" hidden="1" customHeight="1">
      <c r="B22" s="133">
        <v>45249.0</v>
      </c>
      <c r="C22" s="134" t="str">
        <f t="shared" si="1"/>
        <v>11-2023</v>
      </c>
      <c r="D22" s="135"/>
      <c r="E22" s="135"/>
      <c r="F22" s="135">
        <f>'220 nova Anderson '!$E22-'220 nova Anderson '!$D22</f>
        <v>0</v>
      </c>
      <c r="G22" s="135">
        <f>'220 nova Anderson '!$F22-10</f>
        <v>-10</v>
      </c>
      <c r="H22" s="135"/>
      <c r="I22" s="135"/>
      <c r="J22" s="135"/>
      <c r="K22" s="135"/>
      <c r="L22" s="135"/>
      <c r="M22" s="135"/>
    </row>
    <row r="23" ht="14.25" hidden="1" customHeight="1">
      <c r="B23" s="133">
        <v>45250.0</v>
      </c>
      <c r="C23" s="134" t="str">
        <f t="shared" si="1"/>
        <v>11-2023</v>
      </c>
      <c r="D23" s="135">
        <v>2536.0</v>
      </c>
      <c r="E23" s="135">
        <v>2546.0</v>
      </c>
      <c r="F23" s="135">
        <f>'220 nova Anderson '!$E23-'220 nova Anderson '!$D23</f>
        <v>10</v>
      </c>
      <c r="G23" s="135">
        <f>'220 nova Anderson '!$F23-10</f>
        <v>0</v>
      </c>
      <c r="H23" s="135"/>
      <c r="I23" s="135"/>
      <c r="J23" s="135"/>
      <c r="K23" s="135"/>
      <c r="L23" s="135"/>
      <c r="M23" s="135"/>
    </row>
    <row r="24" ht="14.25" hidden="1" customHeight="1">
      <c r="B24" s="133">
        <v>45251.0</v>
      </c>
      <c r="C24" s="134" t="str">
        <f t="shared" si="1"/>
        <v>11-2023</v>
      </c>
      <c r="D24" s="135">
        <f t="shared" ref="D24:D28" si="5">E23</f>
        <v>2546</v>
      </c>
      <c r="E24" s="135">
        <v>2557.0</v>
      </c>
      <c r="F24" s="135">
        <f>'220 nova Anderson '!$E24-'220 nova Anderson '!$D24</f>
        <v>11</v>
      </c>
      <c r="G24" s="135">
        <f>'220 nova Anderson '!$F24-10</f>
        <v>1</v>
      </c>
      <c r="H24" s="135"/>
      <c r="I24" s="135"/>
      <c r="J24" s="135"/>
      <c r="K24" s="135"/>
      <c r="L24" s="135"/>
      <c r="M24" s="135"/>
    </row>
    <row r="25" ht="14.25" hidden="1" customHeight="1">
      <c r="B25" s="133">
        <v>45252.0</v>
      </c>
      <c r="C25" s="134" t="str">
        <f t="shared" si="1"/>
        <v>11-2023</v>
      </c>
      <c r="D25" s="135">
        <f t="shared" si="5"/>
        <v>2557</v>
      </c>
      <c r="E25" s="135">
        <v>2564.0</v>
      </c>
      <c r="F25" s="135">
        <f>'220 nova Anderson '!$E25-'220 nova Anderson '!$D25</f>
        <v>7</v>
      </c>
      <c r="G25" s="135">
        <f>'220 nova Anderson '!$F25-10</f>
        <v>-3</v>
      </c>
      <c r="H25" s="135">
        <v>240.0</v>
      </c>
      <c r="I25" s="135"/>
      <c r="J25" s="135"/>
      <c r="K25" s="135"/>
      <c r="L25" s="135"/>
      <c r="M25" s="135"/>
    </row>
    <row r="26" ht="14.25" hidden="1" customHeight="1">
      <c r="B26" s="133">
        <v>45253.0</v>
      </c>
      <c r="C26" s="134" t="str">
        <f t="shared" si="1"/>
        <v>11-2023</v>
      </c>
      <c r="D26" s="135">
        <f t="shared" si="5"/>
        <v>2564</v>
      </c>
      <c r="E26" s="135">
        <v>2573.0</v>
      </c>
      <c r="F26" s="135">
        <f>'220 nova Anderson '!$E26-'220 nova Anderson '!$D26</f>
        <v>9</v>
      </c>
      <c r="G26" s="135">
        <f>'220 nova Anderson '!$F26-10</f>
        <v>-1</v>
      </c>
      <c r="H26" s="135">
        <v>235.0</v>
      </c>
      <c r="I26" s="135"/>
      <c r="J26" s="135"/>
      <c r="K26" s="135"/>
      <c r="L26" s="135"/>
      <c r="M26" s="135"/>
    </row>
    <row r="27" ht="14.25" hidden="1" customHeight="1">
      <c r="B27" s="133">
        <v>45254.0</v>
      </c>
      <c r="C27" s="134" t="str">
        <f t="shared" si="1"/>
        <v>11-2023</v>
      </c>
      <c r="D27" s="135">
        <f t="shared" si="5"/>
        <v>2573</v>
      </c>
      <c r="E27" s="135">
        <v>2583.0</v>
      </c>
      <c r="F27" s="135">
        <f>'220 nova Anderson '!$E27-'220 nova Anderson '!$D27</f>
        <v>10</v>
      </c>
      <c r="G27" s="135">
        <f>'220 nova Anderson '!$F27-10</f>
        <v>0</v>
      </c>
      <c r="H27" s="135">
        <v>235.0</v>
      </c>
      <c r="I27" s="135"/>
      <c r="J27" s="135"/>
      <c r="K27" s="135"/>
      <c r="L27" s="135"/>
      <c r="M27" s="135"/>
    </row>
    <row r="28" ht="14.25" hidden="1" customHeight="1">
      <c r="B28" s="133">
        <v>45255.0</v>
      </c>
      <c r="C28" s="134" t="str">
        <f t="shared" si="1"/>
        <v>11-2023</v>
      </c>
      <c r="D28" s="135">
        <f t="shared" si="5"/>
        <v>2583</v>
      </c>
      <c r="E28" s="135">
        <v>2593.0</v>
      </c>
      <c r="F28" s="135">
        <f>'220 nova Anderson '!$E28-'220 nova Anderson '!$D28</f>
        <v>10</v>
      </c>
      <c r="G28" s="135">
        <f>'220 nova Anderson '!$F28-10</f>
        <v>0</v>
      </c>
      <c r="H28" s="135">
        <v>235.0</v>
      </c>
      <c r="I28" s="135"/>
      <c r="J28" s="135"/>
      <c r="K28" s="135"/>
      <c r="L28" s="135"/>
      <c r="M28" s="135"/>
    </row>
    <row r="29" ht="14.25" hidden="1" customHeight="1">
      <c r="B29" s="133">
        <v>45256.0</v>
      </c>
      <c r="C29" s="134" t="str">
        <f t="shared" si="1"/>
        <v>11-2023</v>
      </c>
      <c r="D29" s="135"/>
      <c r="E29" s="135"/>
      <c r="F29" s="135">
        <f>'220 nova Anderson '!$E29-'220 nova Anderson '!$D29</f>
        <v>0</v>
      </c>
      <c r="G29" s="135">
        <f>'220 nova Anderson '!$F29-10</f>
        <v>-10</v>
      </c>
      <c r="H29" s="135"/>
      <c r="I29" s="135"/>
      <c r="J29" s="135"/>
      <c r="K29" s="135"/>
      <c r="L29" s="135"/>
      <c r="M29" s="135"/>
    </row>
    <row r="30" ht="14.25" hidden="1" customHeight="1">
      <c r="B30" s="133">
        <v>45257.0</v>
      </c>
      <c r="C30" s="134" t="str">
        <f t="shared" si="1"/>
        <v>11-2023</v>
      </c>
      <c r="D30" s="135">
        <v>2593.0</v>
      </c>
      <c r="E30" s="135">
        <v>2603.0</v>
      </c>
      <c r="F30" s="135">
        <f>'220 nova Anderson '!$E30-'220 nova Anderson '!$D30</f>
        <v>10</v>
      </c>
      <c r="G30" s="135">
        <f>'220 nova Anderson '!$F30-10</f>
        <v>0</v>
      </c>
      <c r="H30" s="135">
        <v>240.0</v>
      </c>
      <c r="I30" s="135"/>
      <c r="J30" s="135"/>
      <c r="K30" s="135"/>
      <c r="L30" s="135"/>
      <c r="M30" s="135"/>
    </row>
    <row r="31" ht="14.25" hidden="1" customHeight="1">
      <c r="B31" s="133">
        <v>45258.0</v>
      </c>
      <c r="C31" s="134" t="str">
        <f t="shared" si="1"/>
        <v>11-2023</v>
      </c>
      <c r="D31" s="135">
        <f t="shared" ref="D31:D33" si="6">E30</f>
        <v>2603</v>
      </c>
      <c r="E31" s="135">
        <v>2614.0</v>
      </c>
      <c r="F31" s="135">
        <f>'220 nova Anderson '!$E31-'220 nova Anderson '!$D31</f>
        <v>11</v>
      </c>
      <c r="G31" s="135">
        <f>'220 nova Anderson '!$F31-10</f>
        <v>1</v>
      </c>
      <c r="H31" s="135">
        <v>170.0</v>
      </c>
      <c r="I31" s="135"/>
      <c r="J31" s="135"/>
      <c r="K31" s="135"/>
      <c r="L31" s="135"/>
      <c r="M31" s="135"/>
    </row>
    <row r="32" ht="14.25" hidden="1" customHeight="1">
      <c r="B32" s="133">
        <v>45259.0</v>
      </c>
      <c r="C32" s="134" t="str">
        <f t="shared" si="1"/>
        <v>11-2023</v>
      </c>
      <c r="D32" s="135">
        <f t="shared" si="6"/>
        <v>2614</v>
      </c>
      <c r="E32" s="135">
        <v>2618.0</v>
      </c>
      <c r="F32" s="135">
        <f>'220 nova Anderson '!$E32-'220 nova Anderson '!$D32</f>
        <v>4</v>
      </c>
      <c r="G32" s="135">
        <f>'220 nova Anderson '!$F32-10</f>
        <v>-6</v>
      </c>
      <c r="H32" s="135">
        <v>200.0</v>
      </c>
      <c r="I32" s="135"/>
      <c r="J32" s="135"/>
      <c r="K32" s="135"/>
      <c r="L32" s="135"/>
      <c r="M32" s="135"/>
    </row>
    <row r="33" ht="14.25" hidden="1" customHeight="1">
      <c r="B33" s="133">
        <v>45260.0</v>
      </c>
      <c r="C33" s="134" t="str">
        <f t="shared" si="1"/>
        <v>11-2023</v>
      </c>
      <c r="D33" s="135">
        <f t="shared" si="6"/>
        <v>2618</v>
      </c>
      <c r="E33" s="135">
        <v>2627.0</v>
      </c>
      <c r="F33" s="135">
        <f>'220 nova Anderson '!$E33-'220 nova Anderson '!$D33</f>
        <v>9</v>
      </c>
      <c r="G33" s="135">
        <f>'220 nova Anderson '!$F33-10</f>
        <v>-1</v>
      </c>
      <c r="H33" s="135"/>
      <c r="I33" s="135"/>
      <c r="J33" s="135"/>
      <c r="K33" s="135"/>
      <c r="L33" s="135"/>
      <c r="M33" s="135"/>
    </row>
    <row r="34" ht="14.25" customHeight="1">
      <c r="B34" s="136">
        <v>45261.0</v>
      </c>
      <c r="C34" s="137" t="str">
        <f t="shared" si="1"/>
        <v>12-2023</v>
      </c>
      <c r="D34" s="54">
        <v>2627.0</v>
      </c>
      <c r="E34" s="54">
        <v>2634.0</v>
      </c>
      <c r="F34" s="54">
        <f>'220 nova Anderson '!$E34-'220 nova Anderson '!$D34</f>
        <v>7</v>
      </c>
      <c r="G34" s="54">
        <f>'220 nova Anderson '!$F34-10</f>
        <v>-3</v>
      </c>
      <c r="H34" s="54"/>
      <c r="I34" s="54"/>
      <c r="J34" s="54"/>
      <c r="K34" s="54"/>
      <c r="L34" s="54"/>
      <c r="M34" s="54"/>
      <c r="N34" s="54"/>
      <c r="O34" s="54"/>
      <c r="P34" s="54"/>
    </row>
    <row r="35" ht="14.25" customHeight="1">
      <c r="B35" s="136">
        <v>45262.0</v>
      </c>
      <c r="C35" s="137" t="str">
        <f t="shared" si="1"/>
        <v>12-2023</v>
      </c>
      <c r="D35" s="54"/>
      <c r="E35" s="54"/>
      <c r="F35" s="54">
        <f>'220 nova Anderson '!$E35-'220 nova Anderson '!$D35</f>
        <v>0</v>
      </c>
      <c r="G35" s="54">
        <f>'220 nova Anderson '!$F35-10</f>
        <v>-10</v>
      </c>
      <c r="H35" s="54"/>
      <c r="I35" s="54"/>
      <c r="J35" s="54"/>
      <c r="K35" s="54"/>
      <c r="L35" s="54"/>
      <c r="M35" s="54"/>
      <c r="N35" s="54"/>
      <c r="O35" s="54"/>
      <c r="P35" s="54"/>
    </row>
    <row r="36" ht="14.25" customHeight="1">
      <c r="B36" s="136">
        <v>45263.0</v>
      </c>
      <c r="C36" s="137" t="str">
        <f t="shared" si="1"/>
        <v>12-2023</v>
      </c>
      <c r="D36" s="54"/>
      <c r="E36" s="54"/>
      <c r="F36" s="54">
        <f>'220 nova Anderson '!$E36-'220 nova Anderson '!$D36</f>
        <v>0</v>
      </c>
      <c r="G36" s="54">
        <f>'220 nova Anderson '!$F36-10</f>
        <v>-10</v>
      </c>
      <c r="H36" s="54"/>
      <c r="I36" s="54"/>
      <c r="J36" s="54"/>
      <c r="K36" s="54"/>
      <c r="L36" s="54"/>
      <c r="M36" s="54"/>
      <c r="N36" s="54"/>
      <c r="O36" s="54"/>
      <c r="P36" s="54"/>
    </row>
    <row r="37" ht="14.25" customHeight="1">
      <c r="B37" s="136">
        <v>45264.0</v>
      </c>
      <c r="C37" s="137" t="str">
        <f t="shared" si="1"/>
        <v>12-2023</v>
      </c>
      <c r="D37" s="54">
        <v>2634.0</v>
      </c>
      <c r="E37" s="54">
        <v>2644.0</v>
      </c>
      <c r="F37" s="54">
        <f>'220 nova Anderson '!$E37-'220 nova Anderson '!$D37</f>
        <v>10</v>
      </c>
      <c r="G37" s="54">
        <f>'220 nova Anderson '!$F37-10</f>
        <v>0</v>
      </c>
      <c r="H37" s="54">
        <v>225.0</v>
      </c>
      <c r="I37" s="54"/>
      <c r="J37" s="54"/>
      <c r="K37" s="54"/>
      <c r="L37" s="54"/>
      <c r="M37" s="54"/>
      <c r="N37" s="54"/>
      <c r="O37" s="54"/>
      <c r="P37" s="54"/>
    </row>
    <row r="38" ht="14.25" customHeight="1">
      <c r="B38" s="136">
        <v>45265.0</v>
      </c>
      <c r="C38" s="137" t="str">
        <f t="shared" si="1"/>
        <v>12-2023</v>
      </c>
      <c r="D38" s="54">
        <f t="shared" ref="D38:D41" si="7">E37</f>
        <v>2644</v>
      </c>
      <c r="E38" s="54">
        <v>2654.0</v>
      </c>
      <c r="F38" s="54">
        <f>'220 nova Anderson '!$E38-'220 nova Anderson '!$D38</f>
        <v>10</v>
      </c>
      <c r="G38" s="54">
        <f>'220 nova Anderson '!$F38-10</f>
        <v>0</v>
      </c>
      <c r="H38" s="54">
        <v>242.0</v>
      </c>
      <c r="I38" s="54"/>
      <c r="J38" s="54"/>
      <c r="K38" s="54"/>
      <c r="L38" s="54"/>
      <c r="M38" s="54"/>
      <c r="N38" s="54"/>
      <c r="O38" s="54"/>
      <c r="P38" s="54"/>
    </row>
    <row r="39" ht="14.25" customHeight="1">
      <c r="B39" s="136">
        <v>45266.0</v>
      </c>
      <c r="C39" s="137" t="str">
        <f t="shared" si="1"/>
        <v>12-2023</v>
      </c>
      <c r="D39" s="54">
        <f t="shared" si="7"/>
        <v>2654</v>
      </c>
      <c r="E39" s="54">
        <v>2664.0</v>
      </c>
      <c r="F39" s="54">
        <f>'220 nova Anderson '!$E39-'220 nova Anderson '!$D39</f>
        <v>10</v>
      </c>
      <c r="G39" s="54">
        <f>'220 nova Anderson '!$F39-10</f>
        <v>0</v>
      </c>
      <c r="H39" s="54">
        <v>242.0</v>
      </c>
      <c r="I39" s="54"/>
      <c r="J39" s="54"/>
      <c r="K39" s="54"/>
      <c r="L39" s="54"/>
      <c r="M39" s="54"/>
      <c r="N39" s="54"/>
      <c r="O39" s="54"/>
      <c r="P39" s="54"/>
    </row>
    <row r="40" ht="14.25" customHeight="1">
      <c r="B40" s="136">
        <v>45267.0</v>
      </c>
      <c r="C40" s="137" t="str">
        <f t="shared" si="1"/>
        <v>12-2023</v>
      </c>
      <c r="D40" s="54">
        <f t="shared" si="7"/>
        <v>2664</v>
      </c>
      <c r="E40" s="54">
        <v>2675.0</v>
      </c>
      <c r="F40" s="54">
        <f>'220 nova Anderson '!$E40-'220 nova Anderson '!$D40</f>
        <v>11</v>
      </c>
      <c r="G40" s="54">
        <f>'220 nova Anderson '!$F40-10</f>
        <v>1</v>
      </c>
      <c r="H40" s="54">
        <v>195.0</v>
      </c>
      <c r="I40" s="54"/>
      <c r="J40" s="54"/>
      <c r="K40" s="54"/>
      <c r="L40" s="54"/>
      <c r="M40" s="54"/>
      <c r="N40" s="54"/>
      <c r="O40" s="54"/>
      <c r="P40" s="54"/>
    </row>
    <row r="41" ht="14.25" customHeight="1">
      <c r="B41" s="136">
        <v>45268.0</v>
      </c>
      <c r="C41" s="137" t="str">
        <f t="shared" si="1"/>
        <v>12-2023</v>
      </c>
      <c r="D41" s="54">
        <f t="shared" si="7"/>
        <v>2675</v>
      </c>
      <c r="E41" s="54">
        <v>2685.0</v>
      </c>
      <c r="F41" s="54">
        <f>'220 nova Anderson '!$E41-'220 nova Anderson '!$D41</f>
        <v>10</v>
      </c>
      <c r="G41" s="54">
        <f>'220 nova Anderson '!$F41-10</f>
        <v>0</v>
      </c>
      <c r="H41" s="54">
        <v>190.0</v>
      </c>
      <c r="I41" s="54"/>
      <c r="J41" s="54"/>
      <c r="K41" s="54"/>
      <c r="L41" s="54"/>
      <c r="M41" s="54"/>
      <c r="N41" s="54"/>
      <c r="O41" s="54"/>
      <c r="P41" s="54"/>
    </row>
    <row r="42" ht="14.25" customHeight="1">
      <c r="B42" s="136">
        <v>45269.0</v>
      </c>
      <c r="C42" s="137" t="str">
        <f t="shared" si="1"/>
        <v>12-2023</v>
      </c>
      <c r="D42" s="54"/>
      <c r="E42" s="54"/>
      <c r="F42" s="54">
        <f>'220 nova Anderson '!$E42-'220 nova Anderson '!$D42</f>
        <v>0</v>
      </c>
      <c r="G42" s="54">
        <f>'220 nova Anderson '!$F42-10</f>
        <v>-10</v>
      </c>
      <c r="H42" s="54"/>
      <c r="I42" s="54"/>
      <c r="J42" s="54"/>
      <c r="K42" s="54"/>
      <c r="L42" s="54"/>
      <c r="M42" s="54"/>
      <c r="N42" s="54"/>
      <c r="O42" s="54"/>
      <c r="P42" s="54"/>
    </row>
    <row r="43" ht="14.25" customHeight="1">
      <c r="B43" s="136">
        <v>45270.0</v>
      </c>
      <c r="C43" s="137" t="str">
        <f t="shared" si="1"/>
        <v>12-2023</v>
      </c>
      <c r="D43" s="54"/>
      <c r="E43" s="54"/>
      <c r="F43" s="54">
        <f>'220 nova Anderson '!$E43-'220 nova Anderson '!$D43</f>
        <v>0</v>
      </c>
      <c r="G43" s="54">
        <f>'220 nova Anderson '!$F43-10</f>
        <v>-10</v>
      </c>
      <c r="H43" s="54"/>
      <c r="I43" s="54"/>
      <c r="J43" s="54"/>
      <c r="K43" s="54"/>
      <c r="L43" s="54"/>
      <c r="M43" s="54"/>
      <c r="N43" s="54"/>
      <c r="O43" s="54"/>
      <c r="P43" s="54"/>
    </row>
    <row r="44" ht="14.25" customHeight="1">
      <c r="B44" s="136">
        <v>45271.0</v>
      </c>
      <c r="C44" s="137" t="str">
        <f t="shared" si="1"/>
        <v>12-2023</v>
      </c>
      <c r="D44" s="54">
        <v>2685.0</v>
      </c>
      <c r="E44" s="54">
        <v>2695.0</v>
      </c>
      <c r="F44" s="54">
        <f>'220 nova Anderson '!$E44-'220 nova Anderson '!$D44</f>
        <v>10</v>
      </c>
      <c r="G44" s="54">
        <f>'220 nova Anderson '!$F44-10</f>
        <v>0</v>
      </c>
      <c r="H44" s="54">
        <v>195.0</v>
      </c>
      <c r="I44" s="54"/>
      <c r="J44" s="54"/>
      <c r="K44" s="54"/>
      <c r="L44" s="54"/>
      <c r="M44" s="54"/>
      <c r="N44" s="54"/>
      <c r="O44" s="54"/>
      <c r="P44" s="54"/>
    </row>
    <row r="45" ht="14.25" customHeight="1">
      <c r="B45" s="136">
        <v>45272.0</v>
      </c>
      <c r="C45" s="137" t="str">
        <f t="shared" si="1"/>
        <v>12-2023</v>
      </c>
      <c r="D45" s="54">
        <f t="shared" ref="D45:D48" si="8">E44</f>
        <v>2695</v>
      </c>
      <c r="E45" s="54">
        <v>2705.0</v>
      </c>
      <c r="F45" s="54">
        <f>'220 nova Anderson '!$E45-'220 nova Anderson '!$D45</f>
        <v>10</v>
      </c>
      <c r="G45" s="54">
        <f>'220 nova Anderson '!$F45-10</f>
        <v>0</v>
      </c>
      <c r="H45" s="54">
        <v>130.0</v>
      </c>
      <c r="I45" s="54"/>
      <c r="J45" s="54"/>
      <c r="K45" s="54"/>
      <c r="L45" s="54"/>
      <c r="M45" s="54"/>
      <c r="N45" s="54"/>
      <c r="O45" s="54"/>
      <c r="P45" s="54"/>
    </row>
    <row r="46" ht="14.25" customHeight="1">
      <c r="B46" s="136">
        <v>45273.0</v>
      </c>
      <c r="C46" s="137" t="str">
        <f t="shared" si="1"/>
        <v>12-2023</v>
      </c>
      <c r="D46" s="54">
        <f t="shared" si="8"/>
        <v>2705</v>
      </c>
      <c r="E46" s="54">
        <v>2715.0</v>
      </c>
      <c r="F46" s="54">
        <f>'220 nova Anderson '!$E46-'220 nova Anderson '!$D46</f>
        <v>10</v>
      </c>
      <c r="G46" s="54">
        <f>'220 nova Anderson '!$F46-10</f>
        <v>0</v>
      </c>
      <c r="H46" s="54">
        <v>185.0</v>
      </c>
      <c r="I46" s="54"/>
      <c r="J46" s="54"/>
      <c r="K46" s="54"/>
      <c r="L46" s="54"/>
      <c r="M46" s="54"/>
      <c r="N46" s="54"/>
      <c r="O46" s="54"/>
      <c r="P46" s="54"/>
    </row>
    <row r="47" ht="14.25" customHeight="1">
      <c r="B47" s="136">
        <v>45274.0</v>
      </c>
      <c r="C47" s="137" t="str">
        <f t="shared" si="1"/>
        <v>12-2023</v>
      </c>
      <c r="D47" s="54">
        <f t="shared" si="8"/>
        <v>2715</v>
      </c>
      <c r="E47" s="54">
        <v>2721.0</v>
      </c>
      <c r="F47" s="54">
        <f>'220 nova Anderson '!$E47-'220 nova Anderson '!$D47</f>
        <v>6</v>
      </c>
      <c r="G47" s="54">
        <f>'220 nova Anderson '!$F47-10</f>
        <v>-4</v>
      </c>
      <c r="H47" s="54">
        <v>70.0</v>
      </c>
      <c r="I47" s="54"/>
      <c r="J47" s="54"/>
      <c r="K47" s="54"/>
      <c r="L47" s="54"/>
      <c r="M47" s="54"/>
      <c r="N47" s="54"/>
      <c r="O47" s="54"/>
      <c r="P47" s="54"/>
    </row>
    <row r="48" ht="14.25" customHeight="1">
      <c r="B48" s="136">
        <v>45275.0</v>
      </c>
      <c r="C48" s="137" t="str">
        <f t="shared" si="1"/>
        <v>12-2023</v>
      </c>
      <c r="D48" s="54">
        <f t="shared" si="8"/>
        <v>2721</v>
      </c>
      <c r="E48" s="54">
        <v>2727.0</v>
      </c>
      <c r="F48" s="54">
        <f>'220 nova Anderson '!$E48-'220 nova Anderson '!$D48</f>
        <v>6</v>
      </c>
      <c r="G48" s="54">
        <f>'220 nova Anderson '!$F48-10</f>
        <v>-4</v>
      </c>
      <c r="H48" s="54">
        <v>185.0</v>
      </c>
      <c r="I48" s="54"/>
      <c r="J48" s="54"/>
      <c r="K48" s="54"/>
      <c r="L48" s="54"/>
      <c r="M48" s="54"/>
      <c r="N48" s="54"/>
      <c r="O48" s="54"/>
      <c r="P48" s="54"/>
    </row>
    <row r="49" ht="14.25" customHeight="1">
      <c r="B49" s="136">
        <v>45276.0</v>
      </c>
      <c r="C49" s="137" t="str">
        <f t="shared" si="1"/>
        <v>12-2023</v>
      </c>
      <c r="D49" s="54"/>
      <c r="E49" s="54"/>
      <c r="F49" s="54">
        <f>'220 nova Anderson '!$E49-'220 nova Anderson '!$D49</f>
        <v>0</v>
      </c>
      <c r="G49" s="54">
        <f>'220 nova Anderson '!$F49-10</f>
        <v>-10</v>
      </c>
      <c r="H49" s="54"/>
      <c r="I49" s="54"/>
      <c r="J49" s="54"/>
      <c r="K49" s="54"/>
      <c r="L49" s="54"/>
      <c r="M49" s="54"/>
      <c r="N49" s="54"/>
      <c r="O49" s="54"/>
      <c r="P49" s="54"/>
    </row>
    <row r="50" ht="14.25" customHeight="1">
      <c r="B50" s="136">
        <v>45277.0</v>
      </c>
      <c r="C50" s="137" t="str">
        <f t="shared" si="1"/>
        <v>12-2023</v>
      </c>
      <c r="D50" s="54" t="str">
        <f>E49</f>
        <v/>
      </c>
      <c r="E50" s="54"/>
      <c r="F50" s="54">
        <f>'220 nova Anderson '!$E50-'220 nova Anderson '!$D50</f>
        <v>0</v>
      </c>
      <c r="G50" s="54">
        <f>'220 nova Anderson '!$F50-10</f>
        <v>-10</v>
      </c>
      <c r="H50" s="54"/>
      <c r="I50" s="54"/>
      <c r="J50" s="54"/>
      <c r="K50" s="54"/>
      <c r="L50" s="54"/>
      <c r="M50" s="54"/>
      <c r="N50" s="54"/>
      <c r="O50" s="54"/>
      <c r="P50" s="54"/>
    </row>
    <row r="51" ht="14.25" customHeight="1">
      <c r="B51" s="136">
        <v>45278.0</v>
      </c>
      <c r="C51" s="137" t="str">
        <f t="shared" si="1"/>
        <v>12-2023</v>
      </c>
      <c r="D51" s="54">
        <v>2727.0</v>
      </c>
      <c r="E51" s="54">
        <v>2737.0</v>
      </c>
      <c r="F51" s="54">
        <f>'220 nova Anderson '!$E51-'220 nova Anderson '!$D51</f>
        <v>10</v>
      </c>
      <c r="G51" s="54">
        <f>'220 nova Anderson '!$F51-10</f>
        <v>0</v>
      </c>
      <c r="H51" s="54">
        <v>50.0</v>
      </c>
      <c r="I51" s="54"/>
      <c r="J51" s="54"/>
      <c r="K51" s="54"/>
      <c r="L51" s="54"/>
      <c r="M51" s="54"/>
      <c r="N51" s="54"/>
      <c r="O51" s="54"/>
      <c r="P51" s="54"/>
    </row>
    <row r="52" ht="14.25" customHeight="1">
      <c r="B52" s="136">
        <v>45279.0</v>
      </c>
      <c r="C52" s="137" t="str">
        <f t="shared" si="1"/>
        <v>12-2023</v>
      </c>
      <c r="D52" s="54">
        <f t="shared" ref="D52:D55" si="9">E51</f>
        <v>2737</v>
      </c>
      <c r="E52" s="54">
        <v>2747.0</v>
      </c>
      <c r="F52" s="54">
        <f>'220 nova Anderson '!$E52-'220 nova Anderson '!$D52</f>
        <v>10</v>
      </c>
      <c r="G52" s="54">
        <f>'220 nova Anderson '!$F52-10</f>
        <v>0</v>
      </c>
      <c r="H52" s="54">
        <v>130.0</v>
      </c>
      <c r="I52" s="54"/>
      <c r="J52" s="54"/>
      <c r="K52" s="54"/>
      <c r="L52" s="54"/>
      <c r="M52" s="54"/>
      <c r="N52" s="54"/>
      <c r="O52" s="54"/>
      <c r="P52" s="54"/>
    </row>
    <row r="53" ht="14.25" customHeight="1">
      <c r="B53" s="136">
        <v>45280.0</v>
      </c>
      <c r="C53" s="137" t="str">
        <f t="shared" si="1"/>
        <v>12-2023</v>
      </c>
      <c r="D53" s="54">
        <f t="shared" si="9"/>
        <v>2747</v>
      </c>
      <c r="E53" s="54">
        <v>2757.0</v>
      </c>
      <c r="F53" s="54">
        <f>'220 nova Anderson '!$E53-'220 nova Anderson '!$D53</f>
        <v>10</v>
      </c>
      <c r="G53" s="54">
        <f>'220 nova Anderson '!$F53-10</f>
        <v>0</v>
      </c>
      <c r="H53" s="54">
        <v>230.0</v>
      </c>
      <c r="I53" s="54"/>
      <c r="J53" s="54"/>
      <c r="K53" s="54"/>
      <c r="L53" s="54"/>
      <c r="M53" s="54"/>
      <c r="N53" s="54"/>
      <c r="O53" s="54"/>
      <c r="P53" s="54"/>
    </row>
    <row r="54" ht="14.25" customHeight="1">
      <c r="B54" s="136">
        <v>45281.0</v>
      </c>
      <c r="C54" s="137" t="str">
        <f t="shared" si="1"/>
        <v>12-2023</v>
      </c>
      <c r="D54" s="54">
        <f t="shared" si="9"/>
        <v>2757</v>
      </c>
      <c r="E54" s="54">
        <v>2768.0</v>
      </c>
      <c r="F54" s="54">
        <f>'220 nova Anderson '!$E54-'220 nova Anderson '!$D54</f>
        <v>11</v>
      </c>
      <c r="G54" s="54">
        <f>'220 nova Anderson '!$F54-10</f>
        <v>1</v>
      </c>
      <c r="H54" s="54">
        <v>180.0</v>
      </c>
      <c r="I54" s="54"/>
      <c r="J54" s="54"/>
      <c r="K54" s="54"/>
      <c r="L54" s="54"/>
      <c r="M54" s="54"/>
      <c r="N54" s="54"/>
      <c r="O54" s="54"/>
      <c r="P54" s="54"/>
    </row>
    <row r="55" ht="14.25" customHeight="1">
      <c r="B55" s="136">
        <v>45282.0</v>
      </c>
      <c r="C55" s="137" t="str">
        <f t="shared" si="1"/>
        <v>12-2023</v>
      </c>
      <c r="D55" s="54">
        <f t="shared" si="9"/>
        <v>2768</v>
      </c>
      <c r="E55" s="54">
        <v>2778.0</v>
      </c>
      <c r="F55" s="54">
        <f>'220 nova Anderson '!$E55-'220 nova Anderson '!$D55</f>
        <v>10</v>
      </c>
      <c r="G55" s="54">
        <f>'220 nova Anderson '!$F55-10</f>
        <v>0</v>
      </c>
      <c r="H55" s="54">
        <v>180.0</v>
      </c>
      <c r="I55" s="54"/>
      <c r="J55" s="54"/>
      <c r="K55" s="54"/>
      <c r="L55" s="54"/>
      <c r="M55" s="54"/>
      <c r="N55" s="54"/>
      <c r="O55" s="54"/>
      <c r="P55" s="54"/>
    </row>
    <row r="56" ht="14.25" customHeight="1">
      <c r="B56" s="136">
        <v>45283.0</v>
      </c>
      <c r="C56" s="137" t="str">
        <f t="shared" si="1"/>
        <v>12-2023</v>
      </c>
      <c r="D56" s="54"/>
      <c r="E56" s="54"/>
      <c r="F56" s="54">
        <f>'220 nova Anderson '!$E56-'220 nova Anderson '!$D56</f>
        <v>0</v>
      </c>
      <c r="G56" s="54">
        <f>'220 nova Anderson '!$F56-10</f>
        <v>-10</v>
      </c>
      <c r="H56" s="54"/>
      <c r="I56" s="54"/>
      <c r="J56" s="54"/>
      <c r="K56" s="54"/>
      <c r="L56" s="54"/>
      <c r="M56" s="54"/>
      <c r="N56" s="54"/>
      <c r="O56" s="54"/>
      <c r="P56" s="54"/>
    </row>
    <row r="57" ht="14.25" customHeight="1">
      <c r="B57" s="136">
        <v>45284.0</v>
      </c>
      <c r="C57" s="137" t="str">
        <f t="shared" si="1"/>
        <v>12-2023</v>
      </c>
      <c r="D57" s="54" t="str">
        <f t="shared" ref="D57:D58" si="10">E56</f>
        <v/>
      </c>
      <c r="E57" s="54"/>
      <c r="F57" s="54">
        <f>'220 nova Anderson '!$E57-'220 nova Anderson '!$D57</f>
        <v>0</v>
      </c>
      <c r="G57" s="54">
        <f>'220 nova Anderson '!$F57-10</f>
        <v>-10</v>
      </c>
      <c r="H57" s="54"/>
      <c r="I57" s="54"/>
      <c r="J57" s="54"/>
      <c r="K57" s="54"/>
      <c r="L57" s="54"/>
      <c r="M57" s="54"/>
      <c r="N57" s="54"/>
      <c r="O57" s="54"/>
      <c r="P57" s="54"/>
    </row>
    <row r="58" ht="14.25" customHeight="1">
      <c r="B58" s="136">
        <v>45285.0</v>
      </c>
      <c r="C58" s="137" t="str">
        <f t="shared" si="1"/>
        <v>12-2023</v>
      </c>
      <c r="D58" s="54" t="str">
        <f t="shared" si="10"/>
        <v/>
      </c>
      <c r="E58" s="54"/>
      <c r="F58" s="54">
        <f>'220 nova Anderson '!$E58-'220 nova Anderson '!$D58</f>
        <v>0</v>
      </c>
      <c r="G58" s="54">
        <f>'220 nova Anderson '!$F58-10</f>
        <v>-10</v>
      </c>
      <c r="H58" s="54"/>
      <c r="I58" s="54"/>
      <c r="J58" s="54"/>
      <c r="K58" s="54"/>
      <c r="L58" s="54"/>
      <c r="M58" s="54"/>
      <c r="N58" s="54"/>
      <c r="O58" s="54"/>
      <c r="P58" s="54"/>
    </row>
    <row r="59" ht="14.25" customHeight="1">
      <c r="B59" s="136">
        <v>45286.0</v>
      </c>
      <c r="C59" s="137" t="str">
        <f t="shared" si="1"/>
        <v>12-2023</v>
      </c>
      <c r="D59" s="54">
        <v>2778.0</v>
      </c>
      <c r="E59" s="54">
        <v>2786.0</v>
      </c>
      <c r="F59" s="54">
        <f>'220 nova Anderson '!$E59-'220 nova Anderson '!$D59</f>
        <v>8</v>
      </c>
      <c r="G59" s="54">
        <f>'220 nova Anderson '!$F59-10</f>
        <v>-2</v>
      </c>
      <c r="H59" s="54">
        <v>190.0</v>
      </c>
      <c r="I59" s="54"/>
      <c r="J59" s="54"/>
      <c r="K59" s="54"/>
      <c r="L59" s="54"/>
      <c r="M59" s="54"/>
      <c r="N59" s="54"/>
      <c r="O59" s="54"/>
      <c r="P59" s="54"/>
    </row>
    <row r="60" ht="14.25" customHeight="1">
      <c r="B60" s="136">
        <v>45287.0</v>
      </c>
      <c r="C60" s="137" t="str">
        <f t="shared" si="1"/>
        <v>12-2023</v>
      </c>
      <c r="D60" s="54">
        <f t="shared" ref="D60:D62" si="11">E59</f>
        <v>2786</v>
      </c>
      <c r="E60" s="54">
        <v>2795.0</v>
      </c>
      <c r="F60" s="54">
        <f>'220 nova Anderson '!$E60-'220 nova Anderson '!$D60</f>
        <v>9</v>
      </c>
      <c r="G60" s="54">
        <f>'220 nova Anderson '!$F60-10</f>
        <v>-1</v>
      </c>
      <c r="H60" s="54">
        <v>190.0</v>
      </c>
      <c r="I60" s="54"/>
      <c r="J60" s="54"/>
      <c r="K60" s="54"/>
      <c r="L60" s="54"/>
      <c r="M60" s="54"/>
      <c r="N60" s="54"/>
      <c r="O60" s="54"/>
      <c r="P60" s="54"/>
    </row>
    <row r="61" ht="14.25" customHeight="1">
      <c r="B61" s="136">
        <v>45288.0</v>
      </c>
      <c r="C61" s="137" t="str">
        <f t="shared" si="1"/>
        <v>12-2023</v>
      </c>
      <c r="D61" s="54">
        <f t="shared" si="11"/>
        <v>2795</v>
      </c>
      <c r="E61" s="54">
        <v>2805.0</v>
      </c>
      <c r="F61" s="54">
        <f>'220 nova Anderson '!$E61-'220 nova Anderson '!$D61</f>
        <v>10</v>
      </c>
      <c r="G61" s="54">
        <f>'220 nova Anderson '!$F61-10</f>
        <v>0</v>
      </c>
      <c r="H61" s="54">
        <v>170.0</v>
      </c>
      <c r="I61" s="54"/>
      <c r="J61" s="54"/>
      <c r="K61" s="54"/>
      <c r="L61" s="54"/>
      <c r="M61" s="54"/>
      <c r="N61" s="54"/>
      <c r="O61" s="54"/>
      <c r="P61" s="54"/>
    </row>
    <row r="62" ht="14.25" customHeight="1">
      <c r="B62" s="136">
        <v>45289.0</v>
      </c>
      <c r="C62" s="137" t="str">
        <f t="shared" si="1"/>
        <v>12-2023</v>
      </c>
      <c r="D62" s="54">
        <f t="shared" si="11"/>
        <v>2805</v>
      </c>
      <c r="E62" s="54">
        <v>2809.0</v>
      </c>
      <c r="F62" s="54">
        <f>'220 nova Anderson '!$E62-'220 nova Anderson '!$D62</f>
        <v>4</v>
      </c>
      <c r="G62" s="54">
        <f>'220 nova Anderson '!$F62-10</f>
        <v>-6</v>
      </c>
      <c r="H62" s="54">
        <v>110.0</v>
      </c>
      <c r="I62" s="54"/>
      <c r="J62" s="54"/>
      <c r="K62" s="54"/>
      <c r="L62" s="54"/>
      <c r="M62" s="54"/>
      <c r="N62" s="54"/>
      <c r="O62" s="54"/>
      <c r="P62" s="54"/>
    </row>
    <row r="63" ht="14.25" customHeight="1">
      <c r="B63" s="136">
        <v>45290.0</v>
      </c>
      <c r="C63" s="137" t="str">
        <f t="shared" si="1"/>
        <v>12-2023</v>
      </c>
      <c r="D63" s="54"/>
      <c r="E63" s="54"/>
      <c r="F63" s="54">
        <f>'220 nova Anderson '!$E63-'220 nova Anderson '!$D63</f>
        <v>0</v>
      </c>
      <c r="G63" s="54">
        <f>'220 nova Anderson '!$F63-10</f>
        <v>-10</v>
      </c>
      <c r="H63" s="54"/>
      <c r="I63" s="54"/>
      <c r="J63" s="54"/>
      <c r="K63" s="54"/>
      <c r="L63" s="54"/>
      <c r="M63" s="54"/>
      <c r="N63" s="54"/>
      <c r="O63" s="54"/>
      <c r="P63" s="54"/>
    </row>
    <row r="64" ht="14.25" customHeight="1">
      <c r="B64" s="136">
        <v>45291.0</v>
      </c>
      <c r="C64" s="137" t="str">
        <f t="shared" si="1"/>
        <v>12-2023</v>
      </c>
      <c r="D64" s="54" t="str">
        <f t="shared" ref="D64:D65" si="12">E63</f>
        <v/>
      </c>
      <c r="E64" s="54"/>
      <c r="F64" s="54">
        <f>'220 nova Anderson '!$E64-'220 nova Anderson '!$D64</f>
        <v>0</v>
      </c>
      <c r="G64" s="54">
        <f>'220 nova Anderson '!$F64-10</f>
        <v>-10</v>
      </c>
      <c r="H64" s="54"/>
      <c r="I64" s="54"/>
      <c r="J64" s="54"/>
      <c r="K64" s="54"/>
      <c r="L64" s="54"/>
      <c r="M64" s="54"/>
      <c r="N64" s="54"/>
      <c r="O64" s="54"/>
      <c r="P64" s="54"/>
    </row>
    <row r="65" ht="14.25" customHeight="1">
      <c r="B65" s="136">
        <v>45292.0</v>
      </c>
      <c r="C65" s="137" t="str">
        <f t="shared" si="1"/>
        <v>1-2024</v>
      </c>
      <c r="D65" s="54" t="str">
        <f t="shared" si="12"/>
        <v/>
      </c>
      <c r="E65" s="54"/>
      <c r="F65" s="54">
        <f>'220 nova Anderson '!$E65-'220 nova Anderson '!$D65</f>
        <v>0</v>
      </c>
      <c r="G65" s="54">
        <f>'220 nova Anderson '!$F65-10</f>
        <v>-10</v>
      </c>
      <c r="H65" s="54"/>
      <c r="I65" s="54"/>
      <c r="J65" s="54"/>
      <c r="K65" s="54"/>
      <c r="L65" s="54"/>
      <c r="M65" s="54"/>
      <c r="N65" s="54"/>
      <c r="O65" s="54"/>
      <c r="P65" s="54"/>
    </row>
    <row r="66" ht="14.25" customHeight="1">
      <c r="B66" s="136">
        <v>45293.0</v>
      </c>
      <c r="C66" s="137" t="str">
        <f t="shared" si="1"/>
        <v>1-2024</v>
      </c>
      <c r="D66" s="138">
        <v>2809.0</v>
      </c>
      <c r="E66" s="138">
        <v>2817.0</v>
      </c>
      <c r="F66" s="54">
        <f>'220 nova Anderson '!$E66-'220 nova Anderson '!$D66</f>
        <v>8</v>
      </c>
      <c r="G66" s="54">
        <f>'220 nova Anderson '!$F66-10</f>
        <v>-2</v>
      </c>
      <c r="H66" s="54"/>
      <c r="I66" s="54"/>
      <c r="J66" s="54"/>
      <c r="K66" s="54"/>
      <c r="L66" s="54"/>
      <c r="M66" s="54"/>
      <c r="N66" s="54"/>
      <c r="O66" s="54"/>
      <c r="P66" s="54"/>
    </row>
    <row r="67" ht="14.25" customHeight="1">
      <c r="B67" s="136">
        <v>45294.0</v>
      </c>
      <c r="C67" s="137" t="str">
        <f t="shared" si="1"/>
        <v>1-2024</v>
      </c>
      <c r="D67" s="54">
        <f>E66</f>
        <v>2817</v>
      </c>
      <c r="E67" s="138">
        <v>2824.0</v>
      </c>
      <c r="F67" s="54">
        <f>'220 nova Anderson '!$E67-'220 nova Anderson '!$D67</f>
        <v>7</v>
      </c>
      <c r="G67" s="54">
        <f>'220 nova Anderson '!$F67-10</f>
        <v>-3</v>
      </c>
      <c r="H67" s="138">
        <v>105.0</v>
      </c>
      <c r="I67" s="54"/>
      <c r="J67" s="54"/>
      <c r="K67" s="54"/>
      <c r="L67" s="54"/>
      <c r="M67" s="54"/>
      <c r="N67" s="54"/>
      <c r="O67" s="54"/>
      <c r="P67" s="54"/>
    </row>
    <row r="68" ht="14.25" customHeight="1">
      <c r="B68" s="136">
        <v>45295.0</v>
      </c>
      <c r="C68" s="137" t="str">
        <f t="shared" si="1"/>
        <v>1-2024</v>
      </c>
      <c r="D68" s="54"/>
      <c r="E68" s="54"/>
      <c r="F68" s="54">
        <f>'220 nova Anderson '!$E68-'220 nova Anderson '!$D68</f>
        <v>0</v>
      </c>
      <c r="G68" s="54">
        <f>'220 nova Anderson '!$F68-10</f>
        <v>-10</v>
      </c>
      <c r="H68" s="54"/>
      <c r="I68" s="54"/>
      <c r="J68" s="54"/>
      <c r="K68" s="54"/>
      <c r="L68" s="54"/>
      <c r="M68" s="54"/>
      <c r="N68" s="54"/>
      <c r="O68" s="54"/>
      <c r="P68" s="54"/>
    </row>
    <row r="69" ht="14.25" customHeight="1">
      <c r="B69" s="136">
        <v>45296.0</v>
      </c>
      <c r="C69" s="137" t="str">
        <f t="shared" si="1"/>
        <v>1-2024</v>
      </c>
      <c r="D69" s="138">
        <v>2824.0</v>
      </c>
      <c r="E69" s="138">
        <v>2832.0</v>
      </c>
      <c r="F69" s="54">
        <f>'220 nova Anderson '!$E69-'220 nova Anderson '!$D69</f>
        <v>8</v>
      </c>
      <c r="G69" s="54">
        <f>'220 nova Anderson '!$F69-10</f>
        <v>-2</v>
      </c>
      <c r="H69" s="138">
        <v>240.0</v>
      </c>
      <c r="I69" s="54"/>
      <c r="J69" s="54"/>
      <c r="K69" s="54"/>
      <c r="L69" s="54"/>
      <c r="M69" s="54"/>
      <c r="N69" s="54"/>
      <c r="O69" s="54"/>
      <c r="P69" s="54"/>
    </row>
    <row r="70" ht="14.25" customHeight="1">
      <c r="B70" s="136">
        <v>45297.0</v>
      </c>
      <c r="C70" s="137" t="str">
        <f t="shared" si="1"/>
        <v>1-2024</v>
      </c>
      <c r="D70" s="54">
        <f>E69</f>
        <v>2832</v>
      </c>
      <c r="E70" s="138">
        <v>2835.0</v>
      </c>
      <c r="F70" s="54">
        <f>'220 nova Anderson '!$E70-'220 nova Anderson '!$D70</f>
        <v>3</v>
      </c>
      <c r="G70" s="54">
        <f>'220 nova Anderson '!$F70-10</f>
        <v>-7</v>
      </c>
      <c r="H70" s="138">
        <v>215.0</v>
      </c>
      <c r="I70" s="54"/>
      <c r="J70" s="54"/>
      <c r="K70" s="54"/>
      <c r="L70" s="54"/>
      <c r="M70" s="54"/>
      <c r="N70" s="54"/>
      <c r="O70" s="54"/>
      <c r="P70" s="54"/>
    </row>
    <row r="71" ht="14.25" customHeight="1">
      <c r="B71" s="136">
        <v>45298.0</v>
      </c>
      <c r="C71" s="137" t="str">
        <f t="shared" si="1"/>
        <v>1-2024</v>
      </c>
      <c r="D71" s="54"/>
      <c r="E71" s="54"/>
      <c r="F71" s="54">
        <f>'220 nova Anderson '!$E71-'220 nova Anderson '!$D71</f>
        <v>0</v>
      </c>
      <c r="G71" s="54">
        <f>'220 nova Anderson '!$F71-10</f>
        <v>-10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14.25" customHeight="1">
      <c r="B72" s="136">
        <v>45299.0</v>
      </c>
      <c r="C72" s="137" t="str">
        <f t="shared" si="1"/>
        <v>1-2024</v>
      </c>
      <c r="D72" s="138">
        <v>2835.0</v>
      </c>
      <c r="E72" s="138">
        <v>2843.0</v>
      </c>
      <c r="F72" s="54">
        <f>'220 nova Anderson '!$E72-'220 nova Anderson '!$D72</f>
        <v>8</v>
      </c>
      <c r="G72" s="54">
        <f>'220 nova Anderson '!$F72-10</f>
        <v>-2</v>
      </c>
      <c r="H72" s="54"/>
      <c r="I72" s="54"/>
      <c r="J72" s="54"/>
      <c r="K72" s="54"/>
      <c r="L72" s="54"/>
      <c r="M72" s="54"/>
      <c r="N72" s="54"/>
      <c r="O72" s="54"/>
      <c r="P72" s="54"/>
    </row>
    <row r="73" ht="14.25" customHeight="1">
      <c r="B73" s="136">
        <v>45300.0</v>
      </c>
      <c r="C73" s="137" t="str">
        <f t="shared" si="1"/>
        <v>1-2024</v>
      </c>
      <c r="D73" s="54"/>
      <c r="E73" s="54"/>
      <c r="F73" s="54">
        <f>'220 nova Anderson '!$E73-'220 nova Anderson '!$D73</f>
        <v>0</v>
      </c>
      <c r="G73" s="54">
        <f>'220 nova Anderson '!$F73-10</f>
        <v>-10</v>
      </c>
      <c r="H73" s="54"/>
      <c r="I73" s="54"/>
      <c r="J73" s="54"/>
      <c r="K73" s="54"/>
      <c r="L73" s="54"/>
      <c r="M73" s="54"/>
      <c r="N73" s="54"/>
      <c r="O73" s="54"/>
      <c r="P73" s="54"/>
    </row>
    <row r="74" ht="14.25" customHeight="1">
      <c r="B74" s="136">
        <v>45301.0</v>
      </c>
      <c r="C74" s="137" t="str">
        <f t="shared" si="1"/>
        <v>1-2024</v>
      </c>
      <c r="D74" s="138">
        <v>2843.0</v>
      </c>
      <c r="E74" s="138">
        <v>2852.0</v>
      </c>
      <c r="F74" s="54">
        <f>'220 nova Anderson '!$E74-'220 nova Anderson '!$D74</f>
        <v>9</v>
      </c>
      <c r="G74" s="54">
        <f>'220 nova Anderson '!$F74-10</f>
        <v>-1</v>
      </c>
      <c r="H74" s="138">
        <v>100.0</v>
      </c>
      <c r="I74" s="54"/>
      <c r="J74" s="54"/>
      <c r="K74" s="54"/>
      <c r="L74" s="54"/>
      <c r="M74" s="54"/>
      <c r="N74" s="54"/>
      <c r="O74" s="54"/>
      <c r="P74" s="54"/>
    </row>
    <row r="75" ht="14.25" customHeight="1">
      <c r="B75" s="136">
        <v>45302.0</v>
      </c>
      <c r="C75" s="137" t="str">
        <f t="shared" si="1"/>
        <v>1-2024</v>
      </c>
      <c r="D75" s="54">
        <f t="shared" ref="D75:D77" si="13">E74</f>
        <v>2852</v>
      </c>
      <c r="E75" s="138">
        <v>2861.0</v>
      </c>
      <c r="F75" s="54">
        <f>'220 nova Anderson '!$E75-'220 nova Anderson '!$D75</f>
        <v>9</v>
      </c>
      <c r="G75" s="54">
        <f>'220 nova Anderson '!$F75-10</f>
        <v>-1</v>
      </c>
      <c r="H75" s="138">
        <v>230.0</v>
      </c>
      <c r="I75" s="54"/>
      <c r="J75" s="54"/>
      <c r="K75" s="54"/>
      <c r="L75" s="54"/>
      <c r="M75" s="54"/>
      <c r="N75" s="54"/>
      <c r="O75" s="54"/>
      <c r="P75" s="54"/>
    </row>
    <row r="76" ht="14.25" customHeight="1">
      <c r="B76" s="136">
        <v>45303.0</v>
      </c>
      <c r="C76" s="137" t="str">
        <f t="shared" si="1"/>
        <v>1-2024</v>
      </c>
      <c r="D76" s="54">
        <f t="shared" si="13"/>
        <v>2861</v>
      </c>
      <c r="E76" s="138">
        <v>2867.0</v>
      </c>
      <c r="F76" s="54">
        <f>'220 nova Anderson '!$E76-'220 nova Anderson '!$D76</f>
        <v>6</v>
      </c>
      <c r="G76" s="54">
        <f>'220 nova Anderson '!$F76-10</f>
        <v>-4</v>
      </c>
      <c r="H76" s="138">
        <v>200.0</v>
      </c>
      <c r="I76" s="54"/>
      <c r="J76" s="54"/>
      <c r="K76" s="54"/>
      <c r="L76" s="54"/>
      <c r="M76" s="54"/>
      <c r="N76" s="54"/>
      <c r="O76" s="54"/>
      <c r="P76" s="54"/>
    </row>
    <row r="77" ht="14.25" customHeight="1">
      <c r="B77" s="136">
        <v>45304.0</v>
      </c>
      <c r="C77" s="137" t="str">
        <f t="shared" si="1"/>
        <v>1-2024</v>
      </c>
      <c r="D77" s="54">
        <f t="shared" si="13"/>
        <v>2867</v>
      </c>
      <c r="E77" s="138">
        <v>2871.0</v>
      </c>
      <c r="F77" s="54">
        <f>'220 nova Anderson '!$E77-'220 nova Anderson '!$D77</f>
        <v>4</v>
      </c>
      <c r="G77" s="54">
        <f>'220 nova Anderson '!$F77-10</f>
        <v>-6</v>
      </c>
      <c r="H77" s="138">
        <v>70.0</v>
      </c>
      <c r="I77" s="54"/>
      <c r="J77" s="54"/>
      <c r="K77" s="54"/>
      <c r="L77" s="54"/>
      <c r="M77" s="54"/>
      <c r="N77" s="54"/>
      <c r="O77" s="54"/>
      <c r="P77" s="54"/>
    </row>
    <row r="78" ht="14.25" customHeight="1">
      <c r="B78" s="136">
        <v>45305.0</v>
      </c>
      <c r="C78" s="137" t="str">
        <f t="shared" si="1"/>
        <v>1-2024</v>
      </c>
      <c r="D78" s="54"/>
      <c r="E78" s="54"/>
      <c r="F78" s="54">
        <f>'220 nova Anderson '!$E78-'220 nova Anderson '!$D78</f>
        <v>0</v>
      </c>
      <c r="G78" s="54">
        <f>'220 nova Anderson '!$F78-10</f>
        <v>-10</v>
      </c>
      <c r="H78" s="54"/>
      <c r="I78" s="54"/>
      <c r="J78" s="54"/>
      <c r="K78" s="54"/>
      <c r="L78" s="54"/>
      <c r="M78" s="54"/>
      <c r="N78" s="54"/>
      <c r="O78" s="54"/>
      <c r="P78" s="54"/>
    </row>
    <row r="79" ht="14.25" customHeight="1">
      <c r="B79" s="136">
        <v>45306.0</v>
      </c>
      <c r="C79" s="137" t="str">
        <f t="shared" si="1"/>
        <v>1-2024</v>
      </c>
      <c r="D79" s="54" t="str">
        <f t="shared" ref="D79:D80" si="14">E78</f>
        <v/>
      </c>
      <c r="E79" s="54"/>
      <c r="F79" s="54">
        <f>'220 nova Anderson '!$E79-'220 nova Anderson '!$D79</f>
        <v>0</v>
      </c>
      <c r="G79" s="54">
        <f>'220 nova Anderson '!$F79-10</f>
        <v>-10</v>
      </c>
      <c r="H79" s="54"/>
      <c r="I79" s="54"/>
      <c r="J79" s="54"/>
      <c r="K79" s="54"/>
      <c r="L79" s="54"/>
      <c r="M79" s="54"/>
      <c r="N79" s="54"/>
      <c r="O79" s="54"/>
      <c r="P79" s="54"/>
    </row>
    <row r="80" ht="14.25" customHeight="1">
      <c r="B80" s="136">
        <v>45307.0</v>
      </c>
      <c r="C80" s="137" t="str">
        <f t="shared" si="1"/>
        <v>1-2024</v>
      </c>
      <c r="D80" s="54" t="str">
        <f t="shared" si="14"/>
        <v/>
      </c>
      <c r="E80" s="54"/>
      <c r="F80" s="54">
        <f>'220 nova Anderson '!$E80-'220 nova Anderson '!$D80</f>
        <v>0</v>
      </c>
      <c r="G80" s="54">
        <f>'220 nova Anderson '!$F80-10</f>
        <v>-10</v>
      </c>
      <c r="H80" s="54"/>
      <c r="I80" s="54"/>
      <c r="J80" s="54"/>
      <c r="K80" s="54"/>
      <c r="L80" s="54"/>
      <c r="M80" s="54"/>
      <c r="N80" s="54"/>
      <c r="O80" s="54"/>
      <c r="P80" s="54"/>
    </row>
    <row r="81" ht="14.25" customHeight="1">
      <c r="B81" s="136">
        <v>45308.0</v>
      </c>
      <c r="C81" s="137" t="str">
        <f t="shared" si="1"/>
        <v>1-2024</v>
      </c>
      <c r="D81" s="138">
        <v>2871.0</v>
      </c>
      <c r="E81" s="138">
        <v>2876.0</v>
      </c>
      <c r="F81" s="54">
        <f>'220 nova Anderson '!$E81-'220 nova Anderson '!$D81</f>
        <v>5</v>
      </c>
      <c r="G81" s="54">
        <f>'220 nova Anderson '!$F81-10</f>
        <v>-5</v>
      </c>
      <c r="H81" s="138">
        <v>100.0</v>
      </c>
      <c r="I81" s="54"/>
      <c r="J81" s="54"/>
      <c r="K81" s="54"/>
      <c r="L81" s="54"/>
      <c r="M81" s="54"/>
      <c r="N81" s="54"/>
      <c r="O81" s="54"/>
      <c r="P81" s="54"/>
    </row>
    <row r="82" ht="14.25" customHeight="1">
      <c r="B82" s="136">
        <v>45309.0</v>
      </c>
      <c r="C82" s="137" t="str">
        <f t="shared" si="1"/>
        <v>1-2024</v>
      </c>
      <c r="D82" s="54">
        <f t="shared" ref="D82:D83" si="15">E81</f>
        <v>2876</v>
      </c>
      <c r="E82" s="138">
        <v>2886.0</v>
      </c>
      <c r="F82" s="54">
        <f>'220 nova Anderson '!$E82-'220 nova Anderson '!$D82</f>
        <v>10</v>
      </c>
      <c r="G82" s="54">
        <f>'220 nova Anderson '!$F82-10</f>
        <v>0</v>
      </c>
      <c r="H82" s="54"/>
      <c r="I82" s="54"/>
      <c r="J82" s="54"/>
      <c r="K82" s="54"/>
      <c r="L82" s="54"/>
      <c r="M82" s="54"/>
      <c r="N82" s="54"/>
      <c r="O82" s="54"/>
      <c r="P82" s="54"/>
    </row>
    <row r="83" ht="14.25" customHeight="1">
      <c r="B83" s="136">
        <v>45310.0</v>
      </c>
      <c r="C83" s="137" t="str">
        <f t="shared" si="1"/>
        <v>1-2024</v>
      </c>
      <c r="D83" s="54">
        <f t="shared" si="15"/>
        <v>2886</v>
      </c>
      <c r="E83" s="138">
        <v>2892.0</v>
      </c>
      <c r="F83" s="54">
        <f>'220 nova Anderson '!$E83-'220 nova Anderson '!$D83</f>
        <v>6</v>
      </c>
      <c r="G83" s="54">
        <f>'220 nova Anderson '!$F83-10</f>
        <v>-4</v>
      </c>
      <c r="H83" s="138">
        <v>200.0</v>
      </c>
      <c r="I83" s="54"/>
      <c r="J83" s="54"/>
      <c r="K83" s="54"/>
      <c r="L83" s="54"/>
      <c r="M83" s="54"/>
      <c r="N83" s="54"/>
      <c r="O83" s="54"/>
      <c r="P83" s="54"/>
    </row>
    <row r="84" ht="14.25" customHeight="1">
      <c r="B84" s="136">
        <v>45311.0</v>
      </c>
      <c r="C84" s="137" t="str">
        <f t="shared" si="1"/>
        <v>1-2024</v>
      </c>
      <c r="D84" s="54"/>
      <c r="E84" s="54"/>
      <c r="F84" s="54">
        <f>'220 nova Anderson '!$E84-'220 nova Anderson '!$D84</f>
        <v>0</v>
      </c>
      <c r="G84" s="54">
        <f>'220 nova Anderson '!$F84-10</f>
        <v>-10</v>
      </c>
      <c r="H84" s="54"/>
      <c r="I84" s="54"/>
      <c r="J84" s="54"/>
      <c r="K84" s="54"/>
      <c r="L84" s="54"/>
      <c r="M84" s="54"/>
      <c r="N84" s="54"/>
      <c r="O84" s="54"/>
      <c r="P84" s="54"/>
    </row>
    <row r="85" ht="14.25" customHeight="1">
      <c r="B85" s="136">
        <v>45312.0</v>
      </c>
      <c r="C85" s="137" t="str">
        <f t="shared" si="1"/>
        <v>1-2024</v>
      </c>
      <c r="D85" s="54" t="str">
        <f t="shared" ref="D85:D86" si="16">E84</f>
        <v/>
      </c>
      <c r="E85" s="54"/>
      <c r="F85" s="54">
        <f>'220 nova Anderson '!$E85-'220 nova Anderson '!$D85</f>
        <v>0</v>
      </c>
      <c r="G85" s="54">
        <f>'220 nova Anderson '!$F85-10</f>
        <v>-10</v>
      </c>
      <c r="H85" s="54"/>
      <c r="I85" s="54"/>
      <c r="J85" s="54"/>
      <c r="K85" s="54"/>
      <c r="L85" s="54"/>
      <c r="M85" s="54"/>
      <c r="N85" s="54"/>
      <c r="O85" s="54"/>
      <c r="P85" s="54"/>
    </row>
    <row r="86" ht="14.25" customHeight="1">
      <c r="B86" s="136">
        <v>45313.0</v>
      </c>
      <c r="C86" s="137" t="str">
        <f t="shared" si="1"/>
        <v>1-2024</v>
      </c>
      <c r="D86" s="54" t="str">
        <f t="shared" si="16"/>
        <v/>
      </c>
      <c r="E86" s="54"/>
      <c r="F86" s="54">
        <f>'220 nova Anderson '!$E86-'220 nova Anderson '!$D86</f>
        <v>0</v>
      </c>
      <c r="G86" s="54">
        <f>'220 nova Anderson '!$F86-10</f>
        <v>-10</v>
      </c>
      <c r="H86" s="138">
        <v>100.0</v>
      </c>
      <c r="I86" s="54"/>
      <c r="J86" s="54"/>
      <c r="K86" s="54"/>
      <c r="L86" s="54"/>
      <c r="M86" s="54"/>
      <c r="N86" s="54"/>
      <c r="O86" s="54"/>
      <c r="P86" s="54"/>
    </row>
    <row r="87" ht="14.25" customHeight="1">
      <c r="B87" s="136">
        <v>45314.0</v>
      </c>
      <c r="C87" s="137" t="str">
        <f t="shared" si="1"/>
        <v>1-2024</v>
      </c>
      <c r="D87" s="138">
        <v>2892.0</v>
      </c>
      <c r="E87" s="138">
        <v>2901.0</v>
      </c>
      <c r="F87" s="54">
        <f>'220 nova Anderson '!$E87-'220 nova Anderson '!$D87</f>
        <v>9</v>
      </c>
      <c r="G87" s="54">
        <f>'220 nova Anderson '!$F87-10</f>
        <v>-1</v>
      </c>
      <c r="H87" s="54"/>
      <c r="I87" s="54"/>
      <c r="J87" s="54"/>
      <c r="K87" s="54"/>
      <c r="L87" s="54"/>
      <c r="M87" s="54"/>
      <c r="N87" s="54"/>
      <c r="O87" s="54"/>
      <c r="P87" s="54"/>
    </row>
    <row r="88" ht="14.25" customHeight="1">
      <c r="B88" s="136">
        <v>45315.0</v>
      </c>
      <c r="C88" s="137" t="str">
        <f t="shared" si="1"/>
        <v>1-2024</v>
      </c>
      <c r="D88" s="54">
        <f t="shared" ref="D88:D95" si="17">E87</f>
        <v>2901</v>
      </c>
      <c r="E88" s="138">
        <v>2906.0</v>
      </c>
      <c r="F88" s="54">
        <f>'220 nova Anderson '!$E88-'220 nova Anderson '!$D88</f>
        <v>5</v>
      </c>
      <c r="G88" s="54">
        <f>'220 nova Anderson '!$F88-10</f>
        <v>-5</v>
      </c>
      <c r="H88" s="138">
        <v>150.0</v>
      </c>
      <c r="I88" s="54"/>
      <c r="J88" s="54"/>
      <c r="K88" s="54"/>
      <c r="L88" s="54"/>
      <c r="M88" s="54"/>
      <c r="N88" s="54"/>
      <c r="O88" s="54"/>
      <c r="P88" s="54"/>
    </row>
    <row r="89" ht="14.25" customHeight="1">
      <c r="B89" s="136">
        <v>45316.0</v>
      </c>
      <c r="C89" s="137" t="str">
        <f t="shared" si="1"/>
        <v>1-2024</v>
      </c>
      <c r="D89" s="54">
        <f t="shared" si="17"/>
        <v>2906</v>
      </c>
      <c r="E89" s="138">
        <v>2916.4</v>
      </c>
      <c r="F89" s="54">
        <f>'220 nova Anderson '!$E89-'220 nova Anderson '!$D89</f>
        <v>10.4</v>
      </c>
      <c r="G89" s="54">
        <f>'220 nova Anderson '!$F89-10</f>
        <v>0.4</v>
      </c>
      <c r="H89" s="138">
        <v>170.0</v>
      </c>
      <c r="I89" s="54"/>
      <c r="J89" s="54"/>
      <c r="K89" s="54"/>
      <c r="L89" s="54"/>
      <c r="M89" s="54"/>
      <c r="N89" s="54"/>
      <c r="O89" s="54"/>
      <c r="P89" s="54"/>
    </row>
    <row r="90" ht="14.25" customHeight="1">
      <c r="B90" s="136">
        <v>45317.0</v>
      </c>
      <c r="C90" s="137" t="str">
        <f t="shared" si="1"/>
        <v>1-2024</v>
      </c>
      <c r="D90" s="54">
        <f t="shared" si="17"/>
        <v>2916.4</v>
      </c>
      <c r="E90" s="138">
        <v>2923.2</v>
      </c>
      <c r="F90" s="54">
        <f>'220 nova Anderson '!$E90-'220 nova Anderson '!$D90</f>
        <v>6.8</v>
      </c>
      <c r="G90" s="54">
        <f>'220 nova Anderson '!$F90-10</f>
        <v>-3.2</v>
      </c>
      <c r="H90" s="54"/>
      <c r="I90" s="54"/>
      <c r="J90" s="54"/>
      <c r="K90" s="54"/>
      <c r="L90" s="54"/>
      <c r="M90" s="54"/>
      <c r="N90" s="54"/>
      <c r="O90" s="54"/>
      <c r="P90" s="54"/>
    </row>
    <row r="91" ht="14.25" customHeight="1">
      <c r="B91" s="136">
        <v>45318.0</v>
      </c>
      <c r="C91" s="137" t="str">
        <f t="shared" si="1"/>
        <v>1-2024</v>
      </c>
      <c r="D91" s="54">
        <f t="shared" si="17"/>
        <v>2923.2</v>
      </c>
      <c r="E91" s="138">
        <v>2933.0</v>
      </c>
      <c r="F91" s="54">
        <f>'220 nova Anderson '!$E91-'220 nova Anderson '!$D91</f>
        <v>9.8</v>
      </c>
      <c r="G91" s="54">
        <f>'220 nova Anderson '!$F91-10</f>
        <v>-0.2</v>
      </c>
      <c r="H91" s="54"/>
      <c r="I91" s="54"/>
      <c r="J91" s="54"/>
      <c r="K91" s="54"/>
      <c r="L91" s="54"/>
      <c r="M91" s="54"/>
      <c r="N91" s="54"/>
      <c r="O91" s="54"/>
      <c r="P91" s="54"/>
    </row>
    <row r="92" ht="14.25" customHeight="1">
      <c r="B92" s="136">
        <v>45319.0</v>
      </c>
      <c r="C92" s="137" t="str">
        <f t="shared" si="1"/>
        <v>1-2024</v>
      </c>
      <c r="D92" s="54">
        <f t="shared" si="17"/>
        <v>2933</v>
      </c>
      <c r="E92" s="138">
        <v>2938.0</v>
      </c>
      <c r="F92" s="54">
        <f>'220 nova Anderson '!$E92-'220 nova Anderson '!$D92</f>
        <v>5</v>
      </c>
      <c r="G92" s="54">
        <f>'220 nova Anderson '!$F92-10</f>
        <v>-5</v>
      </c>
      <c r="H92" s="138">
        <v>434.0</v>
      </c>
      <c r="I92" s="54"/>
      <c r="J92" s="54"/>
      <c r="K92" s="54"/>
      <c r="L92" s="54"/>
      <c r="M92" s="54"/>
      <c r="N92" s="54"/>
      <c r="O92" s="54"/>
      <c r="P92" s="54"/>
    </row>
    <row r="93" ht="14.25" customHeight="1">
      <c r="B93" s="136">
        <v>45320.0</v>
      </c>
      <c r="C93" s="137" t="str">
        <f t="shared" si="1"/>
        <v>1-2024</v>
      </c>
      <c r="D93" s="54">
        <f t="shared" si="17"/>
        <v>2938</v>
      </c>
      <c r="E93" s="138">
        <v>2950.0</v>
      </c>
      <c r="F93" s="54">
        <f>'220 nova Anderson '!$E93-'220 nova Anderson '!$D93</f>
        <v>12</v>
      </c>
      <c r="G93" s="54">
        <f>'220 nova Anderson '!$F93-10</f>
        <v>2</v>
      </c>
      <c r="H93" s="138">
        <v>120.0</v>
      </c>
      <c r="I93" s="54"/>
      <c r="J93" s="54"/>
      <c r="K93" s="54"/>
      <c r="L93" s="54"/>
      <c r="M93" s="54"/>
      <c r="N93" s="54"/>
      <c r="O93" s="54"/>
      <c r="P93" s="54"/>
    </row>
    <row r="94" ht="14.25" customHeight="1">
      <c r="B94" s="136">
        <v>45321.0</v>
      </c>
      <c r="C94" s="137" t="str">
        <f t="shared" si="1"/>
        <v>1-2024</v>
      </c>
      <c r="D94" s="54">
        <f t="shared" si="17"/>
        <v>2950</v>
      </c>
      <c r="E94" s="138">
        <v>2962.0</v>
      </c>
      <c r="F94" s="54">
        <f>'220 nova Anderson '!$E94-'220 nova Anderson '!$D94</f>
        <v>12</v>
      </c>
      <c r="G94" s="54">
        <f>'220 nova Anderson '!$F94-10</f>
        <v>2</v>
      </c>
      <c r="H94" s="138">
        <v>282.0</v>
      </c>
      <c r="I94" s="54"/>
      <c r="J94" s="54"/>
      <c r="K94" s="54"/>
      <c r="L94" s="54"/>
      <c r="M94" s="54"/>
      <c r="N94" s="54"/>
      <c r="O94" s="54"/>
      <c r="P94" s="54"/>
    </row>
    <row r="95" ht="14.25" customHeight="1">
      <c r="B95" s="136">
        <v>45322.0</v>
      </c>
      <c r="C95" s="137" t="str">
        <f t="shared" si="1"/>
        <v>1-2024</v>
      </c>
      <c r="D95" s="54">
        <f t="shared" si="17"/>
        <v>2962</v>
      </c>
      <c r="E95" s="138">
        <v>2969.0</v>
      </c>
      <c r="F95" s="54">
        <f>'220 nova Anderson '!$E95-'220 nova Anderson '!$D95</f>
        <v>7</v>
      </c>
      <c r="G95" s="54">
        <f>'220 nova Anderson '!$F95-10</f>
        <v>-3</v>
      </c>
      <c r="H95" s="138">
        <v>140.0</v>
      </c>
      <c r="I95" s="54"/>
      <c r="J95" s="54"/>
      <c r="K95" s="54"/>
      <c r="L95" s="54"/>
      <c r="M95" s="54"/>
      <c r="N95" s="54"/>
      <c r="O95" s="54"/>
      <c r="P95" s="54"/>
    </row>
    <row r="96" ht="14.25" customHeight="1">
      <c r="B96" s="136">
        <v>45323.0</v>
      </c>
      <c r="C96" s="137" t="str">
        <f t="shared" si="1"/>
        <v>2-2024</v>
      </c>
      <c r="D96" s="54"/>
      <c r="E96" s="54"/>
      <c r="F96" s="54">
        <f>'220 nova Anderson '!$E96-'220 nova Anderson '!$D96</f>
        <v>0</v>
      </c>
      <c r="G96" s="54">
        <f>'220 nova Anderson '!$F96-10</f>
        <v>-10</v>
      </c>
      <c r="H96" s="54"/>
      <c r="I96" s="54"/>
      <c r="J96" s="54"/>
      <c r="K96" s="54"/>
      <c r="L96" s="54"/>
      <c r="M96" s="54"/>
      <c r="N96" s="54"/>
      <c r="O96" s="54"/>
      <c r="P96" s="54"/>
    </row>
    <row r="97" ht="14.25" customHeight="1">
      <c r="B97" s="136">
        <v>45324.0</v>
      </c>
      <c r="C97" s="137" t="str">
        <f t="shared" si="1"/>
        <v>2-2024</v>
      </c>
      <c r="D97" s="54" t="str">
        <f t="shared" ref="D97:D124" si="18">E96</f>
        <v/>
      </c>
      <c r="E97" s="54"/>
      <c r="F97" s="54">
        <f>'220 nova Anderson '!$E97-'220 nova Anderson '!$D97</f>
        <v>0</v>
      </c>
      <c r="G97" s="54">
        <f>'220 nova Anderson '!$F97-10</f>
        <v>-10</v>
      </c>
      <c r="H97" s="54"/>
      <c r="I97" s="54"/>
      <c r="J97" s="54"/>
      <c r="K97" s="54"/>
      <c r="L97" s="54"/>
      <c r="M97" s="54"/>
      <c r="N97" s="54"/>
      <c r="O97" s="54"/>
      <c r="P97" s="54"/>
    </row>
    <row r="98" ht="14.25" customHeight="1">
      <c r="B98" s="136">
        <v>45325.0</v>
      </c>
      <c r="C98" s="137" t="str">
        <f t="shared" si="1"/>
        <v>2-2024</v>
      </c>
      <c r="D98" s="54" t="str">
        <f t="shared" si="18"/>
        <v/>
      </c>
      <c r="E98" s="54"/>
      <c r="F98" s="54">
        <f>'220 nova Anderson '!$E98-'220 nova Anderson '!$D98</f>
        <v>0</v>
      </c>
      <c r="G98" s="54">
        <f>'220 nova Anderson '!$F98-10</f>
        <v>-10</v>
      </c>
      <c r="H98" s="54"/>
      <c r="I98" s="54"/>
      <c r="J98" s="54"/>
      <c r="K98" s="54"/>
      <c r="L98" s="54"/>
      <c r="M98" s="54"/>
      <c r="N98" s="54"/>
      <c r="O98" s="54"/>
      <c r="P98" s="54"/>
    </row>
    <row r="99" ht="14.25" customHeight="1">
      <c r="B99" s="136">
        <v>45326.0</v>
      </c>
      <c r="C99" s="137" t="str">
        <f t="shared" si="1"/>
        <v>2-2024</v>
      </c>
      <c r="D99" s="54" t="str">
        <f t="shared" si="18"/>
        <v/>
      </c>
      <c r="E99" s="54"/>
      <c r="F99" s="54">
        <f>'220 nova Anderson '!$E99-'220 nova Anderson '!$D99</f>
        <v>0</v>
      </c>
      <c r="G99" s="54">
        <f>'220 nova Anderson '!$F99-10</f>
        <v>-10</v>
      </c>
      <c r="H99" s="54"/>
      <c r="I99" s="54"/>
      <c r="J99" s="54"/>
      <c r="K99" s="54"/>
      <c r="L99" s="54"/>
      <c r="M99" s="54"/>
      <c r="N99" s="54"/>
      <c r="O99" s="54"/>
      <c r="P99" s="54"/>
    </row>
    <row r="100" ht="14.25" customHeight="1">
      <c r="B100" s="136">
        <v>45327.0</v>
      </c>
      <c r="C100" s="137" t="str">
        <f t="shared" si="1"/>
        <v>2-2024</v>
      </c>
      <c r="D100" s="54" t="str">
        <f t="shared" si="18"/>
        <v/>
      </c>
      <c r="E100" s="54"/>
      <c r="F100" s="54">
        <f>'220 nova Anderson '!$E100-'220 nova Anderson '!$D100</f>
        <v>0</v>
      </c>
      <c r="G100" s="54">
        <f>'220 nova Anderson '!$F100-10</f>
        <v>-10</v>
      </c>
      <c r="H100" s="54"/>
      <c r="I100" s="54"/>
      <c r="J100" s="54"/>
      <c r="K100" s="54"/>
      <c r="L100" s="54"/>
      <c r="M100" s="54"/>
      <c r="N100" s="54"/>
      <c r="O100" s="54"/>
      <c r="P100" s="54"/>
    </row>
    <row r="101" ht="14.25" customHeight="1">
      <c r="B101" s="136">
        <v>45328.0</v>
      </c>
      <c r="C101" s="137" t="str">
        <f t="shared" si="1"/>
        <v>2-2024</v>
      </c>
      <c r="D101" s="54" t="str">
        <f t="shared" si="18"/>
        <v/>
      </c>
      <c r="E101" s="54"/>
      <c r="F101" s="54">
        <f>'220 nova Anderson '!$E101-'220 nova Anderson '!$D101</f>
        <v>0</v>
      </c>
      <c r="G101" s="54">
        <f>'220 nova Anderson '!$F101-10</f>
        <v>-10</v>
      </c>
      <c r="H101" s="54"/>
      <c r="I101" s="54"/>
      <c r="J101" s="54"/>
      <c r="K101" s="54"/>
      <c r="L101" s="54"/>
      <c r="M101" s="54"/>
      <c r="N101" s="54"/>
      <c r="O101" s="54"/>
      <c r="P101" s="54"/>
    </row>
    <row r="102" ht="14.25" customHeight="1">
      <c r="B102" s="136">
        <v>45329.0</v>
      </c>
      <c r="C102" s="137" t="str">
        <f t="shared" si="1"/>
        <v>2-2024</v>
      </c>
      <c r="D102" s="54" t="str">
        <f t="shared" si="18"/>
        <v/>
      </c>
      <c r="E102" s="54"/>
      <c r="F102" s="54">
        <f>'220 nova Anderson '!$E102-'220 nova Anderson '!$D102</f>
        <v>0</v>
      </c>
      <c r="G102" s="54">
        <f>'220 nova Anderson '!$F102-10</f>
        <v>-10</v>
      </c>
      <c r="H102" s="54"/>
      <c r="I102" s="54"/>
      <c r="J102" s="54"/>
      <c r="K102" s="54"/>
      <c r="L102" s="54"/>
      <c r="M102" s="54"/>
      <c r="N102" s="54"/>
      <c r="O102" s="54"/>
      <c r="P102" s="54"/>
    </row>
    <row r="103" ht="14.25" customHeight="1">
      <c r="B103" s="136">
        <v>45330.0</v>
      </c>
      <c r="C103" s="137" t="str">
        <f t="shared" si="1"/>
        <v>2-2024</v>
      </c>
      <c r="D103" s="54" t="str">
        <f t="shared" si="18"/>
        <v/>
      </c>
      <c r="E103" s="54"/>
      <c r="F103" s="54">
        <f>'220 nova Anderson '!$E103-'220 nova Anderson '!$D103</f>
        <v>0</v>
      </c>
      <c r="G103" s="54">
        <f>'220 nova Anderson '!$F103-10</f>
        <v>-10</v>
      </c>
      <c r="H103" s="54"/>
      <c r="I103" s="54"/>
      <c r="J103" s="54"/>
      <c r="K103" s="54"/>
      <c r="L103" s="54"/>
      <c r="M103" s="54"/>
      <c r="N103" s="54"/>
      <c r="O103" s="54"/>
      <c r="P103" s="54"/>
    </row>
    <row r="104" ht="14.25" customHeight="1">
      <c r="B104" s="136">
        <v>45331.0</v>
      </c>
      <c r="C104" s="137" t="str">
        <f t="shared" si="1"/>
        <v>2-2024</v>
      </c>
      <c r="D104" s="54" t="str">
        <f t="shared" si="18"/>
        <v/>
      </c>
      <c r="E104" s="54"/>
      <c r="F104" s="54">
        <f>'220 nova Anderson '!$E104-'220 nova Anderson '!$D104</f>
        <v>0</v>
      </c>
      <c r="G104" s="54">
        <f>'220 nova Anderson '!$F104-10</f>
        <v>-10</v>
      </c>
      <c r="H104" s="54"/>
      <c r="I104" s="54"/>
      <c r="J104" s="54"/>
      <c r="K104" s="54"/>
      <c r="L104" s="54"/>
      <c r="M104" s="54"/>
      <c r="N104" s="54"/>
      <c r="O104" s="54"/>
      <c r="P104" s="54"/>
    </row>
    <row r="105" ht="14.25" customHeight="1">
      <c r="B105" s="136">
        <v>45332.0</v>
      </c>
      <c r="C105" s="137" t="str">
        <f t="shared" si="1"/>
        <v>2-2024</v>
      </c>
      <c r="D105" s="54" t="str">
        <f t="shared" si="18"/>
        <v/>
      </c>
      <c r="E105" s="54"/>
      <c r="F105" s="54">
        <f>'220 nova Anderson '!$E105-'220 nova Anderson '!$D105</f>
        <v>0</v>
      </c>
      <c r="G105" s="54">
        <f>'220 nova Anderson '!$F105-10</f>
        <v>-10</v>
      </c>
      <c r="H105" s="54"/>
      <c r="I105" s="54"/>
      <c r="J105" s="54"/>
      <c r="K105" s="54"/>
      <c r="L105" s="54"/>
      <c r="M105" s="54"/>
      <c r="N105" s="54"/>
      <c r="O105" s="54"/>
      <c r="P105" s="54"/>
    </row>
    <row r="106" ht="14.25" customHeight="1">
      <c r="B106" s="136">
        <v>45333.0</v>
      </c>
      <c r="C106" s="137" t="str">
        <f t="shared" si="1"/>
        <v>2-2024</v>
      </c>
      <c r="D106" s="54" t="str">
        <f t="shared" si="18"/>
        <v/>
      </c>
      <c r="E106" s="54"/>
      <c r="F106" s="54">
        <f>'220 nova Anderson '!$E106-'220 nova Anderson '!$D106</f>
        <v>0</v>
      </c>
      <c r="G106" s="54">
        <f>'220 nova Anderson '!$F106-10</f>
        <v>-10</v>
      </c>
      <c r="H106" s="54"/>
      <c r="I106" s="54"/>
      <c r="J106" s="54"/>
      <c r="K106" s="54"/>
      <c r="L106" s="54"/>
      <c r="M106" s="54"/>
      <c r="N106" s="54"/>
      <c r="O106" s="54"/>
      <c r="P106" s="54"/>
    </row>
    <row r="107" ht="14.25" customHeight="1">
      <c r="B107" s="136">
        <v>45334.0</v>
      </c>
      <c r="C107" s="137" t="str">
        <f t="shared" si="1"/>
        <v>2-2024</v>
      </c>
      <c r="D107" s="54" t="str">
        <f t="shared" si="18"/>
        <v/>
      </c>
      <c r="E107" s="54"/>
      <c r="F107" s="54">
        <f>'220 nova Anderson '!$E107-'220 nova Anderson '!$D107</f>
        <v>0</v>
      </c>
      <c r="G107" s="54">
        <f>'220 nova Anderson '!$F107-10</f>
        <v>-10</v>
      </c>
      <c r="H107" s="54"/>
      <c r="I107" s="54"/>
      <c r="J107" s="54"/>
      <c r="K107" s="54"/>
      <c r="L107" s="54"/>
      <c r="M107" s="54"/>
      <c r="N107" s="54"/>
      <c r="O107" s="54"/>
      <c r="P107" s="54"/>
    </row>
    <row r="108" ht="14.25" customHeight="1">
      <c r="B108" s="136">
        <v>45335.0</v>
      </c>
      <c r="C108" s="137" t="str">
        <f t="shared" si="1"/>
        <v>2-2024</v>
      </c>
      <c r="D108" s="54" t="str">
        <f t="shared" si="18"/>
        <v/>
      </c>
      <c r="E108" s="54"/>
      <c r="F108" s="54">
        <f>'220 nova Anderson '!$E108-'220 nova Anderson '!$D108</f>
        <v>0</v>
      </c>
      <c r="G108" s="54">
        <f>'220 nova Anderson '!$F108-10</f>
        <v>-10</v>
      </c>
      <c r="H108" s="54"/>
      <c r="I108" s="54"/>
      <c r="J108" s="54"/>
      <c r="K108" s="54"/>
      <c r="L108" s="54"/>
      <c r="M108" s="54"/>
      <c r="N108" s="54"/>
      <c r="O108" s="54"/>
      <c r="P108" s="54"/>
    </row>
    <row r="109" ht="14.25" customHeight="1">
      <c r="B109" s="136">
        <v>45336.0</v>
      </c>
      <c r="C109" s="137" t="str">
        <f t="shared" si="1"/>
        <v>2-2024</v>
      </c>
      <c r="D109" s="54" t="str">
        <f t="shared" si="18"/>
        <v/>
      </c>
      <c r="E109" s="54"/>
      <c r="F109" s="54">
        <f>'220 nova Anderson '!$E109-'220 nova Anderson '!$D109</f>
        <v>0</v>
      </c>
      <c r="G109" s="54">
        <f>'220 nova Anderson '!$F109-10</f>
        <v>-10</v>
      </c>
      <c r="H109" s="54"/>
      <c r="I109" s="54"/>
      <c r="J109" s="54"/>
      <c r="K109" s="54"/>
      <c r="L109" s="54"/>
      <c r="M109" s="54"/>
      <c r="N109" s="54"/>
      <c r="O109" s="54"/>
      <c r="P109" s="54"/>
    </row>
    <row r="110" ht="14.25" customHeight="1">
      <c r="B110" s="136">
        <v>45337.0</v>
      </c>
      <c r="C110" s="137" t="str">
        <f t="shared" si="1"/>
        <v>2-2024</v>
      </c>
      <c r="D110" s="54" t="str">
        <f t="shared" si="18"/>
        <v/>
      </c>
      <c r="E110" s="54"/>
      <c r="F110" s="54">
        <f>'220 nova Anderson '!$E110-'220 nova Anderson '!$D110</f>
        <v>0</v>
      </c>
      <c r="G110" s="54">
        <f>'220 nova Anderson '!$F110-10</f>
        <v>-10</v>
      </c>
      <c r="H110" s="54"/>
      <c r="I110" s="54"/>
      <c r="J110" s="54"/>
      <c r="K110" s="54"/>
      <c r="L110" s="54"/>
      <c r="M110" s="54"/>
      <c r="N110" s="54"/>
      <c r="O110" s="54"/>
      <c r="P110" s="54"/>
    </row>
    <row r="111" ht="14.25" customHeight="1">
      <c r="B111" s="136">
        <v>45338.0</v>
      </c>
      <c r="C111" s="137" t="str">
        <f t="shared" si="1"/>
        <v>2-2024</v>
      </c>
      <c r="D111" s="54" t="str">
        <f t="shared" si="18"/>
        <v/>
      </c>
      <c r="E111" s="54"/>
      <c r="F111" s="54">
        <f>'220 nova Anderson '!$E111-'220 nova Anderson '!$D111</f>
        <v>0</v>
      </c>
      <c r="G111" s="54">
        <f>'220 nova Anderson '!$F111-10</f>
        <v>-10</v>
      </c>
      <c r="H111" s="54"/>
      <c r="I111" s="54"/>
      <c r="J111" s="54"/>
      <c r="K111" s="54"/>
      <c r="L111" s="54"/>
      <c r="M111" s="54"/>
      <c r="N111" s="54"/>
      <c r="O111" s="54"/>
      <c r="P111" s="54"/>
    </row>
    <row r="112" ht="14.25" customHeight="1">
      <c r="B112" s="136">
        <v>45339.0</v>
      </c>
      <c r="C112" s="137" t="str">
        <f t="shared" si="1"/>
        <v>2-2024</v>
      </c>
      <c r="D112" s="54" t="str">
        <f t="shared" si="18"/>
        <v/>
      </c>
      <c r="E112" s="54"/>
      <c r="F112" s="54">
        <f>'220 nova Anderson '!$E112-'220 nova Anderson '!$D112</f>
        <v>0</v>
      </c>
      <c r="G112" s="54">
        <f>'220 nova Anderson '!$F112-10</f>
        <v>-10</v>
      </c>
      <c r="H112" s="54"/>
      <c r="I112" s="54"/>
      <c r="J112" s="54"/>
      <c r="K112" s="54"/>
      <c r="L112" s="54"/>
      <c r="M112" s="54"/>
      <c r="N112" s="54"/>
      <c r="O112" s="54"/>
      <c r="P112" s="54"/>
    </row>
    <row r="113" ht="14.25" customHeight="1">
      <c r="B113" s="136">
        <v>45340.0</v>
      </c>
      <c r="C113" s="137" t="str">
        <f t="shared" si="1"/>
        <v>2-2024</v>
      </c>
      <c r="D113" s="54" t="str">
        <f t="shared" si="18"/>
        <v/>
      </c>
      <c r="E113" s="54"/>
      <c r="F113" s="54">
        <f>'220 nova Anderson '!$E113-'220 nova Anderson '!$D113</f>
        <v>0</v>
      </c>
      <c r="G113" s="54">
        <f>'220 nova Anderson '!$F113-10</f>
        <v>-10</v>
      </c>
      <c r="H113" s="54"/>
      <c r="I113" s="54"/>
      <c r="J113" s="54"/>
      <c r="K113" s="54"/>
      <c r="L113" s="54"/>
      <c r="M113" s="54"/>
      <c r="N113" s="54"/>
      <c r="O113" s="54"/>
      <c r="P113" s="54"/>
    </row>
    <row r="114" ht="14.25" customHeight="1">
      <c r="B114" s="136">
        <v>45341.0</v>
      </c>
      <c r="C114" s="137" t="str">
        <f t="shared" si="1"/>
        <v>2-2024</v>
      </c>
      <c r="D114" s="54" t="str">
        <f t="shared" si="18"/>
        <v/>
      </c>
      <c r="E114" s="54"/>
      <c r="F114" s="54">
        <f>'220 nova Anderson '!$E114-'220 nova Anderson '!$D114</f>
        <v>0</v>
      </c>
      <c r="G114" s="54">
        <f>'220 nova Anderson '!$F114-10</f>
        <v>-10</v>
      </c>
      <c r="H114" s="54"/>
      <c r="I114" s="54"/>
      <c r="J114" s="54"/>
      <c r="K114" s="54"/>
      <c r="L114" s="54"/>
      <c r="M114" s="54"/>
      <c r="N114" s="54"/>
      <c r="O114" s="54"/>
      <c r="P114" s="54"/>
    </row>
    <row r="115" ht="14.25" customHeight="1">
      <c r="B115" s="136">
        <v>45342.0</v>
      </c>
      <c r="C115" s="137" t="str">
        <f t="shared" si="1"/>
        <v>2-2024</v>
      </c>
      <c r="D115" s="54" t="str">
        <f t="shared" si="18"/>
        <v/>
      </c>
      <c r="E115" s="54"/>
      <c r="F115" s="54">
        <f>'220 nova Anderson '!$E115-'220 nova Anderson '!$D115</f>
        <v>0</v>
      </c>
      <c r="G115" s="54">
        <f>'220 nova Anderson '!$F115-10</f>
        <v>-10</v>
      </c>
      <c r="H115" s="54"/>
      <c r="I115" s="54"/>
      <c r="J115" s="54"/>
      <c r="K115" s="54"/>
      <c r="L115" s="54"/>
      <c r="M115" s="54"/>
      <c r="N115" s="54"/>
      <c r="O115" s="54"/>
      <c r="P115" s="54"/>
    </row>
    <row r="116" ht="14.25" customHeight="1">
      <c r="B116" s="136">
        <v>45343.0</v>
      </c>
      <c r="C116" s="137" t="str">
        <f t="shared" si="1"/>
        <v>2-2024</v>
      </c>
      <c r="D116" s="54" t="str">
        <f t="shared" si="18"/>
        <v/>
      </c>
      <c r="E116" s="54"/>
      <c r="F116" s="54">
        <f>'220 nova Anderson '!$E116-'220 nova Anderson '!$D116</f>
        <v>0</v>
      </c>
      <c r="G116" s="54">
        <f>'220 nova Anderson '!$F116-10</f>
        <v>-10</v>
      </c>
      <c r="H116" s="54"/>
      <c r="I116" s="54"/>
      <c r="J116" s="54"/>
      <c r="K116" s="54"/>
      <c r="L116" s="54"/>
      <c r="M116" s="54"/>
      <c r="N116" s="54"/>
      <c r="O116" s="54"/>
      <c r="P116" s="54"/>
    </row>
    <row r="117" ht="14.25" customHeight="1">
      <c r="B117" s="136">
        <v>45344.0</v>
      </c>
      <c r="C117" s="137" t="str">
        <f t="shared" si="1"/>
        <v>2-2024</v>
      </c>
      <c r="D117" s="54" t="str">
        <f t="shared" si="18"/>
        <v/>
      </c>
      <c r="E117" s="54"/>
      <c r="F117" s="54">
        <f>'220 nova Anderson '!$E117-'220 nova Anderson '!$D117</f>
        <v>0</v>
      </c>
      <c r="G117" s="54">
        <f>'220 nova Anderson '!$F117-10</f>
        <v>-10</v>
      </c>
      <c r="H117" s="54"/>
      <c r="I117" s="54"/>
      <c r="J117" s="54"/>
      <c r="K117" s="54"/>
      <c r="L117" s="54"/>
      <c r="M117" s="54"/>
      <c r="N117" s="54"/>
      <c r="O117" s="54"/>
      <c r="P117" s="54"/>
    </row>
    <row r="118" ht="14.25" customHeight="1">
      <c r="B118" s="136">
        <v>45345.0</v>
      </c>
      <c r="C118" s="137" t="str">
        <f t="shared" si="1"/>
        <v>2-2024</v>
      </c>
      <c r="D118" s="54" t="str">
        <f t="shared" si="18"/>
        <v/>
      </c>
      <c r="E118" s="54"/>
      <c r="F118" s="54">
        <f>'220 nova Anderson '!$E118-'220 nova Anderson '!$D118</f>
        <v>0</v>
      </c>
      <c r="G118" s="54">
        <f>'220 nova Anderson '!$F118-10</f>
        <v>-10</v>
      </c>
      <c r="H118" s="54"/>
      <c r="I118" s="54"/>
      <c r="J118" s="54"/>
      <c r="K118" s="54"/>
      <c r="L118" s="54"/>
      <c r="M118" s="54"/>
      <c r="N118" s="54"/>
      <c r="O118" s="54"/>
      <c r="P118" s="54"/>
    </row>
    <row r="119" ht="14.25" customHeight="1">
      <c r="B119" s="136">
        <v>45346.0</v>
      </c>
      <c r="C119" s="137" t="str">
        <f t="shared" si="1"/>
        <v>2-2024</v>
      </c>
      <c r="D119" s="54" t="str">
        <f t="shared" si="18"/>
        <v/>
      </c>
      <c r="E119" s="54"/>
      <c r="F119" s="54">
        <f>'220 nova Anderson '!$E119-'220 nova Anderson '!$D119</f>
        <v>0</v>
      </c>
      <c r="G119" s="54">
        <f>'220 nova Anderson '!$F119-10</f>
        <v>-10</v>
      </c>
      <c r="H119" s="54"/>
      <c r="I119" s="54"/>
      <c r="J119" s="54"/>
      <c r="K119" s="54"/>
      <c r="L119" s="54"/>
      <c r="M119" s="54"/>
      <c r="N119" s="54"/>
      <c r="O119" s="54"/>
      <c r="P119" s="54"/>
    </row>
    <row r="120" ht="14.25" customHeight="1">
      <c r="B120" s="136">
        <v>45347.0</v>
      </c>
      <c r="C120" s="137" t="str">
        <f t="shared" si="1"/>
        <v>2-2024</v>
      </c>
      <c r="D120" s="54" t="str">
        <f t="shared" si="18"/>
        <v/>
      </c>
      <c r="E120" s="54"/>
      <c r="F120" s="54">
        <f>'220 nova Anderson '!$E120-'220 nova Anderson '!$D120</f>
        <v>0</v>
      </c>
      <c r="G120" s="54">
        <f>'220 nova Anderson '!$F120-10</f>
        <v>-10</v>
      </c>
      <c r="H120" s="54"/>
      <c r="I120" s="54"/>
      <c r="J120" s="54"/>
      <c r="K120" s="54"/>
      <c r="L120" s="54"/>
      <c r="M120" s="54"/>
      <c r="N120" s="54"/>
      <c r="O120" s="54"/>
      <c r="P120" s="54"/>
    </row>
    <row r="121" ht="14.25" customHeight="1">
      <c r="B121" s="136">
        <v>45348.0</v>
      </c>
      <c r="C121" s="137" t="str">
        <f t="shared" si="1"/>
        <v>2-2024</v>
      </c>
      <c r="D121" s="54" t="str">
        <f t="shared" si="18"/>
        <v/>
      </c>
      <c r="E121" s="54"/>
      <c r="F121" s="54">
        <f>'220 nova Anderson '!$E121-'220 nova Anderson '!$D121</f>
        <v>0</v>
      </c>
      <c r="G121" s="54">
        <f>'220 nova Anderson '!$F121-10</f>
        <v>-10</v>
      </c>
      <c r="H121" s="54"/>
      <c r="I121" s="54"/>
      <c r="J121" s="54"/>
      <c r="K121" s="54"/>
      <c r="L121" s="54"/>
      <c r="M121" s="54"/>
      <c r="N121" s="54"/>
      <c r="O121" s="54"/>
      <c r="P121" s="54"/>
    </row>
    <row r="122" ht="14.25" customHeight="1">
      <c r="B122" s="136">
        <v>45349.0</v>
      </c>
      <c r="C122" s="137" t="str">
        <f t="shared" si="1"/>
        <v>2-2024</v>
      </c>
      <c r="D122" s="54" t="str">
        <f t="shared" si="18"/>
        <v/>
      </c>
      <c r="E122" s="54"/>
      <c r="F122" s="54">
        <f>'220 nova Anderson '!$E122-'220 nova Anderson '!$D122</f>
        <v>0</v>
      </c>
      <c r="G122" s="54">
        <f>'220 nova Anderson '!$F122-10</f>
        <v>-10</v>
      </c>
      <c r="H122" s="54"/>
      <c r="I122" s="54"/>
      <c r="J122" s="54"/>
      <c r="K122" s="54"/>
      <c r="L122" s="54"/>
      <c r="M122" s="54"/>
      <c r="N122" s="54"/>
      <c r="O122" s="54"/>
      <c r="P122" s="54"/>
    </row>
    <row r="123" ht="14.25" customHeight="1">
      <c r="B123" s="136">
        <v>45350.0</v>
      </c>
      <c r="C123" s="137" t="str">
        <f t="shared" si="1"/>
        <v>2-2024</v>
      </c>
      <c r="D123" s="54" t="str">
        <f t="shared" si="18"/>
        <v/>
      </c>
      <c r="E123" s="54"/>
      <c r="F123" s="54">
        <f>'220 nova Anderson '!$E123-'220 nova Anderson '!$D123</f>
        <v>0</v>
      </c>
      <c r="G123" s="54">
        <f>'220 nova Anderson '!$F123-10</f>
        <v>-10</v>
      </c>
      <c r="H123" s="54"/>
      <c r="I123" s="54"/>
      <c r="J123" s="54"/>
      <c r="K123" s="54"/>
      <c r="L123" s="54"/>
      <c r="M123" s="54"/>
      <c r="N123" s="54"/>
      <c r="O123" s="54"/>
      <c r="P123" s="54"/>
    </row>
    <row r="124" ht="14.25" customHeight="1">
      <c r="B124" s="136">
        <v>45351.0</v>
      </c>
      <c r="C124" s="137" t="str">
        <f t="shared" si="1"/>
        <v>2-2024</v>
      </c>
      <c r="D124" s="54" t="str">
        <f t="shared" si="18"/>
        <v/>
      </c>
      <c r="E124" s="54"/>
      <c r="F124" s="54">
        <f>'220 nova Anderson '!$E124-'220 nova Anderson '!$D124</f>
        <v>0</v>
      </c>
      <c r="G124" s="54">
        <f>'220 nova Anderson '!$F124-10</f>
        <v>-10</v>
      </c>
      <c r="H124" s="54"/>
      <c r="I124" s="54"/>
      <c r="J124" s="54"/>
      <c r="K124" s="54"/>
      <c r="L124" s="54"/>
      <c r="M124" s="54"/>
      <c r="N124" s="54"/>
      <c r="O124" s="54"/>
      <c r="P124" s="54"/>
    </row>
    <row r="125" ht="14.25" customHeight="1">
      <c r="B125" s="136">
        <v>45352.0</v>
      </c>
      <c r="C125" s="137" t="str">
        <f t="shared" si="1"/>
        <v>3-2024</v>
      </c>
      <c r="D125" s="138">
        <v>3136.0</v>
      </c>
      <c r="E125" s="138">
        <v>3140.0</v>
      </c>
      <c r="F125" s="54">
        <f>'220 nova Anderson '!$E125-'220 nova Anderson '!$D125</f>
        <v>4</v>
      </c>
      <c r="G125" s="54">
        <f>'220 nova Anderson '!$F125-10</f>
        <v>-6</v>
      </c>
      <c r="H125" s="54"/>
      <c r="I125" s="54"/>
      <c r="J125" s="54"/>
      <c r="K125" s="54"/>
      <c r="L125" s="54"/>
      <c r="M125" s="54"/>
      <c r="N125" s="54"/>
      <c r="O125" s="54"/>
      <c r="P125" s="54"/>
    </row>
    <row r="126" ht="14.25" customHeight="1">
      <c r="B126" s="136">
        <v>45353.0</v>
      </c>
      <c r="C126" s="137" t="str">
        <f t="shared" si="1"/>
        <v>3-2024</v>
      </c>
      <c r="D126" s="54">
        <f>E125</f>
        <v>3140</v>
      </c>
      <c r="E126" s="138">
        <v>3144.0</v>
      </c>
      <c r="F126" s="54">
        <f>'220 nova Anderson '!$E126-'220 nova Anderson '!$D126</f>
        <v>4</v>
      </c>
      <c r="G126" s="54">
        <f>'220 nova Anderson '!$F126-10</f>
        <v>-6</v>
      </c>
      <c r="H126" s="54"/>
      <c r="I126" s="54"/>
      <c r="J126" s="54"/>
      <c r="K126" s="54"/>
      <c r="L126" s="54"/>
      <c r="M126" s="54"/>
      <c r="N126" s="54"/>
      <c r="O126" s="54"/>
      <c r="P126" s="54"/>
    </row>
    <row r="127" ht="14.25" customHeight="1">
      <c r="B127" s="136">
        <v>45354.0</v>
      </c>
      <c r="C127" s="137" t="str">
        <f t="shared" si="1"/>
        <v>3-2024</v>
      </c>
      <c r="D127" s="54"/>
      <c r="E127" s="54"/>
      <c r="F127" s="54">
        <f>'220 nova Anderson '!$E127-'220 nova Anderson '!$D127</f>
        <v>0</v>
      </c>
      <c r="G127" s="54">
        <f>'220 nova Anderson '!$F127-10</f>
        <v>-10</v>
      </c>
      <c r="H127" s="54"/>
      <c r="I127" s="54"/>
      <c r="J127" s="54"/>
      <c r="K127" s="54"/>
      <c r="L127" s="54"/>
      <c r="M127" s="54"/>
      <c r="N127" s="54"/>
      <c r="O127" s="54"/>
      <c r="P127" s="54"/>
    </row>
    <row r="128" ht="14.25" customHeight="1">
      <c r="B128" s="136">
        <v>45355.0</v>
      </c>
      <c r="C128" s="137" t="str">
        <f t="shared" si="1"/>
        <v>3-2024</v>
      </c>
      <c r="D128" s="138">
        <v>3144.0</v>
      </c>
      <c r="E128" s="138">
        <v>3155.0</v>
      </c>
      <c r="F128" s="54">
        <f>'220 nova Anderson '!$E128-'220 nova Anderson '!$D128</f>
        <v>11</v>
      </c>
      <c r="G128" s="138" t="s">
        <v>35</v>
      </c>
      <c r="H128" s="54"/>
      <c r="I128" s="54"/>
      <c r="J128" s="54"/>
      <c r="K128" s="54"/>
      <c r="L128" s="54"/>
      <c r="M128" s="54"/>
      <c r="N128" s="54"/>
      <c r="O128" s="54"/>
      <c r="P128" s="54"/>
    </row>
    <row r="129" ht="14.25" customHeight="1">
      <c r="B129" s="136">
        <v>45356.0</v>
      </c>
      <c r="C129" s="137" t="str">
        <f t="shared" si="1"/>
        <v>3-2024</v>
      </c>
      <c r="D129" s="54">
        <f t="shared" ref="D129:D132" si="19">E128</f>
        <v>3155</v>
      </c>
      <c r="E129" s="138">
        <v>3165.0</v>
      </c>
      <c r="F129" s="54">
        <f>'220 nova Anderson '!$E129-'220 nova Anderson '!$D129</f>
        <v>10</v>
      </c>
      <c r="G129" s="54">
        <f>'220 nova Anderson '!$F129-10</f>
        <v>0</v>
      </c>
      <c r="H129" s="54"/>
      <c r="I129" s="54"/>
      <c r="J129" s="54"/>
      <c r="K129" s="54"/>
      <c r="L129" s="54"/>
      <c r="M129" s="54"/>
      <c r="N129" s="54"/>
      <c r="O129" s="54"/>
      <c r="P129" s="54"/>
    </row>
    <row r="130" ht="14.25" customHeight="1">
      <c r="B130" s="136">
        <v>45357.0</v>
      </c>
      <c r="C130" s="137" t="str">
        <f t="shared" si="1"/>
        <v>3-2024</v>
      </c>
      <c r="D130" s="54">
        <f t="shared" si="19"/>
        <v>3165</v>
      </c>
      <c r="E130" s="138">
        <v>3169.0</v>
      </c>
      <c r="F130" s="54">
        <f>'220 nova Anderson '!$E130-'220 nova Anderson '!$D130</f>
        <v>4</v>
      </c>
      <c r="G130" s="54">
        <f>'220 nova Anderson '!$F130-10</f>
        <v>-6</v>
      </c>
      <c r="H130" s="54"/>
      <c r="I130" s="54"/>
      <c r="J130" s="54"/>
      <c r="K130" s="54"/>
      <c r="L130" s="54"/>
      <c r="M130" s="54"/>
      <c r="N130" s="54"/>
      <c r="O130" s="54"/>
      <c r="P130" s="54"/>
    </row>
    <row r="131" ht="14.25" customHeight="1">
      <c r="B131" s="136">
        <v>45358.0</v>
      </c>
      <c r="C131" s="137" t="str">
        <f t="shared" si="1"/>
        <v>3-2024</v>
      </c>
      <c r="D131" s="54">
        <f t="shared" si="19"/>
        <v>3169</v>
      </c>
      <c r="E131" s="138">
        <v>3173.0</v>
      </c>
      <c r="F131" s="54">
        <f>'220 nova Anderson '!$E131-'220 nova Anderson '!$D131</f>
        <v>4</v>
      </c>
      <c r="G131" s="54">
        <f>'220 nova Anderson '!$F131-10</f>
        <v>-6</v>
      </c>
      <c r="H131" s="54"/>
      <c r="I131" s="54"/>
      <c r="J131" s="54"/>
      <c r="K131" s="54"/>
      <c r="L131" s="54"/>
      <c r="M131" s="54"/>
      <c r="N131" s="54"/>
      <c r="O131" s="54"/>
      <c r="P131" s="54"/>
    </row>
    <row r="132" ht="14.25" customHeight="1">
      <c r="B132" s="136">
        <v>45359.0</v>
      </c>
      <c r="C132" s="137" t="str">
        <f t="shared" si="1"/>
        <v>3-2024</v>
      </c>
      <c r="D132" s="54">
        <f t="shared" si="19"/>
        <v>3173</v>
      </c>
      <c r="E132" s="138">
        <v>3180.0</v>
      </c>
      <c r="F132" s="54">
        <f>'220 nova Anderson '!$E132-'220 nova Anderson '!$D132</f>
        <v>7</v>
      </c>
      <c r="G132" s="54">
        <f>'220 nova Anderson '!$F132-10</f>
        <v>-3</v>
      </c>
      <c r="H132" s="54"/>
      <c r="I132" s="54"/>
      <c r="J132" s="54"/>
      <c r="K132" s="54"/>
      <c r="L132" s="54"/>
      <c r="M132" s="54"/>
      <c r="N132" s="54"/>
      <c r="O132" s="54"/>
      <c r="P132" s="54"/>
    </row>
    <row r="133" ht="14.25" customHeight="1">
      <c r="B133" s="136">
        <v>45360.0</v>
      </c>
      <c r="C133" s="137" t="str">
        <f t="shared" si="1"/>
        <v>3-2024</v>
      </c>
      <c r="D133" s="54"/>
      <c r="E133" s="54"/>
      <c r="F133" s="54">
        <f>'220 nova Anderson '!$E133-'220 nova Anderson '!$D133</f>
        <v>0</v>
      </c>
      <c r="G133" s="54">
        <f>'220 nova Anderson '!$F133-10</f>
        <v>-10</v>
      </c>
      <c r="H133" s="54"/>
      <c r="I133" s="54"/>
      <c r="J133" s="54"/>
      <c r="K133" s="54"/>
      <c r="L133" s="54"/>
      <c r="M133" s="54"/>
      <c r="N133" s="54"/>
      <c r="O133" s="54"/>
      <c r="P133" s="54"/>
    </row>
    <row r="134" ht="14.25" customHeight="1">
      <c r="B134" s="136">
        <v>45361.0</v>
      </c>
      <c r="C134" s="137" t="str">
        <f t="shared" si="1"/>
        <v>3-2024</v>
      </c>
      <c r="D134" s="54" t="str">
        <f>E133</f>
        <v/>
      </c>
      <c r="E134" s="54"/>
      <c r="F134" s="54">
        <f>'220 nova Anderson '!$E134-'220 nova Anderson '!$D134</f>
        <v>0</v>
      </c>
      <c r="G134" s="54">
        <f>'220 nova Anderson '!$F134-10</f>
        <v>-10</v>
      </c>
      <c r="H134" s="54"/>
      <c r="I134" s="54"/>
      <c r="J134" s="54"/>
      <c r="K134" s="54"/>
      <c r="L134" s="54"/>
      <c r="M134" s="54"/>
      <c r="N134" s="54"/>
      <c r="O134" s="54"/>
      <c r="P134" s="54"/>
    </row>
    <row r="135" ht="14.25" customHeight="1">
      <c r="B135" s="136">
        <v>45362.0</v>
      </c>
      <c r="C135" s="137" t="str">
        <f t="shared" si="1"/>
        <v>3-2024</v>
      </c>
      <c r="D135" s="138">
        <v>3180.0</v>
      </c>
      <c r="E135" s="138">
        <v>3185.0</v>
      </c>
      <c r="F135" s="54">
        <f>'220 nova Anderson '!$E135-'220 nova Anderson '!$D135</f>
        <v>5</v>
      </c>
      <c r="G135" s="54">
        <f>'220 nova Anderson '!$F135-10</f>
        <v>-5</v>
      </c>
      <c r="H135" s="54"/>
      <c r="I135" s="54"/>
      <c r="J135" s="54"/>
      <c r="K135" s="54"/>
      <c r="L135" s="54"/>
      <c r="M135" s="54"/>
      <c r="N135" s="54"/>
      <c r="O135" s="54"/>
      <c r="P135" s="54"/>
    </row>
    <row r="136" ht="14.25" customHeight="1">
      <c r="B136" s="136">
        <v>45363.0</v>
      </c>
      <c r="C136" s="137" t="str">
        <f t="shared" si="1"/>
        <v>3-2024</v>
      </c>
      <c r="D136" s="54">
        <f t="shared" ref="D136:D140" si="20">E135</f>
        <v>3185</v>
      </c>
      <c r="E136" s="138">
        <v>3191.0</v>
      </c>
      <c r="F136" s="54">
        <f>'220 nova Anderson '!$E136-'220 nova Anderson '!$D136</f>
        <v>6</v>
      </c>
      <c r="G136" s="54">
        <f>'220 nova Anderson '!$F136-10</f>
        <v>-4</v>
      </c>
      <c r="H136" s="54"/>
      <c r="I136" s="54"/>
      <c r="J136" s="54"/>
      <c r="K136" s="54"/>
      <c r="L136" s="54"/>
      <c r="M136" s="54"/>
      <c r="N136" s="54"/>
      <c r="O136" s="54"/>
      <c r="P136" s="54"/>
    </row>
    <row r="137" ht="14.25" customHeight="1">
      <c r="B137" s="136">
        <v>45364.0</v>
      </c>
      <c r="C137" s="137" t="str">
        <f t="shared" si="1"/>
        <v>3-2024</v>
      </c>
      <c r="D137" s="54">
        <f t="shared" si="20"/>
        <v>3191</v>
      </c>
      <c r="E137" s="138">
        <v>3202.0</v>
      </c>
      <c r="F137" s="54">
        <f>'220 nova Anderson '!$E137-'220 nova Anderson '!$D137</f>
        <v>11</v>
      </c>
      <c r="G137" s="54">
        <f>'220 nova Anderson '!$F137-10</f>
        <v>1</v>
      </c>
      <c r="H137" s="54"/>
      <c r="I137" s="54"/>
      <c r="J137" s="54"/>
      <c r="K137" s="54"/>
      <c r="L137" s="54"/>
      <c r="M137" s="54"/>
      <c r="N137" s="54"/>
      <c r="O137" s="54"/>
      <c r="P137" s="54"/>
    </row>
    <row r="138" ht="14.25" customHeight="1">
      <c r="B138" s="136">
        <v>45365.0</v>
      </c>
      <c r="C138" s="137" t="str">
        <f t="shared" si="1"/>
        <v>3-2024</v>
      </c>
      <c r="D138" s="54">
        <f t="shared" si="20"/>
        <v>3202</v>
      </c>
      <c r="E138" s="138">
        <v>3213.0</v>
      </c>
      <c r="F138" s="54">
        <f>'220 nova Anderson '!$E138-'220 nova Anderson '!$D138</f>
        <v>11</v>
      </c>
      <c r="G138" s="54">
        <f>'220 nova Anderson '!$F138-10</f>
        <v>1</v>
      </c>
      <c r="H138" s="54"/>
      <c r="I138" s="54"/>
      <c r="J138" s="54"/>
      <c r="K138" s="54"/>
      <c r="L138" s="54"/>
      <c r="M138" s="54"/>
      <c r="N138" s="54"/>
      <c r="O138" s="54"/>
      <c r="P138" s="54"/>
    </row>
    <row r="139" ht="14.25" customHeight="1">
      <c r="B139" s="136">
        <v>45366.0</v>
      </c>
      <c r="C139" s="137" t="str">
        <f t="shared" si="1"/>
        <v>3-2024</v>
      </c>
      <c r="D139" s="54">
        <f t="shared" si="20"/>
        <v>3213</v>
      </c>
      <c r="E139" s="138">
        <v>3224.0</v>
      </c>
      <c r="F139" s="54">
        <f>'220 nova Anderson '!$E139-'220 nova Anderson '!$D139</f>
        <v>11</v>
      </c>
      <c r="G139" s="54">
        <f>'220 nova Anderson '!$F139-10</f>
        <v>1</v>
      </c>
      <c r="H139" s="54"/>
      <c r="I139" s="54"/>
      <c r="J139" s="54"/>
      <c r="K139" s="54"/>
      <c r="L139" s="54"/>
      <c r="M139" s="54"/>
      <c r="N139" s="54"/>
      <c r="O139" s="54"/>
      <c r="P139" s="54"/>
    </row>
    <row r="140" ht="14.25" customHeight="1">
      <c r="B140" s="136">
        <v>45367.0</v>
      </c>
      <c r="C140" s="137" t="str">
        <f t="shared" si="1"/>
        <v>3-2024</v>
      </c>
      <c r="D140" s="54">
        <f t="shared" si="20"/>
        <v>3224</v>
      </c>
      <c r="E140" s="138">
        <v>3229.3</v>
      </c>
      <c r="F140" s="54">
        <f>'220 nova Anderson '!$E140-'220 nova Anderson '!$D140</f>
        <v>5.3</v>
      </c>
      <c r="G140" s="54">
        <f>'220 nova Anderson '!$F140-10</f>
        <v>-4.7</v>
      </c>
      <c r="H140" s="54"/>
      <c r="I140" s="54"/>
      <c r="J140" s="54"/>
      <c r="K140" s="54"/>
      <c r="L140" s="54"/>
      <c r="M140" s="54"/>
      <c r="N140" s="54"/>
      <c r="O140" s="54"/>
      <c r="P140" s="54"/>
    </row>
    <row r="141" ht="14.25" customHeight="1">
      <c r="B141" s="136">
        <v>45368.0</v>
      </c>
      <c r="C141" s="137" t="str">
        <f t="shared" si="1"/>
        <v>3-2024</v>
      </c>
      <c r="D141" s="54"/>
      <c r="E141" s="54"/>
      <c r="F141" s="54">
        <f>'220 nova Anderson '!$E141-'220 nova Anderson '!$D141</f>
        <v>0</v>
      </c>
      <c r="G141" s="54">
        <f>'220 nova Anderson '!$F141-10</f>
        <v>-10</v>
      </c>
      <c r="H141" s="54"/>
      <c r="I141" s="54"/>
      <c r="J141" s="54"/>
      <c r="K141" s="54"/>
      <c r="L141" s="54"/>
      <c r="M141" s="54"/>
      <c r="N141" s="54"/>
      <c r="O141" s="54"/>
      <c r="P141" s="54"/>
    </row>
    <row r="142" ht="14.25" customHeight="1">
      <c r="B142" s="136">
        <v>45369.0</v>
      </c>
      <c r="C142" s="137" t="str">
        <f t="shared" si="1"/>
        <v>3-2024</v>
      </c>
      <c r="D142" s="138">
        <v>3229.3</v>
      </c>
      <c r="E142" s="138">
        <v>3237.5</v>
      </c>
      <c r="F142" s="54">
        <f>'220 nova Anderson '!$E142-'220 nova Anderson '!$D142</f>
        <v>8.2</v>
      </c>
      <c r="G142" s="54">
        <f>'220 nova Anderson '!$F142-10</f>
        <v>-1.8</v>
      </c>
      <c r="H142" s="54"/>
      <c r="I142" s="54"/>
      <c r="J142" s="54"/>
      <c r="K142" s="54"/>
      <c r="L142" s="54"/>
      <c r="M142" s="54"/>
      <c r="N142" s="54"/>
      <c r="O142" s="54"/>
      <c r="P142" s="54"/>
    </row>
    <row r="143" ht="14.25" customHeight="1">
      <c r="B143" s="136">
        <v>45370.0</v>
      </c>
      <c r="C143" s="137" t="str">
        <f t="shared" si="1"/>
        <v>3-2024</v>
      </c>
      <c r="D143" s="54">
        <f t="shared" ref="D143:D146" si="21">E142</f>
        <v>3237.5</v>
      </c>
      <c r="E143" s="138">
        <v>3239.1</v>
      </c>
      <c r="F143" s="54">
        <f>'220 nova Anderson '!$E143-'220 nova Anderson '!$D143</f>
        <v>1.6</v>
      </c>
      <c r="G143" s="54">
        <f>'220 nova Anderson '!$F143-10</f>
        <v>-8.4</v>
      </c>
      <c r="H143" s="54"/>
      <c r="I143" s="54"/>
      <c r="J143" s="54"/>
      <c r="K143" s="54"/>
      <c r="L143" s="54"/>
      <c r="M143" s="54"/>
      <c r="N143" s="54"/>
      <c r="O143" s="54"/>
      <c r="P143" s="54"/>
    </row>
    <row r="144" ht="14.25" customHeight="1">
      <c r="B144" s="136">
        <v>45371.0</v>
      </c>
      <c r="C144" s="137" t="str">
        <f t="shared" si="1"/>
        <v>3-2024</v>
      </c>
      <c r="D144" s="54">
        <f t="shared" si="21"/>
        <v>3239.1</v>
      </c>
      <c r="E144" s="138">
        <v>3239.6</v>
      </c>
      <c r="F144" s="54">
        <f>'220 nova Anderson '!$E144-'220 nova Anderson '!$D144</f>
        <v>0.5</v>
      </c>
      <c r="G144" s="54">
        <f>'220 nova Anderson '!$F144-10</f>
        <v>-9.5</v>
      </c>
      <c r="H144" s="54"/>
      <c r="I144" s="54"/>
      <c r="J144" s="54"/>
      <c r="K144" s="54"/>
      <c r="L144" s="54"/>
      <c r="M144" s="54"/>
      <c r="N144" s="54"/>
      <c r="O144" s="54"/>
      <c r="P144" s="54"/>
    </row>
    <row r="145" ht="14.25" customHeight="1">
      <c r="B145" s="136">
        <v>45372.0</v>
      </c>
      <c r="C145" s="137" t="str">
        <f t="shared" si="1"/>
        <v>3-2024</v>
      </c>
      <c r="D145" s="54">
        <f t="shared" si="21"/>
        <v>3239.6</v>
      </c>
      <c r="E145" s="138">
        <v>3248.0</v>
      </c>
      <c r="F145" s="54">
        <f>'220 nova Anderson '!$E145-'220 nova Anderson '!$D145</f>
        <v>8.4</v>
      </c>
      <c r="G145" s="54">
        <f>'220 nova Anderson '!$F145-10</f>
        <v>-1.6</v>
      </c>
      <c r="H145" s="54"/>
      <c r="I145" s="54"/>
      <c r="J145" s="54"/>
      <c r="K145" s="54"/>
      <c r="L145" s="54"/>
      <c r="M145" s="54"/>
      <c r="N145" s="54"/>
      <c r="O145" s="54"/>
      <c r="P145" s="54"/>
    </row>
    <row r="146" ht="14.25" customHeight="1">
      <c r="B146" s="136">
        <v>45373.0</v>
      </c>
      <c r="C146" s="137" t="str">
        <f t="shared" si="1"/>
        <v>3-2024</v>
      </c>
      <c r="D146" s="54">
        <f t="shared" si="21"/>
        <v>3248</v>
      </c>
      <c r="E146" s="138">
        <v>3259.0</v>
      </c>
      <c r="F146" s="54">
        <f>'220 nova Anderson '!$E146-'220 nova Anderson '!$D146</f>
        <v>11</v>
      </c>
      <c r="G146" s="54">
        <f>'220 nova Anderson '!$F146-10</f>
        <v>1</v>
      </c>
      <c r="H146" s="54"/>
      <c r="I146" s="54"/>
      <c r="J146" s="54"/>
      <c r="K146" s="54"/>
      <c r="L146" s="54"/>
      <c r="M146" s="54"/>
      <c r="N146" s="54"/>
      <c r="O146" s="54"/>
      <c r="P146" s="54"/>
    </row>
    <row r="147" ht="14.25" customHeight="1">
      <c r="B147" s="136">
        <v>45374.0</v>
      </c>
      <c r="C147" s="137" t="str">
        <f t="shared" si="1"/>
        <v>3-2024</v>
      </c>
      <c r="D147" s="54"/>
      <c r="E147" s="54"/>
      <c r="F147" s="54">
        <f>'220 nova Anderson '!$E147-'220 nova Anderson '!$D147</f>
        <v>0</v>
      </c>
      <c r="G147" s="54">
        <f>'220 nova Anderson '!$F147-10</f>
        <v>-10</v>
      </c>
      <c r="H147" s="54"/>
      <c r="I147" s="54"/>
      <c r="J147" s="54"/>
      <c r="K147" s="54"/>
      <c r="L147" s="54"/>
      <c r="M147" s="54"/>
      <c r="N147" s="54"/>
      <c r="O147" s="54"/>
      <c r="P147" s="54"/>
    </row>
    <row r="148" ht="14.25" customHeight="1">
      <c r="B148" s="136">
        <v>45375.0</v>
      </c>
      <c r="C148" s="137" t="str">
        <f t="shared" si="1"/>
        <v>3-2024</v>
      </c>
      <c r="D148" s="138">
        <v>3259.0</v>
      </c>
      <c r="E148" s="138">
        <v>3265.0</v>
      </c>
      <c r="F148" s="54">
        <f>'220 nova Anderson '!$E148-'220 nova Anderson '!$D148</f>
        <v>6</v>
      </c>
      <c r="G148" s="54">
        <f>'220 nova Anderson '!$F148-10</f>
        <v>-4</v>
      </c>
      <c r="H148" s="54"/>
      <c r="I148" s="54"/>
      <c r="J148" s="54"/>
      <c r="K148" s="54"/>
      <c r="L148" s="54"/>
      <c r="M148" s="54"/>
      <c r="N148" s="54"/>
      <c r="O148" s="54"/>
      <c r="P148" s="54"/>
    </row>
    <row r="149" ht="14.25" customHeight="1">
      <c r="B149" s="136">
        <v>45376.0</v>
      </c>
      <c r="C149" s="137" t="str">
        <f t="shared" si="1"/>
        <v>3-2024</v>
      </c>
      <c r="D149" s="54"/>
      <c r="E149" s="54"/>
      <c r="F149" s="54">
        <f>'220 nova Anderson '!$E149-'220 nova Anderson '!$D149</f>
        <v>0</v>
      </c>
      <c r="G149" s="54">
        <f>'220 nova Anderson '!$F149-10</f>
        <v>-10</v>
      </c>
      <c r="H149" s="54"/>
      <c r="I149" s="54"/>
      <c r="J149" s="54"/>
      <c r="K149" s="54"/>
      <c r="L149" s="54"/>
      <c r="M149" s="54"/>
      <c r="N149" s="54"/>
      <c r="O149" s="54"/>
      <c r="P149" s="54"/>
    </row>
    <row r="150" ht="14.25" customHeight="1">
      <c r="B150" s="136">
        <v>45377.0</v>
      </c>
      <c r="C150" s="139" t="str">
        <f t="shared" si="1"/>
        <v>3-2024</v>
      </c>
      <c r="D150" s="138">
        <v>3265.0</v>
      </c>
      <c r="E150" s="138">
        <v>3274.0</v>
      </c>
      <c r="F150" s="54">
        <f>'220 nova Anderson '!$E150-'220 nova Anderson '!$D150</f>
        <v>9</v>
      </c>
      <c r="G150" s="54">
        <f>'220 nova Anderson '!$F150-10</f>
        <v>-1</v>
      </c>
      <c r="H150" s="54"/>
      <c r="I150" s="54"/>
      <c r="J150" s="54"/>
      <c r="K150" s="54"/>
      <c r="L150" s="54"/>
      <c r="M150" s="54"/>
      <c r="N150" s="54"/>
      <c r="O150" s="54"/>
      <c r="P150" s="54"/>
    </row>
    <row r="151" ht="14.25" customHeight="1">
      <c r="B151" s="136">
        <v>45378.0</v>
      </c>
      <c r="C151" s="139" t="str">
        <f t="shared" si="1"/>
        <v>3-2024</v>
      </c>
      <c r="D151" s="54">
        <f t="shared" ref="D151:D152" si="22">E150</f>
        <v>3274</v>
      </c>
      <c r="E151" s="138">
        <v>3285.0</v>
      </c>
      <c r="F151" s="54">
        <f>'220 nova Anderson '!$E151-'220 nova Anderson '!$D151</f>
        <v>11</v>
      </c>
      <c r="G151" s="54">
        <f>'220 nova Anderson '!$F151-10</f>
        <v>1</v>
      </c>
      <c r="H151" s="54"/>
      <c r="I151" s="54"/>
      <c r="J151" s="54"/>
      <c r="K151" s="54"/>
      <c r="L151" s="54"/>
      <c r="M151" s="54"/>
      <c r="N151" s="54"/>
      <c r="O151" s="54"/>
      <c r="P151" s="54"/>
    </row>
    <row r="152" ht="14.25" customHeight="1">
      <c r="B152" s="136">
        <v>45379.0</v>
      </c>
      <c r="C152" s="139" t="str">
        <f t="shared" si="1"/>
        <v>3-2024</v>
      </c>
      <c r="D152" s="54">
        <f t="shared" si="22"/>
        <v>3285</v>
      </c>
      <c r="E152" s="138">
        <v>3290.0</v>
      </c>
      <c r="F152" s="54">
        <f>'220 nova Anderson '!$E152-'220 nova Anderson '!$D152</f>
        <v>5</v>
      </c>
      <c r="G152" s="54">
        <f>'220 nova Anderson '!$F152-10</f>
        <v>-5</v>
      </c>
      <c r="H152" s="54"/>
      <c r="I152" s="54"/>
      <c r="J152" s="54"/>
      <c r="K152" s="54"/>
      <c r="L152" s="54"/>
      <c r="M152" s="54"/>
      <c r="N152" s="54"/>
      <c r="O152" s="54"/>
      <c r="P152" s="54"/>
    </row>
    <row r="153" ht="14.25" customHeight="1">
      <c r="B153" s="136">
        <v>45380.0</v>
      </c>
      <c r="C153" s="139" t="str">
        <f t="shared" si="1"/>
        <v>3-2024</v>
      </c>
      <c r="D153" s="54"/>
      <c r="E153" s="54"/>
      <c r="F153" s="54">
        <f>'220 nova Anderson '!$E153-'220 nova Anderson '!$D153</f>
        <v>0</v>
      </c>
      <c r="G153" s="54">
        <f>'220 nova Anderson '!$F153-10</f>
        <v>-10</v>
      </c>
      <c r="H153" s="54"/>
      <c r="I153" s="54"/>
      <c r="J153" s="54"/>
      <c r="K153" s="54"/>
      <c r="L153" s="54"/>
      <c r="M153" s="54"/>
      <c r="N153" s="54"/>
      <c r="O153" s="54"/>
      <c r="P153" s="54"/>
    </row>
    <row r="154" ht="14.25" customHeight="1">
      <c r="B154" s="136">
        <v>45381.0</v>
      </c>
      <c r="C154" s="139" t="str">
        <f t="shared" si="1"/>
        <v>3-2024</v>
      </c>
      <c r="D154" s="54" t="str">
        <f t="shared" ref="D154:D155" si="23">E153</f>
        <v/>
      </c>
      <c r="E154" s="54"/>
      <c r="F154" s="54">
        <f>'220 nova Anderson '!$E154-'220 nova Anderson '!$D154</f>
        <v>0</v>
      </c>
      <c r="G154" s="54">
        <f>'220 nova Anderson '!$F154-10</f>
        <v>-10</v>
      </c>
      <c r="H154" s="54"/>
      <c r="I154" s="54"/>
      <c r="J154" s="54"/>
      <c r="K154" s="54"/>
      <c r="L154" s="54"/>
      <c r="M154" s="54"/>
      <c r="N154" s="54"/>
      <c r="O154" s="54"/>
      <c r="P154" s="54"/>
    </row>
    <row r="155" ht="14.25" customHeight="1">
      <c r="B155" s="136">
        <v>45382.0</v>
      </c>
      <c r="C155" s="139" t="str">
        <f t="shared" si="1"/>
        <v>3-2024</v>
      </c>
      <c r="D155" s="54" t="str">
        <f t="shared" si="23"/>
        <v/>
      </c>
      <c r="E155" s="54"/>
      <c r="F155" s="54">
        <f>'220 nova Anderson '!$E155-'220 nova Anderson '!$D155</f>
        <v>0</v>
      </c>
      <c r="G155" s="54">
        <f>'220 nova Anderson '!$F155-10</f>
        <v>-10</v>
      </c>
      <c r="H155" s="54"/>
      <c r="I155" s="54"/>
      <c r="J155" s="54"/>
      <c r="K155" s="54"/>
      <c r="L155" s="54"/>
      <c r="M155" s="54"/>
      <c r="N155" s="54"/>
      <c r="O155" s="54"/>
      <c r="P155" s="54"/>
    </row>
    <row r="156" ht="14.25" customHeight="1">
      <c r="B156" s="140">
        <v>45383.0</v>
      </c>
      <c r="C156" s="141" t="str">
        <f t="shared" si="1"/>
        <v>4-2024</v>
      </c>
      <c r="D156" s="138">
        <v>3290.0</v>
      </c>
      <c r="E156" s="138">
        <v>3298.6</v>
      </c>
      <c r="F156" s="54">
        <f>'220 nova Anderson '!$E156-'220 nova Anderson '!$D156</f>
        <v>8.6</v>
      </c>
      <c r="G156" s="54">
        <f>'220 nova Anderson '!$F156-10</f>
        <v>-1.4</v>
      </c>
      <c r="H156" s="54"/>
      <c r="I156" s="54"/>
      <c r="J156" s="54"/>
      <c r="K156" s="54"/>
      <c r="L156" s="54"/>
      <c r="M156" s="54"/>
      <c r="N156" s="54"/>
      <c r="O156" s="54"/>
      <c r="P156" s="54"/>
    </row>
    <row r="157" ht="14.25" customHeight="1">
      <c r="B157" s="140">
        <v>45384.0</v>
      </c>
      <c r="C157" s="141" t="str">
        <f t="shared" si="1"/>
        <v>4-2024</v>
      </c>
      <c r="D157" s="54">
        <f t="shared" ref="D157:D160" si="24">E156</f>
        <v>3298.6</v>
      </c>
      <c r="E157" s="138">
        <v>3302.7</v>
      </c>
      <c r="F157" s="54">
        <f>'220 nova Anderson '!$E157-'220 nova Anderson '!$D157</f>
        <v>4.1</v>
      </c>
      <c r="G157" s="54">
        <f>'220 nova Anderson '!$F157-10</f>
        <v>-5.9</v>
      </c>
      <c r="H157" s="54"/>
      <c r="I157" s="54"/>
      <c r="J157" s="54"/>
      <c r="K157" s="54"/>
      <c r="L157" s="54"/>
      <c r="M157" s="54"/>
      <c r="N157" s="54"/>
      <c r="O157" s="54"/>
      <c r="P157" s="54"/>
    </row>
    <row r="158" ht="14.25" customHeight="1">
      <c r="B158" s="140">
        <v>45385.0</v>
      </c>
      <c r="C158" s="141" t="str">
        <f t="shared" si="1"/>
        <v>4-2024</v>
      </c>
      <c r="D158" s="54">
        <f t="shared" si="24"/>
        <v>3302.7</v>
      </c>
      <c r="E158" s="138">
        <v>3309.1</v>
      </c>
      <c r="F158" s="54">
        <f>'220 nova Anderson '!$E158-'220 nova Anderson '!$D158</f>
        <v>6.4</v>
      </c>
      <c r="G158" s="54">
        <f>'220 nova Anderson '!$F158-10</f>
        <v>-3.6</v>
      </c>
      <c r="H158" s="54"/>
      <c r="I158" s="54"/>
      <c r="J158" s="54"/>
      <c r="K158" s="54"/>
      <c r="L158" s="54"/>
      <c r="M158" s="54"/>
      <c r="N158" s="54"/>
      <c r="O158" s="54"/>
      <c r="P158" s="54"/>
    </row>
    <row r="159" ht="14.25" customHeight="1">
      <c r="B159" s="140">
        <v>45386.0</v>
      </c>
      <c r="C159" s="141" t="str">
        <f t="shared" si="1"/>
        <v>4-2024</v>
      </c>
      <c r="D159" s="54">
        <f t="shared" si="24"/>
        <v>3309.1</v>
      </c>
      <c r="E159" s="138">
        <v>3315.1</v>
      </c>
      <c r="F159" s="54">
        <f>'220 nova Anderson '!$E159-'220 nova Anderson '!$D159</f>
        <v>6</v>
      </c>
      <c r="G159" s="54">
        <f>'220 nova Anderson '!$F159-10</f>
        <v>-4</v>
      </c>
      <c r="H159" s="54"/>
      <c r="I159" s="54"/>
      <c r="J159" s="54"/>
      <c r="K159" s="54"/>
      <c r="L159" s="54"/>
      <c r="M159" s="54"/>
      <c r="N159" s="54"/>
      <c r="O159" s="54"/>
      <c r="P159" s="54"/>
    </row>
    <row r="160" ht="14.25" customHeight="1">
      <c r="B160" s="140">
        <v>45387.0</v>
      </c>
      <c r="C160" s="141" t="str">
        <f t="shared" si="1"/>
        <v>4-2024</v>
      </c>
      <c r="D160" s="54">
        <f t="shared" si="24"/>
        <v>3315.1</v>
      </c>
      <c r="E160" s="138">
        <v>3329.3</v>
      </c>
      <c r="F160" s="54">
        <f>'220 nova Anderson '!$E160-'220 nova Anderson '!$D160</f>
        <v>14.2</v>
      </c>
      <c r="G160" s="54">
        <f>'220 nova Anderson '!$F160-10</f>
        <v>4.2</v>
      </c>
      <c r="H160" s="54"/>
      <c r="I160" s="54"/>
      <c r="J160" s="54"/>
      <c r="K160" s="54"/>
      <c r="L160" s="54"/>
      <c r="M160" s="54"/>
      <c r="N160" s="54"/>
      <c r="O160" s="54"/>
      <c r="P160" s="54"/>
    </row>
    <row r="161" ht="14.25" customHeight="1">
      <c r="B161" s="140">
        <v>45388.0</v>
      </c>
      <c r="C161" s="141" t="str">
        <f t="shared" si="1"/>
        <v>4-2024</v>
      </c>
      <c r="D161" s="54"/>
      <c r="E161" s="138"/>
      <c r="F161" s="54">
        <f>'220 nova Anderson '!$E161-'220 nova Anderson '!$D161</f>
        <v>0</v>
      </c>
      <c r="G161" s="54">
        <f>'220 nova Anderson '!$F161-10</f>
        <v>-10</v>
      </c>
      <c r="H161" s="54"/>
      <c r="I161" s="54"/>
      <c r="J161" s="54"/>
      <c r="K161" s="54"/>
      <c r="L161" s="54"/>
      <c r="M161" s="54"/>
      <c r="N161" s="54"/>
      <c r="O161" s="54"/>
      <c r="P161" s="54"/>
    </row>
    <row r="162" ht="14.25" customHeight="1">
      <c r="B162" s="140">
        <v>45389.0</v>
      </c>
      <c r="C162" s="141" t="str">
        <f t="shared" si="1"/>
        <v>4-2024</v>
      </c>
      <c r="D162" s="54"/>
      <c r="E162" s="138"/>
      <c r="F162" s="54">
        <f>'220 nova Anderson '!$E162-'220 nova Anderson '!$D162</f>
        <v>0</v>
      </c>
      <c r="G162" s="54">
        <f>'220 nova Anderson '!$F162-10</f>
        <v>-10</v>
      </c>
      <c r="H162" s="54"/>
      <c r="I162" s="54"/>
      <c r="J162" s="54"/>
      <c r="K162" s="54"/>
      <c r="L162" s="54"/>
      <c r="M162" s="54"/>
      <c r="N162" s="54"/>
      <c r="O162" s="54"/>
      <c r="P162" s="54"/>
    </row>
    <row r="163" ht="14.25" customHeight="1">
      <c r="B163" s="140">
        <v>45390.0</v>
      </c>
      <c r="C163" s="141" t="str">
        <f t="shared" si="1"/>
        <v>4-2024</v>
      </c>
      <c r="D163" s="54"/>
      <c r="E163" s="138"/>
      <c r="F163" s="54">
        <f>'220 nova Anderson '!$E163-'220 nova Anderson '!$D163</f>
        <v>0</v>
      </c>
      <c r="G163" s="54">
        <f>'220 nova Anderson '!$F163-10</f>
        <v>-10</v>
      </c>
      <c r="H163" s="54"/>
      <c r="I163" s="54"/>
      <c r="J163" s="54"/>
      <c r="K163" s="54"/>
      <c r="L163" s="54"/>
      <c r="M163" s="54"/>
      <c r="N163" s="54"/>
      <c r="O163" s="54"/>
      <c r="P163" s="54"/>
    </row>
    <row r="164" ht="14.25" customHeight="1">
      <c r="B164" s="140">
        <v>45391.0</v>
      </c>
      <c r="C164" s="141" t="str">
        <f t="shared" si="1"/>
        <v>4-2024</v>
      </c>
      <c r="D164" s="54"/>
      <c r="E164" s="54"/>
      <c r="F164" s="54">
        <f>'220 nova Anderson '!$E164-'220 nova Anderson '!$D164</f>
        <v>0</v>
      </c>
      <c r="G164" s="54">
        <f>'220 nova Anderson '!$F164-10</f>
        <v>-10</v>
      </c>
      <c r="H164" s="54"/>
      <c r="I164" s="54"/>
      <c r="J164" s="54"/>
      <c r="K164" s="54"/>
      <c r="L164" s="54"/>
      <c r="M164" s="54"/>
      <c r="N164" s="54"/>
      <c r="O164" s="54"/>
      <c r="P164" s="54"/>
    </row>
    <row r="165" ht="14.25" customHeight="1">
      <c r="B165" s="140">
        <v>45392.0</v>
      </c>
      <c r="C165" s="141" t="str">
        <f t="shared" si="1"/>
        <v>4-2024</v>
      </c>
      <c r="D165" s="54" t="str">
        <f>E164</f>
        <v/>
      </c>
      <c r="E165" s="54"/>
      <c r="F165" s="54">
        <f>'220 nova Anderson '!$E165-'220 nova Anderson '!$D165</f>
        <v>0</v>
      </c>
      <c r="G165" s="54">
        <f>'220 nova Anderson '!$F165-10</f>
        <v>-10</v>
      </c>
      <c r="H165" s="54"/>
      <c r="I165" s="54"/>
      <c r="J165" s="54"/>
      <c r="K165" s="54"/>
      <c r="L165" s="54"/>
      <c r="M165" s="54"/>
      <c r="N165" s="54"/>
      <c r="O165" s="54"/>
      <c r="P165" s="54"/>
    </row>
    <row r="166" ht="14.25" customHeight="1">
      <c r="B166" s="140">
        <v>45393.0</v>
      </c>
      <c r="C166" s="141" t="str">
        <f t="shared" si="1"/>
        <v>4-2024</v>
      </c>
      <c r="D166" s="138">
        <v>3325.1</v>
      </c>
      <c r="E166" s="138">
        <v>3325.6</v>
      </c>
      <c r="F166" s="54">
        <f>'220 nova Anderson '!$E166-'220 nova Anderson '!$D166</f>
        <v>0.5</v>
      </c>
      <c r="G166" s="54">
        <f>'220 nova Anderson '!$F166-10</f>
        <v>-9.5</v>
      </c>
      <c r="H166" s="54"/>
      <c r="I166" s="54"/>
      <c r="J166" s="54"/>
      <c r="K166" s="54"/>
      <c r="L166" s="54"/>
      <c r="M166" s="54"/>
      <c r="N166" s="54"/>
      <c r="O166" s="54"/>
      <c r="P166" s="54"/>
    </row>
    <row r="167" ht="14.25" customHeight="1">
      <c r="B167" s="140">
        <v>45394.0</v>
      </c>
      <c r="C167" s="141" t="str">
        <f t="shared" si="1"/>
        <v>4-2024</v>
      </c>
      <c r="D167" s="54">
        <f t="shared" ref="D167:D168" si="25">E166</f>
        <v>3325.6</v>
      </c>
      <c r="E167" s="138">
        <v>3332.0</v>
      </c>
      <c r="F167" s="54">
        <f>'220 nova Anderson '!$E167-'220 nova Anderson '!$D167</f>
        <v>6.4</v>
      </c>
      <c r="G167" s="54">
        <f>'220 nova Anderson '!$F167-10</f>
        <v>-3.6</v>
      </c>
      <c r="H167" s="54"/>
      <c r="I167" s="54"/>
      <c r="J167" s="54"/>
      <c r="K167" s="54"/>
      <c r="L167" s="54"/>
      <c r="M167" s="54"/>
      <c r="N167" s="54"/>
      <c r="O167" s="54"/>
      <c r="P167" s="54"/>
    </row>
    <row r="168" ht="14.25" customHeight="1">
      <c r="B168" s="140">
        <v>45395.0</v>
      </c>
      <c r="C168" s="141" t="str">
        <f t="shared" si="1"/>
        <v>4-2024</v>
      </c>
      <c r="D168" s="54">
        <f t="shared" si="25"/>
        <v>3332</v>
      </c>
      <c r="E168" s="138">
        <v>3336.8</v>
      </c>
      <c r="F168" s="54">
        <f>'220 nova Anderson '!$E168-'220 nova Anderson '!$D168</f>
        <v>4.8</v>
      </c>
      <c r="G168" s="54">
        <f>'220 nova Anderson '!$F168-10</f>
        <v>-5.2</v>
      </c>
      <c r="H168" s="54"/>
      <c r="I168" s="54"/>
      <c r="J168" s="54"/>
      <c r="K168" s="54"/>
      <c r="L168" s="54"/>
      <c r="M168" s="54"/>
      <c r="N168" s="54"/>
      <c r="O168" s="54"/>
      <c r="P168" s="54"/>
    </row>
    <row r="169" ht="14.25" customHeight="1">
      <c r="B169" s="140">
        <v>45396.0</v>
      </c>
      <c r="C169" s="141" t="str">
        <f t="shared" si="1"/>
        <v>4-2024</v>
      </c>
      <c r="D169" s="54"/>
      <c r="E169" s="138"/>
      <c r="F169" s="54">
        <f>'220 nova Anderson '!$E169-'220 nova Anderson '!$D169</f>
        <v>0</v>
      </c>
      <c r="G169" s="54">
        <f>'220 nova Anderson '!$F169-10</f>
        <v>-10</v>
      </c>
      <c r="H169" s="54"/>
      <c r="I169" s="54"/>
      <c r="J169" s="54"/>
      <c r="K169" s="54"/>
      <c r="L169" s="54"/>
      <c r="M169" s="54"/>
      <c r="N169" s="54"/>
      <c r="O169" s="54"/>
      <c r="P169" s="54"/>
    </row>
    <row r="170" ht="14.25" customHeight="1">
      <c r="B170" s="140">
        <v>45397.0</v>
      </c>
      <c r="C170" s="141" t="str">
        <f t="shared" si="1"/>
        <v>4-2024</v>
      </c>
      <c r="D170" s="138">
        <v>3336.8</v>
      </c>
      <c r="E170" s="138">
        <v>3346.0</v>
      </c>
      <c r="F170" s="54">
        <f>'220 nova Anderson '!$E170-'220 nova Anderson '!$D170</f>
        <v>9.2</v>
      </c>
      <c r="G170" s="54">
        <f>'220 nova Anderson '!$F170-10</f>
        <v>-0.8</v>
      </c>
      <c r="H170" s="54"/>
      <c r="I170" s="54"/>
      <c r="J170" s="54"/>
      <c r="K170" s="54"/>
      <c r="L170" s="54"/>
      <c r="M170" s="54"/>
      <c r="N170" s="54"/>
      <c r="O170" s="54"/>
      <c r="P170" s="54"/>
    </row>
    <row r="171" ht="14.25" customHeight="1">
      <c r="B171" s="140">
        <v>45398.0</v>
      </c>
      <c r="C171" s="141" t="str">
        <f t="shared" si="1"/>
        <v>4-2024</v>
      </c>
      <c r="D171" s="54">
        <f t="shared" ref="D171:D175" si="26">E170</f>
        <v>3346</v>
      </c>
      <c r="E171" s="138">
        <v>3356.0</v>
      </c>
      <c r="F171" s="54">
        <f>'220 nova Anderson '!$E171-'220 nova Anderson '!$D171</f>
        <v>10</v>
      </c>
      <c r="G171" s="54">
        <f>'220 nova Anderson '!$F171-10</f>
        <v>0</v>
      </c>
      <c r="H171" s="54"/>
      <c r="I171" s="54"/>
      <c r="J171" s="54"/>
      <c r="K171" s="54"/>
      <c r="L171" s="54"/>
      <c r="M171" s="54"/>
      <c r="N171" s="54"/>
      <c r="O171" s="54"/>
      <c r="P171" s="54"/>
    </row>
    <row r="172" ht="14.25" customHeight="1">
      <c r="B172" s="140">
        <v>45399.0</v>
      </c>
      <c r="C172" s="141" t="str">
        <f t="shared" si="1"/>
        <v>4-2024</v>
      </c>
      <c r="D172" s="54">
        <f t="shared" si="26"/>
        <v>3356</v>
      </c>
      <c r="E172" s="138">
        <v>3367.0</v>
      </c>
      <c r="F172" s="54">
        <f>'220 nova Anderson '!$E172-'220 nova Anderson '!$D172</f>
        <v>11</v>
      </c>
      <c r="G172" s="54">
        <f>'220 nova Anderson '!$F172-10</f>
        <v>1</v>
      </c>
      <c r="H172" s="54"/>
      <c r="I172" s="54"/>
      <c r="J172" s="54"/>
      <c r="K172" s="54"/>
      <c r="L172" s="54"/>
      <c r="M172" s="54"/>
      <c r="N172" s="54"/>
      <c r="O172" s="54"/>
      <c r="P172" s="54"/>
    </row>
    <row r="173" ht="14.25" customHeight="1">
      <c r="B173" s="140">
        <v>45400.0</v>
      </c>
      <c r="C173" s="141" t="str">
        <f t="shared" si="1"/>
        <v>4-2024</v>
      </c>
      <c r="D173" s="54">
        <f t="shared" si="26"/>
        <v>3367</v>
      </c>
      <c r="E173" s="138">
        <v>3377.0</v>
      </c>
      <c r="F173" s="54">
        <f>'220 nova Anderson '!$E173-'220 nova Anderson '!$D173</f>
        <v>10</v>
      </c>
      <c r="G173" s="54">
        <f>'220 nova Anderson '!$F173-10</f>
        <v>0</v>
      </c>
      <c r="H173" s="54"/>
      <c r="I173" s="54"/>
      <c r="J173" s="54"/>
      <c r="K173" s="54"/>
      <c r="L173" s="54"/>
      <c r="M173" s="54"/>
      <c r="N173" s="54"/>
      <c r="O173" s="54"/>
      <c r="P173" s="54"/>
    </row>
    <row r="174" ht="14.25" customHeight="1">
      <c r="B174" s="140">
        <v>45401.0</v>
      </c>
      <c r="C174" s="141" t="str">
        <f t="shared" si="1"/>
        <v>4-2024</v>
      </c>
      <c r="D174" s="54">
        <f t="shared" si="26"/>
        <v>3377</v>
      </c>
      <c r="E174" s="138">
        <v>3388.0</v>
      </c>
      <c r="F174" s="54">
        <f>'220 nova Anderson '!$E174-'220 nova Anderson '!$D174</f>
        <v>11</v>
      </c>
      <c r="G174" s="54">
        <f>'220 nova Anderson '!$F174-10</f>
        <v>1</v>
      </c>
      <c r="H174" s="54"/>
      <c r="I174" s="54"/>
      <c r="J174" s="54"/>
      <c r="K174" s="54"/>
      <c r="L174" s="54"/>
      <c r="M174" s="54"/>
      <c r="N174" s="54"/>
      <c r="O174" s="54"/>
      <c r="P174" s="54"/>
    </row>
    <row r="175" ht="14.25" customHeight="1">
      <c r="B175" s="140">
        <v>45402.0</v>
      </c>
      <c r="C175" s="141" t="str">
        <f t="shared" si="1"/>
        <v>4-2024</v>
      </c>
      <c r="D175" s="54">
        <f t="shared" si="26"/>
        <v>3388</v>
      </c>
      <c r="E175" s="138">
        <v>3394.0</v>
      </c>
      <c r="F175" s="54">
        <f>'220 nova Anderson '!$E175-'220 nova Anderson '!$D175</f>
        <v>6</v>
      </c>
      <c r="G175" s="54">
        <f>'220 nova Anderson '!$F175-10</f>
        <v>-4</v>
      </c>
      <c r="H175" s="54"/>
      <c r="I175" s="54"/>
      <c r="J175" s="54"/>
      <c r="K175" s="54"/>
      <c r="L175" s="54"/>
      <c r="M175" s="54"/>
      <c r="N175" s="54"/>
      <c r="O175" s="54"/>
      <c r="P175" s="54"/>
    </row>
    <row r="176" ht="14.25" customHeight="1">
      <c r="B176" s="140">
        <v>45403.0</v>
      </c>
      <c r="C176" s="141" t="str">
        <f t="shared" si="1"/>
        <v>4-2024</v>
      </c>
      <c r="D176" s="54"/>
      <c r="E176" s="54"/>
      <c r="F176" s="54">
        <f>'220 nova Anderson '!$E176-'220 nova Anderson '!$D176</f>
        <v>0</v>
      </c>
      <c r="G176" s="54">
        <f>'220 nova Anderson '!$F176-10</f>
        <v>-10</v>
      </c>
      <c r="H176" s="54"/>
      <c r="I176" s="54"/>
      <c r="J176" s="54"/>
      <c r="K176" s="54"/>
      <c r="L176" s="54"/>
      <c r="M176" s="54"/>
      <c r="N176" s="54"/>
      <c r="O176" s="54"/>
      <c r="P176" s="54"/>
    </row>
    <row r="177" ht="14.25" customHeight="1">
      <c r="B177" s="140">
        <v>45404.0</v>
      </c>
      <c r="C177" s="141" t="str">
        <f t="shared" si="1"/>
        <v>4-2024</v>
      </c>
      <c r="D177" s="138">
        <v>3394.0</v>
      </c>
      <c r="E177" s="138">
        <v>3405.0</v>
      </c>
      <c r="F177" s="54">
        <f>'220 nova Anderson '!$E177-'220 nova Anderson '!$D177</f>
        <v>11</v>
      </c>
      <c r="G177" s="54">
        <f>'220 nova Anderson '!$F177-10</f>
        <v>1</v>
      </c>
      <c r="H177" s="54"/>
      <c r="I177" s="54"/>
      <c r="J177" s="54"/>
      <c r="K177" s="54"/>
      <c r="L177" s="54"/>
      <c r="M177" s="54"/>
      <c r="N177" s="54"/>
      <c r="O177" s="54"/>
      <c r="P177" s="54"/>
    </row>
    <row r="178" ht="14.25" customHeight="1">
      <c r="B178" s="140">
        <v>45405.0</v>
      </c>
      <c r="C178" s="141" t="str">
        <f t="shared" si="1"/>
        <v>4-2024</v>
      </c>
      <c r="D178" s="54">
        <f t="shared" ref="D178:D182" si="27">E177</f>
        <v>3405</v>
      </c>
      <c r="E178" s="138">
        <v>3414.0</v>
      </c>
      <c r="F178" s="54">
        <f>'220 nova Anderson '!$E178-'220 nova Anderson '!$D178</f>
        <v>9</v>
      </c>
      <c r="G178" s="54">
        <f>'220 nova Anderson '!$F178-10</f>
        <v>-1</v>
      </c>
      <c r="H178" s="54"/>
      <c r="I178" s="54"/>
      <c r="J178" s="54"/>
      <c r="K178" s="54"/>
      <c r="L178" s="54"/>
      <c r="M178" s="54"/>
      <c r="N178" s="54"/>
      <c r="O178" s="54"/>
      <c r="P178" s="54"/>
    </row>
    <row r="179" ht="14.25" customHeight="1">
      <c r="B179" s="140">
        <v>45406.0</v>
      </c>
      <c r="C179" s="141" t="str">
        <f t="shared" si="1"/>
        <v>4-2024</v>
      </c>
      <c r="D179" s="54">
        <f t="shared" si="27"/>
        <v>3414</v>
      </c>
      <c r="E179" s="138">
        <v>3425.0</v>
      </c>
      <c r="F179" s="54">
        <f>'220 nova Anderson '!$E179-'220 nova Anderson '!$D179</f>
        <v>11</v>
      </c>
      <c r="G179" s="54">
        <f>'220 nova Anderson '!$F179-10</f>
        <v>1</v>
      </c>
      <c r="H179" s="54"/>
      <c r="I179" s="54"/>
      <c r="J179" s="54"/>
      <c r="K179" s="54"/>
      <c r="L179" s="54"/>
      <c r="M179" s="54"/>
      <c r="N179" s="54"/>
      <c r="O179" s="54"/>
      <c r="P179" s="54"/>
    </row>
    <row r="180" ht="14.25" customHeight="1">
      <c r="B180" s="140">
        <v>45407.0</v>
      </c>
      <c r="C180" s="141" t="str">
        <f t="shared" si="1"/>
        <v>4-2024</v>
      </c>
      <c r="D180" s="54">
        <f t="shared" si="27"/>
        <v>3425</v>
      </c>
      <c r="E180" s="138">
        <v>3436.0</v>
      </c>
      <c r="F180" s="54">
        <f>'220 nova Anderson '!$E180-'220 nova Anderson '!$D180</f>
        <v>11</v>
      </c>
      <c r="G180" s="54">
        <f>'220 nova Anderson '!$F180-10</f>
        <v>1</v>
      </c>
      <c r="H180" s="54"/>
      <c r="I180" s="54"/>
      <c r="J180" s="54"/>
      <c r="K180" s="54"/>
      <c r="L180" s="54"/>
      <c r="M180" s="54"/>
      <c r="N180" s="54"/>
      <c r="O180" s="54"/>
      <c r="P180" s="54"/>
    </row>
    <row r="181" ht="14.25" customHeight="1">
      <c r="B181" s="140">
        <v>45408.0</v>
      </c>
      <c r="C181" s="141" t="str">
        <f t="shared" si="1"/>
        <v>4-2024</v>
      </c>
      <c r="D181" s="54">
        <f t="shared" si="27"/>
        <v>3436</v>
      </c>
      <c r="E181" s="138">
        <v>3447.0</v>
      </c>
      <c r="F181" s="54">
        <f>'220 nova Anderson '!$E181-'220 nova Anderson '!$D181</f>
        <v>11</v>
      </c>
      <c r="G181" s="54">
        <f>'220 nova Anderson '!$F181-10</f>
        <v>1</v>
      </c>
      <c r="H181" s="54"/>
      <c r="I181" s="54"/>
      <c r="J181" s="54"/>
      <c r="K181" s="54"/>
      <c r="L181" s="54"/>
      <c r="M181" s="54"/>
      <c r="N181" s="54"/>
      <c r="O181" s="54"/>
      <c r="P181" s="54"/>
    </row>
    <row r="182" ht="14.25" customHeight="1">
      <c r="B182" s="140">
        <v>45409.0</v>
      </c>
      <c r="C182" s="141" t="str">
        <f t="shared" si="1"/>
        <v>4-2024</v>
      </c>
      <c r="D182" s="54">
        <f t="shared" si="27"/>
        <v>3447</v>
      </c>
      <c r="E182" s="138">
        <v>3456.0</v>
      </c>
      <c r="F182" s="54">
        <f>'220 nova Anderson '!$E182-'220 nova Anderson '!$D182</f>
        <v>9</v>
      </c>
      <c r="G182" s="54">
        <f>'220 nova Anderson '!$F182-10</f>
        <v>-1</v>
      </c>
      <c r="H182" s="54"/>
      <c r="I182" s="54"/>
      <c r="J182" s="54"/>
      <c r="K182" s="54"/>
      <c r="L182" s="54"/>
      <c r="M182" s="54"/>
      <c r="N182" s="54"/>
      <c r="O182" s="54"/>
      <c r="P182" s="54"/>
    </row>
    <row r="183" ht="14.25" customHeight="1">
      <c r="B183" s="140">
        <v>45410.0</v>
      </c>
      <c r="C183" s="141" t="str">
        <f t="shared" si="1"/>
        <v>4-2024</v>
      </c>
      <c r="D183" s="54"/>
      <c r="E183" s="54"/>
      <c r="F183" s="54">
        <f>'220 nova Anderson '!$E183-'220 nova Anderson '!$D183</f>
        <v>0</v>
      </c>
      <c r="G183" s="54">
        <f>'220 nova Anderson '!$F183-10</f>
        <v>-10</v>
      </c>
      <c r="H183" s="54"/>
      <c r="I183" s="54"/>
      <c r="J183" s="54"/>
      <c r="K183" s="54"/>
      <c r="L183" s="54"/>
      <c r="M183" s="54"/>
      <c r="N183" s="54"/>
      <c r="O183" s="54"/>
      <c r="P183" s="54"/>
    </row>
    <row r="184" ht="14.25" customHeight="1">
      <c r="B184" s="140">
        <v>45411.0</v>
      </c>
      <c r="C184" s="141" t="str">
        <f t="shared" si="1"/>
        <v>4-2024</v>
      </c>
      <c r="D184" s="138">
        <v>3456.0</v>
      </c>
      <c r="E184" s="138">
        <v>3467.0</v>
      </c>
      <c r="F184" s="54">
        <f>'220 nova Anderson '!$E184-'220 nova Anderson '!$D184</f>
        <v>11</v>
      </c>
      <c r="G184" s="54">
        <f>'220 nova Anderson '!$F184-10</f>
        <v>1</v>
      </c>
      <c r="H184" s="54"/>
      <c r="I184" s="54"/>
      <c r="J184" s="54"/>
      <c r="K184" s="54"/>
      <c r="L184" s="54"/>
      <c r="M184" s="54"/>
      <c r="N184" s="54"/>
      <c r="O184" s="54"/>
      <c r="P184" s="54"/>
    </row>
    <row r="185" ht="14.25" customHeight="1">
      <c r="B185" s="140">
        <v>45412.0</v>
      </c>
      <c r="C185" s="141" t="str">
        <f t="shared" si="1"/>
        <v>4-2024</v>
      </c>
      <c r="D185" s="54">
        <f>E184</f>
        <v>3467</v>
      </c>
      <c r="E185" s="138">
        <v>3478.0</v>
      </c>
      <c r="F185" s="54">
        <f>'220 nova Anderson '!$E185-'220 nova Anderson '!$D185</f>
        <v>11</v>
      </c>
      <c r="G185" s="54">
        <f>'220 nova Anderson '!$F185-10</f>
        <v>1</v>
      </c>
      <c r="H185" s="54"/>
      <c r="I185" s="54"/>
      <c r="J185" s="54"/>
      <c r="K185" s="54"/>
      <c r="L185" s="54"/>
      <c r="M185" s="54"/>
      <c r="N185" s="54"/>
      <c r="O185" s="54"/>
      <c r="P185" s="54"/>
    </row>
    <row r="186" ht="14.25" customHeight="1">
      <c r="B186" s="142">
        <v>45413.0</v>
      </c>
      <c r="C186" s="143" t="str">
        <f t="shared" si="1"/>
        <v>5-2024</v>
      </c>
      <c r="D186" s="144">
        <v>3478.0</v>
      </c>
      <c r="E186" s="144">
        <v>3484.0</v>
      </c>
      <c r="F186" s="92">
        <f>'220 nova Anderson '!$E186-'220 nova Anderson '!$D186</f>
        <v>6</v>
      </c>
      <c r="G186" s="92">
        <f>'220 nova Anderson '!$F186-10</f>
        <v>-4</v>
      </c>
      <c r="H186" s="54"/>
      <c r="I186" s="54"/>
      <c r="J186" s="54"/>
      <c r="K186" s="54"/>
      <c r="L186" s="54"/>
      <c r="M186" s="54"/>
      <c r="N186" s="54"/>
      <c r="O186" s="54"/>
      <c r="P186" s="54"/>
    </row>
    <row r="187" ht="14.25" customHeight="1">
      <c r="B187" s="140">
        <v>45414.0</v>
      </c>
      <c r="C187" s="141" t="str">
        <f t="shared" si="1"/>
        <v>5-2024</v>
      </c>
      <c r="D187" s="54">
        <f t="shared" ref="D187:D189" si="28">E186</f>
        <v>3484</v>
      </c>
      <c r="E187" s="138">
        <v>3495.0</v>
      </c>
      <c r="F187" s="54">
        <f>'220 nova Anderson '!$E187-'220 nova Anderson '!$D187</f>
        <v>11</v>
      </c>
      <c r="G187" s="54">
        <f>'220 nova Anderson '!$F187-10</f>
        <v>1</v>
      </c>
      <c r="H187" s="54"/>
      <c r="I187" s="54"/>
      <c r="J187" s="54"/>
      <c r="K187" s="54"/>
      <c r="L187" s="54"/>
      <c r="M187" s="54"/>
      <c r="N187" s="54"/>
      <c r="O187" s="54"/>
      <c r="P187" s="54"/>
    </row>
    <row r="188" ht="14.25" customHeight="1">
      <c r="B188" s="140">
        <v>45415.0</v>
      </c>
      <c r="C188" s="141" t="str">
        <f t="shared" si="1"/>
        <v>5-2024</v>
      </c>
      <c r="D188" s="54">
        <f t="shared" si="28"/>
        <v>3495</v>
      </c>
      <c r="E188" s="138">
        <v>3507.0</v>
      </c>
      <c r="F188" s="54">
        <f>'220 nova Anderson '!$E188-'220 nova Anderson '!$D188</f>
        <v>12</v>
      </c>
      <c r="G188" s="54">
        <f>'220 nova Anderson '!$F188-10</f>
        <v>2</v>
      </c>
      <c r="H188" s="54"/>
      <c r="I188" s="54"/>
      <c r="J188" s="54"/>
      <c r="K188" s="54"/>
      <c r="L188" s="54"/>
      <c r="M188" s="54"/>
      <c r="N188" s="54"/>
      <c r="O188" s="54"/>
      <c r="P188" s="54"/>
    </row>
    <row r="189" ht="14.25" customHeight="1">
      <c r="B189" s="145">
        <v>45416.0</v>
      </c>
      <c r="C189" s="141" t="str">
        <f t="shared" si="1"/>
        <v>5-2024</v>
      </c>
      <c r="D189" s="54">
        <f t="shared" si="28"/>
        <v>3507</v>
      </c>
      <c r="E189" s="138">
        <v>3512.0</v>
      </c>
      <c r="F189" s="54">
        <f>'220 nova Anderson '!$E189-'220 nova Anderson '!$D189</f>
        <v>5</v>
      </c>
      <c r="G189" s="54">
        <f>'220 nova Anderson '!$F189-10</f>
        <v>-5</v>
      </c>
      <c r="H189" s="54"/>
      <c r="I189" s="54"/>
      <c r="J189" s="54"/>
      <c r="K189" s="54"/>
      <c r="L189" s="54"/>
      <c r="M189" s="54"/>
      <c r="N189" s="54"/>
      <c r="O189" s="54"/>
      <c r="P189" s="54"/>
    </row>
    <row r="190" ht="14.25" customHeight="1">
      <c r="B190" s="145">
        <v>45417.0</v>
      </c>
      <c r="C190" s="141" t="str">
        <f t="shared" si="1"/>
        <v>5-2024</v>
      </c>
      <c r="D190" s="54"/>
      <c r="E190" s="54"/>
      <c r="F190" s="54">
        <f>'220 nova Anderson '!$E190-'220 nova Anderson '!$D190</f>
        <v>0</v>
      </c>
      <c r="G190" s="54">
        <f>'220 nova Anderson '!$F190-10</f>
        <v>-10</v>
      </c>
      <c r="H190" s="54"/>
      <c r="I190" s="54"/>
      <c r="J190" s="54"/>
      <c r="K190" s="54"/>
      <c r="L190" s="54"/>
      <c r="M190" s="54"/>
      <c r="N190" s="54"/>
      <c r="O190" s="54"/>
      <c r="P190" s="54"/>
    </row>
    <row r="191" ht="14.25" customHeight="1">
      <c r="B191" s="140">
        <v>45418.0</v>
      </c>
      <c r="C191" s="141" t="str">
        <f t="shared" si="1"/>
        <v>5-2024</v>
      </c>
      <c r="D191" s="138">
        <v>3512.0</v>
      </c>
      <c r="E191" s="138">
        <v>3523.0</v>
      </c>
      <c r="F191" s="54">
        <f>'220 nova Anderson '!$E191-'220 nova Anderson '!$D191</f>
        <v>11</v>
      </c>
      <c r="G191" s="54">
        <f>'220 nova Anderson '!$F191-10</f>
        <v>1</v>
      </c>
      <c r="H191" s="54"/>
      <c r="I191" s="54"/>
      <c r="J191" s="54"/>
      <c r="K191" s="54"/>
      <c r="L191" s="54"/>
      <c r="M191" s="54"/>
      <c r="N191" s="54"/>
      <c r="O191" s="54"/>
      <c r="P191" s="54"/>
    </row>
    <row r="192" ht="14.25" customHeight="1">
      <c r="B192" s="140">
        <v>45419.0</v>
      </c>
      <c r="C192" s="141" t="str">
        <f t="shared" si="1"/>
        <v>5-2024</v>
      </c>
      <c r="D192" s="54">
        <f t="shared" ref="D192:D196" si="29">E191</f>
        <v>3523</v>
      </c>
      <c r="E192" s="138">
        <v>3533.0</v>
      </c>
      <c r="F192" s="54">
        <f>'220 nova Anderson '!$E192-'220 nova Anderson '!$D192</f>
        <v>10</v>
      </c>
      <c r="G192" s="54">
        <f>'220 nova Anderson '!$F192-10</f>
        <v>0</v>
      </c>
      <c r="H192" s="54"/>
      <c r="I192" s="54"/>
      <c r="J192" s="54"/>
      <c r="K192" s="54"/>
      <c r="L192" s="54"/>
      <c r="M192" s="54"/>
      <c r="N192" s="54"/>
      <c r="O192" s="54"/>
      <c r="P192" s="54"/>
    </row>
    <row r="193" ht="14.25" customHeight="1">
      <c r="B193" s="140">
        <v>45420.0</v>
      </c>
      <c r="C193" s="141" t="str">
        <f t="shared" si="1"/>
        <v>5-2024</v>
      </c>
      <c r="D193" s="54">
        <f t="shared" si="29"/>
        <v>3533</v>
      </c>
      <c r="E193" s="138">
        <v>3543.0</v>
      </c>
      <c r="F193" s="54">
        <f>'220 nova Anderson '!$E193-'220 nova Anderson '!$D193</f>
        <v>10</v>
      </c>
      <c r="G193" s="54">
        <f>'220 nova Anderson '!$F193-10</f>
        <v>0</v>
      </c>
      <c r="H193" s="54"/>
      <c r="I193" s="54"/>
      <c r="J193" s="54"/>
      <c r="K193" s="54"/>
      <c r="L193" s="54"/>
      <c r="M193" s="54"/>
      <c r="N193" s="54"/>
      <c r="O193" s="54"/>
      <c r="P193" s="54"/>
    </row>
    <row r="194" ht="14.25" customHeight="1">
      <c r="B194" s="140">
        <v>45421.0</v>
      </c>
      <c r="C194" s="141" t="str">
        <f t="shared" si="1"/>
        <v>5-2024</v>
      </c>
      <c r="D194" s="54">
        <f t="shared" si="29"/>
        <v>3543</v>
      </c>
      <c r="E194" s="138">
        <v>3554.0</v>
      </c>
      <c r="F194" s="54">
        <f>'220 nova Anderson '!$E194-'220 nova Anderson '!$D194</f>
        <v>11</v>
      </c>
      <c r="G194" s="54">
        <f>'220 nova Anderson '!$F194-10</f>
        <v>1</v>
      </c>
      <c r="H194" s="54"/>
      <c r="I194" s="54"/>
      <c r="J194" s="54"/>
      <c r="K194" s="54"/>
      <c r="L194" s="54"/>
      <c r="M194" s="54"/>
      <c r="N194" s="54"/>
      <c r="O194" s="54"/>
      <c r="P194" s="54"/>
    </row>
    <row r="195" ht="14.25" customHeight="1">
      <c r="B195" s="140">
        <v>45422.0</v>
      </c>
      <c r="C195" s="141" t="str">
        <f t="shared" si="1"/>
        <v>5-2024</v>
      </c>
      <c r="D195" s="54">
        <f t="shared" si="29"/>
        <v>3554</v>
      </c>
      <c r="E195" s="138">
        <v>3563.0</v>
      </c>
      <c r="F195" s="54">
        <f>'220 nova Anderson '!$E195-'220 nova Anderson '!$D195</f>
        <v>9</v>
      </c>
      <c r="G195" s="54">
        <f>'220 nova Anderson '!$F195-10</f>
        <v>-1</v>
      </c>
      <c r="H195" s="54"/>
      <c r="I195" s="54"/>
      <c r="J195" s="54"/>
      <c r="K195" s="54"/>
      <c r="L195" s="54"/>
      <c r="M195" s="54"/>
      <c r="N195" s="54"/>
      <c r="O195" s="54"/>
      <c r="P195" s="54"/>
    </row>
    <row r="196" ht="14.25" customHeight="1">
      <c r="B196" s="145">
        <v>45423.0</v>
      </c>
      <c r="C196" s="141" t="str">
        <f t="shared" si="1"/>
        <v>5-2024</v>
      </c>
      <c r="D196" s="54">
        <f t="shared" si="29"/>
        <v>3563</v>
      </c>
      <c r="E196" s="138">
        <v>3571.0</v>
      </c>
      <c r="F196" s="54">
        <f>'220 nova Anderson '!$E196-'220 nova Anderson '!$D196</f>
        <v>8</v>
      </c>
      <c r="G196" s="54">
        <f>'220 nova Anderson '!$F196-10</f>
        <v>-2</v>
      </c>
      <c r="H196" s="54"/>
      <c r="I196" s="54"/>
      <c r="J196" s="54"/>
      <c r="K196" s="54"/>
      <c r="L196" s="54"/>
      <c r="M196" s="54"/>
      <c r="N196" s="54"/>
      <c r="O196" s="54"/>
      <c r="P196" s="54"/>
    </row>
    <row r="197" ht="14.25" customHeight="1">
      <c r="B197" s="145">
        <v>45424.0</v>
      </c>
      <c r="C197" s="141" t="str">
        <f t="shared" si="1"/>
        <v>5-2024</v>
      </c>
      <c r="D197" s="54"/>
      <c r="E197" s="54"/>
      <c r="F197" s="54">
        <f>'220 nova Anderson '!$E197-'220 nova Anderson '!$D197</f>
        <v>0</v>
      </c>
      <c r="G197" s="54">
        <f>'220 nova Anderson '!$F197-10</f>
        <v>-10</v>
      </c>
      <c r="H197" s="54"/>
      <c r="I197" s="54"/>
      <c r="J197" s="54"/>
      <c r="K197" s="54"/>
      <c r="L197" s="54"/>
      <c r="M197" s="54"/>
      <c r="N197" s="54"/>
      <c r="O197" s="54"/>
      <c r="P197" s="54"/>
    </row>
    <row r="198" ht="14.25" customHeight="1">
      <c r="B198" s="140">
        <v>45425.0</v>
      </c>
      <c r="C198" s="141" t="str">
        <f t="shared" si="1"/>
        <v>5-2024</v>
      </c>
      <c r="D198" s="138">
        <v>3571.0</v>
      </c>
      <c r="E198" s="138">
        <v>3582.0</v>
      </c>
      <c r="F198" s="54">
        <f>'220 nova Anderson '!$E198-'220 nova Anderson '!$D198</f>
        <v>11</v>
      </c>
      <c r="G198" s="54">
        <f>'220 nova Anderson '!$F198-10</f>
        <v>1</v>
      </c>
      <c r="H198" s="54"/>
      <c r="I198" s="54"/>
      <c r="J198" s="54"/>
      <c r="K198" s="54"/>
      <c r="L198" s="54"/>
      <c r="M198" s="54"/>
      <c r="N198" s="54"/>
      <c r="O198" s="54"/>
      <c r="P198" s="54"/>
    </row>
    <row r="199" ht="14.25" customHeight="1">
      <c r="B199" s="140">
        <v>45426.0</v>
      </c>
      <c r="C199" s="141" t="str">
        <f t="shared" si="1"/>
        <v>5-2024</v>
      </c>
      <c r="D199" s="54">
        <f t="shared" ref="D199:D203" si="30">E198</f>
        <v>3582</v>
      </c>
      <c r="E199" s="138">
        <v>3586.0</v>
      </c>
      <c r="F199" s="54">
        <f>'220 nova Anderson '!$E199-'220 nova Anderson '!$D199</f>
        <v>4</v>
      </c>
      <c r="G199" s="54">
        <f>'220 nova Anderson '!$F199-10</f>
        <v>-6</v>
      </c>
      <c r="H199" s="54"/>
      <c r="I199" s="54"/>
      <c r="J199" s="54"/>
      <c r="K199" s="54"/>
      <c r="L199" s="54"/>
      <c r="M199" s="54"/>
      <c r="N199" s="54"/>
      <c r="O199" s="54"/>
      <c r="P199" s="54"/>
    </row>
    <row r="200" ht="14.25" customHeight="1">
      <c r="B200" s="140">
        <v>45427.0</v>
      </c>
      <c r="C200" s="141" t="str">
        <f t="shared" si="1"/>
        <v>5-2024</v>
      </c>
      <c r="D200" s="54">
        <f t="shared" si="30"/>
        <v>3586</v>
      </c>
      <c r="E200" s="138">
        <v>3594.0</v>
      </c>
      <c r="F200" s="54">
        <f>'220 nova Anderson '!$E200-'220 nova Anderson '!$D200</f>
        <v>8</v>
      </c>
      <c r="G200" s="54">
        <f>'220 nova Anderson '!$F200-10</f>
        <v>-2</v>
      </c>
      <c r="H200" s="54"/>
      <c r="I200" s="54"/>
      <c r="J200" s="54"/>
      <c r="K200" s="54"/>
      <c r="L200" s="54"/>
      <c r="M200" s="54"/>
      <c r="N200" s="54"/>
      <c r="O200" s="54"/>
      <c r="P200" s="54"/>
    </row>
    <row r="201" ht="14.25" customHeight="1">
      <c r="B201" s="140">
        <v>45428.0</v>
      </c>
      <c r="C201" s="141" t="str">
        <f t="shared" si="1"/>
        <v>5-2024</v>
      </c>
      <c r="D201" s="54">
        <f t="shared" si="30"/>
        <v>3594</v>
      </c>
      <c r="E201" s="138">
        <v>3604.0</v>
      </c>
      <c r="F201" s="54">
        <f>'220 nova Anderson '!$E201-'220 nova Anderson '!$D201</f>
        <v>10</v>
      </c>
      <c r="G201" s="54">
        <f>'220 nova Anderson '!$F201-10</f>
        <v>0</v>
      </c>
      <c r="H201" s="54"/>
      <c r="I201" s="54"/>
      <c r="J201" s="54"/>
      <c r="K201" s="54"/>
      <c r="L201" s="54"/>
      <c r="M201" s="54"/>
      <c r="N201" s="54"/>
      <c r="O201" s="54"/>
      <c r="P201" s="54"/>
    </row>
    <row r="202" ht="14.25" customHeight="1">
      <c r="B202" s="140">
        <v>45429.0</v>
      </c>
      <c r="C202" s="141" t="str">
        <f t="shared" si="1"/>
        <v>5-2024</v>
      </c>
      <c r="D202" s="54">
        <f t="shared" si="30"/>
        <v>3604</v>
      </c>
      <c r="E202" s="138">
        <v>3613.0</v>
      </c>
      <c r="F202" s="54">
        <f>'220 nova Anderson '!$E202-'220 nova Anderson '!$D202</f>
        <v>9</v>
      </c>
      <c r="G202" s="54">
        <f>'220 nova Anderson '!$F202-10</f>
        <v>-1</v>
      </c>
      <c r="H202" s="54"/>
      <c r="I202" s="54"/>
      <c r="J202" s="54"/>
      <c r="K202" s="54"/>
      <c r="L202" s="54"/>
      <c r="M202" s="54"/>
      <c r="N202" s="54"/>
      <c r="O202" s="54"/>
      <c r="P202" s="54"/>
    </row>
    <row r="203" ht="14.25" customHeight="1">
      <c r="B203" s="145">
        <v>45430.0</v>
      </c>
      <c r="C203" s="141" t="str">
        <f t="shared" si="1"/>
        <v>5-2024</v>
      </c>
      <c r="D203" s="54">
        <f t="shared" si="30"/>
        <v>3613</v>
      </c>
      <c r="E203" s="138">
        <v>3621.0</v>
      </c>
      <c r="F203" s="54">
        <f>'220 nova Anderson '!$E203-'220 nova Anderson '!$D203</f>
        <v>8</v>
      </c>
      <c r="G203" s="54">
        <f>'220 nova Anderson '!$F203-10</f>
        <v>-2</v>
      </c>
      <c r="H203" s="54"/>
      <c r="I203" s="54"/>
      <c r="J203" s="54"/>
      <c r="K203" s="54"/>
      <c r="L203" s="54"/>
      <c r="M203" s="54"/>
      <c r="N203" s="54"/>
      <c r="O203" s="54"/>
      <c r="P203" s="54"/>
    </row>
    <row r="204" ht="14.25" customHeight="1">
      <c r="B204" s="145">
        <v>45431.0</v>
      </c>
      <c r="C204" s="141" t="str">
        <f t="shared" si="1"/>
        <v>5-2024</v>
      </c>
      <c r="D204" s="54"/>
      <c r="E204" s="54"/>
      <c r="F204" s="54">
        <f>'220 nova Anderson '!$E204-'220 nova Anderson '!$D204</f>
        <v>0</v>
      </c>
      <c r="G204" s="54">
        <f>'220 nova Anderson '!$F204-10</f>
        <v>-10</v>
      </c>
      <c r="H204" s="54"/>
      <c r="I204" s="54"/>
      <c r="J204" s="54"/>
      <c r="K204" s="54"/>
      <c r="L204" s="54"/>
      <c r="M204" s="54"/>
      <c r="N204" s="54"/>
      <c r="O204" s="54"/>
      <c r="P204" s="54"/>
    </row>
    <row r="205" ht="14.25" customHeight="1">
      <c r="B205" s="140">
        <v>45432.0</v>
      </c>
      <c r="C205" s="141" t="str">
        <f t="shared" si="1"/>
        <v>5-2024</v>
      </c>
      <c r="D205" s="138">
        <v>3621.0</v>
      </c>
      <c r="E205" s="138">
        <v>3628.0</v>
      </c>
      <c r="F205" s="54">
        <f>'220 nova Anderson '!$E205-'220 nova Anderson '!$D205</f>
        <v>7</v>
      </c>
      <c r="G205" s="54">
        <f>'220 nova Anderson '!$F205-10</f>
        <v>-3</v>
      </c>
      <c r="H205" s="54"/>
      <c r="I205" s="54"/>
      <c r="J205" s="54"/>
      <c r="K205" s="54"/>
      <c r="L205" s="54"/>
      <c r="M205" s="54"/>
      <c r="N205" s="54"/>
      <c r="O205" s="54"/>
      <c r="P205" s="54"/>
    </row>
    <row r="206" ht="14.25" customHeight="1">
      <c r="B206" s="140">
        <v>45433.0</v>
      </c>
      <c r="C206" s="141" t="str">
        <f t="shared" si="1"/>
        <v>5-2024</v>
      </c>
      <c r="D206" s="54">
        <f t="shared" ref="D206:D210" si="31">E205</f>
        <v>3628</v>
      </c>
      <c r="E206" s="138">
        <v>3637.0</v>
      </c>
      <c r="F206" s="54">
        <f>'220 nova Anderson '!$E206-'220 nova Anderson '!$D206</f>
        <v>9</v>
      </c>
      <c r="G206" s="54">
        <f>'220 nova Anderson '!$F206-10</f>
        <v>-1</v>
      </c>
      <c r="H206" s="54"/>
      <c r="I206" s="54"/>
      <c r="J206" s="54"/>
      <c r="K206" s="54"/>
      <c r="L206" s="54"/>
      <c r="M206" s="54"/>
      <c r="N206" s="54"/>
      <c r="O206" s="54"/>
      <c r="P206" s="54"/>
    </row>
    <row r="207" ht="14.25" customHeight="1">
      <c r="B207" s="140">
        <v>45434.0</v>
      </c>
      <c r="C207" s="141" t="str">
        <f t="shared" si="1"/>
        <v>5-2024</v>
      </c>
      <c r="D207" s="54">
        <f t="shared" si="31"/>
        <v>3637</v>
      </c>
      <c r="E207" s="138">
        <v>3638.0</v>
      </c>
      <c r="F207" s="54">
        <f>'220 nova Anderson '!$E207-'220 nova Anderson '!$D207</f>
        <v>1</v>
      </c>
      <c r="G207" s="54">
        <f>'220 nova Anderson '!$F207-10</f>
        <v>-9</v>
      </c>
      <c r="H207" s="54"/>
      <c r="I207" s="54"/>
      <c r="J207" s="54"/>
      <c r="K207" s="54"/>
      <c r="L207" s="54"/>
      <c r="M207" s="54"/>
      <c r="N207" s="54"/>
      <c r="O207" s="54"/>
      <c r="P207" s="54"/>
    </row>
    <row r="208" ht="14.25" customHeight="1">
      <c r="B208" s="140">
        <v>45435.0</v>
      </c>
      <c r="C208" s="141" t="str">
        <f t="shared" si="1"/>
        <v>5-2024</v>
      </c>
      <c r="D208" s="54">
        <f t="shared" si="31"/>
        <v>3638</v>
      </c>
      <c r="E208" s="138">
        <v>3648.0</v>
      </c>
      <c r="F208" s="54">
        <f>'220 nova Anderson '!$E208-'220 nova Anderson '!$D208</f>
        <v>10</v>
      </c>
      <c r="G208" s="54">
        <f>'220 nova Anderson '!$F208-10</f>
        <v>0</v>
      </c>
      <c r="H208" s="54"/>
      <c r="I208" s="54"/>
      <c r="J208" s="54"/>
      <c r="K208" s="54"/>
      <c r="L208" s="54"/>
      <c r="M208" s="54"/>
      <c r="N208" s="54"/>
      <c r="O208" s="54"/>
      <c r="P208" s="54"/>
    </row>
    <row r="209" ht="14.25" customHeight="1">
      <c r="B209" s="140">
        <v>45436.0</v>
      </c>
      <c r="C209" s="141" t="str">
        <f t="shared" si="1"/>
        <v>5-2024</v>
      </c>
      <c r="D209" s="54">
        <f t="shared" si="31"/>
        <v>3648</v>
      </c>
      <c r="E209" s="138">
        <v>3657.0</v>
      </c>
      <c r="F209" s="54">
        <f>'220 nova Anderson '!$E209-'220 nova Anderson '!$D209</f>
        <v>9</v>
      </c>
      <c r="G209" s="54">
        <f>'220 nova Anderson '!$F209-10</f>
        <v>-1</v>
      </c>
      <c r="H209" s="54"/>
      <c r="I209" s="54"/>
      <c r="J209" s="54"/>
      <c r="K209" s="54"/>
      <c r="L209" s="54"/>
      <c r="M209" s="54"/>
      <c r="N209" s="54"/>
      <c r="O209" s="54"/>
      <c r="P209" s="54"/>
    </row>
    <row r="210" ht="14.25" customHeight="1">
      <c r="B210" s="145">
        <v>45437.0</v>
      </c>
      <c r="C210" s="141" t="str">
        <f t="shared" si="1"/>
        <v>5-2024</v>
      </c>
      <c r="D210" s="54">
        <f t="shared" si="31"/>
        <v>3657</v>
      </c>
      <c r="E210" s="138">
        <v>3663.0</v>
      </c>
      <c r="F210" s="54">
        <f>'220 nova Anderson '!$E210-'220 nova Anderson '!$D210</f>
        <v>6</v>
      </c>
      <c r="G210" s="54">
        <f>'220 nova Anderson '!$F210-10</f>
        <v>-4</v>
      </c>
      <c r="H210" s="54"/>
      <c r="I210" s="54"/>
      <c r="J210" s="54"/>
      <c r="K210" s="54"/>
      <c r="L210" s="54"/>
      <c r="M210" s="54"/>
      <c r="N210" s="54"/>
      <c r="O210" s="54"/>
      <c r="P210" s="54"/>
    </row>
    <row r="211" ht="14.25" customHeight="1">
      <c r="B211" s="145">
        <v>45438.0</v>
      </c>
      <c r="C211" s="141" t="str">
        <f t="shared" si="1"/>
        <v>5-2024</v>
      </c>
      <c r="D211" s="54"/>
      <c r="E211" s="54"/>
      <c r="F211" s="54">
        <f>'220 nova Anderson '!$E211-'220 nova Anderson '!$D211</f>
        <v>0</v>
      </c>
      <c r="G211" s="54">
        <f>'220 nova Anderson '!$F211-10</f>
        <v>-10</v>
      </c>
      <c r="H211" s="54"/>
      <c r="I211" s="54"/>
      <c r="J211" s="54"/>
      <c r="K211" s="54"/>
      <c r="L211" s="54"/>
      <c r="M211" s="54"/>
      <c r="N211" s="54"/>
      <c r="O211" s="54"/>
      <c r="P211" s="54"/>
    </row>
    <row r="212" ht="14.25" customHeight="1">
      <c r="B212" s="140">
        <v>45439.0</v>
      </c>
      <c r="C212" s="141" t="str">
        <f t="shared" si="1"/>
        <v>5-2024</v>
      </c>
      <c r="D212" s="54" t="str">
        <f>E211</f>
        <v/>
      </c>
      <c r="E212" s="54"/>
      <c r="F212" s="54">
        <f>'220 nova Anderson '!$E212-'220 nova Anderson '!$D212</f>
        <v>0</v>
      </c>
      <c r="G212" s="54">
        <f>'220 nova Anderson '!$F212-10</f>
        <v>-10</v>
      </c>
      <c r="H212" s="54"/>
      <c r="I212" s="54"/>
      <c r="J212" s="54"/>
      <c r="K212" s="54"/>
      <c r="L212" s="54"/>
      <c r="M212" s="54"/>
      <c r="N212" s="54"/>
      <c r="O212" s="54"/>
      <c r="P212" s="54"/>
    </row>
    <row r="213" ht="14.25" customHeight="1">
      <c r="B213" s="140">
        <v>45440.0</v>
      </c>
      <c r="C213" s="141" t="str">
        <f t="shared" si="1"/>
        <v>5-2024</v>
      </c>
      <c r="D213" s="138">
        <v>3663.0</v>
      </c>
      <c r="E213" s="138">
        <v>3673.0</v>
      </c>
      <c r="F213" s="54">
        <f>'220 nova Anderson '!$E213-'220 nova Anderson '!$D213</f>
        <v>10</v>
      </c>
      <c r="G213" s="54">
        <f>'220 nova Anderson '!$F213-10</f>
        <v>0</v>
      </c>
      <c r="H213" s="54"/>
      <c r="I213" s="54"/>
      <c r="J213" s="54"/>
      <c r="K213" s="54"/>
      <c r="L213" s="54"/>
      <c r="M213" s="54"/>
      <c r="N213" s="54"/>
      <c r="O213" s="54"/>
      <c r="P213" s="54"/>
    </row>
    <row r="214" ht="14.25" customHeight="1">
      <c r="B214" s="140">
        <v>45441.0</v>
      </c>
      <c r="C214" s="141" t="str">
        <f t="shared" si="1"/>
        <v>5-2024</v>
      </c>
      <c r="D214" s="54">
        <f t="shared" ref="D214:D216" si="32">E213</f>
        <v>3673</v>
      </c>
      <c r="E214" s="138">
        <v>3683.0</v>
      </c>
      <c r="F214" s="54">
        <f>'220 nova Anderson '!$E214-'220 nova Anderson '!$D214</f>
        <v>10</v>
      </c>
      <c r="G214" s="54">
        <f>'220 nova Anderson '!$F214-10</f>
        <v>0</v>
      </c>
      <c r="H214" s="54"/>
      <c r="I214" s="54"/>
      <c r="J214" s="54"/>
      <c r="K214" s="54"/>
      <c r="L214" s="54"/>
      <c r="M214" s="54"/>
      <c r="N214" s="54"/>
      <c r="O214" s="54"/>
      <c r="P214" s="54"/>
    </row>
    <row r="215" ht="14.25" customHeight="1">
      <c r="B215" s="142">
        <v>45442.0</v>
      </c>
      <c r="C215" s="141" t="str">
        <f t="shared" si="1"/>
        <v>5-2024</v>
      </c>
      <c r="D215" s="54">
        <f t="shared" si="32"/>
        <v>3683</v>
      </c>
      <c r="E215" s="138">
        <v>3694.0</v>
      </c>
      <c r="F215" s="54">
        <f>'220 nova Anderson '!$E215-'220 nova Anderson '!$D215</f>
        <v>11</v>
      </c>
      <c r="G215" s="54">
        <f>'220 nova Anderson '!$F215-10</f>
        <v>1</v>
      </c>
      <c r="H215" s="54"/>
      <c r="I215" s="54"/>
      <c r="J215" s="54"/>
      <c r="K215" s="54"/>
      <c r="L215" s="54"/>
      <c r="M215" s="54"/>
      <c r="N215" s="54"/>
      <c r="O215" s="54"/>
      <c r="P215" s="54"/>
    </row>
    <row r="216" ht="14.25" customHeight="1">
      <c r="B216" s="140">
        <v>45443.0</v>
      </c>
      <c r="C216" s="141" t="str">
        <f t="shared" si="1"/>
        <v>5-2024</v>
      </c>
      <c r="D216" s="54">
        <f t="shared" si="32"/>
        <v>3694</v>
      </c>
      <c r="E216" s="138">
        <v>3704.0</v>
      </c>
      <c r="F216" s="54">
        <f>'220 nova Anderson '!$E216-'220 nova Anderson '!$D216</f>
        <v>10</v>
      </c>
      <c r="G216" s="54">
        <f>'220 nova Anderson '!$F216-10</f>
        <v>0</v>
      </c>
      <c r="H216" s="54"/>
      <c r="I216" s="54"/>
      <c r="J216" s="54"/>
      <c r="K216" s="54"/>
      <c r="L216" s="54"/>
      <c r="M216" s="54"/>
      <c r="N216" s="54"/>
      <c r="O216" s="54"/>
      <c r="P216" s="54"/>
    </row>
    <row r="217" ht="14.25" customHeight="1">
      <c r="B217" s="145">
        <v>45444.0</v>
      </c>
      <c r="C217" s="141" t="str">
        <f t="shared" si="1"/>
        <v>6-2024</v>
      </c>
      <c r="D217" s="54"/>
      <c r="E217" s="54"/>
      <c r="F217" s="54">
        <f>'220 Antiga Silvinho '!$E217-'220 Antiga Silvinho '!$D217</f>
        <v>0</v>
      </c>
      <c r="G217" s="54">
        <f>'220 nova Anderson '!$F217-10</f>
        <v>-10</v>
      </c>
      <c r="H217" s="54"/>
      <c r="I217" s="54"/>
      <c r="J217" s="54"/>
      <c r="K217" s="54"/>
      <c r="L217" s="54"/>
      <c r="M217" s="54"/>
      <c r="N217" s="54"/>
      <c r="O217" s="54"/>
      <c r="P217" s="54"/>
    </row>
    <row r="218" ht="14.25" customHeight="1">
      <c r="B218" s="145">
        <v>45445.0</v>
      </c>
      <c r="C218" s="141" t="str">
        <f t="shared" si="1"/>
        <v>6-2024</v>
      </c>
      <c r="D218" s="54" t="str">
        <f>E217</f>
        <v/>
      </c>
      <c r="E218" s="54"/>
      <c r="F218" s="54">
        <f>'220 Antiga Silvinho '!$E218-'220 Antiga Silvinho '!$D218</f>
        <v>0</v>
      </c>
      <c r="G218" s="54">
        <f>'220 nova Anderson '!$F218-10</f>
        <v>-10</v>
      </c>
      <c r="H218" s="54"/>
      <c r="I218" s="54"/>
      <c r="J218" s="54"/>
      <c r="K218" s="54"/>
      <c r="L218" s="54"/>
      <c r="M218" s="54"/>
      <c r="N218" s="54"/>
      <c r="O218" s="54"/>
      <c r="P218" s="54"/>
    </row>
    <row r="219" ht="14.25" customHeight="1">
      <c r="B219" s="140">
        <v>45446.0</v>
      </c>
      <c r="C219" s="141" t="str">
        <f t="shared" si="1"/>
        <v>6-2024</v>
      </c>
      <c r="D219" s="146">
        <v>3704.0</v>
      </c>
      <c r="E219" s="138">
        <v>3707.0</v>
      </c>
      <c r="F219" s="54">
        <f t="shared" ref="F219:F643" si="33">E219-D219</f>
        <v>3</v>
      </c>
      <c r="G219" s="54">
        <f>'220 nova Anderson '!$F219-10</f>
        <v>-7</v>
      </c>
      <c r="H219" s="54"/>
      <c r="I219" s="54"/>
      <c r="J219" s="54"/>
      <c r="K219" s="54"/>
      <c r="L219" s="54"/>
      <c r="M219" s="54"/>
      <c r="N219" s="54"/>
      <c r="O219" s="54"/>
      <c r="P219" s="54"/>
    </row>
    <row r="220" ht="14.25" customHeight="1">
      <c r="B220" s="140">
        <v>45447.0</v>
      </c>
      <c r="C220" s="141" t="str">
        <f t="shared" si="1"/>
        <v>6-2024</v>
      </c>
      <c r="D220" s="54">
        <f>E219</f>
        <v>3707</v>
      </c>
      <c r="E220" s="138">
        <v>3718.0</v>
      </c>
      <c r="F220" s="54">
        <f t="shared" si="33"/>
        <v>11</v>
      </c>
      <c r="G220" s="54">
        <f>'220 nova Anderson '!$F220-10</f>
        <v>1</v>
      </c>
      <c r="H220" s="54"/>
      <c r="I220" s="54"/>
      <c r="J220" s="54"/>
      <c r="K220" s="54"/>
      <c r="L220" s="54"/>
      <c r="M220" s="54"/>
      <c r="N220" s="54"/>
      <c r="O220" s="54"/>
      <c r="P220" s="54"/>
    </row>
    <row r="221" ht="14.25" customHeight="1">
      <c r="B221" s="140">
        <v>45448.0</v>
      </c>
      <c r="C221" s="141" t="str">
        <f t="shared" si="1"/>
        <v>6-2024</v>
      </c>
      <c r="D221" s="54"/>
      <c r="E221" s="54"/>
      <c r="F221" s="54">
        <f t="shared" si="33"/>
        <v>0</v>
      </c>
      <c r="G221" s="54">
        <f>'220 nova Anderson '!$F221-10</f>
        <v>-10</v>
      </c>
      <c r="H221" s="54"/>
      <c r="I221" s="54"/>
      <c r="J221" s="54"/>
      <c r="K221" s="54"/>
      <c r="L221" s="54"/>
      <c r="M221" s="54"/>
      <c r="N221" s="54"/>
      <c r="O221" s="54"/>
      <c r="P221" s="54"/>
    </row>
    <row r="222" ht="14.25" customHeight="1">
      <c r="B222" s="140">
        <v>45449.0</v>
      </c>
      <c r="C222" s="141" t="str">
        <f t="shared" si="1"/>
        <v>6-2024</v>
      </c>
      <c r="D222" s="138">
        <v>3718.0</v>
      </c>
      <c r="E222" s="138">
        <v>3727.0</v>
      </c>
      <c r="F222" s="54">
        <f t="shared" si="33"/>
        <v>9</v>
      </c>
      <c r="G222" s="54">
        <f>'220 nova Anderson '!$F222-10</f>
        <v>-1</v>
      </c>
      <c r="H222" s="54"/>
      <c r="I222" s="54"/>
      <c r="J222" s="54"/>
      <c r="K222" s="54"/>
      <c r="L222" s="54"/>
      <c r="M222" s="54"/>
      <c r="N222" s="54"/>
      <c r="O222" s="54"/>
      <c r="P222" s="54"/>
    </row>
    <row r="223" ht="14.25" customHeight="1">
      <c r="B223" s="140">
        <v>45450.0</v>
      </c>
      <c r="C223" s="141" t="str">
        <f t="shared" si="1"/>
        <v>6-2024</v>
      </c>
      <c r="D223" s="54">
        <f t="shared" ref="D223:D224" si="34">E222</f>
        <v>3727</v>
      </c>
      <c r="E223" s="138">
        <v>3732.4</v>
      </c>
      <c r="F223" s="54">
        <f t="shared" si="33"/>
        <v>5.4</v>
      </c>
      <c r="G223" s="54">
        <f>'220 nova Anderson '!$F223-10</f>
        <v>-4.6</v>
      </c>
      <c r="H223" s="54"/>
      <c r="I223" s="54"/>
      <c r="J223" s="54"/>
      <c r="K223" s="54"/>
      <c r="L223" s="54"/>
      <c r="M223" s="54"/>
      <c r="N223" s="54"/>
      <c r="O223" s="54"/>
      <c r="P223" s="54"/>
    </row>
    <row r="224" ht="14.25" customHeight="1">
      <c r="B224" s="145">
        <v>45451.0</v>
      </c>
      <c r="C224" s="141" t="str">
        <f t="shared" si="1"/>
        <v>6-2024</v>
      </c>
      <c r="D224" s="54">
        <f t="shared" si="34"/>
        <v>3732.4</v>
      </c>
      <c r="E224" s="138">
        <v>3733.4</v>
      </c>
      <c r="F224" s="54">
        <f t="shared" si="33"/>
        <v>1</v>
      </c>
      <c r="G224" s="54">
        <f>'220 nova Anderson '!$F224-10</f>
        <v>-9</v>
      </c>
      <c r="H224" s="54"/>
      <c r="I224" s="54"/>
      <c r="J224" s="54"/>
      <c r="K224" s="54"/>
      <c r="L224" s="54"/>
      <c r="M224" s="54"/>
      <c r="N224" s="54"/>
      <c r="O224" s="54"/>
      <c r="P224" s="54"/>
    </row>
    <row r="225" ht="14.25" customHeight="1">
      <c r="B225" s="145">
        <v>45452.0</v>
      </c>
      <c r="C225" s="141" t="str">
        <f t="shared" si="1"/>
        <v>6-2024</v>
      </c>
      <c r="D225" s="54"/>
      <c r="E225" s="54"/>
      <c r="F225" s="54">
        <f t="shared" si="33"/>
        <v>0</v>
      </c>
      <c r="G225" s="54">
        <f>'220 nova Anderson '!$F225-10</f>
        <v>-10</v>
      </c>
      <c r="H225" s="54"/>
      <c r="I225" s="54"/>
      <c r="J225" s="54"/>
      <c r="K225" s="54"/>
      <c r="L225" s="54"/>
      <c r="M225" s="54"/>
      <c r="N225" s="54"/>
      <c r="O225" s="54"/>
      <c r="P225" s="54"/>
    </row>
    <row r="226" ht="14.25" customHeight="1">
      <c r="B226" s="140">
        <v>45453.0</v>
      </c>
      <c r="C226" s="141" t="str">
        <f t="shared" si="1"/>
        <v>6-2024</v>
      </c>
      <c r="D226" s="138">
        <v>3733.4</v>
      </c>
      <c r="E226" s="138">
        <v>3742.0</v>
      </c>
      <c r="F226" s="54">
        <f t="shared" si="33"/>
        <v>8.6</v>
      </c>
      <c r="G226" s="54">
        <f>'220 nova Anderson '!$F226-10</f>
        <v>-1.4</v>
      </c>
      <c r="H226" s="54"/>
      <c r="I226" s="54"/>
      <c r="J226" s="54"/>
      <c r="K226" s="54"/>
      <c r="L226" s="54"/>
      <c r="M226" s="54"/>
      <c r="N226" s="54"/>
      <c r="O226" s="54"/>
      <c r="P226" s="54"/>
    </row>
    <row r="227" ht="14.25" customHeight="1">
      <c r="B227" s="140">
        <v>45454.0</v>
      </c>
      <c r="C227" s="141" t="str">
        <f t="shared" si="1"/>
        <v>6-2024</v>
      </c>
      <c r="D227" s="54">
        <f t="shared" ref="D227:D230" si="35">E226</f>
        <v>3742</v>
      </c>
      <c r="E227" s="138">
        <v>3753.0</v>
      </c>
      <c r="F227" s="54">
        <f t="shared" si="33"/>
        <v>11</v>
      </c>
      <c r="G227" s="54">
        <f>'220 nova Anderson '!$F227-10</f>
        <v>1</v>
      </c>
      <c r="H227" s="54"/>
      <c r="I227" s="54"/>
      <c r="J227" s="54"/>
      <c r="K227" s="54"/>
      <c r="L227" s="54"/>
      <c r="M227" s="54"/>
      <c r="N227" s="54"/>
      <c r="O227" s="54"/>
      <c r="P227" s="54"/>
    </row>
    <row r="228" ht="14.25" customHeight="1">
      <c r="B228" s="140">
        <v>45455.0</v>
      </c>
      <c r="C228" s="141" t="str">
        <f t="shared" si="1"/>
        <v>6-2024</v>
      </c>
      <c r="D228" s="54">
        <f t="shared" si="35"/>
        <v>3753</v>
      </c>
      <c r="E228" s="138">
        <v>3762.0</v>
      </c>
      <c r="F228" s="54">
        <f t="shared" si="33"/>
        <v>9</v>
      </c>
      <c r="G228" s="54">
        <f>'220 nova Anderson '!$F228-10</f>
        <v>-1</v>
      </c>
      <c r="H228" s="54"/>
      <c r="I228" s="54"/>
      <c r="J228" s="54"/>
      <c r="K228" s="54"/>
      <c r="L228" s="54"/>
      <c r="M228" s="54"/>
      <c r="N228" s="54"/>
      <c r="O228" s="54"/>
      <c r="P228" s="54"/>
    </row>
    <row r="229" ht="14.25" customHeight="1">
      <c r="B229" s="140">
        <v>45456.0</v>
      </c>
      <c r="C229" s="141" t="str">
        <f t="shared" si="1"/>
        <v>6-2024</v>
      </c>
      <c r="D229" s="54">
        <f t="shared" si="35"/>
        <v>3762</v>
      </c>
      <c r="E229" s="138">
        <v>3772.0</v>
      </c>
      <c r="F229" s="54">
        <f t="shared" si="33"/>
        <v>10</v>
      </c>
      <c r="G229" s="54">
        <f>'220 nova Anderson '!$F229-10</f>
        <v>0</v>
      </c>
      <c r="H229" s="54"/>
      <c r="I229" s="54"/>
      <c r="J229" s="54"/>
      <c r="K229" s="54"/>
      <c r="L229" s="54"/>
      <c r="M229" s="54"/>
      <c r="N229" s="54"/>
      <c r="O229" s="54"/>
      <c r="P229" s="54"/>
    </row>
    <row r="230" ht="14.25" customHeight="1">
      <c r="B230" s="140">
        <v>45457.0</v>
      </c>
      <c r="C230" s="141" t="str">
        <f t="shared" si="1"/>
        <v>6-2024</v>
      </c>
      <c r="D230" s="54">
        <f t="shared" si="35"/>
        <v>3772</v>
      </c>
      <c r="E230" s="138">
        <v>3778.0</v>
      </c>
      <c r="F230" s="54">
        <f t="shared" si="33"/>
        <v>6</v>
      </c>
      <c r="G230" s="54">
        <f>'220 nova Anderson '!$F230-10</f>
        <v>-4</v>
      </c>
      <c r="H230" s="54"/>
      <c r="I230" s="54"/>
      <c r="J230" s="54"/>
      <c r="K230" s="54"/>
      <c r="L230" s="54"/>
      <c r="M230" s="54"/>
      <c r="N230" s="54"/>
      <c r="O230" s="54"/>
      <c r="P230" s="54"/>
    </row>
    <row r="231" ht="14.25" customHeight="1">
      <c r="B231" s="145">
        <v>45458.0</v>
      </c>
      <c r="C231" s="141" t="str">
        <f t="shared" si="1"/>
        <v>6-2024</v>
      </c>
      <c r="D231" s="54"/>
      <c r="E231" s="54"/>
      <c r="F231" s="54">
        <f t="shared" si="33"/>
        <v>0</v>
      </c>
      <c r="G231" s="54">
        <f>'220 nova Anderson '!$F231-10</f>
        <v>-10</v>
      </c>
      <c r="H231" s="54"/>
      <c r="I231" s="54"/>
      <c r="J231" s="54"/>
      <c r="K231" s="54"/>
      <c r="L231" s="54"/>
      <c r="M231" s="54"/>
      <c r="N231" s="54"/>
      <c r="O231" s="54"/>
      <c r="P231" s="54"/>
    </row>
    <row r="232" ht="14.25" customHeight="1">
      <c r="B232" s="145">
        <v>45459.0</v>
      </c>
      <c r="C232" s="141" t="str">
        <f t="shared" si="1"/>
        <v>6-2024</v>
      </c>
      <c r="D232" s="54"/>
      <c r="E232" s="138"/>
      <c r="F232" s="54">
        <f t="shared" si="33"/>
        <v>0</v>
      </c>
      <c r="G232" s="54">
        <f>'220 nova Anderson '!$F232-10</f>
        <v>-10</v>
      </c>
      <c r="H232" s="54"/>
      <c r="I232" s="54"/>
      <c r="J232" s="54"/>
      <c r="K232" s="54"/>
      <c r="L232" s="54"/>
      <c r="M232" s="54"/>
    </row>
    <row r="233" ht="14.25" customHeight="1">
      <c r="B233" s="140">
        <v>45460.0</v>
      </c>
      <c r="C233" s="141" t="str">
        <f t="shared" si="1"/>
        <v>6-2024</v>
      </c>
      <c r="D233" s="138">
        <v>3778.0</v>
      </c>
      <c r="E233" s="138">
        <v>3784.0</v>
      </c>
      <c r="F233" s="54">
        <f t="shared" si="33"/>
        <v>6</v>
      </c>
      <c r="G233" s="54">
        <f>'220 nova Anderson '!$F233-10</f>
        <v>-4</v>
      </c>
      <c r="H233" s="54"/>
      <c r="I233" s="54"/>
      <c r="J233" s="54"/>
      <c r="K233" s="54"/>
      <c r="L233" s="54"/>
      <c r="M233" s="54"/>
    </row>
    <row r="234" ht="14.25" customHeight="1">
      <c r="B234" s="140">
        <v>45461.0</v>
      </c>
      <c r="C234" s="141" t="str">
        <f t="shared" si="1"/>
        <v>6-2024</v>
      </c>
      <c r="D234" s="54">
        <f t="shared" ref="D234:D238" si="36">E233</f>
        <v>3784</v>
      </c>
      <c r="E234" s="138">
        <v>3794.0</v>
      </c>
      <c r="F234" s="54">
        <f t="shared" si="33"/>
        <v>10</v>
      </c>
      <c r="G234" s="54">
        <f>'220 nova Anderson '!$F234-10</f>
        <v>0</v>
      </c>
      <c r="H234" s="54"/>
      <c r="I234" s="54"/>
      <c r="J234" s="54"/>
      <c r="K234" s="54"/>
      <c r="L234" s="54"/>
      <c r="M234" s="54"/>
    </row>
    <row r="235" ht="14.25" customHeight="1">
      <c r="B235" s="140">
        <v>45462.0</v>
      </c>
      <c r="C235" s="141" t="str">
        <f t="shared" si="1"/>
        <v>6-2024</v>
      </c>
      <c r="D235" s="54">
        <f t="shared" si="36"/>
        <v>3794</v>
      </c>
      <c r="E235" s="138">
        <v>3803.0</v>
      </c>
      <c r="F235" s="54">
        <f t="shared" si="33"/>
        <v>9</v>
      </c>
      <c r="G235" s="54">
        <f>'220 nova Anderson '!$F235-10</f>
        <v>-1</v>
      </c>
      <c r="H235" s="54"/>
      <c r="I235" s="54"/>
      <c r="J235" s="54"/>
      <c r="K235" s="54"/>
      <c r="L235" s="54"/>
      <c r="M235" s="54"/>
    </row>
    <row r="236" ht="14.25" customHeight="1">
      <c r="B236" s="140">
        <v>45463.0</v>
      </c>
      <c r="C236" s="141" t="str">
        <f t="shared" si="1"/>
        <v>6-2024</v>
      </c>
      <c r="D236" s="54">
        <f t="shared" si="36"/>
        <v>3803</v>
      </c>
      <c r="E236" s="138">
        <v>3806.6</v>
      </c>
      <c r="F236" s="54">
        <f t="shared" si="33"/>
        <v>3.6</v>
      </c>
      <c r="G236" s="54">
        <f>'220 nova Anderson '!$F236-10</f>
        <v>-6.4</v>
      </c>
      <c r="H236" s="54"/>
      <c r="I236" s="54"/>
      <c r="J236" s="54"/>
      <c r="K236" s="54"/>
      <c r="L236" s="54"/>
      <c r="M236" s="54"/>
    </row>
    <row r="237" ht="14.25" customHeight="1">
      <c r="B237" s="140">
        <v>45464.0</v>
      </c>
      <c r="C237" s="141" t="str">
        <f t="shared" si="1"/>
        <v>6-2024</v>
      </c>
      <c r="D237" s="54">
        <f t="shared" si="36"/>
        <v>3806.6</v>
      </c>
      <c r="E237" s="138">
        <v>3812.0</v>
      </c>
      <c r="F237" s="54">
        <f t="shared" si="33"/>
        <v>5.4</v>
      </c>
      <c r="G237" s="54">
        <f>'220 nova Anderson '!$F237-10</f>
        <v>-4.6</v>
      </c>
      <c r="H237" s="54"/>
      <c r="I237" s="54"/>
      <c r="J237" s="54"/>
      <c r="K237" s="54"/>
      <c r="L237" s="54"/>
      <c r="M237" s="54"/>
    </row>
    <row r="238" ht="14.25" customHeight="1">
      <c r="B238" s="145">
        <v>45465.0</v>
      </c>
      <c r="C238" s="141" t="str">
        <f t="shared" si="1"/>
        <v>6-2024</v>
      </c>
      <c r="D238" s="54">
        <f t="shared" si="36"/>
        <v>3812</v>
      </c>
      <c r="E238" s="138">
        <v>3816.0</v>
      </c>
      <c r="F238" s="54">
        <f t="shared" si="33"/>
        <v>4</v>
      </c>
      <c r="G238" s="54">
        <f>'220 nova Anderson '!$F238-10</f>
        <v>-6</v>
      </c>
      <c r="H238" s="54"/>
      <c r="I238" s="54"/>
      <c r="J238" s="54"/>
      <c r="K238" s="54"/>
      <c r="L238" s="54"/>
      <c r="M238" s="54"/>
    </row>
    <row r="239" ht="14.25" customHeight="1">
      <c r="B239" s="145">
        <v>45466.0</v>
      </c>
      <c r="C239" s="141" t="str">
        <f t="shared" si="1"/>
        <v>6-2024</v>
      </c>
      <c r="D239" s="54"/>
      <c r="E239" s="54"/>
      <c r="F239" s="54">
        <f t="shared" si="33"/>
        <v>0</v>
      </c>
      <c r="G239" s="54">
        <f t="shared" ref="G239:G865" si="37">F239-10</f>
        <v>-10</v>
      </c>
      <c r="H239" s="54"/>
      <c r="I239" s="54"/>
      <c r="J239" s="54"/>
      <c r="K239" s="54"/>
      <c r="L239" s="54"/>
      <c r="M239" s="54"/>
    </row>
    <row r="240" ht="14.25" customHeight="1">
      <c r="B240" s="140">
        <v>45467.0</v>
      </c>
      <c r="C240" s="141" t="str">
        <f t="shared" si="1"/>
        <v>6-2024</v>
      </c>
      <c r="D240" s="138">
        <v>3816.0</v>
      </c>
      <c r="E240" s="138">
        <v>3824.0</v>
      </c>
      <c r="F240" s="54">
        <f t="shared" si="33"/>
        <v>8</v>
      </c>
      <c r="G240" s="54">
        <f t="shared" si="37"/>
        <v>-2</v>
      </c>
      <c r="H240" s="54"/>
      <c r="I240" s="54"/>
      <c r="J240" s="54"/>
      <c r="K240" s="54"/>
      <c r="L240" s="54"/>
      <c r="M240" s="54"/>
    </row>
    <row r="241" ht="14.25" customHeight="1">
      <c r="B241" s="140">
        <v>45468.0</v>
      </c>
      <c r="C241" s="141" t="str">
        <f t="shared" si="1"/>
        <v>6-2024</v>
      </c>
      <c r="D241" s="54">
        <f t="shared" ref="D241:D245" si="38">E240</f>
        <v>3824</v>
      </c>
      <c r="E241" s="138">
        <v>3830.5</v>
      </c>
      <c r="F241" s="54">
        <f t="shared" si="33"/>
        <v>6.5</v>
      </c>
      <c r="G241" s="54">
        <f t="shared" si="37"/>
        <v>-3.5</v>
      </c>
      <c r="H241" s="54"/>
      <c r="I241" s="54"/>
      <c r="J241" s="54"/>
      <c r="K241" s="54"/>
      <c r="L241" s="54"/>
      <c r="M241" s="54"/>
    </row>
    <row r="242" ht="14.25" customHeight="1">
      <c r="B242" s="140">
        <v>45469.0</v>
      </c>
      <c r="C242" s="141" t="str">
        <f t="shared" si="1"/>
        <v>6-2024</v>
      </c>
      <c r="D242" s="54">
        <f t="shared" si="38"/>
        <v>3830.5</v>
      </c>
      <c r="E242" s="138">
        <v>3836.0</v>
      </c>
      <c r="F242" s="54">
        <f t="shared" si="33"/>
        <v>5.5</v>
      </c>
      <c r="G242" s="54">
        <f t="shared" si="37"/>
        <v>-4.5</v>
      </c>
      <c r="H242" s="54"/>
      <c r="I242" s="54"/>
      <c r="J242" s="54"/>
      <c r="K242" s="54"/>
      <c r="L242" s="54"/>
      <c r="M242" s="54"/>
    </row>
    <row r="243" ht="14.25" customHeight="1">
      <c r="B243" s="140">
        <v>45470.0</v>
      </c>
      <c r="C243" s="141" t="str">
        <f t="shared" si="1"/>
        <v>6-2024</v>
      </c>
      <c r="D243" s="54">
        <f t="shared" si="38"/>
        <v>3836</v>
      </c>
      <c r="E243" s="138">
        <v>3844.0</v>
      </c>
      <c r="F243" s="54">
        <f t="shared" si="33"/>
        <v>8</v>
      </c>
      <c r="G243" s="54">
        <f t="shared" si="37"/>
        <v>-2</v>
      </c>
      <c r="H243" s="54"/>
      <c r="I243" s="54"/>
      <c r="J243" s="54"/>
      <c r="K243" s="54"/>
      <c r="L243" s="54"/>
      <c r="M243" s="54"/>
    </row>
    <row r="244" ht="14.25" customHeight="1">
      <c r="B244" s="140">
        <v>45471.0</v>
      </c>
      <c r="C244" s="141" t="str">
        <f t="shared" si="1"/>
        <v>6-2024</v>
      </c>
      <c r="D244" s="54">
        <f t="shared" si="38"/>
        <v>3844</v>
      </c>
      <c r="E244" s="138">
        <v>3854.0</v>
      </c>
      <c r="F244" s="54">
        <f t="shared" si="33"/>
        <v>10</v>
      </c>
      <c r="G244" s="54">
        <f t="shared" si="37"/>
        <v>0</v>
      </c>
      <c r="H244" s="54"/>
      <c r="I244" s="54"/>
      <c r="J244" s="54"/>
      <c r="K244" s="54"/>
      <c r="L244" s="54"/>
      <c r="M244" s="54"/>
    </row>
    <row r="245" ht="14.25" customHeight="1">
      <c r="B245" s="145">
        <v>45472.0</v>
      </c>
      <c r="C245" s="141" t="str">
        <f t="shared" si="1"/>
        <v>6-2024</v>
      </c>
      <c r="D245" s="54">
        <f t="shared" si="38"/>
        <v>3854</v>
      </c>
      <c r="E245" s="138">
        <v>3860.0</v>
      </c>
      <c r="F245" s="54">
        <f t="shared" si="33"/>
        <v>6</v>
      </c>
      <c r="G245" s="54">
        <f t="shared" si="37"/>
        <v>-4</v>
      </c>
      <c r="H245" s="54"/>
      <c r="I245" s="54"/>
      <c r="J245" s="54"/>
      <c r="K245" s="54"/>
      <c r="L245" s="54"/>
      <c r="M245" s="54"/>
    </row>
    <row r="246" ht="14.25" customHeight="1">
      <c r="B246" s="145">
        <v>45473.0</v>
      </c>
      <c r="C246" s="141" t="str">
        <f t="shared" si="1"/>
        <v>6-2024</v>
      </c>
      <c r="D246" s="54"/>
      <c r="E246" s="54"/>
      <c r="F246" s="54">
        <f t="shared" si="33"/>
        <v>0</v>
      </c>
      <c r="G246" s="54">
        <f t="shared" si="37"/>
        <v>-10</v>
      </c>
      <c r="H246" s="54"/>
      <c r="I246" s="54"/>
      <c r="J246" s="54"/>
      <c r="K246" s="54"/>
      <c r="L246" s="54"/>
      <c r="M246" s="54"/>
    </row>
    <row r="247" ht="14.25" customHeight="1">
      <c r="B247" s="140">
        <v>45474.0</v>
      </c>
      <c r="C247" s="141" t="str">
        <f t="shared" si="1"/>
        <v>7-2024</v>
      </c>
      <c r="D247" s="138">
        <v>3860.0</v>
      </c>
      <c r="E247" s="138">
        <v>3863.0</v>
      </c>
      <c r="F247" s="54">
        <f t="shared" si="33"/>
        <v>3</v>
      </c>
      <c r="G247" s="54">
        <f t="shared" si="37"/>
        <v>-7</v>
      </c>
      <c r="H247" s="54"/>
      <c r="I247" s="54"/>
      <c r="J247" s="54"/>
      <c r="K247" s="54"/>
      <c r="L247" s="54"/>
      <c r="M247" s="54"/>
    </row>
    <row r="248" ht="14.25" customHeight="1">
      <c r="B248" s="140">
        <v>45475.0</v>
      </c>
      <c r="C248" s="141" t="str">
        <f t="shared" si="1"/>
        <v>7-2024</v>
      </c>
      <c r="D248" s="54">
        <f t="shared" ref="D248:D251" si="39">E247</f>
        <v>3863</v>
      </c>
      <c r="E248" s="138">
        <v>3864.2</v>
      </c>
      <c r="F248" s="54">
        <f t="shared" si="33"/>
        <v>1.2</v>
      </c>
      <c r="G248" s="54">
        <f t="shared" si="37"/>
        <v>-8.8</v>
      </c>
      <c r="H248" s="54"/>
      <c r="I248" s="54"/>
      <c r="J248" s="54"/>
      <c r="K248" s="54"/>
      <c r="L248" s="54"/>
      <c r="M248" s="54"/>
    </row>
    <row r="249" ht="14.25" customHeight="1">
      <c r="B249" s="140">
        <v>45476.0</v>
      </c>
      <c r="C249" s="141" t="str">
        <f t="shared" si="1"/>
        <v>7-2024</v>
      </c>
      <c r="D249" s="54">
        <f t="shared" si="39"/>
        <v>3864.2</v>
      </c>
      <c r="E249" s="138">
        <v>3872.0</v>
      </c>
      <c r="F249" s="54">
        <f t="shared" si="33"/>
        <v>7.8</v>
      </c>
      <c r="G249" s="54">
        <f t="shared" si="37"/>
        <v>-2.2</v>
      </c>
      <c r="H249" s="54"/>
      <c r="I249" s="54"/>
      <c r="J249" s="54"/>
      <c r="K249" s="54"/>
      <c r="L249" s="54"/>
      <c r="M249" s="54"/>
    </row>
    <row r="250" ht="14.25" customHeight="1">
      <c r="B250" s="147">
        <v>45477.0</v>
      </c>
      <c r="C250" s="141" t="str">
        <f t="shared" si="1"/>
        <v>7-2024</v>
      </c>
      <c r="D250" s="54">
        <f t="shared" si="39"/>
        <v>3872</v>
      </c>
      <c r="E250" s="138">
        <v>3879.4</v>
      </c>
      <c r="F250" s="54">
        <f t="shared" si="33"/>
        <v>7.4</v>
      </c>
      <c r="G250" s="54">
        <f t="shared" si="37"/>
        <v>-2.6</v>
      </c>
      <c r="H250" s="54"/>
      <c r="I250" s="54"/>
      <c r="J250" s="54"/>
      <c r="K250" s="54"/>
      <c r="L250" s="54"/>
      <c r="M250" s="54"/>
    </row>
    <row r="251" ht="14.25" customHeight="1">
      <c r="B251" s="147">
        <v>45478.0</v>
      </c>
      <c r="C251" s="141" t="str">
        <f t="shared" si="1"/>
        <v>7-2024</v>
      </c>
      <c r="D251" s="54">
        <f t="shared" si="39"/>
        <v>3879.4</v>
      </c>
      <c r="E251" s="138">
        <v>3886.2</v>
      </c>
      <c r="F251" s="54">
        <f t="shared" si="33"/>
        <v>6.8</v>
      </c>
      <c r="G251" s="54">
        <f t="shared" si="37"/>
        <v>-3.2</v>
      </c>
      <c r="H251" s="54"/>
      <c r="I251" s="54"/>
      <c r="J251" s="54"/>
      <c r="K251" s="54"/>
      <c r="L251" s="54"/>
      <c r="M251" s="54"/>
    </row>
    <row r="252" ht="14.25" customHeight="1">
      <c r="B252" s="140">
        <v>45479.0</v>
      </c>
      <c r="C252" s="141" t="str">
        <f t="shared" si="1"/>
        <v>7-2024</v>
      </c>
      <c r="D252" s="54"/>
      <c r="E252" s="54"/>
      <c r="F252" s="54">
        <f t="shared" si="33"/>
        <v>0</v>
      </c>
      <c r="G252" s="54">
        <f t="shared" si="37"/>
        <v>-10</v>
      </c>
      <c r="H252" s="54"/>
      <c r="I252" s="54"/>
      <c r="J252" s="54"/>
      <c r="K252" s="54"/>
      <c r="L252" s="54"/>
      <c r="M252" s="54"/>
    </row>
    <row r="253" ht="14.25" customHeight="1">
      <c r="B253" s="145">
        <v>45480.0</v>
      </c>
      <c r="C253" s="141" t="str">
        <f t="shared" si="1"/>
        <v>7-2024</v>
      </c>
      <c r="D253" s="54" t="str">
        <f>E252</f>
        <v/>
      </c>
      <c r="E253" s="54"/>
      <c r="F253" s="54">
        <f t="shared" si="33"/>
        <v>0</v>
      </c>
      <c r="G253" s="54">
        <f t="shared" si="37"/>
        <v>-10</v>
      </c>
      <c r="H253" s="54"/>
      <c r="I253" s="54"/>
      <c r="J253" s="54"/>
      <c r="K253" s="54"/>
      <c r="L253" s="54"/>
      <c r="M253" s="54"/>
    </row>
    <row r="254" ht="14.25" customHeight="1">
      <c r="B254" s="145">
        <v>45481.0</v>
      </c>
      <c r="C254" s="141" t="str">
        <f t="shared" si="1"/>
        <v>7-2024</v>
      </c>
      <c r="D254" s="138">
        <v>3886.2</v>
      </c>
      <c r="E254" s="138">
        <v>3894.8</v>
      </c>
      <c r="F254" s="54">
        <f t="shared" si="33"/>
        <v>8.6</v>
      </c>
      <c r="G254" s="54">
        <f t="shared" si="37"/>
        <v>-1.4</v>
      </c>
      <c r="H254" s="54"/>
      <c r="I254" s="54"/>
      <c r="J254" s="54"/>
      <c r="K254" s="54"/>
      <c r="L254" s="54"/>
      <c r="M254" s="54"/>
    </row>
    <row r="255" ht="14.25" customHeight="1">
      <c r="B255" s="140">
        <v>45482.0</v>
      </c>
      <c r="C255" s="141" t="str">
        <f t="shared" si="1"/>
        <v>7-2024</v>
      </c>
      <c r="D255" s="54">
        <f t="shared" ref="D255:D259" si="40">E254</f>
        <v>3894.8</v>
      </c>
      <c r="E255" s="138">
        <v>3902.0</v>
      </c>
      <c r="F255" s="54">
        <f t="shared" si="33"/>
        <v>7.2</v>
      </c>
      <c r="G255" s="54">
        <f t="shared" si="37"/>
        <v>-2.8</v>
      </c>
      <c r="H255" s="54"/>
      <c r="I255" s="54"/>
      <c r="J255" s="54"/>
      <c r="K255" s="54"/>
      <c r="L255" s="54"/>
      <c r="M255" s="54"/>
      <c r="N255" s="54"/>
    </row>
    <row r="256" ht="14.25" customHeight="1">
      <c r="B256" s="140">
        <v>45483.0</v>
      </c>
      <c r="C256" s="141" t="str">
        <f t="shared" si="1"/>
        <v>7-2024</v>
      </c>
      <c r="D256" s="54">
        <f t="shared" si="40"/>
        <v>3902</v>
      </c>
      <c r="E256" s="138">
        <v>3911.0</v>
      </c>
      <c r="F256" s="54">
        <f t="shared" si="33"/>
        <v>9</v>
      </c>
      <c r="G256" s="54">
        <f t="shared" si="37"/>
        <v>-1</v>
      </c>
      <c r="H256" s="54"/>
      <c r="I256" s="54"/>
      <c r="J256" s="54"/>
      <c r="K256" s="54"/>
      <c r="L256" s="54"/>
      <c r="M256" s="54"/>
      <c r="N256" s="54"/>
    </row>
    <row r="257" ht="14.25" customHeight="1">
      <c r="B257" s="140">
        <v>45484.0</v>
      </c>
      <c r="C257" s="141" t="str">
        <f t="shared" si="1"/>
        <v>7-2024</v>
      </c>
      <c r="D257" s="54">
        <f t="shared" si="40"/>
        <v>3911</v>
      </c>
      <c r="E257" s="138">
        <v>3921.0</v>
      </c>
      <c r="F257" s="54">
        <f t="shared" si="33"/>
        <v>10</v>
      </c>
      <c r="G257" s="54">
        <f t="shared" si="37"/>
        <v>0</v>
      </c>
      <c r="H257" s="54"/>
      <c r="I257" s="54"/>
      <c r="J257" s="54"/>
      <c r="K257" s="54"/>
      <c r="L257" s="54"/>
      <c r="M257" s="54"/>
      <c r="N257" s="54"/>
    </row>
    <row r="258" ht="14.25" customHeight="1">
      <c r="B258" s="140">
        <v>45485.0</v>
      </c>
      <c r="C258" s="141" t="str">
        <f t="shared" si="1"/>
        <v>7-2024</v>
      </c>
      <c r="D258" s="54">
        <f t="shared" si="40"/>
        <v>3921</v>
      </c>
      <c r="E258" s="138">
        <v>3929.0</v>
      </c>
      <c r="F258" s="54">
        <f t="shared" si="33"/>
        <v>8</v>
      </c>
      <c r="G258" s="54">
        <f t="shared" si="37"/>
        <v>-2</v>
      </c>
      <c r="H258" s="54"/>
      <c r="I258" s="54"/>
      <c r="J258" s="54"/>
      <c r="K258" s="54"/>
      <c r="L258" s="54"/>
      <c r="M258" s="54"/>
      <c r="N258" s="54"/>
    </row>
    <row r="259" ht="14.25" customHeight="1">
      <c r="B259" s="145">
        <v>45486.0</v>
      </c>
      <c r="C259" s="141" t="str">
        <f t="shared" si="1"/>
        <v>7-2024</v>
      </c>
      <c r="D259" s="54">
        <f t="shared" si="40"/>
        <v>3929</v>
      </c>
      <c r="E259" s="138">
        <v>3934.0</v>
      </c>
      <c r="F259" s="54">
        <f t="shared" si="33"/>
        <v>5</v>
      </c>
      <c r="G259" s="54">
        <f t="shared" si="37"/>
        <v>-5</v>
      </c>
      <c r="H259" s="54"/>
      <c r="I259" s="54"/>
      <c r="J259" s="54"/>
      <c r="K259" s="54"/>
      <c r="L259" s="54"/>
      <c r="M259" s="54"/>
    </row>
    <row r="260" ht="14.25" customHeight="1">
      <c r="B260" s="145">
        <v>45487.0</v>
      </c>
      <c r="C260" s="141" t="str">
        <f t="shared" si="1"/>
        <v>7-2024</v>
      </c>
      <c r="D260" s="138"/>
      <c r="E260" s="54"/>
      <c r="F260" s="54">
        <f t="shared" si="33"/>
        <v>0</v>
      </c>
      <c r="G260" s="54">
        <f t="shared" si="37"/>
        <v>-10</v>
      </c>
      <c r="H260" s="54"/>
      <c r="I260" s="54"/>
      <c r="J260" s="54"/>
      <c r="K260" s="54"/>
      <c r="L260" s="54"/>
      <c r="M260" s="54"/>
    </row>
    <row r="261" ht="14.25" customHeight="1">
      <c r="B261" s="140">
        <v>45488.0</v>
      </c>
      <c r="C261" s="141" t="str">
        <f t="shared" si="1"/>
        <v>7-2024</v>
      </c>
      <c r="D261" s="138">
        <v>3934.0</v>
      </c>
      <c r="E261" s="138">
        <v>3944.0</v>
      </c>
      <c r="F261" s="54">
        <f t="shared" si="33"/>
        <v>10</v>
      </c>
      <c r="G261" s="54">
        <f t="shared" si="37"/>
        <v>0</v>
      </c>
      <c r="H261" s="54"/>
      <c r="I261" s="54"/>
      <c r="J261" s="54"/>
      <c r="K261" s="54"/>
      <c r="L261" s="54"/>
      <c r="M261" s="54"/>
    </row>
    <row r="262" ht="14.25" customHeight="1">
      <c r="B262" s="140">
        <v>45489.0</v>
      </c>
      <c r="C262" s="141" t="str">
        <f t="shared" si="1"/>
        <v>7-2024</v>
      </c>
      <c r="D262" s="54">
        <f t="shared" ref="D262:D266" si="41">E261</f>
        <v>3944</v>
      </c>
      <c r="E262" s="138">
        <v>3952.0</v>
      </c>
      <c r="F262" s="54">
        <f t="shared" si="33"/>
        <v>8</v>
      </c>
      <c r="G262" s="54">
        <f t="shared" si="37"/>
        <v>-2</v>
      </c>
      <c r="H262" s="54"/>
      <c r="I262" s="54"/>
      <c r="J262" s="54"/>
      <c r="K262" s="54"/>
      <c r="L262" s="54"/>
      <c r="M262" s="54"/>
    </row>
    <row r="263" ht="14.25" customHeight="1">
      <c r="B263" s="140">
        <v>45490.0</v>
      </c>
      <c r="C263" s="141" t="str">
        <f t="shared" si="1"/>
        <v>7-2024</v>
      </c>
      <c r="D263" s="54">
        <f t="shared" si="41"/>
        <v>3952</v>
      </c>
      <c r="E263" s="138">
        <v>3961.0</v>
      </c>
      <c r="F263" s="54">
        <f t="shared" si="33"/>
        <v>9</v>
      </c>
      <c r="G263" s="54">
        <f t="shared" si="37"/>
        <v>-1</v>
      </c>
      <c r="H263" s="54"/>
      <c r="I263" s="54"/>
      <c r="J263" s="54"/>
      <c r="K263" s="54"/>
      <c r="L263" s="54"/>
      <c r="M263" s="54"/>
    </row>
    <row r="264" ht="14.25" customHeight="1">
      <c r="B264" s="140">
        <v>45491.0</v>
      </c>
      <c r="C264" s="141" t="str">
        <f t="shared" si="1"/>
        <v>7-2024</v>
      </c>
      <c r="D264" s="54">
        <f t="shared" si="41"/>
        <v>3961</v>
      </c>
      <c r="E264" s="138">
        <v>3971.0</v>
      </c>
      <c r="F264" s="54">
        <f t="shared" si="33"/>
        <v>10</v>
      </c>
      <c r="G264" s="54">
        <f t="shared" si="37"/>
        <v>0</v>
      </c>
      <c r="H264" s="54"/>
      <c r="I264" s="54"/>
      <c r="J264" s="54"/>
      <c r="K264" s="54"/>
      <c r="L264" s="54"/>
      <c r="M264" s="54"/>
    </row>
    <row r="265" ht="14.25" customHeight="1">
      <c r="B265" s="140">
        <v>45492.0</v>
      </c>
      <c r="C265" s="141" t="str">
        <f t="shared" si="1"/>
        <v>7-2024</v>
      </c>
      <c r="D265" s="54">
        <f t="shared" si="41"/>
        <v>3971</v>
      </c>
      <c r="E265" s="138">
        <v>3979.0</v>
      </c>
      <c r="F265" s="54">
        <f t="shared" si="33"/>
        <v>8</v>
      </c>
      <c r="G265" s="54">
        <f t="shared" si="37"/>
        <v>-2</v>
      </c>
      <c r="H265" s="54"/>
      <c r="I265" s="54"/>
      <c r="J265" s="54"/>
      <c r="K265" s="54"/>
      <c r="L265" s="54"/>
      <c r="M265" s="54"/>
    </row>
    <row r="266" ht="14.25" customHeight="1">
      <c r="B266" s="145">
        <v>45493.0</v>
      </c>
      <c r="C266" s="141" t="str">
        <f t="shared" si="1"/>
        <v>7-2024</v>
      </c>
      <c r="D266" s="54">
        <f t="shared" si="41"/>
        <v>3979</v>
      </c>
      <c r="E266" s="138">
        <v>3984.0</v>
      </c>
      <c r="F266" s="54">
        <f t="shared" si="33"/>
        <v>5</v>
      </c>
      <c r="G266" s="54">
        <f t="shared" si="37"/>
        <v>-5</v>
      </c>
      <c r="H266" s="54"/>
      <c r="I266" s="54"/>
      <c r="J266" s="54"/>
      <c r="K266" s="54"/>
      <c r="L266" s="54"/>
      <c r="M266" s="54"/>
    </row>
    <row r="267" ht="14.25" customHeight="1">
      <c r="B267" s="145">
        <v>45494.0</v>
      </c>
      <c r="C267" s="141" t="str">
        <f t="shared" si="1"/>
        <v>7-2024</v>
      </c>
      <c r="D267" s="54"/>
      <c r="E267" s="54"/>
      <c r="F267" s="54">
        <f t="shared" si="33"/>
        <v>0</v>
      </c>
      <c r="G267" s="54">
        <f t="shared" si="37"/>
        <v>-10</v>
      </c>
      <c r="H267" s="54"/>
      <c r="I267" s="54"/>
      <c r="J267" s="54"/>
      <c r="K267" s="54"/>
      <c r="L267" s="54"/>
      <c r="M267" s="54"/>
    </row>
    <row r="268" ht="14.25" customHeight="1">
      <c r="B268" s="140">
        <v>45495.0</v>
      </c>
      <c r="C268" s="141" t="str">
        <f t="shared" si="1"/>
        <v>7-2024</v>
      </c>
      <c r="D268" s="138">
        <v>3984.0</v>
      </c>
      <c r="E268" s="138">
        <v>3991.0</v>
      </c>
      <c r="F268" s="54">
        <f t="shared" si="33"/>
        <v>7</v>
      </c>
      <c r="G268" s="54">
        <f t="shared" si="37"/>
        <v>-3</v>
      </c>
      <c r="H268" s="54"/>
      <c r="I268" s="54"/>
      <c r="J268" s="54"/>
      <c r="K268" s="54"/>
      <c r="L268" s="54"/>
      <c r="M268" s="54"/>
    </row>
    <row r="269" ht="14.25" customHeight="1">
      <c r="B269" s="140">
        <v>45496.0</v>
      </c>
      <c r="C269" s="141" t="str">
        <f t="shared" si="1"/>
        <v>7-2024</v>
      </c>
      <c r="D269" s="54">
        <f t="shared" ref="D269:D273" si="42">E268</f>
        <v>3991</v>
      </c>
      <c r="E269" s="138">
        <v>3998.9</v>
      </c>
      <c r="F269" s="54">
        <f t="shared" si="33"/>
        <v>7.9</v>
      </c>
      <c r="G269" s="54">
        <f t="shared" si="37"/>
        <v>-2.1</v>
      </c>
      <c r="H269" s="54"/>
      <c r="I269" s="54"/>
      <c r="J269" s="54"/>
      <c r="K269" s="54"/>
      <c r="L269" s="54"/>
      <c r="M269" s="54"/>
    </row>
    <row r="270" ht="14.25" customHeight="1">
      <c r="B270" s="140">
        <v>45497.0</v>
      </c>
      <c r="C270" s="141" t="str">
        <f t="shared" si="1"/>
        <v>7-2024</v>
      </c>
      <c r="D270" s="54">
        <f t="shared" si="42"/>
        <v>3998.9</v>
      </c>
      <c r="E270" s="138">
        <v>4004.9</v>
      </c>
      <c r="F270" s="54">
        <f t="shared" si="33"/>
        <v>6</v>
      </c>
      <c r="G270" s="54">
        <f t="shared" si="37"/>
        <v>-4</v>
      </c>
      <c r="H270" s="54"/>
      <c r="I270" s="54"/>
      <c r="J270" s="54"/>
      <c r="K270" s="54"/>
      <c r="L270" s="54"/>
      <c r="M270" s="54"/>
    </row>
    <row r="271" ht="14.25" customHeight="1">
      <c r="B271" s="140">
        <v>45498.0</v>
      </c>
      <c r="C271" s="141" t="str">
        <f t="shared" si="1"/>
        <v>7-2024</v>
      </c>
      <c r="D271" s="54">
        <f t="shared" si="42"/>
        <v>4004.9</v>
      </c>
      <c r="E271" s="138">
        <v>4011.0</v>
      </c>
      <c r="F271" s="54">
        <f t="shared" si="33"/>
        <v>6.1</v>
      </c>
      <c r="G271" s="54">
        <f t="shared" si="37"/>
        <v>-3.9</v>
      </c>
      <c r="H271" s="54"/>
      <c r="I271" s="54"/>
      <c r="J271" s="54"/>
      <c r="K271" s="54"/>
      <c r="L271" s="54"/>
      <c r="M271" s="54"/>
    </row>
    <row r="272" ht="14.25" customHeight="1">
      <c r="B272" s="140">
        <v>45499.0</v>
      </c>
      <c r="C272" s="141" t="str">
        <f t="shared" si="1"/>
        <v>7-2024</v>
      </c>
      <c r="D272" s="54">
        <f t="shared" si="42"/>
        <v>4011</v>
      </c>
      <c r="E272" s="138">
        <v>4022.0</v>
      </c>
      <c r="F272" s="54">
        <f t="shared" si="33"/>
        <v>11</v>
      </c>
      <c r="G272" s="54">
        <f t="shared" si="37"/>
        <v>1</v>
      </c>
      <c r="H272" s="54"/>
      <c r="I272" s="54"/>
      <c r="J272" s="54"/>
      <c r="K272" s="54"/>
      <c r="L272" s="54"/>
      <c r="M272" s="54"/>
    </row>
    <row r="273" ht="14.25" customHeight="1">
      <c r="B273" s="145">
        <v>45500.0</v>
      </c>
      <c r="C273" s="141" t="str">
        <f t="shared" si="1"/>
        <v>7-2024</v>
      </c>
      <c r="D273" s="54">
        <f t="shared" si="42"/>
        <v>4022</v>
      </c>
      <c r="E273" s="138">
        <v>4027.0</v>
      </c>
      <c r="F273" s="54">
        <f t="shared" si="33"/>
        <v>5</v>
      </c>
      <c r="G273" s="54">
        <f t="shared" si="37"/>
        <v>-5</v>
      </c>
      <c r="H273" s="54"/>
      <c r="I273" s="54"/>
      <c r="J273" s="54"/>
      <c r="K273" s="54"/>
      <c r="L273" s="54"/>
      <c r="M273" s="54"/>
    </row>
    <row r="274" ht="14.25" customHeight="1">
      <c r="B274" s="145">
        <v>45501.0</v>
      </c>
      <c r="C274" s="141" t="str">
        <f t="shared" si="1"/>
        <v>7-2024</v>
      </c>
      <c r="D274" s="54"/>
      <c r="E274" s="54"/>
      <c r="F274" s="54">
        <f t="shared" si="33"/>
        <v>0</v>
      </c>
      <c r="G274" s="54">
        <f t="shared" si="37"/>
        <v>-10</v>
      </c>
      <c r="H274" s="54"/>
      <c r="I274" s="54"/>
      <c r="J274" s="54"/>
      <c r="K274" s="54"/>
      <c r="L274" s="54"/>
      <c r="M274" s="54"/>
    </row>
    <row r="275" ht="14.25" customHeight="1">
      <c r="B275" s="140">
        <v>45502.0</v>
      </c>
      <c r="C275" s="141" t="str">
        <f t="shared" si="1"/>
        <v>7-2024</v>
      </c>
      <c r="D275" s="138">
        <v>4027.0</v>
      </c>
      <c r="E275" s="138">
        <v>4034.0</v>
      </c>
      <c r="F275" s="54">
        <f t="shared" si="33"/>
        <v>7</v>
      </c>
      <c r="G275" s="54">
        <f t="shared" si="37"/>
        <v>-3</v>
      </c>
      <c r="H275" s="54"/>
      <c r="I275" s="54"/>
      <c r="J275" s="54"/>
      <c r="K275" s="54"/>
      <c r="L275" s="54"/>
      <c r="M275" s="54"/>
    </row>
    <row r="276" ht="14.25" customHeight="1">
      <c r="B276" s="140">
        <v>45503.0</v>
      </c>
      <c r="C276" s="141" t="str">
        <f t="shared" si="1"/>
        <v>7-2024</v>
      </c>
      <c r="D276" s="54">
        <f t="shared" ref="D276:D277" si="43">E275</f>
        <v>4034</v>
      </c>
      <c r="E276" s="138">
        <v>4044.0</v>
      </c>
      <c r="F276" s="54">
        <f t="shared" si="33"/>
        <v>10</v>
      </c>
      <c r="G276" s="54">
        <f t="shared" si="37"/>
        <v>0</v>
      </c>
      <c r="H276" s="54"/>
      <c r="I276" s="54"/>
      <c r="J276" s="54"/>
      <c r="K276" s="54"/>
      <c r="L276" s="54"/>
      <c r="M276" s="54"/>
    </row>
    <row r="277" ht="14.25" customHeight="1">
      <c r="B277" s="140">
        <v>45504.0</v>
      </c>
      <c r="C277" s="141" t="str">
        <f t="shared" si="1"/>
        <v>7-2024</v>
      </c>
      <c r="D277" s="54">
        <f t="shared" si="43"/>
        <v>4044</v>
      </c>
      <c r="E277" s="138">
        <v>4055.0</v>
      </c>
      <c r="F277" s="54">
        <f t="shared" si="33"/>
        <v>11</v>
      </c>
      <c r="G277" s="54">
        <f t="shared" si="37"/>
        <v>1</v>
      </c>
      <c r="H277" s="54"/>
      <c r="I277" s="54"/>
      <c r="J277" s="54"/>
      <c r="K277" s="54"/>
      <c r="L277" s="54"/>
      <c r="M277" s="54"/>
    </row>
    <row r="278" ht="14.25" customHeight="1">
      <c r="B278" s="140">
        <v>45505.0</v>
      </c>
      <c r="C278" s="141" t="str">
        <f t="shared" si="1"/>
        <v>8-2024</v>
      </c>
      <c r="D278" s="138">
        <v>4055.0</v>
      </c>
      <c r="E278" s="138">
        <v>4060.0</v>
      </c>
      <c r="F278" s="54">
        <f t="shared" si="33"/>
        <v>5</v>
      </c>
      <c r="G278" s="54">
        <f t="shared" si="37"/>
        <v>-5</v>
      </c>
      <c r="H278" s="54"/>
      <c r="I278" s="54"/>
      <c r="J278" s="54"/>
      <c r="K278" s="54"/>
      <c r="L278" s="54"/>
      <c r="M278" s="54"/>
    </row>
    <row r="279" ht="14.25" customHeight="1">
      <c r="B279" s="140">
        <v>45506.0</v>
      </c>
      <c r="C279" s="141" t="str">
        <f t="shared" si="1"/>
        <v>8-2024</v>
      </c>
      <c r="D279" s="54">
        <f>E278</f>
        <v>4060</v>
      </c>
      <c r="E279" s="138">
        <v>4068.0</v>
      </c>
      <c r="F279" s="54">
        <f t="shared" si="33"/>
        <v>8</v>
      </c>
      <c r="G279" s="54">
        <f t="shared" si="37"/>
        <v>-2</v>
      </c>
      <c r="H279" s="138">
        <v>215.0</v>
      </c>
      <c r="I279" s="54"/>
      <c r="J279" s="54"/>
      <c r="K279" s="54"/>
      <c r="L279" s="54"/>
      <c r="M279" s="54"/>
    </row>
    <row r="280" ht="14.25" customHeight="1">
      <c r="B280" s="145">
        <v>45507.0</v>
      </c>
      <c r="C280" s="141" t="str">
        <f t="shared" si="1"/>
        <v>8-2024</v>
      </c>
      <c r="D280" s="54"/>
      <c r="E280" s="54"/>
      <c r="F280" s="54">
        <f t="shared" si="33"/>
        <v>0</v>
      </c>
      <c r="G280" s="54">
        <f t="shared" si="37"/>
        <v>-10</v>
      </c>
      <c r="H280" s="54"/>
      <c r="I280" s="54"/>
      <c r="J280" s="54"/>
      <c r="K280" s="54"/>
      <c r="L280" s="54"/>
      <c r="M280" s="54"/>
    </row>
    <row r="281" ht="14.25" customHeight="1">
      <c r="B281" s="145">
        <v>45508.0</v>
      </c>
      <c r="C281" s="141" t="str">
        <f t="shared" si="1"/>
        <v>8-2024</v>
      </c>
      <c r="D281" s="54" t="str">
        <f>E280</f>
        <v/>
      </c>
      <c r="E281" s="54"/>
      <c r="F281" s="54">
        <f t="shared" si="33"/>
        <v>0</v>
      </c>
      <c r="G281" s="54">
        <f t="shared" si="37"/>
        <v>-10</v>
      </c>
      <c r="H281" s="54"/>
      <c r="I281" s="54"/>
      <c r="J281" s="54"/>
      <c r="K281" s="54"/>
      <c r="L281" s="54"/>
      <c r="M281" s="54"/>
    </row>
    <row r="282" ht="14.25" customHeight="1">
      <c r="B282" s="140">
        <v>45509.0</v>
      </c>
      <c r="C282" s="141" t="str">
        <f t="shared" si="1"/>
        <v>8-2024</v>
      </c>
      <c r="D282" s="138">
        <v>4068.0</v>
      </c>
      <c r="E282" s="138">
        <v>4071.0</v>
      </c>
      <c r="F282" s="54">
        <f t="shared" si="33"/>
        <v>3</v>
      </c>
      <c r="G282" s="54">
        <f t="shared" si="37"/>
        <v>-7</v>
      </c>
      <c r="H282" s="138">
        <v>172.0</v>
      </c>
      <c r="I282" s="54"/>
      <c r="J282" s="54"/>
      <c r="K282" s="54"/>
      <c r="L282" s="54"/>
      <c r="M282" s="54"/>
    </row>
    <row r="283" ht="14.25" customHeight="1">
      <c r="B283" s="140">
        <v>45510.0</v>
      </c>
      <c r="C283" s="141" t="str">
        <f t="shared" si="1"/>
        <v>8-2024</v>
      </c>
      <c r="D283" s="54">
        <f t="shared" ref="D283:D286" si="44">E282</f>
        <v>4071</v>
      </c>
      <c r="E283" s="138">
        <v>4074.0</v>
      </c>
      <c r="F283" s="54">
        <f t="shared" si="33"/>
        <v>3</v>
      </c>
      <c r="G283" s="54">
        <f t="shared" si="37"/>
        <v>-7</v>
      </c>
      <c r="H283" s="54"/>
      <c r="I283" s="54"/>
      <c r="J283" s="54"/>
      <c r="K283" s="54"/>
      <c r="L283" s="54"/>
      <c r="M283" s="54"/>
    </row>
    <row r="284" ht="14.25" customHeight="1">
      <c r="B284" s="140">
        <v>45511.0</v>
      </c>
      <c r="C284" s="141" t="str">
        <f t="shared" si="1"/>
        <v>8-2024</v>
      </c>
      <c r="D284" s="54">
        <f t="shared" si="44"/>
        <v>4074</v>
      </c>
      <c r="E284" s="138">
        <v>4084.0</v>
      </c>
      <c r="F284" s="54">
        <f t="shared" si="33"/>
        <v>10</v>
      </c>
      <c r="G284" s="54">
        <f t="shared" si="37"/>
        <v>0</v>
      </c>
      <c r="H284" s="138"/>
      <c r="I284" s="54"/>
      <c r="J284" s="54"/>
      <c r="K284" s="54"/>
      <c r="L284" s="54"/>
      <c r="M284" s="54"/>
    </row>
    <row r="285" ht="14.25" customHeight="1">
      <c r="B285" s="140">
        <v>45512.0</v>
      </c>
      <c r="C285" s="141" t="str">
        <f t="shared" si="1"/>
        <v>8-2024</v>
      </c>
      <c r="D285" s="54">
        <f t="shared" si="44"/>
        <v>4084</v>
      </c>
      <c r="E285" s="138">
        <v>4093.0</v>
      </c>
      <c r="F285" s="54">
        <f t="shared" si="33"/>
        <v>9</v>
      </c>
      <c r="G285" s="54">
        <f t="shared" si="37"/>
        <v>-1</v>
      </c>
      <c r="H285" s="138">
        <v>215.0</v>
      </c>
      <c r="I285" s="54"/>
      <c r="J285" s="54"/>
      <c r="K285" s="54"/>
      <c r="L285" s="54"/>
      <c r="M285" s="54"/>
    </row>
    <row r="286" ht="14.25" customHeight="1">
      <c r="B286" s="140">
        <v>45513.0</v>
      </c>
      <c r="C286" s="141" t="str">
        <f t="shared" si="1"/>
        <v>8-2024</v>
      </c>
      <c r="D286" s="54">
        <f t="shared" si="44"/>
        <v>4093</v>
      </c>
      <c r="E286" s="138">
        <v>4101.0</v>
      </c>
      <c r="F286" s="54">
        <f t="shared" si="33"/>
        <v>8</v>
      </c>
      <c r="G286" s="54">
        <f t="shared" si="37"/>
        <v>-2</v>
      </c>
      <c r="H286" s="54"/>
      <c r="I286" s="54"/>
      <c r="J286" s="54"/>
      <c r="K286" s="54"/>
      <c r="L286" s="54"/>
      <c r="M286" s="54"/>
    </row>
    <row r="287" ht="14.25" customHeight="1">
      <c r="B287" s="145">
        <v>45514.0</v>
      </c>
      <c r="C287" s="141" t="str">
        <f t="shared" si="1"/>
        <v>8-2024</v>
      </c>
      <c r="D287" s="54"/>
      <c r="E287" s="54"/>
      <c r="F287" s="54">
        <f t="shared" si="33"/>
        <v>0</v>
      </c>
      <c r="G287" s="54">
        <f t="shared" si="37"/>
        <v>-10</v>
      </c>
      <c r="H287" s="54"/>
      <c r="I287" s="54"/>
      <c r="J287" s="54"/>
      <c r="K287" s="54"/>
      <c r="L287" s="54"/>
      <c r="M287" s="54"/>
    </row>
    <row r="288" ht="14.25" customHeight="1">
      <c r="B288" s="145">
        <v>45515.0</v>
      </c>
      <c r="C288" s="141" t="str">
        <f t="shared" si="1"/>
        <v>8-2024</v>
      </c>
      <c r="D288" s="54" t="str">
        <f>E287</f>
        <v/>
      </c>
      <c r="E288" s="54"/>
      <c r="F288" s="54">
        <f t="shared" si="33"/>
        <v>0</v>
      </c>
      <c r="G288" s="54">
        <f t="shared" si="37"/>
        <v>-10</v>
      </c>
      <c r="H288" s="54"/>
      <c r="I288" s="54"/>
      <c r="J288" s="54"/>
      <c r="K288" s="54"/>
      <c r="L288" s="54"/>
      <c r="M288" s="54"/>
    </row>
    <row r="289" ht="14.25" customHeight="1">
      <c r="B289" s="140">
        <v>45516.0</v>
      </c>
      <c r="C289" s="141" t="str">
        <f t="shared" si="1"/>
        <v>8-2024</v>
      </c>
      <c r="D289" s="138">
        <v>4101.0</v>
      </c>
      <c r="E289" s="138">
        <v>4101.0</v>
      </c>
      <c r="F289" s="54">
        <f t="shared" si="33"/>
        <v>0</v>
      </c>
      <c r="G289" s="54">
        <f t="shared" si="37"/>
        <v>-10</v>
      </c>
      <c r="H289" s="138"/>
      <c r="I289" s="54"/>
      <c r="J289" s="54"/>
      <c r="K289" s="54"/>
      <c r="L289" s="54"/>
      <c r="M289" s="54"/>
    </row>
    <row r="290" ht="14.25" customHeight="1">
      <c r="B290" s="140">
        <v>45517.0</v>
      </c>
      <c r="C290" s="141" t="str">
        <f t="shared" si="1"/>
        <v>8-2024</v>
      </c>
      <c r="D290" s="54">
        <f t="shared" ref="D290:D294" si="45">E289</f>
        <v>4101</v>
      </c>
      <c r="E290" s="138">
        <v>4109.0</v>
      </c>
      <c r="F290" s="54">
        <f t="shared" si="33"/>
        <v>8</v>
      </c>
      <c r="G290" s="54">
        <f t="shared" si="37"/>
        <v>-2</v>
      </c>
      <c r="H290" s="138">
        <v>215.0</v>
      </c>
      <c r="I290" s="54"/>
      <c r="J290" s="54"/>
      <c r="K290" s="54"/>
      <c r="L290" s="54"/>
      <c r="M290" s="54"/>
    </row>
    <row r="291" ht="14.25" customHeight="1">
      <c r="B291" s="140">
        <v>45518.0</v>
      </c>
      <c r="C291" s="141" t="str">
        <f t="shared" si="1"/>
        <v>8-2024</v>
      </c>
      <c r="D291" s="54">
        <f t="shared" si="45"/>
        <v>4109</v>
      </c>
      <c r="E291" s="138">
        <v>4117.0</v>
      </c>
      <c r="F291" s="54">
        <f t="shared" si="33"/>
        <v>8</v>
      </c>
      <c r="G291" s="54">
        <f t="shared" si="37"/>
        <v>-2</v>
      </c>
      <c r="H291" s="138">
        <v>168.0</v>
      </c>
      <c r="I291" s="54"/>
      <c r="J291" s="54"/>
      <c r="K291" s="54"/>
      <c r="L291" s="54"/>
      <c r="M291" s="54"/>
    </row>
    <row r="292" ht="14.25" customHeight="1">
      <c r="B292" s="140">
        <v>45519.0</v>
      </c>
      <c r="C292" s="141" t="str">
        <f t="shared" si="1"/>
        <v>8-2024</v>
      </c>
      <c r="D292" s="54">
        <f t="shared" si="45"/>
        <v>4117</v>
      </c>
      <c r="E292" s="138">
        <v>4126.0</v>
      </c>
      <c r="F292" s="54">
        <f t="shared" si="33"/>
        <v>9</v>
      </c>
      <c r="G292" s="54">
        <f t="shared" si="37"/>
        <v>-1</v>
      </c>
      <c r="H292" s="138">
        <v>140.0</v>
      </c>
      <c r="I292" s="54"/>
      <c r="J292" s="54"/>
      <c r="K292" s="54"/>
      <c r="L292" s="54"/>
      <c r="M292" s="54"/>
    </row>
    <row r="293" ht="14.25" customHeight="1">
      <c r="B293" s="140">
        <v>45520.0</v>
      </c>
      <c r="C293" s="141" t="str">
        <f t="shared" si="1"/>
        <v>8-2024</v>
      </c>
      <c r="D293" s="54">
        <f t="shared" si="45"/>
        <v>4126</v>
      </c>
      <c r="E293" s="138">
        <v>4134.5</v>
      </c>
      <c r="F293" s="54">
        <f t="shared" si="33"/>
        <v>8.5</v>
      </c>
      <c r="G293" s="54">
        <f t="shared" si="37"/>
        <v>-1.5</v>
      </c>
      <c r="H293" s="138">
        <v>135.0</v>
      </c>
      <c r="I293" s="54"/>
      <c r="J293" s="54"/>
      <c r="K293" s="54"/>
      <c r="L293" s="54"/>
      <c r="M293" s="54"/>
    </row>
    <row r="294" ht="14.25" customHeight="1">
      <c r="B294" s="145">
        <v>45521.0</v>
      </c>
      <c r="C294" s="141" t="str">
        <f t="shared" si="1"/>
        <v>8-2024</v>
      </c>
      <c r="D294" s="54">
        <f t="shared" si="45"/>
        <v>4134.5</v>
      </c>
      <c r="E294" s="138">
        <v>4139.0</v>
      </c>
      <c r="F294" s="54">
        <f t="shared" si="33"/>
        <v>4.5</v>
      </c>
      <c r="G294" s="54">
        <f t="shared" si="37"/>
        <v>-5.5</v>
      </c>
      <c r="H294" s="54"/>
      <c r="I294" s="54"/>
      <c r="J294" s="54"/>
      <c r="K294" s="54"/>
      <c r="L294" s="54"/>
      <c r="M294" s="54"/>
    </row>
    <row r="295" ht="14.25" customHeight="1">
      <c r="B295" s="145">
        <v>45522.0</v>
      </c>
      <c r="C295" s="141" t="str">
        <f t="shared" si="1"/>
        <v>8-2024</v>
      </c>
      <c r="D295" s="54"/>
      <c r="E295" s="54"/>
      <c r="F295" s="54">
        <f t="shared" si="33"/>
        <v>0</v>
      </c>
      <c r="G295" s="54">
        <f t="shared" si="37"/>
        <v>-10</v>
      </c>
      <c r="H295" s="54"/>
      <c r="I295" s="54"/>
      <c r="J295" s="54"/>
      <c r="K295" s="54"/>
      <c r="L295" s="54"/>
      <c r="M295" s="54"/>
    </row>
    <row r="296" ht="14.25" customHeight="1">
      <c r="B296" s="140">
        <v>45523.0</v>
      </c>
      <c r="C296" s="141" t="str">
        <f t="shared" si="1"/>
        <v>8-2024</v>
      </c>
      <c r="D296" s="138">
        <v>4139.0</v>
      </c>
      <c r="E296" s="138">
        <v>4146.6</v>
      </c>
      <c r="F296" s="54">
        <f t="shared" si="33"/>
        <v>7.6</v>
      </c>
      <c r="G296" s="54">
        <f t="shared" si="37"/>
        <v>-2.4</v>
      </c>
      <c r="H296" s="138">
        <v>191.0</v>
      </c>
      <c r="I296" s="54"/>
      <c r="J296" s="54"/>
      <c r="K296" s="54"/>
      <c r="L296" s="54"/>
      <c r="M296" s="54"/>
    </row>
    <row r="297" ht="14.25" customHeight="1">
      <c r="B297" s="140">
        <v>45524.0</v>
      </c>
      <c r="C297" s="141" t="str">
        <f t="shared" si="1"/>
        <v>8-2024</v>
      </c>
      <c r="D297" s="54">
        <f t="shared" ref="D297:D300" si="46">E296</f>
        <v>4146.6</v>
      </c>
      <c r="E297" s="138">
        <v>4155.0</v>
      </c>
      <c r="F297" s="54">
        <f t="shared" si="33"/>
        <v>8.4</v>
      </c>
      <c r="G297" s="54">
        <f t="shared" si="37"/>
        <v>-1.6</v>
      </c>
      <c r="H297" s="54"/>
      <c r="I297" s="54"/>
      <c r="J297" s="54"/>
      <c r="K297" s="54"/>
      <c r="L297" s="54"/>
      <c r="M297" s="54"/>
    </row>
    <row r="298" ht="14.25" customHeight="1">
      <c r="B298" s="140">
        <v>45525.0</v>
      </c>
      <c r="C298" s="141" t="str">
        <f t="shared" si="1"/>
        <v>8-2024</v>
      </c>
      <c r="D298" s="54">
        <f t="shared" si="46"/>
        <v>4155</v>
      </c>
      <c r="E298" s="138">
        <v>4162.0</v>
      </c>
      <c r="F298" s="54">
        <f t="shared" si="33"/>
        <v>7</v>
      </c>
      <c r="G298" s="54">
        <f t="shared" si="37"/>
        <v>-3</v>
      </c>
      <c r="H298" s="54"/>
      <c r="I298" s="54"/>
      <c r="J298" s="54"/>
      <c r="K298" s="54"/>
      <c r="L298" s="54"/>
      <c r="M298" s="54"/>
    </row>
    <row r="299" ht="14.25" customHeight="1">
      <c r="B299" s="140">
        <v>45526.0</v>
      </c>
      <c r="C299" s="141" t="str">
        <f t="shared" si="1"/>
        <v>8-2024</v>
      </c>
      <c r="D299" s="54">
        <f t="shared" si="46"/>
        <v>4162</v>
      </c>
      <c r="E299" s="138">
        <v>4168.0</v>
      </c>
      <c r="F299" s="54">
        <f t="shared" si="33"/>
        <v>6</v>
      </c>
      <c r="G299" s="54">
        <f t="shared" si="37"/>
        <v>-4</v>
      </c>
      <c r="H299" s="54"/>
      <c r="I299" s="54"/>
      <c r="J299" s="54"/>
      <c r="K299" s="54"/>
      <c r="L299" s="54"/>
      <c r="M299" s="54"/>
    </row>
    <row r="300" ht="14.25" customHeight="1">
      <c r="B300" s="140">
        <v>45527.0</v>
      </c>
      <c r="C300" s="141" t="str">
        <f t="shared" si="1"/>
        <v>8-2024</v>
      </c>
      <c r="D300" s="54">
        <f t="shared" si="46"/>
        <v>4168</v>
      </c>
      <c r="E300" s="138">
        <v>4177.0</v>
      </c>
      <c r="F300" s="54">
        <f t="shared" si="33"/>
        <v>9</v>
      </c>
      <c r="G300" s="54">
        <f t="shared" si="37"/>
        <v>-1</v>
      </c>
      <c r="H300" s="138">
        <v>231.0</v>
      </c>
      <c r="I300" s="54"/>
      <c r="J300" s="54"/>
      <c r="K300" s="54"/>
      <c r="L300" s="54"/>
      <c r="M300" s="54"/>
    </row>
    <row r="301" ht="14.25" customHeight="1">
      <c r="B301" s="145">
        <v>45528.0</v>
      </c>
      <c r="C301" s="141" t="str">
        <f t="shared" si="1"/>
        <v>8-2024</v>
      </c>
      <c r="D301" s="138">
        <v>4177.0</v>
      </c>
      <c r="E301" s="138">
        <v>4182.2</v>
      </c>
      <c r="F301" s="54">
        <f t="shared" si="33"/>
        <v>5.2</v>
      </c>
      <c r="G301" s="54">
        <f t="shared" si="37"/>
        <v>-4.8</v>
      </c>
      <c r="H301" s="138">
        <v>210.0</v>
      </c>
      <c r="I301" s="54"/>
      <c r="J301" s="54"/>
      <c r="K301" s="54"/>
      <c r="L301" s="54"/>
      <c r="M301" s="54"/>
    </row>
    <row r="302" ht="14.25" customHeight="1">
      <c r="B302" s="145">
        <v>45529.0</v>
      </c>
      <c r="C302" s="141" t="str">
        <f t="shared" si="1"/>
        <v>8-2024</v>
      </c>
      <c r="D302" s="54"/>
      <c r="E302" s="54"/>
      <c r="F302" s="54">
        <f t="shared" si="33"/>
        <v>0</v>
      </c>
      <c r="G302" s="54">
        <f t="shared" si="37"/>
        <v>-10</v>
      </c>
      <c r="H302" s="54"/>
      <c r="I302" s="54"/>
      <c r="J302" s="54"/>
      <c r="K302" s="54"/>
      <c r="L302" s="54"/>
      <c r="M302" s="54"/>
    </row>
    <row r="303" ht="14.25" customHeight="1">
      <c r="B303" s="140">
        <v>45530.0</v>
      </c>
      <c r="C303" s="141" t="str">
        <f t="shared" si="1"/>
        <v>8-2024</v>
      </c>
      <c r="D303" s="138">
        <v>4182.2</v>
      </c>
      <c r="E303" s="138">
        <v>4191.0</v>
      </c>
      <c r="F303" s="54">
        <f t="shared" si="33"/>
        <v>8.8</v>
      </c>
      <c r="G303" s="54">
        <f t="shared" si="37"/>
        <v>-1.2</v>
      </c>
      <c r="H303" s="54"/>
      <c r="I303" s="54"/>
      <c r="J303" s="54"/>
      <c r="K303" s="54"/>
      <c r="L303" s="54"/>
      <c r="M303" s="54"/>
    </row>
    <row r="304" ht="14.25" customHeight="1">
      <c r="B304" s="140">
        <v>45531.0</v>
      </c>
      <c r="C304" s="141" t="str">
        <f t="shared" si="1"/>
        <v>8-2024</v>
      </c>
      <c r="D304" s="54"/>
      <c r="E304" s="54"/>
      <c r="F304" s="54">
        <f t="shared" si="33"/>
        <v>0</v>
      </c>
      <c r="G304" s="54">
        <f t="shared" si="37"/>
        <v>-10</v>
      </c>
      <c r="H304" s="54"/>
      <c r="I304" s="54"/>
      <c r="J304" s="54"/>
      <c r="K304" s="54"/>
      <c r="L304" s="54"/>
      <c r="M304" s="54"/>
    </row>
    <row r="305" ht="14.25" customHeight="1">
      <c r="B305" s="140">
        <v>45532.0</v>
      </c>
      <c r="C305" s="141" t="str">
        <f t="shared" si="1"/>
        <v>8-2024</v>
      </c>
      <c r="D305" s="138">
        <v>4191.0</v>
      </c>
      <c r="E305" s="138">
        <v>4200.0</v>
      </c>
      <c r="F305" s="54">
        <f t="shared" si="33"/>
        <v>9</v>
      </c>
      <c r="G305" s="54">
        <f t="shared" si="37"/>
        <v>-1</v>
      </c>
      <c r="H305" s="138">
        <v>234.0</v>
      </c>
      <c r="I305" s="54"/>
      <c r="J305" s="54"/>
      <c r="K305" s="54"/>
      <c r="L305" s="54"/>
      <c r="M305" s="54"/>
    </row>
    <row r="306" ht="14.25" customHeight="1">
      <c r="B306" s="140">
        <v>45533.0</v>
      </c>
      <c r="C306" s="141" t="str">
        <f t="shared" si="1"/>
        <v>8-2024</v>
      </c>
      <c r="D306" s="54">
        <f t="shared" ref="D306:D308" si="47">E305</f>
        <v>4200</v>
      </c>
      <c r="E306" s="138">
        <v>4209.5</v>
      </c>
      <c r="F306" s="54">
        <f t="shared" si="33"/>
        <v>9.5</v>
      </c>
      <c r="G306" s="54">
        <f t="shared" si="37"/>
        <v>-0.5</v>
      </c>
      <c r="H306" s="54"/>
      <c r="I306" s="54"/>
      <c r="J306" s="54"/>
      <c r="K306" s="54"/>
      <c r="L306" s="54"/>
      <c r="M306" s="54"/>
    </row>
    <row r="307" ht="14.25" customHeight="1">
      <c r="B307" s="140">
        <v>45534.0</v>
      </c>
      <c r="C307" s="141" t="str">
        <f t="shared" si="1"/>
        <v>8-2024</v>
      </c>
      <c r="D307" s="54">
        <f t="shared" si="47"/>
        <v>4209.5</v>
      </c>
      <c r="E307" s="138">
        <v>4215.2</v>
      </c>
      <c r="F307" s="54">
        <f t="shared" si="33"/>
        <v>5.7</v>
      </c>
      <c r="G307" s="54">
        <f t="shared" si="37"/>
        <v>-4.3</v>
      </c>
      <c r="H307" s="54"/>
      <c r="I307" s="54"/>
      <c r="J307" s="54"/>
      <c r="K307" s="54"/>
      <c r="L307" s="54"/>
      <c r="M307" s="54"/>
    </row>
    <row r="308" ht="14.25" customHeight="1">
      <c r="B308" s="145">
        <v>45535.0</v>
      </c>
      <c r="C308" s="141" t="str">
        <f t="shared" si="1"/>
        <v>8-2024</v>
      </c>
      <c r="D308" s="54">
        <f t="shared" si="47"/>
        <v>4215.2</v>
      </c>
      <c r="E308" s="138">
        <v>4220.0</v>
      </c>
      <c r="F308" s="54">
        <f t="shared" si="33"/>
        <v>4.8</v>
      </c>
      <c r="G308" s="54">
        <f t="shared" si="37"/>
        <v>-5.2</v>
      </c>
      <c r="H308" s="54"/>
      <c r="I308" s="54"/>
      <c r="J308" s="54"/>
      <c r="K308" s="54"/>
      <c r="L308" s="54"/>
      <c r="M308" s="54"/>
    </row>
    <row r="309" ht="14.25" customHeight="1">
      <c r="B309" s="145">
        <v>45536.0</v>
      </c>
      <c r="C309" s="141" t="str">
        <f t="shared" si="1"/>
        <v>9-2024</v>
      </c>
      <c r="D309" s="54"/>
      <c r="E309" s="54"/>
      <c r="F309" s="54">
        <f t="shared" si="33"/>
        <v>0</v>
      </c>
      <c r="G309" s="54">
        <f t="shared" si="37"/>
        <v>-10</v>
      </c>
      <c r="H309" s="54"/>
      <c r="I309" s="54"/>
      <c r="J309" s="54"/>
      <c r="K309" s="54"/>
      <c r="L309" s="54"/>
      <c r="M309" s="54"/>
    </row>
    <row r="310" ht="14.25" customHeight="1">
      <c r="B310" s="140">
        <v>45537.0</v>
      </c>
      <c r="C310" s="141" t="str">
        <f t="shared" si="1"/>
        <v>9-2024</v>
      </c>
      <c r="D310" s="138">
        <v>4220.0</v>
      </c>
      <c r="E310" s="138">
        <v>4226.1</v>
      </c>
      <c r="F310" s="54">
        <f t="shared" si="33"/>
        <v>6.1</v>
      </c>
      <c r="G310" s="54">
        <f t="shared" si="37"/>
        <v>-3.9</v>
      </c>
      <c r="H310" s="54"/>
      <c r="I310" s="54"/>
      <c r="J310" s="54"/>
      <c r="K310" s="54"/>
      <c r="L310" s="54"/>
      <c r="M310" s="54"/>
    </row>
    <row r="311" ht="14.25" customHeight="1">
      <c r="B311" s="140">
        <v>45538.0</v>
      </c>
      <c r="C311" s="141" t="str">
        <f t="shared" si="1"/>
        <v>9-2024</v>
      </c>
      <c r="D311" s="54">
        <f t="shared" ref="D311:D313" si="48">E310</f>
        <v>4226.1</v>
      </c>
      <c r="E311" s="138">
        <v>4235.0</v>
      </c>
      <c r="F311" s="54">
        <f t="shared" si="33"/>
        <v>8.9</v>
      </c>
      <c r="G311" s="54">
        <f t="shared" si="37"/>
        <v>-1.1</v>
      </c>
      <c r="H311" s="54"/>
      <c r="I311" s="54"/>
      <c r="J311" s="54"/>
      <c r="K311" s="54"/>
      <c r="L311" s="54"/>
      <c r="M311" s="54"/>
    </row>
    <row r="312" ht="14.25" customHeight="1">
      <c r="B312" s="140">
        <v>45539.0</v>
      </c>
      <c r="C312" s="141" t="str">
        <f t="shared" si="1"/>
        <v>9-2024</v>
      </c>
      <c r="D312" s="54">
        <f t="shared" si="48"/>
        <v>4235</v>
      </c>
      <c r="E312" s="138">
        <v>4243.2</v>
      </c>
      <c r="F312" s="54">
        <f t="shared" si="33"/>
        <v>8.2</v>
      </c>
      <c r="G312" s="54">
        <f t="shared" si="37"/>
        <v>-1.8</v>
      </c>
      <c r="H312" s="138">
        <v>463.0</v>
      </c>
      <c r="I312" s="54"/>
      <c r="J312" s="54"/>
      <c r="K312" s="54"/>
      <c r="L312" s="54"/>
      <c r="M312" s="54"/>
    </row>
    <row r="313" ht="14.25" customHeight="1">
      <c r="B313" s="140">
        <v>45540.0</v>
      </c>
      <c r="C313" s="141" t="str">
        <f t="shared" si="1"/>
        <v>9-2024</v>
      </c>
      <c r="D313" s="54">
        <f t="shared" si="48"/>
        <v>4243.2</v>
      </c>
      <c r="E313" s="138">
        <v>4252.0</v>
      </c>
      <c r="F313" s="54">
        <f t="shared" si="33"/>
        <v>8.8</v>
      </c>
      <c r="G313" s="54">
        <f t="shared" si="37"/>
        <v>-1.2</v>
      </c>
      <c r="H313" s="138">
        <v>230.0</v>
      </c>
      <c r="I313" s="54"/>
      <c r="J313" s="54"/>
      <c r="K313" s="54"/>
      <c r="L313" s="54"/>
      <c r="M313" s="54"/>
    </row>
    <row r="314" ht="14.25" customHeight="1">
      <c r="B314" s="140">
        <v>45541.0</v>
      </c>
      <c r="C314" s="141" t="str">
        <f t="shared" si="1"/>
        <v>9-2024</v>
      </c>
      <c r="D314" s="138">
        <v>7930.8</v>
      </c>
      <c r="E314" s="138">
        <v>7941.8</v>
      </c>
      <c r="F314" s="54">
        <f t="shared" si="33"/>
        <v>11</v>
      </c>
      <c r="G314" s="54">
        <f t="shared" si="37"/>
        <v>1</v>
      </c>
      <c r="H314" s="138">
        <v>225.0</v>
      </c>
      <c r="I314" s="54"/>
      <c r="J314" s="54"/>
      <c r="K314" s="54"/>
      <c r="L314" s="54"/>
      <c r="M314" s="54"/>
    </row>
    <row r="315" ht="14.25" customHeight="1">
      <c r="B315" s="145">
        <v>45542.0</v>
      </c>
      <c r="C315" s="141" t="str">
        <f t="shared" si="1"/>
        <v>9-2024</v>
      </c>
      <c r="D315" s="54">
        <f>E314</f>
        <v>7941.8</v>
      </c>
      <c r="E315" s="138">
        <v>7946.8</v>
      </c>
      <c r="F315" s="54">
        <f t="shared" si="33"/>
        <v>5</v>
      </c>
      <c r="G315" s="54">
        <f t="shared" si="37"/>
        <v>-5</v>
      </c>
      <c r="H315" s="54"/>
      <c r="I315" s="54"/>
      <c r="J315" s="54"/>
      <c r="K315" s="54"/>
      <c r="L315" s="54"/>
      <c r="M315" s="54"/>
    </row>
    <row r="316" ht="14.25" customHeight="1">
      <c r="B316" s="145">
        <v>45543.0</v>
      </c>
      <c r="C316" s="141" t="str">
        <f t="shared" si="1"/>
        <v>9-2024</v>
      </c>
      <c r="D316" s="54"/>
      <c r="E316" s="54"/>
      <c r="F316" s="54">
        <f t="shared" si="33"/>
        <v>0</v>
      </c>
      <c r="G316" s="54">
        <f t="shared" si="37"/>
        <v>-10</v>
      </c>
      <c r="H316" s="54"/>
      <c r="I316" s="54"/>
      <c r="J316" s="54"/>
      <c r="K316" s="54"/>
      <c r="L316" s="54"/>
      <c r="M316" s="54"/>
    </row>
    <row r="317" ht="14.25" customHeight="1">
      <c r="B317" s="140">
        <v>45544.0</v>
      </c>
      <c r="C317" s="141" t="str">
        <f t="shared" si="1"/>
        <v>9-2024</v>
      </c>
      <c r="D317" s="138">
        <v>4260.1</v>
      </c>
      <c r="E317" s="138">
        <v>4267.5</v>
      </c>
      <c r="F317" s="54">
        <f t="shared" si="33"/>
        <v>7.4</v>
      </c>
      <c r="G317" s="54">
        <f t="shared" si="37"/>
        <v>-2.6</v>
      </c>
      <c r="H317" s="138">
        <v>144.0</v>
      </c>
      <c r="I317" s="54"/>
      <c r="J317" s="54"/>
      <c r="K317" s="54"/>
      <c r="L317" s="54"/>
      <c r="M317" s="54"/>
    </row>
    <row r="318" ht="14.25" customHeight="1">
      <c r="B318" s="140">
        <v>45545.0</v>
      </c>
      <c r="C318" s="141" t="str">
        <f t="shared" si="1"/>
        <v>9-2024</v>
      </c>
      <c r="D318" s="54"/>
      <c r="E318" s="54"/>
      <c r="F318" s="54">
        <f t="shared" si="33"/>
        <v>0</v>
      </c>
      <c r="G318" s="54">
        <f t="shared" si="37"/>
        <v>-10</v>
      </c>
      <c r="H318" s="54"/>
    </row>
    <row r="319" ht="14.25" customHeight="1">
      <c r="B319" s="140">
        <v>45546.0</v>
      </c>
      <c r="C319" s="141" t="str">
        <f t="shared" si="1"/>
        <v>9-2024</v>
      </c>
      <c r="D319" s="138">
        <v>4267.5</v>
      </c>
      <c r="E319" s="138">
        <v>4275.5</v>
      </c>
      <c r="F319" s="54">
        <f t="shared" si="33"/>
        <v>8</v>
      </c>
      <c r="G319" s="54">
        <f t="shared" si="37"/>
        <v>-2</v>
      </c>
      <c r="H319" s="138">
        <v>210.0</v>
      </c>
    </row>
    <row r="320" ht="14.25" customHeight="1">
      <c r="B320" s="140">
        <v>45547.0</v>
      </c>
      <c r="C320" s="141" t="str">
        <f t="shared" si="1"/>
        <v>9-2024</v>
      </c>
      <c r="D320" s="54">
        <f t="shared" ref="D320:D328" si="49">E319</f>
        <v>4275.5</v>
      </c>
      <c r="E320" s="138">
        <v>4285.0</v>
      </c>
      <c r="F320" s="54">
        <f t="shared" si="33"/>
        <v>9.5</v>
      </c>
      <c r="G320" s="54">
        <f t="shared" si="37"/>
        <v>-0.5</v>
      </c>
      <c r="H320" s="138">
        <v>112.0</v>
      </c>
    </row>
    <row r="321" ht="14.25" customHeight="1">
      <c r="B321" s="140">
        <v>45548.0</v>
      </c>
      <c r="C321" s="141" t="str">
        <f t="shared" si="1"/>
        <v>9-2024</v>
      </c>
      <c r="D321" s="54">
        <f t="shared" si="49"/>
        <v>4285</v>
      </c>
      <c r="E321" s="138">
        <v>4294.4</v>
      </c>
      <c r="F321" s="54">
        <f t="shared" si="33"/>
        <v>9.4</v>
      </c>
      <c r="G321" s="54">
        <f t="shared" si="37"/>
        <v>-0.6</v>
      </c>
      <c r="H321" s="138">
        <v>132.0</v>
      </c>
    </row>
    <row r="322" ht="14.25" customHeight="1">
      <c r="B322" s="145">
        <v>45549.0</v>
      </c>
      <c r="C322" s="141" t="str">
        <f t="shared" si="1"/>
        <v>9-2024</v>
      </c>
      <c r="D322" s="54">
        <f t="shared" si="49"/>
        <v>4294.4</v>
      </c>
      <c r="E322" s="138">
        <v>4302.5</v>
      </c>
      <c r="F322" s="54">
        <f t="shared" si="33"/>
        <v>8.1</v>
      </c>
      <c r="G322" s="54">
        <f t="shared" si="37"/>
        <v>-1.9</v>
      </c>
      <c r="H322" s="54"/>
    </row>
    <row r="323" ht="14.25" customHeight="1">
      <c r="B323" s="145">
        <v>45550.0</v>
      </c>
      <c r="C323" s="141" t="str">
        <f t="shared" si="1"/>
        <v>9-2024</v>
      </c>
      <c r="D323" s="54">
        <f t="shared" si="49"/>
        <v>4302.5</v>
      </c>
      <c r="E323" s="138">
        <v>4308.0</v>
      </c>
      <c r="F323" s="54">
        <f t="shared" si="33"/>
        <v>5.5</v>
      </c>
      <c r="G323" s="54">
        <f t="shared" si="37"/>
        <v>-4.5</v>
      </c>
      <c r="H323" s="54"/>
    </row>
    <row r="324" ht="14.25" customHeight="1">
      <c r="B324" s="140">
        <v>45551.0</v>
      </c>
      <c r="C324" s="141" t="str">
        <f t="shared" si="1"/>
        <v>9-2024</v>
      </c>
      <c r="D324" s="54">
        <f t="shared" si="49"/>
        <v>4308</v>
      </c>
      <c r="E324" s="138">
        <v>4317.0</v>
      </c>
      <c r="F324" s="54">
        <f t="shared" si="33"/>
        <v>9</v>
      </c>
      <c r="G324" s="54">
        <f t="shared" si="37"/>
        <v>-1</v>
      </c>
      <c r="H324" s="138">
        <v>230.0</v>
      </c>
    </row>
    <row r="325" ht="14.25" customHeight="1">
      <c r="B325" s="140">
        <v>45552.0</v>
      </c>
      <c r="C325" s="141" t="str">
        <f t="shared" si="1"/>
        <v>9-2024</v>
      </c>
      <c r="D325" s="54">
        <f t="shared" si="49"/>
        <v>4317</v>
      </c>
      <c r="E325" s="138">
        <v>4320.8</v>
      </c>
      <c r="F325" s="54">
        <f t="shared" si="33"/>
        <v>3.8</v>
      </c>
      <c r="G325" s="54">
        <f t="shared" si="37"/>
        <v>-6.2</v>
      </c>
      <c r="H325" s="138">
        <v>235.0</v>
      </c>
    </row>
    <row r="326" ht="14.25" customHeight="1">
      <c r="B326" s="140">
        <v>45553.0</v>
      </c>
      <c r="C326" s="141" t="str">
        <f t="shared" si="1"/>
        <v>9-2024</v>
      </c>
      <c r="D326" s="54">
        <f t="shared" si="49"/>
        <v>4320.8</v>
      </c>
      <c r="E326" s="138">
        <v>4331.0</v>
      </c>
      <c r="F326" s="54">
        <f t="shared" si="33"/>
        <v>10.2</v>
      </c>
      <c r="G326" s="54">
        <f t="shared" si="37"/>
        <v>0.2</v>
      </c>
      <c r="H326" s="54"/>
    </row>
    <row r="327" ht="14.25" customHeight="1">
      <c r="B327" s="140">
        <v>45554.0</v>
      </c>
      <c r="C327" s="141" t="str">
        <f t="shared" si="1"/>
        <v>9-2024</v>
      </c>
      <c r="D327" s="54">
        <f t="shared" si="49"/>
        <v>4331</v>
      </c>
      <c r="E327" s="138">
        <v>4341.0</v>
      </c>
      <c r="F327" s="54">
        <f t="shared" si="33"/>
        <v>10</v>
      </c>
      <c r="G327" s="54">
        <f t="shared" si="37"/>
        <v>0</v>
      </c>
      <c r="H327" s="54"/>
    </row>
    <row r="328" ht="14.25" customHeight="1">
      <c r="B328" s="140">
        <v>45555.0</v>
      </c>
      <c r="C328" s="141" t="str">
        <f t="shared" si="1"/>
        <v>9-2024</v>
      </c>
      <c r="D328" s="54">
        <f t="shared" si="49"/>
        <v>4341</v>
      </c>
      <c r="E328" s="138">
        <v>4350.0</v>
      </c>
      <c r="F328" s="54">
        <f t="shared" si="33"/>
        <v>9</v>
      </c>
      <c r="G328" s="54">
        <f t="shared" si="37"/>
        <v>-1</v>
      </c>
      <c r="H328" s="138">
        <v>238.0</v>
      </c>
    </row>
    <row r="329" ht="14.25" customHeight="1">
      <c r="B329" s="145">
        <v>45556.0</v>
      </c>
      <c r="C329" s="141" t="str">
        <f t="shared" si="1"/>
        <v>9-2024</v>
      </c>
      <c r="D329" s="54"/>
      <c r="E329" s="54"/>
      <c r="F329" s="54">
        <f t="shared" si="33"/>
        <v>0</v>
      </c>
      <c r="G329" s="54">
        <f t="shared" si="37"/>
        <v>-10</v>
      </c>
      <c r="H329" s="54"/>
    </row>
    <row r="330" ht="14.25" customHeight="1">
      <c r="B330" s="145">
        <v>45557.0</v>
      </c>
      <c r="C330" s="141" t="str">
        <f t="shared" si="1"/>
        <v>9-2024</v>
      </c>
      <c r="D330" s="54" t="str">
        <f>E329</f>
        <v/>
      </c>
      <c r="E330" s="54"/>
      <c r="F330" s="54">
        <f t="shared" si="33"/>
        <v>0</v>
      </c>
      <c r="G330" s="54">
        <f t="shared" si="37"/>
        <v>-10</v>
      </c>
      <c r="H330" s="54"/>
    </row>
    <row r="331" ht="14.25" customHeight="1">
      <c r="B331" s="140">
        <v>45558.0</v>
      </c>
      <c r="C331" s="141" t="str">
        <f t="shared" si="1"/>
        <v>9-2024</v>
      </c>
      <c r="D331" s="138">
        <v>4350.0</v>
      </c>
      <c r="E331" s="138">
        <v>4359.0</v>
      </c>
      <c r="F331" s="54">
        <f t="shared" si="33"/>
        <v>9</v>
      </c>
      <c r="G331" s="54">
        <f t="shared" si="37"/>
        <v>-1</v>
      </c>
      <c r="H331" s="28">
        <v>235.0</v>
      </c>
    </row>
    <row r="332" ht="14.25" customHeight="1">
      <c r="B332" s="140">
        <v>45559.0</v>
      </c>
      <c r="C332" s="141" t="str">
        <f t="shared" si="1"/>
        <v>9-2024</v>
      </c>
      <c r="D332" s="54">
        <f t="shared" ref="D332:D336" si="50">E331</f>
        <v>4359</v>
      </c>
      <c r="E332" s="138">
        <v>4365.0</v>
      </c>
      <c r="F332" s="54">
        <f t="shared" si="33"/>
        <v>6</v>
      </c>
      <c r="G332" s="54">
        <f t="shared" si="37"/>
        <v>-4</v>
      </c>
      <c r="H332" s="138">
        <v>450.0</v>
      </c>
    </row>
    <row r="333" ht="14.25" customHeight="1">
      <c r="B333" s="140">
        <v>45560.0</v>
      </c>
      <c r="C333" s="141" t="str">
        <f t="shared" si="1"/>
        <v>9-2024</v>
      </c>
      <c r="D333" s="54">
        <f t="shared" si="50"/>
        <v>4365</v>
      </c>
      <c r="E333" s="138">
        <v>4376.0</v>
      </c>
      <c r="F333" s="54">
        <f t="shared" si="33"/>
        <v>11</v>
      </c>
      <c r="G333" s="54">
        <f t="shared" si="37"/>
        <v>1</v>
      </c>
      <c r="H333" s="54"/>
    </row>
    <row r="334" ht="14.25" customHeight="1">
      <c r="B334" s="140">
        <v>45561.0</v>
      </c>
      <c r="C334" s="141" t="str">
        <f t="shared" si="1"/>
        <v>9-2024</v>
      </c>
      <c r="D334" s="54">
        <f t="shared" si="50"/>
        <v>4376</v>
      </c>
      <c r="E334" s="138">
        <v>4388.0</v>
      </c>
      <c r="F334" s="54">
        <f t="shared" si="33"/>
        <v>12</v>
      </c>
      <c r="G334" s="54">
        <f t="shared" si="37"/>
        <v>2</v>
      </c>
      <c r="H334" s="54"/>
    </row>
    <row r="335" ht="14.25" customHeight="1">
      <c r="B335" s="140">
        <v>45562.0</v>
      </c>
      <c r="C335" s="141" t="str">
        <f t="shared" si="1"/>
        <v>9-2024</v>
      </c>
      <c r="D335" s="54">
        <f t="shared" si="50"/>
        <v>4388</v>
      </c>
      <c r="E335" s="138">
        <v>4396.0</v>
      </c>
      <c r="F335" s="54">
        <f t="shared" si="33"/>
        <v>8</v>
      </c>
      <c r="G335" s="54">
        <f t="shared" si="37"/>
        <v>-2</v>
      </c>
      <c r="H335" s="138">
        <v>338.0</v>
      </c>
    </row>
    <row r="336" ht="14.25" customHeight="1">
      <c r="B336" s="145">
        <v>45563.0</v>
      </c>
      <c r="C336" s="141" t="str">
        <f t="shared" si="1"/>
        <v>9-2024</v>
      </c>
      <c r="D336" s="54">
        <f t="shared" si="50"/>
        <v>4396</v>
      </c>
      <c r="E336" s="138">
        <v>4403.0</v>
      </c>
      <c r="F336" s="54">
        <f t="shared" si="33"/>
        <v>7</v>
      </c>
      <c r="G336" s="54">
        <f t="shared" si="37"/>
        <v>-3</v>
      </c>
      <c r="H336" s="54"/>
    </row>
    <row r="337" ht="14.25" customHeight="1">
      <c r="B337" s="145">
        <v>45564.0</v>
      </c>
      <c r="C337" s="141" t="str">
        <f t="shared" si="1"/>
        <v>9-2024</v>
      </c>
      <c r="D337" s="54"/>
      <c r="E337" s="54"/>
      <c r="F337" s="54">
        <f t="shared" si="33"/>
        <v>0</v>
      </c>
      <c r="G337" s="54">
        <f t="shared" si="37"/>
        <v>-10</v>
      </c>
      <c r="H337" s="54"/>
    </row>
    <row r="338" ht="14.25" customHeight="1">
      <c r="B338" s="140">
        <v>45565.0</v>
      </c>
      <c r="C338" s="141" t="str">
        <f t="shared" si="1"/>
        <v>9-2024</v>
      </c>
      <c r="D338" s="138">
        <v>4403.0</v>
      </c>
      <c r="E338" s="138">
        <v>4414.0</v>
      </c>
      <c r="F338" s="54">
        <f t="shared" si="33"/>
        <v>11</v>
      </c>
      <c r="G338" s="54">
        <f t="shared" si="37"/>
        <v>1</v>
      </c>
      <c r="H338" s="54"/>
    </row>
    <row r="339" ht="14.25" customHeight="1">
      <c r="B339" s="140">
        <v>45566.0</v>
      </c>
      <c r="C339" s="141" t="str">
        <f t="shared" si="1"/>
        <v>10-2024</v>
      </c>
      <c r="D339" s="138">
        <v>4414.0</v>
      </c>
      <c r="E339" s="138">
        <v>4421.0</v>
      </c>
      <c r="F339" s="54">
        <f t="shared" si="33"/>
        <v>7</v>
      </c>
      <c r="G339" s="54">
        <f t="shared" si="37"/>
        <v>-3</v>
      </c>
      <c r="H339" s="54"/>
    </row>
    <row r="340" ht="14.25" customHeight="1">
      <c r="B340" s="140">
        <v>45567.0</v>
      </c>
      <c r="C340" s="141" t="str">
        <f t="shared" si="1"/>
        <v>10-2024</v>
      </c>
      <c r="D340" s="138">
        <v>4421.0</v>
      </c>
      <c r="E340" s="138">
        <v>4432.0</v>
      </c>
      <c r="F340" s="54">
        <f t="shared" si="33"/>
        <v>11</v>
      </c>
      <c r="G340" s="54">
        <f t="shared" si="37"/>
        <v>1</v>
      </c>
      <c r="H340" s="54"/>
    </row>
    <row r="341" ht="14.25" customHeight="1">
      <c r="B341" s="140">
        <v>45568.0</v>
      </c>
      <c r="C341" s="141" t="str">
        <f t="shared" si="1"/>
        <v>10-2024</v>
      </c>
      <c r="D341" s="54">
        <f t="shared" ref="D341:D342" si="51">E340</f>
        <v>4432</v>
      </c>
      <c r="E341" s="138">
        <v>4443.0</v>
      </c>
      <c r="F341" s="54">
        <f t="shared" si="33"/>
        <v>11</v>
      </c>
      <c r="G341" s="54">
        <f t="shared" si="37"/>
        <v>1</v>
      </c>
      <c r="H341" s="54"/>
    </row>
    <row r="342" ht="14.25" customHeight="1">
      <c r="B342" s="140">
        <v>45569.0</v>
      </c>
      <c r="C342" s="141" t="str">
        <f t="shared" si="1"/>
        <v>10-2024</v>
      </c>
      <c r="D342" s="54">
        <f t="shared" si="51"/>
        <v>4443</v>
      </c>
      <c r="E342" s="138">
        <v>4452.0</v>
      </c>
      <c r="F342" s="54">
        <f t="shared" si="33"/>
        <v>9</v>
      </c>
      <c r="G342" s="54">
        <f t="shared" si="37"/>
        <v>-1</v>
      </c>
      <c r="H342" s="54"/>
    </row>
    <row r="343" ht="14.25" customHeight="1">
      <c r="B343" s="145">
        <v>45570.0</v>
      </c>
      <c r="C343" s="141" t="str">
        <f t="shared" si="1"/>
        <v>10-2024</v>
      </c>
      <c r="D343" s="54"/>
      <c r="E343" s="54"/>
      <c r="F343" s="54">
        <f t="shared" si="33"/>
        <v>0</v>
      </c>
      <c r="G343" s="54">
        <f t="shared" si="37"/>
        <v>-10</v>
      </c>
      <c r="H343" s="54"/>
    </row>
    <row r="344" ht="14.25" customHeight="1">
      <c r="B344" s="145">
        <v>45571.0</v>
      </c>
      <c r="C344" s="141" t="str">
        <f t="shared" si="1"/>
        <v>10-2024</v>
      </c>
      <c r="D344" s="54" t="str">
        <f>E343</f>
        <v/>
      </c>
      <c r="E344" s="54"/>
      <c r="F344" s="54">
        <f t="shared" si="33"/>
        <v>0</v>
      </c>
      <c r="G344" s="54">
        <f t="shared" si="37"/>
        <v>-10</v>
      </c>
      <c r="H344" s="54"/>
    </row>
    <row r="345" ht="14.25" customHeight="1">
      <c r="B345" s="140">
        <v>45572.0</v>
      </c>
      <c r="C345" s="141" t="str">
        <f t="shared" si="1"/>
        <v>10-2024</v>
      </c>
      <c r="D345" s="138">
        <v>4452.0</v>
      </c>
      <c r="E345" s="138">
        <v>4461.0</v>
      </c>
      <c r="F345" s="54">
        <f t="shared" si="33"/>
        <v>9</v>
      </c>
      <c r="G345" s="54">
        <f t="shared" si="37"/>
        <v>-1</v>
      </c>
      <c r="H345" s="54"/>
    </row>
    <row r="346" ht="14.25" customHeight="1">
      <c r="B346" s="140">
        <v>45573.0</v>
      </c>
      <c r="C346" s="141" t="str">
        <f t="shared" si="1"/>
        <v>10-2024</v>
      </c>
      <c r="D346" s="54">
        <f t="shared" ref="D346:D347" si="52">E345</f>
        <v>4461</v>
      </c>
      <c r="E346" s="138">
        <v>4472.0</v>
      </c>
      <c r="F346" s="54">
        <f t="shared" si="33"/>
        <v>11</v>
      </c>
      <c r="G346" s="54">
        <f t="shared" si="37"/>
        <v>1</v>
      </c>
      <c r="H346" s="54"/>
    </row>
    <row r="347" ht="14.25" customHeight="1">
      <c r="B347" s="140">
        <v>45574.0</v>
      </c>
      <c r="C347" s="141" t="str">
        <f t="shared" si="1"/>
        <v>10-2024</v>
      </c>
      <c r="D347" s="54">
        <f t="shared" si="52"/>
        <v>4472</v>
      </c>
      <c r="E347" s="138">
        <v>4482.0</v>
      </c>
      <c r="F347" s="54">
        <f t="shared" si="33"/>
        <v>10</v>
      </c>
      <c r="G347" s="54">
        <f t="shared" si="37"/>
        <v>0</v>
      </c>
      <c r="H347" s="54"/>
    </row>
    <row r="348" ht="14.25" customHeight="1">
      <c r="B348" s="140">
        <v>45575.0</v>
      </c>
      <c r="C348" s="141" t="str">
        <f t="shared" si="1"/>
        <v>10-2024</v>
      </c>
      <c r="D348" s="54"/>
      <c r="E348" s="54"/>
      <c r="F348" s="54">
        <f t="shared" si="33"/>
        <v>0</v>
      </c>
      <c r="G348" s="54">
        <f t="shared" si="37"/>
        <v>-10</v>
      </c>
      <c r="H348" s="54"/>
    </row>
    <row r="349" ht="14.25" customHeight="1">
      <c r="B349" s="140">
        <v>45576.0</v>
      </c>
      <c r="C349" s="141" t="str">
        <f t="shared" si="1"/>
        <v>10-2024</v>
      </c>
      <c r="D349" s="138">
        <v>4482.0</v>
      </c>
      <c r="E349" s="138">
        <v>4487.0</v>
      </c>
      <c r="F349" s="54">
        <f t="shared" si="33"/>
        <v>5</v>
      </c>
      <c r="G349" s="54">
        <f t="shared" si="37"/>
        <v>-5</v>
      </c>
      <c r="H349" s="54"/>
    </row>
    <row r="350" ht="14.25" customHeight="1">
      <c r="B350" s="145">
        <v>45577.0</v>
      </c>
      <c r="C350" s="141" t="str">
        <f t="shared" si="1"/>
        <v>10-2024</v>
      </c>
      <c r="D350" s="54"/>
      <c r="E350" s="54"/>
      <c r="F350" s="54">
        <f t="shared" si="33"/>
        <v>0</v>
      </c>
      <c r="G350" s="54">
        <f t="shared" si="37"/>
        <v>-10</v>
      </c>
      <c r="H350" s="54"/>
    </row>
    <row r="351" ht="14.25" customHeight="1">
      <c r="B351" s="145">
        <v>45578.0</v>
      </c>
      <c r="C351" s="141" t="str">
        <f t="shared" si="1"/>
        <v>10-2024</v>
      </c>
      <c r="D351" s="54" t="str">
        <f>E350</f>
        <v/>
      </c>
      <c r="E351" s="54"/>
      <c r="F351" s="54">
        <f t="shared" si="33"/>
        <v>0</v>
      </c>
      <c r="G351" s="54">
        <f t="shared" si="37"/>
        <v>-10</v>
      </c>
      <c r="H351" s="54"/>
    </row>
    <row r="352" ht="14.25" customHeight="1">
      <c r="B352" s="140">
        <v>45579.0</v>
      </c>
      <c r="C352" s="141" t="str">
        <f t="shared" si="1"/>
        <v>10-2024</v>
      </c>
      <c r="D352" s="138">
        <v>4487.0</v>
      </c>
      <c r="E352" s="138">
        <v>4496.0</v>
      </c>
      <c r="F352" s="54">
        <f t="shared" si="33"/>
        <v>9</v>
      </c>
      <c r="G352" s="54">
        <f t="shared" si="37"/>
        <v>-1</v>
      </c>
      <c r="H352" s="54"/>
    </row>
    <row r="353" ht="14.25" customHeight="1">
      <c r="B353" s="140">
        <v>45580.0</v>
      </c>
      <c r="C353" s="141" t="str">
        <f t="shared" si="1"/>
        <v>10-2024</v>
      </c>
      <c r="D353" s="54">
        <f t="shared" ref="D353:D357" si="53">E352</f>
        <v>4496</v>
      </c>
      <c r="E353" s="138">
        <v>4498.0</v>
      </c>
      <c r="F353" s="54">
        <f t="shared" si="33"/>
        <v>2</v>
      </c>
      <c r="G353" s="54">
        <f t="shared" si="37"/>
        <v>-8</v>
      </c>
      <c r="H353" s="54"/>
    </row>
    <row r="354" ht="14.25" customHeight="1">
      <c r="B354" s="140">
        <v>45581.0</v>
      </c>
      <c r="C354" s="141" t="str">
        <f t="shared" si="1"/>
        <v>10-2024</v>
      </c>
      <c r="D354" s="54">
        <f t="shared" si="53"/>
        <v>4498</v>
      </c>
      <c r="E354" s="138">
        <v>4508.5</v>
      </c>
      <c r="F354" s="54">
        <f t="shared" si="33"/>
        <v>10.5</v>
      </c>
      <c r="G354" s="54">
        <f t="shared" si="37"/>
        <v>0.5</v>
      </c>
      <c r="H354" s="54"/>
    </row>
    <row r="355" ht="14.25" customHeight="1">
      <c r="B355" s="140">
        <v>45582.0</v>
      </c>
      <c r="C355" s="141" t="str">
        <f t="shared" si="1"/>
        <v>10-2024</v>
      </c>
      <c r="D355" s="54">
        <f t="shared" si="53"/>
        <v>4508.5</v>
      </c>
      <c r="E355" s="138">
        <v>4514.0</v>
      </c>
      <c r="F355" s="54">
        <f t="shared" si="33"/>
        <v>5.5</v>
      </c>
      <c r="G355" s="54">
        <f t="shared" si="37"/>
        <v>-4.5</v>
      </c>
      <c r="H355" s="54"/>
    </row>
    <row r="356" ht="14.25" customHeight="1">
      <c r="B356" s="140">
        <v>45583.0</v>
      </c>
      <c r="C356" s="141" t="str">
        <f t="shared" si="1"/>
        <v>10-2024</v>
      </c>
      <c r="D356" s="54">
        <f t="shared" si="53"/>
        <v>4514</v>
      </c>
      <c r="E356" s="138">
        <v>4526.0</v>
      </c>
      <c r="F356" s="54">
        <f t="shared" si="33"/>
        <v>12</v>
      </c>
      <c r="G356" s="54">
        <f t="shared" si="37"/>
        <v>2</v>
      </c>
      <c r="H356" s="54"/>
    </row>
    <row r="357" ht="14.25" customHeight="1">
      <c r="B357" s="145">
        <v>45584.0</v>
      </c>
      <c r="C357" s="141" t="str">
        <f t="shared" si="1"/>
        <v>10-2024</v>
      </c>
      <c r="D357" s="54">
        <f t="shared" si="53"/>
        <v>4526</v>
      </c>
      <c r="E357" s="138">
        <v>4536.0</v>
      </c>
      <c r="F357" s="54">
        <f t="shared" si="33"/>
        <v>10</v>
      </c>
      <c r="G357" s="54">
        <f t="shared" si="37"/>
        <v>0</v>
      </c>
      <c r="H357" s="54"/>
    </row>
    <row r="358" ht="14.25" customHeight="1">
      <c r="B358" s="145">
        <v>45585.0</v>
      </c>
      <c r="C358" s="141" t="str">
        <f t="shared" si="1"/>
        <v>10-2024</v>
      </c>
      <c r="D358" s="54"/>
      <c r="E358" s="54"/>
      <c r="F358" s="54">
        <f t="shared" si="33"/>
        <v>0</v>
      </c>
      <c r="G358" s="54">
        <f t="shared" si="37"/>
        <v>-10</v>
      </c>
      <c r="H358" s="54"/>
    </row>
    <row r="359" ht="14.25" customHeight="1">
      <c r="B359" s="140">
        <v>45586.0</v>
      </c>
      <c r="C359" s="141" t="str">
        <f t="shared" si="1"/>
        <v>10-2024</v>
      </c>
      <c r="D359" s="138">
        <v>4536.0</v>
      </c>
      <c r="E359" s="138">
        <v>4539.0</v>
      </c>
      <c r="F359" s="54">
        <f t="shared" si="33"/>
        <v>3</v>
      </c>
      <c r="G359" s="54">
        <f t="shared" si="37"/>
        <v>-7</v>
      </c>
      <c r="H359" s="54"/>
    </row>
    <row r="360" ht="14.25" customHeight="1">
      <c r="B360" s="140">
        <v>45587.0</v>
      </c>
      <c r="C360" s="141" t="str">
        <f t="shared" si="1"/>
        <v>10-2024</v>
      </c>
      <c r="D360" s="54">
        <f t="shared" ref="D360:D362" si="54">E359</f>
        <v>4539</v>
      </c>
      <c r="E360" s="138">
        <v>4551.0</v>
      </c>
      <c r="F360" s="54">
        <f t="shared" si="33"/>
        <v>12</v>
      </c>
      <c r="G360" s="54">
        <f t="shared" si="37"/>
        <v>2</v>
      </c>
      <c r="H360" s="54"/>
    </row>
    <row r="361" ht="14.25" customHeight="1">
      <c r="B361" s="140">
        <v>45588.0</v>
      </c>
      <c r="C361" s="141" t="str">
        <f t="shared" si="1"/>
        <v>10-2024</v>
      </c>
      <c r="D361" s="54">
        <f t="shared" si="54"/>
        <v>4551</v>
      </c>
      <c r="E361" s="138">
        <v>4564.0</v>
      </c>
      <c r="F361" s="54">
        <f t="shared" si="33"/>
        <v>13</v>
      </c>
      <c r="G361" s="54">
        <f t="shared" si="37"/>
        <v>3</v>
      </c>
      <c r="H361" s="54"/>
    </row>
    <row r="362" ht="14.25" customHeight="1">
      <c r="B362" s="140">
        <v>45589.0</v>
      </c>
      <c r="C362" s="141" t="str">
        <f t="shared" si="1"/>
        <v>10-2024</v>
      </c>
      <c r="D362" s="54">
        <f t="shared" si="54"/>
        <v>4564</v>
      </c>
      <c r="E362" s="138">
        <v>4571.0</v>
      </c>
      <c r="F362" s="54">
        <f t="shared" si="33"/>
        <v>7</v>
      </c>
      <c r="G362" s="54">
        <f t="shared" si="37"/>
        <v>-3</v>
      </c>
      <c r="H362" s="54"/>
    </row>
    <row r="363" ht="14.25" customHeight="1">
      <c r="B363" s="140">
        <v>45590.0</v>
      </c>
      <c r="C363" s="141" t="str">
        <f t="shared" si="1"/>
        <v>10-2024</v>
      </c>
      <c r="D363" s="54"/>
      <c r="E363" s="54"/>
      <c r="F363" s="54">
        <f t="shared" si="33"/>
        <v>0</v>
      </c>
      <c r="G363" s="54">
        <f t="shared" si="37"/>
        <v>-10</v>
      </c>
      <c r="H363" s="54"/>
    </row>
    <row r="364" ht="14.25" customHeight="1">
      <c r="B364" s="145">
        <v>45591.0</v>
      </c>
      <c r="C364" s="141" t="str">
        <f t="shared" si="1"/>
        <v>10-2024</v>
      </c>
      <c r="D364" s="54" t="str">
        <f t="shared" ref="D364:D365" si="55">E363</f>
        <v/>
      </c>
      <c r="E364" s="54"/>
      <c r="F364" s="54">
        <f t="shared" si="33"/>
        <v>0</v>
      </c>
      <c r="G364" s="54">
        <f t="shared" si="37"/>
        <v>-10</v>
      </c>
      <c r="H364" s="54"/>
    </row>
    <row r="365" ht="14.25" customHeight="1">
      <c r="B365" s="145">
        <v>45592.0</v>
      </c>
      <c r="C365" s="141" t="str">
        <f t="shared" si="1"/>
        <v>10-2024</v>
      </c>
      <c r="D365" s="54" t="str">
        <f t="shared" si="55"/>
        <v/>
      </c>
      <c r="E365" s="54"/>
      <c r="F365" s="54">
        <f t="shared" si="33"/>
        <v>0</v>
      </c>
      <c r="G365" s="54">
        <f t="shared" si="37"/>
        <v>-10</v>
      </c>
      <c r="H365" s="54"/>
    </row>
    <row r="366" ht="14.25" customHeight="1">
      <c r="B366" s="140">
        <v>45593.0</v>
      </c>
      <c r="C366" s="141" t="str">
        <f t="shared" si="1"/>
        <v>10-2024</v>
      </c>
      <c r="D366" s="138">
        <v>4571.0</v>
      </c>
      <c r="E366" s="138">
        <v>4575.0</v>
      </c>
      <c r="F366" s="54">
        <f t="shared" si="33"/>
        <v>4</v>
      </c>
      <c r="G366" s="54">
        <f t="shared" si="37"/>
        <v>-6</v>
      </c>
    </row>
    <row r="367" ht="14.25" customHeight="1">
      <c r="B367" s="140">
        <v>45594.0</v>
      </c>
      <c r="C367" s="141" t="str">
        <f t="shared" si="1"/>
        <v>10-2024</v>
      </c>
      <c r="D367" s="54">
        <f t="shared" ref="D367:D369" si="56">E366</f>
        <v>4575</v>
      </c>
      <c r="E367" s="138">
        <v>4582.0</v>
      </c>
      <c r="F367" s="54">
        <f t="shared" si="33"/>
        <v>7</v>
      </c>
      <c r="G367" s="54">
        <f t="shared" si="37"/>
        <v>-3</v>
      </c>
    </row>
    <row r="368" ht="14.25" customHeight="1">
      <c r="B368" s="140">
        <v>45595.0</v>
      </c>
      <c r="C368" s="141" t="str">
        <f t="shared" si="1"/>
        <v>10-2024</v>
      </c>
      <c r="D368" s="54">
        <f t="shared" si="56"/>
        <v>4582</v>
      </c>
      <c r="E368" s="138">
        <v>4589.0</v>
      </c>
      <c r="F368" s="54">
        <f t="shared" si="33"/>
        <v>7</v>
      </c>
      <c r="G368" s="54">
        <f t="shared" si="37"/>
        <v>-3</v>
      </c>
    </row>
    <row r="369" ht="14.25" customHeight="1">
      <c r="B369" s="140">
        <v>45596.0</v>
      </c>
      <c r="C369" s="141" t="str">
        <f t="shared" si="1"/>
        <v>10-2024</v>
      </c>
      <c r="D369" s="54">
        <f t="shared" si="56"/>
        <v>4589</v>
      </c>
      <c r="E369" s="138">
        <v>4598.0</v>
      </c>
      <c r="F369" s="54">
        <f t="shared" si="33"/>
        <v>9</v>
      </c>
      <c r="G369" s="54">
        <f t="shared" si="37"/>
        <v>-1</v>
      </c>
    </row>
    <row r="370" ht="14.25" customHeight="1">
      <c r="B370" s="140">
        <v>45597.0</v>
      </c>
      <c r="C370" s="141" t="str">
        <f t="shared" si="1"/>
        <v>11-2024</v>
      </c>
      <c r="D370" s="138">
        <v>4598.0</v>
      </c>
      <c r="E370" s="138">
        <v>4606.0</v>
      </c>
      <c r="F370" s="54">
        <f t="shared" si="33"/>
        <v>8</v>
      </c>
      <c r="G370" s="54">
        <f t="shared" si="37"/>
        <v>-2</v>
      </c>
      <c r="H370" s="28">
        <v>190.0</v>
      </c>
    </row>
    <row r="371" ht="14.25" customHeight="1">
      <c r="B371" s="145">
        <v>45598.0</v>
      </c>
      <c r="C371" s="148" t="str">
        <f t="shared" si="1"/>
        <v>11-2024</v>
      </c>
      <c r="D371" s="54">
        <f t="shared" ref="D371:D372" si="57">E370</f>
        <v>4606</v>
      </c>
      <c r="E371" s="138">
        <v>4616.0</v>
      </c>
      <c r="F371" s="54">
        <f t="shared" si="33"/>
        <v>10</v>
      </c>
      <c r="G371" s="54">
        <f t="shared" si="37"/>
        <v>0</v>
      </c>
    </row>
    <row r="372" ht="14.25" customHeight="1">
      <c r="B372" s="145">
        <v>45599.0</v>
      </c>
      <c r="C372" s="141" t="str">
        <f t="shared" si="1"/>
        <v>11-2024</v>
      </c>
      <c r="D372" s="54">
        <f t="shared" si="57"/>
        <v>4616</v>
      </c>
      <c r="E372" s="138">
        <v>4620.6</v>
      </c>
      <c r="F372" s="54">
        <f t="shared" si="33"/>
        <v>4.6</v>
      </c>
      <c r="G372" s="54">
        <f t="shared" si="37"/>
        <v>-5.4</v>
      </c>
      <c r="H372" s="28">
        <v>150.0</v>
      </c>
    </row>
    <row r="373" ht="14.25" customHeight="1">
      <c r="B373" s="140">
        <v>45600.0</v>
      </c>
      <c r="C373" s="141" t="str">
        <f t="shared" si="1"/>
        <v>11-2024</v>
      </c>
      <c r="D373" s="54"/>
      <c r="E373" s="54"/>
      <c r="F373" s="54">
        <f t="shared" si="33"/>
        <v>0</v>
      </c>
      <c r="G373" s="54">
        <f t="shared" si="37"/>
        <v>-10</v>
      </c>
    </row>
    <row r="374" ht="14.25" customHeight="1">
      <c r="B374" s="140">
        <v>45601.0</v>
      </c>
      <c r="C374" s="141" t="str">
        <f t="shared" si="1"/>
        <v>11-2024</v>
      </c>
      <c r="D374" s="54" t="str">
        <f t="shared" ref="D374:D375" si="58">E373</f>
        <v/>
      </c>
      <c r="E374" s="54"/>
      <c r="F374" s="54">
        <f t="shared" si="33"/>
        <v>0</v>
      </c>
      <c r="G374" s="54">
        <f t="shared" si="37"/>
        <v>-10</v>
      </c>
    </row>
    <row r="375" ht="14.25" customHeight="1">
      <c r="B375" s="140">
        <v>45602.0</v>
      </c>
      <c r="C375" s="141" t="str">
        <f t="shared" si="1"/>
        <v>11-2024</v>
      </c>
      <c r="D375" s="54" t="str">
        <f t="shared" si="58"/>
        <v/>
      </c>
      <c r="E375" s="54"/>
      <c r="F375" s="54">
        <f t="shared" si="33"/>
        <v>0</v>
      </c>
      <c r="G375" s="54">
        <f t="shared" si="37"/>
        <v>-10</v>
      </c>
    </row>
    <row r="376" ht="14.25" customHeight="1">
      <c r="B376" s="140">
        <v>45603.0</v>
      </c>
      <c r="C376" s="141" t="str">
        <f t="shared" si="1"/>
        <v>11-2024</v>
      </c>
      <c r="D376" s="138">
        <v>4620.6</v>
      </c>
      <c r="E376" s="138">
        <v>4625.0</v>
      </c>
      <c r="F376" s="54">
        <f t="shared" si="33"/>
        <v>4.4</v>
      </c>
      <c r="G376" s="54">
        <f t="shared" si="37"/>
        <v>-5.6</v>
      </c>
    </row>
    <row r="377" ht="14.25" customHeight="1">
      <c r="B377" s="140">
        <v>45604.0</v>
      </c>
      <c r="C377" s="141" t="str">
        <f t="shared" si="1"/>
        <v>11-2024</v>
      </c>
      <c r="D377" s="54">
        <f>E376</f>
        <v>4625</v>
      </c>
      <c r="E377" s="138">
        <v>4634.0</v>
      </c>
      <c r="F377" s="54">
        <f t="shared" si="33"/>
        <v>9</v>
      </c>
      <c r="G377" s="54">
        <f t="shared" si="37"/>
        <v>-1</v>
      </c>
      <c r="H377" s="28">
        <v>400.0</v>
      </c>
    </row>
    <row r="378" ht="14.25" customHeight="1">
      <c r="B378" s="145">
        <v>45605.0</v>
      </c>
      <c r="C378" s="141" t="str">
        <f t="shared" si="1"/>
        <v>11-2024</v>
      </c>
      <c r="D378" s="138">
        <v>4634.0</v>
      </c>
      <c r="E378" s="138">
        <v>4642.0</v>
      </c>
      <c r="F378" s="54">
        <f t="shared" si="33"/>
        <v>8</v>
      </c>
      <c r="G378" s="54">
        <f t="shared" si="37"/>
        <v>-2</v>
      </c>
    </row>
    <row r="379" ht="14.25" customHeight="1">
      <c r="B379" s="145">
        <v>45606.0</v>
      </c>
      <c r="C379" s="141" t="str">
        <f t="shared" si="1"/>
        <v>11-2024</v>
      </c>
      <c r="D379" s="54"/>
      <c r="E379" s="54"/>
      <c r="F379" s="54">
        <f t="shared" si="33"/>
        <v>0</v>
      </c>
      <c r="G379" s="54">
        <f t="shared" si="37"/>
        <v>-10</v>
      </c>
    </row>
    <row r="380" ht="14.25" customHeight="1">
      <c r="B380" s="140">
        <v>45607.0</v>
      </c>
      <c r="C380" s="141" t="str">
        <f t="shared" si="1"/>
        <v>11-2024</v>
      </c>
      <c r="D380" s="138">
        <v>4642.0</v>
      </c>
      <c r="E380" s="138">
        <v>4652.0</v>
      </c>
      <c r="F380" s="54">
        <f t="shared" si="33"/>
        <v>10</v>
      </c>
      <c r="G380" s="54">
        <f t="shared" si="37"/>
        <v>0</v>
      </c>
      <c r="H380" s="28">
        <v>146.0</v>
      </c>
    </row>
    <row r="381" ht="14.25" customHeight="1">
      <c r="B381" s="140">
        <v>45608.0</v>
      </c>
      <c r="C381" s="141" t="str">
        <f t="shared" si="1"/>
        <v>11-2024</v>
      </c>
      <c r="D381" s="54">
        <f t="shared" ref="D381:D387" si="59">E380</f>
        <v>4652</v>
      </c>
      <c r="E381" s="138">
        <v>4662.0</v>
      </c>
      <c r="F381" s="54">
        <f t="shared" si="33"/>
        <v>10</v>
      </c>
      <c r="G381" s="54">
        <f t="shared" si="37"/>
        <v>0</v>
      </c>
    </row>
    <row r="382" ht="14.25" customHeight="1">
      <c r="B382" s="140">
        <v>45609.0</v>
      </c>
      <c r="C382" s="141" t="str">
        <f t="shared" si="1"/>
        <v>11-2024</v>
      </c>
      <c r="D382" s="54">
        <f t="shared" si="59"/>
        <v>4662</v>
      </c>
      <c r="E382" s="138">
        <v>4674.0</v>
      </c>
      <c r="F382" s="54">
        <f t="shared" si="33"/>
        <v>12</v>
      </c>
      <c r="G382" s="54">
        <f t="shared" si="37"/>
        <v>2</v>
      </c>
      <c r="H382" s="28">
        <v>400.0</v>
      </c>
    </row>
    <row r="383" ht="14.25" customHeight="1">
      <c r="B383" s="140">
        <v>45610.0</v>
      </c>
      <c r="C383" s="141" t="str">
        <f t="shared" si="1"/>
        <v>11-2024</v>
      </c>
      <c r="D383" s="54">
        <f t="shared" si="59"/>
        <v>4674</v>
      </c>
      <c r="E383" s="138">
        <v>4686.0</v>
      </c>
      <c r="F383" s="54">
        <f t="shared" si="33"/>
        <v>12</v>
      </c>
      <c r="G383" s="54">
        <f t="shared" si="37"/>
        <v>2</v>
      </c>
    </row>
    <row r="384" ht="14.25" customHeight="1">
      <c r="B384" s="140">
        <v>45611.0</v>
      </c>
      <c r="C384" s="148" t="str">
        <f t="shared" si="1"/>
        <v>11-2024</v>
      </c>
      <c r="D384" s="54">
        <f t="shared" si="59"/>
        <v>4686</v>
      </c>
      <c r="E384" s="138">
        <v>4697.0</v>
      </c>
      <c r="F384" s="54">
        <f t="shared" si="33"/>
        <v>11</v>
      </c>
      <c r="G384" s="54">
        <f t="shared" si="37"/>
        <v>1</v>
      </c>
      <c r="H384" s="28">
        <v>390.0</v>
      </c>
    </row>
    <row r="385" ht="14.25" customHeight="1">
      <c r="B385" s="145">
        <v>45612.0</v>
      </c>
      <c r="C385" s="141" t="str">
        <f t="shared" si="1"/>
        <v>11-2024</v>
      </c>
      <c r="D385" s="54">
        <f t="shared" si="59"/>
        <v>4697</v>
      </c>
      <c r="E385" s="138">
        <v>4702.0</v>
      </c>
      <c r="F385" s="54">
        <f t="shared" si="33"/>
        <v>5</v>
      </c>
      <c r="G385" s="54">
        <f t="shared" si="37"/>
        <v>-5</v>
      </c>
    </row>
    <row r="386" ht="14.25" customHeight="1">
      <c r="B386" s="145">
        <v>45613.0</v>
      </c>
      <c r="C386" s="141" t="str">
        <f t="shared" si="1"/>
        <v>11-2024</v>
      </c>
      <c r="D386" s="54">
        <f t="shared" si="59"/>
        <v>4702</v>
      </c>
      <c r="E386" s="138">
        <v>4708.0</v>
      </c>
      <c r="F386" s="54">
        <f t="shared" si="33"/>
        <v>6</v>
      </c>
      <c r="G386" s="54">
        <f t="shared" si="37"/>
        <v>-4</v>
      </c>
    </row>
    <row r="387" ht="14.25" customHeight="1">
      <c r="B387" s="140">
        <v>45614.0</v>
      </c>
      <c r="C387" s="141" t="str">
        <f t="shared" si="1"/>
        <v>11-2024</v>
      </c>
      <c r="D387" s="54">
        <f t="shared" si="59"/>
        <v>4708</v>
      </c>
      <c r="E387" s="138">
        <v>4720.2</v>
      </c>
      <c r="F387" s="54">
        <f t="shared" si="33"/>
        <v>12.2</v>
      </c>
      <c r="G387" s="54">
        <f t="shared" si="37"/>
        <v>2.2</v>
      </c>
      <c r="H387" s="28">
        <v>350.0</v>
      </c>
    </row>
    <row r="388" ht="14.25" customHeight="1">
      <c r="B388" s="140">
        <v>45615.0</v>
      </c>
      <c r="C388" s="141" t="str">
        <f t="shared" si="1"/>
        <v>11-2024</v>
      </c>
      <c r="D388" s="54"/>
      <c r="E388" s="54"/>
      <c r="F388" s="54">
        <f t="shared" si="33"/>
        <v>0</v>
      </c>
      <c r="G388" s="54">
        <f t="shared" si="37"/>
        <v>-10</v>
      </c>
    </row>
    <row r="389" ht="14.25" customHeight="1">
      <c r="B389" s="140">
        <v>45616.0</v>
      </c>
      <c r="C389" s="148" t="str">
        <f t="shared" si="1"/>
        <v>11-2024</v>
      </c>
      <c r="D389" s="138">
        <v>4720.2</v>
      </c>
      <c r="E389" s="138">
        <v>4728.0</v>
      </c>
      <c r="F389" s="54">
        <f t="shared" si="33"/>
        <v>7.8</v>
      </c>
      <c r="G389" s="54">
        <f t="shared" si="37"/>
        <v>-2.2</v>
      </c>
      <c r="H389" s="28">
        <v>90.0</v>
      </c>
    </row>
    <row r="390" ht="14.25" customHeight="1">
      <c r="B390" s="140">
        <v>45617.0</v>
      </c>
      <c r="C390" s="141" t="str">
        <f t="shared" si="1"/>
        <v>11-2024</v>
      </c>
      <c r="D390" s="54">
        <f t="shared" ref="D390:D391" si="60">E389</f>
        <v>4728</v>
      </c>
      <c r="E390" s="138">
        <v>4738.0</v>
      </c>
      <c r="F390" s="54">
        <f t="shared" si="33"/>
        <v>10</v>
      </c>
      <c r="G390" s="54">
        <f t="shared" si="37"/>
        <v>0</v>
      </c>
    </row>
    <row r="391" ht="14.25" customHeight="1">
      <c r="B391" s="140">
        <v>45618.0</v>
      </c>
      <c r="C391" s="141" t="str">
        <f t="shared" si="1"/>
        <v>11-2024</v>
      </c>
      <c r="D391" s="54">
        <f t="shared" si="60"/>
        <v>4738</v>
      </c>
      <c r="E391" s="138">
        <v>4746.8</v>
      </c>
      <c r="F391" s="54">
        <f t="shared" si="33"/>
        <v>8.8</v>
      </c>
      <c r="G391" s="54">
        <f t="shared" si="37"/>
        <v>-1.2</v>
      </c>
      <c r="H391" s="28">
        <v>430.0</v>
      </c>
    </row>
    <row r="392" ht="14.25" customHeight="1">
      <c r="B392" s="145">
        <v>45619.0</v>
      </c>
      <c r="C392" s="141" t="str">
        <f t="shared" si="1"/>
        <v>11-2024</v>
      </c>
      <c r="D392" s="54"/>
      <c r="E392" s="54"/>
      <c r="F392" s="54">
        <f t="shared" si="33"/>
        <v>0</v>
      </c>
      <c r="G392" s="54">
        <f t="shared" si="37"/>
        <v>-10</v>
      </c>
    </row>
    <row r="393" ht="14.25" customHeight="1">
      <c r="B393" s="145">
        <v>45620.0</v>
      </c>
      <c r="C393" s="141" t="str">
        <f t="shared" si="1"/>
        <v>11-2024</v>
      </c>
      <c r="D393" s="54" t="str">
        <f>E392</f>
        <v/>
      </c>
      <c r="E393" s="54"/>
      <c r="F393" s="54">
        <f t="shared" si="33"/>
        <v>0</v>
      </c>
      <c r="G393" s="54">
        <f t="shared" si="37"/>
        <v>-10</v>
      </c>
    </row>
    <row r="394" ht="14.25" customHeight="1">
      <c r="B394" s="140">
        <v>45621.0</v>
      </c>
      <c r="C394" s="141" t="str">
        <f t="shared" si="1"/>
        <v>11-2024</v>
      </c>
      <c r="D394" s="138">
        <v>4746.8</v>
      </c>
      <c r="E394" s="138">
        <v>4754.8</v>
      </c>
      <c r="F394" s="149">
        <f t="shared" si="33"/>
        <v>8</v>
      </c>
      <c r="G394" s="54">
        <f t="shared" si="37"/>
        <v>-2</v>
      </c>
    </row>
    <row r="395" ht="14.25" customHeight="1">
      <c r="B395" s="140">
        <v>45622.0</v>
      </c>
      <c r="C395" s="141" t="str">
        <f t="shared" si="1"/>
        <v>11-2024</v>
      </c>
      <c r="D395" s="54">
        <f t="shared" ref="D395:D399" si="61">E394</f>
        <v>4754.8</v>
      </c>
      <c r="E395" s="138">
        <v>4762.8</v>
      </c>
      <c r="F395" s="149">
        <f t="shared" si="33"/>
        <v>8</v>
      </c>
      <c r="G395" s="54">
        <f t="shared" si="37"/>
        <v>-2</v>
      </c>
    </row>
    <row r="396" ht="14.25" customHeight="1">
      <c r="B396" s="140">
        <v>45623.0</v>
      </c>
      <c r="C396" s="141" t="str">
        <f t="shared" si="1"/>
        <v>11-2024</v>
      </c>
      <c r="D396" s="54">
        <f t="shared" si="61"/>
        <v>4762.8</v>
      </c>
      <c r="E396" s="138">
        <v>4772.8</v>
      </c>
      <c r="F396" s="149">
        <f t="shared" si="33"/>
        <v>10</v>
      </c>
      <c r="G396" s="54">
        <f t="shared" si="37"/>
        <v>0</v>
      </c>
      <c r="H396" s="28">
        <v>230.0</v>
      </c>
    </row>
    <row r="397" ht="14.25" customHeight="1">
      <c r="B397" s="140">
        <v>45624.0</v>
      </c>
      <c r="C397" s="141" t="str">
        <f t="shared" si="1"/>
        <v>11-2024</v>
      </c>
      <c r="D397" s="54">
        <f t="shared" si="61"/>
        <v>4772.8</v>
      </c>
      <c r="E397" s="138">
        <v>4781.0</v>
      </c>
      <c r="F397" s="54">
        <f t="shared" si="33"/>
        <v>8.2</v>
      </c>
      <c r="G397" s="54">
        <f t="shared" si="37"/>
        <v>-1.8</v>
      </c>
      <c r="H397" s="28">
        <v>350.0</v>
      </c>
    </row>
    <row r="398" ht="14.25" customHeight="1">
      <c r="B398" s="140">
        <v>45625.0</v>
      </c>
      <c r="C398" s="141" t="str">
        <f t="shared" si="1"/>
        <v>11-2024</v>
      </c>
      <c r="D398" s="54">
        <f t="shared" si="61"/>
        <v>4781</v>
      </c>
      <c r="E398" s="138">
        <v>4786.7</v>
      </c>
      <c r="F398" s="54">
        <f t="shared" si="33"/>
        <v>5.7</v>
      </c>
      <c r="G398" s="54">
        <f t="shared" si="37"/>
        <v>-4.3</v>
      </c>
    </row>
    <row r="399" ht="14.25" customHeight="1">
      <c r="B399" s="145">
        <v>45626.0</v>
      </c>
      <c r="C399" s="141" t="str">
        <f t="shared" si="1"/>
        <v>11-2024</v>
      </c>
      <c r="D399" s="54">
        <f t="shared" si="61"/>
        <v>4786.7</v>
      </c>
      <c r="E399" s="138">
        <v>4788.0</v>
      </c>
      <c r="F399" s="54">
        <f t="shared" si="33"/>
        <v>1.3</v>
      </c>
      <c r="G399" s="54">
        <f t="shared" si="37"/>
        <v>-8.7</v>
      </c>
    </row>
    <row r="400" ht="14.25" customHeight="1">
      <c r="B400" s="145">
        <v>45627.0</v>
      </c>
      <c r="C400" s="141" t="str">
        <f t="shared" si="1"/>
        <v>12-2024</v>
      </c>
      <c r="D400" s="138"/>
      <c r="E400" s="138"/>
      <c r="F400" s="54">
        <f t="shared" si="33"/>
        <v>0</v>
      </c>
      <c r="G400" s="54">
        <f t="shared" si="37"/>
        <v>-10</v>
      </c>
    </row>
    <row r="401" ht="14.25" customHeight="1">
      <c r="B401" s="140">
        <v>45628.0</v>
      </c>
      <c r="C401" s="141" t="str">
        <f t="shared" si="1"/>
        <v>12-2024</v>
      </c>
      <c r="D401" s="138">
        <v>4788.0</v>
      </c>
      <c r="E401" s="138">
        <v>4796.0</v>
      </c>
      <c r="F401" s="54">
        <f t="shared" si="33"/>
        <v>8</v>
      </c>
      <c r="G401" s="54">
        <f t="shared" si="37"/>
        <v>-2</v>
      </c>
      <c r="H401" s="28">
        <v>220.0</v>
      </c>
    </row>
    <row r="402" ht="14.25" customHeight="1">
      <c r="B402" s="140">
        <v>45629.0</v>
      </c>
      <c r="C402" s="141" t="str">
        <f t="shared" si="1"/>
        <v>12-2024</v>
      </c>
      <c r="D402" s="54">
        <f t="shared" ref="D402:D405" si="62">E401</f>
        <v>4796</v>
      </c>
      <c r="E402" s="138">
        <v>4807.0</v>
      </c>
      <c r="F402" s="54">
        <f t="shared" si="33"/>
        <v>11</v>
      </c>
      <c r="G402" s="54">
        <f t="shared" si="37"/>
        <v>1</v>
      </c>
    </row>
    <row r="403" ht="14.25" customHeight="1">
      <c r="B403" s="140">
        <v>45630.0</v>
      </c>
      <c r="C403" s="141" t="str">
        <f t="shared" si="1"/>
        <v>12-2024</v>
      </c>
      <c r="D403" s="54">
        <f t="shared" si="62"/>
        <v>4807</v>
      </c>
      <c r="E403" s="138">
        <v>4817.0</v>
      </c>
      <c r="F403" s="54">
        <f t="shared" si="33"/>
        <v>10</v>
      </c>
      <c r="G403" s="54">
        <f t="shared" si="37"/>
        <v>0</v>
      </c>
      <c r="H403" s="28">
        <v>220.0</v>
      </c>
    </row>
    <row r="404" ht="14.25" customHeight="1">
      <c r="B404" s="140">
        <v>45631.0</v>
      </c>
      <c r="C404" s="141" t="str">
        <f t="shared" si="1"/>
        <v>12-2024</v>
      </c>
      <c r="D404" s="54">
        <f t="shared" si="62"/>
        <v>4817</v>
      </c>
      <c r="E404" s="138">
        <v>4827.4</v>
      </c>
      <c r="F404" s="54">
        <f t="shared" si="33"/>
        <v>10.4</v>
      </c>
      <c r="G404" s="54">
        <f t="shared" si="37"/>
        <v>0.4</v>
      </c>
      <c r="H404" s="28">
        <v>220.0</v>
      </c>
    </row>
    <row r="405" ht="14.25" customHeight="1">
      <c r="B405" s="140">
        <v>45632.0</v>
      </c>
      <c r="C405" s="141" t="str">
        <f t="shared" si="1"/>
        <v>12-2024</v>
      </c>
      <c r="D405" s="54">
        <f t="shared" si="62"/>
        <v>4827.4</v>
      </c>
      <c r="E405" s="138">
        <v>4837.0</v>
      </c>
      <c r="F405" s="54">
        <f t="shared" si="33"/>
        <v>9.6</v>
      </c>
      <c r="G405" s="54">
        <f t="shared" si="37"/>
        <v>-0.4</v>
      </c>
      <c r="H405" s="28">
        <v>220.0</v>
      </c>
    </row>
    <row r="406" ht="14.25" customHeight="1">
      <c r="B406" s="145">
        <v>45633.0</v>
      </c>
      <c r="C406" s="141" t="str">
        <f t="shared" si="1"/>
        <v>12-2024</v>
      </c>
      <c r="D406" s="54"/>
      <c r="E406" s="54"/>
      <c r="F406" s="54">
        <f t="shared" si="33"/>
        <v>0</v>
      </c>
      <c r="G406" s="54">
        <f t="shared" si="37"/>
        <v>-10</v>
      </c>
    </row>
    <row r="407" ht="14.25" customHeight="1">
      <c r="B407" s="145">
        <v>45634.0</v>
      </c>
      <c r="C407" s="141" t="str">
        <f t="shared" si="1"/>
        <v>12-2024</v>
      </c>
      <c r="D407" s="54" t="str">
        <f>E406</f>
        <v/>
      </c>
      <c r="E407" s="54"/>
      <c r="F407" s="54">
        <f t="shared" si="33"/>
        <v>0</v>
      </c>
      <c r="G407" s="54">
        <f t="shared" si="37"/>
        <v>-10</v>
      </c>
    </row>
    <row r="408" ht="14.25" customHeight="1">
      <c r="B408" s="140">
        <v>45635.0</v>
      </c>
      <c r="C408" s="141" t="str">
        <f t="shared" si="1"/>
        <v>12-2024</v>
      </c>
      <c r="D408" s="138">
        <v>4837.0</v>
      </c>
      <c r="E408" s="138">
        <v>4848.5</v>
      </c>
      <c r="F408" s="54">
        <f t="shared" si="33"/>
        <v>11.5</v>
      </c>
      <c r="G408" s="54">
        <f t="shared" si="37"/>
        <v>1.5</v>
      </c>
      <c r="H408" s="28">
        <v>220.0</v>
      </c>
    </row>
    <row r="409" ht="14.25" customHeight="1">
      <c r="B409" s="140">
        <v>45636.0</v>
      </c>
      <c r="C409" s="141" t="str">
        <f t="shared" si="1"/>
        <v>12-2024</v>
      </c>
      <c r="D409" s="54"/>
      <c r="E409" s="138"/>
      <c r="F409" s="54">
        <f t="shared" si="33"/>
        <v>0</v>
      </c>
      <c r="G409" s="54">
        <f t="shared" si="37"/>
        <v>-10</v>
      </c>
    </row>
    <row r="410" ht="14.25" customHeight="1">
      <c r="B410" s="140">
        <v>45637.0</v>
      </c>
      <c r="C410" s="141" t="str">
        <f t="shared" si="1"/>
        <v>12-2024</v>
      </c>
      <c r="D410" s="138">
        <v>4848.5</v>
      </c>
      <c r="E410" s="138">
        <v>4859.0</v>
      </c>
      <c r="F410" s="54">
        <f t="shared" si="33"/>
        <v>10.5</v>
      </c>
      <c r="G410" s="54">
        <f t="shared" si="37"/>
        <v>0.5</v>
      </c>
      <c r="H410" s="28">
        <v>220.0</v>
      </c>
    </row>
    <row r="411" ht="14.25" customHeight="1">
      <c r="B411" s="140">
        <v>45638.0</v>
      </c>
      <c r="C411" s="141" t="str">
        <f t="shared" si="1"/>
        <v>12-2024</v>
      </c>
      <c r="D411" s="54">
        <f t="shared" ref="D411:D413" si="63">E410</f>
        <v>4859</v>
      </c>
      <c r="E411" s="138">
        <v>4868.0</v>
      </c>
      <c r="F411" s="54">
        <f t="shared" si="33"/>
        <v>9</v>
      </c>
      <c r="G411" s="54">
        <f t="shared" si="37"/>
        <v>-1</v>
      </c>
      <c r="H411" s="28">
        <v>230.0</v>
      </c>
    </row>
    <row r="412" ht="14.25" customHeight="1">
      <c r="B412" s="140">
        <v>45639.0</v>
      </c>
      <c r="C412" s="141" t="str">
        <f t="shared" si="1"/>
        <v>12-2024</v>
      </c>
      <c r="D412" s="54">
        <f t="shared" si="63"/>
        <v>4868</v>
      </c>
      <c r="E412" s="138">
        <v>4876.0</v>
      </c>
      <c r="F412" s="54">
        <f t="shared" si="33"/>
        <v>8</v>
      </c>
      <c r="G412" s="54">
        <f t="shared" si="37"/>
        <v>-2</v>
      </c>
    </row>
    <row r="413" ht="14.25" customHeight="1">
      <c r="B413" s="145">
        <v>45640.0</v>
      </c>
      <c r="C413" s="141" t="str">
        <f t="shared" si="1"/>
        <v>12-2024</v>
      </c>
      <c r="D413" s="54">
        <f t="shared" si="63"/>
        <v>4876</v>
      </c>
      <c r="E413" s="138">
        <v>4878.5</v>
      </c>
      <c r="F413" s="54">
        <f t="shared" si="33"/>
        <v>2.5</v>
      </c>
      <c r="G413" s="54">
        <f t="shared" si="37"/>
        <v>-7.5</v>
      </c>
    </row>
    <row r="414" ht="14.25" customHeight="1">
      <c r="B414" s="145">
        <v>45641.0</v>
      </c>
      <c r="C414" s="141" t="str">
        <f t="shared" si="1"/>
        <v>12-2024</v>
      </c>
      <c r="D414" s="54"/>
      <c r="E414" s="54"/>
      <c r="F414" s="54">
        <f t="shared" si="33"/>
        <v>0</v>
      </c>
      <c r="G414" s="54">
        <f t="shared" si="37"/>
        <v>-10</v>
      </c>
    </row>
    <row r="415" ht="14.25" customHeight="1">
      <c r="B415" s="140">
        <v>45642.0</v>
      </c>
      <c r="C415" s="141" t="str">
        <f t="shared" si="1"/>
        <v>12-2024</v>
      </c>
      <c r="D415" s="138">
        <v>4878.5</v>
      </c>
      <c r="E415" s="138">
        <v>4886.0</v>
      </c>
      <c r="F415" s="54">
        <f t="shared" si="33"/>
        <v>7.5</v>
      </c>
      <c r="G415" s="54">
        <f t="shared" si="37"/>
        <v>-2.5</v>
      </c>
      <c r="H415" s="28">
        <v>230.0</v>
      </c>
    </row>
    <row r="416" ht="14.25" customHeight="1">
      <c r="B416" s="140">
        <v>45643.0</v>
      </c>
      <c r="C416" s="141" t="str">
        <f t="shared" si="1"/>
        <v>12-2024</v>
      </c>
      <c r="D416" s="54">
        <f t="shared" ref="D416:D419" si="64">E415</f>
        <v>4886</v>
      </c>
      <c r="E416" s="138">
        <v>4896.0</v>
      </c>
      <c r="F416" s="54">
        <f t="shared" si="33"/>
        <v>10</v>
      </c>
      <c r="G416" s="54">
        <f t="shared" si="37"/>
        <v>0</v>
      </c>
      <c r="H416" s="28">
        <v>200.0</v>
      </c>
    </row>
    <row r="417" ht="14.25" customHeight="1">
      <c r="B417" s="140">
        <v>45644.0</v>
      </c>
      <c r="C417" s="141" t="str">
        <f t="shared" si="1"/>
        <v>12-2024</v>
      </c>
      <c r="D417" s="54">
        <f t="shared" si="64"/>
        <v>4896</v>
      </c>
      <c r="E417" s="138">
        <v>4908.0</v>
      </c>
      <c r="F417" s="54">
        <f t="shared" si="33"/>
        <v>12</v>
      </c>
      <c r="G417" s="54">
        <f t="shared" si="37"/>
        <v>2</v>
      </c>
      <c r="H417" s="28">
        <v>190.0</v>
      </c>
      <c r="L417" s="150"/>
    </row>
    <row r="418" ht="14.25" customHeight="1">
      <c r="B418" s="140">
        <v>45645.0</v>
      </c>
      <c r="C418" s="141" t="str">
        <f t="shared" si="1"/>
        <v>12-2024</v>
      </c>
      <c r="D418" s="54">
        <f t="shared" si="64"/>
        <v>4908</v>
      </c>
      <c r="E418" s="138">
        <v>4918.0</v>
      </c>
      <c r="F418" s="54">
        <f t="shared" si="33"/>
        <v>10</v>
      </c>
      <c r="G418" s="54">
        <f t="shared" si="37"/>
        <v>0</v>
      </c>
      <c r="H418" s="28">
        <v>220.0</v>
      </c>
    </row>
    <row r="419" ht="14.25" customHeight="1">
      <c r="B419" s="140">
        <v>45646.0</v>
      </c>
      <c r="C419" s="141" t="str">
        <f t="shared" si="1"/>
        <v>12-2024</v>
      </c>
      <c r="D419" s="54">
        <f t="shared" si="64"/>
        <v>4918</v>
      </c>
      <c r="E419" s="138">
        <v>4924.0</v>
      </c>
      <c r="F419" s="54">
        <f t="shared" si="33"/>
        <v>6</v>
      </c>
      <c r="G419" s="54">
        <f t="shared" si="37"/>
        <v>-4</v>
      </c>
      <c r="H419" s="28">
        <v>180.0</v>
      </c>
    </row>
    <row r="420" ht="14.25" customHeight="1">
      <c r="B420" s="145">
        <v>45647.0</v>
      </c>
      <c r="C420" s="141" t="str">
        <f t="shared" si="1"/>
        <v>12-2024</v>
      </c>
      <c r="D420" s="54"/>
      <c r="E420" s="54"/>
      <c r="F420" s="54">
        <f t="shared" si="33"/>
        <v>0</v>
      </c>
      <c r="G420" s="54">
        <f t="shared" si="37"/>
        <v>-10</v>
      </c>
    </row>
    <row r="421" ht="14.25" customHeight="1">
      <c r="B421" s="145">
        <v>45648.0</v>
      </c>
      <c r="C421" s="141" t="str">
        <f t="shared" si="1"/>
        <v>12-2024</v>
      </c>
      <c r="D421" s="54" t="str">
        <f>E420</f>
        <v/>
      </c>
      <c r="E421" s="54"/>
      <c r="F421" s="54">
        <f t="shared" si="33"/>
        <v>0</v>
      </c>
      <c r="G421" s="54">
        <f t="shared" si="37"/>
        <v>-10</v>
      </c>
    </row>
    <row r="422" ht="14.25" customHeight="1">
      <c r="B422" s="140">
        <v>45649.0</v>
      </c>
      <c r="C422" s="141" t="str">
        <f t="shared" si="1"/>
        <v>12-2024</v>
      </c>
      <c r="D422" s="138">
        <v>4924.0</v>
      </c>
      <c r="E422" s="138">
        <v>4932.0</v>
      </c>
      <c r="F422" s="54">
        <f t="shared" si="33"/>
        <v>8</v>
      </c>
      <c r="G422" s="54">
        <f t="shared" si="37"/>
        <v>-2</v>
      </c>
    </row>
    <row r="423" ht="14.25" customHeight="1">
      <c r="B423" s="140">
        <v>45650.0</v>
      </c>
      <c r="C423" s="141" t="str">
        <f t="shared" si="1"/>
        <v>12-2024</v>
      </c>
      <c r="D423" s="54"/>
      <c r="E423" s="54"/>
      <c r="F423" s="54">
        <f t="shared" si="33"/>
        <v>0</v>
      </c>
      <c r="G423" s="54">
        <f t="shared" si="37"/>
        <v>-10</v>
      </c>
    </row>
    <row r="424" ht="14.25" customHeight="1">
      <c r="B424" s="151">
        <v>45651.0</v>
      </c>
      <c r="C424" s="141" t="str">
        <f t="shared" si="1"/>
        <v>12-2024</v>
      </c>
      <c r="D424" s="54" t="str">
        <f t="shared" ref="D424:D427" si="65">E423</f>
        <v/>
      </c>
      <c r="E424" s="54"/>
      <c r="F424" s="54">
        <f t="shared" si="33"/>
        <v>0</v>
      </c>
      <c r="G424" s="54">
        <f t="shared" si="37"/>
        <v>-10</v>
      </c>
    </row>
    <row r="425" ht="14.25" customHeight="1">
      <c r="B425" s="140">
        <v>45652.0</v>
      </c>
      <c r="C425" s="141" t="str">
        <f t="shared" si="1"/>
        <v>12-2024</v>
      </c>
      <c r="D425" s="54" t="str">
        <f t="shared" si="65"/>
        <v/>
      </c>
      <c r="E425" s="54"/>
      <c r="F425" s="54">
        <f t="shared" si="33"/>
        <v>0</v>
      </c>
      <c r="G425" s="54">
        <f t="shared" si="37"/>
        <v>-10</v>
      </c>
    </row>
    <row r="426" ht="14.25" customHeight="1">
      <c r="B426" s="140">
        <v>45653.0</v>
      </c>
      <c r="C426" s="141" t="str">
        <f t="shared" si="1"/>
        <v>12-2024</v>
      </c>
      <c r="D426" s="54" t="str">
        <f t="shared" si="65"/>
        <v/>
      </c>
      <c r="E426" s="54"/>
      <c r="F426" s="54">
        <f t="shared" si="33"/>
        <v>0</v>
      </c>
      <c r="G426" s="54">
        <f t="shared" si="37"/>
        <v>-10</v>
      </c>
    </row>
    <row r="427" ht="14.25" customHeight="1">
      <c r="B427" s="145">
        <v>45654.0</v>
      </c>
      <c r="C427" s="141" t="str">
        <f t="shared" si="1"/>
        <v>12-2024</v>
      </c>
      <c r="D427" s="54" t="str">
        <f t="shared" si="65"/>
        <v/>
      </c>
      <c r="E427" s="54"/>
      <c r="F427" s="54">
        <f t="shared" si="33"/>
        <v>0</v>
      </c>
      <c r="G427" s="54">
        <f t="shared" si="37"/>
        <v>-10</v>
      </c>
    </row>
    <row r="428" ht="14.25" customHeight="1">
      <c r="B428" s="145">
        <v>45655.0</v>
      </c>
      <c r="C428" s="141" t="str">
        <f t="shared" si="1"/>
        <v>12-2024</v>
      </c>
      <c r="D428" s="138">
        <v>4932.0</v>
      </c>
      <c r="E428" s="138">
        <v>4939.0</v>
      </c>
      <c r="F428" s="54">
        <f t="shared" si="33"/>
        <v>7</v>
      </c>
      <c r="G428" s="54">
        <f t="shared" si="37"/>
        <v>-3</v>
      </c>
    </row>
    <row r="429" ht="14.25" customHeight="1">
      <c r="B429" s="140">
        <v>45656.0</v>
      </c>
      <c r="C429" s="141" t="str">
        <f t="shared" si="1"/>
        <v>12-2024</v>
      </c>
      <c r="D429" s="54">
        <f t="shared" ref="D429:D430" si="66">E428</f>
        <v>4939</v>
      </c>
      <c r="E429" s="138">
        <v>4948.0</v>
      </c>
      <c r="F429" s="54">
        <f t="shared" si="33"/>
        <v>9</v>
      </c>
      <c r="G429" s="54">
        <f t="shared" si="37"/>
        <v>-1</v>
      </c>
    </row>
    <row r="430" ht="14.25" customHeight="1">
      <c r="B430" s="140">
        <v>45657.0</v>
      </c>
      <c r="C430" s="141" t="str">
        <f t="shared" si="1"/>
        <v>12-2024</v>
      </c>
      <c r="D430" s="54">
        <f t="shared" si="66"/>
        <v>4948</v>
      </c>
      <c r="E430" s="138">
        <v>4958.0</v>
      </c>
      <c r="F430" s="54">
        <f t="shared" si="33"/>
        <v>10</v>
      </c>
      <c r="G430" s="54">
        <f t="shared" si="37"/>
        <v>0</v>
      </c>
      <c r="H430" s="28">
        <v>200.0</v>
      </c>
    </row>
    <row r="431" ht="14.25" customHeight="1">
      <c r="B431" s="152">
        <v>45658.0</v>
      </c>
      <c r="C431" s="141" t="str">
        <f t="shared" si="1"/>
        <v>1-2025</v>
      </c>
      <c r="D431" s="54"/>
      <c r="E431" s="54"/>
      <c r="F431" s="54">
        <f t="shared" si="33"/>
        <v>0</v>
      </c>
      <c r="G431" s="54">
        <f t="shared" si="37"/>
        <v>-10</v>
      </c>
    </row>
    <row r="432" ht="14.25" customHeight="1">
      <c r="B432" s="140">
        <v>45659.0</v>
      </c>
      <c r="C432" s="141" t="str">
        <f t="shared" si="1"/>
        <v>1-2025</v>
      </c>
      <c r="D432" s="138">
        <v>4958.0</v>
      </c>
      <c r="E432" s="138">
        <v>4964.2</v>
      </c>
      <c r="F432" s="54">
        <f t="shared" si="33"/>
        <v>6.2</v>
      </c>
      <c r="G432" s="54">
        <f t="shared" si="37"/>
        <v>-3.8</v>
      </c>
      <c r="H432" s="28">
        <v>190.0</v>
      </c>
    </row>
    <row r="433" ht="14.25" customHeight="1">
      <c r="B433" s="140">
        <v>45660.0</v>
      </c>
      <c r="C433" s="141" t="str">
        <f t="shared" si="1"/>
        <v>1-2025</v>
      </c>
      <c r="D433" s="54">
        <f t="shared" ref="D433:D441" si="67">E432</f>
        <v>4964.2</v>
      </c>
      <c r="E433" s="138">
        <v>4973.0</v>
      </c>
      <c r="F433" s="54">
        <f t="shared" si="33"/>
        <v>8.8</v>
      </c>
      <c r="G433" s="54">
        <f t="shared" si="37"/>
        <v>-1.2</v>
      </c>
    </row>
    <row r="434" ht="14.25" customHeight="1">
      <c r="B434" s="152">
        <v>45661.0</v>
      </c>
      <c r="C434" s="141" t="str">
        <f t="shared" si="1"/>
        <v>1-2025</v>
      </c>
      <c r="D434" s="54">
        <f t="shared" si="67"/>
        <v>4973</v>
      </c>
      <c r="E434" s="138">
        <v>4982.0</v>
      </c>
      <c r="F434" s="54">
        <f t="shared" si="33"/>
        <v>9</v>
      </c>
      <c r="G434" s="54">
        <f t="shared" si="37"/>
        <v>-1</v>
      </c>
      <c r="H434" s="28">
        <v>458.0</v>
      </c>
    </row>
    <row r="435" ht="14.25" customHeight="1">
      <c r="B435" s="152">
        <v>45662.0</v>
      </c>
      <c r="C435" s="141" t="str">
        <f t="shared" si="1"/>
        <v>1-2025</v>
      </c>
      <c r="D435" s="54">
        <f t="shared" si="67"/>
        <v>4982</v>
      </c>
      <c r="E435" s="138">
        <v>4988.0</v>
      </c>
      <c r="F435" s="54">
        <f t="shared" si="33"/>
        <v>6</v>
      </c>
      <c r="G435" s="54">
        <f t="shared" si="37"/>
        <v>-4</v>
      </c>
    </row>
    <row r="436" ht="14.25" customHeight="1">
      <c r="B436" s="140">
        <v>45663.0</v>
      </c>
      <c r="C436" s="141" t="str">
        <f t="shared" si="1"/>
        <v>1-2025</v>
      </c>
      <c r="D436" s="54">
        <f t="shared" si="67"/>
        <v>4988</v>
      </c>
      <c r="E436" s="138">
        <v>4994.0</v>
      </c>
      <c r="F436" s="54">
        <f t="shared" si="33"/>
        <v>6</v>
      </c>
      <c r="G436" s="54">
        <f t="shared" si="37"/>
        <v>-4</v>
      </c>
      <c r="H436" s="28">
        <v>244.0</v>
      </c>
    </row>
    <row r="437" ht="14.25" customHeight="1">
      <c r="B437" s="140">
        <v>45664.0</v>
      </c>
      <c r="C437" s="141" t="str">
        <f t="shared" si="1"/>
        <v>1-2025</v>
      </c>
      <c r="D437" s="54">
        <f t="shared" si="67"/>
        <v>4994</v>
      </c>
      <c r="E437" s="138">
        <v>5003.0</v>
      </c>
      <c r="F437" s="54">
        <f t="shared" si="33"/>
        <v>9</v>
      </c>
      <c r="G437" s="54">
        <f t="shared" si="37"/>
        <v>-1</v>
      </c>
    </row>
    <row r="438" ht="14.25" customHeight="1">
      <c r="B438" s="140">
        <v>45665.0</v>
      </c>
      <c r="C438" s="141" t="str">
        <f t="shared" si="1"/>
        <v>1-2025</v>
      </c>
      <c r="D438" s="54">
        <f t="shared" si="67"/>
        <v>5003</v>
      </c>
      <c r="E438" s="138">
        <v>5013.0</v>
      </c>
      <c r="F438" s="54">
        <f t="shared" si="33"/>
        <v>10</v>
      </c>
      <c r="G438" s="54">
        <f t="shared" si="37"/>
        <v>0</v>
      </c>
      <c r="H438" s="28">
        <v>230.0</v>
      </c>
    </row>
    <row r="439" ht="14.25" customHeight="1">
      <c r="B439" s="140">
        <v>45666.0</v>
      </c>
      <c r="C439" s="141" t="str">
        <f t="shared" si="1"/>
        <v>1-2025</v>
      </c>
      <c r="D439" s="54">
        <f t="shared" si="67"/>
        <v>5013</v>
      </c>
      <c r="E439" s="138">
        <v>5015.0</v>
      </c>
      <c r="F439" s="54">
        <f t="shared" si="33"/>
        <v>2</v>
      </c>
      <c r="G439" s="54">
        <f t="shared" si="37"/>
        <v>-8</v>
      </c>
    </row>
    <row r="440" ht="14.25" customHeight="1">
      <c r="B440" s="140">
        <v>45667.0</v>
      </c>
      <c r="C440" s="141" t="str">
        <f t="shared" si="1"/>
        <v>1-2025</v>
      </c>
      <c r="D440" s="54">
        <f t="shared" si="67"/>
        <v>5015</v>
      </c>
      <c r="E440" s="138">
        <v>5021.0</v>
      </c>
      <c r="F440" s="54">
        <f t="shared" si="33"/>
        <v>6</v>
      </c>
      <c r="G440" s="54">
        <f t="shared" si="37"/>
        <v>-4</v>
      </c>
      <c r="H440" s="28">
        <v>228.0</v>
      </c>
    </row>
    <row r="441" ht="14.25" customHeight="1">
      <c r="B441" s="152">
        <v>45668.0</v>
      </c>
      <c r="C441" s="141" t="str">
        <f t="shared" si="1"/>
        <v>1-2025</v>
      </c>
      <c r="D441" s="54">
        <f t="shared" si="67"/>
        <v>5021</v>
      </c>
      <c r="E441" s="138">
        <v>5024.0</v>
      </c>
      <c r="F441" s="54">
        <f t="shared" si="33"/>
        <v>3</v>
      </c>
      <c r="G441" s="54">
        <f t="shared" si="37"/>
        <v>-7</v>
      </c>
    </row>
    <row r="442" ht="14.25" customHeight="1">
      <c r="B442" s="152">
        <v>45669.0</v>
      </c>
      <c r="C442" s="141" t="str">
        <f t="shared" si="1"/>
        <v>1-2025</v>
      </c>
      <c r="D442" s="54"/>
      <c r="E442" s="54"/>
      <c r="F442" s="54">
        <f t="shared" si="33"/>
        <v>0</v>
      </c>
      <c r="G442" s="54">
        <f t="shared" si="37"/>
        <v>-10</v>
      </c>
    </row>
    <row r="443" ht="14.25" customHeight="1">
      <c r="B443" s="140">
        <v>45670.0</v>
      </c>
      <c r="C443" s="141" t="str">
        <f t="shared" si="1"/>
        <v>1-2025</v>
      </c>
      <c r="D443" s="138">
        <v>5024.0</v>
      </c>
      <c r="E443" s="138">
        <v>5028.0</v>
      </c>
      <c r="F443" s="54">
        <f t="shared" si="33"/>
        <v>4</v>
      </c>
      <c r="G443" s="54">
        <f t="shared" si="37"/>
        <v>-6</v>
      </c>
    </row>
    <row r="444" ht="14.25" customHeight="1">
      <c r="B444" s="140">
        <v>45671.0</v>
      </c>
      <c r="C444" s="141" t="str">
        <f t="shared" si="1"/>
        <v>1-2025</v>
      </c>
      <c r="D444" s="54">
        <f t="shared" ref="D444:D448" si="68">E443</f>
        <v>5028</v>
      </c>
      <c r="E444" s="138">
        <v>5032.0</v>
      </c>
      <c r="F444" s="54">
        <f t="shared" si="33"/>
        <v>4</v>
      </c>
      <c r="G444" s="54">
        <f t="shared" si="37"/>
        <v>-6</v>
      </c>
    </row>
    <row r="445" ht="14.25" customHeight="1">
      <c r="B445" s="140">
        <v>45672.0</v>
      </c>
      <c r="C445" s="141" t="str">
        <f t="shared" si="1"/>
        <v>1-2025</v>
      </c>
      <c r="D445" s="54">
        <f t="shared" si="68"/>
        <v>5032</v>
      </c>
      <c r="E445" s="138">
        <v>5040.0</v>
      </c>
      <c r="F445" s="54">
        <f t="shared" si="33"/>
        <v>8</v>
      </c>
      <c r="G445" s="54">
        <f t="shared" si="37"/>
        <v>-2</v>
      </c>
      <c r="H445" s="28">
        <v>182.0</v>
      </c>
    </row>
    <row r="446" ht="14.25" customHeight="1">
      <c r="B446" s="140">
        <v>45673.0</v>
      </c>
      <c r="C446" s="141" t="str">
        <f t="shared" si="1"/>
        <v>1-2025</v>
      </c>
      <c r="D446" s="54">
        <f t="shared" si="68"/>
        <v>5040</v>
      </c>
      <c r="E446" s="138">
        <v>5047.0</v>
      </c>
      <c r="F446" s="54">
        <f t="shared" si="33"/>
        <v>7</v>
      </c>
      <c r="G446" s="54">
        <f t="shared" si="37"/>
        <v>-3</v>
      </c>
    </row>
    <row r="447" ht="14.25" customHeight="1">
      <c r="B447" s="140">
        <v>45674.0</v>
      </c>
      <c r="C447" s="141" t="str">
        <f t="shared" si="1"/>
        <v>1-2025</v>
      </c>
      <c r="D447" s="54">
        <f t="shared" si="68"/>
        <v>5047</v>
      </c>
      <c r="E447" s="138">
        <v>5051.2</v>
      </c>
      <c r="F447" s="54">
        <f t="shared" si="33"/>
        <v>4.2</v>
      </c>
      <c r="G447" s="54">
        <f t="shared" si="37"/>
        <v>-5.8</v>
      </c>
    </row>
    <row r="448" ht="14.25" customHeight="1">
      <c r="B448" s="152">
        <v>45675.0</v>
      </c>
      <c r="C448" s="141" t="str">
        <f t="shared" si="1"/>
        <v>1-2025</v>
      </c>
      <c r="D448" s="54">
        <f t="shared" si="68"/>
        <v>5051.2</v>
      </c>
      <c r="E448" s="138">
        <v>5051.7</v>
      </c>
      <c r="F448" s="54">
        <f t="shared" si="33"/>
        <v>0.5</v>
      </c>
      <c r="G448" s="54">
        <f t="shared" si="37"/>
        <v>-9.5</v>
      </c>
    </row>
    <row r="449" ht="14.25" customHeight="1">
      <c r="B449" s="152">
        <v>45676.0</v>
      </c>
      <c r="C449" s="141" t="str">
        <f t="shared" si="1"/>
        <v>1-2025</v>
      </c>
      <c r="D449" s="54"/>
      <c r="E449" s="54"/>
      <c r="F449" s="54">
        <f t="shared" si="33"/>
        <v>0</v>
      </c>
      <c r="G449" s="54">
        <f t="shared" si="37"/>
        <v>-10</v>
      </c>
    </row>
    <row r="450" ht="14.25" customHeight="1">
      <c r="B450" s="140">
        <v>45677.0</v>
      </c>
      <c r="C450" s="141" t="str">
        <f t="shared" si="1"/>
        <v>1-2025</v>
      </c>
      <c r="D450" s="138">
        <v>5051.7</v>
      </c>
      <c r="E450" s="138">
        <v>5062.0</v>
      </c>
      <c r="F450" s="54">
        <f t="shared" si="33"/>
        <v>10.3</v>
      </c>
      <c r="G450" s="54">
        <f t="shared" si="37"/>
        <v>0.3</v>
      </c>
      <c r="H450" s="28">
        <v>428.0</v>
      </c>
    </row>
    <row r="451" ht="14.25" customHeight="1">
      <c r="B451" s="140">
        <v>45678.0</v>
      </c>
      <c r="C451" s="141" t="str">
        <f t="shared" si="1"/>
        <v>1-2025</v>
      </c>
      <c r="D451" s="54">
        <f t="shared" ref="D451:D455" si="69">E450</f>
        <v>5062</v>
      </c>
      <c r="E451" s="138">
        <v>5073.0</v>
      </c>
      <c r="F451" s="54">
        <f t="shared" si="33"/>
        <v>11</v>
      </c>
      <c r="G451" s="54">
        <f t="shared" si="37"/>
        <v>1</v>
      </c>
      <c r="H451" s="28">
        <v>206.0</v>
      </c>
    </row>
    <row r="452" ht="14.25" customHeight="1">
      <c r="B452" s="140">
        <v>45679.0</v>
      </c>
      <c r="C452" s="141" t="str">
        <f t="shared" si="1"/>
        <v>1-2025</v>
      </c>
      <c r="D452" s="54">
        <f t="shared" si="69"/>
        <v>5073</v>
      </c>
      <c r="E452" s="138">
        <v>5085.0</v>
      </c>
      <c r="F452" s="54">
        <f t="shared" si="33"/>
        <v>12</v>
      </c>
      <c r="G452" s="54">
        <f t="shared" si="37"/>
        <v>2</v>
      </c>
      <c r="H452" s="28">
        <v>195.0</v>
      </c>
    </row>
    <row r="453" ht="14.25" customHeight="1">
      <c r="B453" s="140">
        <v>45680.0</v>
      </c>
      <c r="C453" s="141" t="str">
        <f t="shared" si="1"/>
        <v>1-2025</v>
      </c>
      <c r="D453" s="54">
        <f t="shared" si="69"/>
        <v>5085</v>
      </c>
      <c r="E453" s="138">
        <v>5096.0</v>
      </c>
      <c r="F453" s="54">
        <f t="shared" si="33"/>
        <v>11</v>
      </c>
      <c r="G453" s="54">
        <f t="shared" si="37"/>
        <v>1</v>
      </c>
      <c r="H453" s="28">
        <v>184.0</v>
      </c>
    </row>
    <row r="454" ht="14.25" customHeight="1">
      <c r="B454" s="140">
        <v>45681.0</v>
      </c>
      <c r="C454" s="141" t="str">
        <f t="shared" si="1"/>
        <v>1-2025</v>
      </c>
      <c r="D454" s="54">
        <f t="shared" si="69"/>
        <v>5096</v>
      </c>
      <c r="E454" s="138">
        <v>5108.0</v>
      </c>
      <c r="F454" s="54">
        <f t="shared" si="33"/>
        <v>12</v>
      </c>
      <c r="G454" s="54">
        <f t="shared" si="37"/>
        <v>2</v>
      </c>
      <c r="H454" s="28">
        <v>185.0</v>
      </c>
    </row>
    <row r="455" ht="14.25" customHeight="1">
      <c r="B455" s="152">
        <v>45682.0</v>
      </c>
      <c r="C455" s="141" t="str">
        <f t="shared" si="1"/>
        <v>1-2025</v>
      </c>
      <c r="D455" s="54">
        <f t="shared" si="69"/>
        <v>5108</v>
      </c>
      <c r="E455" s="138">
        <v>5112.0</v>
      </c>
      <c r="F455" s="54">
        <f t="shared" si="33"/>
        <v>4</v>
      </c>
      <c r="G455" s="54">
        <f t="shared" si="37"/>
        <v>-6</v>
      </c>
      <c r="H455" s="28">
        <v>170.0</v>
      </c>
    </row>
    <row r="456" ht="14.25" customHeight="1">
      <c r="B456" s="152">
        <v>45683.0</v>
      </c>
      <c r="C456" s="141" t="str">
        <f t="shared" si="1"/>
        <v>1-2025</v>
      </c>
      <c r="D456" s="54"/>
      <c r="E456" s="54"/>
      <c r="F456" s="54">
        <f t="shared" si="33"/>
        <v>0</v>
      </c>
      <c r="G456" s="54">
        <f t="shared" si="37"/>
        <v>-10</v>
      </c>
    </row>
    <row r="457" ht="14.25" customHeight="1">
      <c r="B457" s="140">
        <v>45684.0</v>
      </c>
      <c r="C457" s="141" t="str">
        <f t="shared" si="1"/>
        <v>1-2025</v>
      </c>
      <c r="D457" s="138">
        <v>5112.0</v>
      </c>
      <c r="E457" s="138">
        <v>5124.0</v>
      </c>
      <c r="F457" s="54">
        <f t="shared" si="33"/>
        <v>12</v>
      </c>
      <c r="G457" s="54">
        <f t="shared" si="37"/>
        <v>2</v>
      </c>
      <c r="H457" s="28">
        <v>70.0</v>
      </c>
    </row>
    <row r="458" ht="14.25" customHeight="1">
      <c r="B458" s="140">
        <v>45685.0</v>
      </c>
      <c r="C458" s="141" t="str">
        <f t="shared" si="1"/>
        <v>1-2025</v>
      </c>
      <c r="D458" s="54">
        <f t="shared" ref="D458:D460" si="70">E457</f>
        <v>5124</v>
      </c>
      <c r="E458" s="138">
        <v>5134.0</v>
      </c>
      <c r="F458" s="54">
        <f t="shared" si="33"/>
        <v>10</v>
      </c>
      <c r="G458" s="54">
        <f t="shared" si="37"/>
        <v>0</v>
      </c>
      <c r="H458" s="28">
        <v>200.0</v>
      </c>
    </row>
    <row r="459" ht="14.25" customHeight="1">
      <c r="B459" s="140">
        <v>45686.0</v>
      </c>
      <c r="C459" s="141" t="str">
        <f t="shared" si="1"/>
        <v>1-2025</v>
      </c>
      <c r="D459" s="54">
        <f t="shared" si="70"/>
        <v>5134</v>
      </c>
      <c r="E459" s="138">
        <v>5142.0</v>
      </c>
      <c r="F459" s="54">
        <f t="shared" si="33"/>
        <v>8</v>
      </c>
      <c r="G459" s="54">
        <f t="shared" si="37"/>
        <v>-2</v>
      </c>
      <c r="H459" s="28">
        <v>154.0</v>
      </c>
    </row>
    <row r="460" ht="14.25" customHeight="1">
      <c r="B460" s="140">
        <v>45687.0</v>
      </c>
      <c r="C460" s="141" t="str">
        <f t="shared" si="1"/>
        <v>1-2025</v>
      </c>
      <c r="D460" s="54">
        <f t="shared" si="70"/>
        <v>5142</v>
      </c>
      <c r="E460" s="138">
        <v>5153.0</v>
      </c>
      <c r="F460" s="54">
        <f t="shared" si="33"/>
        <v>11</v>
      </c>
      <c r="G460" s="54">
        <f t="shared" si="37"/>
        <v>1</v>
      </c>
    </row>
    <row r="461" ht="14.25" customHeight="1">
      <c r="B461" s="140">
        <v>45688.0</v>
      </c>
      <c r="C461" s="141" t="str">
        <f t="shared" si="1"/>
        <v>1-2025</v>
      </c>
      <c r="D461" s="54"/>
      <c r="E461" s="54"/>
      <c r="F461" s="54">
        <f t="shared" si="33"/>
        <v>0</v>
      </c>
      <c r="G461" s="54">
        <f t="shared" si="37"/>
        <v>-10</v>
      </c>
    </row>
    <row r="462" ht="14.25" customHeight="1">
      <c r="B462" s="145">
        <v>45689.0</v>
      </c>
      <c r="C462" s="141" t="str">
        <f t="shared" si="1"/>
        <v>2-2025</v>
      </c>
      <c r="D462" s="138">
        <v>5153.0</v>
      </c>
      <c r="E462" s="138">
        <v>5153.0</v>
      </c>
      <c r="F462" s="54">
        <f t="shared" si="33"/>
        <v>0</v>
      </c>
      <c r="G462" s="54">
        <f t="shared" si="37"/>
        <v>-10</v>
      </c>
    </row>
    <row r="463" ht="14.25" customHeight="1">
      <c r="B463" s="145">
        <v>45690.0</v>
      </c>
      <c r="C463" s="141" t="str">
        <f t="shared" si="1"/>
        <v>2-2025</v>
      </c>
      <c r="D463" s="54"/>
      <c r="E463" s="54"/>
      <c r="F463" s="54">
        <f t="shared" si="33"/>
        <v>0</v>
      </c>
      <c r="G463" s="54">
        <f t="shared" si="37"/>
        <v>-10</v>
      </c>
    </row>
    <row r="464" ht="14.25" customHeight="1">
      <c r="B464" s="140">
        <v>45691.0</v>
      </c>
      <c r="C464" s="141" t="str">
        <f t="shared" si="1"/>
        <v>2-2025</v>
      </c>
      <c r="D464" s="138">
        <v>5153.0</v>
      </c>
      <c r="E464" s="138">
        <v>5155.0</v>
      </c>
      <c r="F464" s="54">
        <f t="shared" si="33"/>
        <v>2</v>
      </c>
      <c r="G464" s="54">
        <f t="shared" si="37"/>
        <v>-8</v>
      </c>
    </row>
    <row r="465" ht="14.25" customHeight="1">
      <c r="B465" s="140">
        <v>45692.0</v>
      </c>
      <c r="C465" s="141" t="str">
        <f t="shared" si="1"/>
        <v>2-2025</v>
      </c>
      <c r="D465" s="54">
        <f t="shared" ref="D465:D468" si="71">E464</f>
        <v>5155</v>
      </c>
      <c r="E465" s="138">
        <v>5160.0</v>
      </c>
      <c r="F465" s="54">
        <f t="shared" si="33"/>
        <v>5</v>
      </c>
      <c r="G465" s="54">
        <f t="shared" si="37"/>
        <v>-5</v>
      </c>
    </row>
    <row r="466" ht="14.25" customHeight="1">
      <c r="B466" s="140">
        <v>45693.0</v>
      </c>
      <c r="C466" s="141" t="str">
        <f t="shared" si="1"/>
        <v>2-2025</v>
      </c>
      <c r="D466" s="54">
        <f t="shared" si="71"/>
        <v>5160</v>
      </c>
      <c r="E466" s="138">
        <v>5167.0</v>
      </c>
      <c r="F466" s="54">
        <f t="shared" si="33"/>
        <v>7</v>
      </c>
      <c r="G466" s="54">
        <f t="shared" si="37"/>
        <v>-3</v>
      </c>
    </row>
    <row r="467" ht="14.25" customHeight="1">
      <c r="B467" s="140">
        <v>45694.0</v>
      </c>
      <c r="C467" s="141" t="str">
        <f t="shared" si="1"/>
        <v>2-2025</v>
      </c>
      <c r="D467" s="54">
        <f t="shared" si="71"/>
        <v>5167</v>
      </c>
      <c r="E467" s="138">
        <v>5178.0</v>
      </c>
      <c r="F467" s="54">
        <f t="shared" si="33"/>
        <v>11</v>
      </c>
      <c r="G467" s="54">
        <f t="shared" si="37"/>
        <v>1</v>
      </c>
    </row>
    <row r="468" ht="14.25" customHeight="1">
      <c r="B468" s="140">
        <v>45695.0</v>
      </c>
      <c r="C468" s="141" t="str">
        <f t="shared" si="1"/>
        <v>2-2025</v>
      </c>
      <c r="D468" s="54">
        <f t="shared" si="71"/>
        <v>5178</v>
      </c>
      <c r="E468" s="138">
        <v>5183.0</v>
      </c>
      <c r="F468" s="54">
        <f t="shared" si="33"/>
        <v>5</v>
      </c>
      <c r="G468" s="54">
        <f t="shared" si="37"/>
        <v>-5</v>
      </c>
    </row>
    <row r="469" ht="14.25" customHeight="1">
      <c r="B469" s="145">
        <v>45696.0</v>
      </c>
      <c r="C469" s="141" t="str">
        <f t="shared" si="1"/>
        <v>2-2025</v>
      </c>
      <c r="D469" s="54"/>
      <c r="E469" s="54"/>
      <c r="F469" s="54">
        <f t="shared" si="33"/>
        <v>0</v>
      </c>
      <c r="G469" s="54">
        <f t="shared" si="37"/>
        <v>-10</v>
      </c>
    </row>
    <row r="470" ht="14.25" customHeight="1">
      <c r="B470" s="145">
        <v>45697.0</v>
      </c>
      <c r="C470" s="141" t="str">
        <f t="shared" si="1"/>
        <v>2-2025</v>
      </c>
      <c r="D470" s="54"/>
      <c r="E470" s="54"/>
      <c r="F470" s="54">
        <f t="shared" si="33"/>
        <v>0</v>
      </c>
      <c r="G470" s="54">
        <f t="shared" si="37"/>
        <v>-10</v>
      </c>
    </row>
    <row r="471" ht="14.25" customHeight="1">
      <c r="B471" s="140">
        <v>45698.0</v>
      </c>
      <c r="C471" s="141" t="str">
        <f t="shared" si="1"/>
        <v>2-2025</v>
      </c>
      <c r="D471" s="138">
        <v>5183.0</v>
      </c>
      <c r="E471" s="138">
        <v>5192.0</v>
      </c>
      <c r="F471" s="54">
        <f t="shared" si="33"/>
        <v>9</v>
      </c>
      <c r="G471" s="54">
        <f t="shared" si="37"/>
        <v>-1</v>
      </c>
    </row>
    <row r="472" ht="14.25" customHeight="1">
      <c r="B472" s="140">
        <v>45699.0</v>
      </c>
      <c r="C472" s="141" t="str">
        <f t="shared" si="1"/>
        <v>2-2025</v>
      </c>
      <c r="D472" s="54">
        <f t="shared" ref="D472:D476" si="72">E471</f>
        <v>5192</v>
      </c>
      <c r="E472" s="138">
        <v>5202.0</v>
      </c>
      <c r="F472" s="54">
        <f t="shared" si="33"/>
        <v>10</v>
      </c>
      <c r="G472" s="54">
        <f t="shared" si="37"/>
        <v>0</v>
      </c>
    </row>
    <row r="473" ht="14.25" customHeight="1">
      <c r="B473" s="140">
        <v>45700.0</v>
      </c>
      <c r="C473" s="141" t="str">
        <f t="shared" si="1"/>
        <v>2-2025</v>
      </c>
      <c r="D473" s="54">
        <f t="shared" si="72"/>
        <v>5202</v>
      </c>
      <c r="E473" s="138">
        <v>5210.0</v>
      </c>
      <c r="F473" s="54">
        <f t="shared" si="33"/>
        <v>8</v>
      </c>
      <c r="G473" s="54">
        <f t="shared" si="37"/>
        <v>-2</v>
      </c>
    </row>
    <row r="474" ht="14.25" customHeight="1">
      <c r="B474" s="140">
        <v>45701.0</v>
      </c>
      <c r="C474" s="141" t="str">
        <f t="shared" si="1"/>
        <v>2-2025</v>
      </c>
      <c r="D474" s="54">
        <f t="shared" si="72"/>
        <v>5210</v>
      </c>
      <c r="E474" s="138">
        <v>5219.0</v>
      </c>
      <c r="F474" s="54">
        <f t="shared" si="33"/>
        <v>9</v>
      </c>
      <c r="G474" s="54">
        <f t="shared" si="37"/>
        <v>-1</v>
      </c>
    </row>
    <row r="475" ht="14.25" customHeight="1">
      <c r="B475" s="140">
        <v>45702.0</v>
      </c>
      <c r="C475" s="141" t="str">
        <f t="shared" si="1"/>
        <v>2-2025</v>
      </c>
      <c r="D475" s="54">
        <f t="shared" si="72"/>
        <v>5219</v>
      </c>
      <c r="E475" s="138">
        <v>5227.0</v>
      </c>
      <c r="F475" s="54">
        <f t="shared" si="33"/>
        <v>8</v>
      </c>
      <c r="G475" s="54">
        <f t="shared" si="37"/>
        <v>-2</v>
      </c>
    </row>
    <row r="476" ht="14.25" customHeight="1">
      <c r="B476" s="145">
        <v>45703.0</v>
      </c>
      <c r="C476" s="141" t="str">
        <f t="shared" si="1"/>
        <v>2-2025</v>
      </c>
      <c r="D476" s="54">
        <f t="shared" si="72"/>
        <v>5227</v>
      </c>
      <c r="E476" s="138">
        <v>5234.0</v>
      </c>
      <c r="F476" s="54">
        <f t="shared" si="33"/>
        <v>7</v>
      </c>
      <c r="G476" s="54">
        <f t="shared" si="37"/>
        <v>-3</v>
      </c>
    </row>
    <row r="477" ht="14.25" customHeight="1">
      <c r="B477" s="145">
        <v>45704.0</v>
      </c>
      <c r="C477" s="141" t="str">
        <f t="shared" si="1"/>
        <v>2-2025</v>
      </c>
      <c r="D477" s="138">
        <v>5234.0</v>
      </c>
      <c r="E477" s="138">
        <v>5248.0</v>
      </c>
      <c r="F477" s="54">
        <f t="shared" si="33"/>
        <v>14</v>
      </c>
      <c r="G477" s="54">
        <f t="shared" si="37"/>
        <v>4</v>
      </c>
    </row>
    <row r="478" ht="14.25" customHeight="1">
      <c r="B478" s="140">
        <v>45705.0</v>
      </c>
      <c r="C478" s="141" t="str">
        <f t="shared" si="1"/>
        <v>2-2025</v>
      </c>
      <c r="D478" s="54">
        <f t="shared" ref="D478:D483" si="73">E477</f>
        <v>5248</v>
      </c>
      <c r="E478" s="138">
        <v>5263.0</v>
      </c>
      <c r="F478" s="54">
        <f t="shared" si="33"/>
        <v>15</v>
      </c>
      <c r="G478" s="54">
        <f t="shared" si="37"/>
        <v>5</v>
      </c>
    </row>
    <row r="479" ht="14.25" customHeight="1">
      <c r="B479" s="140">
        <v>45706.0</v>
      </c>
      <c r="C479" s="141" t="str">
        <f t="shared" si="1"/>
        <v>2-2025</v>
      </c>
      <c r="D479" s="54">
        <f t="shared" si="73"/>
        <v>5263</v>
      </c>
      <c r="E479" s="138">
        <v>5280.0</v>
      </c>
      <c r="F479" s="54">
        <f t="shared" si="33"/>
        <v>17</v>
      </c>
      <c r="G479" s="54">
        <f t="shared" si="37"/>
        <v>7</v>
      </c>
    </row>
    <row r="480" ht="14.25" customHeight="1">
      <c r="B480" s="140">
        <v>45707.0</v>
      </c>
      <c r="C480" s="141" t="str">
        <f t="shared" si="1"/>
        <v>2-2025</v>
      </c>
      <c r="D480" s="54">
        <f t="shared" si="73"/>
        <v>5280</v>
      </c>
      <c r="E480" s="138">
        <v>5295.0</v>
      </c>
      <c r="F480" s="54">
        <f t="shared" si="33"/>
        <v>15</v>
      </c>
      <c r="G480" s="54">
        <f t="shared" si="37"/>
        <v>5</v>
      </c>
    </row>
    <row r="481" ht="14.25" customHeight="1">
      <c r="B481" s="140">
        <v>45708.0</v>
      </c>
      <c r="C481" s="141" t="str">
        <f t="shared" si="1"/>
        <v>2-2025</v>
      </c>
      <c r="D481" s="54">
        <f t="shared" si="73"/>
        <v>5295</v>
      </c>
      <c r="E481" s="138">
        <v>5306.0</v>
      </c>
      <c r="F481" s="54">
        <f t="shared" si="33"/>
        <v>11</v>
      </c>
      <c r="G481" s="54">
        <f t="shared" si="37"/>
        <v>1</v>
      </c>
    </row>
    <row r="482" ht="14.25" customHeight="1">
      <c r="B482" s="140">
        <v>45709.0</v>
      </c>
      <c r="C482" s="141" t="str">
        <f t="shared" si="1"/>
        <v>2-2025</v>
      </c>
      <c r="D482" s="54">
        <f t="shared" si="73"/>
        <v>5306</v>
      </c>
      <c r="E482" s="138">
        <v>5314.0</v>
      </c>
      <c r="F482" s="54">
        <f t="shared" si="33"/>
        <v>8</v>
      </c>
      <c r="G482" s="54">
        <f t="shared" si="37"/>
        <v>-2</v>
      </c>
    </row>
    <row r="483" ht="14.25" customHeight="1">
      <c r="B483" s="145">
        <v>45710.0</v>
      </c>
      <c r="C483" s="141" t="str">
        <f t="shared" si="1"/>
        <v>2-2025</v>
      </c>
      <c r="D483" s="54">
        <f t="shared" si="73"/>
        <v>5314</v>
      </c>
      <c r="E483" s="138">
        <v>5320.0</v>
      </c>
      <c r="F483" s="54">
        <f t="shared" si="33"/>
        <v>6</v>
      </c>
      <c r="G483" s="54">
        <f t="shared" si="37"/>
        <v>-4</v>
      </c>
    </row>
    <row r="484" ht="14.25" customHeight="1">
      <c r="B484" s="145">
        <v>45711.0</v>
      </c>
      <c r="C484" s="141" t="str">
        <f t="shared" si="1"/>
        <v>2-2025</v>
      </c>
      <c r="D484" s="54"/>
      <c r="E484" s="54"/>
      <c r="F484" s="54">
        <f t="shared" si="33"/>
        <v>0</v>
      </c>
      <c r="G484" s="54">
        <f t="shared" si="37"/>
        <v>-10</v>
      </c>
    </row>
    <row r="485" ht="14.25" customHeight="1">
      <c r="B485" s="140">
        <v>45712.0</v>
      </c>
      <c r="C485" s="141" t="str">
        <f t="shared" si="1"/>
        <v>2-2025</v>
      </c>
      <c r="D485" s="138">
        <v>5320.0</v>
      </c>
      <c r="E485" s="138">
        <v>5330.0</v>
      </c>
      <c r="F485" s="54">
        <f t="shared" si="33"/>
        <v>10</v>
      </c>
      <c r="G485" s="54">
        <f t="shared" si="37"/>
        <v>0</v>
      </c>
    </row>
    <row r="486" ht="14.25" customHeight="1">
      <c r="B486" s="140">
        <v>45713.0</v>
      </c>
      <c r="C486" s="141" t="str">
        <f t="shared" si="1"/>
        <v>2-2025</v>
      </c>
      <c r="D486" s="54">
        <f t="shared" ref="D486:D489" si="74">E485</f>
        <v>5330</v>
      </c>
      <c r="E486" s="138">
        <v>5339.0</v>
      </c>
      <c r="F486" s="54">
        <f t="shared" si="33"/>
        <v>9</v>
      </c>
      <c r="G486" s="54">
        <f t="shared" si="37"/>
        <v>-1</v>
      </c>
    </row>
    <row r="487" ht="14.25" customHeight="1">
      <c r="B487" s="140">
        <v>45714.0</v>
      </c>
      <c r="C487" s="141" t="str">
        <f t="shared" si="1"/>
        <v>2-2025</v>
      </c>
      <c r="D487" s="54">
        <f t="shared" si="74"/>
        <v>5339</v>
      </c>
      <c r="E487" s="138">
        <v>5339.0</v>
      </c>
      <c r="F487" s="54">
        <f t="shared" si="33"/>
        <v>0</v>
      </c>
      <c r="G487" s="54">
        <f t="shared" si="37"/>
        <v>-10</v>
      </c>
    </row>
    <row r="488" ht="14.25" customHeight="1">
      <c r="B488" s="140">
        <v>45715.0</v>
      </c>
      <c r="C488" s="141" t="str">
        <f t="shared" si="1"/>
        <v>2-2025</v>
      </c>
      <c r="D488" s="54">
        <f t="shared" si="74"/>
        <v>5339</v>
      </c>
      <c r="E488" s="138">
        <v>5347.3</v>
      </c>
      <c r="F488" s="54">
        <f t="shared" si="33"/>
        <v>8.3</v>
      </c>
      <c r="G488" s="54">
        <f t="shared" si="37"/>
        <v>-1.7</v>
      </c>
    </row>
    <row r="489" ht="14.25" customHeight="1">
      <c r="B489" s="140">
        <v>45716.0</v>
      </c>
      <c r="C489" s="141" t="str">
        <f t="shared" si="1"/>
        <v>2-2025</v>
      </c>
      <c r="D489" s="54">
        <f t="shared" si="74"/>
        <v>5347.3</v>
      </c>
      <c r="E489" s="138">
        <v>5357.0</v>
      </c>
      <c r="F489" s="54">
        <f t="shared" si="33"/>
        <v>9.7</v>
      </c>
      <c r="G489" s="54">
        <f t="shared" si="37"/>
        <v>-0.3</v>
      </c>
    </row>
    <row r="490" ht="14.25" customHeight="1">
      <c r="B490" s="145">
        <v>45717.0</v>
      </c>
      <c r="C490" s="141" t="str">
        <f t="shared" si="1"/>
        <v>3-2025</v>
      </c>
      <c r="D490" s="54"/>
      <c r="E490" s="54"/>
      <c r="F490" s="54">
        <f t="shared" si="33"/>
        <v>0</v>
      </c>
      <c r="G490" s="54">
        <f t="shared" si="37"/>
        <v>-10</v>
      </c>
    </row>
    <row r="491" ht="14.25" customHeight="1">
      <c r="B491" s="145">
        <v>45718.0</v>
      </c>
      <c r="C491" s="141" t="str">
        <f t="shared" si="1"/>
        <v>3-2025</v>
      </c>
      <c r="D491" s="54" t="str">
        <f>E490</f>
        <v/>
      </c>
      <c r="E491" s="54"/>
      <c r="F491" s="54">
        <f t="shared" si="33"/>
        <v>0</v>
      </c>
      <c r="G491" s="54">
        <f t="shared" si="37"/>
        <v>-10</v>
      </c>
    </row>
    <row r="492" ht="14.25" customHeight="1">
      <c r="B492" s="140">
        <v>45719.0</v>
      </c>
      <c r="C492" s="141" t="str">
        <f t="shared" si="1"/>
        <v>3-2025</v>
      </c>
      <c r="D492" s="138">
        <v>5327.0</v>
      </c>
      <c r="E492" s="138">
        <v>5365.0</v>
      </c>
      <c r="F492" s="54">
        <f t="shared" si="33"/>
        <v>38</v>
      </c>
      <c r="G492" s="54">
        <f t="shared" si="37"/>
        <v>28</v>
      </c>
    </row>
    <row r="493" ht="14.25" customHeight="1">
      <c r="B493" s="140">
        <v>45720.0</v>
      </c>
      <c r="C493" s="141" t="str">
        <f t="shared" si="1"/>
        <v>3-2025</v>
      </c>
      <c r="D493" s="54"/>
      <c r="E493" s="54"/>
      <c r="F493" s="54">
        <f t="shared" si="33"/>
        <v>0</v>
      </c>
      <c r="G493" s="54">
        <f t="shared" si="37"/>
        <v>-10</v>
      </c>
    </row>
    <row r="494" ht="14.25" customHeight="1">
      <c r="B494" s="140">
        <v>45721.0</v>
      </c>
      <c r="C494" s="141" t="str">
        <f t="shared" si="1"/>
        <v>3-2025</v>
      </c>
      <c r="D494" s="138">
        <v>5365.0</v>
      </c>
      <c r="E494" s="138">
        <v>5375.0</v>
      </c>
      <c r="F494" s="54">
        <f t="shared" si="33"/>
        <v>10</v>
      </c>
      <c r="G494" s="54">
        <f t="shared" si="37"/>
        <v>0</v>
      </c>
    </row>
    <row r="495" ht="14.25" customHeight="1">
      <c r="B495" s="140">
        <v>45722.0</v>
      </c>
      <c r="C495" s="141" t="str">
        <f t="shared" si="1"/>
        <v>3-2025</v>
      </c>
      <c r="D495" s="54">
        <f t="shared" ref="D495:D496" si="75">E494</f>
        <v>5375</v>
      </c>
      <c r="E495" s="138">
        <v>5385.0</v>
      </c>
      <c r="F495" s="54">
        <f t="shared" si="33"/>
        <v>10</v>
      </c>
      <c r="G495" s="54">
        <f t="shared" si="37"/>
        <v>0</v>
      </c>
    </row>
    <row r="496" ht="14.25" customHeight="1">
      <c r="B496" s="140">
        <v>45723.0</v>
      </c>
      <c r="C496" s="141" t="str">
        <f t="shared" si="1"/>
        <v>3-2025</v>
      </c>
      <c r="D496" s="54">
        <f t="shared" si="75"/>
        <v>5385</v>
      </c>
      <c r="E496" s="138">
        <v>5396.0</v>
      </c>
      <c r="F496" s="54">
        <f t="shared" si="33"/>
        <v>11</v>
      </c>
      <c r="G496" s="54">
        <f t="shared" si="37"/>
        <v>1</v>
      </c>
    </row>
    <row r="497" ht="14.25" customHeight="1">
      <c r="B497" s="145">
        <v>45724.0</v>
      </c>
      <c r="C497" s="141" t="str">
        <f t="shared" si="1"/>
        <v>3-2025</v>
      </c>
      <c r="D497" s="54"/>
      <c r="E497" s="54"/>
      <c r="F497" s="54">
        <f t="shared" si="33"/>
        <v>0</v>
      </c>
      <c r="G497" s="54">
        <f t="shared" si="37"/>
        <v>-10</v>
      </c>
    </row>
    <row r="498" ht="14.25" customHeight="1">
      <c r="B498" s="145">
        <v>45725.0</v>
      </c>
      <c r="C498" s="141" t="str">
        <f t="shared" si="1"/>
        <v>3-2025</v>
      </c>
      <c r="D498" s="54" t="str">
        <f>E497</f>
        <v/>
      </c>
      <c r="E498" s="54"/>
      <c r="F498" s="54">
        <f t="shared" si="33"/>
        <v>0</v>
      </c>
      <c r="G498" s="54">
        <f t="shared" si="37"/>
        <v>-10</v>
      </c>
    </row>
    <row r="499" ht="14.25" customHeight="1">
      <c r="B499" s="140">
        <v>45726.0</v>
      </c>
      <c r="C499" s="141" t="str">
        <f t="shared" si="1"/>
        <v>3-2025</v>
      </c>
      <c r="D499" s="138">
        <v>5396.0</v>
      </c>
      <c r="E499" s="138">
        <v>5407.0</v>
      </c>
      <c r="F499" s="54">
        <f t="shared" si="33"/>
        <v>11</v>
      </c>
      <c r="G499" s="54">
        <f t="shared" si="37"/>
        <v>1</v>
      </c>
    </row>
    <row r="500" ht="14.25" customHeight="1">
      <c r="B500" s="140">
        <v>45727.0</v>
      </c>
      <c r="C500" s="141" t="str">
        <f t="shared" si="1"/>
        <v>3-2025</v>
      </c>
      <c r="D500" s="54">
        <f t="shared" ref="D500:D504" si="76">E499</f>
        <v>5407</v>
      </c>
      <c r="E500" s="138">
        <v>5417.0</v>
      </c>
      <c r="F500" s="54">
        <f t="shared" si="33"/>
        <v>10</v>
      </c>
      <c r="G500" s="54">
        <f t="shared" si="37"/>
        <v>0</v>
      </c>
    </row>
    <row r="501" ht="14.25" customHeight="1">
      <c r="B501" s="140">
        <v>45728.0</v>
      </c>
      <c r="C501" s="141" t="str">
        <f t="shared" si="1"/>
        <v>3-2025</v>
      </c>
      <c r="D501" s="54">
        <f t="shared" si="76"/>
        <v>5417</v>
      </c>
      <c r="E501" s="138">
        <v>5427.0</v>
      </c>
      <c r="F501" s="54">
        <f t="shared" si="33"/>
        <v>10</v>
      </c>
      <c r="G501" s="54">
        <f t="shared" si="37"/>
        <v>0</v>
      </c>
    </row>
    <row r="502" ht="14.25" customHeight="1">
      <c r="B502" s="140">
        <v>45729.0</v>
      </c>
      <c r="C502" s="141" t="str">
        <f t="shared" si="1"/>
        <v>3-2025</v>
      </c>
      <c r="D502" s="54">
        <f t="shared" si="76"/>
        <v>5427</v>
      </c>
      <c r="E502" s="138">
        <v>5438.0</v>
      </c>
      <c r="F502" s="54">
        <f t="shared" si="33"/>
        <v>11</v>
      </c>
      <c r="G502" s="54">
        <f t="shared" si="37"/>
        <v>1</v>
      </c>
    </row>
    <row r="503" ht="14.25" customHeight="1">
      <c r="B503" s="140">
        <v>45730.0</v>
      </c>
      <c r="C503" s="141" t="str">
        <f t="shared" si="1"/>
        <v>3-2025</v>
      </c>
      <c r="D503" s="54">
        <f t="shared" si="76"/>
        <v>5438</v>
      </c>
      <c r="E503" s="138">
        <v>5446.0</v>
      </c>
      <c r="F503" s="54">
        <f t="shared" si="33"/>
        <v>8</v>
      </c>
      <c r="G503" s="54">
        <f t="shared" si="37"/>
        <v>-2</v>
      </c>
    </row>
    <row r="504" ht="14.25" customHeight="1">
      <c r="B504" s="145">
        <v>45731.0</v>
      </c>
      <c r="C504" s="141" t="str">
        <f t="shared" si="1"/>
        <v>3-2025</v>
      </c>
      <c r="D504" s="54">
        <f t="shared" si="76"/>
        <v>5446</v>
      </c>
      <c r="E504" s="138">
        <v>5451.0</v>
      </c>
      <c r="F504" s="54">
        <f t="shared" si="33"/>
        <v>5</v>
      </c>
      <c r="G504" s="54">
        <f t="shared" si="37"/>
        <v>-5</v>
      </c>
    </row>
    <row r="505" ht="14.25" customHeight="1">
      <c r="B505" s="145">
        <v>45732.0</v>
      </c>
      <c r="C505" s="141" t="str">
        <f t="shared" si="1"/>
        <v>3-2025</v>
      </c>
      <c r="D505" s="54"/>
      <c r="E505" s="54"/>
      <c r="F505" s="54">
        <f t="shared" si="33"/>
        <v>0</v>
      </c>
      <c r="G505" s="54">
        <f t="shared" si="37"/>
        <v>-10</v>
      </c>
    </row>
    <row r="506" ht="14.25" customHeight="1">
      <c r="B506" s="140">
        <v>45733.0</v>
      </c>
      <c r="C506" s="141" t="str">
        <f t="shared" si="1"/>
        <v>3-2025</v>
      </c>
      <c r="D506" s="138">
        <v>5451.0</v>
      </c>
      <c r="E506" s="138">
        <v>5457.0</v>
      </c>
      <c r="F506" s="54">
        <f t="shared" si="33"/>
        <v>6</v>
      </c>
      <c r="G506" s="54">
        <f t="shared" si="37"/>
        <v>-4</v>
      </c>
    </row>
    <row r="507" ht="14.25" customHeight="1">
      <c r="B507" s="140">
        <v>45734.0</v>
      </c>
      <c r="C507" s="141" t="str">
        <f t="shared" si="1"/>
        <v>3-2025</v>
      </c>
      <c r="D507" s="54">
        <f t="shared" ref="D507:D511" si="77">E506</f>
        <v>5457</v>
      </c>
      <c r="E507" s="138">
        <v>5468.5</v>
      </c>
      <c r="F507" s="54">
        <f t="shared" si="33"/>
        <v>11.5</v>
      </c>
      <c r="G507" s="54">
        <f t="shared" si="37"/>
        <v>1.5</v>
      </c>
    </row>
    <row r="508" ht="14.25" customHeight="1">
      <c r="B508" s="140">
        <v>45735.0</v>
      </c>
      <c r="C508" s="141" t="str">
        <f t="shared" si="1"/>
        <v>3-2025</v>
      </c>
      <c r="D508" s="54">
        <f t="shared" si="77"/>
        <v>5468.5</v>
      </c>
      <c r="E508" s="138">
        <v>5480.0</v>
      </c>
      <c r="F508" s="54">
        <f t="shared" si="33"/>
        <v>11.5</v>
      </c>
      <c r="G508" s="54">
        <f t="shared" si="37"/>
        <v>1.5</v>
      </c>
    </row>
    <row r="509" ht="14.25" customHeight="1">
      <c r="B509" s="140">
        <v>45736.0</v>
      </c>
      <c r="C509" s="141" t="str">
        <f t="shared" si="1"/>
        <v>3-2025</v>
      </c>
      <c r="D509" s="54">
        <f t="shared" si="77"/>
        <v>5480</v>
      </c>
      <c r="E509" s="138">
        <v>5491.0</v>
      </c>
      <c r="F509" s="54">
        <f t="shared" si="33"/>
        <v>11</v>
      </c>
      <c r="G509" s="54">
        <f t="shared" si="37"/>
        <v>1</v>
      </c>
    </row>
    <row r="510" ht="14.25" customHeight="1">
      <c r="B510" s="140">
        <v>45737.0</v>
      </c>
      <c r="C510" s="141" t="str">
        <f t="shared" si="1"/>
        <v>3-2025</v>
      </c>
      <c r="D510" s="54">
        <f t="shared" si="77"/>
        <v>5491</v>
      </c>
      <c r="E510" s="138">
        <v>5502.0</v>
      </c>
      <c r="F510" s="54">
        <f t="shared" si="33"/>
        <v>11</v>
      </c>
      <c r="G510" s="54">
        <f t="shared" si="37"/>
        <v>1</v>
      </c>
    </row>
    <row r="511" ht="14.25" customHeight="1">
      <c r="B511" s="145">
        <v>45738.0</v>
      </c>
      <c r="C511" s="141" t="str">
        <f t="shared" si="1"/>
        <v>3-2025</v>
      </c>
      <c r="D511" s="54">
        <f t="shared" si="77"/>
        <v>5502</v>
      </c>
      <c r="E511" s="138">
        <v>5508.4</v>
      </c>
      <c r="F511" s="54">
        <f t="shared" si="33"/>
        <v>6.4</v>
      </c>
      <c r="G511" s="54">
        <f t="shared" si="37"/>
        <v>-3.6</v>
      </c>
    </row>
    <row r="512" ht="14.25" customHeight="1">
      <c r="B512" s="145">
        <v>45739.0</v>
      </c>
      <c r="C512" s="141" t="str">
        <f t="shared" si="1"/>
        <v>3-2025</v>
      </c>
      <c r="D512" s="54"/>
      <c r="E512" s="54"/>
      <c r="F512" s="54">
        <f t="shared" si="33"/>
        <v>0</v>
      </c>
      <c r="G512" s="54">
        <f t="shared" si="37"/>
        <v>-10</v>
      </c>
    </row>
    <row r="513" ht="14.25" customHeight="1">
      <c r="B513" s="140">
        <v>45740.0</v>
      </c>
      <c r="C513" s="141" t="str">
        <f t="shared" si="1"/>
        <v>3-2025</v>
      </c>
      <c r="D513" s="138">
        <v>5508.4</v>
      </c>
      <c r="E513" s="138">
        <v>5516.4</v>
      </c>
      <c r="F513" s="54">
        <f t="shared" si="33"/>
        <v>8</v>
      </c>
      <c r="G513" s="54">
        <f t="shared" si="37"/>
        <v>-2</v>
      </c>
    </row>
    <row r="514" ht="14.25" customHeight="1">
      <c r="B514" s="140">
        <v>45741.0</v>
      </c>
      <c r="C514" s="141" t="str">
        <f t="shared" si="1"/>
        <v>3-2025</v>
      </c>
      <c r="D514" s="54">
        <f t="shared" ref="D514:D518" si="78">E513</f>
        <v>5516.4</v>
      </c>
      <c r="E514" s="138">
        <v>5527.0</v>
      </c>
      <c r="F514" s="54">
        <f t="shared" si="33"/>
        <v>10.6</v>
      </c>
      <c r="G514" s="54">
        <f t="shared" si="37"/>
        <v>0.6</v>
      </c>
    </row>
    <row r="515" ht="14.25" customHeight="1">
      <c r="B515" s="140">
        <v>45742.0</v>
      </c>
      <c r="C515" s="141" t="str">
        <f t="shared" si="1"/>
        <v>3-2025</v>
      </c>
      <c r="D515" s="54">
        <f t="shared" si="78"/>
        <v>5527</v>
      </c>
      <c r="E515" s="138">
        <v>5538.0</v>
      </c>
      <c r="F515" s="54">
        <f t="shared" si="33"/>
        <v>11</v>
      </c>
      <c r="G515" s="54">
        <f t="shared" si="37"/>
        <v>1</v>
      </c>
    </row>
    <row r="516" ht="14.25" customHeight="1">
      <c r="B516" s="140">
        <v>45743.0</v>
      </c>
      <c r="C516" s="141" t="str">
        <f t="shared" si="1"/>
        <v>3-2025</v>
      </c>
      <c r="D516" s="54">
        <f t="shared" si="78"/>
        <v>5538</v>
      </c>
      <c r="E516" s="138">
        <v>5549.0</v>
      </c>
      <c r="F516" s="54">
        <f t="shared" si="33"/>
        <v>11</v>
      </c>
      <c r="G516" s="54">
        <f t="shared" si="37"/>
        <v>1</v>
      </c>
    </row>
    <row r="517" ht="14.25" customHeight="1">
      <c r="B517" s="140">
        <v>45744.0</v>
      </c>
      <c r="C517" s="141" t="str">
        <f t="shared" si="1"/>
        <v>3-2025</v>
      </c>
      <c r="D517" s="54">
        <f t="shared" si="78"/>
        <v>5549</v>
      </c>
      <c r="E517" s="138">
        <v>5561.0</v>
      </c>
      <c r="F517" s="54">
        <f t="shared" si="33"/>
        <v>12</v>
      </c>
      <c r="G517" s="54">
        <f t="shared" si="37"/>
        <v>2</v>
      </c>
    </row>
    <row r="518" ht="14.25" customHeight="1">
      <c r="B518" s="145">
        <v>45745.0</v>
      </c>
      <c r="C518" s="141" t="str">
        <f t="shared" si="1"/>
        <v>3-2025</v>
      </c>
      <c r="D518" s="54">
        <f t="shared" si="78"/>
        <v>5561</v>
      </c>
      <c r="E518" s="138">
        <v>5568.0</v>
      </c>
      <c r="F518" s="54">
        <f t="shared" si="33"/>
        <v>7</v>
      </c>
      <c r="G518" s="54">
        <f t="shared" si="37"/>
        <v>-3</v>
      </c>
    </row>
    <row r="519" ht="14.25" customHeight="1">
      <c r="B519" s="145">
        <v>45746.0</v>
      </c>
      <c r="C519" s="141" t="str">
        <f t="shared" si="1"/>
        <v>3-2025</v>
      </c>
      <c r="D519" s="54"/>
      <c r="E519" s="54"/>
      <c r="F519" s="54">
        <f t="shared" si="33"/>
        <v>0</v>
      </c>
      <c r="G519" s="54">
        <f t="shared" si="37"/>
        <v>-10</v>
      </c>
    </row>
    <row r="520" ht="14.25" customHeight="1">
      <c r="B520" s="140">
        <v>45747.0</v>
      </c>
      <c r="C520" s="141" t="str">
        <f t="shared" si="1"/>
        <v>3-2025</v>
      </c>
      <c r="D520" s="138">
        <v>5568.0</v>
      </c>
      <c r="E520" s="138">
        <v>5579.0</v>
      </c>
      <c r="F520" s="54">
        <f t="shared" si="33"/>
        <v>11</v>
      </c>
      <c r="G520" s="54">
        <f t="shared" si="37"/>
        <v>1</v>
      </c>
    </row>
    <row r="521" ht="14.25" customHeight="1">
      <c r="B521" s="140">
        <v>45748.0</v>
      </c>
      <c r="C521" s="141" t="str">
        <f t="shared" si="1"/>
        <v>4-2025</v>
      </c>
      <c r="D521" s="138">
        <v>5579.0</v>
      </c>
      <c r="E521" s="138">
        <v>5590.0</v>
      </c>
      <c r="F521" s="54">
        <f t="shared" si="33"/>
        <v>11</v>
      </c>
      <c r="G521" s="54">
        <f t="shared" si="37"/>
        <v>1</v>
      </c>
    </row>
    <row r="522" ht="14.25" customHeight="1">
      <c r="B522" s="140">
        <v>45749.0</v>
      </c>
      <c r="C522" s="141" t="str">
        <f t="shared" si="1"/>
        <v>4-2025</v>
      </c>
      <c r="D522" s="54">
        <f t="shared" ref="D522:D524" si="79">E521</f>
        <v>5590</v>
      </c>
      <c r="E522" s="138">
        <v>5601.0</v>
      </c>
      <c r="F522" s="54">
        <f t="shared" si="33"/>
        <v>11</v>
      </c>
      <c r="G522" s="54">
        <f t="shared" si="37"/>
        <v>1</v>
      </c>
      <c r="H522" s="28">
        <v>470.0</v>
      </c>
    </row>
    <row r="523" ht="14.25" customHeight="1">
      <c r="B523" s="140">
        <v>45750.0</v>
      </c>
      <c r="C523" s="141" t="str">
        <f t="shared" si="1"/>
        <v>4-2025</v>
      </c>
      <c r="D523" s="54">
        <f t="shared" si="79"/>
        <v>5601</v>
      </c>
      <c r="E523" s="138">
        <v>5611.6</v>
      </c>
      <c r="F523" s="54">
        <f t="shared" si="33"/>
        <v>10.6</v>
      </c>
      <c r="G523" s="54">
        <f t="shared" si="37"/>
        <v>0.6</v>
      </c>
    </row>
    <row r="524" ht="14.25" customHeight="1">
      <c r="B524" s="140">
        <v>45751.0</v>
      </c>
      <c r="C524" s="141" t="str">
        <f t="shared" si="1"/>
        <v>4-2025</v>
      </c>
      <c r="D524" s="54">
        <f t="shared" si="79"/>
        <v>5611.6</v>
      </c>
      <c r="E524" s="138">
        <v>5623.0</v>
      </c>
      <c r="F524" s="54">
        <f t="shared" si="33"/>
        <v>11.4</v>
      </c>
      <c r="G524" s="54">
        <f t="shared" si="37"/>
        <v>1.4</v>
      </c>
      <c r="H524" s="28">
        <v>350.0</v>
      </c>
    </row>
    <row r="525" ht="14.25" customHeight="1">
      <c r="B525" s="152">
        <v>45752.0</v>
      </c>
      <c r="C525" s="141" t="str">
        <f t="shared" si="1"/>
        <v>4-2025</v>
      </c>
      <c r="D525" s="54"/>
      <c r="E525" s="54"/>
      <c r="F525" s="54">
        <f t="shared" si="33"/>
        <v>0</v>
      </c>
      <c r="G525" s="54">
        <f t="shared" si="37"/>
        <v>-10</v>
      </c>
    </row>
    <row r="526" ht="14.25" customHeight="1">
      <c r="B526" s="152">
        <v>45753.0</v>
      </c>
      <c r="C526" s="141" t="str">
        <f t="shared" si="1"/>
        <v>4-2025</v>
      </c>
      <c r="D526" s="54" t="str">
        <f>E525</f>
        <v/>
      </c>
      <c r="E526" s="54"/>
      <c r="F526" s="54">
        <f t="shared" si="33"/>
        <v>0</v>
      </c>
      <c r="G526" s="54">
        <f t="shared" si="37"/>
        <v>-10</v>
      </c>
    </row>
    <row r="527" ht="14.25" customHeight="1">
      <c r="B527" s="140">
        <v>45754.0</v>
      </c>
      <c r="C527" s="141" t="str">
        <f t="shared" si="1"/>
        <v>4-2025</v>
      </c>
      <c r="D527" s="138">
        <v>5623.0</v>
      </c>
      <c r="E527" s="138">
        <v>5634.0</v>
      </c>
      <c r="F527" s="54">
        <f t="shared" si="33"/>
        <v>11</v>
      </c>
      <c r="G527" s="54">
        <f t="shared" si="37"/>
        <v>1</v>
      </c>
    </row>
    <row r="528" ht="14.25" customHeight="1">
      <c r="B528" s="140">
        <v>45755.0</v>
      </c>
      <c r="C528" s="141" t="str">
        <f t="shared" si="1"/>
        <v>4-2025</v>
      </c>
      <c r="D528" s="54">
        <f t="shared" ref="D528:D532" si="80">E527</f>
        <v>5634</v>
      </c>
      <c r="E528" s="138">
        <v>5644.0</v>
      </c>
      <c r="F528" s="54">
        <f t="shared" si="33"/>
        <v>10</v>
      </c>
      <c r="G528" s="54">
        <f t="shared" si="37"/>
        <v>0</v>
      </c>
      <c r="H528" s="28">
        <v>623.0</v>
      </c>
    </row>
    <row r="529" ht="14.25" customHeight="1">
      <c r="B529" s="140">
        <v>45756.0</v>
      </c>
      <c r="C529" s="141" t="str">
        <f t="shared" si="1"/>
        <v>4-2025</v>
      </c>
      <c r="D529" s="54">
        <f t="shared" si="80"/>
        <v>5644</v>
      </c>
      <c r="E529" s="138">
        <v>5656.0</v>
      </c>
      <c r="F529" s="54">
        <f t="shared" si="33"/>
        <v>12</v>
      </c>
      <c r="G529" s="54">
        <f t="shared" si="37"/>
        <v>2</v>
      </c>
    </row>
    <row r="530" ht="14.25" customHeight="1">
      <c r="B530" s="140">
        <v>45757.0</v>
      </c>
      <c r="C530" s="141" t="str">
        <f t="shared" si="1"/>
        <v>4-2025</v>
      </c>
      <c r="D530" s="54">
        <f t="shared" si="80"/>
        <v>5656</v>
      </c>
      <c r="E530" s="138">
        <v>5665.0</v>
      </c>
      <c r="F530" s="54">
        <f t="shared" si="33"/>
        <v>9</v>
      </c>
      <c r="G530" s="54">
        <f t="shared" si="37"/>
        <v>-1</v>
      </c>
      <c r="H530" s="28">
        <v>160.0</v>
      </c>
    </row>
    <row r="531" ht="14.25" customHeight="1">
      <c r="B531" s="140">
        <v>45758.0</v>
      </c>
      <c r="C531" s="141" t="str">
        <f t="shared" si="1"/>
        <v>4-2025</v>
      </c>
      <c r="D531" s="54">
        <f t="shared" si="80"/>
        <v>5665</v>
      </c>
      <c r="E531" s="138">
        <v>5674.0</v>
      </c>
      <c r="F531" s="54">
        <f t="shared" si="33"/>
        <v>9</v>
      </c>
      <c r="G531" s="54">
        <f t="shared" si="37"/>
        <v>-1</v>
      </c>
    </row>
    <row r="532" ht="14.25" customHeight="1">
      <c r="B532" s="152">
        <v>45759.0</v>
      </c>
      <c r="C532" s="141" t="str">
        <f t="shared" si="1"/>
        <v>4-2025</v>
      </c>
      <c r="D532" s="54">
        <f t="shared" si="80"/>
        <v>5674</v>
      </c>
      <c r="E532" s="138">
        <v>5681.0</v>
      </c>
      <c r="F532" s="54">
        <f t="shared" si="33"/>
        <v>7</v>
      </c>
      <c r="G532" s="54">
        <f t="shared" si="37"/>
        <v>-3</v>
      </c>
      <c r="H532" s="28">
        <v>300.0</v>
      </c>
    </row>
    <row r="533" ht="14.25" customHeight="1">
      <c r="B533" s="152">
        <v>45760.0</v>
      </c>
      <c r="C533" s="141" t="str">
        <f t="shared" si="1"/>
        <v>4-2025</v>
      </c>
      <c r="D533" s="54"/>
      <c r="E533" s="54"/>
      <c r="F533" s="54">
        <f t="shared" si="33"/>
        <v>0</v>
      </c>
      <c r="G533" s="54">
        <f t="shared" si="37"/>
        <v>-10</v>
      </c>
    </row>
    <row r="534" ht="14.25" customHeight="1">
      <c r="B534" s="140">
        <v>45761.0</v>
      </c>
      <c r="C534" s="141" t="str">
        <f t="shared" si="1"/>
        <v>4-2025</v>
      </c>
      <c r="D534" s="138">
        <v>5681.0</v>
      </c>
      <c r="E534" s="138">
        <v>5690.0</v>
      </c>
      <c r="F534" s="54">
        <f t="shared" si="33"/>
        <v>9</v>
      </c>
      <c r="G534" s="54">
        <f t="shared" si="37"/>
        <v>-1</v>
      </c>
      <c r="H534" s="28">
        <v>300.0</v>
      </c>
    </row>
    <row r="535" ht="14.25" customHeight="1">
      <c r="B535" s="140">
        <v>45762.0</v>
      </c>
      <c r="C535" s="141" t="str">
        <f t="shared" si="1"/>
        <v>4-2025</v>
      </c>
      <c r="D535" s="54">
        <f t="shared" ref="D535:D537" si="81">E534</f>
        <v>5690</v>
      </c>
      <c r="E535" s="138">
        <v>5706.0</v>
      </c>
      <c r="F535" s="54">
        <f t="shared" si="33"/>
        <v>16</v>
      </c>
      <c r="G535" s="54">
        <f t="shared" si="37"/>
        <v>6</v>
      </c>
      <c r="H535" s="28">
        <v>200.0</v>
      </c>
    </row>
    <row r="536" ht="14.25" customHeight="1">
      <c r="B536" s="140">
        <v>45763.0</v>
      </c>
      <c r="C536" s="141" t="str">
        <f t="shared" si="1"/>
        <v>4-2025</v>
      </c>
      <c r="D536" s="54">
        <f t="shared" si="81"/>
        <v>5706</v>
      </c>
      <c r="E536" s="138">
        <v>5715.0</v>
      </c>
      <c r="F536" s="54">
        <f t="shared" si="33"/>
        <v>9</v>
      </c>
      <c r="G536" s="54">
        <f t="shared" si="37"/>
        <v>-1</v>
      </c>
      <c r="H536" s="28">
        <v>464.0</v>
      </c>
    </row>
    <row r="537" ht="14.25" customHeight="1">
      <c r="B537" s="140">
        <v>45764.0</v>
      </c>
      <c r="C537" s="141" t="str">
        <f t="shared" si="1"/>
        <v>4-2025</v>
      </c>
      <c r="D537" s="54">
        <f t="shared" si="81"/>
        <v>5715</v>
      </c>
      <c r="E537" s="138">
        <v>5718.0</v>
      </c>
      <c r="F537" s="54">
        <f t="shared" si="33"/>
        <v>3</v>
      </c>
      <c r="G537" s="54">
        <f t="shared" si="37"/>
        <v>-7</v>
      </c>
    </row>
    <row r="538" ht="14.25" customHeight="1">
      <c r="B538" s="153">
        <v>45765.0</v>
      </c>
      <c r="C538" s="141" t="str">
        <f t="shared" si="1"/>
        <v>4-2025</v>
      </c>
      <c r="D538" s="54"/>
      <c r="E538" s="54"/>
      <c r="F538" s="54">
        <f t="shared" si="33"/>
        <v>0</v>
      </c>
      <c r="G538" s="54">
        <f t="shared" si="37"/>
        <v>-10</v>
      </c>
    </row>
    <row r="539" ht="14.25" customHeight="1">
      <c r="B539" s="152">
        <v>45766.0</v>
      </c>
      <c r="C539" s="141" t="str">
        <f t="shared" si="1"/>
        <v>4-2025</v>
      </c>
      <c r="D539" s="138">
        <v>5718.0</v>
      </c>
      <c r="E539" s="138">
        <v>5724.0</v>
      </c>
      <c r="F539" s="54">
        <f t="shared" si="33"/>
        <v>6</v>
      </c>
      <c r="G539" s="54">
        <f t="shared" si="37"/>
        <v>-4</v>
      </c>
    </row>
    <row r="540" ht="14.25" customHeight="1">
      <c r="B540" s="152">
        <v>45767.0</v>
      </c>
      <c r="C540" s="141" t="str">
        <f t="shared" si="1"/>
        <v>4-2025</v>
      </c>
      <c r="D540" s="54">
        <f>E539</f>
        <v>5724</v>
      </c>
      <c r="E540" s="138">
        <v>5730.0</v>
      </c>
      <c r="F540" s="54">
        <f t="shared" si="33"/>
        <v>6</v>
      </c>
      <c r="G540" s="54">
        <f t="shared" si="37"/>
        <v>-4</v>
      </c>
    </row>
    <row r="541" ht="14.25" customHeight="1">
      <c r="B541" s="153">
        <v>45768.0</v>
      </c>
      <c r="C541" s="141" t="str">
        <f t="shared" si="1"/>
        <v>4-2025</v>
      </c>
      <c r="D541" s="138">
        <v>5730.0</v>
      </c>
      <c r="E541" s="138">
        <v>5736.0</v>
      </c>
      <c r="F541" s="54">
        <f t="shared" si="33"/>
        <v>6</v>
      </c>
      <c r="G541" s="54">
        <f t="shared" si="37"/>
        <v>-4</v>
      </c>
      <c r="H541" s="28">
        <v>420.0</v>
      </c>
    </row>
    <row r="542" ht="14.25" customHeight="1">
      <c r="B542" s="140">
        <v>45769.0</v>
      </c>
      <c r="C542" s="141" t="str">
        <f t="shared" si="1"/>
        <v>4-2025</v>
      </c>
      <c r="D542" s="54"/>
      <c r="E542" s="54"/>
      <c r="F542" s="54">
        <f t="shared" si="33"/>
        <v>0</v>
      </c>
      <c r="G542" s="54">
        <f t="shared" si="37"/>
        <v>-10</v>
      </c>
    </row>
    <row r="543" ht="14.25" customHeight="1">
      <c r="B543" s="140">
        <v>45770.0</v>
      </c>
      <c r="C543" s="141" t="str">
        <f t="shared" si="1"/>
        <v>4-2025</v>
      </c>
      <c r="D543" s="54" t="str">
        <f t="shared" ref="D543:D547" si="82">E542</f>
        <v/>
      </c>
      <c r="E543" s="54"/>
      <c r="F543" s="54">
        <f t="shared" si="33"/>
        <v>0</v>
      </c>
      <c r="G543" s="54">
        <f t="shared" si="37"/>
        <v>-10</v>
      </c>
    </row>
    <row r="544" ht="14.25" customHeight="1">
      <c r="B544" s="140">
        <v>45771.0</v>
      </c>
      <c r="C544" s="141" t="str">
        <f t="shared" si="1"/>
        <v>4-2025</v>
      </c>
      <c r="D544" s="54" t="str">
        <f t="shared" si="82"/>
        <v/>
      </c>
      <c r="E544" s="54"/>
      <c r="F544" s="54">
        <f t="shared" si="33"/>
        <v>0</v>
      </c>
      <c r="G544" s="54">
        <f t="shared" si="37"/>
        <v>-10</v>
      </c>
    </row>
    <row r="545" ht="14.25" customHeight="1">
      <c r="B545" s="140">
        <v>45772.0</v>
      </c>
      <c r="C545" s="141" t="str">
        <f t="shared" si="1"/>
        <v>4-2025</v>
      </c>
      <c r="D545" s="54" t="str">
        <f t="shared" si="82"/>
        <v/>
      </c>
      <c r="E545" s="54"/>
      <c r="F545" s="54">
        <f t="shared" si="33"/>
        <v>0</v>
      </c>
      <c r="G545" s="54">
        <f t="shared" si="37"/>
        <v>-10</v>
      </c>
    </row>
    <row r="546" ht="14.25" customHeight="1">
      <c r="B546" s="152">
        <v>45773.0</v>
      </c>
      <c r="C546" s="141" t="str">
        <f t="shared" si="1"/>
        <v>4-2025</v>
      </c>
      <c r="D546" s="54" t="str">
        <f t="shared" si="82"/>
        <v/>
      </c>
      <c r="E546" s="54"/>
      <c r="F546" s="54">
        <f t="shared" si="33"/>
        <v>0</v>
      </c>
      <c r="G546" s="54">
        <f t="shared" si="37"/>
        <v>-10</v>
      </c>
    </row>
    <row r="547" ht="14.25" customHeight="1">
      <c r="B547" s="152">
        <v>45774.0</v>
      </c>
      <c r="C547" s="141" t="str">
        <f t="shared" si="1"/>
        <v>4-2025</v>
      </c>
      <c r="D547" s="54" t="str">
        <f t="shared" si="82"/>
        <v/>
      </c>
      <c r="E547" s="54"/>
      <c r="F547" s="54">
        <f t="shared" si="33"/>
        <v>0</v>
      </c>
      <c r="G547" s="54">
        <f t="shared" si="37"/>
        <v>-10</v>
      </c>
    </row>
    <row r="548" ht="14.25" customHeight="1">
      <c r="B548" s="140">
        <v>45775.0</v>
      </c>
      <c r="C548" s="141" t="str">
        <f t="shared" si="1"/>
        <v>4-2025</v>
      </c>
      <c r="D548" s="138">
        <v>5736.0</v>
      </c>
      <c r="E548" s="138">
        <v>5743.0</v>
      </c>
      <c r="F548" s="54">
        <f t="shared" si="33"/>
        <v>7</v>
      </c>
      <c r="G548" s="54">
        <f t="shared" si="37"/>
        <v>-3</v>
      </c>
    </row>
    <row r="549" ht="14.25" customHeight="1">
      <c r="B549" s="140">
        <v>45776.0</v>
      </c>
      <c r="C549" s="141" t="str">
        <f t="shared" si="1"/>
        <v>4-2025</v>
      </c>
      <c r="D549" s="54">
        <f t="shared" ref="D549:D550" si="83">E548</f>
        <v>5743</v>
      </c>
      <c r="E549" s="138">
        <v>5752.0</v>
      </c>
      <c r="F549" s="54">
        <f t="shared" si="33"/>
        <v>9</v>
      </c>
      <c r="G549" s="54">
        <f t="shared" si="37"/>
        <v>-1</v>
      </c>
      <c r="H549" s="28">
        <v>220.0</v>
      </c>
    </row>
    <row r="550" ht="14.25" customHeight="1">
      <c r="B550" s="140">
        <v>45777.0</v>
      </c>
      <c r="C550" s="141" t="str">
        <f t="shared" si="1"/>
        <v>4-2025</v>
      </c>
      <c r="D550" s="54">
        <f t="shared" si="83"/>
        <v>5752</v>
      </c>
      <c r="E550" s="138">
        <v>5762.0</v>
      </c>
      <c r="F550" s="54">
        <f t="shared" si="33"/>
        <v>10</v>
      </c>
      <c r="G550" s="54">
        <f t="shared" si="37"/>
        <v>0</v>
      </c>
      <c r="H550" s="28">
        <v>220.0</v>
      </c>
    </row>
    <row r="551" ht="14.25" customHeight="1">
      <c r="B551" s="154">
        <v>45778.0</v>
      </c>
      <c r="C551" s="141" t="str">
        <f t="shared" si="1"/>
        <v>5-2025</v>
      </c>
      <c r="D551" s="138">
        <v>5762.0</v>
      </c>
      <c r="E551" s="138">
        <v>5768.0</v>
      </c>
      <c r="F551" s="54">
        <f t="shared" si="33"/>
        <v>6</v>
      </c>
      <c r="G551" s="54">
        <f t="shared" si="37"/>
        <v>-4</v>
      </c>
      <c r="I551" s="28" t="s">
        <v>114</v>
      </c>
    </row>
    <row r="552" ht="14.25" customHeight="1">
      <c r="B552" s="140">
        <v>45779.0</v>
      </c>
      <c r="C552" s="141" t="str">
        <f t="shared" si="1"/>
        <v>5-2025</v>
      </c>
      <c r="D552" s="54">
        <f>E551</f>
        <v>5768</v>
      </c>
      <c r="E552" s="138">
        <v>5776.0</v>
      </c>
      <c r="F552" s="54">
        <f t="shared" si="33"/>
        <v>8</v>
      </c>
      <c r="G552" s="54">
        <f t="shared" si="37"/>
        <v>-2</v>
      </c>
      <c r="I552" s="28" t="s">
        <v>114</v>
      </c>
    </row>
    <row r="553" ht="14.25" customHeight="1">
      <c r="B553" s="145">
        <v>45780.0</v>
      </c>
      <c r="C553" s="141" t="str">
        <f t="shared" si="1"/>
        <v>5-2025</v>
      </c>
      <c r="D553" s="54"/>
      <c r="E553" s="54"/>
      <c r="F553" s="54">
        <f t="shared" si="33"/>
        <v>0</v>
      </c>
      <c r="G553" s="54">
        <f t="shared" si="37"/>
        <v>-10</v>
      </c>
    </row>
    <row r="554" ht="14.25" customHeight="1">
      <c r="B554" s="145">
        <v>45781.0</v>
      </c>
      <c r="C554" s="141" t="str">
        <f t="shared" si="1"/>
        <v>5-2025</v>
      </c>
      <c r="D554" s="54" t="str">
        <f>E553</f>
        <v/>
      </c>
      <c r="E554" s="54"/>
      <c r="F554" s="54">
        <f t="shared" si="33"/>
        <v>0</v>
      </c>
      <c r="G554" s="54">
        <f t="shared" si="37"/>
        <v>-10</v>
      </c>
    </row>
    <row r="555" ht="14.25" customHeight="1">
      <c r="B555" s="140">
        <v>45782.0</v>
      </c>
      <c r="C555" s="141" t="str">
        <f t="shared" si="1"/>
        <v>5-2025</v>
      </c>
      <c r="D555" s="138">
        <v>5776.0</v>
      </c>
      <c r="E555" s="138">
        <v>5785.0</v>
      </c>
      <c r="F555" s="54">
        <f t="shared" si="33"/>
        <v>9</v>
      </c>
      <c r="G555" s="54">
        <f t="shared" si="37"/>
        <v>-1</v>
      </c>
      <c r="I555" s="28" t="s">
        <v>114</v>
      </c>
    </row>
    <row r="556" ht="14.25" customHeight="1">
      <c r="B556" s="140">
        <v>45783.0</v>
      </c>
      <c r="C556" s="141" t="str">
        <f t="shared" si="1"/>
        <v>5-2025</v>
      </c>
      <c r="D556" s="54">
        <f t="shared" ref="D556:D560" si="84">E555</f>
        <v>5785</v>
      </c>
      <c r="E556" s="138">
        <v>5795.0</v>
      </c>
      <c r="F556" s="54">
        <f t="shared" si="33"/>
        <v>10</v>
      </c>
      <c r="G556" s="54">
        <f t="shared" si="37"/>
        <v>0</v>
      </c>
      <c r="I556" s="28" t="s">
        <v>114</v>
      </c>
    </row>
    <row r="557" ht="14.25" customHeight="1">
      <c r="B557" s="140">
        <v>45784.0</v>
      </c>
      <c r="C557" s="141" t="str">
        <f t="shared" si="1"/>
        <v>5-2025</v>
      </c>
      <c r="D557" s="54">
        <f t="shared" si="84"/>
        <v>5795</v>
      </c>
      <c r="E557" s="138">
        <v>5805.0</v>
      </c>
      <c r="F557" s="54">
        <f t="shared" si="33"/>
        <v>10</v>
      </c>
      <c r="G557" s="54">
        <f t="shared" si="37"/>
        <v>0</v>
      </c>
      <c r="I557" s="28" t="s">
        <v>114</v>
      </c>
    </row>
    <row r="558" ht="14.25" customHeight="1">
      <c r="B558" s="140">
        <v>45785.0</v>
      </c>
      <c r="C558" s="141" t="str">
        <f t="shared" si="1"/>
        <v>5-2025</v>
      </c>
      <c r="D558" s="54">
        <f t="shared" si="84"/>
        <v>5805</v>
      </c>
      <c r="E558" s="138">
        <v>5815.0</v>
      </c>
      <c r="F558" s="54">
        <f t="shared" si="33"/>
        <v>10</v>
      </c>
      <c r="G558" s="54">
        <f t="shared" si="37"/>
        <v>0</v>
      </c>
      <c r="I558" s="28" t="s">
        <v>114</v>
      </c>
    </row>
    <row r="559" ht="14.25" customHeight="1">
      <c r="B559" s="140">
        <v>45786.0</v>
      </c>
      <c r="C559" s="141" t="str">
        <f t="shared" si="1"/>
        <v>5-2025</v>
      </c>
      <c r="D559" s="54">
        <f t="shared" si="84"/>
        <v>5815</v>
      </c>
      <c r="E559" s="138">
        <v>5825.0</v>
      </c>
      <c r="F559" s="54">
        <f t="shared" si="33"/>
        <v>10</v>
      </c>
      <c r="G559" s="54">
        <f t="shared" si="37"/>
        <v>0</v>
      </c>
      <c r="I559" s="28" t="s">
        <v>114</v>
      </c>
    </row>
    <row r="560" ht="14.25" customHeight="1">
      <c r="B560" s="145">
        <v>45787.0</v>
      </c>
      <c r="C560" s="141" t="str">
        <f t="shared" si="1"/>
        <v>5-2025</v>
      </c>
      <c r="D560" s="54">
        <f t="shared" si="84"/>
        <v>5825</v>
      </c>
      <c r="E560" s="138">
        <v>5831.0</v>
      </c>
      <c r="F560" s="54">
        <f t="shared" si="33"/>
        <v>6</v>
      </c>
      <c r="G560" s="54">
        <f t="shared" si="37"/>
        <v>-4</v>
      </c>
      <c r="I560" s="28" t="s">
        <v>114</v>
      </c>
    </row>
    <row r="561" ht="14.25" customHeight="1">
      <c r="B561" s="145">
        <v>45788.0</v>
      </c>
      <c r="C561" s="141" t="str">
        <f t="shared" si="1"/>
        <v>5-2025</v>
      </c>
      <c r="D561" s="54"/>
      <c r="E561" s="54"/>
      <c r="F561" s="54">
        <f t="shared" si="33"/>
        <v>0</v>
      </c>
      <c r="G561" s="54">
        <f t="shared" si="37"/>
        <v>-10</v>
      </c>
    </row>
    <row r="562" ht="14.25" customHeight="1">
      <c r="B562" s="140">
        <v>45789.0</v>
      </c>
      <c r="C562" s="141" t="str">
        <f t="shared" si="1"/>
        <v>5-2025</v>
      </c>
      <c r="D562" s="138">
        <v>5831.0</v>
      </c>
      <c r="E562" s="138">
        <v>5841.0</v>
      </c>
      <c r="F562" s="54">
        <f t="shared" si="33"/>
        <v>10</v>
      </c>
      <c r="G562" s="54">
        <f t="shared" si="37"/>
        <v>0</v>
      </c>
      <c r="I562" s="28" t="s">
        <v>114</v>
      </c>
    </row>
    <row r="563" ht="14.25" customHeight="1">
      <c r="B563" s="140">
        <v>45790.0</v>
      </c>
      <c r="C563" s="141" t="str">
        <f t="shared" si="1"/>
        <v>5-2025</v>
      </c>
      <c r="D563" s="54">
        <f t="shared" ref="D563:D567" si="85">E562</f>
        <v>5841</v>
      </c>
      <c r="E563" s="138">
        <v>5850.0</v>
      </c>
      <c r="F563" s="54">
        <f t="shared" si="33"/>
        <v>9</v>
      </c>
      <c r="G563" s="54">
        <f t="shared" si="37"/>
        <v>-1</v>
      </c>
      <c r="I563" s="28" t="s">
        <v>114</v>
      </c>
    </row>
    <row r="564" ht="14.25" customHeight="1">
      <c r="B564" s="140">
        <v>45791.0</v>
      </c>
      <c r="C564" s="141" t="str">
        <f t="shared" si="1"/>
        <v>5-2025</v>
      </c>
      <c r="D564" s="54">
        <f t="shared" si="85"/>
        <v>5850</v>
      </c>
      <c r="E564" s="138">
        <v>5857.0</v>
      </c>
      <c r="F564" s="54">
        <f t="shared" si="33"/>
        <v>7</v>
      </c>
      <c r="G564" s="54">
        <f t="shared" si="37"/>
        <v>-3</v>
      </c>
      <c r="I564" s="28" t="s">
        <v>114</v>
      </c>
    </row>
    <row r="565" ht="14.25" customHeight="1">
      <c r="B565" s="140">
        <v>45792.0</v>
      </c>
      <c r="C565" s="141" t="str">
        <f t="shared" si="1"/>
        <v>5-2025</v>
      </c>
      <c r="D565" s="54">
        <f t="shared" si="85"/>
        <v>5857</v>
      </c>
      <c r="E565" s="138">
        <v>5867.0</v>
      </c>
      <c r="F565" s="54">
        <f t="shared" si="33"/>
        <v>10</v>
      </c>
      <c r="G565" s="54">
        <f t="shared" si="37"/>
        <v>0</v>
      </c>
      <c r="I565" s="28" t="s">
        <v>114</v>
      </c>
    </row>
    <row r="566" ht="14.25" customHeight="1">
      <c r="B566" s="140">
        <v>45793.0</v>
      </c>
      <c r="C566" s="141" t="str">
        <f t="shared" si="1"/>
        <v>5-2025</v>
      </c>
      <c r="D566" s="54">
        <f t="shared" si="85"/>
        <v>5867</v>
      </c>
      <c r="E566" s="138">
        <v>5878.0</v>
      </c>
      <c r="F566" s="54">
        <f t="shared" si="33"/>
        <v>11</v>
      </c>
      <c r="G566" s="54">
        <f t="shared" si="37"/>
        <v>1</v>
      </c>
      <c r="I566" s="28" t="s">
        <v>114</v>
      </c>
    </row>
    <row r="567" ht="14.25" customHeight="1">
      <c r="B567" s="145">
        <v>45794.0</v>
      </c>
      <c r="C567" s="141" t="str">
        <f t="shared" si="1"/>
        <v>5-2025</v>
      </c>
      <c r="D567" s="54">
        <f t="shared" si="85"/>
        <v>5878</v>
      </c>
      <c r="E567" s="138">
        <v>5884.0</v>
      </c>
      <c r="F567" s="54">
        <f t="shared" si="33"/>
        <v>6</v>
      </c>
      <c r="G567" s="54">
        <f t="shared" si="37"/>
        <v>-4</v>
      </c>
      <c r="I567" s="28" t="s">
        <v>114</v>
      </c>
    </row>
    <row r="568" ht="14.25" customHeight="1">
      <c r="B568" s="145">
        <v>45795.0</v>
      </c>
      <c r="C568" s="141" t="str">
        <f t="shared" si="1"/>
        <v>5-2025</v>
      </c>
      <c r="D568" s="54"/>
      <c r="E568" s="54"/>
      <c r="F568" s="54">
        <f t="shared" si="33"/>
        <v>0</v>
      </c>
      <c r="G568" s="54">
        <f t="shared" si="37"/>
        <v>-10</v>
      </c>
    </row>
    <row r="569" ht="14.25" customHeight="1">
      <c r="B569" s="140">
        <v>45796.0</v>
      </c>
      <c r="C569" s="141" t="str">
        <f t="shared" si="1"/>
        <v>5-2025</v>
      </c>
      <c r="D569" s="138">
        <v>5884.0</v>
      </c>
      <c r="E569" s="138">
        <v>5894.0</v>
      </c>
      <c r="F569" s="54">
        <f t="shared" si="33"/>
        <v>10</v>
      </c>
      <c r="G569" s="54">
        <f t="shared" si="37"/>
        <v>0</v>
      </c>
      <c r="I569" s="28" t="s">
        <v>114</v>
      </c>
    </row>
    <row r="570" ht="14.25" customHeight="1">
      <c r="B570" s="140">
        <v>45797.0</v>
      </c>
      <c r="C570" s="141" t="str">
        <f t="shared" si="1"/>
        <v>5-2025</v>
      </c>
      <c r="D570" s="54">
        <f t="shared" ref="D570:D574" si="86">E569</f>
        <v>5894</v>
      </c>
      <c r="E570" s="138">
        <v>5903.0</v>
      </c>
      <c r="F570" s="54">
        <f t="shared" si="33"/>
        <v>9</v>
      </c>
      <c r="G570" s="54">
        <f t="shared" si="37"/>
        <v>-1</v>
      </c>
      <c r="I570" s="28" t="s">
        <v>114</v>
      </c>
    </row>
    <row r="571" ht="14.25" customHeight="1">
      <c r="B571" s="140">
        <v>45798.0</v>
      </c>
      <c r="C571" s="141" t="str">
        <f t="shared" si="1"/>
        <v>5-2025</v>
      </c>
      <c r="D571" s="54">
        <f t="shared" si="86"/>
        <v>5903</v>
      </c>
      <c r="E571" s="138">
        <v>5912.0</v>
      </c>
      <c r="F571" s="54">
        <f t="shared" si="33"/>
        <v>9</v>
      </c>
      <c r="G571" s="54">
        <f t="shared" si="37"/>
        <v>-1</v>
      </c>
      <c r="I571" s="28" t="s">
        <v>114</v>
      </c>
    </row>
    <row r="572" ht="14.25" customHeight="1">
      <c r="B572" s="140">
        <v>45799.0</v>
      </c>
      <c r="C572" s="141" t="str">
        <f t="shared" si="1"/>
        <v>5-2025</v>
      </c>
      <c r="D572" s="54">
        <f t="shared" si="86"/>
        <v>5912</v>
      </c>
      <c r="E572" s="138">
        <v>5922.0</v>
      </c>
      <c r="F572" s="54">
        <f t="shared" si="33"/>
        <v>10</v>
      </c>
      <c r="G572" s="54">
        <f t="shared" si="37"/>
        <v>0</v>
      </c>
      <c r="I572" s="28" t="s">
        <v>114</v>
      </c>
    </row>
    <row r="573" ht="14.25" customHeight="1">
      <c r="B573" s="140">
        <v>45800.0</v>
      </c>
      <c r="C573" s="141" t="str">
        <f t="shared" si="1"/>
        <v>5-2025</v>
      </c>
      <c r="D573" s="54">
        <f t="shared" si="86"/>
        <v>5922</v>
      </c>
      <c r="E573" s="138">
        <v>5932.0</v>
      </c>
      <c r="F573" s="54">
        <f t="shared" si="33"/>
        <v>10</v>
      </c>
      <c r="G573" s="54">
        <f t="shared" si="37"/>
        <v>0</v>
      </c>
      <c r="I573" s="28" t="s">
        <v>114</v>
      </c>
    </row>
    <row r="574" ht="14.25" customHeight="1">
      <c r="B574" s="145">
        <v>45801.0</v>
      </c>
      <c r="C574" s="141" t="str">
        <f t="shared" si="1"/>
        <v>5-2025</v>
      </c>
      <c r="D574" s="54">
        <f t="shared" si="86"/>
        <v>5932</v>
      </c>
      <c r="E574" s="138">
        <v>5940.0</v>
      </c>
      <c r="F574" s="54">
        <f t="shared" si="33"/>
        <v>8</v>
      </c>
      <c r="G574" s="54">
        <f t="shared" si="37"/>
        <v>-2</v>
      </c>
      <c r="I574" s="28" t="s">
        <v>114</v>
      </c>
    </row>
    <row r="575" ht="14.25" customHeight="1">
      <c r="B575" s="145">
        <v>45802.0</v>
      </c>
      <c r="C575" s="141" t="str">
        <f t="shared" si="1"/>
        <v>5-2025</v>
      </c>
      <c r="D575" s="54"/>
      <c r="E575" s="54"/>
      <c r="F575" s="54">
        <f t="shared" si="33"/>
        <v>0</v>
      </c>
      <c r="G575" s="54">
        <f t="shared" si="37"/>
        <v>-10</v>
      </c>
    </row>
    <row r="576" ht="14.25" customHeight="1">
      <c r="B576" s="140">
        <v>45803.0</v>
      </c>
      <c r="C576" s="141" t="str">
        <f t="shared" si="1"/>
        <v>5-2025</v>
      </c>
      <c r="D576" s="138">
        <v>5940.0</v>
      </c>
      <c r="E576" s="138">
        <v>5949.0</v>
      </c>
      <c r="F576" s="54">
        <f t="shared" si="33"/>
        <v>9</v>
      </c>
      <c r="G576" s="54">
        <f t="shared" si="37"/>
        <v>-1</v>
      </c>
      <c r="I576" s="28" t="s">
        <v>114</v>
      </c>
    </row>
    <row r="577" ht="14.25" customHeight="1">
      <c r="B577" s="140">
        <v>45804.0</v>
      </c>
      <c r="C577" s="141" t="str">
        <f t="shared" si="1"/>
        <v>5-2025</v>
      </c>
      <c r="D577" s="54">
        <f t="shared" ref="D577:D581" si="87">E576</f>
        <v>5949</v>
      </c>
      <c r="E577" s="138">
        <v>5958.0</v>
      </c>
      <c r="F577" s="54">
        <f t="shared" si="33"/>
        <v>9</v>
      </c>
      <c r="G577" s="54">
        <f t="shared" si="37"/>
        <v>-1</v>
      </c>
      <c r="I577" s="28" t="s">
        <v>114</v>
      </c>
    </row>
    <row r="578" ht="14.25" customHeight="1">
      <c r="B578" s="140">
        <v>45805.0</v>
      </c>
      <c r="C578" s="141" t="str">
        <f t="shared" si="1"/>
        <v>5-2025</v>
      </c>
      <c r="D578" s="54">
        <f t="shared" si="87"/>
        <v>5958</v>
      </c>
      <c r="E578" s="138">
        <v>5966.0</v>
      </c>
      <c r="F578" s="54">
        <f t="shared" si="33"/>
        <v>8</v>
      </c>
      <c r="G578" s="54">
        <f t="shared" si="37"/>
        <v>-2</v>
      </c>
      <c r="I578" s="28" t="s">
        <v>115</v>
      </c>
    </row>
    <row r="579" ht="14.25" customHeight="1">
      <c r="B579" s="140">
        <v>45806.0</v>
      </c>
      <c r="C579" s="141" t="str">
        <f t="shared" si="1"/>
        <v>5-2025</v>
      </c>
      <c r="D579" s="54">
        <f t="shared" si="87"/>
        <v>5966</v>
      </c>
      <c r="E579" s="138">
        <v>5977.0</v>
      </c>
      <c r="F579" s="54">
        <f t="shared" si="33"/>
        <v>11</v>
      </c>
      <c r="G579" s="54">
        <f t="shared" si="37"/>
        <v>1</v>
      </c>
      <c r="I579" s="28" t="s">
        <v>116</v>
      </c>
    </row>
    <row r="580" ht="14.25" customHeight="1">
      <c r="B580" s="140">
        <v>45807.0</v>
      </c>
      <c r="C580" s="141" t="str">
        <f t="shared" si="1"/>
        <v>5-2025</v>
      </c>
      <c r="D580" s="54">
        <f t="shared" si="87"/>
        <v>5977</v>
      </c>
      <c r="E580" s="138">
        <v>5988.0</v>
      </c>
      <c r="F580" s="54">
        <f t="shared" si="33"/>
        <v>11</v>
      </c>
      <c r="G580" s="54">
        <f t="shared" si="37"/>
        <v>1</v>
      </c>
      <c r="I580" s="28" t="s">
        <v>116</v>
      </c>
    </row>
    <row r="581" ht="14.25" customHeight="1">
      <c r="B581" s="145">
        <v>45808.0</v>
      </c>
      <c r="C581" s="141" t="str">
        <f t="shared" si="1"/>
        <v>5-2025</v>
      </c>
      <c r="D581" s="54">
        <f t="shared" si="87"/>
        <v>5988</v>
      </c>
      <c r="E581" s="138">
        <v>5998.0</v>
      </c>
      <c r="F581" s="54">
        <f t="shared" si="33"/>
        <v>10</v>
      </c>
      <c r="G581" s="54">
        <f t="shared" si="37"/>
        <v>0</v>
      </c>
      <c r="H581" s="28">
        <v>3859.0</v>
      </c>
      <c r="I581" s="28" t="s">
        <v>116</v>
      </c>
    </row>
    <row r="582" ht="14.25" customHeight="1">
      <c r="B582" s="145">
        <v>45809.0</v>
      </c>
      <c r="C582" s="141" t="str">
        <f t="shared" si="1"/>
        <v>6-2025</v>
      </c>
      <c r="D582" s="138"/>
      <c r="E582" s="138"/>
      <c r="F582" s="54">
        <f t="shared" si="33"/>
        <v>0</v>
      </c>
      <c r="G582" s="54">
        <f t="shared" si="37"/>
        <v>-10</v>
      </c>
    </row>
    <row r="583" ht="14.25" customHeight="1">
      <c r="B583" s="140">
        <v>45810.0</v>
      </c>
      <c r="C583" s="141" t="str">
        <f t="shared" si="1"/>
        <v>6-2025</v>
      </c>
      <c r="D583" s="138">
        <v>5998.0</v>
      </c>
      <c r="E583" s="138">
        <v>6009.0</v>
      </c>
      <c r="F583" s="54">
        <f t="shared" si="33"/>
        <v>11</v>
      </c>
      <c r="G583" s="54">
        <f t="shared" si="37"/>
        <v>1</v>
      </c>
      <c r="H583" s="28">
        <v>200.0</v>
      </c>
    </row>
    <row r="584" ht="14.25" customHeight="1">
      <c r="B584" s="140">
        <v>45811.0</v>
      </c>
      <c r="C584" s="141" t="str">
        <f t="shared" si="1"/>
        <v>6-2025</v>
      </c>
      <c r="D584" s="54">
        <f t="shared" ref="D584:D586" si="88">E583</f>
        <v>6009</v>
      </c>
      <c r="E584" s="138">
        <v>6020.0</v>
      </c>
      <c r="F584" s="54">
        <f t="shared" si="33"/>
        <v>11</v>
      </c>
      <c r="G584" s="54">
        <f t="shared" si="37"/>
        <v>1</v>
      </c>
      <c r="H584" s="28">
        <v>200.0</v>
      </c>
    </row>
    <row r="585" ht="14.25" customHeight="1">
      <c r="B585" s="140">
        <v>45812.0</v>
      </c>
      <c r="C585" s="141" t="str">
        <f t="shared" si="1"/>
        <v>6-2025</v>
      </c>
      <c r="D585" s="54">
        <f t="shared" si="88"/>
        <v>6020</v>
      </c>
      <c r="E585" s="138">
        <v>6025.7</v>
      </c>
      <c r="F585" s="54">
        <f t="shared" si="33"/>
        <v>5.7</v>
      </c>
      <c r="G585" s="54">
        <f t="shared" si="37"/>
        <v>-4.3</v>
      </c>
      <c r="H585" s="28">
        <v>200.0</v>
      </c>
    </row>
    <row r="586" ht="14.25" customHeight="1">
      <c r="B586" s="140">
        <v>45813.0</v>
      </c>
      <c r="C586" s="141" t="str">
        <f t="shared" si="1"/>
        <v>6-2025</v>
      </c>
      <c r="D586" s="54">
        <f t="shared" si="88"/>
        <v>6025.7</v>
      </c>
      <c r="E586" s="138">
        <v>6034.4</v>
      </c>
      <c r="F586" s="54">
        <f t="shared" si="33"/>
        <v>8.7</v>
      </c>
      <c r="G586" s="54">
        <f t="shared" si="37"/>
        <v>-1.3</v>
      </c>
      <c r="I586" s="28" t="s">
        <v>117</v>
      </c>
    </row>
    <row r="587" ht="14.25" customHeight="1">
      <c r="B587" s="140">
        <v>45814.0</v>
      </c>
      <c r="C587" s="141" t="str">
        <f t="shared" si="1"/>
        <v>6-2025</v>
      </c>
      <c r="D587" s="54"/>
      <c r="E587" s="54"/>
      <c r="F587" s="54">
        <f t="shared" si="33"/>
        <v>0</v>
      </c>
      <c r="G587" s="54">
        <f t="shared" si="37"/>
        <v>-10</v>
      </c>
    </row>
    <row r="588" ht="14.25" customHeight="1">
      <c r="B588" s="145">
        <v>45815.0</v>
      </c>
      <c r="C588" s="141" t="str">
        <f t="shared" si="1"/>
        <v>6-2025</v>
      </c>
      <c r="D588" s="54" t="str">
        <f t="shared" ref="D588:D590" si="89">E587</f>
        <v/>
      </c>
      <c r="E588" s="54"/>
      <c r="F588" s="54">
        <f t="shared" si="33"/>
        <v>0</v>
      </c>
      <c r="G588" s="54">
        <f t="shared" si="37"/>
        <v>-10</v>
      </c>
    </row>
    <row r="589" ht="14.25" customHeight="1">
      <c r="B589" s="145">
        <v>45816.0</v>
      </c>
      <c r="C589" s="141" t="str">
        <f t="shared" si="1"/>
        <v>6-2025</v>
      </c>
      <c r="D589" s="54" t="str">
        <f t="shared" si="89"/>
        <v/>
      </c>
      <c r="E589" s="54"/>
      <c r="F589" s="54">
        <f t="shared" si="33"/>
        <v>0</v>
      </c>
      <c r="G589" s="54">
        <f t="shared" si="37"/>
        <v>-10</v>
      </c>
    </row>
    <row r="590" ht="14.25" customHeight="1">
      <c r="B590" s="140">
        <v>45817.0</v>
      </c>
      <c r="C590" s="141" t="str">
        <f t="shared" si="1"/>
        <v>6-2025</v>
      </c>
      <c r="D590" s="54" t="str">
        <f t="shared" si="89"/>
        <v/>
      </c>
      <c r="E590" s="54"/>
      <c r="F590" s="54">
        <f t="shared" si="33"/>
        <v>0</v>
      </c>
      <c r="G590" s="54">
        <f t="shared" si="37"/>
        <v>-10</v>
      </c>
    </row>
    <row r="591" ht="14.25" customHeight="1">
      <c r="B591" s="140">
        <v>45818.0</v>
      </c>
      <c r="C591" s="141" t="str">
        <f t="shared" si="1"/>
        <v>6-2025</v>
      </c>
      <c r="D591" s="138">
        <v>6034.4</v>
      </c>
      <c r="E591" s="138">
        <v>6034.8</v>
      </c>
      <c r="F591" s="54">
        <f t="shared" si="33"/>
        <v>0.4</v>
      </c>
      <c r="G591" s="54">
        <f t="shared" si="37"/>
        <v>-9.6</v>
      </c>
    </row>
    <row r="592" ht="14.25" customHeight="1">
      <c r="B592" s="140">
        <v>45819.0</v>
      </c>
      <c r="C592" s="141" t="str">
        <f t="shared" si="1"/>
        <v>6-2025</v>
      </c>
      <c r="D592" s="138">
        <v>6034.8</v>
      </c>
      <c r="E592" s="138">
        <v>6036.0</v>
      </c>
      <c r="F592" s="54">
        <f t="shared" si="33"/>
        <v>1.2</v>
      </c>
      <c r="G592" s="54">
        <f t="shared" si="37"/>
        <v>-8.8</v>
      </c>
    </row>
    <row r="593" ht="14.25" customHeight="1">
      <c r="B593" s="140">
        <v>45820.0</v>
      </c>
      <c r="C593" s="141" t="str">
        <f t="shared" si="1"/>
        <v>6-2025</v>
      </c>
      <c r="D593" s="54">
        <f t="shared" ref="D593:D611" si="90">E592</f>
        <v>6036</v>
      </c>
      <c r="E593" s="138">
        <v>6046.0</v>
      </c>
      <c r="F593" s="54">
        <f t="shared" si="33"/>
        <v>10</v>
      </c>
      <c r="G593" s="54">
        <f t="shared" si="37"/>
        <v>0</v>
      </c>
      <c r="H593" s="28">
        <v>195.0</v>
      </c>
    </row>
    <row r="594" ht="14.25" customHeight="1">
      <c r="B594" s="140">
        <v>45821.0</v>
      </c>
      <c r="C594" s="141" t="str">
        <f t="shared" si="1"/>
        <v>6-2025</v>
      </c>
      <c r="D594" s="54">
        <f t="shared" si="90"/>
        <v>6046</v>
      </c>
      <c r="E594" s="138">
        <v>6056.0</v>
      </c>
      <c r="F594" s="54">
        <f t="shared" si="33"/>
        <v>10</v>
      </c>
      <c r="G594" s="54">
        <f t="shared" si="37"/>
        <v>0</v>
      </c>
      <c r="H594" s="28">
        <v>231.0</v>
      </c>
    </row>
    <row r="595" ht="14.25" customHeight="1">
      <c r="B595" s="145">
        <v>45822.0</v>
      </c>
      <c r="C595" s="141" t="str">
        <f t="shared" si="1"/>
        <v>6-2025</v>
      </c>
      <c r="D595" s="54">
        <f t="shared" si="90"/>
        <v>6056</v>
      </c>
      <c r="E595" s="138">
        <v>6058.0</v>
      </c>
      <c r="F595" s="54">
        <f t="shared" si="33"/>
        <v>2</v>
      </c>
      <c r="G595" s="54">
        <f t="shared" si="37"/>
        <v>-8</v>
      </c>
      <c r="H595" s="28">
        <v>232.0</v>
      </c>
    </row>
    <row r="596" ht="14.25" customHeight="1">
      <c r="B596" s="145">
        <v>45823.0</v>
      </c>
      <c r="C596" s="141" t="str">
        <f t="shared" si="1"/>
        <v>6-2025</v>
      </c>
      <c r="D596" s="54">
        <f t="shared" si="90"/>
        <v>6058</v>
      </c>
      <c r="E596" s="138">
        <v>6065.0</v>
      </c>
      <c r="F596" s="54">
        <f t="shared" si="33"/>
        <v>7</v>
      </c>
      <c r="G596" s="54">
        <f t="shared" si="37"/>
        <v>-3</v>
      </c>
    </row>
    <row r="597" ht="14.25" customHeight="1">
      <c r="B597" s="140">
        <v>45824.0</v>
      </c>
      <c r="C597" s="141" t="str">
        <f t="shared" si="1"/>
        <v>6-2025</v>
      </c>
      <c r="D597" s="54">
        <f t="shared" si="90"/>
        <v>6065</v>
      </c>
      <c r="E597" s="138">
        <v>6076.0</v>
      </c>
      <c r="F597" s="54">
        <f t="shared" si="33"/>
        <v>11</v>
      </c>
      <c r="G597" s="54">
        <f t="shared" si="37"/>
        <v>1</v>
      </c>
    </row>
    <row r="598" ht="14.25" customHeight="1">
      <c r="B598" s="140">
        <v>45825.0</v>
      </c>
      <c r="C598" s="141" t="str">
        <f t="shared" si="1"/>
        <v>6-2025</v>
      </c>
      <c r="D598" s="54">
        <f t="shared" si="90"/>
        <v>6076</v>
      </c>
      <c r="E598" s="138">
        <v>6086.0</v>
      </c>
      <c r="F598" s="54">
        <f t="shared" si="33"/>
        <v>10</v>
      </c>
      <c r="G598" s="54">
        <f t="shared" si="37"/>
        <v>0</v>
      </c>
      <c r="H598" s="28">
        <v>232.0</v>
      </c>
    </row>
    <row r="599" ht="14.25" customHeight="1">
      <c r="B599" s="140">
        <v>45826.0</v>
      </c>
      <c r="C599" s="141" t="str">
        <f t="shared" si="1"/>
        <v>6-2025</v>
      </c>
      <c r="D599" s="54">
        <f t="shared" si="90"/>
        <v>6086</v>
      </c>
      <c r="E599" s="138">
        <v>6096.0</v>
      </c>
      <c r="F599" s="54">
        <f t="shared" si="33"/>
        <v>10</v>
      </c>
      <c r="G599" s="54">
        <f t="shared" si="37"/>
        <v>0</v>
      </c>
      <c r="H599" s="28">
        <v>232.0</v>
      </c>
    </row>
    <row r="600" ht="14.25" customHeight="1">
      <c r="B600" s="145">
        <v>45827.0</v>
      </c>
      <c r="C600" s="141" t="str">
        <f t="shared" si="1"/>
        <v>6-2025</v>
      </c>
      <c r="D600" s="54">
        <f t="shared" si="90"/>
        <v>6096</v>
      </c>
      <c r="E600" s="138">
        <v>6102.0</v>
      </c>
      <c r="F600" s="54">
        <f t="shared" si="33"/>
        <v>6</v>
      </c>
      <c r="G600" s="54">
        <f t="shared" si="37"/>
        <v>-4</v>
      </c>
    </row>
    <row r="601" ht="14.25" customHeight="1">
      <c r="B601" s="140">
        <v>45828.0</v>
      </c>
      <c r="C601" s="141" t="str">
        <f t="shared" si="1"/>
        <v>6-2025</v>
      </c>
      <c r="D601" s="54">
        <f t="shared" si="90"/>
        <v>6102</v>
      </c>
      <c r="E601" s="138">
        <v>6105.0</v>
      </c>
      <c r="F601" s="54">
        <f t="shared" si="33"/>
        <v>3</v>
      </c>
      <c r="G601" s="54">
        <f t="shared" si="37"/>
        <v>-7</v>
      </c>
    </row>
    <row r="602" ht="14.25" customHeight="1">
      <c r="B602" s="145">
        <v>45829.0</v>
      </c>
      <c r="C602" s="141" t="str">
        <f t="shared" si="1"/>
        <v>6-2025</v>
      </c>
      <c r="D602" s="54">
        <f t="shared" si="90"/>
        <v>6105</v>
      </c>
      <c r="E602" s="138">
        <v>6105.0</v>
      </c>
      <c r="F602" s="54">
        <f t="shared" si="33"/>
        <v>0</v>
      </c>
      <c r="G602" s="54">
        <f t="shared" si="37"/>
        <v>-10</v>
      </c>
    </row>
    <row r="603" ht="14.25" customHeight="1">
      <c r="B603" s="145">
        <v>45830.0</v>
      </c>
      <c r="C603" s="141" t="str">
        <f t="shared" si="1"/>
        <v>6-2025</v>
      </c>
      <c r="D603" s="54">
        <f t="shared" si="90"/>
        <v>6105</v>
      </c>
      <c r="E603" s="138">
        <v>6110.0</v>
      </c>
      <c r="F603" s="54">
        <f t="shared" si="33"/>
        <v>5</v>
      </c>
      <c r="G603" s="54">
        <f t="shared" si="37"/>
        <v>-5</v>
      </c>
    </row>
    <row r="604" ht="14.25" customHeight="1">
      <c r="B604" s="140">
        <v>45831.0</v>
      </c>
      <c r="C604" s="141" t="str">
        <f t="shared" si="1"/>
        <v>6-2025</v>
      </c>
      <c r="D604" s="54">
        <f t="shared" si="90"/>
        <v>6110</v>
      </c>
      <c r="E604" s="138">
        <v>6119.0</v>
      </c>
      <c r="F604" s="54">
        <f t="shared" si="33"/>
        <v>9</v>
      </c>
      <c r="G604" s="54">
        <f t="shared" si="37"/>
        <v>-1</v>
      </c>
      <c r="H604" s="28">
        <v>580.0</v>
      </c>
    </row>
    <row r="605" ht="14.25" customHeight="1">
      <c r="B605" s="140">
        <v>45832.0</v>
      </c>
      <c r="C605" s="141" t="str">
        <f t="shared" si="1"/>
        <v>6-2025</v>
      </c>
      <c r="D605" s="54">
        <f t="shared" si="90"/>
        <v>6119</v>
      </c>
      <c r="E605" s="138">
        <v>6129.0</v>
      </c>
      <c r="F605" s="54">
        <f t="shared" si="33"/>
        <v>10</v>
      </c>
      <c r="G605" s="54">
        <f t="shared" si="37"/>
        <v>0</v>
      </c>
    </row>
    <row r="606" ht="14.25" customHeight="1">
      <c r="B606" s="140">
        <v>45833.0</v>
      </c>
      <c r="C606" s="141" t="str">
        <f t="shared" si="1"/>
        <v>6-2025</v>
      </c>
      <c r="D606" s="54">
        <f t="shared" si="90"/>
        <v>6129</v>
      </c>
      <c r="E606" s="138">
        <v>6135.0</v>
      </c>
      <c r="F606" s="54">
        <f t="shared" si="33"/>
        <v>6</v>
      </c>
      <c r="G606" s="54">
        <f t="shared" si="37"/>
        <v>-4</v>
      </c>
      <c r="H606" s="28">
        <v>230.0</v>
      </c>
    </row>
    <row r="607" ht="14.25" customHeight="1">
      <c r="B607" s="140">
        <v>45834.0</v>
      </c>
      <c r="C607" s="141" t="str">
        <f t="shared" si="1"/>
        <v>6-2025</v>
      </c>
      <c r="D607" s="54">
        <f t="shared" si="90"/>
        <v>6135</v>
      </c>
      <c r="E607" s="138">
        <v>6146.0</v>
      </c>
      <c r="F607" s="54">
        <f t="shared" si="33"/>
        <v>11</v>
      </c>
      <c r="G607" s="54">
        <f t="shared" si="37"/>
        <v>1</v>
      </c>
      <c r="H607" s="28">
        <v>380.0</v>
      </c>
    </row>
    <row r="608" ht="14.25" customHeight="1">
      <c r="B608" s="140">
        <v>45835.0</v>
      </c>
      <c r="C608" s="141" t="str">
        <f t="shared" si="1"/>
        <v>6-2025</v>
      </c>
      <c r="D608" s="54">
        <f t="shared" si="90"/>
        <v>6146</v>
      </c>
      <c r="E608" s="138">
        <v>6157.0</v>
      </c>
      <c r="F608" s="54">
        <f t="shared" si="33"/>
        <v>11</v>
      </c>
      <c r="G608" s="54">
        <f t="shared" si="37"/>
        <v>1</v>
      </c>
    </row>
    <row r="609" ht="14.25" customHeight="1">
      <c r="B609" s="145">
        <v>45836.0</v>
      </c>
      <c r="C609" s="141" t="str">
        <f t="shared" si="1"/>
        <v>6-2025</v>
      </c>
      <c r="D609" s="54">
        <f t="shared" si="90"/>
        <v>6157</v>
      </c>
      <c r="E609" s="138">
        <v>6165.0</v>
      </c>
      <c r="F609" s="54">
        <f t="shared" si="33"/>
        <v>8</v>
      </c>
      <c r="G609" s="54">
        <f t="shared" si="37"/>
        <v>-2</v>
      </c>
    </row>
    <row r="610" ht="14.25" customHeight="1">
      <c r="B610" s="145">
        <v>45837.0</v>
      </c>
      <c r="C610" s="141" t="str">
        <f t="shared" si="1"/>
        <v>6-2025</v>
      </c>
      <c r="D610" s="54">
        <f t="shared" si="90"/>
        <v>6165</v>
      </c>
      <c r="E610" s="138">
        <v>6171.0</v>
      </c>
      <c r="F610" s="54">
        <f t="shared" si="33"/>
        <v>6</v>
      </c>
      <c r="G610" s="54">
        <f t="shared" si="37"/>
        <v>-4</v>
      </c>
    </row>
    <row r="611" ht="14.25" customHeight="1">
      <c r="B611" s="140">
        <v>45838.0</v>
      </c>
      <c r="C611" s="141" t="str">
        <f t="shared" si="1"/>
        <v>6-2025</v>
      </c>
      <c r="D611" s="54">
        <f t="shared" si="90"/>
        <v>6171</v>
      </c>
      <c r="E611" s="138">
        <v>6171.0</v>
      </c>
      <c r="F611" s="54">
        <f t="shared" si="33"/>
        <v>0</v>
      </c>
      <c r="G611" s="54">
        <f t="shared" si="37"/>
        <v>-10</v>
      </c>
    </row>
    <row r="612" ht="14.25" customHeight="1">
      <c r="B612" s="140">
        <v>45839.0</v>
      </c>
      <c r="C612" s="141" t="str">
        <f t="shared" si="1"/>
        <v>7-2025</v>
      </c>
      <c r="D612" s="138">
        <v>6171.0</v>
      </c>
      <c r="E612" s="138">
        <v>6179.0</v>
      </c>
      <c r="F612" s="54">
        <f t="shared" si="33"/>
        <v>8</v>
      </c>
      <c r="G612" s="54">
        <f t="shared" si="37"/>
        <v>-2</v>
      </c>
    </row>
    <row r="613" ht="14.25" customHeight="1">
      <c r="B613" s="140">
        <v>45840.0</v>
      </c>
      <c r="C613" s="141" t="str">
        <f t="shared" si="1"/>
        <v>7-2025</v>
      </c>
      <c r="D613" s="54">
        <f t="shared" ref="D613:D615" si="91">E612</f>
        <v>6179</v>
      </c>
      <c r="E613" s="138">
        <v>6190.0</v>
      </c>
      <c r="F613" s="54">
        <f t="shared" si="33"/>
        <v>11</v>
      </c>
      <c r="G613" s="54">
        <f t="shared" si="37"/>
        <v>1</v>
      </c>
    </row>
    <row r="614" ht="14.25" customHeight="1">
      <c r="B614" s="140">
        <v>45841.0</v>
      </c>
      <c r="C614" s="141" t="str">
        <f t="shared" si="1"/>
        <v>7-2025</v>
      </c>
      <c r="D614" s="54">
        <f t="shared" si="91"/>
        <v>6190</v>
      </c>
      <c r="E614" s="138">
        <v>6200.0</v>
      </c>
      <c r="F614" s="54">
        <f t="shared" si="33"/>
        <v>10</v>
      </c>
      <c r="G614" s="54">
        <f t="shared" si="37"/>
        <v>0</v>
      </c>
    </row>
    <row r="615" ht="14.25" customHeight="1">
      <c r="B615" s="140">
        <v>45842.0</v>
      </c>
      <c r="C615" s="141" t="str">
        <f t="shared" si="1"/>
        <v>7-2025</v>
      </c>
      <c r="D615" s="54">
        <f t="shared" si="91"/>
        <v>6200</v>
      </c>
      <c r="E615" s="138">
        <v>6211.0</v>
      </c>
      <c r="F615" s="54">
        <f t="shared" si="33"/>
        <v>11</v>
      </c>
      <c r="G615" s="54">
        <f t="shared" si="37"/>
        <v>1</v>
      </c>
    </row>
    <row r="616" ht="14.25" customHeight="1">
      <c r="B616" s="145">
        <v>45843.0</v>
      </c>
      <c r="C616" s="141" t="str">
        <f t="shared" si="1"/>
        <v>7-2025</v>
      </c>
      <c r="D616" s="54"/>
      <c r="E616" s="54"/>
      <c r="F616" s="54">
        <f t="shared" si="33"/>
        <v>0</v>
      </c>
      <c r="G616" s="54">
        <f t="shared" si="37"/>
        <v>-10</v>
      </c>
    </row>
    <row r="617" ht="14.25" customHeight="1">
      <c r="B617" s="145">
        <v>45844.0</v>
      </c>
      <c r="C617" s="141" t="str">
        <f t="shared" si="1"/>
        <v>7-2025</v>
      </c>
      <c r="D617" s="54" t="str">
        <f>E616</f>
        <v/>
      </c>
      <c r="E617" s="54"/>
      <c r="F617" s="54">
        <f t="shared" si="33"/>
        <v>0</v>
      </c>
      <c r="G617" s="54">
        <f t="shared" si="37"/>
        <v>-10</v>
      </c>
    </row>
    <row r="618" ht="14.25" customHeight="1">
      <c r="B618" s="140">
        <v>45845.0</v>
      </c>
      <c r="C618" s="141" t="str">
        <f t="shared" si="1"/>
        <v>7-2025</v>
      </c>
      <c r="D618" s="138">
        <v>6211.0</v>
      </c>
      <c r="E618" s="138">
        <v>6220.0</v>
      </c>
      <c r="F618" s="54">
        <f t="shared" si="33"/>
        <v>9</v>
      </c>
      <c r="G618" s="54">
        <f t="shared" si="37"/>
        <v>-1</v>
      </c>
    </row>
    <row r="619" ht="14.25" customHeight="1">
      <c r="B619" s="140">
        <v>45846.0</v>
      </c>
      <c r="C619" s="141" t="str">
        <f t="shared" si="1"/>
        <v>7-2025</v>
      </c>
      <c r="D619" s="54">
        <f t="shared" ref="D619:D622" si="92">E618</f>
        <v>6220</v>
      </c>
      <c r="E619" s="138">
        <v>6231.0</v>
      </c>
      <c r="F619" s="54">
        <f t="shared" si="33"/>
        <v>11</v>
      </c>
      <c r="G619" s="54">
        <f t="shared" si="37"/>
        <v>1</v>
      </c>
    </row>
    <row r="620" ht="14.25" customHeight="1">
      <c r="B620" s="140">
        <v>45847.0</v>
      </c>
      <c r="C620" s="141" t="str">
        <f t="shared" si="1"/>
        <v>7-2025</v>
      </c>
      <c r="D620" s="54">
        <f t="shared" si="92"/>
        <v>6231</v>
      </c>
      <c r="E620" s="138">
        <v>6242.0</v>
      </c>
      <c r="F620" s="54">
        <f t="shared" si="33"/>
        <v>11</v>
      </c>
      <c r="G620" s="54">
        <f t="shared" si="37"/>
        <v>1</v>
      </c>
    </row>
    <row r="621" ht="14.25" customHeight="1">
      <c r="B621" s="140">
        <v>45848.0</v>
      </c>
      <c r="C621" s="141" t="str">
        <f t="shared" si="1"/>
        <v>7-2025</v>
      </c>
      <c r="D621" s="54">
        <f t="shared" si="92"/>
        <v>6242</v>
      </c>
      <c r="E621" s="138">
        <v>6253.1</v>
      </c>
      <c r="F621" s="54">
        <f t="shared" si="33"/>
        <v>11.1</v>
      </c>
      <c r="G621" s="54">
        <f t="shared" si="37"/>
        <v>1.1</v>
      </c>
    </row>
    <row r="622" ht="14.25" customHeight="1">
      <c r="B622" s="140">
        <v>45849.0</v>
      </c>
      <c r="C622" s="141" t="str">
        <f t="shared" si="1"/>
        <v>7-2025</v>
      </c>
      <c r="D622" s="54">
        <f t="shared" si="92"/>
        <v>6253.1</v>
      </c>
      <c r="E622" s="138">
        <v>6263.3</v>
      </c>
      <c r="F622" s="54">
        <f t="shared" si="33"/>
        <v>10.2</v>
      </c>
      <c r="G622" s="54">
        <f t="shared" si="37"/>
        <v>0.2</v>
      </c>
      <c r="H622" s="28" t="s">
        <v>118</v>
      </c>
    </row>
    <row r="623" ht="14.25" customHeight="1">
      <c r="B623" s="145">
        <v>45850.0</v>
      </c>
      <c r="C623" s="141" t="str">
        <f t="shared" si="1"/>
        <v>7-2025</v>
      </c>
      <c r="D623" s="54"/>
      <c r="E623" s="54"/>
      <c r="F623" s="54">
        <f t="shared" si="33"/>
        <v>0</v>
      </c>
      <c r="G623" s="54">
        <f t="shared" si="37"/>
        <v>-10</v>
      </c>
    </row>
    <row r="624" ht="14.25" customHeight="1">
      <c r="B624" s="145">
        <v>45851.0</v>
      </c>
      <c r="C624" s="141" t="str">
        <f t="shared" si="1"/>
        <v>7-2025</v>
      </c>
      <c r="D624" s="54" t="str">
        <f>E623</f>
        <v/>
      </c>
      <c r="E624" s="54"/>
      <c r="F624" s="54">
        <f t="shared" si="33"/>
        <v>0</v>
      </c>
      <c r="G624" s="54">
        <f t="shared" si="37"/>
        <v>-10</v>
      </c>
    </row>
    <row r="625" ht="14.25" customHeight="1">
      <c r="B625" s="140">
        <v>45852.0</v>
      </c>
      <c r="C625" s="141" t="str">
        <f t="shared" si="1"/>
        <v>7-2025</v>
      </c>
      <c r="D625" s="138">
        <v>6263.3</v>
      </c>
      <c r="E625" s="138">
        <v>6277.0</v>
      </c>
      <c r="F625" s="54">
        <f t="shared" si="33"/>
        <v>13.7</v>
      </c>
      <c r="G625" s="54">
        <f t="shared" si="37"/>
        <v>3.7</v>
      </c>
    </row>
    <row r="626" ht="14.25" customHeight="1">
      <c r="B626" s="140">
        <v>45853.0</v>
      </c>
      <c r="C626" s="141" t="str">
        <f t="shared" si="1"/>
        <v>7-2025</v>
      </c>
      <c r="D626" s="54">
        <f t="shared" ref="D626:D630" si="93">E625</f>
        <v>6277</v>
      </c>
      <c r="E626" s="138">
        <v>6281.0</v>
      </c>
      <c r="F626" s="54">
        <f t="shared" si="33"/>
        <v>4</v>
      </c>
      <c r="G626" s="54">
        <f t="shared" si="37"/>
        <v>-6</v>
      </c>
    </row>
    <row r="627" ht="14.25" customHeight="1">
      <c r="B627" s="140">
        <v>45854.0</v>
      </c>
      <c r="C627" s="141" t="str">
        <f t="shared" si="1"/>
        <v>7-2025</v>
      </c>
      <c r="D627" s="54">
        <f t="shared" si="93"/>
        <v>6281</v>
      </c>
      <c r="E627" s="138">
        <v>6298.0</v>
      </c>
      <c r="F627" s="54">
        <f t="shared" si="33"/>
        <v>17</v>
      </c>
      <c r="G627" s="54">
        <f t="shared" si="37"/>
        <v>7</v>
      </c>
    </row>
    <row r="628" ht="14.25" customHeight="1">
      <c r="B628" s="140">
        <v>45855.0</v>
      </c>
      <c r="C628" s="141" t="str">
        <f t="shared" si="1"/>
        <v>7-2025</v>
      </c>
      <c r="D628" s="54">
        <f t="shared" si="93"/>
        <v>6298</v>
      </c>
      <c r="E628" s="138">
        <v>6306.0</v>
      </c>
      <c r="F628" s="54">
        <f t="shared" si="33"/>
        <v>8</v>
      </c>
      <c r="G628" s="54">
        <f t="shared" si="37"/>
        <v>-2</v>
      </c>
    </row>
    <row r="629" ht="14.25" customHeight="1">
      <c r="B629" s="140">
        <v>45856.0</v>
      </c>
      <c r="C629" s="141" t="str">
        <f t="shared" si="1"/>
        <v>7-2025</v>
      </c>
      <c r="D629" s="54">
        <f t="shared" si="93"/>
        <v>6306</v>
      </c>
      <c r="E629" s="138">
        <v>6313.0</v>
      </c>
      <c r="F629" s="54">
        <f t="shared" si="33"/>
        <v>7</v>
      </c>
      <c r="G629" s="54">
        <f t="shared" si="37"/>
        <v>-3</v>
      </c>
    </row>
    <row r="630" ht="14.25" customHeight="1">
      <c r="B630" s="145">
        <v>45857.0</v>
      </c>
      <c r="C630" s="141" t="str">
        <f t="shared" si="1"/>
        <v>7-2025</v>
      </c>
      <c r="D630" s="54">
        <f t="shared" si="93"/>
        <v>6313</v>
      </c>
      <c r="E630" s="138">
        <v>6322.0</v>
      </c>
      <c r="F630" s="54">
        <f t="shared" si="33"/>
        <v>9</v>
      </c>
      <c r="G630" s="54">
        <f t="shared" si="37"/>
        <v>-1</v>
      </c>
    </row>
    <row r="631" ht="14.25" customHeight="1">
      <c r="B631" s="145">
        <v>45858.0</v>
      </c>
      <c r="C631" s="141" t="str">
        <f t="shared" si="1"/>
        <v>7-2025</v>
      </c>
      <c r="D631" s="54"/>
      <c r="E631" s="54"/>
      <c r="F631" s="54">
        <f t="shared" si="33"/>
        <v>0</v>
      </c>
      <c r="G631" s="54">
        <f t="shared" si="37"/>
        <v>-10</v>
      </c>
    </row>
    <row r="632" ht="14.25" customHeight="1">
      <c r="B632" s="140">
        <v>45859.0</v>
      </c>
      <c r="C632" s="141" t="str">
        <f t="shared" si="1"/>
        <v>7-2025</v>
      </c>
      <c r="D632" s="138">
        <v>6322.0</v>
      </c>
      <c r="E632" s="138">
        <v>6331.0</v>
      </c>
      <c r="F632" s="54">
        <f t="shared" si="33"/>
        <v>9</v>
      </c>
      <c r="G632" s="54">
        <f t="shared" si="37"/>
        <v>-1</v>
      </c>
    </row>
    <row r="633" ht="14.25" customHeight="1">
      <c r="B633" s="140">
        <v>45860.0</v>
      </c>
      <c r="C633" s="141" t="str">
        <f t="shared" si="1"/>
        <v>7-2025</v>
      </c>
      <c r="D633" s="54"/>
      <c r="E633" s="54"/>
      <c r="F633" s="54">
        <f t="shared" si="33"/>
        <v>0</v>
      </c>
      <c r="G633" s="54">
        <f t="shared" si="37"/>
        <v>-10</v>
      </c>
      <c r="H633" s="28" t="s">
        <v>119</v>
      </c>
    </row>
    <row r="634" ht="14.25" customHeight="1">
      <c r="B634" s="140">
        <v>45861.0</v>
      </c>
      <c r="C634" s="141" t="str">
        <f t="shared" si="1"/>
        <v>7-2025</v>
      </c>
      <c r="D634" s="138">
        <v>6331.0</v>
      </c>
      <c r="E634" s="138">
        <v>6341.0</v>
      </c>
      <c r="F634" s="54">
        <f t="shared" si="33"/>
        <v>10</v>
      </c>
      <c r="G634" s="54">
        <f t="shared" si="37"/>
        <v>0</v>
      </c>
    </row>
    <row r="635" ht="14.25" customHeight="1">
      <c r="B635" s="140">
        <v>45862.0</v>
      </c>
      <c r="C635" s="141" t="str">
        <f t="shared" si="1"/>
        <v>7-2025</v>
      </c>
      <c r="D635" s="54">
        <f t="shared" ref="D635:D640" si="94">E634</f>
        <v>6341</v>
      </c>
      <c r="E635" s="138">
        <v>6353.0</v>
      </c>
      <c r="F635" s="54">
        <f t="shared" si="33"/>
        <v>12</v>
      </c>
      <c r="G635" s="54">
        <f t="shared" si="37"/>
        <v>2</v>
      </c>
    </row>
    <row r="636" ht="14.25" customHeight="1">
      <c r="B636" s="140">
        <v>45863.0</v>
      </c>
      <c r="C636" s="141" t="str">
        <f t="shared" si="1"/>
        <v>7-2025</v>
      </c>
      <c r="D636" s="54">
        <f t="shared" si="94"/>
        <v>6353</v>
      </c>
      <c r="E636" s="138">
        <v>6364.0</v>
      </c>
      <c r="F636" s="54">
        <f t="shared" si="33"/>
        <v>11</v>
      </c>
      <c r="G636" s="54">
        <f t="shared" si="37"/>
        <v>1</v>
      </c>
    </row>
    <row r="637" ht="14.25" customHeight="1">
      <c r="B637" s="145">
        <v>45864.0</v>
      </c>
      <c r="C637" s="141" t="str">
        <f t="shared" si="1"/>
        <v>7-2025</v>
      </c>
      <c r="D637" s="54">
        <f t="shared" si="94"/>
        <v>6364</v>
      </c>
      <c r="E637" s="138">
        <v>6375.0</v>
      </c>
      <c r="F637" s="54">
        <f t="shared" si="33"/>
        <v>11</v>
      </c>
      <c r="G637" s="54">
        <f t="shared" si="37"/>
        <v>1</v>
      </c>
    </row>
    <row r="638" ht="14.25" customHeight="1">
      <c r="B638" s="145">
        <v>45865.0</v>
      </c>
      <c r="C638" s="141" t="str">
        <f t="shared" si="1"/>
        <v>7-2025</v>
      </c>
      <c r="D638" s="54">
        <f t="shared" si="94"/>
        <v>6375</v>
      </c>
      <c r="E638" s="138">
        <v>6382.0</v>
      </c>
      <c r="F638" s="54">
        <f t="shared" si="33"/>
        <v>7</v>
      </c>
      <c r="G638" s="54">
        <f t="shared" si="37"/>
        <v>-3</v>
      </c>
    </row>
    <row r="639" ht="14.25" customHeight="1">
      <c r="B639" s="140">
        <v>45866.0</v>
      </c>
      <c r="C639" s="141" t="str">
        <f t="shared" si="1"/>
        <v>7-2025</v>
      </c>
      <c r="D639" s="54">
        <f t="shared" si="94"/>
        <v>6382</v>
      </c>
      <c r="E639" s="138">
        <v>6393.0</v>
      </c>
      <c r="F639" s="54">
        <f t="shared" si="33"/>
        <v>11</v>
      </c>
      <c r="G639" s="54">
        <f t="shared" si="37"/>
        <v>1</v>
      </c>
    </row>
    <row r="640" ht="14.25" customHeight="1">
      <c r="B640" s="140">
        <v>45867.0</v>
      </c>
      <c r="C640" s="141" t="str">
        <f t="shared" si="1"/>
        <v>7-2025</v>
      </c>
      <c r="D640" s="54">
        <f t="shared" si="94"/>
        <v>6393</v>
      </c>
      <c r="E640" s="138">
        <v>6403.0</v>
      </c>
      <c r="F640" s="54">
        <f t="shared" si="33"/>
        <v>10</v>
      </c>
      <c r="G640" s="54">
        <f t="shared" si="37"/>
        <v>0</v>
      </c>
    </row>
    <row r="641" ht="14.25" customHeight="1">
      <c r="B641" s="140">
        <v>45868.0</v>
      </c>
      <c r="C641" s="141" t="str">
        <f t="shared" si="1"/>
        <v>7-2025</v>
      </c>
      <c r="D641" s="54"/>
      <c r="E641" s="54"/>
      <c r="F641" s="54">
        <f t="shared" si="33"/>
        <v>0</v>
      </c>
      <c r="G641" s="54">
        <f t="shared" si="37"/>
        <v>-10</v>
      </c>
    </row>
    <row r="642" ht="14.25" customHeight="1">
      <c r="B642" s="140">
        <v>45869.0</v>
      </c>
      <c r="C642" s="141" t="str">
        <f t="shared" si="1"/>
        <v>7-2025</v>
      </c>
      <c r="D642" s="138">
        <v>6403.0</v>
      </c>
      <c r="E642" s="138">
        <v>6413.0</v>
      </c>
      <c r="F642" s="54">
        <f t="shared" si="33"/>
        <v>10</v>
      </c>
      <c r="G642" s="54">
        <f t="shared" si="37"/>
        <v>0</v>
      </c>
    </row>
    <row r="643" ht="14.25" customHeight="1">
      <c r="B643" s="140">
        <v>45870.0</v>
      </c>
      <c r="C643" s="141" t="str">
        <f t="shared" si="1"/>
        <v>8-2025</v>
      </c>
      <c r="D643" s="138">
        <v>6413.0</v>
      </c>
      <c r="E643" s="138">
        <v>6422.0</v>
      </c>
      <c r="F643" s="54">
        <f t="shared" si="33"/>
        <v>9</v>
      </c>
      <c r="G643" s="54">
        <f t="shared" si="37"/>
        <v>-1</v>
      </c>
    </row>
    <row r="644" ht="14.25" customHeight="1">
      <c r="B644" s="145">
        <v>45871.0</v>
      </c>
      <c r="C644" s="141" t="str">
        <f t="shared" si="1"/>
        <v>8-2025</v>
      </c>
      <c r="D644" s="54"/>
      <c r="E644" s="54"/>
      <c r="F644" s="138">
        <v>9.0</v>
      </c>
      <c r="G644" s="54">
        <f t="shared" si="37"/>
        <v>-1</v>
      </c>
      <c r="H644" s="28" t="s">
        <v>120</v>
      </c>
    </row>
    <row r="645" ht="14.25" customHeight="1">
      <c r="B645" s="145">
        <v>45872.0</v>
      </c>
      <c r="C645" s="141" t="str">
        <f t="shared" si="1"/>
        <v>8-2025</v>
      </c>
      <c r="D645" s="54" t="str">
        <f>E644</f>
        <v/>
      </c>
      <c r="E645" s="54"/>
      <c r="F645" s="54">
        <f t="shared" ref="F645:F865" si="95">E645-D645</f>
        <v>0</v>
      </c>
      <c r="G645" s="54">
        <f t="shared" si="37"/>
        <v>-10</v>
      </c>
    </row>
    <row r="646" ht="14.25" customHeight="1">
      <c r="B646" s="140">
        <v>45873.0</v>
      </c>
      <c r="C646" s="141" t="str">
        <f t="shared" si="1"/>
        <v>8-2025</v>
      </c>
      <c r="D646" s="138">
        <v>6422.0</v>
      </c>
      <c r="E646" s="138">
        <v>6433.0</v>
      </c>
      <c r="F646" s="54">
        <f t="shared" si="95"/>
        <v>11</v>
      </c>
      <c r="G646" s="54">
        <f t="shared" si="37"/>
        <v>1</v>
      </c>
    </row>
    <row r="647" ht="14.25" customHeight="1">
      <c r="B647" s="140">
        <v>45874.0</v>
      </c>
      <c r="C647" s="141" t="str">
        <f t="shared" si="1"/>
        <v>8-2025</v>
      </c>
      <c r="D647" s="54">
        <f t="shared" ref="D647:D648" si="96">E646</f>
        <v>6433</v>
      </c>
      <c r="E647" s="138">
        <v>6444.0</v>
      </c>
      <c r="F647" s="54">
        <f t="shared" si="95"/>
        <v>11</v>
      </c>
      <c r="G647" s="54">
        <f t="shared" si="37"/>
        <v>1</v>
      </c>
    </row>
    <row r="648" ht="14.25" customHeight="1">
      <c r="B648" s="140">
        <v>45875.0</v>
      </c>
      <c r="C648" s="141" t="str">
        <f t="shared" si="1"/>
        <v>8-2025</v>
      </c>
      <c r="D648" s="54">
        <f t="shared" si="96"/>
        <v>6444</v>
      </c>
      <c r="E648" s="138">
        <v>6444.8</v>
      </c>
      <c r="F648" s="54">
        <f t="shared" si="95"/>
        <v>0.8</v>
      </c>
      <c r="G648" s="54">
        <f t="shared" si="37"/>
        <v>-9.2</v>
      </c>
    </row>
    <row r="649" ht="14.25" customHeight="1">
      <c r="B649" s="140">
        <v>45876.0</v>
      </c>
      <c r="C649" s="141" t="str">
        <f t="shared" si="1"/>
        <v>8-2025</v>
      </c>
      <c r="D649" s="54"/>
      <c r="E649" s="54"/>
      <c r="F649" s="54">
        <f t="shared" si="95"/>
        <v>0</v>
      </c>
      <c r="G649" s="54">
        <f t="shared" si="37"/>
        <v>-10</v>
      </c>
    </row>
    <row r="650" ht="14.25" customHeight="1">
      <c r="B650" s="140">
        <v>45877.0</v>
      </c>
      <c r="C650" s="141" t="str">
        <f t="shared" si="1"/>
        <v>8-2025</v>
      </c>
      <c r="D650" s="54" t="str">
        <f t="shared" ref="D650:D659" si="97">E649</f>
        <v/>
      </c>
      <c r="E650" s="54"/>
      <c r="F650" s="54">
        <f t="shared" si="95"/>
        <v>0</v>
      </c>
      <c r="G650" s="54">
        <f t="shared" si="37"/>
        <v>-10</v>
      </c>
    </row>
    <row r="651" ht="14.25" customHeight="1">
      <c r="B651" s="145">
        <v>45878.0</v>
      </c>
      <c r="C651" s="141" t="str">
        <f t="shared" si="1"/>
        <v>8-2025</v>
      </c>
      <c r="D651" s="54" t="str">
        <f t="shared" si="97"/>
        <v/>
      </c>
      <c r="E651" s="54"/>
      <c r="F651" s="54">
        <f t="shared" si="95"/>
        <v>0</v>
      </c>
      <c r="G651" s="54">
        <f t="shared" si="37"/>
        <v>-10</v>
      </c>
    </row>
    <row r="652" ht="14.25" customHeight="1">
      <c r="B652" s="145">
        <v>45879.0</v>
      </c>
      <c r="C652" s="141" t="str">
        <f t="shared" si="1"/>
        <v>8-2025</v>
      </c>
      <c r="D652" s="54" t="str">
        <f t="shared" si="97"/>
        <v/>
      </c>
      <c r="E652" s="54"/>
      <c r="F652" s="54">
        <f t="shared" si="95"/>
        <v>0</v>
      </c>
      <c r="G652" s="54">
        <f t="shared" si="37"/>
        <v>-10</v>
      </c>
    </row>
    <row r="653" ht="14.25" customHeight="1">
      <c r="B653" s="140">
        <v>45880.0</v>
      </c>
      <c r="C653" s="141" t="str">
        <f t="shared" si="1"/>
        <v>8-2025</v>
      </c>
      <c r="D653" s="54" t="str">
        <f t="shared" si="97"/>
        <v/>
      </c>
      <c r="E653" s="54"/>
      <c r="F653" s="54">
        <f t="shared" si="95"/>
        <v>0</v>
      </c>
      <c r="G653" s="54">
        <f t="shared" si="37"/>
        <v>-10</v>
      </c>
    </row>
    <row r="654" ht="14.25" customHeight="1">
      <c r="B654" s="140">
        <v>45881.0</v>
      </c>
      <c r="C654" s="141" t="str">
        <f t="shared" si="1"/>
        <v>8-2025</v>
      </c>
      <c r="D654" s="54" t="str">
        <f t="shared" si="97"/>
        <v/>
      </c>
      <c r="E654" s="54"/>
      <c r="F654" s="54">
        <f t="shared" si="95"/>
        <v>0</v>
      </c>
      <c r="G654" s="54">
        <f t="shared" si="37"/>
        <v>-10</v>
      </c>
    </row>
    <row r="655" ht="14.25" customHeight="1">
      <c r="B655" s="140">
        <v>45882.0</v>
      </c>
      <c r="C655" s="141" t="str">
        <f t="shared" si="1"/>
        <v>8-2025</v>
      </c>
      <c r="D655" s="54" t="str">
        <f t="shared" si="97"/>
        <v/>
      </c>
      <c r="E655" s="54"/>
      <c r="F655" s="54">
        <f t="shared" si="95"/>
        <v>0</v>
      </c>
      <c r="G655" s="54">
        <f t="shared" si="37"/>
        <v>-10</v>
      </c>
    </row>
    <row r="656" ht="14.25" customHeight="1">
      <c r="B656" s="140">
        <v>45883.0</v>
      </c>
      <c r="C656" s="141" t="str">
        <f t="shared" si="1"/>
        <v>8-2025</v>
      </c>
      <c r="D656" s="54" t="str">
        <f t="shared" si="97"/>
        <v/>
      </c>
      <c r="E656" s="54"/>
      <c r="F656" s="54">
        <f t="shared" si="95"/>
        <v>0</v>
      </c>
      <c r="G656" s="54">
        <f t="shared" si="37"/>
        <v>-10</v>
      </c>
    </row>
    <row r="657" ht="14.25" customHeight="1">
      <c r="B657" s="140">
        <v>45884.0</v>
      </c>
      <c r="C657" s="141" t="str">
        <f t="shared" si="1"/>
        <v>8-2025</v>
      </c>
      <c r="D657" s="54" t="str">
        <f t="shared" si="97"/>
        <v/>
      </c>
      <c r="E657" s="54"/>
      <c r="F657" s="54">
        <f t="shared" si="95"/>
        <v>0</v>
      </c>
      <c r="G657" s="54">
        <f t="shared" si="37"/>
        <v>-10</v>
      </c>
    </row>
    <row r="658" ht="14.25" customHeight="1">
      <c r="B658" s="145">
        <v>45885.0</v>
      </c>
      <c r="C658" s="141" t="str">
        <f t="shared" si="1"/>
        <v>8-2025</v>
      </c>
      <c r="D658" s="54" t="str">
        <f t="shared" si="97"/>
        <v/>
      </c>
      <c r="E658" s="54"/>
      <c r="F658" s="54">
        <f t="shared" si="95"/>
        <v>0</v>
      </c>
      <c r="G658" s="54">
        <f t="shared" si="37"/>
        <v>-10</v>
      </c>
    </row>
    <row r="659" ht="14.25" customHeight="1">
      <c r="B659" s="145">
        <v>45886.0</v>
      </c>
      <c r="C659" s="141" t="str">
        <f t="shared" si="1"/>
        <v>8-2025</v>
      </c>
      <c r="D659" s="54" t="str">
        <f t="shared" si="97"/>
        <v/>
      </c>
      <c r="E659" s="54"/>
      <c r="F659" s="54">
        <f t="shared" si="95"/>
        <v>0</v>
      </c>
      <c r="G659" s="54">
        <f t="shared" si="37"/>
        <v>-10</v>
      </c>
    </row>
    <row r="660" ht="14.25" customHeight="1">
      <c r="B660" s="140">
        <v>45887.0</v>
      </c>
      <c r="C660" s="141" t="str">
        <f t="shared" si="1"/>
        <v>8-2025</v>
      </c>
      <c r="D660" s="138">
        <v>6453.0</v>
      </c>
      <c r="E660" s="138">
        <v>6459.0</v>
      </c>
      <c r="F660" s="54">
        <f t="shared" si="95"/>
        <v>6</v>
      </c>
      <c r="G660" s="54">
        <f t="shared" si="37"/>
        <v>-4</v>
      </c>
    </row>
    <row r="661" ht="14.25" customHeight="1">
      <c r="B661" s="140">
        <v>45888.0</v>
      </c>
      <c r="C661" s="141" t="str">
        <f t="shared" si="1"/>
        <v>8-2025</v>
      </c>
      <c r="D661" s="54">
        <f t="shared" ref="D661:D672" si="98">E660</f>
        <v>6459</v>
      </c>
      <c r="E661" s="138">
        <v>6467.0</v>
      </c>
      <c r="F661" s="54">
        <f t="shared" si="95"/>
        <v>8</v>
      </c>
      <c r="G661" s="54">
        <f t="shared" si="37"/>
        <v>-2</v>
      </c>
    </row>
    <row r="662" ht="14.25" customHeight="1">
      <c r="B662" s="140">
        <v>45889.0</v>
      </c>
      <c r="C662" s="141" t="str">
        <f t="shared" si="1"/>
        <v>8-2025</v>
      </c>
      <c r="D662" s="54">
        <f t="shared" si="98"/>
        <v>6467</v>
      </c>
      <c r="E662" s="138">
        <v>6475.0</v>
      </c>
      <c r="F662" s="54">
        <f t="shared" si="95"/>
        <v>8</v>
      </c>
      <c r="G662" s="54">
        <f t="shared" si="37"/>
        <v>-2</v>
      </c>
    </row>
    <row r="663" ht="14.25" customHeight="1">
      <c r="B663" s="140">
        <v>45890.0</v>
      </c>
      <c r="C663" s="141" t="str">
        <f t="shared" si="1"/>
        <v>8-2025</v>
      </c>
      <c r="D663" s="54">
        <f t="shared" si="98"/>
        <v>6475</v>
      </c>
      <c r="E663" s="138">
        <v>6480.0</v>
      </c>
      <c r="F663" s="54">
        <f t="shared" si="95"/>
        <v>5</v>
      </c>
      <c r="G663" s="54">
        <f t="shared" si="37"/>
        <v>-5</v>
      </c>
    </row>
    <row r="664" ht="14.25" customHeight="1">
      <c r="B664" s="140">
        <v>45891.0</v>
      </c>
      <c r="C664" s="141" t="str">
        <f t="shared" si="1"/>
        <v>8-2025</v>
      </c>
      <c r="D664" s="54">
        <f t="shared" si="98"/>
        <v>6480</v>
      </c>
      <c r="E664" s="138">
        <v>6485.7</v>
      </c>
      <c r="F664" s="54">
        <f t="shared" si="95"/>
        <v>5.7</v>
      </c>
      <c r="G664" s="54">
        <f t="shared" si="37"/>
        <v>-4.3</v>
      </c>
    </row>
    <row r="665" ht="14.25" customHeight="1">
      <c r="B665" s="145">
        <v>45892.0</v>
      </c>
      <c r="C665" s="141" t="str">
        <f t="shared" si="1"/>
        <v>8-2025</v>
      </c>
      <c r="D665" s="54">
        <f t="shared" si="98"/>
        <v>6485.7</v>
      </c>
      <c r="E665" s="138">
        <v>6495.0</v>
      </c>
      <c r="F665" s="54">
        <f t="shared" si="95"/>
        <v>9.3</v>
      </c>
      <c r="G665" s="54">
        <f t="shared" si="37"/>
        <v>-0.7</v>
      </c>
    </row>
    <row r="666" ht="14.25" customHeight="1">
      <c r="B666" s="145">
        <v>45893.0</v>
      </c>
      <c r="C666" s="141" t="str">
        <f t="shared" si="1"/>
        <v>8-2025</v>
      </c>
      <c r="D666" s="54">
        <f t="shared" si="98"/>
        <v>6495</v>
      </c>
      <c r="E666" s="138">
        <v>6505.0</v>
      </c>
      <c r="F666" s="54">
        <f t="shared" si="95"/>
        <v>10</v>
      </c>
      <c r="G666" s="54">
        <f t="shared" si="37"/>
        <v>0</v>
      </c>
    </row>
    <row r="667" ht="14.25" customHeight="1">
      <c r="B667" s="140">
        <v>45894.0</v>
      </c>
      <c r="C667" s="141" t="str">
        <f t="shared" si="1"/>
        <v>8-2025</v>
      </c>
      <c r="D667" s="54">
        <f t="shared" si="98"/>
        <v>6505</v>
      </c>
      <c r="E667" s="138">
        <v>6516.0</v>
      </c>
      <c r="F667" s="54">
        <f t="shared" si="95"/>
        <v>11</v>
      </c>
      <c r="G667" s="54">
        <f t="shared" si="37"/>
        <v>1</v>
      </c>
    </row>
    <row r="668" ht="14.25" customHeight="1">
      <c r="B668" s="140">
        <v>45895.0</v>
      </c>
      <c r="C668" s="141" t="str">
        <f t="shared" si="1"/>
        <v>8-2025</v>
      </c>
      <c r="D668" s="54">
        <f t="shared" si="98"/>
        <v>6516</v>
      </c>
      <c r="E668" s="138">
        <v>6529.0</v>
      </c>
      <c r="F668" s="54">
        <f t="shared" si="95"/>
        <v>13</v>
      </c>
      <c r="G668" s="54">
        <f t="shared" si="37"/>
        <v>3</v>
      </c>
    </row>
    <row r="669" ht="14.25" customHeight="1">
      <c r="B669" s="140">
        <v>45896.0</v>
      </c>
      <c r="C669" s="141" t="str">
        <f t="shared" si="1"/>
        <v>8-2025</v>
      </c>
      <c r="D669" s="54">
        <f t="shared" si="98"/>
        <v>6529</v>
      </c>
      <c r="E669" s="138">
        <v>6540.0</v>
      </c>
      <c r="F669" s="54">
        <f t="shared" si="95"/>
        <v>11</v>
      </c>
      <c r="G669" s="54">
        <f t="shared" si="37"/>
        <v>1</v>
      </c>
    </row>
    <row r="670" ht="14.25" customHeight="1">
      <c r="B670" s="140">
        <v>45897.0</v>
      </c>
      <c r="C670" s="141" t="str">
        <f t="shared" si="1"/>
        <v>8-2025</v>
      </c>
      <c r="D670" s="54">
        <f t="shared" si="98"/>
        <v>6540</v>
      </c>
      <c r="E670" s="138">
        <v>6550.0</v>
      </c>
      <c r="F670" s="54">
        <f t="shared" si="95"/>
        <v>10</v>
      </c>
      <c r="G670" s="54">
        <f t="shared" si="37"/>
        <v>0</v>
      </c>
    </row>
    <row r="671" ht="14.25" customHeight="1">
      <c r="B671" s="140">
        <v>45898.0</v>
      </c>
      <c r="C671" s="141" t="str">
        <f t="shared" si="1"/>
        <v>8-2025</v>
      </c>
      <c r="D671" s="54">
        <f t="shared" si="98"/>
        <v>6550</v>
      </c>
      <c r="E671" s="138">
        <v>6560.0</v>
      </c>
      <c r="F671" s="54">
        <f t="shared" si="95"/>
        <v>10</v>
      </c>
      <c r="G671" s="54">
        <f t="shared" si="37"/>
        <v>0</v>
      </c>
    </row>
    <row r="672" ht="14.25" customHeight="1">
      <c r="B672" s="145">
        <v>45899.0</v>
      </c>
      <c r="C672" s="141" t="str">
        <f t="shared" si="1"/>
        <v>8-2025</v>
      </c>
      <c r="D672" s="54">
        <f t="shared" si="98"/>
        <v>6560</v>
      </c>
      <c r="E672" s="138">
        <v>6570.0</v>
      </c>
      <c r="F672" s="54">
        <f t="shared" si="95"/>
        <v>10</v>
      </c>
      <c r="G672" s="54">
        <f t="shared" si="37"/>
        <v>0</v>
      </c>
    </row>
    <row r="673" ht="14.25" customHeight="1">
      <c r="B673" s="145">
        <v>45900.0</v>
      </c>
      <c r="C673" s="141" t="str">
        <f t="shared" si="1"/>
        <v>8-2025</v>
      </c>
      <c r="D673" s="138"/>
      <c r="E673" s="138"/>
      <c r="F673" s="54">
        <f t="shared" si="95"/>
        <v>0</v>
      </c>
      <c r="G673" s="54">
        <f t="shared" si="37"/>
        <v>-10</v>
      </c>
    </row>
    <row r="674" ht="14.25" customHeight="1">
      <c r="B674" s="140">
        <v>45901.0</v>
      </c>
      <c r="C674" s="141" t="str">
        <f t="shared" si="1"/>
        <v>9-2025</v>
      </c>
      <c r="D674" s="138">
        <v>6570.0</v>
      </c>
      <c r="E674" s="138">
        <v>6581.0</v>
      </c>
      <c r="F674" s="54">
        <f t="shared" si="95"/>
        <v>11</v>
      </c>
      <c r="G674" s="54">
        <f t="shared" si="37"/>
        <v>1</v>
      </c>
    </row>
    <row r="675" ht="14.25" customHeight="1">
      <c r="B675" s="140">
        <v>45902.0</v>
      </c>
      <c r="C675" s="141" t="str">
        <f t="shared" si="1"/>
        <v>9-2025</v>
      </c>
      <c r="D675" s="54">
        <f t="shared" ref="D675:D679" si="99">E674</f>
        <v>6581</v>
      </c>
      <c r="E675" s="138">
        <v>6591.0</v>
      </c>
      <c r="F675" s="54">
        <f t="shared" si="95"/>
        <v>10</v>
      </c>
      <c r="G675" s="54">
        <f t="shared" si="37"/>
        <v>0</v>
      </c>
    </row>
    <row r="676" ht="14.25" customHeight="1">
      <c r="B676" s="140">
        <v>45903.0</v>
      </c>
      <c r="C676" s="141" t="str">
        <f t="shared" si="1"/>
        <v>9-2025</v>
      </c>
      <c r="D676" s="54">
        <f t="shared" si="99"/>
        <v>6591</v>
      </c>
      <c r="E676" s="138">
        <v>6602.0</v>
      </c>
      <c r="F676" s="54">
        <f t="shared" si="95"/>
        <v>11</v>
      </c>
      <c r="G676" s="54">
        <f t="shared" si="37"/>
        <v>1</v>
      </c>
    </row>
    <row r="677" ht="14.25" customHeight="1">
      <c r="B677" s="140">
        <v>45904.0</v>
      </c>
      <c r="C677" s="141" t="str">
        <f t="shared" si="1"/>
        <v>9-2025</v>
      </c>
      <c r="D677" s="54">
        <f t="shared" si="99"/>
        <v>6602</v>
      </c>
      <c r="E677" s="138">
        <v>6612.0</v>
      </c>
      <c r="F677" s="54">
        <f t="shared" si="95"/>
        <v>10</v>
      </c>
      <c r="G677" s="54">
        <f t="shared" si="37"/>
        <v>0</v>
      </c>
    </row>
    <row r="678" ht="14.25" customHeight="1">
      <c r="B678" s="140">
        <v>45905.0</v>
      </c>
      <c r="C678" s="141" t="str">
        <f t="shared" si="1"/>
        <v>9-2025</v>
      </c>
      <c r="D678" s="54">
        <f t="shared" si="99"/>
        <v>6612</v>
      </c>
      <c r="E678" s="138">
        <v>6623.0</v>
      </c>
      <c r="F678" s="54">
        <f t="shared" si="95"/>
        <v>11</v>
      </c>
      <c r="G678" s="54">
        <f t="shared" si="37"/>
        <v>1</v>
      </c>
    </row>
    <row r="679" ht="14.25" customHeight="1">
      <c r="B679" s="145">
        <v>45906.0</v>
      </c>
      <c r="C679" s="141" t="str">
        <f t="shared" si="1"/>
        <v>9-2025</v>
      </c>
      <c r="D679" s="54">
        <f t="shared" si="99"/>
        <v>6623</v>
      </c>
      <c r="E679" s="138">
        <v>6631.0</v>
      </c>
      <c r="F679" s="54">
        <f t="shared" si="95"/>
        <v>8</v>
      </c>
      <c r="G679" s="54">
        <f t="shared" si="37"/>
        <v>-2</v>
      </c>
    </row>
    <row r="680" ht="14.25" customHeight="1">
      <c r="B680" s="145">
        <v>45907.0</v>
      </c>
      <c r="C680" s="141" t="str">
        <f t="shared" si="1"/>
        <v>9-2025</v>
      </c>
      <c r="D680" s="54"/>
      <c r="E680" s="54"/>
      <c r="F680" s="54">
        <f t="shared" si="95"/>
        <v>0</v>
      </c>
      <c r="G680" s="54">
        <f t="shared" si="37"/>
        <v>-10</v>
      </c>
    </row>
    <row r="681" ht="14.25" customHeight="1">
      <c r="B681" s="140">
        <v>45908.0</v>
      </c>
      <c r="C681" s="141" t="str">
        <f t="shared" si="1"/>
        <v>9-2025</v>
      </c>
      <c r="D681" s="138">
        <v>6631.0</v>
      </c>
      <c r="E681" s="138">
        <v>6641.0</v>
      </c>
      <c r="F681" s="54">
        <f t="shared" si="95"/>
        <v>10</v>
      </c>
      <c r="G681" s="54">
        <f t="shared" si="37"/>
        <v>0</v>
      </c>
    </row>
    <row r="682" ht="14.25" customHeight="1">
      <c r="B682" s="140">
        <v>45909.0</v>
      </c>
      <c r="C682" s="141" t="str">
        <f t="shared" si="1"/>
        <v>9-2025</v>
      </c>
      <c r="D682" s="54">
        <f t="shared" ref="D682:D685" si="100">E681</f>
        <v>6641</v>
      </c>
      <c r="E682" s="138">
        <v>6652.0</v>
      </c>
      <c r="F682" s="54">
        <f t="shared" si="95"/>
        <v>11</v>
      </c>
      <c r="G682" s="54">
        <f t="shared" si="37"/>
        <v>1</v>
      </c>
    </row>
    <row r="683" ht="14.25" customHeight="1">
      <c r="B683" s="140">
        <v>45910.0</v>
      </c>
      <c r="C683" s="141" t="str">
        <f t="shared" si="1"/>
        <v>9-2025</v>
      </c>
      <c r="D683" s="54">
        <f t="shared" si="100"/>
        <v>6652</v>
      </c>
      <c r="E683" s="138">
        <v>6662.0</v>
      </c>
      <c r="F683" s="54">
        <f t="shared" si="95"/>
        <v>10</v>
      </c>
      <c r="G683" s="54">
        <f t="shared" si="37"/>
        <v>0</v>
      </c>
    </row>
    <row r="684" ht="14.25" customHeight="1">
      <c r="B684" s="140">
        <v>45911.0</v>
      </c>
      <c r="C684" s="141" t="str">
        <f t="shared" si="1"/>
        <v>9-2025</v>
      </c>
      <c r="D684" s="54">
        <f t="shared" si="100"/>
        <v>6662</v>
      </c>
      <c r="E684" s="138">
        <v>6673.0</v>
      </c>
      <c r="F684" s="54">
        <f t="shared" si="95"/>
        <v>11</v>
      </c>
      <c r="G684" s="54">
        <f t="shared" si="37"/>
        <v>1</v>
      </c>
    </row>
    <row r="685" ht="14.25" customHeight="1">
      <c r="B685" s="140">
        <v>45912.0</v>
      </c>
      <c r="C685" s="141" t="str">
        <f t="shared" si="1"/>
        <v>9-2025</v>
      </c>
      <c r="D685" s="54">
        <f t="shared" si="100"/>
        <v>6673</v>
      </c>
      <c r="E685" s="138">
        <v>6683.0</v>
      </c>
      <c r="F685" s="54">
        <f t="shared" si="95"/>
        <v>10</v>
      </c>
      <c r="G685" s="54">
        <f t="shared" si="37"/>
        <v>0</v>
      </c>
    </row>
    <row r="686" ht="14.25" customHeight="1">
      <c r="B686" s="145">
        <v>45913.0</v>
      </c>
      <c r="C686" s="141" t="str">
        <f t="shared" si="1"/>
        <v>9-2025</v>
      </c>
      <c r="D686" s="54"/>
      <c r="E686" s="54"/>
      <c r="F686" s="54">
        <f t="shared" si="95"/>
        <v>0</v>
      </c>
      <c r="G686" s="54">
        <f t="shared" si="37"/>
        <v>-10</v>
      </c>
    </row>
    <row r="687" ht="14.25" customHeight="1">
      <c r="B687" s="145">
        <v>45914.0</v>
      </c>
      <c r="C687" s="141" t="str">
        <f t="shared" si="1"/>
        <v>9-2025</v>
      </c>
      <c r="D687" s="54" t="str">
        <f>E686</f>
        <v/>
      </c>
      <c r="E687" s="54"/>
      <c r="F687" s="54">
        <f t="shared" si="95"/>
        <v>0</v>
      </c>
      <c r="G687" s="54">
        <f t="shared" si="37"/>
        <v>-10</v>
      </c>
    </row>
    <row r="688" ht="14.25" customHeight="1">
      <c r="B688" s="140">
        <v>45915.0</v>
      </c>
      <c r="C688" s="141" t="str">
        <f t="shared" si="1"/>
        <v>9-2025</v>
      </c>
      <c r="D688" s="138">
        <v>6683.0</v>
      </c>
      <c r="E688" s="138">
        <v>6692.0</v>
      </c>
      <c r="F688" s="54">
        <f t="shared" si="95"/>
        <v>9</v>
      </c>
      <c r="G688" s="54">
        <f t="shared" si="37"/>
        <v>-1</v>
      </c>
    </row>
    <row r="689" ht="14.25" customHeight="1">
      <c r="B689" s="140">
        <v>45916.0</v>
      </c>
      <c r="C689" s="141" t="str">
        <f t="shared" si="1"/>
        <v>9-2025</v>
      </c>
      <c r="D689" s="54">
        <f t="shared" ref="D689:D691" si="101">E688</f>
        <v>6692</v>
      </c>
      <c r="E689" s="138">
        <v>6701.0</v>
      </c>
      <c r="F689" s="54">
        <f t="shared" si="95"/>
        <v>9</v>
      </c>
      <c r="G689" s="54">
        <f t="shared" si="37"/>
        <v>-1</v>
      </c>
    </row>
    <row r="690" ht="14.25" customHeight="1">
      <c r="B690" s="140">
        <v>45917.0</v>
      </c>
      <c r="C690" s="141" t="str">
        <f t="shared" si="1"/>
        <v>9-2025</v>
      </c>
      <c r="D690" s="54">
        <f t="shared" si="101"/>
        <v>6701</v>
      </c>
      <c r="E690" s="138">
        <v>6713.0</v>
      </c>
      <c r="F690" s="54">
        <f t="shared" si="95"/>
        <v>12</v>
      </c>
      <c r="G690" s="54">
        <f t="shared" si="37"/>
        <v>2</v>
      </c>
    </row>
    <row r="691" ht="14.25" customHeight="1">
      <c r="B691" s="140">
        <v>45918.0</v>
      </c>
      <c r="C691" s="141" t="str">
        <f t="shared" si="1"/>
        <v>9-2025</v>
      </c>
      <c r="D691" s="54">
        <f t="shared" si="101"/>
        <v>6713</v>
      </c>
      <c r="E691" s="138">
        <v>6726.0</v>
      </c>
      <c r="F691" s="54">
        <f t="shared" si="95"/>
        <v>13</v>
      </c>
      <c r="G691" s="54">
        <f t="shared" si="37"/>
        <v>3</v>
      </c>
    </row>
    <row r="692" ht="14.25" customHeight="1">
      <c r="B692" s="140">
        <v>45919.0</v>
      </c>
      <c r="C692" s="141" t="str">
        <f t="shared" si="1"/>
        <v>9-2025</v>
      </c>
      <c r="D692" s="54"/>
      <c r="E692" s="54"/>
      <c r="F692" s="54">
        <f t="shared" si="95"/>
        <v>0</v>
      </c>
      <c r="G692" s="54">
        <f t="shared" si="37"/>
        <v>-10</v>
      </c>
    </row>
    <row r="693" ht="14.25" customHeight="1">
      <c r="B693" s="145">
        <v>45920.0</v>
      </c>
      <c r="C693" s="141" t="str">
        <f t="shared" si="1"/>
        <v>9-2025</v>
      </c>
      <c r="D693" s="138">
        <v>6726.0</v>
      </c>
      <c r="E693" s="138">
        <v>6738.0</v>
      </c>
      <c r="F693" s="54">
        <f t="shared" si="95"/>
        <v>12</v>
      </c>
      <c r="G693" s="54">
        <f t="shared" si="37"/>
        <v>2</v>
      </c>
    </row>
    <row r="694" ht="14.25" customHeight="1">
      <c r="B694" s="145">
        <v>45921.0</v>
      </c>
      <c r="C694" s="141" t="str">
        <f t="shared" si="1"/>
        <v>9-2025</v>
      </c>
      <c r="D694" s="54">
        <f t="shared" ref="D694:D700" si="102">E693</f>
        <v>6738</v>
      </c>
      <c r="E694" s="138">
        <v>6743.0</v>
      </c>
      <c r="F694" s="54">
        <f t="shared" si="95"/>
        <v>5</v>
      </c>
      <c r="G694" s="54">
        <f t="shared" si="37"/>
        <v>-5</v>
      </c>
    </row>
    <row r="695" ht="14.25" customHeight="1">
      <c r="B695" s="140">
        <v>45922.0</v>
      </c>
      <c r="C695" s="141" t="str">
        <f t="shared" si="1"/>
        <v>9-2025</v>
      </c>
      <c r="D695" s="54">
        <f t="shared" si="102"/>
        <v>6743</v>
      </c>
      <c r="E695" s="138">
        <v>6754.0</v>
      </c>
      <c r="F695" s="54">
        <f t="shared" si="95"/>
        <v>11</v>
      </c>
      <c r="G695" s="54">
        <f t="shared" si="37"/>
        <v>1</v>
      </c>
    </row>
    <row r="696" ht="14.25" customHeight="1">
      <c r="B696" s="140">
        <v>45923.0</v>
      </c>
      <c r="C696" s="141" t="str">
        <f t="shared" si="1"/>
        <v>9-2025</v>
      </c>
      <c r="D696" s="54">
        <f t="shared" si="102"/>
        <v>6754</v>
      </c>
      <c r="E696" s="138">
        <v>6765.0</v>
      </c>
      <c r="F696" s="54">
        <f t="shared" si="95"/>
        <v>11</v>
      </c>
      <c r="G696" s="54">
        <f t="shared" si="37"/>
        <v>1</v>
      </c>
    </row>
    <row r="697" ht="14.25" customHeight="1">
      <c r="B697" s="140">
        <v>45924.0</v>
      </c>
      <c r="C697" s="141" t="str">
        <f t="shared" si="1"/>
        <v>9-2025</v>
      </c>
      <c r="D697" s="54">
        <f t="shared" si="102"/>
        <v>6765</v>
      </c>
      <c r="E697" s="138">
        <v>6776.0</v>
      </c>
      <c r="F697" s="54">
        <f t="shared" si="95"/>
        <v>11</v>
      </c>
      <c r="G697" s="54">
        <f t="shared" si="37"/>
        <v>1</v>
      </c>
    </row>
    <row r="698" ht="14.25" customHeight="1">
      <c r="B698" s="140">
        <v>45925.0</v>
      </c>
      <c r="C698" s="141" t="str">
        <f t="shared" si="1"/>
        <v>9-2025</v>
      </c>
      <c r="D698" s="54">
        <f t="shared" si="102"/>
        <v>6776</v>
      </c>
      <c r="E698" s="138">
        <v>6787.0</v>
      </c>
      <c r="F698" s="54">
        <f t="shared" si="95"/>
        <v>11</v>
      </c>
      <c r="G698" s="54">
        <f t="shared" si="37"/>
        <v>1</v>
      </c>
    </row>
    <row r="699" ht="14.25" customHeight="1">
      <c r="B699" s="140">
        <v>45926.0</v>
      </c>
      <c r="C699" s="141" t="str">
        <f t="shared" si="1"/>
        <v>9-2025</v>
      </c>
      <c r="D699" s="54">
        <f t="shared" si="102"/>
        <v>6787</v>
      </c>
      <c r="E699" s="138">
        <v>6795.0</v>
      </c>
      <c r="F699" s="54">
        <f t="shared" si="95"/>
        <v>8</v>
      </c>
      <c r="G699" s="54">
        <f t="shared" si="37"/>
        <v>-2</v>
      </c>
    </row>
    <row r="700" ht="14.25" customHeight="1">
      <c r="B700" s="145">
        <v>45927.0</v>
      </c>
      <c r="C700" s="141" t="str">
        <f t="shared" si="1"/>
        <v>9-2025</v>
      </c>
      <c r="D700" s="54">
        <f t="shared" si="102"/>
        <v>6795</v>
      </c>
      <c r="E700" s="138">
        <v>6800.0</v>
      </c>
      <c r="F700" s="54">
        <f t="shared" si="95"/>
        <v>5</v>
      </c>
      <c r="G700" s="54">
        <f t="shared" si="37"/>
        <v>-5</v>
      </c>
    </row>
    <row r="701" ht="14.25" customHeight="1">
      <c r="B701" s="145">
        <v>45928.0</v>
      </c>
      <c r="C701" s="141" t="str">
        <f t="shared" si="1"/>
        <v>9-2025</v>
      </c>
      <c r="D701" s="54"/>
      <c r="E701" s="54"/>
      <c r="F701" s="54">
        <f t="shared" si="95"/>
        <v>0</v>
      </c>
      <c r="G701" s="54">
        <f t="shared" si="37"/>
        <v>-10</v>
      </c>
    </row>
    <row r="702" ht="14.25" customHeight="1">
      <c r="B702" s="140">
        <v>45929.0</v>
      </c>
      <c r="C702" s="141" t="str">
        <f t="shared" si="1"/>
        <v>9-2025</v>
      </c>
      <c r="D702" s="138">
        <v>6800.0</v>
      </c>
      <c r="E702" s="138">
        <v>6811.0</v>
      </c>
      <c r="F702" s="54">
        <f t="shared" si="95"/>
        <v>11</v>
      </c>
      <c r="G702" s="54">
        <f t="shared" si="37"/>
        <v>1</v>
      </c>
    </row>
    <row r="703" ht="14.25" customHeight="1">
      <c r="B703" s="140">
        <v>45930.0</v>
      </c>
      <c r="C703" s="141" t="str">
        <f t="shared" si="1"/>
        <v>9-2025</v>
      </c>
      <c r="D703" s="54">
        <f>E702</f>
        <v>6811</v>
      </c>
      <c r="E703" s="138">
        <v>6822.0</v>
      </c>
      <c r="F703" s="54">
        <f t="shared" si="95"/>
        <v>11</v>
      </c>
      <c r="G703" s="54">
        <f t="shared" si="37"/>
        <v>1</v>
      </c>
    </row>
    <row r="704" ht="14.25" customHeight="1">
      <c r="B704" s="140">
        <v>45931.0</v>
      </c>
      <c r="C704" s="141" t="str">
        <f t="shared" si="1"/>
        <v>10-2025</v>
      </c>
      <c r="D704" s="138">
        <v>6822.0</v>
      </c>
      <c r="E704" s="138">
        <v>6831.7</v>
      </c>
      <c r="F704" s="54">
        <f t="shared" si="95"/>
        <v>9.7</v>
      </c>
      <c r="G704" s="54">
        <f t="shared" si="37"/>
        <v>-0.3</v>
      </c>
    </row>
    <row r="705" ht="14.25" customHeight="1">
      <c r="B705" s="140">
        <v>45932.0</v>
      </c>
      <c r="C705" s="141" t="str">
        <f t="shared" si="1"/>
        <v>10-2025</v>
      </c>
      <c r="D705" s="54">
        <f t="shared" ref="D705:D706" si="103">E704</f>
        <v>6831.7</v>
      </c>
      <c r="E705" s="138">
        <v>6839.0</v>
      </c>
      <c r="F705" s="54">
        <f t="shared" si="95"/>
        <v>7.3</v>
      </c>
      <c r="G705" s="54">
        <f t="shared" si="37"/>
        <v>-2.7</v>
      </c>
    </row>
    <row r="706" ht="14.25" customHeight="1">
      <c r="B706" s="140">
        <v>45933.0</v>
      </c>
      <c r="C706" s="141" t="str">
        <f t="shared" si="1"/>
        <v>10-2025</v>
      </c>
      <c r="D706" s="54">
        <f t="shared" si="103"/>
        <v>6839</v>
      </c>
      <c r="E706" s="138">
        <v>6840.1</v>
      </c>
      <c r="F706" s="54">
        <f t="shared" si="95"/>
        <v>1.1</v>
      </c>
      <c r="G706" s="54">
        <f t="shared" si="37"/>
        <v>-8.9</v>
      </c>
    </row>
    <row r="707" ht="14.25" customHeight="1">
      <c r="B707" s="140">
        <v>45934.0</v>
      </c>
      <c r="C707" s="141" t="str">
        <f t="shared" si="1"/>
        <v>10-2025</v>
      </c>
      <c r="D707" s="54"/>
      <c r="E707" s="54"/>
      <c r="F707" s="54">
        <f t="shared" si="95"/>
        <v>0</v>
      </c>
      <c r="G707" s="54">
        <f t="shared" si="37"/>
        <v>-10</v>
      </c>
    </row>
    <row r="708" ht="14.25" customHeight="1">
      <c r="B708" s="140">
        <v>45935.0</v>
      </c>
      <c r="C708" s="141" t="str">
        <f t="shared" si="1"/>
        <v>10-2025</v>
      </c>
      <c r="D708" s="54" t="str">
        <f>E707</f>
        <v/>
      </c>
      <c r="E708" s="54"/>
      <c r="F708" s="54">
        <f t="shared" si="95"/>
        <v>0</v>
      </c>
      <c r="G708" s="54">
        <f t="shared" si="37"/>
        <v>-10</v>
      </c>
    </row>
    <row r="709" ht="14.25" customHeight="1">
      <c r="B709" s="140">
        <v>45936.0</v>
      </c>
      <c r="C709" s="141" t="str">
        <f t="shared" si="1"/>
        <v>10-2025</v>
      </c>
      <c r="D709" s="138">
        <v>6840.1</v>
      </c>
      <c r="E709" s="138">
        <v>6842.0</v>
      </c>
      <c r="F709" s="54">
        <f t="shared" si="95"/>
        <v>1.9</v>
      </c>
      <c r="G709" s="54">
        <f t="shared" si="37"/>
        <v>-8.1</v>
      </c>
    </row>
    <row r="710" ht="14.25" customHeight="1">
      <c r="B710" s="140">
        <v>45937.0</v>
      </c>
      <c r="C710" s="141" t="str">
        <f t="shared" si="1"/>
        <v>10-2025</v>
      </c>
      <c r="D710" s="54">
        <f t="shared" ref="D710:D713" si="104">E709</f>
        <v>6842</v>
      </c>
      <c r="E710" s="138">
        <v>6849.0</v>
      </c>
      <c r="F710" s="54">
        <f t="shared" si="95"/>
        <v>7</v>
      </c>
      <c r="G710" s="54">
        <f t="shared" si="37"/>
        <v>-3</v>
      </c>
    </row>
    <row r="711" ht="14.25" customHeight="1">
      <c r="B711" s="140">
        <v>45938.0</v>
      </c>
      <c r="C711" s="141" t="str">
        <f t="shared" si="1"/>
        <v>10-2025</v>
      </c>
      <c r="D711" s="54">
        <f t="shared" si="104"/>
        <v>6849</v>
      </c>
      <c r="E711" s="138">
        <v>6858.0</v>
      </c>
      <c r="F711" s="54">
        <f t="shared" si="95"/>
        <v>9</v>
      </c>
      <c r="G711" s="54">
        <f t="shared" si="37"/>
        <v>-1</v>
      </c>
    </row>
    <row r="712" ht="14.25" customHeight="1">
      <c r="B712" s="140">
        <v>45939.0</v>
      </c>
      <c r="C712" s="141" t="str">
        <f t="shared" si="1"/>
        <v>10-2025</v>
      </c>
      <c r="D712" s="54">
        <f t="shared" si="104"/>
        <v>6858</v>
      </c>
      <c r="E712" s="138">
        <v>6868.0</v>
      </c>
      <c r="F712" s="54">
        <f t="shared" si="95"/>
        <v>10</v>
      </c>
      <c r="G712" s="54">
        <f t="shared" si="37"/>
        <v>0</v>
      </c>
    </row>
    <row r="713" ht="14.25" customHeight="1">
      <c r="B713" s="140">
        <v>45940.0</v>
      </c>
      <c r="C713" s="141" t="str">
        <f t="shared" si="1"/>
        <v>10-2025</v>
      </c>
      <c r="D713" s="54">
        <f t="shared" si="104"/>
        <v>6868</v>
      </c>
      <c r="E713" s="138">
        <v>6878.0</v>
      </c>
      <c r="F713" s="54">
        <f t="shared" si="95"/>
        <v>10</v>
      </c>
      <c r="G713" s="54">
        <f t="shared" si="37"/>
        <v>0</v>
      </c>
    </row>
    <row r="714" ht="14.25" customHeight="1">
      <c r="B714" s="140">
        <v>45941.0</v>
      </c>
      <c r="C714" s="141" t="str">
        <f t="shared" si="1"/>
        <v>10-2025</v>
      </c>
      <c r="D714" s="54"/>
      <c r="E714" s="54"/>
      <c r="F714" s="54">
        <f t="shared" si="95"/>
        <v>0</v>
      </c>
      <c r="G714" s="54">
        <f t="shared" si="37"/>
        <v>-10</v>
      </c>
    </row>
    <row r="715" ht="14.25" customHeight="1">
      <c r="B715" s="140">
        <v>45942.0</v>
      </c>
      <c r="C715" s="141" t="str">
        <f t="shared" si="1"/>
        <v>10-2025</v>
      </c>
      <c r="D715" s="54" t="str">
        <f>E714</f>
        <v/>
      </c>
      <c r="E715" s="54"/>
      <c r="F715" s="54">
        <f t="shared" si="95"/>
        <v>0</v>
      </c>
      <c r="G715" s="54">
        <f t="shared" si="37"/>
        <v>-10</v>
      </c>
    </row>
    <row r="716" ht="14.25" customHeight="1">
      <c r="B716" s="140">
        <v>45943.0</v>
      </c>
      <c r="C716" s="141" t="str">
        <f t="shared" si="1"/>
        <v>10-2025</v>
      </c>
      <c r="D716" s="138">
        <v>6878.0</v>
      </c>
      <c r="E716" s="138">
        <v>6888.0</v>
      </c>
      <c r="F716" s="54">
        <f t="shared" si="95"/>
        <v>10</v>
      </c>
      <c r="G716" s="54">
        <f t="shared" si="37"/>
        <v>0</v>
      </c>
    </row>
    <row r="717" ht="14.25" customHeight="1">
      <c r="B717" s="140">
        <v>45944.0</v>
      </c>
      <c r="C717" s="141" t="str">
        <f t="shared" si="1"/>
        <v>10-2025</v>
      </c>
      <c r="D717" s="54">
        <f t="shared" ref="D717:D721" si="105">E716</f>
        <v>6888</v>
      </c>
      <c r="E717" s="138">
        <v>6895.0</v>
      </c>
      <c r="F717" s="54">
        <f t="shared" si="95"/>
        <v>7</v>
      </c>
      <c r="G717" s="54">
        <f t="shared" si="37"/>
        <v>-3</v>
      </c>
    </row>
    <row r="718" ht="14.25" customHeight="1">
      <c r="B718" s="140">
        <v>45945.0</v>
      </c>
      <c r="C718" s="141" t="str">
        <f t="shared" si="1"/>
        <v>10-2025</v>
      </c>
      <c r="D718" s="54">
        <f t="shared" si="105"/>
        <v>6895</v>
      </c>
      <c r="E718" s="138">
        <v>6908.0</v>
      </c>
      <c r="F718" s="54">
        <f t="shared" si="95"/>
        <v>13</v>
      </c>
      <c r="G718" s="54">
        <f t="shared" si="37"/>
        <v>3</v>
      </c>
    </row>
    <row r="719" ht="14.25" customHeight="1">
      <c r="B719" s="140">
        <v>45946.0</v>
      </c>
      <c r="C719" s="141" t="str">
        <f t="shared" si="1"/>
        <v>10-2025</v>
      </c>
      <c r="D719" s="54">
        <f t="shared" si="105"/>
        <v>6908</v>
      </c>
      <c r="E719" s="138">
        <v>6918.0</v>
      </c>
      <c r="F719" s="54">
        <f t="shared" si="95"/>
        <v>10</v>
      </c>
      <c r="G719" s="54">
        <f t="shared" si="37"/>
        <v>0</v>
      </c>
    </row>
    <row r="720" ht="14.25" customHeight="1">
      <c r="B720" s="140">
        <v>45947.0</v>
      </c>
      <c r="C720" s="141" t="str">
        <f t="shared" si="1"/>
        <v>10-2025</v>
      </c>
      <c r="D720" s="54">
        <f t="shared" si="105"/>
        <v>6918</v>
      </c>
      <c r="E720" s="138">
        <v>6924.0</v>
      </c>
      <c r="F720" s="54">
        <f t="shared" si="95"/>
        <v>6</v>
      </c>
      <c r="G720" s="54">
        <f t="shared" si="37"/>
        <v>-4</v>
      </c>
    </row>
    <row r="721" ht="14.25" customHeight="1">
      <c r="A721" s="155" t="s">
        <v>121</v>
      </c>
      <c r="B721" s="151">
        <v>45948.0</v>
      </c>
      <c r="C721" s="156" t="str">
        <f t="shared" si="1"/>
        <v>10-2025</v>
      </c>
      <c r="D721" s="150">
        <f t="shared" si="105"/>
        <v>6924</v>
      </c>
      <c r="E721" s="155">
        <v>6928.0</v>
      </c>
      <c r="F721" s="150">
        <f t="shared" si="95"/>
        <v>4</v>
      </c>
      <c r="G721" s="150">
        <f t="shared" si="37"/>
        <v>-6</v>
      </c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</row>
    <row r="722" ht="14.25" customHeight="1">
      <c r="B722" s="140">
        <v>45949.0</v>
      </c>
      <c r="C722" s="141" t="str">
        <f t="shared" si="1"/>
        <v>10-2025</v>
      </c>
      <c r="D722" s="54"/>
      <c r="E722" s="54"/>
      <c r="F722" s="54">
        <f t="shared" si="95"/>
        <v>0</v>
      </c>
      <c r="G722" s="54">
        <f t="shared" si="37"/>
        <v>-10</v>
      </c>
    </row>
    <row r="723" ht="14.25" customHeight="1">
      <c r="B723" s="140">
        <v>45950.0</v>
      </c>
      <c r="C723" s="141" t="str">
        <f t="shared" si="1"/>
        <v>10-2025</v>
      </c>
      <c r="D723" s="138">
        <v>6928.0</v>
      </c>
      <c r="E723" s="138">
        <v>6937.0</v>
      </c>
      <c r="F723" s="54">
        <f t="shared" si="95"/>
        <v>9</v>
      </c>
      <c r="G723" s="54">
        <f t="shared" si="37"/>
        <v>-1</v>
      </c>
    </row>
    <row r="724" ht="14.25" customHeight="1">
      <c r="B724" s="140">
        <v>45951.0</v>
      </c>
      <c r="C724" s="141" t="str">
        <f t="shared" si="1"/>
        <v>10-2025</v>
      </c>
      <c r="D724" s="54">
        <f t="shared" ref="D724:D734" si="106">E723</f>
        <v>6937</v>
      </c>
      <c r="E724" s="138">
        <v>6942.0</v>
      </c>
      <c r="F724" s="54">
        <f t="shared" si="95"/>
        <v>5</v>
      </c>
      <c r="G724" s="54">
        <f t="shared" si="37"/>
        <v>-5</v>
      </c>
    </row>
    <row r="725" ht="14.25" customHeight="1">
      <c r="B725" s="140">
        <v>45952.0</v>
      </c>
      <c r="C725" s="141" t="str">
        <f t="shared" si="1"/>
        <v>10-2025</v>
      </c>
      <c r="D725" s="54">
        <f t="shared" si="106"/>
        <v>6942</v>
      </c>
      <c r="E725" s="138">
        <v>6950.0</v>
      </c>
      <c r="F725" s="54">
        <f t="shared" si="95"/>
        <v>8</v>
      </c>
      <c r="G725" s="54">
        <f t="shared" si="37"/>
        <v>-2</v>
      </c>
    </row>
    <row r="726" ht="14.25" customHeight="1">
      <c r="B726" s="140">
        <v>45953.0</v>
      </c>
      <c r="C726" s="141" t="str">
        <f t="shared" si="1"/>
        <v>10-2025</v>
      </c>
      <c r="D726" s="54">
        <f t="shared" si="106"/>
        <v>6950</v>
      </c>
      <c r="E726" s="138">
        <v>6961.0</v>
      </c>
      <c r="F726" s="54">
        <f t="shared" si="95"/>
        <v>11</v>
      </c>
      <c r="G726" s="54">
        <f t="shared" si="37"/>
        <v>1</v>
      </c>
    </row>
    <row r="727" ht="14.25" customHeight="1">
      <c r="B727" s="140">
        <v>45954.0</v>
      </c>
      <c r="C727" s="141" t="str">
        <f t="shared" si="1"/>
        <v>10-2025</v>
      </c>
      <c r="D727" s="54">
        <f t="shared" si="106"/>
        <v>6961</v>
      </c>
      <c r="E727" s="138">
        <v>6972.0</v>
      </c>
      <c r="F727" s="54">
        <f t="shared" si="95"/>
        <v>11</v>
      </c>
      <c r="G727" s="54">
        <f t="shared" si="37"/>
        <v>1</v>
      </c>
    </row>
    <row r="728" ht="14.25" customHeight="1">
      <c r="A728" s="155" t="s">
        <v>121</v>
      </c>
      <c r="B728" s="151">
        <v>45955.0</v>
      </c>
      <c r="C728" s="156" t="str">
        <f t="shared" si="1"/>
        <v>10-2025</v>
      </c>
      <c r="D728" s="150">
        <f t="shared" si="106"/>
        <v>6972</v>
      </c>
      <c r="E728" s="155">
        <v>6981.0</v>
      </c>
      <c r="F728" s="150">
        <f t="shared" si="95"/>
        <v>9</v>
      </c>
      <c r="G728" s="150">
        <f t="shared" si="37"/>
        <v>-1</v>
      </c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</row>
    <row r="729" ht="14.25" customHeight="1">
      <c r="A729" s="155" t="s">
        <v>122</v>
      </c>
      <c r="B729" s="151">
        <v>45956.0</v>
      </c>
      <c r="C729" s="156" t="str">
        <f t="shared" si="1"/>
        <v>10-2025</v>
      </c>
      <c r="D729" s="150">
        <f t="shared" si="106"/>
        <v>6981</v>
      </c>
      <c r="E729" s="155">
        <v>6987.0</v>
      </c>
      <c r="F729" s="150">
        <f t="shared" si="95"/>
        <v>6</v>
      </c>
      <c r="G729" s="150">
        <f t="shared" si="37"/>
        <v>-4</v>
      </c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</row>
    <row r="730" ht="14.25" customHeight="1">
      <c r="B730" s="140">
        <v>45957.0</v>
      </c>
      <c r="C730" s="141" t="str">
        <f t="shared" si="1"/>
        <v>10-2025</v>
      </c>
      <c r="D730" s="54">
        <f t="shared" si="106"/>
        <v>6987</v>
      </c>
      <c r="E730" s="138">
        <v>6994.0</v>
      </c>
      <c r="F730" s="54">
        <f t="shared" si="95"/>
        <v>7</v>
      </c>
      <c r="G730" s="54">
        <f t="shared" si="37"/>
        <v>-3</v>
      </c>
    </row>
    <row r="731" ht="14.25" customHeight="1">
      <c r="B731" s="140">
        <v>45958.0</v>
      </c>
      <c r="C731" s="141" t="str">
        <f t="shared" si="1"/>
        <v>10-2025</v>
      </c>
      <c r="D731" s="54">
        <f t="shared" si="106"/>
        <v>6994</v>
      </c>
      <c r="E731" s="138">
        <v>7000.0</v>
      </c>
      <c r="F731" s="54">
        <f t="shared" si="95"/>
        <v>6</v>
      </c>
      <c r="G731" s="54">
        <f t="shared" si="37"/>
        <v>-4</v>
      </c>
    </row>
    <row r="732" ht="14.25" customHeight="1">
      <c r="B732" s="140">
        <v>45959.0</v>
      </c>
      <c r="C732" s="141" t="str">
        <f t="shared" si="1"/>
        <v>10-2025</v>
      </c>
      <c r="D732" s="54">
        <f t="shared" si="106"/>
        <v>7000</v>
      </c>
      <c r="E732" s="138">
        <v>7008.0</v>
      </c>
      <c r="F732" s="54">
        <f t="shared" si="95"/>
        <v>8</v>
      </c>
      <c r="G732" s="54">
        <f t="shared" si="37"/>
        <v>-2</v>
      </c>
    </row>
    <row r="733" ht="14.25" customHeight="1">
      <c r="B733" s="140">
        <v>45960.0</v>
      </c>
      <c r="C733" s="141" t="str">
        <f t="shared" si="1"/>
        <v>10-2025</v>
      </c>
      <c r="D733" s="54">
        <f t="shared" si="106"/>
        <v>7008</v>
      </c>
      <c r="E733" s="138">
        <v>7020.0</v>
      </c>
      <c r="F733" s="54">
        <f t="shared" si="95"/>
        <v>12</v>
      </c>
      <c r="G733" s="54">
        <f t="shared" si="37"/>
        <v>2</v>
      </c>
    </row>
    <row r="734" ht="14.25" customHeight="1">
      <c r="B734" s="140">
        <v>45961.0</v>
      </c>
      <c r="C734" s="141" t="str">
        <f t="shared" si="1"/>
        <v>10-2025</v>
      </c>
      <c r="D734" s="54">
        <f t="shared" si="106"/>
        <v>7020</v>
      </c>
      <c r="E734" s="138">
        <v>7033.0</v>
      </c>
      <c r="F734" s="54">
        <f t="shared" si="95"/>
        <v>13</v>
      </c>
      <c r="G734" s="54">
        <f t="shared" si="37"/>
        <v>3</v>
      </c>
      <c r="H734" s="28">
        <v>3712.0</v>
      </c>
    </row>
    <row r="735" ht="14.25" customHeight="1">
      <c r="A735" s="157" t="s">
        <v>123</v>
      </c>
      <c r="B735" s="140">
        <v>45962.0</v>
      </c>
      <c r="C735" s="141" t="str">
        <f t="shared" si="1"/>
        <v>11-2025</v>
      </c>
      <c r="D735" s="138"/>
      <c r="E735" s="138"/>
      <c r="F735" s="54">
        <f t="shared" si="95"/>
        <v>0</v>
      </c>
      <c r="G735" s="54">
        <f t="shared" si="37"/>
        <v>-10</v>
      </c>
    </row>
    <row r="736" ht="14.25" customHeight="1">
      <c r="B736" s="140">
        <v>45963.0</v>
      </c>
      <c r="C736" s="141" t="str">
        <f t="shared" si="1"/>
        <v>11-2025</v>
      </c>
      <c r="D736" s="54" t="str">
        <f>E735</f>
        <v/>
      </c>
      <c r="E736" s="138"/>
      <c r="F736" s="54">
        <f t="shared" si="95"/>
        <v>0</v>
      </c>
      <c r="G736" s="54">
        <f t="shared" si="37"/>
        <v>-10</v>
      </c>
    </row>
    <row r="737" ht="14.25" customHeight="1">
      <c r="B737" s="140">
        <v>45964.0</v>
      </c>
      <c r="C737" s="141" t="str">
        <f t="shared" si="1"/>
        <v>11-2025</v>
      </c>
      <c r="D737" s="138">
        <v>7033.0</v>
      </c>
      <c r="E737" s="138">
        <v>7043.0</v>
      </c>
      <c r="F737" s="54">
        <f t="shared" si="95"/>
        <v>10</v>
      </c>
      <c r="G737" s="54">
        <f t="shared" si="37"/>
        <v>0</v>
      </c>
    </row>
    <row r="738" ht="14.25" customHeight="1">
      <c r="B738" s="140">
        <v>45965.0</v>
      </c>
      <c r="C738" s="141" t="str">
        <f t="shared" si="1"/>
        <v>11-2025</v>
      </c>
      <c r="D738" s="54">
        <f t="shared" ref="D738:D741" si="107">E737</f>
        <v>7043</v>
      </c>
      <c r="E738" s="138">
        <v>7052.0</v>
      </c>
      <c r="F738" s="54">
        <f t="shared" si="95"/>
        <v>9</v>
      </c>
      <c r="G738" s="54">
        <f t="shared" si="37"/>
        <v>-1</v>
      </c>
    </row>
    <row r="739" ht="14.25" customHeight="1">
      <c r="B739" s="140">
        <v>45966.0</v>
      </c>
      <c r="C739" s="141" t="str">
        <f t="shared" si="1"/>
        <v>11-2025</v>
      </c>
      <c r="D739" s="54">
        <f t="shared" si="107"/>
        <v>7052</v>
      </c>
      <c r="E739" s="138">
        <v>7058.0</v>
      </c>
      <c r="F739" s="54">
        <f t="shared" si="95"/>
        <v>6</v>
      </c>
      <c r="G739" s="54">
        <f t="shared" si="37"/>
        <v>-4</v>
      </c>
    </row>
    <row r="740" ht="14.25" customHeight="1">
      <c r="B740" s="140">
        <v>45967.0</v>
      </c>
      <c r="C740" s="141" t="str">
        <f t="shared" si="1"/>
        <v>11-2025</v>
      </c>
      <c r="D740" s="54">
        <f t="shared" si="107"/>
        <v>7058</v>
      </c>
      <c r="E740" s="138">
        <v>7062.0</v>
      </c>
      <c r="F740" s="54">
        <f t="shared" si="95"/>
        <v>4</v>
      </c>
      <c r="G740" s="54">
        <f t="shared" si="37"/>
        <v>-6</v>
      </c>
    </row>
    <row r="741" ht="14.25" customHeight="1">
      <c r="B741" s="140">
        <v>45968.0</v>
      </c>
      <c r="C741" s="141" t="str">
        <f t="shared" si="1"/>
        <v>11-2025</v>
      </c>
      <c r="D741" s="54">
        <f t="shared" si="107"/>
        <v>7062</v>
      </c>
      <c r="E741" s="138">
        <v>7062.0</v>
      </c>
      <c r="F741" s="54">
        <f t="shared" si="95"/>
        <v>0</v>
      </c>
      <c r="G741" s="54">
        <f t="shared" si="37"/>
        <v>-10</v>
      </c>
    </row>
    <row r="742" ht="14.25" customHeight="1">
      <c r="A742" s="157" t="s">
        <v>121</v>
      </c>
      <c r="B742" s="140">
        <v>45969.0</v>
      </c>
      <c r="C742" s="141" t="str">
        <f t="shared" si="1"/>
        <v>11-2025</v>
      </c>
      <c r="D742" s="54"/>
      <c r="E742" s="54"/>
      <c r="F742" s="54">
        <f t="shared" si="95"/>
        <v>0</v>
      </c>
      <c r="G742" s="54">
        <f t="shared" si="37"/>
        <v>-10</v>
      </c>
    </row>
    <row r="743" ht="14.25" customHeight="1">
      <c r="B743" s="140">
        <v>45970.0</v>
      </c>
      <c r="C743" s="141" t="str">
        <f t="shared" si="1"/>
        <v>11-2025</v>
      </c>
      <c r="D743" s="54" t="str">
        <f>E742</f>
        <v/>
      </c>
      <c r="E743" s="54"/>
      <c r="F743" s="54">
        <f t="shared" si="95"/>
        <v>0</v>
      </c>
      <c r="G743" s="54">
        <f t="shared" si="37"/>
        <v>-10</v>
      </c>
    </row>
    <row r="744" ht="14.25" customHeight="1">
      <c r="B744" s="140">
        <v>45971.0</v>
      </c>
      <c r="C744" s="141" t="str">
        <f t="shared" si="1"/>
        <v>11-2025</v>
      </c>
      <c r="D744" s="138">
        <v>7062.0</v>
      </c>
      <c r="E744" s="138">
        <v>7074.6</v>
      </c>
      <c r="F744" s="54">
        <f t="shared" si="95"/>
        <v>12.6</v>
      </c>
      <c r="G744" s="54">
        <f t="shared" si="37"/>
        <v>2.6</v>
      </c>
    </row>
    <row r="745" ht="14.25" customHeight="1">
      <c r="B745" s="140">
        <v>45972.0</v>
      </c>
      <c r="C745" s="141" t="str">
        <f t="shared" si="1"/>
        <v>11-2025</v>
      </c>
      <c r="D745" s="54">
        <f t="shared" ref="D745:D749" si="108">E744</f>
        <v>7074.6</v>
      </c>
      <c r="E745" s="138">
        <v>7086.6</v>
      </c>
      <c r="F745" s="54">
        <f t="shared" si="95"/>
        <v>12</v>
      </c>
      <c r="G745" s="54">
        <f t="shared" si="37"/>
        <v>2</v>
      </c>
    </row>
    <row r="746" ht="14.25" customHeight="1">
      <c r="B746" s="140">
        <v>45973.0</v>
      </c>
      <c r="C746" s="141" t="str">
        <f t="shared" si="1"/>
        <v>11-2025</v>
      </c>
      <c r="D746" s="54">
        <f t="shared" si="108"/>
        <v>7086.6</v>
      </c>
      <c r="E746" s="138">
        <v>7098.6</v>
      </c>
      <c r="F746" s="54">
        <f t="shared" si="95"/>
        <v>12</v>
      </c>
      <c r="G746" s="54">
        <f t="shared" si="37"/>
        <v>2</v>
      </c>
    </row>
    <row r="747" ht="14.25" customHeight="1">
      <c r="B747" s="140">
        <v>45974.0</v>
      </c>
      <c r="C747" s="141" t="str">
        <f t="shared" si="1"/>
        <v>11-2025</v>
      </c>
      <c r="D747" s="54">
        <f t="shared" si="108"/>
        <v>7098.6</v>
      </c>
      <c r="E747" s="138">
        <v>7111.6</v>
      </c>
      <c r="F747" s="54">
        <f t="shared" si="95"/>
        <v>13</v>
      </c>
      <c r="G747" s="54">
        <f t="shared" si="37"/>
        <v>3</v>
      </c>
    </row>
    <row r="748" ht="14.25" customHeight="1">
      <c r="B748" s="140">
        <v>45975.0</v>
      </c>
      <c r="C748" s="141" t="str">
        <f t="shared" si="1"/>
        <v>11-2025</v>
      </c>
      <c r="D748" s="54">
        <f t="shared" si="108"/>
        <v>7111.6</v>
      </c>
      <c r="E748" s="138">
        <v>7122.0</v>
      </c>
      <c r="F748" s="54">
        <f t="shared" si="95"/>
        <v>10.4</v>
      </c>
      <c r="G748" s="54">
        <f t="shared" si="37"/>
        <v>0.4</v>
      </c>
    </row>
    <row r="749" ht="14.25" customHeight="1">
      <c r="A749" s="157" t="s">
        <v>123</v>
      </c>
      <c r="B749" s="140">
        <v>45976.0</v>
      </c>
      <c r="C749" s="141" t="str">
        <f t="shared" si="1"/>
        <v>11-2025</v>
      </c>
      <c r="D749" s="54">
        <f t="shared" si="108"/>
        <v>7122</v>
      </c>
      <c r="E749" s="138">
        <v>7127.0</v>
      </c>
      <c r="F749" s="54">
        <f t="shared" si="95"/>
        <v>5</v>
      </c>
      <c r="G749" s="54">
        <f t="shared" si="37"/>
        <v>-5</v>
      </c>
    </row>
    <row r="750" ht="14.25" customHeight="1">
      <c r="B750" s="140">
        <v>45977.0</v>
      </c>
      <c r="C750" s="141" t="str">
        <f t="shared" si="1"/>
        <v>11-2025</v>
      </c>
      <c r="D750" s="54"/>
      <c r="E750" s="54"/>
      <c r="F750" s="54">
        <f t="shared" si="95"/>
        <v>0</v>
      </c>
      <c r="G750" s="54">
        <f t="shared" si="37"/>
        <v>-10</v>
      </c>
    </row>
    <row r="751" ht="14.25" customHeight="1">
      <c r="B751" s="140">
        <v>45978.0</v>
      </c>
      <c r="C751" s="141" t="str">
        <f t="shared" si="1"/>
        <v>11-2025</v>
      </c>
      <c r="D751" s="138">
        <v>7127.0</v>
      </c>
      <c r="E751" s="138">
        <v>7133.0</v>
      </c>
      <c r="F751" s="54">
        <f t="shared" si="95"/>
        <v>6</v>
      </c>
      <c r="G751" s="54">
        <f t="shared" si="37"/>
        <v>-4</v>
      </c>
    </row>
    <row r="752" ht="14.25" customHeight="1">
      <c r="B752" s="140">
        <v>45979.0</v>
      </c>
      <c r="C752" s="141" t="str">
        <f t="shared" si="1"/>
        <v>11-2025</v>
      </c>
      <c r="D752" s="54">
        <f t="shared" ref="D752:D756" si="109">E751</f>
        <v>7133</v>
      </c>
      <c r="E752" s="138">
        <v>7144.0</v>
      </c>
      <c r="F752" s="54">
        <f t="shared" si="95"/>
        <v>11</v>
      </c>
      <c r="G752" s="54">
        <f t="shared" si="37"/>
        <v>1</v>
      </c>
    </row>
    <row r="753" ht="14.25" customHeight="1">
      <c r="B753" s="140">
        <v>45980.0</v>
      </c>
      <c r="C753" s="141" t="str">
        <f t="shared" si="1"/>
        <v>11-2025</v>
      </c>
      <c r="D753" s="54">
        <f t="shared" si="109"/>
        <v>7144</v>
      </c>
      <c r="E753" s="138">
        <v>7155.0</v>
      </c>
      <c r="F753" s="54">
        <f t="shared" si="95"/>
        <v>11</v>
      </c>
      <c r="G753" s="54">
        <f t="shared" si="37"/>
        <v>1</v>
      </c>
    </row>
    <row r="754" ht="14.25" customHeight="1">
      <c r="B754" s="140">
        <v>45981.0</v>
      </c>
      <c r="C754" s="141" t="str">
        <f t="shared" si="1"/>
        <v>11-2025</v>
      </c>
      <c r="D754" s="54">
        <f t="shared" si="109"/>
        <v>7155</v>
      </c>
      <c r="E754" s="138">
        <v>7161.2</v>
      </c>
      <c r="F754" s="54">
        <f t="shared" si="95"/>
        <v>6.2</v>
      </c>
      <c r="G754" s="54">
        <f t="shared" si="37"/>
        <v>-3.8</v>
      </c>
    </row>
    <row r="755" ht="14.25" customHeight="1">
      <c r="B755" s="140">
        <v>45982.0</v>
      </c>
      <c r="C755" s="141" t="str">
        <f t="shared" si="1"/>
        <v>11-2025</v>
      </c>
      <c r="D755" s="54">
        <f t="shared" si="109"/>
        <v>7161.2</v>
      </c>
      <c r="E755" s="138">
        <v>7173.2</v>
      </c>
      <c r="F755" s="54">
        <f t="shared" si="95"/>
        <v>12</v>
      </c>
      <c r="G755" s="54">
        <f t="shared" si="37"/>
        <v>2</v>
      </c>
    </row>
    <row r="756" ht="14.25" customHeight="1">
      <c r="A756" s="157" t="s">
        <v>121</v>
      </c>
      <c r="B756" s="140">
        <v>45983.0</v>
      </c>
      <c r="C756" s="141" t="str">
        <f t="shared" si="1"/>
        <v>11-2025</v>
      </c>
      <c r="D756" s="54">
        <f t="shared" si="109"/>
        <v>7173.2</v>
      </c>
      <c r="E756" s="138">
        <v>7180.0</v>
      </c>
      <c r="F756" s="54">
        <f t="shared" si="95"/>
        <v>6.8</v>
      </c>
      <c r="G756" s="54">
        <f t="shared" si="37"/>
        <v>-3.2</v>
      </c>
    </row>
    <row r="757" ht="14.25" customHeight="1">
      <c r="B757" s="140">
        <v>45984.0</v>
      </c>
      <c r="C757" s="141" t="str">
        <f t="shared" si="1"/>
        <v>11-2025</v>
      </c>
      <c r="D757" s="54"/>
      <c r="E757" s="54"/>
      <c r="F757" s="54">
        <f t="shared" si="95"/>
        <v>0</v>
      </c>
      <c r="G757" s="54">
        <f t="shared" si="37"/>
        <v>-10</v>
      </c>
    </row>
    <row r="758" ht="14.25" customHeight="1">
      <c r="B758" s="140">
        <v>45985.0</v>
      </c>
      <c r="C758" s="141" t="str">
        <f t="shared" si="1"/>
        <v>11-2025</v>
      </c>
      <c r="D758" s="138">
        <v>7180.0</v>
      </c>
      <c r="E758" s="138">
        <v>7192.0</v>
      </c>
      <c r="F758" s="54">
        <f t="shared" si="95"/>
        <v>12</v>
      </c>
      <c r="G758" s="54">
        <f t="shared" si="37"/>
        <v>2</v>
      </c>
    </row>
    <row r="759" ht="14.25" customHeight="1">
      <c r="B759" s="140">
        <v>45986.0</v>
      </c>
      <c r="C759" s="141" t="str">
        <f t="shared" si="1"/>
        <v>11-2025</v>
      </c>
      <c r="D759" s="54">
        <f t="shared" ref="D759:D763" si="110">E758</f>
        <v>7192</v>
      </c>
      <c r="E759" s="138">
        <v>7205.0</v>
      </c>
      <c r="F759" s="54">
        <f t="shared" si="95"/>
        <v>13</v>
      </c>
      <c r="G759" s="54">
        <f t="shared" si="37"/>
        <v>3</v>
      </c>
    </row>
    <row r="760" ht="14.25" customHeight="1">
      <c r="B760" s="140">
        <v>45987.0</v>
      </c>
      <c r="C760" s="141" t="str">
        <f t="shared" si="1"/>
        <v>11-2025</v>
      </c>
      <c r="D760" s="54">
        <f t="shared" si="110"/>
        <v>7205</v>
      </c>
      <c r="E760" s="138">
        <v>7216.0</v>
      </c>
      <c r="F760" s="54">
        <f t="shared" si="95"/>
        <v>11</v>
      </c>
      <c r="G760" s="54">
        <f t="shared" si="37"/>
        <v>1</v>
      </c>
    </row>
    <row r="761" ht="14.25" customHeight="1">
      <c r="B761" s="140">
        <v>45988.0</v>
      </c>
      <c r="C761" s="141" t="str">
        <f t="shared" si="1"/>
        <v>11-2025</v>
      </c>
      <c r="D761" s="54">
        <f t="shared" si="110"/>
        <v>7216</v>
      </c>
      <c r="E761" s="138">
        <v>7227.0</v>
      </c>
      <c r="F761" s="54">
        <f t="shared" si="95"/>
        <v>11</v>
      </c>
      <c r="G761" s="54">
        <f t="shared" si="37"/>
        <v>1</v>
      </c>
    </row>
    <row r="762" ht="14.25" customHeight="1">
      <c r="B762" s="140">
        <v>45989.0</v>
      </c>
      <c r="C762" s="141" t="str">
        <f t="shared" si="1"/>
        <v>11-2025</v>
      </c>
      <c r="D762" s="54">
        <f t="shared" si="110"/>
        <v>7227</v>
      </c>
      <c r="E762" s="138">
        <v>7239.0</v>
      </c>
      <c r="F762" s="54">
        <f t="shared" si="95"/>
        <v>12</v>
      </c>
      <c r="G762" s="54">
        <f t="shared" si="37"/>
        <v>2</v>
      </c>
    </row>
    <row r="763" ht="14.25" customHeight="1">
      <c r="A763" s="157" t="s">
        <v>121</v>
      </c>
      <c r="B763" s="140">
        <v>45990.0</v>
      </c>
      <c r="C763" s="141" t="str">
        <f t="shared" si="1"/>
        <v>11-2025</v>
      </c>
      <c r="D763" s="54">
        <f t="shared" si="110"/>
        <v>7239</v>
      </c>
      <c r="E763" s="138">
        <v>7244.0</v>
      </c>
      <c r="F763" s="54">
        <f t="shared" si="95"/>
        <v>5</v>
      </c>
      <c r="G763" s="54">
        <f t="shared" si="37"/>
        <v>-5</v>
      </c>
    </row>
    <row r="764" ht="14.25" customHeight="1">
      <c r="B764" s="140">
        <v>45991.0</v>
      </c>
      <c r="C764" s="141" t="str">
        <f t="shared" si="1"/>
        <v>11-2025</v>
      </c>
      <c r="D764" s="54"/>
      <c r="E764" s="54"/>
      <c r="F764" s="54">
        <f t="shared" si="95"/>
        <v>0</v>
      </c>
      <c r="G764" s="54">
        <f t="shared" si="37"/>
        <v>-10</v>
      </c>
    </row>
    <row r="765" ht="14.25" customHeight="1">
      <c r="B765" s="140">
        <v>45992.0</v>
      </c>
      <c r="C765" s="141" t="str">
        <f t="shared" si="1"/>
        <v>12-2025</v>
      </c>
      <c r="D765" s="138">
        <v>7244.0</v>
      </c>
      <c r="E765" s="138">
        <v>7248.0</v>
      </c>
      <c r="F765" s="54">
        <f t="shared" si="95"/>
        <v>4</v>
      </c>
      <c r="G765" s="54">
        <f t="shared" si="37"/>
        <v>-6</v>
      </c>
    </row>
    <row r="766" ht="14.25" customHeight="1">
      <c r="B766" s="140">
        <v>45993.0</v>
      </c>
      <c r="C766" s="141" t="str">
        <f t="shared" si="1"/>
        <v>12-2025</v>
      </c>
      <c r="D766" s="54">
        <f t="shared" ref="D766:D770" si="111">E765</f>
        <v>7248</v>
      </c>
      <c r="E766" s="138">
        <v>7258.0</v>
      </c>
      <c r="F766" s="54">
        <f t="shared" si="95"/>
        <v>10</v>
      </c>
      <c r="G766" s="54">
        <f t="shared" si="37"/>
        <v>0</v>
      </c>
    </row>
    <row r="767" ht="14.25" customHeight="1">
      <c r="B767" s="140">
        <v>45994.0</v>
      </c>
      <c r="C767" s="141" t="str">
        <f t="shared" si="1"/>
        <v>12-2025</v>
      </c>
      <c r="D767" s="54">
        <f t="shared" si="111"/>
        <v>7258</v>
      </c>
      <c r="E767" s="138">
        <v>7268.0</v>
      </c>
      <c r="F767" s="54">
        <f t="shared" si="95"/>
        <v>10</v>
      </c>
      <c r="G767" s="54">
        <f t="shared" si="37"/>
        <v>0</v>
      </c>
    </row>
    <row r="768" ht="14.25" customHeight="1">
      <c r="B768" s="140">
        <v>45995.0</v>
      </c>
      <c r="C768" s="141" t="str">
        <f t="shared" si="1"/>
        <v>12-2025</v>
      </c>
      <c r="D768" s="54">
        <f t="shared" si="111"/>
        <v>7268</v>
      </c>
      <c r="E768" s="138">
        <v>7278.0</v>
      </c>
      <c r="F768" s="54">
        <f t="shared" si="95"/>
        <v>10</v>
      </c>
      <c r="G768" s="54">
        <f t="shared" si="37"/>
        <v>0</v>
      </c>
    </row>
    <row r="769" ht="14.25" customHeight="1">
      <c r="B769" s="140">
        <v>45996.0</v>
      </c>
      <c r="C769" s="141" t="str">
        <f t="shared" si="1"/>
        <v>12-2025</v>
      </c>
      <c r="D769" s="54">
        <f t="shared" si="111"/>
        <v>7278</v>
      </c>
      <c r="E769" s="138">
        <v>7285.8</v>
      </c>
      <c r="F769" s="54">
        <f t="shared" si="95"/>
        <v>7.8</v>
      </c>
      <c r="G769" s="54">
        <f t="shared" si="37"/>
        <v>-2.2</v>
      </c>
    </row>
    <row r="770" ht="14.25" customHeight="1">
      <c r="B770" s="142">
        <v>45997.0</v>
      </c>
      <c r="C770" s="141" t="str">
        <f t="shared" si="1"/>
        <v>12-2025</v>
      </c>
      <c r="D770" s="54">
        <f t="shared" si="111"/>
        <v>7285.8</v>
      </c>
      <c r="E770" s="138">
        <v>7293.0</v>
      </c>
      <c r="F770" s="54">
        <f t="shared" si="95"/>
        <v>7.2</v>
      </c>
      <c r="G770" s="54">
        <f t="shared" si="37"/>
        <v>-2.8</v>
      </c>
    </row>
    <row r="771" ht="14.25" customHeight="1">
      <c r="B771" s="142">
        <v>45998.0</v>
      </c>
      <c r="C771" s="141" t="str">
        <f t="shared" si="1"/>
        <v>12-2025</v>
      </c>
      <c r="D771" s="54"/>
      <c r="E771" s="54"/>
      <c r="F771" s="54">
        <f t="shared" si="95"/>
        <v>0</v>
      </c>
      <c r="G771" s="54">
        <f t="shared" si="37"/>
        <v>-10</v>
      </c>
    </row>
    <row r="772" ht="14.25" customHeight="1">
      <c r="B772" s="140">
        <v>45999.0</v>
      </c>
      <c r="C772" s="141" t="str">
        <f t="shared" si="1"/>
        <v>12-2025</v>
      </c>
      <c r="D772" s="138">
        <v>7293.0</v>
      </c>
      <c r="E772" s="138">
        <v>7301.0</v>
      </c>
      <c r="F772" s="54">
        <f t="shared" si="95"/>
        <v>8</v>
      </c>
      <c r="G772" s="54">
        <f t="shared" si="37"/>
        <v>-2</v>
      </c>
    </row>
    <row r="773" ht="14.25" customHeight="1">
      <c r="B773" s="140">
        <v>46000.0</v>
      </c>
      <c r="C773" s="141" t="str">
        <f t="shared" si="1"/>
        <v>12-2025</v>
      </c>
      <c r="D773" s="54">
        <f>E772</f>
        <v>7301</v>
      </c>
      <c r="E773" s="138">
        <v>7312.0</v>
      </c>
      <c r="F773" s="54">
        <f t="shared" si="95"/>
        <v>11</v>
      </c>
      <c r="G773" s="54">
        <f t="shared" si="37"/>
        <v>1</v>
      </c>
    </row>
    <row r="774" ht="14.25" customHeight="1">
      <c r="B774" s="140">
        <v>46001.0</v>
      </c>
      <c r="C774" s="141" t="str">
        <f t="shared" si="1"/>
        <v>12-2025</v>
      </c>
      <c r="D774" s="54"/>
      <c r="E774" s="54"/>
      <c r="F774" s="54">
        <f t="shared" si="95"/>
        <v>0</v>
      </c>
      <c r="G774" s="54">
        <f t="shared" si="37"/>
        <v>-10</v>
      </c>
    </row>
    <row r="775" ht="14.25" customHeight="1">
      <c r="B775" s="140">
        <v>46002.0</v>
      </c>
      <c r="C775" s="141" t="str">
        <f t="shared" si="1"/>
        <v>12-2025</v>
      </c>
      <c r="D775" s="138">
        <v>7312.0</v>
      </c>
      <c r="E775" s="138">
        <v>7323.0</v>
      </c>
      <c r="F775" s="54">
        <f t="shared" si="95"/>
        <v>11</v>
      </c>
      <c r="G775" s="54">
        <f t="shared" si="37"/>
        <v>1</v>
      </c>
    </row>
    <row r="776" ht="14.25" customHeight="1">
      <c r="B776" s="140">
        <v>46003.0</v>
      </c>
      <c r="C776" s="141" t="str">
        <f t="shared" si="1"/>
        <v>12-2025</v>
      </c>
      <c r="D776" s="54"/>
      <c r="E776" s="54"/>
      <c r="F776" s="54">
        <f t="shared" si="95"/>
        <v>0</v>
      </c>
      <c r="G776" s="54">
        <f t="shared" si="37"/>
        <v>-10</v>
      </c>
    </row>
    <row r="777" ht="14.25" customHeight="1">
      <c r="B777" s="142">
        <v>46004.0</v>
      </c>
      <c r="C777" s="141" t="str">
        <f t="shared" si="1"/>
        <v>12-2025</v>
      </c>
      <c r="D777" s="54" t="str">
        <f t="shared" ref="D777:D778" si="112">E776</f>
        <v/>
      </c>
      <c r="E777" s="54"/>
      <c r="F777" s="54">
        <f t="shared" si="95"/>
        <v>0</v>
      </c>
      <c r="G777" s="54">
        <f t="shared" si="37"/>
        <v>-10</v>
      </c>
    </row>
    <row r="778" ht="14.25" customHeight="1">
      <c r="B778" s="142">
        <v>46005.0</v>
      </c>
      <c r="C778" s="141" t="str">
        <f t="shared" si="1"/>
        <v>12-2025</v>
      </c>
      <c r="D778" s="54" t="str">
        <f t="shared" si="112"/>
        <v/>
      </c>
      <c r="E778" s="54"/>
      <c r="F778" s="54">
        <f t="shared" si="95"/>
        <v>0</v>
      </c>
      <c r="G778" s="54">
        <f t="shared" si="37"/>
        <v>-10</v>
      </c>
    </row>
    <row r="779" ht="14.25" customHeight="1">
      <c r="B779" s="140">
        <v>46006.0</v>
      </c>
      <c r="C779" s="141" t="str">
        <f t="shared" si="1"/>
        <v>12-2025</v>
      </c>
      <c r="D779" s="138">
        <v>7323.0</v>
      </c>
      <c r="E779" s="138">
        <v>7334.0</v>
      </c>
      <c r="F779" s="54">
        <f t="shared" si="95"/>
        <v>11</v>
      </c>
      <c r="G779" s="54">
        <f t="shared" si="37"/>
        <v>1</v>
      </c>
    </row>
    <row r="780" ht="14.25" customHeight="1">
      <c r="B780" s="140">
        <v>46007.0</v>
      </c>
      <c r="C780" s="141" t="str">
        <f t="shared" si="1"/>
        <v>12-2025</v>
      </c>
      <c r="D780" s="54">
        <f t="shared" ref="D780:D784" si="113">E779</f>
        <v>7334</v>
      </c>
      <c r="E780" s="138">
        <v>7345.0</v>
      </c>
      <c r="F780" s="54">
        <f t="shared" si="95"/>
        <v>11</v>
      </c>
      <c r="G780" s="54">
        <f t="shared" si="37"/>
        <v>1</v>
      </c>
    </row>
    <row r="781" ht="14.25" customHeight="1">
      <c r="B781" s="140">
        <v>46008.0</v>
      </c>
      <c r="C781" s="141" t="str">
        <f t="shared" si="1"/>
        <v>12-2025</v>
      </c>
      <c r="D781" s="54">
        <f t="shared" si="113"/>
        <v>7345</v>
      </c>
      <c r="E781" s="138">
        <v>7355.0</v>
      </c>
      <c r="F781" s="54">
        <f t="shared" si="95"/>
        <v>10</v>
      </c>
      <c r="G781" s="54">
        <f t="shared" si="37"/>
        <v>0</v>
      </c>
    </row>
    <row r="782" ht="14.25" customHeight="1">
      <c r="B782" s="140">
        <v>46009.0</v>
      </c>
      <c r="C782" s="141" t="str">
        <f t="shared" si="1"/>
        <v>12-2025</v>
      </c>
      <c r="D782" s="54">
        <f t="shared" si="113"/>
        <v>7355</v>
      </c>
      <c r="E782" s="138">
        <v>7366.0</v>
      </c>
      <c r="F782" s="54">
        <f t="shared" si="95"/>
        <v>11</v>
      </c>
      <c r="G782" s="54">
        <f t="shared" si="37"/>
        <v>1</v>
      </c>
    </row>
    <row r="783" ht="14.25" customHeight="1">
      <c r="B783" s="140">
        <v>46010.0</v>
      </c>
      <c r="C783" s="141" t="str">
        <f t="shared" si="1"/>
        <v>12-2025</v>
      </c>
      <c r="D783" s="54">
        <f t="shared" si="113"/>
        <v>7366</v>
      </c>
      <c r="E783" s="138">
        <v>7377.0</v>
      </c>
      <c r="F783" s="54">
        <f t="shared" si="95"/>
        <v>11</v>
      </c>
      <c r="G783" s="54">
        <f t="shared" si="37"/>
        <v>1</v>
      </c>
    </row>
    <row r="784" ht="14.25" customHeight="1">
      <c r="B784" s="142">
        <v>46011.0</v>
      </c>
      <c r="C784" s="141" t="str">
        <f t="shared" si="1"/>
        <v>12-2025</v>
      </c>
      <c r="D784" s="54">
        <f t="shared" si="113"/>
        <v>7377</v>
      </c>
      <c r="E784" s="138">
        <v>7383.0</v>
      </c>
      <c r="F784" s="54">
        <f t="shared" si="95"/>
        <v>6</v>
      </c>
      <c r="G784" s="54">
        <f t="shared" si="37"/>
        <v>-4</v>
      </c>
    </row>
    <row r="785" ht="14.25" customHeight="1">
      <c r="B785" s="142">
        <v>46012.0</v>
      </c>
      <c r="C785" s="141" t="str">
        <f t="shared" si="1"/>
        <v>12-2025</v>
      </c>
      <c r="D785" s="54"/>
      <c r="E785" s="54"/>
      <c r="F785" s="54">
        <f t="shared" si="95"/>
        <v>0</v>
      </c>
      <c r="G785" s="54">
        <f t="shared" si="37"/>
        <v>-10</v>
      </c>
    </row>
    <row r="786" ht="14.25" customHeight="1">
      <c r="B786" s="140">
        <v>46013.0</v>
      </c>
      <c r="C786" s="141" t="str">
        <f t="shared" si="1"/>
        <v>12-2025</v>
      </c>
      <c r="D786" s="138">
        <v>7383.0</v>
      </c>
      <c r="E786" s="138">
        <v>7394.0</v>
      </c>
      <c r="F786" s="54">
        <f t="shared" si="95"/>
        <v>11</v>
      </c>
      <c r="G786" s="54">
        <f t="shared" si="37"/>
        <v>1</v>
      </c>
    </row>
    <row r="787" ht="14.25" customHeight="1">
      <c r="B787" s="140">
        <v>46014.0</v>
      </c>
      <c r="C787" s="141" t="str">
        <f t="shared" si="1"/>
        <v>12-2025</v>
      </c>
      <c r="D787" s="54">
        <f t="shared" ref="D787:D788" si="114">E786</f>
        <v>7394</v>
      </c>
      <c r="E787" s="138">
        <v>7405.0</v>
      </c>
      <c r="F787" s="54">
        <f t="shared" si="95"/>
        <v>11</v>
      </c>
      <c r="G787" s="54">
        <f t="shared" si="37"/>
        <v>1</v>
      </c>
    </row>
    <row r="788" ht="14.25" customHeight="1">
      <c r="B788" s="140">
        <v>46015.0</v>
      </c>
      <c r="C788" s="141" t="str">
        <f t="shared" si="1"/>
        <v>12-2025</v>
      </c>
      <c r="D788" s="54">
        <f t="shared" si="114"/>
        <v>7405</v>
      </c>
      <c r="E788" s="138">
        <v>7416.0</v>
      </c>
      <c r="F788" s="54">
        <f t="shared" si="95"/>
        <v>11</v>
      </c>
      <c r="G788" s="54">
        <f t="shared" si="37"/>
        <v>1</v>
      </c>
    </row>
    <row r="789" ht="14.25" customHeight="1">
      <c r="B789" s="142">
        <v>46016.0</v>
      </c>
      <c r="C789" s="141" t="str">
        <f t="shared" si="1"/>
        <v>12-2025</v>
      </c>
      <c r="D789" s="54"/>
      <c r="E789" s="54"/>
      <c r="F789" s="54">
        <f t="shared" si="95"/>
        <v>0</v>
      </c>
      <c r="G789" s="54">
        <f t="shared" si="37"/>
        <v>-10</v>
      </c>
    </row>
    <row r="790" ht="14.25" customHeight="1">
      <c r="B790" s="140">
        <v>46017.0</v>
      </c>
      <c r="C790" s="141" t="str">
        <f t="shared" si="1"/>
        <v>12-2025</v>
      </c>
      <c r="D790" s="138">
        <v>7416.0</v>
      </c>
      <c r="E790" s="138">
        <v>7427.0</v>
      </c>
      <c r="F790" s="54">
        <f t="shared" si="95"/>
        <v>11</v>
      </c>
      <c r="G790" s="54">
        <f t="shared" si="37"/>
        <v>1</v>
      </c>
    </row>
    <row r="791" ht="14.25" customHeight="1">
      <c r="B791" s="142">
        <v>46018.0</v>
      </c>
      <c r="C791" s="141" t="str">
        <f t="shared" si="1"/>
        <v>12-2025</v>
      </c>
      <c r="D791" s="54"/>
      <c r="E791" s="54"/>
      <c r="F791" s="54">
        <f t="shared" si="95"/>
        <v>0</v>
      </c>
      <c r="G791" s="54">
        <f t="shared" si="37"/>
        <v>-10</v>
      </c>
    </row>
    <row r="792" ht="14.25" customHeight="1">
      <c r="B792" s="142">
        <v>46019.0</v>
      </c>
      <c r="C792" s="141" t="str">
        <f t="shared" si="1"/>
        <v>12-2025</v>
      </c>
      <c r="D792" s="54" t="str">
        <f>E791</f>
        <v/>
      </c>
      <c r="E792" s="54"/>
      <c r="F792" s="54">
        <f t="shared" si="95"/>
        <v>0</v>
      </c>
      <c r="G792" s="54">
        <f t="shared" si="37"/>
        <v>-10</v>
      </c>
    </row>
    <row r="793" ht="14.25" customHeight="1">
      <c r="B793" s="140">
        <v>46020.0</v>
      </c>
      <c r="C793" s="141" t="str">
        <f t="shared" si="1"/>
        <v>12-2025</v>
      </c>
      <c r="D793" s="138">
        <v>7427.0</v>
      </c>
      <c r="E793" s="138">
        <v>7439.0</v>
      </c>
      <c r="F793" s="54">
        <f t="shared" si="95"/>
        <v>12</v>
      </c>
      <c r="G793" s="54">
        <f t="shared" si="37"/>
        <v>2</v>
      </c>
    </row>
    <row r="794" ht="14.25" customHeight="1">
      <c r="B794" s="140">
        <v>46021.0</v>
      </c>
      <c r="C794" s="141" t="str">
        <f t="shared" si="1"/>
        <v>12-2025</v>
      </c>
      <c r="D794" s="54">
        <f t="shared" ref="D794:D795" si="115">E793</f>
        <v>7439</v>
      </c>
      <c r="E794" s="138">
        <v>7451.0</v>
      </c>
      <c r="F794" s="54">
        <f t="shared" si="95"/>
        <v>12</v>
      </c>
      <c r="G794" s="54">
        <f t="shared" si="37"/>
        <v>2</v>
      </c>
    </row>
    <row r="795" ht="14.25" customHeight="1">
      <c r="B795" s="140">
        <v>46022.0</v>
      </c>
      <c r="C795" s="141" t="str">
        <f t="shared" si="1"/>
        <v>12-2025</v>
      </c>
      <c r="D795" s="54">
        <f t="shared" si="115"/>
        <v>7451</v>
      </c>
      <c r="E795" s="138">
        <v>7452.0</v>
      </c>
      <c r="F795" s="54">
        <f t="shared" si="95"/>
        <v>1</v>
      </c>
      <c r="G795" s="54">
        <f t="shared" si="37"/>
        <v>-9</v>
      </c>
    </row>
    <row r="796" ht="14.25" customHeight="1">
      <c r="B796" s="140">
        <v>46023.0</v>
      </c>
      <c r="C796" s="141" t="str">
        <f t="shared" si="1"/>
        <v>1-2026</v>
      </c>
      <c r="D796" s="138">
        <v>7452.0</v>
      </c>
      <c r="E796" s="138">
        <v>7458.0</v>
      </c>
      <c r="F796" s="54">
        <f t="shared" si="95"/>
        <v>6</v>
      </c>
      <c r="G796" s="54">
        <f t="shared" si="37"/>
        <v>-4</v>
      </c>
    </row>
    <row r="797" ht="14.25" customHeight="1">
      <c r="B797" s="140">
        <v>46024.0</v>
      </c>
      <c r="C797" s="141" t="str">
        <f t="shared" si="1"/>
        <v>1-2026</v>
      </c>
      <c r="D797" s="54"/>
      <c r="E797" s="54"/>
      <c r="F797" s="54">
        <f t="shared" si="95"/>
        <v>0</v>
      </c>
      <c r="G797" s="54">
        <f t="shared" si="37"/>
        <v>-10</v>
      </c>
    </row>
    <row r="798" ht="14.25" customHeight="1">
      <c r="B798" s="151">
        <v>46025.0</v>
      </c>
      <c r="C798" s="141" t="str">
        <f t="shared" si="1"/>
        <v>1-2026</v>
      </c>
      <c r="D798" s="54" t="str">
        <f t="shared" ref="D798:D799" si="116">E797</f>
        <v/>
      </c>
      <c r="E798" s="54"/>
      <c r="F798" s="54">
        <f t="shared" si="95"/>
        <v>0</v>
      </c>
      <c r="G798" s="54">
        <f t="shared" si="37"/>
        <v>-10</v>
      </c>
    </row>
    <row r="799" ht="14.25" customHeight="1">
      <c r="B799" s="151">
        <v>46026.0</v>
      </c>
      <c r="C799" s="141" t="str">
        <f t="shared" si="1"/>
        <v>1-2026</v>
      </c>
      <c r="D799" s="54" t="str">
        <f t="shared" si="116"/>
        <v/>
      </c>
      <c r="E799" s="54"/>
      <c r="F799" s="54">
        <f t="shared" si="95"/>
        <v>0</v>
      </c>
      <c r="G799" s="54">
        <f t="shared" si="37"/>
        <v>-10</v>
      </c>
    </row>
    <row r="800" ht="14.25" customHeight="1">
      <c r="B800" s="140">
        <v>46027.0</v>
      </c>
      <c r="C800" s="141" t="str">
        <f t="shared" si="1"/>
        <v>1-2026</v>
      </c>
      <c r="D800" s="138">
        <v>7458.0</v>
      </c>
      <c r="E800" s="138">
        <v>7469.0</v>
      </c>
      <c r="F800" s="54">
        <f t="shared" si="95"/>
        <v>11</v>
      </c>
      <c r="G800" s="54">
        <f t="shared" si="37"/>
        <v>1</v>
      </c>
    </row>
    <row r="801" ht="14.25" customHeight="1">
      <c r="B801" s="140">
        <v>46028.0</v>
      </c>
      <c r="C801" s="141" t="str">
        <f t="shared" si="1"/>
        <v>1-2026</v>
      </c>
      <c r="D801" s="54">
        <f t="shared" ref="D801:D802" si="117">E800</f>
        <v>7469</v>
      </c>
      <c r="E801" s="138">
        <v>7478.0</v>
      </c>
      <c r="F801" s="54">
        <f t="shared" si="95"/>
        <v>9</v>
      </c>
      <c r="G801" s="54">
        <f t="shared" si="37"/>
        <v>-1</v>
      </c>
    </row>
    <row r="802" ht="14.25" customHeight="1">
      <c r="B802" s="140">
        <v>46029.0</v>
      </c>
      <c r="C802" s="141" t="str">
        <f t="shared" si="1"/>
        <v>1-2026</v>
      </c>
      <c r="D802" s="54">
        <f t="shared" si="117"/>
        <v>7478</v>
      </c>
      <c r="E802" s="138">
        <v>7488.0</v>
      </c>
      <c r="F802" s="54">
        <f t="shared" si="95"/>
        <v>10</v>
      </c>
      <c r="G802" s="54">
        <f t="shared" si="37"/>
        <v>0</v>
      </c>
    </row>
    <row r="803" ht="14.25" customHeight="1">
      <c r="B803" s="140">
        <v>46030.0</v>
      </c>
      <c r="C803" s="141" t="str">
        <f t="shared" si="1"/>
        <v>1-2026</v>
      </c>
      <c r="D803" s="54"/>
      <c r="E803" s="54"/>
      <c r="F803" s="54">
        <f t="shared" si="95"/>
        <v>0</v>
      </c>
      <c r="G803" s="54">
        <f t="shared" si="37"/>
        <v>-10</v>
      </c>
    </row>
    <row r="804" ht="14.25" customHeight="1">
      <c r="B804" s="140">
        <v>46031.0</v>
      </c>
      <c r="C804" s="141" t="str">
        <f t="shared" si="1"/>
        <v>1-2026</v>
      </c>
      <c r="D804" s="138">
        <v>7488.0</v>
      </c>
      <c r="E804" s="138">
        <v>7498.0</v>
      </c>
      <c r="F804" s="54">
        <f t="shared" si="95"/>
        <v>10</v>
      </c>
      <c r="G804" s="54">
        <f t="shared" si="37"/>
        <v>0</v>
      </c>
    </row>
    <row r="805" ht="14.25" customHeight="1">
      <c r="B805" s="151">
        <v>46032.0</v>
      </c>
      <c r="C805" s="141" t="str">
        <f t="shared" si="1"/>
        <v>1-2026</v>
      </c>
      <c r="D805" s="54"/>
      <c r="E805" s="54"/>
      <c r="F805" s="54">
        <f t="shared" si="95"/>
        <v>0</v>
      </c>
      <c r="G805" s="54">
        <f t="shared" si="37"/>
        <v>-10</v>
      </c>
    </row>
    <row r="806" ht="14.25" customHeight="1">
      <c r="B806" s="151">
        <v>46033.0</v>
      </c>
      <c r="C806" s="141" t="str">
        <f t="shared" si="1"/>
        <v>1-2026</v>
      </c>
      <c r="D806" s="54" t="str">
        <f>E805</f>
        <v/>
      </c>
      <c r="E806" s="54"/>
      <c r="F806" s="54">
        <f t="shared" si="95"/>
        <v>0</v>
      </c>
      <c r="G806" s="54">
        <f t="shared" si="37"/>
        <v>-10</v>
      </c>
    </row>
    <row r="807" ht="14.25" customHeight="1">
      <c r="B807" s="140">
        <v>46034.0</v>
      </c>
      <c r="C807" s="141" t="str">
        <f t="shared" si="1"/>
        <v>1-2026</v>
      </c>
      <c r="D807" s="138">
        <v>7498.0</v>
      </c>
      <c r="E807" s="138">
        <v>7504.0</v>
      </c>
      <c r="F807" s="54">
        <f t="shared" si="95"/>
        <v>6</v>
      </c>
      <c r="G807" s="54">
        <f t="shared" si="37"/>
        <v>-4</v>
      </c>
    </row>
    <row r="808" ht="14.25" customHeight="1">
      <c r="B808" s="140">
        <v>46035.0</v>
      </c>
      <c r="C808" s="141" t="str">
        <f t="shared" si="1"/>
        <v>1-2026</v>
      </c>
      <c r="D808" s="54">
        <f t="shared" ref="D808:D812" si="118">E807</f>
        <v>7504</v>
      </c>
      <c r="E808" s="138">
        <v>7514.0</v>
      </c>
      <c r="F808" s="54">
        <f t="shared" si="95"/>
        <v>10</v>
      </c>
      <c r="G808" s="54">
        <f t="shared" si="37"/>
        <v>0</v>
      </c>
    </row>
    <row r="809" ht="14.25" customHeight="1">
      <c r="B809" s="140">
        <v>46036.0</v>
      </c>
      <c r="C809" s="141" t="str">
        <f t="shared" si="1"/>
        <v>1-2026</v>
      </c>
      <c r="D809" s="54">
        <f t="shared" si="118"/>
        <v>7514</v>
      </c>
      <c r="E809" s="138">
        <v>7524.0</v>
      </c>
      <c r="F809" s="54">
        <f t="shared" si="95"/>
        <v>10</v>
      </c>
      <c r="G809" s="54">
        <f t="shared" si="37"/>
        <v>0</v>
      </c>
    </row>
    <row r="810" ht="14.25" customHeight="1">
      <c r="B810" s="140">
        <v>46037.0</v>
      </c>
      <c r="C810" s="141" t="str">
        <f t="shared" si="1"/>
        <v>1-2026</v>
      </c>
      <c r="D810" s="54">
        <f t="shared" si="118"/>
        <v>7524</v>
      </c>
      <c r="E810" s="138">
        <v>7531.0</v>
      </c>
      <c r="F810" s="54">
        <f t="shared" si="95"/>
        <v>7</v>
      </c>
      <c r="G810" s="54">
        <f t="shared" si="37"/>
        <v>-3</v>
      </c>
      <c r="H810" s="158" t="s">
        <v>124</v>
      </c>
      <c r="I810" s="158" t="s">
        <v>125</v>
      </c>
      <c r="J810" s="158" t="s">
        <v>126</v>
      </c>
      <c r="K810" s="158" t="s">
        <v>127</v>
      </c>
      <c r="L810" s="158" t="s">
        <v>128</v>
      </c>
    </row>
    <row r="811" ht="14.25" customHeight="1">
      <c r="B811" s="140">
        <v>46038.0</v>
      </c>
      <c r="C811" s="141" t="str">
        <f t="shared" si="1"/>
        <v>1-2026</v>
      </c>
      <c r="D811" s="54">
        <f t="shared" si="118"/>
        <v>7531</v>
      </c>
      <c r="E811" s="138">
        <v>7541.0</v>
      </c>
      <c r="F811" s="54">
        <f t="shared" si="95"/>
        <v>10</v>
      </c>
      <c r="G811" s="54">
        <f t="shared" si="37"/>
        <v>0</v>
      </c>
    </row>
    <row r="812" ht="14.25" customHeight="1">
      <c r="B812" s="151">
        <v>46039.0</v>
      </c>
      <c r="C812" s="141" t="str">
        <f t="shared" si="1"/>
        <v>1-2026</v>
      </c>
      <c r="D812" s="54">
        <f t="shared" si="118"/>
        <v>7541</v>
      </c>
      <c r="E812" s="138">
        <v>7541.8</v>
      </c>
      <c r="F812" s="54">
        <f t="shared" si="95"/>
        <v>0.8</v>
      </c>
      <c r="G812" s="54">
        <f t="shared" si="37"/>
        <v>-9.2</v>
      </c>
    </row>
    <row r="813" ht="14.25" customHeight="1">
      <c r="B813" s="151">
        <v>46040.0</v>
      </c>
      <c r="C813" s="141" t="str">
        <f t="shared" si="1"/>
        <v>1-2026</v>
      </c>
      <c r="D813" s="54"/>
      <c r="E813" s="54"/>
      <c r="F813" s="54">
        <f t="shared" si="95"/>
        <v>0</v>
      </c>
      <c r="G813" s="54">
        <f t="shared" si="37"/>
        <v>-10</v>
      </c>
    </row>
    <row r="814" ht="14.25" customHeight="1">
      <c r="B814" s="140">
        <v>46041.0</v>
      </c>
      <c r="C814" s="141" t="str">
        <f t="shared" si="1"/>
        <v>1-2026</v>
      </c>
      <c r="D814" s="138">
        <v>7541.8</v>
      </c>
      <c r="E814" s="138">
        <v>7548.0</v>
      </c>
      <c r="F814" s="54">
        <f t="shared" si="95"/>
        <v>6.2</v>
      </c>
      <c r="G814" s="54">
        <f t="shared" si="37"/>
        <v>-3.8</v>
      </c>
    </row>
    <row r="815" ht="14.25" customHeight="1">
      <c r="B815" s="140">
        <v>46042.0</v>
      </c>
      <c r="C815" s="141" t="str">
        <f t="shared" si="1"/>
        <v>1-2026</v>
      </c>
      <c r="D815" s="54">
        <f t="shared" ref="D815:D817" si="119">E814</f>
        <v>7548</v>
      </c>
      <c r="E815" s="138">
        <v>7555.0</v>
      </c>
      <c r="F815" s="54">
        <f t="shared" si="95"/>
        <v>7</v>
      </c>
      <c r="G815" s="54">
        <f t="shared" si="37"/>
        <v>-3</v>
      </c>
    </row>
    <row r="816" ht="14.25" customHeight="1">
      <c r="B816" s="140">
        <v>46043.0</v>
      </c>
      <c r="C816" s="141" t="str">
        <f t="shared" si="1"/>
        <v>1-2026</v>
      </c>
      <c r="D816" s="54">
        <f t="shared" si="119"/>
        <v>7555</v>
      </c>
      <c r="E816" s="138">
        <v>7565.0</v>
      </c>
      <c r="F816" s="54">
        <f t="shared" si="95"/>
        <v>10</v>
      </c>
      <c r="G816" s="54">
        <f t="shared" si="37"/>
        <v>0</v>
      </c>
    </row>
    <row r="817" ht="14.25" customHeight="1">
      <c r="B817" s="140">
        <v>46044.0</v>
      </c>
      <c r="C817" s="141" t="str">
        <f t="shared" si="1"/>
        <v>1-2026</v>
      </c>
      <c r="D817" s="54">
        <f t="shared" si="119"/>
        <v>7565</v>
      </c>
      <c r="E817" s="138">
        <v>7574.0</v>
      </c>
      <c r="F817" s="54">
        <f t="shared" si="95"/>
        <v>9</v>
      </c>
      <c r="G817" s="54">
        <f t="shared" si="37"/>
        <v>-1</v>
      </c>
    </row>
    <row r="818" ht="14.25" customHeight="1">
      <c r="B818" s="140">
        <v>46045.0</v>
      </c>
      <c r="C818" s="141" t="str">
        <f t="shared" si="1"/>
        <v>1-2026</v>
      </c>
      <c r="D818" s="54"/>
      <c r="E818" s="54"/>
      <c r="F818" s="54">
        <f t="shared" si="95"/>
        <v>0</v>
      </c>
      <c r="G818" s="54">
        <f t="shared" si="37"/>
        <v>-10</v>
      </c>
    </row>
    <row r="819" ht="14.25" customHeight="1">
      <c r="B819" s="151">
        <v>46046.0</v>
      </c>
      <c r="C819" s="141" t="str">
        <f t="shared" si="1"/>
        <v>1-2026</v>
      </c>
      <c r="D819" s="54" t="str">
        <f t="shared" ref="D819:D821" si="120">E818</f>
        <v/>
      </c>
      <c r="E819" s="54"/>
      <c r="F819" s="54">
        <f t="shared" si="95"/>
        <v>0</v>
      </c>
      <c r="G819" s="54">
        <f t="shared" si="37"/>
        <v>-10</v>
      </c>
    </row>
    <row r="820" ht="14.25" customHeight="1">
      <c r="B820" s="151">
        <v>46047.0</v>
      </c>
      <c r="C820" s="141" t="str">
        <f t="shared" si="1"/>
        <v>1-2026</v>
      </c>
      <c r="D820" s="54" t="str">
        <f t="shared" si="120"/>
        <v/>
      </c>
      <c r="E820" s="54"/>
      <c r="F820" s="54">
        <f t="shared" si="95"/>
        <v>0</v>
      </c>
      <c r="G820" s="54">
        <f t="shared" si="37"/>
        <v>-10</v>
      </c>
    </row>
    <row r="821" ht="14.25" customHeight="1">
      <c r="B821" s="140">
        <v>46048.0</v>
      </c>
      <c r="C821" s="141" t="str">
        <f t="shared" si="1"/>
        <v>1-2026</v>
      </c>
      <c r="D821" s="54" t="str">
        <f t="shared" si="120"/>
        <v/>
      </c>
      <c r="E821" s="54"/>
      <c r="F821" s="54">
        <f t="shared" si="95"/>
        <v>0</v>
      </c>
      <c r="G821" s="54">
        <f t="shared" si="37"/>
        <v>-10</v>
      </c>
    </row>
    <row r="822" ht="14.25" customHeight="1">
      <c r="B822" s="140">
        <v>46049.0</v>
      </c>
      <c r="C822" s="141" t="str">
        <f t="shared" si="1"/>
        <v>1-2026</v>
      </c>
      <c r="D822" s="138">
        <v>7574.0</v>
      </c>
      <c r="E822" s="138">
        <v>7581.0</v>
      </c>
      <c r="F822" s="54">
        <f t="shared" si="95"/>
        <v>7</v>
      </c>
      <c r="G822" s="54">
        <f t="shared" si="37"/>
        <v>-3</v>
      </c>
    </row>
    <row r="823" ht="14.25" customHeight="1">
      <c r="B823" s="140">
        <v>46050.0</v>
      </c>
      <c r="C823" s="141" t="str">
        <f t="shared" si="1"/>
        <v>1-2026</v>
      </c>
      <c r="D823" s="54">
        <f t="shared" ref="D823:D824" si="121">E822</f>
        <v>7581</v>
      </c>
      <c r="E823" s="138">
        <v>7590.0</v>
      </c>
      <c r="F823" s="54">
        <f t="shared" si="95"/>
        <v>9</v>
      </c>
      <c r="G823" s="54">
        <f t="shared" si="37"/>
        <v>-1</v>
      </c>
    </row>
    <row r="824" ht="14.25" customHeight="1">
      <c r="B824" s="140">
        <v>46051.0</v>
      </c>
      <c r="C824" s="141" t="str">
        <f t="shared" si="1"/>
        <v>1-2026</v>
      </c>
      <c r="D824" s="54">
        <f t="shared" si="121"/>
        <v>7590</v>
      </c>
      <c r="E824" s="138">
        <v>7600.0</v>
      </c>
      <c r="F824" s="54">
        <f t="shared" si="95"/>
        <v>10</v>
      </c>
      <c r="G824" s="54">
        <f t="shared" si="37"/>
        <v>0</v>
      </c>
      <c r="H824" s="28">
        <v>2251.0</v>
      </c>
    </row>
    <row r="825" ht="14.25" customHeight="1">
      <c r="B825" s="140">
        <v>46052.0</v>
      </c>
      <c r="C825" s="141" t="str">
        <f t="shared" si="1"/>
        <v>1-2026</v>
      </c>
      <c r="D825" s="54"/>
      <c r="E825" s="54"/>
      <c r="F825" s="54">
        <f t="shared" si="95"/>
        <v>0</v>
      </c>
      <c r="G825" s="54">
        <f t="shared" si="37"/>
        <v>-10</v>
      </c>
    </row>
    <row r="826" ht="14.25" customHeight="1">
      <c r="B826" s="151">
        <v>46053.0</v>
      </c>
      <c r="C826" s="141" t="str">
        <f t="shared" si="1"/>
        <v>1-2026</v>
      </c>
      <c r="D826" s="54" t="str">
        <f t="shared" ref="D826:D865" si="122">E825</f>
        <v/>
      </c>
      <c r="E826" s="54"/>
      <c r="F826" s="54">
        <f t="shared" si="95"/>
        <v>0</v>
      </c>
      <c r="G826" s="54">
        <f t="shared" si="37"/>
        <v>-10</v>
      </c>
    </row>
    <row r="827" ht="14.25" customHeight="1">
      <c r="B827" s="140">
        <v>46054.0</v>
      </c>
      <c r="C827" s="141" t="str">
        <f t="shared" si="1"/>
        <v>2-2026</v>
      </c>
      <c r="D827" s="54" t="str">
        <f t="shared" si="122"/>
        <v/>
      </c>
      <c r="E827" s="138"/>
      <c r="F827" s="54">
        <f t="shared" si="95"/>
        <v>0</v>
      </c>
      <c r="G827" s="54">
        <f t="shared" si="37"/>
        <v>-10</v>
      </c>
    </row>
    <row r="828" ht="14.25" customHeight="1">
      <c r="B828" s="140">
        <v>46055.0</v>
      </c>
      <c r="C828" s="141" t="str">
        <f t="shared" si="1"/>
        <v>2-2026</v>
      </c>
      <c r="D828" s="54" t="str">
        <f t="shared" si="122"/>
        <v/>
      </c>
      <c r="E828" s="54"/>
      <c r="F828" s="54">
        <f t="shared" si="95"/>
        <v>0</v>
      </c>
      <c r="G828" s="54">
        <f t="shared" si="37"/>
        <v>-10</v>
      </c>
    </row>
    <row r="829" ht="14.25" customHeight="1">
      <c r="B829" s="140">
        <v>46056.0</v>
      </c>
      <c r="C829" s="141" t="str">
        <f t="shared" si="1"/>
        <v>2-2026</v>
      </c>
      <c r="D829" s="54" t="str">
        <f t="shared" si="122"/>
        <v/>
      </c>
      <c r="E829" s="54"/>
      <c r="F829" s="54">
        <f t="shared" si="95"/>
        <v>0</v>
      </c>
      <c r="G829" s="54">
        <f t="shared" si="37"/>
        <v>-10</v>
      </c>
    </row>
    <row r="830" ht="14.25" customHeight="1">
      <c r="B830" s="140">
        <v>46057.0</v>
      </c>
      <c r="C830" s="141" t="str">
        <f t="shared" si="1"/>
        <v>2-2026</v>
      </c>
      <c r="D830" s="54" t="str">
        <f t="shared" si="122"/>
        <v/>
      </c>
      <c r="E830" s="54"/>
      <c r="F830" s="54">
        <f t="shared" si="95"/>
        <v>0</v>
      </c>
      <c r="G830" s="54">
        <f t="shared" si="37"/>
        <v>-10</v>
      </c>
    </row>
    <row r="831" ht="14.25" customHeight="1">
      <c r="B831" s="140">
        <v>46058.0</v>
      </c>
      <c r="C831" s="141" t="str">
        <f t="shared" si="1"/>
        <v>2-2026</v>
      </c>
      <c r="D831" s="54" t="str">
        <f t="shared" si="122"/>
        <v/>
      </c>
      <c r="E831" s="54"/>
      <c r="F831" s="54">
        <f t="shared" si="95"/>
        <v>0</v>
      </c>
      <c r="G831" s="54">
        <f t="shared" si="37"/>
        <v>-10</v>
      </c>
    </row>
    <row r="832" ht="14.25" customHeight="1">
      <c r="B832" s="140">
        <v>46059.0</v>
      </c>
      <c r="C832" s="141" t="str">
        <f t="shared" si="1"/>
        <v>2-2026</v>
      </c>
      <c r="D832" s="54" t="str">
        <f t="shared" si="122"/>
        <v/>
      </c>
      <c r="E832" s="54"/>
      <c r="F832" s="54">
        <f t="shared" si="95"/>
        <v>0</v>
      </c>
      <c r="G832" s="54">
        <f t="shared" si="37"/>
        <v>-10</v>
      </c>
    </row>
    <row r="833" ht="14.25" customHeight="1">
      <c r="B833" s="140">
        <v>46060.0</v>
      </c>
      <c r="C833" s="141" t="str">
        <f t="shared" si="1"/>
        <v>2-2026</v>
      </c>
      <c r="D833" s="54" t="str">
        <f t="shared" si="122"/>
        <v/>
      </c>
      <c r="E833" s="54"/>
      <c r="F833" s="54">
        <f t="shared" si="95"/>
        <v>0</v>
      </c>
      <c r="G833" s="54">
        <f t="shared" si="37"/>
        <v>-10</v>
      </c>
    </row>
    <row r="834" ht="14.25" customHeight="1">
      <c r="B834" s="140">
        <v>46061.0</v>
      </c>
      <c r="C834" s="141" t="str">
        <f t="shared" si="1"/>
        <v>2-2026</v>
      </c>
      <c r="D834" s="54" t="str">
        <f t="shared" si="122"/>
        <v/>
      </c>
      <c r="E834" s="54"/>
      <c r="F834" s="54">
        <f t="shared" si="95"/>
        <v>0</v>
      </c>
      <c r="G834" s="54">
        <f t="shared" si="37"/>
        <v>-10</v>
      </c>
    </row>
    <row r="835" ht="14.25" customHeight="1">
      <c r="B835" s="140">
        <v>46062.0</v>
      </c>
      <c r="C835" s="141" t="str">
        <f t="shared" si="1"/>
        <v>2-2026</v>
      </c>
      <c r="D835" s="54" t="str">
        <f t="shared" si="122"/>
        <v/>
      </c>
      <c r="E835" s="54"/>
      <c r="F835" s="54">
        <f t="shared" si="95"/>
        <v>0</v>
      </c>
      <c r="G835" s="54">
        <f t="shared" si="37"/>
        <v>-10</v>
      </c>
    </row>
    <row r="836" ht="14.25" customHeight="1">
      <c r="B836" s="140">
        <v>46063.0</v>
      </c>
      <c r="C836" s="141" t="str">
        <f t="shared" si="1"/>
        <v>2-2026</v>
      </c>
      <c r="D836" s="54" t="str">
        <f t="shared" si="122"/>
        <v/>
      </c>
      <c r="E836" s="54"/>
      <c r="F836" s="54">
        <f t="shared" si="95"/>
        <v>0</v>
      </c>
      <c r="G836" s="54">
        <f t="shared" si="37"/>
        <v>-10</v>
      </c>
    </row>
    <row r="837" ht="14.25" customHeight="1">
      <c r="B837" s="140">
        <v>46064.0</v>
      </c>
      <c r="C837" s="141" t="str">
        <f t="shared" si="1"/>
        <v>2-2026</v>
      </c>
      <c r="D837" s="54" t="str">
        <f t="shared" si="122"/>
        <v/>
      </c>
      <c r="E837" s="54"/>
      <c r="F837" s="54">
        <f t="shared" si="95"/>
        <v>0</v>
      </c>
      <c r="G837" s="54">
        <f t="shared" si="37"/>
        <v>-10</v>
      </c>
    </row>
    <row r="838" ht="14.25" customHeight="1">
      <c r="B838" s="140">
        <v>46065.0</v>
      </c>
      <c r="C838" s="141" t="str">
        <f t="shared" si="1"/>
        <v>2-2026</v>
      </c>
      <c r="D838" s="54" t="str">
        <f t="shared" si="122"/>
        <v/>
      </c>
      <c r="E838" s="54"/>
      <c r="F838" s="54">
        <f t="shared" si="95"/>
        <v>0</v>
      </c>
      <c r="G838" s="54">
        <f t="shared" si="37"/>
        <v>-10</v>
      </c>
    </row>
    <row r="839" ht="14.25" customHeight="1">
      <c r="B839" s="140">
        <v>46066.0</v>
      </c>
      <c r="C839" s="141" t="str">
        <f t="shared" si="1"/>
        <v>2-2026</v>
      </c>
      <c r="D839" s="54" t="str">
        <f t="shared" si="122"/>
        <v/>
      </c>
      <c r="E839" s="54"/>
      <c r="F839" s="54">
        <f t="shared" si="95"/>
        <v>0</v>
      </c>
      <c r="G839" s="54">
        <f t="shared" si="37"/>
        <v>-10</v>
      </c>
    </row>
    <row r="840" ht="14.25" customHeight="1">
      <c r="B840" s="140">
        <v>46067.0</v>
      </c>
      <c r="C840" s="141" t="str">
        <f t="shared" si="1"/>
        <v>2-2026</v>
      </c>
      <c r="D840" s="54" t="str">
        <f t="shared" si="122"/>
        <v/>
      </c>
      <c r="E840" s="54"/>
      <c r="F840" s="54">
        <f t="shared" si="95"/>
        <v>0</v>
      </c>
      <c r="G840" s="54">
        <f t="shared" si="37"/>
        <v>-10</v>
      </c>
    </row>
    <row r="841" ht="14.25" customHeight="1">
      <c r="B841" s="140">
        <v>46068.0</v>
      </c>
      <c r="C841" s="141" t="str">
        <f t="shared" si="1"/>
        <v>2-2026</v>
      </c>
      <c r="D841" s="54" t="str">
        <f t="shared" si="122"/>
        <v/>
      </c>
      <c r="E841" s="54"/>
      <c r="F841" s="54">
        <f t="shared" si="95"/>
        <v>0</v>
      </c>
      <c r="G841" s="54">
        <f t="shared" si="37"/>
        <v>-10</v>
      </c>
    </row>
    <row r="842" ht="14.25" customHeight="1">
      <c r="B842" s="140">
        <v>46069.0</v>
      </c>
      <c r="C842" s="141" t="str">
        <f t="shared" si="1"/>
        <v>2-2026</v>
      </c>
      <c r="D842" s="54" t="str">
        <f t="shared" si="122"/>
        <v/>
      </c>
      <c r="E842" s="54"/>
      <c r="F842" s="54">
        <f t="shared" si="95"/>
        <v>0</v>
      </c>
      <c r="G842" s="54">
        <f t="shared" si="37"/>
        <v>-10</v>
      </c>
    </row>
    <row r="843" ht="14.25" customHeight="1">
      <c r="B843" s="140">
        <v>46070.0</v>
      </c>
      <c r="C843" s="141" t="str">
        <f t="shared" si="1"/>
        <v>2-2026</v>
      </c>
      <c r="D843" s="54" t="str">
        <f t="shared" si="122"/>
        <v/>
      </c>
      <c r="E843" s="54"/>
      <c r="F843" s="54">
        <f t="shared" si="95"/>
        <v>0</v>
      </c>
      <c r="G843" s="54">
        <f t="shared" si="37"/>
        <v>-10</v>
      </c>
    </row>
    <row r="844" ht="14.25" customHeight="1">
      <c r="B844" s="140">
        <v>46071.0</v>
      </c>
      <c r="C844" s="141" t="str">
        <f t="shared" si="1"/>
        <v>2-2026</v>
      </c>
      <c r="D844" s="54" t="str">
        <f t="shared" si="122"/>
        <v/>
      </c>
      <c r="E844" s="54"/>
      <c r="F844" s="54">
        <f t="shared" si="95"/>
        <v>0</v>
      </c>
      <c r="G844" s="54">
        <f t="shared" si="37"/>
        <v>-10</v>
      </c>
    </row>
    <row r="845" ht="14.25" customHeight="1">
      <c r="B845" s="140">
        <v>46072.0</v>
      </c>
      <c r="C845" s="141" t="str">
        <f t="shared" si="1"/>
        <v>2-2026</v>
      </c>
      <c r="D845" s="54" t="str">
        <f t="shared" si="122"/>
        <v/>
      </c>
      <c r="E845" s="54"/>
      <c r="F845" s="54">
        <f t="shared" si="95"/>
        <v>0</v>
      </c>
      <c r="G845" s="54">
        <f t="shared" si="37"/>
        <v>-10</v>
      </c>
    </row>
    <row r="846" ht="14.25" customHeight="1">
      <c r="B846" s="140">
        <v>46073.0</v>
      </c>
      <c r="C846" s="141" t="str">
        <f t="shared" si="1"/>
        <v>2-2026</v>
      </c>
      <c r="D846" s="54" t="str">
        <f t="shared" si="122"/>
        <v/>
      </c>
      <c r="E846" s="54"/>
      <c r="F846" s="54">
        <f t="shared" si="95"/>
        <v>0</v>
      </c>
      <c r="G846" s="54">
        <f t="shared" si="37"/>
        <v>-10</v>
      </c>
    </row>
    <row r="847" ht="14.25" customHeight="1">
      <c r="B847" s="140">
        <v>46074.0</v>
      </c>
      <c r="C847" s="141" t="str">
        <f t="shared" si="1"/>
        <v>2-2026</v>
      </c>
      <c r="D847" s="54" t="str">
        <f t="shared" si="122"/>
        <v/>
      </c>
      <c r="E847" s="54"/>
      <c r="F847" s="54">
        <f t="shared" si="95"/>
        <v>0</v>
      </c>
      <c r="G847" s="54">
        <f t="shared" si="37"/>
        <v>-10</v>
      </c>
    </row>
    <row r="848" ht="14.25" customHeight="1">
      <c r="B848" s="140">
        <v>46075.0</v>
      </c>
      <c r="C848" s="141" t="str">
        <f t="shared" si="1"/>
        <v>2-2026</v>
      </c>
      <c r="D848" s="54" t="str">
        <f t="shared" si="122"/>
        <v/>
      </c>
      <c r="E848" s="54"/>
      <c r="F848" s="54">
        <f t="shared" si="95"/>
        <v>0</v>
      </c>
      <c r="G848" s="54">
        <f t="shared" si="37"/>
        <v>-10</v>
      </c>
    </row>
    <row r="849" ht="14.25" customHeight="1">
      <c r="B849" s="140">
        <v>46076.0</v>
      </c>
      <c r="C849" s="141" t="str">
        <f t="shared" si="1"/>
        <v>2-2026</v>
      </c>
      <c r="D849" s="54" t="str">
        <f t="shared" si="122"/>
        <v/>
      </c>
      <c r="E849" s="54"/>
      <c r="F849" s="54">
        <f t="shared" si="95"/>
        <v>0</v>
      </c>
      <c r="G849" s="54">
        <f t="shared" si="37"/>
        <v>-10</v>
      </c>
    </row>
    <row r="850" ht="14.25" customHeight="1">
      <c r="B850" s="140">
        <v>46077.0</v>
      </c>
      <c r="C850" s="141" t="str">
        <f t="shared" si="1"/>
        <v>2-2026</v>
      </c>
      <c r="D850" s="54" t="str">
        <f t="shared" si="122"/>
        <v/>
      </c>
      <c r="E850" s="54"/>
      <c r="F850" s="54">
        <f t="shared" si="95"/>
        <v>0</v>
      </c>
      <c r="G850" s="54">
        <f t="shared" si="37"/>
        <v>-10</v>
      </c>
    </row>
    <row r="851" ht="14.25" customHeight="1">
      <c r="B851" s="140">
        <v>46078.0</v>
      </c>
      <c r="C851" s="141" t="str">
        <f t="shared" si="1"/>
        <v>2-2026</v>
      </c>
      <c r="D851" s="54" t="str">
        <f t="shared" si="122"/>
        <v/>
      </c>
      <c r="E851" s="54"/>
      <c r="F851" s="54">
        <f t="shared" si="95"/>
        <v>0</v>
      </c>
      <c r="G851" s="54">
        <f t="shared" si="37"/>
        <v>-10</v>
      </c>
    </row>
    <row r="852" ht="14.25" customHeight="1">
      <c r="B852" s="140">
        <v>46079.0</v>
      </c>
      <c r="C852" s="141" t="str">
        <f t="shared" si="1"/>
        <v>2-2026</v>
      </c>
      <c r="D852" s="54" t="str">
        <f t="shared" si="122"/>
        <v/>
      </c>
      <c r="E852" s="54"/>
      <c r="F852" s="54">
        <f t="shared" si="95"/>
        <v>0</v>
      </c>
      <c r="G852" s="54">
        <f t="shared" si="37"/>
        <v>-10</v>
      </c>
    </row>
    <row r="853" ht="14.25" customHeight="1">
      <c r="B853" s="140">
        <v>46080.0</v>
      </c>
      <c r="C853" s="141" t="str">
        <f t="shared" si="1"/>
        <v>2-2026</v>
      </c>
      <c r="D853" s="54" t="str">
        <f t="shared" si="122"/>
        <v/>
      </c>
      <c r="E853" s="54"/>
      <c r="F853" s="54">
        <f t="shared" si="95"/>
        <v>0</v>
      </c>
      <c r="G853" s="54">
        <f t="shared" si="37"/>
        <v>-10</v>
      </c>
    </row>
    <row r="854" ht="14.25" customHeight="1">
      <c r="B854" s="140">
        <v>46081.0</v>
      </c>
      <c r="C854" s="141" t="str">
        <f t="shared" si="1"/>
        <v>2-2026</v>
      </c>
      <c r="D854" s="54" t="str">
        <f t="shared" si="122"/>
        <v/>
      </c>
      <c r="E854" s="54"/>
      <c r="F854" s="54">
        <f t="shared" si="95"/>
        <v>0</v>
      </c>
      <c r="G854" s="54">
        <f t="shared" si="37"/>
        <v>-10</v>
      </c>
    </row>
    <row r="855" ht="14.25" customHeight="1">
      <c r="B855" s="140">
        <v>46082.0</v>
      </c>
      <c r="C855" s="141" t="str">
        <f t="shared" si="1"/>
        <v>3-2026</v>
      </c>
      <c r="D855" s="54" t="str">
        <f t="shared" si="122"/>
        <v/>
      </c>
      <c r="E855" s="54"/>
      <c r="F855" s="54">
        <f t="shared" si="95"/>
        <v>0</v>
      </c>
      <c r="G855" s="54">
        <f t="shared" si="37"/>
        <v>-10</v>
      </c>
    </row>
    <row r="856" ht="14.25" customHeight="1">
      <c r="B856" s="140">
        <v>46083.0</v>
      </c>
      <c r="C856" s="141" t="str">
        <f t="shared" si="1"/>
        <v>3-2026</v>
      </c>
      <c r="D856" s="54" t="str">
        <f t="shared" si="122"/>
        <v/>
      </c>
      <c r="E856" s="54"/>
      <c r="F856" s="54">
        <f t="shared" si="95"/>
        <v>0</v>
      </c>
      <c r="G856" s="54">
        <f t="shared" si="37"/>
        <v>-10</v>
      </c>
    </row>
    <row r="857" ht="14.25" customHeight="1">
      <c r="B857" s="140">
        <v>46084.0</v>
      </c>
      <c r="C857" s="141" t="str">
        <f t="shared" si="1"/>
        <v>3-2026</v>
      </c>
      <c r="D857" s="54" t="str">
        <f t="shared" si="122"/>
        <v/>
      </c>
      <c r="E857" s="54"/>
      <c r="F857" s="54">
        <f t="shared" si="95"/>
        <v>0</v>
      </c>
      <c r="G857" s="54">
        <f t="shared" si="37"/>
        <v>-10</v>
      </c>
    </row>
    <row r="858" ht="14.25" customHeight="1">
      <c r="B858" s="140">
        <v>46085.0</v>
      </c>
      <c r="C858" s="141" t="str">
        <f t="shared" si="1"/>
        <v>3-2026</v>
      </c>
      <c r="D858" s="54" t="str">
        <f t="shared" si="122"/>
        <v/>
      </c>
      <c r="E858" s="54"/>
      <c r="F858" s="54">
        <f t="shared" si="95"/>
        <v>0</v>
      </c>
      <c r="G858" s="54">
        <f t="shared" si="37"/>
        <v>-10</v>
      </c>
    </row>
    <row r="859" ht="14.25" customHeight="1">
      <c r="B859" s="140">
        <v>46086.0</v>
      </c>
      <c r="C859" s="141" t="str">
        <f t="shared" si="1"/>
        <v>3-2026</v>
      </c>
      <c r="D859" s="54" t="str">
        <f t="shared" si="122"/>
        <v/>
      </c>
      <c r="E859" s="54"/>
      <c r="F859" s="54">
        <f t="shared" si="95"/>
        <v>0</v>
      </c>
      <c r="G859" s="54">
        <f t="shared" si="37"/>
        <v>-10</v>
      </c>
    </row>
    <row r="860" ht="14.25" customHeight="1">
      <c r="B860" s="140">
        <v>46087.0</v>
      </c>
      <c r="C860" s="141" t="str">
        <f t="shared" si="1"/>
        <v>3-2026</v>
      </c>
      <c r="D860" s="54" t="str">
        <f t="shared" si="122"/>
        <v/>
      </c>
      <c r="E860" s="54"/>
      <c r="F860" s="54">
        <f t="shared" si="95"/>
        <v>0</v>
      </c>
      <c r="G860" s="54">
        <f t="shared" si="37"/>
        <v>-10</v>
      </c>
    </row>
    <row r="861" ht="14.25" customHeight="1">
      <c r="B861" s="140">
        <v>46088.0</v>
      </c>
      <c r="C861" s="141" t="str">
        <f t="shared" si="1"/>
        <v>3-2026</v>
      </c>
      <c r="D861" s="54" t="str">
        <f t="shared" si="122"/>
        <v/>
      </c>
      <c r="E861" s="54"/>
      <c r="F861" s="54">
        <f t="shared" si="95"/>
        <v>0</v>
      </c>
      <c r="G861" s="54">
        <f t="shared" si="37"/>
        <v>-10</v>
      </c>
    </row>
    <row r="862" ht="14.25" customHeight="1">
      <c r="B862" s="140">
        <v>46089.0</v>
      </c>
      <c r="C862" s="141" t="str">
        <f t="shared" si="1"/>
        <v>3-2026</v>
      </c>
      <c r="D862" s="54" t="str">
        <f t="shared" si="122"/>
        <v/>
      </c>
      <c r="E862" s="54"/>
      <c r="F862" s="54">
        <f t="shared" si="95"/>
        <v>0</v>
      </c>
      <c r="G862" s="54">
        <f t="shared" si="37"/>
        <v>-10</v>
      </c>
    </row>
    <row r="863" ht="14.25" customHeight="1">
      <c r="B863" s="140">
        <v>46090.0</v>
      </c>
      <c r="C863" s="141" t="str">
        <f t="shared" si="1"/>
        <v>3-2026</v>
      </c>
      <c r="D863" s="54" t="str">
        <f t="shared" si="122"/>
        <v/>
      </c>
      <c r="E863" s="54"/>
      <c r="F863" s="54">
        <f t="shared" si="95"/>
        <v>0</v>
      </c>
      <c r="G863" s="54">
        <f t="shared" si="37"/>
        <v>-10</v>
      </c>
    </row>
    <row r="864" ht="14.25" customHeight="1">
      <c r="B864" s="140">
        <v>46091.0</v>
      </c>
      <c r="C864" s="141" t="str">
        <f t="shared" si="1"/>
        <v>3-2026</v>
      </c>
      <c r="D864" s="54" t="str">
        <f t="shared" si="122"/>
        <v/>
      </c>
      <c r="E864" s="54"/>
      <c r="F864" s="54">
        <f t="shared" si="95"/>
        <v>0</v>
      </c>
      <c r="G864" s="54">
        <f t="shared" si="37"/>
        <v>-10</v>
      </c>
    </row>
    <row r="865" ht="14.25" customHeight="1">
      <c r="B865" s="140">
        <v>46092.0</v>
      </c>
      <c r="C865" s="141" t="str">
        <f t="shared" si="1"/>
        <v>3-2026</v>
      </c>
      <c r="D865" s="54" t="str">
        <f t="shared" si="122"/>
        <v/>
      </c>
      <c r="E865" s="54"/>
      <c r="F865" s="54">
        <f t="shared" si="95"/>
        <v>0</v>
      </c>
      <c r="G865" s="54">
        <f t="shared" si="37"/>
        <v>-10</v>
      </c>
    </row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2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21" width="8.71"/>
  </cols>
  <sheetData>
    <row r="1" ht="14.25" customHeight="1">
      <c r="B1" s="129"/>
    </row>
    <row r="2" ht="14.25" customHeight="1"/>
    <row r="3" ht="18.75" customHeight="1">
      <c r="B3" s="159" t="s">
        <v>108</v>
      </c>
      <c r="C3" s="159" t="s">
        <v>2</v>
      </c>
      <c r="D3" s="159" t="s">
        <v>109</v>
      </c>
      <c r="E3" s="159" t="s">
        <v>110</v>
      </c>
      <c r="F3" s="159" t="s">
        <v>111</v>
      </c>
      <c r="G3" s="159" t="s">
        <v>112</v>
      </c>
      <c r="H3" s="159" t="s">
        <v>129</v>
      </c>
      <c r="I3" s="159"/>
      <c r="J3" s="135"/>
      <c r="K3" s="135"/>
      <c r="L3" s="135"/>
      <c r="M3" s="135"/>
      <c r="N3" s="135"/>
    </row>
    <row r="4" ht="14.25" hidden="1" customHeight="1">
      <c r="B4" s="133">
        <v>45231.0</v>
      </c>
      <c r="C4" s="134" t="str">
        <f t="shared" ref="C4:C1146" si="1">MONTH(B4)&amp; "-" &amp;YEAR(B4)</f>
        <v>11-2023</v>
      </c>
      <c r="D4" s="135">
        <v>5494.3</v>
      </c>
      <c r="E4" s="135">
        <v>5500.5</v>
      </c>
      <c r="F4" s="135">
        <f>'220 Antiga Silvinho '!$E4-'220 Antiga Silvinho '!$D4</f>
        <v>6.2</v>
      </c>
      <c r="G4" s="135">
        <f>'220 Antiga Silvinho '!$F4-10</f>
        <v>-3.8</v>
      </c>
      <c r="H4" s="135"/>
      <c r="I4" s="135"/>
      <c r="J4" s="135"/>
      <c r="K4" s="135"/>
      <c r="L4" s="135"/>
      <c r="M4" s="135"/>
      <c r="N4" s="135"/>
    </row>
    <row r="5" ht="14.25" hidden="1" customHeight="1">
      <c r="B5" s="133">
        <v>45232.0</v>
      </c>
      <c r="C5" s="134" t="str">
        <f t="shared" si="1"/>
        <v>11-2023</v>
      </c>
      <c r="D5" s="135">
        <f t="shared" ref="D5:D13" si="2">E4</f>
        <v>5500.5</v>
      </c>
      <c r="E5" s="135">
        <v>5510.9</v>
      </c>
      <c r="F5" s="135">
        <f>'220 Antiga Silvinho '!$E5-'220 Antiga Silvinho '!$D5</f>
        <v>10.4</v>
      </c>
      <c r="G5" s="135">
        <f>'220 Antiga Silvinho '!$F5-10</f>
        <v>0.4</v>
      </c>
      <c r="H5" s="135">
        <v>440.0</v>
      </c>
      <c r="I5" s="135"/>
      <c r="J5" s="135"/>
      <c r="K5" s="135"/>
      <c r="L5" s="135"/>
      <c r="M5" s="135"/>
      <c r="N5" s="135"/>
    </row>
    <row r="6" ht="14.25" hidden="1" customHeight="1">
      <c r="B6" s="133">
        <v>45233.0</v>
      </c>
      <c r="C6" s="134" t="str">
        <f t="shared" si="1"/>
        <v>11-2023</v>
      </c>
      <c r="D6" s="135">
        <f t="shared" si="2"/>
        <v>5510.9</v>
      </c>
      <c r="E6" s="135">
        <v>5521.3</v>
      </c>
      <c r="F6" s="135">
        <f>'220 Antiga Silvinho '!$E6-'220 Antiga Silvinho '!$D6</f>
        <v>10.4</v>
      </c>
      <c r="G6" s="135">
        <f>'220 Antiga Silvinho '!$F6-10</f>
        <v>0.4</v>
      </c>
      <c r="H6" s="135"/>
      <c r="I6" s="135"/>
      <c r="J6" s="135"/>
      <c r="K6" s="135"/>
      <c r="L6" s="135"/>
      <c r="M6" s="135"/>
      <c r="N6" s="135"/>
    </row>
    <row r="7" ht="14.25" hidden="1" customHeight="1">
      <c r="B7" s="133">
        <v>45234.0</v>
      </c>
      <c r="C7" s="134" t="str">
        <f t="shared" si="1"/>
        <v>11-2023</v>
      </c>
      <c r="D7" s="135">
        <f t="shared" si="2"/>
        <v>5521.3</v>
      </c>
      <c r="E7" s="135">
        <v>5523.7</v>
      </c>
      <c r="F7" s="135">
        <f>'220 Antiga Silvinho '!$E7-'220 Antiga Silvinho '!$D7</f>
        <v>2.4</v>
      </c>
      <c r="G7" s="135">
        <f>'220 Antiga Silvinho '!$F7-10</f>
        <v>-7.6</v>
      </c>
      <c r="H7" s="135">
        <v>350.0</v>
      </c>
      <c r="I7" s="135"/>
      <c r="J7" s="135"/>
      <c r="K7" s="135"/>
      <c r="L7" s="135"/>
      <c r="M7" s="135"/>
      <c r="N7" s="135"/>
    </row>
    <row r="8" ht="14.25" hidden="1" customHeight="1">
      <c r="B8" s="133">
        <v>45235.0</v>
      </c>
      <c r="C8" s="134" t="str">
        <f t="shared" si="1"/>
        <v>11-2023</v>
      </c>
      <c r="D8" s="135">
        <f t="shared" si="2"/>
        <v>5523.7</v>
      </c>
      <c r="E8" s="135">
        <v>5527.5</v>
      </c>
      <c r="F8" s="135">
        <f>'220 Antiga Silvinho '!$E8-'220 Antiga Silvinho '!$D8</f>
        <v>3.8</v>
      </c>
      <c r="G8" s="135">
        <f>'220 Antiga Silvinho '!$F8-10</f>
        <v>-6.2</v>
      </c>
      <c r="H8" s="135"/>
      <c r="I8" s="135"/>
      <c r="J8" s="135"/>
      <c r="K8" s="135"/>
      <c r="L8" s="135"/>
      <c r="M8" s="135"/>
      <c r="N8" s="135"/>
    </row>
    <row r="9" ht="14.25" hidden="1" customHeight="1">
      <c r="B9" s="133">
        <v>45236.0</v>
      </c>
      <c r="C9" s="134" t="str">
        <f t="shared" si="1"/>
        <v>11-2023</v>
      </c>
      <c r="D9" s="135">
        <f t="shared" si="2"/>
        <v>5527.5</v>
      </c>
      <c r="E9" s="135">
        <v>5538.3</v>
      </c>
      <c r="F9" s="135">
        <f>'220 Antiga Silvinho '!$E9-'220 Antiga Silvinho '!$D9</f>
        <v>10.8</v>
      </c>
      <c r="G9" s="135">
        <f>'220 Antiga Silvinho '!$F9-10</f>
        <v>0.8</v>
      </c>
      <c r="H9" s="135"/>
      <c r="I9" s="135"/>
      <c r="J9" s="135"/>
      <c r="K9" s="135"/>
      <c r="L9" s="135"/>
      <c r="M9" s="135"/>
      <c r="N9" s="135"/>
    </row>
    <row r="10" ht="14.25" hidden="1" customHeight="1">
      <c r="B10" s="133">
        <v>45237.0</v>
      </c>
      <c r="C10" s="134" t="str">
        <f t="shared" si="1"/>
        <v>11-2023</v>
      </c>
      <c r="D10" s="135">
        <f t="shared" si="2"/>
        <v>5538.3</v>
      </c>
      <c r="E10" s="135">
        <v>5549.6</v>
      </c>
      <c r="F10" s="135">
        <f>'220 Antiga Silvinho '!$E10-'220 Antiga Silvinho '!$D10</f>
        <v>11.3</v>
      </c>
      <c r="G10" s="135">
        <f>'220 Antiga Silvinho '!$F10-10</f>
        <v>1.3</v>
      </c>
      <c r="H10" s="135"/>
      <c r="I10" s="135"/>
      <c r="J10" s="135"/>
      <c r="K10" s="135"/>
      <c r="L10" s="135"/>
      <c r="M10" s="135"/>
      <c r="N10" s="135"/>
    </row>
    <row r="11" ht="14.25" hidden="1" customHeight="1">
      <c r="B11" s="133">
        <v>45238.0</v>
      </c>
      <c r="C11" s="134" t="str">
        <f t="shared" si="1"/>
        <v>11-2023</v>
      </c>
      <c r="D11" s="135">
        <f t="shared" si="2"/>
        <v>5549.6</v>
      </c>
      <c r="E11" s="135">
        <v>5561.1</v>
      </c>
      <c r="F11" s="135">
        <f>'220 Antiga Silvinho '!$E11-'220 Antiga Silvinho '!$D11</f>
        <v>11.5</v>
      </c>
      <c r="G11" s="135">
        <f>'220 Antiga Silvinho '!$F11-10</f>
        <v>1.5</v>
      </c>
      <c r="H11" s="135">
        <v>540.0</v>
      </c>
      <c r="I11" s="135"/>
      <c r="J11" s="135"/>
      <c r="K11" s="135"/>
      <c r="L11" s="135"/>
      <c r="M11" s="135"/>
      <c r="N11" s="135"/>
    </row>
    <row r="12" ht="14.25" hidden="1" customHeight="1">
      <c r="B12" s="133">
        <v>45239.0</v>
      </c>
      <c r="C12" s="134" t="str">
        <f t="shared" si="1"/>
        <v>11-2023</v>
      </c>
      <c r="D12" s="135">
        <f t="shared" si="2"/>
        <v>5561.1</v>
      </c>
      <c r="E12" s="135">
        <v>5572.5</v>
      </c>
      <c r="F12" s="135">
        <f>'220 Antiga Silvinho '!$E12-'220 Antiga Silvinho '!$D12</f>
        <v>11.4</v>
      </c>
      <c r="G12" s="135">
        <f>'220 Antiga Silvinho '!$F12-10</f>
        <v>1.4</v>
      </c>
      <c r="H12" s="135"/>
      <c r="I12" s="135"/>
      <c r="J12" s="135"/>
      <c r="K12" s="135"/>
      <c r="L12" s="135"/>
      <c r="M12" s="135"/>
      <c r="N12" s="135"/>
    </row>
    <row r="13" ht="14.25" hidden="1" customHeight="1">
      <c r="B13" s="133">
        <v>45240.0</v>
      </c>
      <c r="C13" s="134" t="str">
        <f t="shared" si="1"/>
        <v>11-2023</v>
      </c>
      <c r="D13" s="135">
        <f t="shared" si="2"/>
        <v>5572.5</v>
      </c>
      <c r="E13" s="135">
        <v>5578.2</v>
      </c>
      <c r="F13" s="135">
        <f>'220 Antiga Silvinho '!$E13-'220 Antiga Silvinho '!$D13</f>
        <v>5.7</v>
      </c>
      <c r="G13" s="135">
        <f>'220 Antiga Silvinho '!$F13-10</f>
        <v>-4.3</v>
      </c>
      <c r="H13" s="135">
        <v>400.0</v>
      </c>
      <c r="I13" s="135"/>
      <c r="J13" s="135"/>
      <c r="K13" s="135"/>
      <c r="L13" s="135"/>
      <c r="M13" s="135"/>
      <c r="N13" s="135"/>
    </row>
    <row r="14" ht="14.25" hidden="1" customHeight="1">
      <c r="B14" s="133">
        <v>45241.0</v>
      </c>
      <c r="C14" s="134" t="str">
        <f t="shared" si="1"/>
        <v>11-2023</v>
      </c>
      <c r="D14" s="135"/>
      <c r="E14" s="135"/>
      <c r="F14" s="135">
        <f>'220 Antiga Silvinho '!$E14-'220 Antiga Silvinho '!$D14</f>
        <v>0</v>
      </c>
      <c r="G14" s="135">
        <f>'220 Antiga Silvinho '!$F14-10</f>
        <v>-10</v>
      </c>
      <c r="H14" s="135"/>
      <c r="I14" s="135"/>
      <c r="J14" s="135"/>
      <c r="K14" s="135"/>
      <c r="L14" s="135"/>
      <c r="M14" s="135"/>
      <c r="N14" s="135"/>
    </row>
    <row r="15" ht="14.25" hidden="1" customHeight="1">
      <c r="B15" s="133">
        <v>45242.0</v>
      </c>
      <c r="C15" s="134" t="str">
        <f t="shared" si="1"/>
        <v>11-2023</v>
      </c>
      <c r="D15" s="135" t="str">
        <f>E14</f>
        <v/>
      </c>
      <c r="E15" s="135"/>
      <c r="F15" s="135">
        <f>'220 Antiga Silvinho '!$E15-'220 Antiga Silvinho '!$D15</f>
        <v>0</v>
      </c>
      <c r="G15" s="135">
        <f>'220 Antiga Silvinho '!$F15-10</f>
        <v>-10</v>
      </c>
      <c r="H15" s="135"/>
      <c r="I15" s="135"/>
      <c r="J15" s="135"/>
      <c r="K15" s="135"/>
      <c r="L15" s="135"/>
      <c r="M15" s="135"/>
      <c r="N15" s="135"/>
    </row>
    <row r="16" ht="14.25" hidden="1" customHeight="1">
      <c r="B16" s="133">
        <v>45243.0</v>
      </c>
      <c r="C16" s="134" t="str">
        <f t="shared" si="1"/>
        <v>11-2023</v>
      </c>
      <c r="D16" s="135">
        <v>5578.2</v>
      </c>
      <c r="E16" s="135">
        <v>5583.8</v>
      </c>
      <c r="F16" s="135">
        <f>'220 Antiga Silvinho '!$E16-'220 Antiga Silvinho '!$D16</f>
        <v>5.6</v>
      </c>
      <c r="G16" s="135">
        <f>'220 Antiga Silvinho '!$F16-10</f>
        <v>-4.4</v>
      </c>
      <c r="H16" s="135"/>
      <c r="I16" s="135"/>
      <c r="J16" s="135"/>
      <c r="K16" s="135"/>
      <c r="L16" s="135"/>
      <c r="M16" s="135"/>
      <c r="N16" s="135"/>
    </row>
    <row r="17" ht="14.25" hidden="1" customHeight="1">
      <c r="B17" s="133">
        <v>45244.0</v>
      </c>
      <c r="C17" s="134" t="str">
        <f t="shared" si="1"/>
        <v>11-2023</v>
      </c>
      <c r="D17" s="135">
        <f t="shared" ref="D17:D21" si="3">E16</f>
        <v>5583.8</v>
      </c>
      <c r="E17" s="135">
        <v>5595.3</v>
      </c>
      <c r="F17" s="135">
        <f>'220 Antiga Silvinho '!$E17-'220 Antiga Silvinho '!$D17</f>
        <v>11.5</v>
      </c>
      <c r="G17" s="135">
        <f>'220 Antiga Silvinho '!$F17-10</f>
        <v>1.5</v>
      </c>
      <c r="H17" s="135">
        <v>440.0</v>
      </c>
      <c r="I17" s="135"/>
      <c r="J17" s="135"/>
      <c r="K17" s="135"/>
      <c r="L17" s="135"/>
      <c r="M17" s="135"/>
      <c r="N17" s="135"/>
    </row>
    <row r="18" ht="14.25" hidden="1" customHeight="1">
      <c r="B18" s="133">
        <v>45245.0</v>
      </c>
      <c r="C18" s="134" t="str">
        <f t="shared" si="1"/>
        <v>11-2023</v>
      </c>
      <c r="D18" s="135">
        <f t="shared" si="3"/>
        <v>5595.3</v>
      </c>
      <c r="E18" s="135">
        <v>5605.9</v>
      </c>
      <c r="F18" s="135">
        <f>'220 Antiga Silvinho '!$E18-'220 Antiga Silvinho '!$D18</f>
        <v>10.6</v>
      </c>
      <c r="G18" s="135">
        <f>'220 Antiga Silvinho '!$F18-10</f>
        <v>0.6</v>
      </c>
      <c r="H18" s="135"/>
      <c r="I18" s="135"/>
      <c r="J18" s="135"/>
      <c r="K18" s="135"/>
      <c r="L18" s="135"/>
      <c r="M18" s="135"/>
      <c r="N18" s="135"/>
    </row>
    <row r="19" ht="14.25" hidden="1" customHeight="1">
      <c r="B19" s="133">
        <v>45246.0</v>
      </c>
      <c r="C19" s="134" t="str">
        <f t="shared" si="1"/>
        <v>11-2023</v>
      </c>
      <c r="D19" s="135">
        <f t="shared" si="3"/>
        <v>5605.9</v>
      </c>
      <c r="E19" s="135">
        <v>5617.0</v>
      </c>
      <c r="F19" s="135">
        <f>'220 Antiga Silvinho '!$E19-'220 Antiga Silvinho '!$D19</f>
        <v>11.1</v>
      </c>
      <c r="G19" s="135">
        <f>'220 Antiga Silvinho '!$F19-10</f>
        <v>1.1</v>
      </c>
      <c r="H19" s="135">
        <v>440.0</v>
      </c>
      <c r="I19" s="135"/>
      <c r="J19" s="135"/>
      <c r="K19" s="135"/>
      <c r="L19" s="135"/>
      <c r="M19" s="135"/>
      <c r="N19" s="135"/>
    </row>
    <row r="20" ht="14.25" hidden="1" customHeight="1">
      <c r="B20" s="133">
        <v>45247.0</v>
      </c>
      <c r="C20" s="134" t="str">
        <f t="shared" si="1"/>
        <v>11-2023</v>
      </c>
      <c r="D20" s="135">
        <f t="shared" si="3"/>
        <v>5617</v>
      </c>
      <c r="E20" s="135">
        <v>5628.0</v>
      </c>
      <c r="F20" s="135">
        <f>'220 Antiga Silvinho '!$E20-'220 Antiga Silvinho '!$D20</f>
        <v>11</v>
      </c>
      <c r="G20" s="135">
        <f>'220 Antiga Silvinho '!$F20-10</f>
        <v>1</v>
      </c>
      <c r="H20" s="135"/>
      <c r="I20" s="135"/>
      <c r="J20" s="135"/>
      <c r="K20" s="135"/>
      <c r="L20" s="135"/>
      <c r="M20" s="135"/>
      <c r="N20" s="135"/>
    </row>
    <row r="21" ht="14.25" hidden="1" customHeight="1">
      <c r="B21" s="133">
        <v>45248.0</v>
      </c>
      <c r="C21" s="134" t="str">
        <f t="shared" si="1"/>
        <v>11-2023</v>
      </c>
      <c r="D21" s="135">
        <f t="shared" si="3"/>
        <v>5628</v>
      </c>
      <c r="E21" s="135">
        <v>5638.6</v>
      </c>
      <c r="F21" s="135">
        <f>'220 Antiga Silvinho '!$E21-'220 Antiga Silvinho '!$D21</f>
        <v>10.6</v>
      </c>
      <c r="G21" s="135">
        <f>'220 Antiga Silvinho '!$F21-10</f>
        <v>0.6</v>
      </c>
      <c r="H21" s="135">
        <v>220.0</v>
      </c>
      <c r="I21" s="135"/>
      <c r="J21" s="135"/>
      <c r="K21" s="135"/>
      <c r="L21" s="135"/>
      <c r="M21" s="135"/>
      <c r="N21" s="135"/>
    </row>
    <row r="22" ht="14.25" hidden="1" customHeight="1">
      <c r="B22" s="133">
        <v>45249.0</v>
      </c>
      <c r="C22" s="134" t="str">
        <f t="shared" si="1"/>
        <v>11-2023</v>
      </c>
      <c r="D22" s="135"/>
      <c r="E22" s="135"/>
      <c r="F22" s="135">
        <f>'220 Antiga Silvinho '!$E22-'220 Antiga Silvinho '!$D22</f>
        <v>0</v>
      </c>
      <c r="G22" s="135">
        <f>'220 Antiga Silvinho '!$F22-10</f>
        <v>-10</v>
      </c>
      <c r="H22" s="135"/>
      <c r="I22" s="135"/>
      <c r="J22" s="135"/>
      <c r="K22" s="135"/>
      <c r="L22" s="135"/>
      <c r="M22" s="135"/>
      <c r="N22" s="135"/>
    </row>
    <row r="23" ht="14.25" hidden="1" customHeight="1">
      <c r="B23" s="133">
        <v>45250.0</v>
      </c>
      <c r="C23" s="134" t="str">
        <f t="shared" si="1"/>
        <v>11-2023</v>
      </c>
      <c r="D23" s="135">
        <v>5638.0</v>
      </c>
      <c r="E23" s="135">
        <v>5647.5</v>
      </c>
      <c r="F23" s="135">
        <f>'220 Antiga Silvinho '!$E23-'220 Antiga Silvinho '!$D23</f>
        <v>9.5</v>
      </c>
      <c r="G23" s="135">
        <f>'220 Antiga Silvinho '!$F23-10</f>
        <v>-0.5</v>
      </c>
      <c r="H23" s="135">
        <v>220.0</v>
      </c>
      <c r="I23" s="135"/>
      <c r="J23" s="135"/>
      <c r="K23" s="135"/>
      <c r="L23" s="135"/>
      <c r="M23" s="135"/>
      <c r="N23" s="135"/>
    </row>
    <row r="24" ht="14.25" hidden="1" customHeight="1">
      <c r="B24" s="133">
        <v>45251.0</v>
      </c>
      <c r="C24" s="134" t="str">
        <f t="shared" si="1"/>
        <v>11-2023</v>
      </c>
      <c r="D24" s="135">
        <f t="shared" ref="D24:D26" si="4">E23</f>
        <v>5647.5</v>
      </c>
      <c r="E24" s="135">
        <v>5659.5</v>
      </c>
      <c r="F24" s="135">
        <f>'220 Antiga Silvinho '!$E24-'220 Antiga Silvinho '!$D24</f>
        <v>12</v>
      </c>
      <c r="G24" s="135">
        <f>'220 Antiga Silvinho '!$F24-10</f>
        <v>2</v>
      </c>
      <c r="H24" s="135">
        <v>200.0</v>
      </c>
      <c r="I24" s="135"/>
      <c r="J24" s="135"/>
      <c r="K24" s="135"/>
      <c r="L24" s="135"/>
      <c r="M24" s="135"/>
      <c r="N24" s="135"/>
    </row>
    <row r="25" ht="14.25" hidden="1" customHeight="1">
      <c r="B25" s="133">
        <v>45252.0</v>
      </c>
      <c r="C25" s="134" t="str">
        <f t="shared" si="1"/>
        <v>11-2023</v>
      </c>
      <c r="D25" s="135">
        <f t="shared" si="4"/>
        <v>5659.5</v>
      </c>
      <c r="E25" s="135">
        <v>5671.8</v>
      </c>
      <c r="F25" s="135">
        <f>'220 Antiga Silvinho '!$E25-'220 Antiga Silvinho '!$D25</f>
        <v>12.3</v>
      </c>
      <c r="G25" s="135">
        <f>'220 Antiga Silvinho '!$F25-10</f>
        <v>2.3</v>
      </c>
      <c r="H25" s="135">
        <v>237.0</v>
      </c>
      <c r="I25" s="135"/>
      <c r="J25" s="135"/>
      <c r="K25" s="135"/>
      <c r="L25" s="135"/>
      <c r="M25" s="135"/>
      <c r="N25" s="135"/>
    </row>
    <row r="26" ht="14.25" hidden="1" customHeight="1">
      <c r="B26" s="133">
        <v>45253.0</v>
      </c>
      <c r="C26" s="134" t="str">
        <f t="shared" si="1"/>
        <v>11-2023</v>
      </c>
      <c r="D26" s="135">
        <f t="shared" si="4"/>
        <v>5671.8</v>
      </c>
      <c r="E26" s="135">
        <v>5683.6</v>
      </c>
      <c r="F26" s="135">
        <f>'220 Antiga Silvinho '!$E26-'220 Antiga Silvinho '!$D26</f>
        <v>11.8</v>
      </c>
      <c r="G26" s="135">
        <f>'220 Antiga Silvinho '!$F26-10</f>
        <v>1.8</v>
      </c>
      <c r="H26" s="135"/>
      <c r="I26" s="135"/>
      <c r="J26" s="135"/>
      <c r="K26" s="135"/>
      <c r="L26" s="135"/>
      <c r="M26" s="135"/>
      <c r="N26" s="135"/>
    </row>
    <row r="27" ht="14.25" hidden="1" customHeight="1">
      <c r="B27" s="133">
        <v>45254.0</v>
      </c>
      <c r="C27" s="134" t="str">
        <f t="shared" si="1"/>
        <v>11-2023</v>
      </c>
      <c r="D27" s="135">
        <v>5683.6</v>
      </c>
      <c r="E27" s="135">
        <v>5692.3</v>
      </c>
      <c r="F27" s="135">
        <f>'220 Antiga Silvinho '!$E27-'220 Antiga Silvinho '!$D27</f>
        <v>8.7</v>
      </c>
      <c r="G27" s="135">
        <f>'220 Antiga Silvinho '!$F27-10</f>
        <v>-1.3</v>
      </c>
      <c r="H27" s="135"/>
      <c r="I27" s="135"/>
      <c r="J27" s="135"/>
      <c r="K27" s="135"/>
      <c r="L27" s="135"/>
      <c r="M27" s="135"/>
      <c r="N27" s="135"/>
    </row>
    <row r="28" ht="14.25" hidden="1" customHeight="1">
      <c r="B28" s="133">
        <v>45255.0</v>
      </c>
      <c r="C28" s="134" t="str">
        <f t="shared" si="1"/>
        <v>11-2023</v>
      </c>
      <c r="D28" s="135"/>
      <c r="E28" s="135"/>
      <c r="F28" s="135">
        <f>'220 Antiga Silvinho '!$E28-'220 Antiga Silvinho '!$D28</f>
        <v>0</v>
      </c>
      <c r="G28" s="135">
        <f>'220 Antiga Silvinho '!$F28-10</f>
        <v>-10</v>
      </c>
      <c r="H28" s="135"/>
      <c r="I28" s="135"/>
      <c r="J28" s="135"/>
      <c r="K28" s="135"/>
      <c r="L28" s="135"/>
      <c r="M28" s="135"/>
      <c r="N28" s="135"/>
    </row>
    <row r="29" ht="14.25" hidden="1" customHeight="1">
      <c r="B29" s="133">
        <v>45256.0</v>
      </c>
      <c r="C29" s="134" t="str">
        <f t="shared" si="1"/>
        <v>11-2023</v>
      </c>
      <c r="D29" s="135" t="str">
        <f>E28</f>
        <v/>
      </c>
      <c r="E29" s="135"/>
      <c r="F29" s="135">
        <f>'220 Antiga Silvinho '!$E29-'220 Antiga Silvinho '!$D29</f>
        <v>0</v>
      </c>
      <c r="G29" s="135">
        <f>'220 Antiga Silvinho '!$F29-10</f>
        <v>-10</v>
      </c>
      <c r="H29" s="135"/>
      <c r="I29" s="135"/>
      <c r="J29" s="135"/>
      <c r="K29" s="135"/>
      <c r="L29" s="135"/>
      <c r="M29" s="135"/>
      <c r="N29" s="135"/>
    </row>
    <row r="30" ht="14.25" hidden="1" customHeight="1">
      <c r="B30" s="133">
        <v>45257.0</v>
      </c>
      <c r="C30" s="134" t="str">
        <f t="shared" si="1"/>
        <v>11-2023</v>
      </c>
      <c r="D30" s="135">
        <v>5692.3</v>
      </c>
      <c r="E30" s="135">
        <v>5701.4</v>
      </c>
      <c r="F30" s="135">
        <f>'220 Antiga Silvinho '!$E30-'220 Antiga Silvinho '!$D30</f>
        <v>9.1</v>
      </c>
      <c r="G30" s="135">
        <f>'220 Antiga Silvinho '!$F30-10</f>
        <v>-0.9</v>
      </c>
      <c r="H30" s="135">
        <v>215.0</v>
      </c>
      <c r="I30" s="135"/>
      <c r="J30" s="135"/>
      <c r="K30" s="135"/>
      <c r="L30" s="135"/>
      <c r="M30" s="135"/>
      <c r="N30" s="135"/>
    </row>
    <row r="31" ht="14.25" hidden="1" customHeight="1">
      <c r="B31" s="133">
        <v>45258.0</v>
      </c>
      <c r="C31" s="134" t="str">
        <f t="shared" si="1"/>
        <v>11-2023</v>
      </c>
      <c r="D31" s="135">
        <f>E30</f>
        <v>5701.4</v>
      </c>
      <c r="E31" s="135">
        <v>5704.8</v>
      </c>
      <c r="F31" s="135">
        <f>'220 Antiga Silvinho '!$E31-'220 Antiga Silvinho '!$D31</f>
        <v>3.4</v>
      </c>
      <c r="G31" s="135">
        <f>'220 Antiga Silvinho '!$F31-10</f>
        <v>-6.6</v>
      </c>
      <c r="H31" s="135"/>
      <c r="I31" s="135"/>
      <c r="J31" s="135"/>
      <c r="K31" s="135"/>
      <c r="L31" s="135"/>
      <c r="M31" s="135"/>
      <c r="N31" s="135"/>
    </row>
    <row r="32" ht="14.25" hidden="1" customHeight="1">
      <c r="B32" s="133">
        <v>45259.0</v>
      </c>
      <c r="C32" s="134" t="str">
        <f t="shared" si="1"/>
        <v>11-2023</v>
      </c>
      <c r="D32" s="135"/>
      <c r="E32" s="135"/>
      <c r="F32" s="135">
        <f>'220 Antiga Silvinho '!$E32-'220 Antiga Silvinho '!$D32</f>
        <v>0</v>
      </c>
      <c r="G32" s="135">
        <f>'220 Antiga Silvinho '!$F32-10</f>
        <v>-10</v>
      </c>
      <c r="H32" s="135"/>
      <c r="I32" s="135"/>
      <c r="J32" s="135"/>
      <c r="K32" s="135"/>
      <c r="L32" s="135"/>
      <c r="M32" s="135"/>
      <c r="N32" s="135"/>
    </row>
    <row r="33" ht="14.25" hidden="1" customHeight="1">
      <c r="B33" s="133">
        <v>45260.0</v>
      </c>
      <c r="C33" s="134" t="str">
        <f t="shared" si="1"/>
        <v>11-2023</v>
      </c>
      <c r="D33" s="135">
        <v>3651.6</v>
      </c>
      <c r="E33" s="135">
        <v>3660.9</v>
      </c>
      <c r="F33" s="135">
        <f>'220 Antiga Silvinho '!$E33-'220 Antiga Silvinho '!$D33</f>
        <v>9.3</v>
      </c>
      <c r="G33" s="135">
        <f>'220 Antiga Silvinho '!$F33-10</f>
        <v>-0.7</v>
      </c>
      <c r="H33" s="135"/>
      <c r="I33" s="135"/>
      <c r="J33" s="135"/>
      <c r="K33" s="135"/>
      <c r="L33" s="135"/>
      <c r="M33" s="135"/>
      <c r="N33" s="135"/>
    </row>
    <row r="34" ht="14.25" customHeight="1">
      <c r="B34" s="160">
        <v>45261.0</v>
      </c>
      <c r="C34" s="141" t="str">
        <f t="shared" si="1"/>
        <v>12-2023</v>
      </c>
      <c r="D34" s="54">
        <v>5704.8</v>
      </c>
      <c r="E34" s="54">
        <v>5715.9</v>
      </c>
      <c r="F34" s="54">
        <f>'220 Antiga Silvinho '!$E34-'220 Antiga Silvinho '!$D34</f>
        <v>11.1</v>
      </c>
      <c r="G34" s="54">
        <f>'220 Antiga Silvinho '!$F34-10</f>
        <v>1.1</v>
      </c>
      <c r="H34" s="54"/>
      <c r="I34" s="54"/>
      <c r="J34" s="54"/>
      <c r="K34" s="54"/>
      <c r="L34" s="54"/>
      <c r="M34" s="54"/>
      <c r="N34" s="54"/>
    </row>
    <row r="35" ht="14.25" customHeight="1">
      <c r="B35" s="160">
        <v>45262.0</v>
      </c>
      <c r="C35" s="141" t="str">
        <f t="shared" si="1"/>
        <v>12-2023</v>
      </c>
      <c r="D35" s="54">
        <f t="shared" ref="D35:D40" si="5">E34</f>
        <v>5715.9</v>
      </c>
      <c r="E35" s="54">
        <v>5726.9</v>
      </c>
      <c r="F35" s="54">
        <f>'220 Antiga Silvinho '!$E35-'220 Antiga Silvinho '!$D35</f>
        <v>11</v>
      </c>
      <c r="G35" s="54">
        <f>'220 Antiga Silvinho '!$F35-10</f>
        <v>1</v>
      </c>
      <c r="H35" s="54">
        <v>420.0</v>
      </c>
      <c r="I35" s="54"/>
      <c r="J35" s="54"/>
      <c r="K35" s="54"/>
      <c r="L35" s="54"/>
      <c r="M35" s="54"/>
      <c r="N35" s="54"/>
    </row>
    <row r="36" ht="14.25" customHeight="1">
      <c r="B36" s="160">
        <v>45263.0</v>
      </c>
      <c r="C36" s="141" t="str">
        <f t="shared" si="1"/>
        <v>12-2023</v>
      </c>
      <c r="D36" s="54">
        <f t="shared" si="5"/>
        <v>5726.9</v>
      </c>
      <c r="E36" s="54">
        <v>5739.9</v>
      </c>
      <c r="F36" s="54">
        <f>'220 Antiga Silvinho '!$E36-'220 Antiga Silvinho '!$D36</f>
        <v>13</v>
      </c>
      <c r="G36" s="54">
        <f>'220 Antiga Silvinho '!$F36-10</f>
        <v>3</v>
      </c>
      <c r="H36" s="54"/>
      <c r="I36" s="54"/>
      <c r="J36" s="54"/>
      <c r="K36" s="54"/>
      <c r="L36" s="54"/>
      <c r="M36" s="54"/>
      <c r="N36" s="54"/>
    </row>
    <row r="37" ht="14.25" customHeight="1">
      <c r="B37" s="160">
        <v>45264.0</v>
      </c>
      <c r="C37" s="141" t="str">
        <f t="shared" si="1"/>
        <v>12-2023</v>
      </c>
      <c r="D37" s="54">
        <f t="shared" si="5"/>
        <v>5739.9</v>
      </c>
      <c r="E37" s="54">
        <v>5741.5</v>
      </c>
      <c r="F37" s="54">
        <f>'220 Antiga Silvinho '!$E37-'220 Antiga Silvinho '!$D37</f>
        <v>1.6</v>
      </c>
      <c r="G37" s="54">
        <f>'220 Antiga Silvinho '!$F37-10</f>
        <v>-8.4</v>
      </c>
      <c r="H37" s="54"/>
      <c r="I37" s="54"/>
      <c r="J37" s="54"/>
      <c r="K37" s="54"/>
      <c r="L37" s="54"/>
      <c r="M37" s="54"/>
      <c r="N37" s="54"/>
    </row>
    <row r="38" ht="14.25" customHeight="1">
      <c r="B38" s="160">
        <v>45265.0</v>
      </c>
      <c r="C38" s="141" t="str">
        <f t="shared" si="1"/>
        <v>12-2023</v>
      </c>
      <c r="D38" s="54">
        <f t="shared" si="5"/>
        <v>5741.5</v>
      </c>
      <c r="E38" s="54">
        <v>5747.2</v>
      </c>
      <c r="F38" s="54">
        <f>'220 Antiga Silvinho '!$E38-'220 Antiga Silvinho '!$D38</f>
        <v>5.7</v>
      </c>
      <c r="G38" s="54">
        <f>'220 Antiga Silvinho '!$F38-10</f>
        <v>-4.3</v>
      </c>
      <c r="H38" s="54"/>
      <c r="I38" s="54"/>
      <c r="J38" s="54"/>
      <c r="K38" s="54"/>
      <c r="L38" s="54"/>
      <c r="M38" s="54"/>
      <c r="N38" s="54"/>
    </row>
    <row r="39" ht="14.25" customHeight="1">
      <c r="B39" s="160">
        <v>45266.0</v>
      </c>
      <c r="C39" s="141" t="str">
        <f t="shared" si="1"/>
        <v>12-2023</v>
      </c>
      <c r="D39" s="54">
        <f t="shared" si="5"/>
        <v>5747.2</v>
      </c>
      <c r="E39" s="54">
        <v>5749.7</v>
      </c>
      <c r="F39" s="54">
        <f>'220 Antiga Silvinho '!$E39-'220 Antiga Silvinho '!$D39</f>
        <v>2.5</v>
      </c>
      <c r="G39" s="54">
        <f>'220 Antiga Silvinho '!$F39-10</f>
        <v>-7.5</v>
      </c>
      <c r="H39" s="54"/>
      <c r="I39" s="54"/>
      <c r="J39" s="54"/>
      <c r="K39" s="54"/>
      <c r="L39" s="54"/>
      <c r="M39" s="54"/>
      <c r="N39" s="54"/>
    </row>
    <row r="40" ht="14.25" customHeight="1">
      <c r="B40" s="160">
        <v>45267.0</v>
      </c>
      <c r="C40" s="141" t="str">
        <f t="shared" si="1"/>
        <v>12-2023</v>
      </c>
      <c r="D40" s="54">
        <f t="shared" si="5"/>
        <v>5749.7</v>
      </c>
      <c r="E40" s="54">
        <v>5759.0</v>
      </c>
      <c r="F40" s="54">
        <f>'220 Antiga Silvinho '!$E40-'220 Antiga Silvinho '!$D40</f>
        <v>9.3</v>
      </c>
      <c r="G40" s="54">
        <f>'220 Antiga Silvinho '!$F40-10</f>
        <v>-0.7</v>
      </c>
      <c r="H40" s="54">
        <v>460.0</v>
      </c>
      <c r="I40" s="54"/>
      <c r="J40" s="54"/>
      <c r="K40" s="54"/>
      <c r="L40" s="54"/>
      <c r="M40" s="54"/>
      <c r="N40" s="54"/>
    </row>
    <row r="41" ht="14.25" customHeight="1">
      <c r="B41" s="160">
        <v>45268.0</v>
      </c>
      <c r="C41" s="141" t="str">
        <f t="shared" si="1"/>
        <v>12-2023</v>
      </c>
      <c r="D41" s="54"/>
      <c r="E41" s="54"/>
      <c r="F41" s="54">
        <f>'220 Antiga Silvinho '!$E41-'220 Antiga Silvinho '!$D41</f>
        <v>0</v>
      </c>
      <c r="G41" s="54">
        <f>'220 Antiga Silvinho '!$F41-10</f>
        <v>-10</v>
      </c>
      <c r="H41" s="54"/>
      <c r="I41" s="54"/>
      <c r="J41" s="54"/>
      <c r="K41" s="54"/>
      <c r="L41" s="54"/>
      <c r="M41" s="54"/>
      <c r="N41" s="54"/>
    </row>
    <row r="42" ht="14.25" customHeight="1">
      <c r="B42" s="160">
        <v>45269.0</v>
      </c>
      <c r="C42" s="141" t="str">
        <f t="shared" si="1"/>
        <v>12-2023</v>
      </c>
      <c r="D42" s="54" t="str">
        <f t="shared" ref="D42:D43" si="6">E41</f>
        <v/>
      </c>
      <c r="E42" s="54"/>
      <c r="F42" s="54">
        <f>'220 Antiga Silvinho '!$E42-'220 Antiga Silvinho '!$D42</f>
        <v>0</v>
      </c>
      <c r="G42" s="54">
        <f>'220 Antiga Silvinho '!$F42-10</f>
        <v>-10</v>
      </c>
      <c r="H42" s="54"/>
      <c r="I42" s="54"/>
      <c r="J42" s="54"/>
      <c r="K42" s="54"/>
      <c r="L42" s="54"/>
      <c r="M42" s="54"/>
      <c r="N42" s="54"/>
    </row>
    <row r="43" ht="14.25" customHeight="1">
      <c r="B43" s="160">
        <v>45270.0</v>
      </c>
      <c r="C43" s="141" t="str">
        <f t="shared" si="1"/>
        <v>12-2023</v>
      </c>
      <c r="D43" s="54" t="str">
        <f t="shared" si="6"/>
        <v/>
      </c>
      <c r="E43" s="54"/>
      <c r="F43" s="54">
        <f>'220 Antiga Silvinho '!$E43-'220 Antiga Silvinho '!$D43</f>
        <v>0</v>
      </c>
      <c r="G43" s="54">
        <f>'220 Antiga Silvinho '!$F43-10</f>
        <v>-10</v>
      </c>
      <c r="H43" s="54"/>
      <c r="I43" s="54"/>
      <c r="J43" s="54"/>
      <c r="K43" s="54"/>
      <c r="L43" s="54"/>
      <c r="M43" s="54"/>
      <c r="N43" s="54"/>
    </row>
    <row r="44" ht="14.25" customHeight="1">
      <c r="B44" s="160">
        <v>45271.0</v>
      </c>
      <c r="C44" s="141" t="str">
        <f t="shared" si="1"/>
        <v>12-2023</v>
      </c>
      <c r="D44" s="54">
        <v>5759.0</v>
      </c>
      <c r="E44" s="54">
        <v>5760.4</v>
      </c>
      <c r="F44" s="54">
        <f>'220 Antiga Silvinho '!$E44-'220 Antiga Silvinho '!$D44</f>
        <v>1.4</v>
      </c>
      <c r="G44" s="54">
        <f>'220 Antiga Silvinho '!$F44-10</f>
        <v>-8.6</v>
      </c>
      <c r="H44" s="54"/>
      <c r="I44" s="54"/>
      <c r="J44" s="54"/>
      <c r="K44" s="54"/>
      <c r="L44" s="54"/>
      <c r="M44" s="54"/>
      <c r="N44" s="54"/>
    </row>
    <row r="45" ht="14.25" customHeight="1">
      <c r="B45" s="160">
        <v>45272.0</v>
      </c>
      <c r="C45" s="141" t="str">
        <f t="shared" si="1"/>
        <v>12-2023</v>
      </c>
      <c r="D45" s="54">
        <f t="shared" ref="D45:D54" si="7">E44</f>
        <v>5760.4</v>
      </c>
      <c r="E45" s="54">
        <v>5764.4</v>
      </c>
      <c r="F45" s="54">
        <f>'220 Antiga Silvinho '!$E45-'220 Antiga Silvinho '!$D45</f>
        <v>4</v>
      </c>
      <c r="G45" s="54">
        <f>'220 Antiga Silvinho '!$F45-10</f>
        <v>-6</v>
      </c>
      <c r="H45" s="54"/>
      <c r="I45" s="54"/>
      <c r="J45" s="54"/>
      <c r="K45" s="54"/>
      <c r="L45" s="54"/>
      <c r="M45" s="54"/>
      <c r="N45" s="54"/>
    </row>
    <row r="46" ht="14.25" customHeight="1">
      <c r="B46" s="160">
        <v>45273.0</v>
      </c>
      <c r="C46" s="141" t="str">
        <f t="shared" si="1"/>
        <v>12-2023</v>
      </c>
      <c r="D46" s="54">
        <f t="shared" si="7"/>
        <v>5764.4</v>
      </c>
      <c r="E46" s="54">
        <v>5775.4</v>
      </c>
      <c r="F46" s="54">
        <f>'220 Antiga Silvinho '!$E46-'220 Antiga Silvinho '!$D46</f>
        <v>11</v>
      </c>
      <c r="G46" s="54">
        <f>'220 Antiga Silvinho '!$F46-10</f>
        <v>1</v>
      </c>
      <c r="H46" s="54"/>
      <c r="I46" s="54"/>
      <c r="J46" s="54"/>
      <c r="K46" s="54"/>
      <c r="L46" s="54"/>
      <c r="M46" s="54"/>
      <c r="N46" s="54"/>
    </row>
    <row r="47" ht="14.25" customHeight="1">
      <c r="B47" s="160">
        <v>45274.0</v>
      </c>
      <c r="C47" s="141" t="str">
        <f t="shared" si="1"/>
        <v>12-2023</v>
      </c>
      <c r="D47" s="54">
        <f t="shared" si="7"/>
        <v>5775.4</v>
      </c>
      <c r="E47" s="54">
        <v>5787.8</v>
      </c>
      <c r="F47" s="54">
        <f>'220 Antiga Silvinho '!$E47-'220 Antiga Silvinho '!$D47</f>
        <v>12.4</v>
      </c>
      <c r="G47" s="54">
        <f>'220 Antiga Silvinho '!$F47-10</f>
        <v>2.4</v>
      </c>
      <c r="H47" s="54">
        <v>450.0</v>
      </c>
      <c r="I47" s="54"/>
      <c r="J47" s="54"/>
      <c r="K47" s="54"/>
      <c r="L47" s="54"/>
      <c r="M47" s="54"/>
      <c r="N47" s="54"/>
    </row>
    <row r="48" ht="14.25" customHeight="1">
      <c r="B48" s="160">
        <v>45275.0</v>
      </c>
      <c r="C48" s="141" t="str">
        <f t="shared" si="1"/>
        <v>12-2023</v>
      </c>
      <c r="D48" s="54">
        <f t="shared" si="7"/>
        <v>5787.8</v>
      </c>
      <c r="E48" s="54">
        <v>5800.0</v>
      </c>
      <c r="F48" s="54">
        <f>'220 Antiga Silvinho '!$E48-'220 Antiga Silvinho '!$D48</f>
        <v>12.2</v>
      </c>
      <c r="G48" s="54">
        <f>'220 Antiga Silvinho '!$F48-10</f>
        <v>2.2</v>
      </c>
      <c r="H48" s="54"/>
      <c r="I48" s="54"/>
      <c r="J48" s="54"/>
      <c r="K48" s="54"/>
      <c r="L48" s="54"/>
      <c r="M48" s="54"/>
      <c r="N48" s="54"/>
    </row>
    <row r="49" ht="14.25" customHeight="1">
      <c r="B49" s="160">
        <v>45276.0</v>
      </c>
      <c r="C49" s="141" t="str">
        <f t="shared" si="1"/>
        <v>12-2023</v>
      </c>
      <c r="D49" s="54">
        <f t="shared" si="7"/>
        <v>5800</v>
      </c>
      <c r="E49" s="54">
        <v>5812.0</v>
      </c>
      <c r="F49" s="54">
        <f>'220 Antiga Silvinho '!$E49-'220 Antiga Silvinho '!$D49</f>
        <v>12</v>
      </c>
      <c r="G49" s="54">
        <f>'220 Antiga Silvinho '!$F49-10</f>
        <v>2</v>
      </c>
      <c r="H49" s="54">
        <v>450.0</v>
      </c>
      <c r="I49" s="54"/>
      <c r="J49" s="54"/>
      <c r="K49" s="54"/>
      <c r="L49" s="54"/>
      <c r="M49" s="54"/>
      <c r="N49" s="54"/>
    </row>
    <row r="50" ht="14.25" customHeight="1">
      <c r="B50" s="160">
        <v>45277.0</v>
      </c>
      <c r="C50" s="141" t="str">
        <f t="shared" si="1"/>
        <v>12-2023</v>
      </c>
      <c r="D50" s="54">
        <f t="shared" si="7"/>
        <v>5812</v>
      </c>
      <c r="E50" s="54">
        <v>5823.3</v>
      </c>
      <c r="F50" s="54">
        <f>'220 Antiga Silvinho '!$E50-'220 Antiga Silvinho '!$D50</f>
        <v>11.3</v>
      </c>
      <c r="G50" s="54">
        <f>'220 Antiga Silvinho '!$F50-10</f>
        <v>1.3</v>
      </c>
      <c r="H50" s="54"/>
      <c r="I50" s="54"/>
      <c r="J50" s="54"/>
      <c r="K50" s="54"/>
      <c r="L50" s="54"/>
      <c r="M50" s="54"/>
      <c r="N50" s="54"/>
    </row>
    <row r="51" ht="14.25" customHeight="1">
      <c r="B51" s="160">
        <v>45278.0</v>
      </c>
      <c r="C51" s="141" t="str">
        <f t="shared" si="1"/>
        <v>12-2023</v>
      </c>
      <c r="D51" s="54">
        <f t="shared" si="7"/>
        <v>5823.3</v>
      </c>
      <c r="E51" s="54">
        <v>5836.3</v>
      </c>
      <c r="F51" s="54">
        <f>'220 Antiga Silvinho '!$E51-'220 Antiga Silvinho '!$D51</f>
        <v>13</v>
      </c>
      <c r="G51" s="54">
        <f>'220 Antiga Silvinho '!$F51-10</f>
        <v>3</v>
      </c>
      <c r="H51" s="54"/>
      <c r="I51" s="54"/>
      <c r="J51" s="54"/>
      <c r="K51" s="54"/>
      <c r="L51" s="54"/>
      <c r="M51" s="54"/>
      <c r="N51" s="54"/>
    </row>
    <row r="52" ht="14.25" customHeight="1">
      <c r="B52" s="160">
        <v>45279.0</v>
      </c>
      <c r="C52" s="141" t="str">
        <f t="shared" si="1"/>
        <v>12-2023</v>
      </c>
      <c r="D52" s="54">
        <f t="shared" si="7"/>
        <v>5836.3</v>
      </c>
      <c r="E52" s="54">
        <v>5848.1</v>
      </c>
      <c r="F52" s="54">
        <f>'220 Antiga Silvinho '!$E52-'220 Antiga Silvinho '!$D52</f>
        <v>11.8</v>
      </c>
      <c r="G52" s="54">
        <f>'220 Antiga Silvinho '!$F52-10</f>
        <v>1.8</v>
      </c>
      <c r="H52" s="54">
        <v>420.0</v>
      </c>
      <c r="I52" s="54"/>
      <c r="J52" s="54"/>
      <c r="K52" s="54"/>
      <c r="L52" s="54"/>
      <c r="M52" s="54"/>
      <c r="N52" s="54"/>
    </row>
    <row r="53" ht="14.25" customHeight="1">
      <c r="B53" s="160">
        <v>45280.0</v>
      </c>
      <c r="C53" s="141" t="str">
        <f t="shared" si="1"/>
        <v>12-2023</v>
      </c>
      <c r="D53" s="54">
        <f t="shared" si="7"/>
        <v>5848.1</v>
      </c>
      <c r="E53" s="54">
        <v>5860.1</v>
      </c>
      <c r="F53" s="54">
        <f>'220 Antiga Silvinho '!$E53-'220 Antiga Silvinho '!$D53</f>
        <v>12</v>
      </c>
      <c r="G53" s="54">
        <f>'220 Antiga Silvinho '!$F53-10</f>
        <v>2</v>
      </c>
      <c r="H53" s="54">
        <v>450.0</v>
      </c>
      <c r="I53" s="54"/>
      <c r="J53" s="54"/>
      <c r="K53" s="54"/>
      <c r="L53" s="54"/>
      <c r="M53" s="54"/>
      <c r="N53" s="54"/>
    </row>
    <row r="54" ht="14.25" customHeight="1">
      <c r="B54" s="160">
        <v>45281.0</v>
      </c>
      <c r="C54" s="141" t="str">
        <f t="shared" si="1"/>
        <v>12-2023</v>
      </c>
      <c r="D54" s="54">
        <f t="shared" si="7"/>
        <v>5860.1</v>
      </c>
      <c r="E54" s="54">
        <v>5871.8</v>
      </c>
      <c r="F54" s="54">
        <f>'220 Antiga Silvinho '!$E54-'220 Antiga Silvinho '!$D54</f>
        <v>11.7</v>
      </c>
      <c r="G54" s="54">
        <f>'220 Antiga Silvinho '!$F54-10</f>
        <v>1.7</v>
      </c>
      <c r="H54" s="54"/>
      <c r="I54" s="54"/>
      <c r="J54" s="54"/>
      <c r="K54" s="54"/>
      <c r="L54" s="54"/>
      <c r="M54" s="54"/>
      <c r="N54" s="54"/>
    </row>
    <row r="55" ht="14.25" customHeight="1">
      <c r="B55" s="160">
        <v>45282.0</v>
      </c>
      <c r="C55" s="141" t="str">
        <f t="shared" si="1"/>
        <v>12-2023</v>
      </c>
      <c r="D55" s="54"/>
      <c r="E55" s="54"/>
      <c r="F55" s="54">
        <f>'220 Antiga Silvinho '!$E55-'220 Antiga Silvinho '!$D55</f>
        <v>0</v>
      </c>
      <c r="G55" s="54">
        <f>'220 Antiga Silvinho '!$F55-10</f>
        <v>-10</v>
      </c>
      <c r="H55" s="54"/>
      <c r="I55" s="54"/>
      <c r="J55" s="54"/>
      <c r="K55" s="54"/>
      <c r="L55" s="54"/>
      <c r="M55" s="54"/>
      <c r="N55" s="54"/>
    </row>
    <row r="56" ht="14.25" customHeight="1">
      <c r="B56" s="160">
        <v>45283.0</v>
      </c>
      <c r="C56" s="141" t="str">
        <f t="shared" si="1"/>
        <v>12-2023</v>
      </c>
      <c r="D56" s="54">
        <v>5871.8</v>
      </c>
      <c r="E56" s="54">
        <v>5874.7</v>
      </c>
      <c r="F56" s="54">
        <f>'220 Antiga Silvinho '!$E56-'220 Antiga Silvinho '!$D56</f>
        <v>2.9</v>
      </c>
      <c r="G56" s="54">
        <f>'220 Antiga Silvinho '!$F56-10</f>
        <v>-7.1</v>
      </c>
      <c r="H56" s="54"/>
      <c r="I56" s="54"/>
      <c r="J56" s="54"/>
      <c r="K56" s="54"/>
      <c r="L56" s="54"/>
      <c r="M56" s="54"/>
      <c r="N56" s="54"/>
    </row>
    <row r="57" ht="14.25" customHeight="1">
      <c r="B57" s="160">
        <v>45284.0</v>
      </c>
      <c r="C57" s="141" t="str">
        <f t="shared" si="1"/>
        <v>12-2023</v>
      </c>
      <c r="D57" s="54"/>
      <c r="E57" s="54"/>
      <c r="F57" s="54">
        <f>'220 Antiga Silvinho '!$E57-'220 Antiga Silvinho '!$D57</f>
        <v>0</v>
      </c>
      <c r="G57" s="54">
        <f>'220 Antiga Silvinho '!$F57-10</f>
        <v>-10</v>
      </c>
      <c r="H57" s="54"/>
      <c r="I57" s="54"/>
      <c r="J57" s="54"/>
      <c r="K57" s="54"/>
      <c r="L57" s="54"/>
      <c r="M57" s="54"/>
      <c r="N57" s="54"/>
    </row>
    <row r="58" ht="14.25" customHeight="1">
      <c r="B58" s="160">
        <v>45285.0</v>
      </c>
      <c r="C58" s="141" t="str">
        <f t="shared" si="1"/>
        <v>12-2023</v>
      </c>
      <c r="D58" s="54" t="str">
        <f t="shared" ref="D58:D59" si="8">E57</f>
        <v/>
      </c>
      <c r="E58" s="54"/>
      <c r="F58" s="54">
        <f>'220 Antiga Silvinho '!$E58-'220 Antiga Silvinho '!$D58</f>
        <v>0</v>
      </c>
      <c r="G58" s="54">
        <f>'220 Antiga Silvinho '!$F58-10</f>
        <v>-10</v>
      </c>
      <c r="H58" s="54"/>
      <c r="I58" s="54"/>
      <c r="J58" s="54"/>
      <c r="K58" s="54"/>
      <c r="L58" s="54"/>
      <c r="M58" s="54"/>
      <c r="N58" s="54"/>
    </row>
    <row r="59" ht="14.25" customHeight="1">
      <c r="B59" s="160">
        <v>45286.0</v>
      </c>
      <c r="C59" s="141" t="str">
        <f t="shared" si="1"/>
        <v>12-2023</v>
      </c>
      <c r="D59" s="54" t="str">
        <f t="shared" si="8"/>
        <v/>
      </c>
      <c r="E59" s="54"/>
      <c r="F59" s="54">
        <f>'220 Antiga Silvinho '!$E59-'220 Antiga Silvinho '!$D59</f>
        <v>0</v>
      </c>
      <c r="G59" s="54">
        <f>'220 Antiga Silvinho '!$F59-10</f>
        <v>-10</v>
      </c>
      <c r="H59" s="54"/>
      <c r="I59" s="54"/>
      <c r="J59" s="54"/>
      <c r="K59" s="54"/>
      <c r="L59" s="54"/>
      <c r="M59" s="54"/>
      <c r="N59" s="54"/>
    </row>
    <row r="60" ht="14.25" customHeight="1">
      <c r="B60" s="160">
        <v>45287.0</v>
      </c>
      <c r="C60" s="141" t="str">
        <f t="shared" si="1"/>
        <v>12-2023</v>
      </c>
      <c r="D60" s="54">
        <v>5879.5</v>
      </c>
      <c r="E60" s="54">
        <v>5885.2</v>
      </c>
      <c r="F60" s="54">
        <f>'220 Antiga Silvinho '!$E60-'220 Antiga Silvinho '!$D60</f>
        <v>5.7</v>
      </c>
      <c r="G60" s="54">
        <f>'220 Antiga Silvinho '!$F60-10</f>
        <v>-4.3</v>
      </c>
      <c r="H60" s="54"/>
      <c r="I60" s="54"/>
      <c r="J60" s="54"/>
      <c r="K60" s="54"/>
      <c r="L60" s="54"/>
      <c r="M60" s="54"/>
      <c r="N60" s="54"/>
    </row>
    <row r="61" ht="14.25" customHeight="1">
      <c r="B61" s="160">
        <v>45288.0</v>
      </c>
      <c r="C61" s="141" t="str">
        <f t="shared" si="1"/>
        <v>12-2023</v>
      </c>
      <c r="D61" s="54">
        <f t="shared" ref="D61:D62" si="9">E60</f>
        <v>5885.2</v>
      </c>
      <c r="E61" s="54">
        <v>5896.2</v>
      </c>
      <c r="F61" s="54">
        <f>'220 Antiga Silvinho '!$E61-'220 Antiga Silvinho '!$D61</f>
        <v>11</v>
      </c>
      <c r="G61" s="54">
        <f>'220 Antiga Silvinho '!$F61-10</f>
        <v>1</v>
      </c>
      <c r="H61" s="54">
        <v>440.0</v>
      </c>
      <c r="I61" s="54"/>
      <c r="J61" s="54"/>
      <c r="K61" s="54"/>
      <c r="L61" s="54"/>
      <c r="M61" s="54"/>
      <c r="N61" s="54"/>
    </row>
    <row r="62" ht="14.25" customHeight="1">
      <c r="B62" s="160">
        <v>45289.0</v>
      </c>
      <c r="C62" s="141" t="str">
        <f t="shared" si="1"/>
        <v>12-2023</v>
      </c>
      <c r="D62" s="54">
        <f t="shared" si="9"/>
        <v>5896.2</v>
      </c>
      <c r="E62" s="54">
        <v>5907.7</v>
      </c>
      <c r="F62" s="54">
        <f>'220 Antiga Silvinho '!$E62-'220 Antiga Silvinho '!$D62</f>
        <v>11.5</v>
      </c>
      <c r="G62" s="54">
        <f>'220 Antiga Silvinho '!$F62-10</f>
        <v>1.5</v>
      </c>
      <c r="H62" s="54"/>
      <c r="I62" s="54"/>
      <c r="J62" s="54"/>
      <c r="K62" s="54"/>
      <c r="L62" s="54"/>
      <c r="M62" s="54"/>
      <c r="N62" s="54"/>
    </row>
    <row r="63" ht="14.25" customHeight="1">
      <c r="B63" s="160">
        <v>45290.0</v>
      </c>
      <c r="C63" s="141" t="str">
        <f t="shared" si="1"/>
        <v>12-2023</v>
      </c>
      <c r="D63" s="54"/>
      <c r="E63" s="54"/>
      <c r="F63" s="54">
        <f>'220 Antiga Silvinho '!$E63-'220 Antiga Silvinho '!$D63</f>
        <v>0</v>
      </c>
      <c r="G63" s="54">
        <f>'220 Antiga Silvinho '!$F63-10</f>
        <v>-10</v>
      </c>
      <c r="H63" s="54"/>
      <c r="I63" s="54"/>
      <c r="J63" s="54"/>
      <c r="K63" s="54"/>
      <c r="L63" s="54"/>
      <c r="M63" s="54"/>
      <c r="N63" s="54"/>
    </row>
    <row r="64" ht="14.25" customHeight="1">
      <c r="B64" s="161">
        <v>45292.0</v>
      </c>
      <c r="C64" s="141" t="str">
        <f t="shared" si="1"/>
        <v>1-2024</v>
      </c>
      <c r="D64" s="54" t="str">
        <f t="shared" ref="D64:D347" si="10">E63</f>
        <v/>
      </c>
      <c r="E64" s="54"/>
      <c r="F64" s="54">
        <f>'220 Antiga Silvinho '!$E64-'220 Antiga Silvinho '!$D64</f>
        <v>0</v>
      </c>
      <c r="G64" s="54">
        <f>'220 Antiga Silvinho '!$F64-10</f>
        <v>-10</v>
      </c>
      <c r="H64" s="54"/>
      <c r="I64" s="54"/>
      <c r="J64" s="54"/>
      <c r="K64" s="54"/>
      <c r="L64" s="54"/>
      <c r="M64" s="54"/>
      <c r="N64" s="54"/>
    </row>
    <row r="65" ht="14.25" hidden="1" customHeight="1">
      <c r="B65" s="162"/>
      <c r="C65" s="141" t="str">
        <f t="shared" si="1"/>
        <v>12-1899</v>
      </c>
      <c r="D65" s="54" t="str">
        <f t="shared" si="10"/>
        <v/>
      </c>
      <c r="E65" s="54"/>
      <c r="F65" s="54">
        <f>'220 Antiga Silvinho '!$E65-'220 Antiga Silvinho '!$D65</f>
        <v>0</v>
      </c>
      <c r="G65" s="54">
        <f>'220 Antiga Silvinho '!$F65-10</f>
        <v>-10</v>
      </c>
      <c r="H65" s="135"/>
      <c r="I65" s="135"/>
      <c r="J65" s="135"/>
      <c r="K65" s="135"/>
      <c r="L65" s="135"/>
      <c r="M65" s="135"/>
      <c r="N65" s="135"/>
    </row>
    <row r="66" ht="14.25" hidden="1" customHeight="1">
      <c r="B66" s="162"/>
      <c r="C66" s="141" t="str">
        <f t="shared" si="1"/>
        <v>12-1899</v>
      </c>
      <c r="D66" s="54" t="str">
        <f t="shared" si="10"/>
        <v/>
      </c>
      <c r="E66" s="54"/>
      <c r="F66" s="54">
        <f>'220 Antiga Silvinho '!$E66-'220 Antiga Silvinho '!$D66</f>
        <v>0</v>
      </c>
      <c r="G66" s="54">
        <f>'220 Antiga Silvinho '!$F66-10</f>
        <v>-10</v>
      </c>
      <c r="H66" s="135"/>
      <c r="I66" s="135"/>
      <c r="J66" s="135"/>
      <c r="K66" s="135"/>
      <c r="L66" s="135"/>
      <c r="M66" s="135"/>
      <c r="N66" s="135"/>
    </row>
    <row r="67" ht="14.25" hidden="1" customHeight="1">
      <c r="B67" s="162"/>
      <c r="C67" s="141" t="str">
        <f t="shared" si="1"/>
        <v>12-1899</v>
      </c>
      <c r="D67" s="54" t="str">
        <f t="shared" si="10"/>
        <v/>
      </c>
      <c r="E67" s="54"/>
      <c r="F67" s="54">
        <f>'220 Antiga Silvinho '!$E67-'220 Antiga Silvinho '!$D67</f>
        <v>0</v>
      </c>
      <c r="G67" s="54">
        <f>'220 Antiga Silvinho '!$F67-10</f>
        <v>-10</v>
      </c>
      <c r="H67" s="135"/>
      <c r="I67" s="135"/>
      <c r="J67" s="135"/>
      <c r="K67" s="135"/>
      <c r="L67" s="135"/>
      <c r="M67" s="135"/>
      <c r="N67" s="135"/>
    </row>
    <row r="68" ht="14.25" hidden="1" customHeight="1">
      <c r="B68" s="162"/>
      <c r="C68" s="141" t="str">
        <f t="shared" si="1"/>
        <v>12-1899</v>
      </c>
      <c r="D68" s="54" t="str">
        <f t="shared" si="10"/>
        <v/>
      </c>
      <c r="E68" s="54"/>
      <c r="F68" s="54">
        <f>'220 Antiga Silvinho '!$E68-'220 Antiga Silvinho '!$D68</f>
        <v>0</v>
      </c>
      <c r="G68" s="54">
        <f>'220 Antiga Silvinho '!$F68-10</f>
        <v>-10</v>
      </c>
      <c r="H68" s="135"/>
      <c r="I68" s="135"/>
      <c r="J68" s="135"/>
      <c r="K68" s="135"/>
      <c r="L68" s="135"/>
      <c r="M68" s="135"/>
      <c r="N68" s="135"/>
    </row>
    <row r="69" ht="14.25" hidden="1" customHeight="1">
      <c r="B69" s="162"/>
      <c r="C69" s="141" t="str">
        <f t="shared" si="1"/>
        <v>12-1899</v>
      </c>
      <c r="D69" s="54" t="str">
        <f t="shared" si="10"/>
        <v/>
      </c>
      <c r="E69" s="54"/>
      <c r="F69" s="54">
        <f>'220 Antiga Silvinho '!$E69-'220 Antiga Silvinho '!$D69</f>
        <v>0</v>
      </c>
      <c r="G69" s="54">
        <f>'220 Antiga Silvinho '!$F69-10</f>
        <v>-10</v>
      </c>
      <c r="H69" s="135"/>
      <c r="I69" s="135"/>
      <c r="J69" s="135"/>
      <c r="K69" s="135"/>
      <c r="L69" s="135"/>
      <c r="M69" s="135"/>
      <c r="N69" s="135"/>
    </row>
    <row r="70" ht="14.25" hidden="1" customHeight="1">
      <c r="B70" s="162"/>
      <c r="C70" s="141" t="str">
        <f t="shared" si="1"/>
        <v>12-1899</v>
      </c>
      <c r="D70" s="54" t="str">
        <f t="shared" si="10"/>
        <v/>
      </c>
      <c r="E70" s="54"/>
      <c r="F70" s="54">
        <f>'220 Antiga Silvinho '!$E70-'220 Antiga Silvinho '!$D70</f>
        <v>0</v>
      </c>
      <c r="G70" s="54">
        <f>'220 Antiga Silvinho '!$F70-10</f>
        <v>-10</v>
      </c>
      <c r="H70" s="135"/>
      <c r="I70" s="135"/>
      <c r="J70" s="135"/>
      <c r="K70" s="135"/>
      <c r="L70" s="135"/>
      <c r="M70" s="135"/>
      <c r="N70" s="135"/>
    </row>
    <row r="71" ht="14.25" hidden="1" customHeight="1">
      <c r="B71" s="162"/>
      <c r="C71" s="141" t="str">
        <f t="shared" si="1"/>
        <v>12-1899</v>
      </c>
      <c r="D71" s="54" t="str">
        <f t="shared" si="10"/>
        <v/>
      </c>
      <c r="E71" s="54"/>
      <c r="F71" s="54">
        <f>'220 Antiga Silvinho '!$E71-'220 Antiga Silvinho '!$D71</f>
        <v>0</v>
      </c>
      <c r="G71" s="54">
        <f>'220 Antiga Silvinho '!$F71-10</f>
        <v>-10</v>
      </c>
      <c r="H71" s="135"/>
      <c r="I71" s="135"/>
      <c r="J71" s="135"/>
      <c r="K71" s="135"/>
      <c r="L71" s="135"/>
      <c r="M71" s="135"/>
      <c r="N71" s="135"/>
    </row>
    <row r="72" ht="14.25" hidden="1" customHeight="1">
      <c r="B72" s="162"/>
      <c r="C72" s="141" t="str">
        <f t="shared" si="1"/>
        <v>12-1899</v>
      </c>
      <c r="D72" s="54" t="str">
        <f t="shared" si="10"/>
        <v/>
      </c>
      <c r="E72" s="54"/>
      <c r="F72" s="54">
        <f>'220 Antiga Silvinho '!$E72-'220 Antiga Silvinho '!$D72</f>
        <v>0</v>
      </c>
      <c r="G72" s="54">
        <f>'220 Antiga Silvinho '!$F72-10</f>
        <v>-10</v>
      </c>
      <c r="H72" s="135"/>
      <c r="I72" s="135"/>
      <c r="J72" s="135"/>
      <c r="K72" s="135"/>
      <c r="L72" s="135"/>
      <c r="M72" s="135"/>
      <c r="N72" s="135"/>
    </row>
    <row r="73" ht="14.25" hidden="1" customHeight="1">
      <c r="B73" s="162"/>
      <c r="C73" s="141" t="str">
        <f t="shared" si="1"/>
        <v>12-1899</v>
      </c>
      <c r="D73" s="54" t="str">
        <f t="shared" si="10"/>
        <v/>
      </c>
      <c r="E73" s="54"/>
      <c r="F73" s="54">
        <f>'220 Antiga Silvinho '!$E73-'220 Antiga Silvinho '!$D73</f>
        <v>0</v>
      </c>
      <c r="G73" s="54">
        <f>'220 Antiga Silvinho '!$F73-10</f>
        <v>-10</v>
      </c>
      <c r="H73" s="135"/>
      <c r="I73" s="135"/>
      <c r="J73" s="135"/>
      <c r="K73" s="135"/>
      <c r="L73" s="135"/>
      <c r="M73" s="135"/>
      <c r="N73" s="135"/>
    </row>
    <row r="74" ht="14.25" hidden="1" customHeight="1">
      <c r="B74" s="162"/>
      <c r="C74" s="141" t="str">
        <f t="shared" si="1"/>
        <v>12-1899</v>
      </c>
      <c r="D74" s="54" t="str">
        <f t="shared" si="10"/>
        <v/>
      </c>
      <c r="E74" s="54"/>
      <c r="F74" s="54">
        <f>'220 Antiga Silvinho '!$E74-'220 Antiga Silvinho '!$D74</f>
        <v>0</v>
      </c>
      <c r="G74" s="54">
        <f>'220 Antiga Silvinho '!$F74-10</f>
        <v>-10</v>
      </c>
      <c r="H74" s="135"/>
      <c r="I74" s="135"/>
      <c r="J74" s="135"/>
      <c r="K74" s="135"/>
      <c r="L74" s="135"/>
      <c r="M74" s="135"/>
      <c r="N74" s="135"/>
    </row>
    <row r="75" ht="14.25" hidden="1" customHeight="1">
      <c r="B75" s="162"/>
      <c r="C75" s="141" t="str">
        <f t="shared" si="1"/>
        <v>12-1899</v>
      </c>
      <c r="D75" s="54" t="str">
        <f t="shared" si="10"/>
        <v/>
      </c>
      <c r="E75" s="54"/>
      <c r="F75" s="54">
        <f>'220 Antiga Silvinho '!$E75-'220 Antiga Silvinho '!$D75</f>
        <v>0</v>
      </c>
      <c r="G75" s="54">
        <f>'220 Antiga Silvinho '!$F75-10</f>
        <v>-10</v>
      </c>
      <c r="H75" s="135"/>
      <c r="I75" s="135"/>
      <c r="J75" s="135"/>
      <c r="K75" s="135"/>
      <c r="L75" s="135"/>
      <c r="M75" s="135"/>
      <c r="N75" s="135"/>
    </row>
    <row r="76" ht="14.25" hidden="1" customHeight="1">
      <c r="B76" s="162"/>
      <c r="C76" s="141" t="str">
        <f t="shared" si="1"/>
        <v>12-1899</v>
      </c>
      <c r="D76" s="54" t="str">
        <f t="shared" si="10"/>
        <v/>
      </c>
      <c r="E76" s="54"/>
      <c r="F76" s="54">
        <f>'220 Antiga Silvinho '!$E76-'220 Antiga Silvinho '!$D76</f>
        <v>0</v>
      </c>
      <c r="G76" s="54">
        <f>'220 Antiga Silvinho '!$F76-10</f>
        <v>-10</v>
      </c>
      <c r="H76" s="135"/>
      <c r="I76" s="135"/>
      <c r="J76" s="135"/>
      <c r="K76" s="135"/>
      <c r="L76" s="135"/>
      <c r="M76" s="135"/>
      <c r="N76" s="135"/>
    </row>
    <row r="77" ht="14.25" hidden="1" customHeight="1">
      <c r="B77" s="162"/>
      <c r="C77" s="141" t="str">
        <f t="shared" si="1"/>
        <v>12-1899</v>
      </c>
      <c r="D77" s="54" t="str">
        <f t="shared" si="10"/>
        <v/>
      </c>
      <c r="E77" s="54"/>
      <c r="F77" s="54">
        <f>'220 Antiga Silvinho '!$E77-'220 Antiga Silvinho '!$D77</f>
        <v>0</v>
      </c>
      <c r="G77" s="54">
        <f>'220 Antiga Silvinho '!$F77-10</f>
        <v>-10</v>
      </c>
      <c r="H77" s="135"/>
      <c r="I77" s="135"/>
      <c r="J77" s="135"/>
      <c r="K77" s="135"/>
      <c r="L77" s="135"/>
      <c r="M77" s="135"/>
      <c r="N77" s="135"/>
    </row>
    <row r="78" ht="14.25" hidden="1" customHeight="1">
      <c r="B78" s="162"/>
      <c r="C78" s="141" t="str">
        <f t="shared" si="1"/>
        <v>12-1899</v>
      </c>
      <c r="D78" s="54" t="str">
        <f t="shared" si="10"/>
        <v/>
      </c>
      <c r="E78" s="54"/>
      <c r="F78" s="54">
        <f>'220 Antiga Silvinho '!$E78-'220 Antiga Silvinho '!$D78</f>
        <v>0</v>
      </c>
      <c r="G78" s="54">
        <f>'220 Antiga Silvinho '!$F78-10</f>
        <v>-10</v>
      </c>
      <c r="H78" s="135"/>
      <c r="I78" s="135"/>
      <c r="J78" s="135"/>
      <c r="K78" s="135"/>
      <c r="L78" s="135"/>
      <c r="M78" s="135"/>
      <c r="N78" s="135"/>
    </row>
    <row r="79" ht="14.25" hidden="1" customHeight="1">
      <c r="B79" s="162"/>
      <c r="C79" s="141" t="str">
        <f t="shared" si="1"/>
        <v>12-1899</v>
      </c>
      <c r="D79" s="54" t="str">
        <f t="shared" si="10"/>
        <v/>
      </c>
      <c r="E79" s="54"/>
      <c r="F79" s="54">
        <f>'220 Antiga Silvinho '!$E79-'220 Antiga Silvinho '!$D79</f>
        <v>0</v>
      </c>
      <c r="G79" s="54">
        <f>'220 Antiga Silvinho '!$F79-10</f>
        <v>-10</v>
      </c>
      <c r="H79" s="135"/>
      <c r="I79" s="135"/>
      <c r="J79" s="135"/>
      <c r="K79" s="135"/>
      <c r="L79" s="135"/>
      <c r="M79" s="135"/>
      <c r="N79" s="135"/>
    </row>
    <row r="80" ht="14.25" hidden="1" customHeight="1">
      <c r="B80" s="162"/>
      <c r="C80" s="141" t="str">
        <f t="shared" si="1"/>
        <v>12-1899</v>
      </c>
      <c r="D80" s="54" t="str">
        <f t="shared" si="10"/>
        <v/>
      </c>
      <c r="E80" s="54"/>
      <c r="F80" s="54">
        <f>'220 Antiga Silvinho '!$E80-'220 Antiga Silvinho '!$D80</f>
        <v>0</v>
      </c>
      <c r="G80" s="54">
        <f>'220 Antiga Silvinho '!$F80-10</f>
        <v>-10</v>
      </c>
      <c r="H80" s="135"/>
      <c r="I80" s="135"/>
      <c r="J80" s="135"/>
      <c r="K80" s="135"/>
      <c r="L80" s="135"/>
      <c r="M80" s="135"/>
      <c r="N80" s="135"/>
    </row>
    <row r="81" ht="14.25" hidden="1" customHeight="1">
      <c r="B81" s="162"/>
      <c r="C81" s="141" t="str">
        <f t="shared" si="1"/>
        <v>12-1899</v>
      </c>
      <c r="D81" s="54" t="str">
        <f t="shared" si="10"/>
        <v/>
      </c>
      <c r="E81" s="54"/>
      <c r="F81" s="54">
        <f>'220 Antiga Silvinho '!$E81-'220 Antiga Silvinho '!$D81</f>
        <v>0</v>
      </c>
      <c r="G81" s="54">
        <f>'220 Antiga Silvinho '!$F81-10</f>
        <v>-10</v>
      </c>
      <c r="H81" s="135"/>
      <c r="I81" s="135"/>
      <c r="J81" s="135"/>
      <c r="K81" s="135"/>
      <c r="L81" s="135"/>
      <c r="M81" s="135"/>
      <c r="N81" s="135"/>
    </row>
    <row r="82" ht="14.25" hidden="1" customHeight="1">
      <c r="B82" s="162"/>
      <c r="C82" s="141" t="str">
        <f t="shared" si="1"/>
        <v>12-1899</v>
      </c>
      <c r="D82" s="54" t="str">
        <f t="shared" si="10"/>
        <v/>
      </c>
      <c r="E82" s="54"/>
      <c r="F82" s="54">
        <f>'220 Antiga Silvinho '!$E82-'220 Antiga Silvinho '!$D82</f>
        <v>0</v>
      </c>
      <c r="G82" s="54">
        <f>'220 Antiga Silvinho '!$F82-10</f>
        <v>-10</v>
      </c>
      <c r="H82" s="135"/>
      <c r="I82" s="135"/>
      <c r="J82" s="135"/>
      <c r="K82" s="135"/>
      <c r="L82" s="135"/>
      <c r="M82" s="135"/>
      <c r="N82" s="135"/>
    </row>
    <row r="83" ht="14.25" hidden="1" customHeight="1">
      <c r="B83" s="162"/>
      <c r="C83" s="141" t="str">
        <f t="shared" si="1"/>
        <v>12-1899</v>
      </c>
      <c r="D83" s="54" t="str">
        <f t="shared" si="10"/>
        <v/>
      </c>
      <c r="E83" s="54"/>
      <c r="F83" s="54">
        <f>'220 Antiga Silvinho '!$E83-'220 Antiga Silvinho '!$D83</f>
        <v>0</v>
      </c>
      <c r="G83" s="54">
        <f>'220 Antiga Silvinho '!$F83-10</f>
        <v>-10</v>
      </c>
      <c r="H83" s="135"/>
      <c r="I83" s="135"/>
      <c r="J83" s="135"/>
      <c r="K83" s="135"/>
      <c r="L83" s="135"/>
      <c r="M83" s="135"/>
      <c r="N83" s="135"/>
    </row>
    <row r="84" ht="14.25" hidden="1" customHeight="1">
      <c r="B84" s="162"/>
      <c r="C84" s="141" t="str">
        <f t="shared" si="1"/>
        <v>12-1899</v>
      </c>
      <c r="D84" s="54" t="str">
        <f t="shared" si="10"/>
        <v/>
      </c>
      <c r="E84" s="54"/>
      <c r="F84" s="54">
        <f>'220 Antiga Silvinho '!$E84-'220 Antiga Silvinho '!$D84</f>
        <v>0</v>
      </c>
      <c r="G84" s="54">
        <f>'220 Antiga Silvinho '!$F84-10</f>
        <v>-10</v>
      </c>
      <c r="H84" s="135"/>
      <c r="I84" s="135"/>
      <c r="J84" s="135"/>
      <c r="K84" s="135"/>
      <c r="L84" s="135"/>
      <c r="M84" s="135"/>
      <c r="N84" s="135"/>
    </row>
    <row r="85" ht="14.25" hidden="1" customHeight="1">
      <c r="B85" s="162"/>
      <c r="C85" s="141" t="str">
        <f t="shared" si="1"/>
        <v>12-1899</v>
      </c>
      <c r="D85" s="54" t="str">
        <f t="shared" si="10"/>
        <v/>
      </c>
      <c r="E85" s="54"/>
      <c r="F85" s="54">
        <f>'220 Antiga Silvinho '!$E85-'220 Antiga Silvinho '!$D85</f>
        <v>0</v>
      </c>
      <c r="G85" s="54">
        <f>'220 Antiga Silvinho '!$F85-10</f>
        <v>-10</v>
      </c>
      <c r="H85" s="135"/>
      <c r="I85" s="135"/>
      <c r="J85" s="135"/>
      <c r="K85" s="135"/>
      <c r="L85" s="135"/>
      <c r="M85" s="135"/>
      <c r="N85" s="135"/>
    </row>
    <row r="86" ht="14.25" hidden="1" customHeight="1">
      <c r="B86" s="162"/>
      <c r="C86" s="141" t="str">
        <f t="shared" si="1"/>
        <v>12-1899</v>
      </c>
      <c r="D86" s="54" t="str">
        <f t="shared" si="10"/>
        <v/>
      </c>
      <c r="E86" s="54"/>
      <c r="F86" s="54">
        <f>'220 Antiga Silvinho '!$E86-'220 Antiga Silvinho '!$D86</f>
        <v>0</v>
      </c>
      <c r="G86" s="54">
        <f>'220 Antiga Silvinho '!$F86-10</f>
        <v>-10</v>
      </c>
      <c r="H86" s="135"/>
      <c r="I86" s="135"/>
      <c r="J86" s="135"/>
      <c r="K86" s="135"/>
      <c r="L86" s="135"/>
      <c r="M86" s="135"/>
      <c r="N86" s="135"/>
    </row>
    <row r="87" ht="14.25" hidden="1" customHeight="1">
      <c r="B87" s="162"/>
      <c r="C87" s="141" t="str">
        <f t="shared" si="1"/>
        <v>12-1899</v>
      </c>
      <c r="D87" s="54" t="str">
        <f t="shared" si="10"/>
        <v/>
      </c>
      <c r="E87" s="54"/>
      <c r="F87" s="54">
        <f>'220 Antiga Silvinho '!$E87-'220 Antiga Silvinho '!$D87</f>
        <v>0</v>
      </c>
      <c r="G87" s="54">
        <f>'220 Antiga Silvinho '!$F87-10</f>
        <v>-10</v>
      </c>
      <c r="H87" s="135"/>
      <c r="I87" s="135"/>
      <c r="J87" s="135"/>
      <c r="K87" s="135"/>
      <c r="L87" s="135"/>
      <c r="M87" s="135"/>
      <c r="N87" s="135"/>
    </row>
    <row r="88" ht="14.25" hidden="1" customHeight="1">
      <c r="B88" s="162"/>
      <c r="C88" s="141" t="str">
        <f t="shared" si="1"/>
        <v>12-1899</v>
      </c>
      <c r="D88" s="54" t="str">
        <f t="shared" si="10"/>
        <v/>
      </c>
      <c r="E88" s="54"/>
      <c r="F88" s="54">
        <f>'220 Antiga Silvinho '!$E88-'220 Antiga Silvinho '!$D88</f>
        <v>0</v>
      </c>
      <c r="G88" s="54">
        <f>'220 Antiga Silvinho '!$F88-10</f>
        <v>-10</v>
      </c>
      <c r="H88" s="135"/>
      <c r="I88" s="135"/>
      <c r="J88" s="135"/>
      <c r="K88" s="135"/>
      <c r="L88" s="135"/>
      <c r="M88" s="135"/>
      <c r="N88" s="135"/>
    </row>
    <row r="89" ht="14.25" hidden="1" customHeight="1">
      <c r="B89" s="162"/>
      <c r="C89" s="141" t="str">
        <f t="shared" si="1"/>
        <v>12-1899</v>
      </c>
      <c r="D89" s="54" t="str">
        <f t="shared" si="10"/>
        <v/>
      </c>
      <c r="E89" s="54"/>
      <c r="F89" s="54">
        <f>'220 Antiga Silvinho '!$E89-'220 Antiga Silvinho '!$D89</f>
        <v>0</v>
      </c>
      <c r="G89" s="54">
        <f>'220 Antiga Silvinho '!$F89-10</f>
        <v>-10</v>
      </c>
      <c r="H89" s="135"/>
      <c r="I89" s="135"/>
      <c r="J89" s="135"/>
      <c r="K89" s="135"/>
      <c r="L89" s="135"/>
      <c r="M89" s="135"/>
      <c r="N89" s="135"/>
    </row>
    <row r="90" ht="14.25" hidden="1" customHeight="1">
      <c r="B90" s="162"/>
      <c r="C90" s="141" t="str">
        <f t="shared" si="1"/>
        <v>12-1899</v>
      </c>
      <c r="D90" s="54" t="str">
        <f t="shared" si="10"/>
        <v/>
      </c>
      <c r="E90" s="54"/>
      <c r="F90" s="54">
        <f>'220 Antiga Silvinho '!$E90-'220 Antiga Silvinho '!$D90</f>
        <v>0</v>
      </c>
      <c r="G90" s="54">
        <f>'220 Antiga Silvinho '!$F90-10</f>
        <v>-10</v>
      </c>
      <c r="H90" s="135"/>
      <c r="I90" s="135"/>
      <c r="J90" s="135"/>
      <c r="K90" s="135"/>
      <c r="L90" s="135"/>
      <c r="M90" s="135"/>
      <c r="N90" s="135"/>
    </row>
    <row r="91" ht="14.25" hidden="1" customHeight="1">
      <c r="B91" s="162"/>
      <c r="C91" s="141" t="str">
        <f t="shared" si="1"/>
        <v>12-1899</v>
      </c>
      <c r="D91" s="54" t="str">
        <f t="shared" si="10"/>
        <v/>
      </c>
      <c r="E91" s="54"/>
      <c r="F91" s="54">
        <f>'220 Antiga Silvinho '!$E91-'220 Antiga Silvinho '!$D91</f>
        <v>0</v>
      </c>
      <c r="G91" s="54">
        <f>'220 Antiga Silvinho '!$F91-10</f>
        <v>-10</v>
      </c>
      <c r="H91" s="135"/>
      <c r="I91" s="135"/>
      <c r="J91" s="135"/>
      <c r="K91" s="135"/>
      <c r="L91" s="135"/>
      <c r="M91" s="135"/>
      <c r="N91" s="135"/>
    </row>
    <row r="92" ht="14.25" hidden="1" customHeight="1">
      <c r="B92" s="162"/>
      <c r="C92" s="141" t="str">
        <f t="shared" si="1"/>
        <v>12-1899</v>
      </c>
      <c r="D92" s="54" t="str">
        <f t="shared" si="10"/>
        <v/>
      </c>
      <c r="E92" s="54"/>
      <c r="F92" s="54">
        <f>'220 Antiga Silvinho '!$E92-'220 Antiga Silvinho '!$D92</f>
        <v>0</v>
      </c>
      <c r="G92" s="54">
        <f>'220 Antiga Silvinho '!$F92-10</f>
        <v>-10</v>
      </c>
      <c r="H92" s="135"/>
      <c r="I92" s="135"/>
      <c r="J92" s="135"/>
      <c r="K92" s="135"/>
      <c r="L92" s="135"/>
      <c r="M92" s="135"/>
      <c r="N92" s="135"/>
    </row>
    <row r="93" ht="14.25" hidden="1" customHeight="1">
      <c r="B93" s="162"/>
      <c r="C93" s="141" t="str">
        <f t="shared" si="1"/>
        <v>12-1899</v>
      </c>
      <c r="D93" s="54" t="str">
        <f t="shared" si="10"/>
        <v/>
      </c>
      <c r="E93" s="54"/>
      <c r="F93" s="54">
        <f>'220 Antiga Silvinho '!$E93-'220 Antiga Silvinho '!$D93</f>
        <v>0</v>
      </c>
      <c r="G93" s="54">
        <f>'220 Antiga Silvinho '!$F93-10</f>
        <v>-10</v>
      </c>
      <c r="H93" s="135"/>
      <c r="I93" s="135"/>
      <c r="J93" s="135"/>
      <c r="K93" s="135"/>
      <c r="L93" s="135"/>
      <c r="M93" s="135"/>
      <c r="N93" s="135"/>
    </row>
    <row r="94" ht="14.25" hidden="1" customHeight="1">
      <c r="B94" s="162"/>
      <c r="C94" s="141" t="str">
        <f t="shared" si="1"/>
        <v>12-1899</v>
      </c>
      <c r="D94" s="54" t="str">
        <f t="shared" si="10"/>
        <v/>
      </c>
      <c r="E94" s="54"/>
      <c r="F94" s="54">
        <f>'220 Antiga Silvinho '!$E94-'220 Antiga Silvinho '!$D94</f>
        <v>0</v>
      </c>
      <c r="G94" s="54">
        <f>'220 Antiga Silvinho '!$F94-10</f>
        <v>-10</v>
      </c>
      <c r="H94" s="135"/>
      <c r="I94" s="135"/>
      <c r="J94" s="135"/>
      <c r="K94" s="135"/>
      <c r="L94" s="135"/>
      <c r="M94" s="135"/>
      <c r="N94" s="135"/>
    </row>
    <row r="95" ht="14.25" hidden="1" customHeight="1">
      <c r="B95" s="162"/>
      <c r="C95" s="141" t="str">
        <f t="shared" si="1"/>
        <v>12-1899</v>
      </c>
      <c r="D95" s="54" t="str">
        <f t="shared" si="10"/>
        <v/>
      </c>
      <c r="E95" s="54"/>
      <c r="F95" s="54">
        <f>'220 Antiga Silvinho '!$E95-'220 Antiga Silvinho '!$D95</f>
        <v>0</v>
      </c>
      <c r="G95" s="54">
        <f>'220 Antiga Silvinho '!$F95-10</f>
        <v>-10</v>
      </c>
      <c r="H95" s="135"/>
      <c r="I95" s="135"/>
      <c r="J95" s="135"/>
      <c r="K95" s="135"/>
      <c r="L95" s="135"/>
      <c r="M95" s="135"/>
      <c r="N95" s="135"/>
    </row>
    <row r="96" ht="14.25" hidden="1" customHeight="1">
      <c r="B96" s="162"/>
      <c r="C96" s="141" t="str">
        <f t="shared" si="1"/>
        <v>12-1899</v>
      </c>
      <c r="D96" s="54" t="str">
        <f t="shared" si="10"/>
        <v/>
      </c>
      <c r="E96" s="54"/>
      <c r="F96" s="54">
        <f>'220 Antiga Silvinho '!$E96-'220 Antiga Silvinho '!$D96</f>
        <v>0</v>
      </c>
      <c r="G96" s="54">
        <f>'220 Antiga Silvinho '!$F96-10</f>
        <v>-10</v>
      </c>
      <c r="H96" s="135"/>
      <c r="I96" s="135"/>
      <c r="J96" s="135"/>
      <c r="K96" s="135"/>
      <c r="L96" s="135"/>
      <c r="M96" s="135"/>
      <c r="N96" s="135"/>
    </row>
    <row r="97" ht="14.25" hidden="1" customHeight="1">
      <c r="B97" s="162"/>
      <c r="C97" s="141" t="str">
        <f t="shared" si="1"/>
        <v>12-1899</v>
      </c>
      <c r="D97" s="54" t="str">
        <f t="shared" si="10"/>
        <v/>
      </c>
      <c r="E97" s="54"/>
      <c r="F97" s="54">
        <f>'220 Antiga Silvinho '!$E97-'220 Antiga Silvinho '!$D97</f>
        <v>0</v>
      </c>
      <c r="G97" s="54">
        <f>'220 Antiga Silvinho '!$F97-10</f>
        <v>-10</v>
      </c>
      <c r="H97" s="135"/>
      <c r="I97" s="135"/>
      <c r="J97" s="135"/>
      <c r="K97" s="135"/>
      <c r="L97" s="135"/>
      <c r="M97" s="135"/>
      <c r="N97" s="135"/>
    </row>
    <row r="98" ht="14.25" hidden="1" customHeight="1">
      <c r="B98" s="162"/>
      <c r="C98" s="141" t="str">
        <f t="shared" si="1"/>
        <v>12-1899</v>
      </c>
      <c r="D98" s="54" t="str">
        <f t="shared" si="10"/>
        <v/>
      </c>
      <c r="E98" s="54"/>
      <c r="F98" s="54">
        <f>'220 Antiga Silvinho '!$E98-'220 Antiga Silvinho '!$D98</f>
        <v>0</v>
      </c>
      <c r="G98" s="54">
        <f>'220 Antiga Silvinho '!$F98-10</f>
        <v>-10</v>
      </c>
      <c r="H98" s="135"/>
      <c r="I98" s="135"/>
      <c r="J98" s="135"/>
      <c r="K98" s="135"/>
      <c r="L98" s="135"/>
      <c r="M98" s="135"/>
      <c r="N98" s="135"/>
    </row>
    <row r="99" ht="14.25" hidden="1" customHeight="1">
      <c r="B99" s="162"/>
      <c r="C99" s="141" t="str">
        <f t="shared" si="1"/>
        <v>12-1899</v>
      </c>
      <c r="D99" s="54" t="str">
        <f t="shared" si="10"/>
        <v/>
      </c>
      <c r="E99" s="54"/>
      <c r="F99" s="54">
        <f>'220 Antiga Silvinho '!$E99-'220 Antiga Silvinho '!$D99</f>
        <v>0</v>
      </c>
      <c r="G99" s="54">
        <f>'220 Antiga Silvinho '!$F99-10</f>
        <v>-10</v>
      </c>
      <c r="H99" s="135"/>
      <c r="I99" s="135"/>
      <c r="J99" s="135"/>
      <c r="K99" s="135"/>
      <c r="L99" s="135"/>
      <c r="M99" s="135"/>
      <c r="N99" s="135"/>
    </row>
    <row r="100" ht="14.25" hidden="1" customHeight="1">
      <c r="B100" s="162"/>
      <c r="C100" s="141" t="str">
        <f t="shared" si="1"/>
        <v>12-1899</v>
      </c>
      <c r="D100" s="54" t="str">
        <f t="shared" si="10"/>
        <v/>
      </c>
      <c r="E100" s="54"/>
      <c r="F100" s="54">
        <f>'220 Antiga Silvinho '!$E100-'220 Antiga Silvinho '!$D100</f>
        <v>0</v>
      </c>
      <c r="G100" s="54">
        <f>'220 Antiga Silvinho '!$F100-10</f>
        <v>-10</v>
      </c>
      <c r="H100" s="135"/>
      <c r="I100" s="135"/>
      <c r="J100" s="135"/>
      <c r="K100" s="135"/>
      <c r="L100" s="135"/>
      <c r="M100" s="135"/>
      <c r="N100" s="135"/>
    </row>
    <row r="101" ht="14.25" hidden="1" customHeight="1">
      <c r="B101" s="162"/>
      <c r="C101" s="141" t="str">
        <f t="shared" si="1"/>
        <v>12-1899</v>
      </c>
      <c r="D101" s="54" t="str">
        <f t="shared" si="10"/>
        <v/>
      </c>
      <c r="E101" s="54"/>
      <c r="F101" s="54">
        <f>'220 Antiga Silvinho '!$E101-'220 Antiga Silvinho '!$D101</f>
        <v>0</v>
      </c>
      <c r="G101" s="54">
        <f>'220 Antiga Silvinho '!$F101-10</f>
        <v>-10</v>
      </c>
      <c r="H101" s="135"/>
      <c r="I101" s="135"/>
      <c r="J101" s="135"/>
      <c r="K101" s="135"/>
      <c r="L101" s="135"/>
      <c r="M101" s="135"/>
      <c r="N101" s="135"/>
    </row>
    <row r="102" ht="14.25" hidden="1" customHeight="1">
      <c r="B102" s="162"/>
      <c r="C102" s="141" t="str">
        <f t="shared" si="1"/>
        <v>12-1899</v>
      </c>
      <c r="D102" s="54" t="str">
        <f t="shared" si="10"/>
        <v/>
      </c>
      <c r="E102" s="54"/>
      <c r="F102" s="54">
        <f>'220 Antiga Silvinho '!$E102-'220 Antiga Silvinho '!$D102</f>
        <v>0</v>
      </c>
      <c r="G102" s="54">
        <f>'220 Antiga Silvinho '!$F102-10</f>
        <v>-10</v>
      </c>
      <c r="H102" s="135"/>
      <c r="I102" s="135"/>
      <c r="J102" s="135"/>
      <c r="K102" s="135"/>
      <c r="L102" s="135"/>
      <c r="M102" s="135"/>
      <c r="N102" s="135"/>
    </row>
    <row r="103" ht="14.25" hidden="1" customHeight="1">
      <c r="B103" s="162"/>
      <c r="C103" s="141" t="str">
        <f t="shared" si="1"/>
        <v>12-1899</v>
      </c>
      <c r="D103" s="54" t="str">
        <f t="shared" si="10"/>
        <v/>
      </c>
      <c r="E103" s="54"/>
      <c r="F103" s="54">
        <f>'220 Antiga Silvinho '!$E103-'220 Antiga Silvinho '!$D103</f>
        <v>0</v>
      </c>
      <c r="G103" s="54">
        <f>'220 Antiga Silvinho '!$F103-10</f>
        <v>-10</v>
      </c>
      <c r="H103" s="135"/>
      <c r="I103" s="135"/>
      <c r="J103" s="135"/>
      <c r="K103" s="135"/>
      <c r="L103" s="135"/>
      <c r="M103" s="135"/>
      <c r="N103" s="135"/>
    </row>
    <row r="104" ht="14.25" hidden="1" customHeight="1">
      <c r="B104" s="162"/>
      <c r="C104" s="141" t="str">
        <f t="shared" si="1"/>
        <v>12-1899</v>
      </c>
      <c r="D104" s="54" t="str">
        <f t="shared" si="10"/>
        <v/>
      </c>
      <c r="E104" s="54"/>
      <c r="F104" s="54">
        <f>'220 Antiga Silvinho '!$E104-'220 Antiga Silvinho '!$D104</f>
        <v>0</v>
      </c>
      <c r="G104" s="54">
        <f>'220 Antiga Silvinho '!$F104-10</f>
        <v>-10</v>
      </c>
      <c r="H104" s="135"/>
      <c r="I104" s="135"/>
      <c r="J104" s="135"/>
      <c r="K104" s="135"/>
      <c r="L104" s="135"/>
      <c r="M104" s="135"/>
      <c r="N104" s="135"/>
    </row>
    <row r="105" ht="14.25" hidden="1" customHeight="1">
      <c r="B105" s="162"/>
      <c r="C105" s="141" t="str">
        <f t="shared" si="1"/>
        <v>12-1899</v>
      </c>
      <c r="D105" s="54" t="str">
        <f t="shared" si="10"/>
        <v/>
      </c>
      <c r="E105" s="54"/>
      <c r="F105" s="54">
        <f>'220 Antiga Silvinho '!$E105-'220 Antiga Silvinho '!$D105</f>
        <v>0</v>
      </c>
      <c r="G105" s="54">
        <f>'220 Antiga Silvinho '!$F105-10</f>
        <v>-10</v>
      </c>
      <c r="H105" s="135"/>
      <c r="I105" s="135"/>
      <c r="J105" s="135"/>
      <c r="K105" s="135"/>
      <c r="L105" s="135"/>
      <c r="M105" s="135"/>
      <c r="N105" s="135"/>
    </row>
    <row r="106" ht="14.25" hidden="1" customHeight="1">
      <c r="B106" s="162"/>
      <c r="C106" s="141" t="str">
        <f t="shared" si="1"/>
        <v>12-1899</v>
      </c>
      <c r="D106" s="54" t="str">
        <f t="shared" si="10"/>
        <v/>
      </c>
      <c r="E106" s="54"/>
      <c r="F106" s="54">
        <f>'220 Antiga Silvinho '!$E106-'220 Antiga Silvinho '!$D106</f>
        <v>0</v>
      </c>
      <c r="G106" s="54">
        <f>'220 Antiga Silvinho '!$F106-10</f>
        <v>-10</v>
      </c>
      <c r="H106" s="135"/>
      <c r="I106" s="135"/>
      <c r="J106" s="135"/>
      <c r="K106" s="135"/>
      <c r="L106" s="135"/>
      <c r="M106" s="135"/>
      <c r="N106" s="135"/>
    </row>
    <row r="107" ht="14.25" hidden="1" customHeight="1">
      <c r="B107" s="162"/>
      <c r="C107" s="141" t="str">
        <f t="shared" si="1"/>
        <v>12-1899</v>
      </c>
      <c r="D107" s="54" t="str">
        <f t="shared" si="10"/>
        <v/>
      </c>
      <c r="E107" s="54"/>
      <c r="F107" s="54">
        <f>'220 Antiga Silvinho '!$E107-'220 Antiga Silvinho '!$D107</f>
        <v>0</v>
      </c>
      <c r="G107" s="54">
        <f>'220 Antiga Silvinho '!$F107-10</f>
        <v>-10</v>
      </c>
      <c r="H107" s="135"/>
      <c r="I107" s="135"/>
      <c r="J107" s="135"/>
      <c r="K107" s="135"/>
      <c r="L107" s="135"/>
      <c r="M107" s="135"/>
      <c r="N107" s="135"/>
    </row>
    <row r="108" ht="14.25" hidden="1" customHeight="1">
      <c r="B108" s="162"/>
      <c r="C108" s="141" t="str">
        <f t="shared" si="1"/>
        <v>12-1899</v>
      </c>
      <c r="D108" s="54" t="str">
        <f t="shared" si="10"/>
        <v/>
      </c>
      <c r="E108" s="54"/>
      <c r="F108" s="54">
        <f>'220 Antiga Silvinho '!$E108-'220 Antiga Silvinho '!$D108</f>
        <v>0</v>
      </c>
      <c r="G108" s="54">
        <f>'220 Antiga Silvinho '!$F108-10</f>
        <v>-10</v>
      </c>
      <c r="H108" s="135"/>
      <c r="I108" s="135"/>
      <c r="J108" s="135"/>
      <c r="K108" s="135"/>
      <c r="L108" s="135"/>
      <c r="M108" s="135"/>
      <c r="N108" s="135"/>
    </row>
    <row r="109" ht="14.25" hidden="1" customHeight="1">
      <c r="B109" s="162"/>
      <c r="C109" s="141" t="str">
        <f t="shared" si="1"/>
        <v>12-1899</v>
      </c>
      <c r="D109" s="54" t="str">
        <f t="shared" si="10"/>
        <v/>
      </c>
      <c r="E109" s="54"/>
      <c r="F109" s="54">
        <f>'220 Antiga Silvinho '!$E109-'220 Antiga Silvinho '!$D109</f>
        <v>0</v>
      </c>
      <c r="G109" s="54">
        <f>'220 Antiga Silvinho '!$F109-10</f>
        <v>-10</v>
      </c>
      <c r="H109" s="135"/>
      <c r="I109" s="135"/>
      <c r="J109" s="135"/>
      <c r="K109" s="135"/>
      <c r="L109" s="135"/>
      <c r="M109" s="135"/>
      <c r="N109" s="135"/>
    </row>
    <row r="110" ht="14.25" hidden="1" customHeight="1">
      <c r="B110" s="162"/>
      <c r="C110" s="141" t="str">
        <f t="shared" si="1"/>
        <v>12-1899</v>
      </c>
      <c r="D110" s="54" t="str">
        <f t="shared" si="10"/>
        <v/>
      </c>
      <c r="E110" s="54"/>
      <c r="F110" s="54">
        <f>'220 Antiga Silvinho '!$E110-'220 Antiga Silvinho '!$D110</f>
        <v>0</v>
      </c>
      <c r="G110" s="54">
        <f>'220 Antiga Silvinho '!$F110-10</f>
        <v>-10</v>
      </c>
      <c r="H110" s="135"/>
      <c r="I110" s="135"/>
      <c r="J110" s="135"/>
      <c r="K110" s="135"/>
      <c r="L110" s="135"/>
      <c r="M110" s="135"/>
      <c r="N110" s="135"/>
    </row>
    <row r="111" ht="14.25" hidden="1" customHeight="1">
      <c r="B111" s="162"/>
      <c r="C111" s="141" t="str">
        <f t="shared" si="1"/>
        <v>12-1899</v>
      </c>
      <c r="D111" s="54" t="str">
        <f t="shared" si="10"/>
        <v/>
      </c>
      <c r="E111" s="54"/>
      <c r="F111" s="54">
        <f>'220 Antiga Silvinho '!$E111-'220 Antiga Silvinho '!$D111</f>
        <v>0</v>
      </c>
      <c r="G111" s="54">
        <f>'220 Antiga Silvinho '!$F111-10</f>
        <v>-10</v>
      </c>
      <c r="H111" s="135"/>
      <c r="I111" s="135"/>
      <c r="J111" s="135"/>
      <c r="K111" s="135"/>
      <c r="L111" s="135"/>
      <c r="M111" s="135"/>
      <c r="N111" s="135"/>
    </row>
    <row r="112" ht="14.25" hidden="1" customHeight="1">
      <c r="B112" s="162"/>
      <c r="C112" s="141" t="str">
        <f t="shared" si="1"/>
        <v>12-1899</v>
      </c>
      <c r="D112" s="54" t="str">
        <f t="shared" si="10"/>
        <v/>
      </c>
      <c r="E112" s="54"/>
      <c r="F112" s="54">
        <f>'220 Antiga Silvinho '!$E112-'220 Antiga Silvinho '!$D112</f>
        <v>0</v>
      </c>
      <c r="G112" s="54">
        <f>'220 Antiga Silvinho '!$F112-10</f>
        <v>-10</v>
      </c>
      <c r="H112" s="135"/>
      <c r="I112" s="135"/>
      <c r="J112" s="135"/>
      <c r="K112" s="135"/>
      <c r="L112" s="135"/>
      <c r="M112" s="135"/>
      <c r="N112" s="135"/>
    </row>
    <row r="113" ht="14.25" hidden="1" customHeight="1">
      <c r="B113" s="162"/>
      <c r="C113" s="141" t="str">
        <f t="shared" si="1"/>
        <v>12-1899</v>
      </c>
      <c r="D113" s="54" t="str">
        <f t="shared" si="10"/>
        <v/>
      </c>
      <c r="E113" s="54"/>
      <c r="F113" s="54">
        <f>'220 Antiga Silvinho '!$E113-'220 Antiga Silvinho '!$D113</f>
        <v>0</v>
      </c>
      <c r="G113" s="54">
        <f>'220 Antiga Silvinho '!$F113-10</f>
        <v>-10</v>
      </c>
      <c r="H113" s="135"/>
      <c r="I113" s="135"/>
      <c r="J113" s="135"/>
      <c r="K113" s="135"/>
      <c r="L113" s="135"/>
      <c r="M113" s="135"/>
      <c r="N113" s="135"/>
    </row>
    <row r="114" ht="14.25" hidden="1" customHeight="1">
      <c r="B114" s="162"/>
      <c r="C114" s="141" t="str">
        <f t="shared" si="1"/>
        <v>12-1899</v>
      </c>
      <c r="D114" s="54" t="str">
        <f t="shared" si="10"/>
        <v/>
      </c>
      <c r="E114" s="54"/>
      <c r="F114" s="54">
        <f>'220 Antiga Silvinho '!$E114-'220 Antiga Silvinho '!$D114</f>
        <v>0</v>
      </c>
      <c r="G114" s="54">
        <f>'220 Antiga Silvinho '!$F114-10</f>
        <v>-10</v>
      </c>
      <c r="H114" s="135"/>
      <c r="I114" s="135"/>
      <c r="J114" s="135"/>
      <c r="K114" s="135"/>
      <c r="L114" s="135"/>
      <c r="M114" s="135"/>
      <c r="N114" s="135"/>
    </row>
    <row r="115" ht="14.25" hidden="1" customHeight="1">
      <c r="B115" s="162"/>
      <c r="C115" s="141" t="str">
        <f t="shared" si="1"/>
        <v>12-1899</v>
      </c>
      <c r="D115" s="54" t="str">
        <f t="shared" si="10"/>
        <v/>
      </c>
      <c r="E115" s="54"/>
      <c r="F115" s="54">
        <f>'220 Antiga Silvinho '!$E115-'220 Antiga Silvinho '!$D115</f>
        <v>0</v>
      </c>
      <c r="G115" s="54">
        <f>'220 Antiga Silvinho '!$F115-10</f>
        <v>-10</v>
      </c>
      <c r="H115" s="135"/>
      <c r="I115" s="135"/>
      <c r="J115" s="135"/>
      <c r="K115" s="135"/>
      <c r="L115" s="135"/>
      <c r="M115" s="135"/>
      <c r="N115" s="135"/>
    </row>
    <row r="116" ht="14.25" hidden="1" customHeight="1">
      <c r="B116" s="162"/>
      <c r="C116" s="141" t="str">
        <f t="shared" si="1"/>
        <v>12-1899</v>
      </c>
      <c r="D116" s="54" t="str">
        <f t="shared" si="10"/>
        <v/>
      </c>
      <c r="E116" s="54"/>
      <c r="F116" s="54">
        <f>'220 Antiga Silvinho '!$E116-'220 Antiga Silvinho '!$D116</f>
        <v>0</v>
      </c>
      <c r="G116" s="54">
        <f>'220 Antiga Silvinho '!$F116-10</f>
        <v>-10</v>
      </c>
      <c r="H116" s="135"/>
      <c r="I116" s="135"/>
      <c r="J116" s="135"/>
      <c r="K116" s="135"/>
      <c r="L116" s="135"/>
      <c r="M116" s="135"/>
      <c r="N116" s="135"/>
    </row>
    <row r="117" ht="14.25" hidden="1" customHeight="1">
      <c r="B117" s="162"/>
      <c r="C117" s="141" t="str">
        <f t="shared" si="1"/>
        <v>12-1899</v>
      </c>
      <c r="D117" s="54" t="str">
        <f t="shared" si="10"/>
        <v/>
      </c>
      <c r="E117" s="54"/>
      <c r="F117" s="54">
        <f>'220 Antiga Silvinho '!$E117-'220 Antiga Silvinho '!$D117</f>
        <v>0</v>
      </c>
      <c r="G117" s="54">
        <f>'220 Antiga Silvinho '!$F117-10</f>
        <v>-10</v>
      </c>
      <c r="H117" s="135"/>
      <c r="I117" s="135"/>
      <c r="J117" s="135"/>
      <c r="K117" s="135"/>
      <c r="L117" s="135"/>
      <c r="M117" s="135"/>
      <c r="N117" s="135"/>
    </row>
    <row r="118" ht="14.25" hidden="1" customHeight="1">
      <c r="B118" s="162"/>
      <c r="C118" s="141" t="str">
        <f t="shared" si="1"/>
        <v>12-1899</v>
      </c>
      <c r="D118" s="54" t="str">
        <f t="shared" si="10"/>
        <v/>
      </c>
      <c r="E118" s="54"/>
      <c r="F118" s="54">
        <f>'220 Antiga Silvinho '!$E118-'220 Antiga Silvinho '!$D118</f>
        <v>0</v>
      </c>
      <c r="G118" s="54">
        <f>'220 Antiga Silvinho '!$F118-10</f>
        <v>-10</v>
      </c>
      <c r="H118" s="135"/>
      <c r="I118" s="135"/>
      <c r="J118" s="135"/>
      <c r="K118" s="135"/>
      <c r="L118" s="135"/>
      <c r="M118" s="135"/>
      <c r="N118" s="135"/>
    </row>
    <row r="119" ht="14.25" hidden="1" customHeight="1">
      <c r="B119" s="162"/>
      <c r="C119" s="141" t="str">
        <f t="shared" si="1"/>
        <v>12-1899</v>
      </c>
      <c r="D119" s="54" t="str">
        <f t="shared" si="10"/>
        <v/>
      </c>
      <c r="E119" s="54"/>
      <c r="F119" s="54">
        <f>'220 Antiga Silvinho '!$E119-'220 Antiga Silvinho '!$D119</f>
        <v>0</v>
      </c>
      <c r="G119" s="54">
        <f>'220 Antiga Silvinho '!$F119-10</f>
        <v>-10</v>
      </c>
      <c r="H119" s="135"/>
      <c r="I119" s="135"/>
      <c r="J119" s="135"/>
      <c r="K119" s="135"/>
      <c r="L119" s="135"/>
      <c r="M119" s="135"/>
      <c r="N119" s="135"/>
    </row>
    <row r="120" ht="14.25" hidden="1" customHeight="1">
      <c r="B120" s="162"/>
      <c r="C120" s="141" t="str">
        <f t="shared" si="1"/>
        <v>12-1899</v>
      </c>
      <c r="D120" s="54" t="str">
        <f t="shared" si="10"/>
        <v/>
      </c>
      <c r="E120" s="54"/>
      <c r="F120" s="54">
        <f>'220 Antiga Silvinho '!$E120-'220 Antiga Silvinho '!$D120</f>
        <v>0</v>
      </c>
      <c r="G120" s="54">
        <f>'220 Antiga Silvinho '!$F120-10</f>
        <v>-10</v>
      </c>
      <c r="H120" s="135"/>
      <c r="I120" s="135"/>
      <c r="J120" s="135"/>
      <c r="K120" s="135"/>
      <c r="L120" s="135"/>
      <c r="M120" s="135"/>
      <c r="N120" s="135"/>
    </row>
    <row r="121" ht="14.25" hidden="1" customHeight="1">
      <c r="B121" s="162"/>
      <c r="C121" s="141" t="str">
        <f t="shared" si="1"/>
        <v>12-1899</v>
      </c>
      <c r="D121" s="54" t="str">
        <f t="shared" si="10"/>
        <v/>
      </c>
      <c r="E121" s="54"/>
      <c r="F121" s="54">
        <f>'220 Antiga Silvinho '!$E121-'220 Antiga Silvinho '!$D121</f>
        <v>0</v>
      </c>
      <c r="G121" s="54">
        <f>'220 Antiga Silvinho '!$F121-10</f>
        <v>-10</v>
      </c>
      <c r="H121" s="135"/>
      <c r="I121" s="135"/>
      <c r="J121" s="135"/>
      <c r="K121" s="135"/>
      <c r="L121" s="135"/>
      <c r="M121" s="135"/>
      <c r="N121" s="135"/>
    </row>
    <row r="122" ht="14.25" hidden="1" customHeight="1">
      <c r="B122" s="162"/>
      <c r="C122" s="141" t="str">
        <f t="shared" si="1"/>
        <v>12-1899</v>
      </c>
      <c r="D122" s="54" t="str">
        <f t="shared" si="10"/>
        <v/>
      </c>
      <c r="E122" s="54"/>
      <c r="F122" s="54">
        <f>'220 Antiga Silvinho '!$E122-'220 Antiga Silvinho '!$D122</f>
        <v>0</v>
      </c>
      <c r="G122" s="54">
        <f>'220 Antiga Silvinho '!$F122-10</f>
        <v>-10</v>
      </c>
      <c r="H122" s="135"/>
      <c r="I122" s="135"/>
      <c r="J122" s="135"/>
      <c r="K122" s="135"/>
      <c r="L122" s="135"/>
      <c r="M122" s="135"/>
      <c r="N122" s="135"/>
    </row>
    <row r="123" ht="14.25" hidden="1" customHeight="1">
      <c r="B123" s="162"/>
      <c r="C123" s="141" t="str">
        <f t="shared" si="1"/>
        <v>12-1899</v>
      </c>
      <c r="D123" s="54" t="str">
        <f t="shared" si="10"/>
        <v/>
      </c>
      <c r="E123" s="54"/>
      <c r="F123" s="54">
        <f>'220 Antiga Silvinho '!$E123-'220 Antiga Silvinho '!$D123</f>
        <v>0</v>
      </c>
      <c r="G123" s="54">
        <f>'220 Antiga Silvinho '!$F123-10</f>
        <v>-10</v>
      </c>
      <c r="H123" s="135"/>
      <c r="I123" s="135"/>
      <c r="J123" s="135"/>
      <c r="K123" s="135"/>
      <c r="L123" s="135"/>
      <c r="M123" s="135"/>
      <c r="N123" s="135"/>
    </row>
    <row r="124" ht="14.25" hidden="1" customHeight="1">
      <c r="B124" s="162"/>
      <c r="C124" s="141" t="str">
        <f t="shared" si="1"/>
        <v>12-1899</v>
      </c>
      <c r="D124" s="54" t="str">
        <f t="shared" si="10"/>
        <v/>
      </c>
      <c r="E124" s="54"/>
      <c r="F124" s="54">
        <f>'220 Antiga Silvinho '!$E124-'220 Antiga Silvinho '!$D124</f>
        <v>0</v>
      </c>
      <c r="G124" s="54">
        <f>'220 Antiga Silvinho '!$F124-10</f>
        <v>-10</v>
      </c>
      <c r="H124" s="135"/>
      <c r="I124" s="135"/>
      <c r="J124" s="135"/>
      <c r="K124" s="135"/>
      <c r="L124" s="135"/>
      <c r="M124" s="135"/>
      <c r="N124" s="135"/>
    </row>
    <row r="125" ht="14.25" hidden="1" customHeight="1">
      <c r="B125" s="162"/>
      <c r="C125" s="141" t="str">
        <f t="shared" si="1"/>
        <v>12-1899</v>
      </c>
      <c r="D125" s="54" t="str">
        <f t="shared" si="10"/>
        <v/>
      </c>
      <c r="E125" s="54"/>
      <c r="F125" s="54">
        <f>'220 Antiga Silvinho '!$E125-'220 Antiga Silvinho '!$D125</f>
        <v>0</v>
      </c>
      <c r="G125" s="54">
        <f>'220 Antiga Silvinho '!$F125-10</f>
        <v>-10</v>
      </c>
      <c r="H125" s="135"/>
      <c r="I125" s="135"/>
      <c r="J125" s="135"/>
      <c r="K125" s="135"/>
      <c r="L125" s="135"/>
      <c r="M125" s="135"/>
      <c r="N125" s="135"/>
    </row>
    <row r="126" ht="14.25" hidden="1" customHeight="1">
      <c r="B126" s="162"/>
      <c r="C126" s="141" t="str">
        <f t="shared" si="1"/>
        <v>12-1899</v>
      </c>
      <c r="D126" s="54" t="str">
        <f t="shared" si="10"/>
        <v/>
      </c>
      <c r="E126" s="54"/>
      <c r="F126" s="54">
        <f>'220 Antiga Silvinho '!$E126-'220 Antiga Silvinho '!$D126</f>
        <v>0</v>
      </c>
      <c r="G126" s="54">
        <f>'220 Antiga Silvinho '!$F126-10</f>
        <v>-10</v>
      </c>
      <c r="H126" s="135"/>
      <c r="I126" s="135"/>
      <c r="J126" s="135"/>
      <c r="K126" s="135"/>
      <c r="L126" s="135"/>
      <c r="M126" s="135"/>
      <c r="N126" s="135"/>
    </row>
    <row r="127" ht="14.25" hidden="1" customHeight="1">
      <c r="B127" s="162"/>
      <c r="C127" s="141" t="str">
        <f t="shared" si="1"/>
        <v>12-1899</v>
      </c>
      <c r="D127" s="54" t="str">
        <f t="shared" si="10"/>
        <v/>
      </c>
      <c r="E127" s="54"/>
      <c r="F127" s="54">
        <f>'220 Antiga Silvinho '!$E127-'220 Antiga Silvinho '!$D127</f>
        <v>0</v>
      </c>
      <c r="G127" s="54">
        <f>'220 Antiga Silvinho '!$F127-10</f>
        <v>-10</v>
      </c>
      <c r="H127" s="135"/>
      <c r="I127" s="135"/>
      <c r="J127" s="135"/>
      <c r="K127" s="135"/>
      <c r="L127" s="135"/>
      <c r="M127" s="135"/>
      <c r="N127" s="135"/>
    </row>
    <row r="128" ht="14.25" hidden="1" customHeight="1">
      <c r="B128" s="162"/>
      <c r="C128" s="141" t="str">
        <f t="shared" si="1"/>
        <v>12-1899</v>
      </c>
      <c r="D128" s="54" t="str">
        <f t="shared" si="10"/>
        <v/>
      </c>
      <c r="E128" s="54"/>
      <c r="F128" s="54">
        <f>'220 Antiga Silvinho '!$E128-'220 Antiga Silvinho '!$D128</f>
        <v>0</v>
      </c>
      <c r="G128" s="54">
        <f>'220 Antiga Silvinho '!$F128-10</f>
        <v>-10</v>
      </c>
      <c r="H128" s="135"/>
      <c r="I128" s="135"/>
      <c r="J128" s="135"/>
      <c r="K128" s="135"/>
      <c r="L128" s="135"/>
      <c r="M128" s="135"/>
      <c r="N128" s="135"/>
    </row>
    <row r="129" ht="14.25" hidden="1" customHeight="1">
      <c r="B129" s="162"/>
      <c r="C129" s="141" t="str">
        <f t="shared" si="1"/>
        <v>12-1899</v>
      </c>
      <c r="D129" s="54" t="str">
        <f t="shared" si="10"/>
        <v/>
      </c>
      <c r="E129" s="54"/>
      <c r="F129" s="54">
        <f>'220 Antiga Silvinho '!$E129-'220 Antiga Silvinho '!$D129</f>
        <v>0</v>
      </c>
      <c r="G129" s="54">
        <f>'220 Antiga Silvinho '!$F129-10</f>
        <v>-10</v>
      </c>
      <c r="H129" s="135"/>
      <c r="I129" s="135"/>
      <c r="J129" s="135"/>
      <c r="K129" s="135"/>
      <c r="L129" s="135"/>
      <c r="M129" s="135"/>
      <c r="N129" s="135"/>
    </row>
    <row r="130" ht="14.25" hidden="1" customHeight="1">
      <c r="B130" s="162"/>
      <c r="C130" s="141" t="str">
        <f t="shared" si="1"/>
        <v>12-1899</v>
      </c>
      <c r="D130" s="54" t="str">
        <f t="shared" si="10"/>
        <v/>
      </c>
      <c r="E130" s="54"/>
      <c r="F130" s="54">
        <f>'220 Antiga Silvinho '!$E130-'220 Antiga Silvinho '!$D130</f>
        <v>0</v>
      </c>
      <c r="G130" s="54">
        <f>'220 Antiga Silvinho '!$F130-10</f>
        <v>-10</v>
      </c>
      <c r="H130" s="135"/>
      <c r="I130" s="135"/>
      <c r="J130" s="135"/>
      <c r="K130" s="135"/>
      <c r="L130" s="135"/>
      <c r="M130" s="135"/>
      <c r="N130" s="135"/>
    </row>
    <row r="131" ht="14.25" hidden="1" customHeight="1">
      <c r="B131" s="162"/>
      <c r="C131" s="141" t="str">
        <f t="shared" si="1"/>
        <v>12-1899</v>
      </c>
      <c r="D131" s="54" t="str">
        <f t="shared" si="10"/>
        <v/>
      </c>
      <c r="E131" s="54"/>
      <c r="F131" s="54">
        <f>'220 Antiga Silvinho '!$E131-'220 Antiga Silvinho '!$D131</f>
        <v>0</v>
      </c>
      <c r="G131" s="54">
        <f>'220 Antiga Silvinho '!$F131-10</f>
        <v>-10</v>
      </c>
      <c r="H131" s="135"/>
      <c r="I131" s="135"/>
      <c r="J131" s="135"/>
      <c r="K131" s="135"/>
      <c r="L131" s="135"/>
      <c r="M131" s="135"/>
      <c r="N131" s="135"/>
    </row>
    <row r="132" ht="14.25" hidden="1" customHeight="1">
      <c r="B132" s="162"/>
      <c r="C132" s="141" t="str">
        <f t="shared" si="1"/>
        <v>12-1899</v>
      </c>
      <c r="D132" s="54" t="str">
        <f t="shared" si="10"/>
        <v/>
      </c>
      <c r="E132" s="54"/>
      <c r="F132" s="54">
        <f>'220 Antiga Silvinho '!$E132-'220 Antiga Silvinho '!$D132</f>
        <v>0</v>
      </c>
      <c r="G132" s="54">
        <f>'220 Antiga Silvinho '!$F132-10</f>
        <v>-10</v>
      </c>
      <c r="H132" s="135"/>
      <c r="I132" s="135"/>
      <c r="J132" s="135"/>
      <c r="K132" s="135"/>
      <c r="L132" s="135"/>
      <c r="M132" s="135"/>
      <c r="N132" s="135"/>
    </row>
    <row r="133" ht="14.25" hidden="1" customHeight="1">
      <c r="B133" s="162"/>
      <c r="C133" s="141" t="str">
        <f t="shared" si="1"/>
        <v>12-1899</v>
      </c>
      <c r="D133" s="54" t="str">
        <f t="shared" si="10"/>
        <v/>
      </c>
      <c r="E133" s="54"/>
      <c r="F133" s="54">
        <f>'220 Antiga Silvinho '!$E133-'220 Antiga Silvinho '!$D133</f>
        <v>0</v>
      </c>
      <c r="G133" s="54">
        <f>'220 Antiga Silvinho '!$F133-10</f>
        <v>-10</v>
      </c>
      <c r="H133" s="135"/>
      <c r="I133" s="135"/>
      <c r="J133" s="135"/>
      <c r="K133" s="135"/>
      <c r="L133" s="135"/>
      <c r="M133" s="135"/>
      <c r="N133" s="135"/>
    </row>
    <row r="134" ht="14.25" hidden="1" customHeight="1">
      <c r="B134" s="162"/>
      <c r="C134" s="141" t="str">
        <f t="shared" si="1"/>
        <v>12-1899</v>
      </c>
      <c r="D134" s="54" t="str">
        <f t="shared" si="10"/>
        <v/>
      </c>
      <c r="E134" s="54"/>
      <c r="F134" s="54">
        <f>'220 Antiga Silvinho '!$E134-'220 Antiga Silvinho '!$D134</f>
        <v>0</v>
      </c>
      <c r="G134" s="54">
        <f>'220 Antiga Silvinho '!$F134-10</f>
        <v>-10</v>
      </c>
      <c r="H134" s="135"/>
      <c r="I134" s="135"/>
      <c r="J134" s="135"/>
      <c r="K134" s="135"/>
      <c r="L134" s="135"/>
      <c r="M134" s="135"/>
      <c r="N134" s="135"/>
    </row>
    <row r="135" ht="14.25" hidden="1" customHeight="1">
      <c r="B135" s="162"/>
      <c r="C135" s="141" t="str">
        <f t="shared" si="1"/>
        <v>12-1899</v>
      </c>
      <c r="D135" s="54" t="str">
        <f t="shared" si="10"/>
        <v/>
      </c>
      <c r="E135" s="54"/>
      <c r="F135" s="54">
        <f>'220 Antiga Silvinho '!$E135-'220 Antiga Silvinho '!$D135</f>
        <v>0</v>
      </c>
      <c r="G135" s="54">
        <f>'220 Antiga Silvinho '!$F135-10</f>
        <v>-10</v>
      </c>
      <c r="H135" s="135"/>
      <c r="I135" s="135"/>
      <c r="J135" s="135"/>
      <c r="K135" s="135"/>
      <c r="L135" s="135"/>
      <c r="M135" s="135"/>
      <c r="N135" s="135"/>
    </row>
    <row r="136" ht="14.25" hidden="1" customHeight="1">
      <c r="B136" s="162"/>
      <c r="C136" s="141" t="str">
        <f t="shared" si="1"/>
        <v>12-1899</v>
      </c>
      <c r="D136" s="54" t="str">
        <f t="shared" si="10"/>
        <v/>
      </c>
      <c r="E136" s="54"/>
      <c r="F136" s="54">
        <f>'220 Antiga Silvinho '!$E136-'220 Antiga Silvinho '!$D136</f>
        <v>0</v>
      </c>
      <c r="G136" s="54">
        <f>'220 Antiga Silvinho '!$F136-10</f>
        <v>-10</v>
      </c>
      <c r="H136" s="135"/>
      <c r="I136" s="135"/>
      <c r="J136" s="135"/>
      <c r="K136" s="135"/>
      <c r="L136" s="135"/>
      <c r="M136" s="135"/>
      <c r="N136" s="135"/>
    </row>
    <row r="137" ht="14.25" hidden="1" customHeight="1">
      <c r="B137" s="162"/>
      <c r="C137" s="141" t="str">
        <f t="shared" si="1"/>
        <v>12-1899</v>
      </c>
      <c r="D137" s="54" t="str">
        <f t="shared" si="10"/>
        <v/>
      </c>
      <c r="E137" s="54"/>
      <c r="F137" s="54">
        <f>'220 Antiga Silvinho '!$E137-'220 Antiga Silvinho '!$D137</f>
        <v>0</v>
      </c>
      <c r="G137" s="54">
        <f>'220 Antiga Silvinho '!$F137-10</f>
        <v>-10</v>
      </c>
      <c r="H137" s="135"/>
      <c r="I137" s="135"/>
      <c r="J137" s="135"/>
      <c r="K137" s="135"/>
      <c r="L137" s="135"/>
      <c r="M137" s="135"/>
      <c r="N137" s="135"/>
    </row>
    <row r="138" ht="14.25" hidden="1" customHeight="1">
      <c r="B138" s="162"/>
      <c r="C138" s="141" t="str">
        <f t="shared" si="1"/>
        <v>12-1899</v>
      </c>
      <c r="D138" s="54" t="str">
        <f t="shared" si="10"/>
        <v/>
      </c>
      <c r="E138" s="54"/>
      <c r="F138" s="54">
        <f>'220 Antiga Silvinho '!$E138-'220 Antiga Silvinho '!$D138</f>
        <v>0</v>
      </c>
      <c r="G138" s="54">
        <f>'220 Antiga Silvinho '!$F138-10</f>
        <v>-10</v>
      </c>
      <c r="H138" s="135"/>
      <c r="I138" s="135"/>
      <c r="J138" s="135"/>
      <c r="K138" s="135"/>
      <c r="L138" s="135"/>
      <c r="M138" s="135"/>
      <c r="N138" s="135"/>
    </row>
    <row r="139" ht="14.25" hidden="1" customHeight="1">
      <c r="B139" s="162"/>
      <c r="C139" s="141" t="str">
        <f t="shared" si="1"/>
        <v>12-1899</v>
      </c>
      <c r="D139" s="54" t="str">
        <f t="shared" si="10"/>
        <v/>
      </c>
      <c r="E139" s="54"/>
      <c r="F139" s="54">
        <f>'220 Antiga Silvinho '!$E139-'220 Antiga Silvinho '!$D139</f>
        <v>0</v>
      </c>
      <c r="G139" s="54">
        <f>'220 Antiga Silvinho '!$F139-10</f>
        <v>-10</v>
      </c>
      <c r="H139" s="135"/>
      <c r="I139" s="135"/>
      <c r="J139" s="135"/>
      <c r="K139" s="135"/>
      <c r="L139" s="135"/>
      <c r="M139" s="135"/>
      <c r="N139" s="135"/>
    </row>
    <row r="140" ht="14.25" hidden="1" customHeight="1">
      <c r="B140" s="162"/>
      <c r="C140" s="141" t="str">
        <f t="shared" si="1"/>
        <v>12-1899</v>
      </c>
      <c r="D140" s="54" t="str">
        <f t="shared" si="10"/>
        <v/>
      </c>
      <c r="E140" s="54"/>
      <c r="F140" s="54">
        <f>'220 Antiga Silvinho '!$E140-'220 Antiga Silvinho '!$D140</f>
        <v>0</v>
      </c>
      <c r="G140" s="54">
        <f>'220 Antiga Silvinho '!$F140-10</f>
        <v>-10</v>
      </c>
      <c r="H140" s="135"/>
      <c r="I140" s="135"/>
      <c r="J140" s="135"/>
      <c r="K140" s="135"/>
      <c r="L140" s="135"/>
      <c r="M140" s="135"/>
      <c r="N140" s="135"/>
    </row>
    <row r="141" ht="14.25" hidden="1" customHeight="1">
      <c r="B141" s="162"/>
      <c r="C141" s="141" t="str">
        <f t="shared" si="1"/>
        <v>12-1899</v>
      </c>
      <c r="D141" s="54" t="str">
        <f t="shared" si="10"/>
        <v/>
      </c>
      <c r="E141" s="54"/>
      <c r="F141" s="54">
        <f>'220 Antiga Silvinho '!$E141-'220 Antiga Silvinho '!$D141</f>
        <v>0</v>
      </c>
      <c r="G141" s="54">
        <f>'220 Antiga Silvinho '!$F141-10</f>
        <v>-10</v>
      </c>
      <c r="H141" s="135"/>
      <c r="I141" s="135"/>
      <c r="J141" s="135"/>
      <c r="K141" s="135"/>
      <c r="L141" s="135"/>
      <c r="M141" s="135"/>
      <c r="N141" s="135"/>
    </row>
    <row r="142" ht="14.25" hidden="1" customHeight="1">
      <c r="B142" s="162"/>
      <c r="C142" s="141" t="str">
        <f t="shared" si="1"/>
        <v>12-1899</v>
      </c>
      <c r="D142" s="54" t="str">
        <f t="shared" si="10"/>
        <v/>
      </c>
      <c r="E142" s="54"/>
      <c r="F142" s="54">
        <f>'220 Antiga Silvinho '!$E142-'220 Antiga Silvinho '!$D142</f>
        <v>0</v>
      </c>
      <c r="G142" s="54">
        <f>'220 Antiga Silvinho '!$F142-10</f>
        <v>-10</v>
      </c>
      <c r="H142" s="135"/>
      <c r="I142" s="135"/>
      <c r="J142" s="135"/>
      <c r="K142" s="135"/>
      <c r="L142" s="135"/>
      <c r="M142" s="135"/>
      <c r="N142" s="135"/>
    </row>
    <row r="143" ht="14.25" hidden="1" customHeight="1">
      <c r="B143" s="162"/>
      <c r="C143" s="141" t="str">
        <f t="shared" si="1"/>
        <v>12-1899</v>
      </c>
      <c r="D143" s="54" t="str">
        <f t="shared" si="10"/>
        <v/>
      </c>
      <c r="E143" s="54"/>
      <c r="F143" s="54">
        <f>'220 Antiga Silvinho '!$E143-'220 Antiga Silvinho '!$D143</f>
        <v>0</v>
      </c>
      <c r="G143" s="54">
        <f>'220 Antiga Silvinho '!$F143-10</f>
        <v>-10</v>
      </c>
      <c r="H143" s="135"/>
      <c r="I143" s="135"/>
      <c r="J143" s="135"/>
      <c r="K143" s="135"/>
      <c r="L143" s="135"/>
      <c r="M143" s="135"/>
      <c r="N143" s="135"/>
    </row>
    <row r="144" ht="14.25" hidden="1" customHeight="1">
      <c r="B144" s="162"/>
      <c r="C144" s="141" t="str">
        <f t="shared" si="1"/>
        <v>12-1899</v>
      </c>
      <c r="D144" s="54" t="str">
        <f t="shared" si="10"/>
        <v/>
      </c>
      <c r="E144" s="54"/>
      <c r="F144" s="54">
        <f>'220 Antiga Silvinho '!$E144-'220 Antiga Silvinho '!$D144</f>
        <v>0</v>
      </c>
      <c r="G144" s="54">
        <f>'220 Antiga Silvinho '!$F144-10</f>
        <v>-10</v>
      </c>
      <c r="H144" s="135"/>
      <c r="I144" s="135"/>
      <c r="J144" s="135"/>
      <c r="K144" s="135"/>
      <c r="L144" s="135"/>
      <c r="M144" s="135"/>
      <c r="N144" s="135"/>
    </row>
    <row r="145" ht="14.25" hidden="1" customHeight="1">
      <c r="B145" s="162"/>
      <c r="C145" s="141" t="str">
        <f t="shared" si="1"/>
        <v>12-1899</v>
      </c>
      <c r="D145" s="54" t="str">
        <f t="shared" si="10"/>
        <v/>
      </c>
      <c r="E145" s="54"/>
      <c r="F145" s="54">
        <f>'220 Antiga Silvinho '!$E145-'220 Antiga Silvinho '!$D145</f>
        <v>0</v>
      </c>
      <c r="G145" s="54">
        <f>'220 Antiga Silvinho '!$F145-10</f>
        <v>-10</v>
      </c>
      <c r="H145" s="135"/>
      <c r="I145" s="135"/>
      <c r="J145" s="135"/>
      <c r="K145" s="135"/>
      <c r="L145" s="135"/>
      <c r="M145" s="135"/>
      <c r="N145" s="135"/>
    </row>
    <row r="146" ht="14.25" hidden="1" customHeight="1">
      <c r="B146" s="162"/>
      <c r="C146" s="141" t="str">
        <f t="shared" si="1"/>
        <v>12-1899</v>
      </c>
      <c r="D146" s="54" t="str">
        <f t="shared" si="10"/>
        <v/>
      </c>
      <c r="E146" s="54"/>
      <c r="F146" s="54">
        <f>'220 Antiga Silvinho '!$E146-'220 Antiga Silvinho '!$D146</f>
        <v>0</v>
      </c>
      <c r="G146" s="54">
        <f>'220 Antiga Silvinho '!$F146-10</f>
        <v>-10</v>
      </c>
      <c r="H146" s="135"/>
      <c r="I146" s="135"/>
      <c r="J146" s="135"/>
      <c r="K146" s="135"/>
      <c r="L146" s="135"/>
      <c r="M146" s="135"/>
      <c r="N146" s="135"/>
    </row>
    <row r="147" ht="14.25" hidden="1" customHeight="1">
      <c r="B147" s="162"/>
      <c r="C147" s="141" t="str">
        <f t="shared" si="1"/>
        <v>12-1899</v>
      </c>
      <c r="D147" s="54" t="str">
        <f t="shared" si="10"/>
        <v/>
      </c>
      <c r="E147" s="54"/>
      <c r="F147" s="54">
        <f>'220 Antiga Silvinho '!$E147-'220 Antiga Silvinho '!$D147</f>
        <v>0</v>
      </c>
      <c r="G147" s="54">
        <f>'220 Antiga Silvinho '!$F147-10</f>
        <v>-10</v>
      </c>
      <c r="H147" s="135"/>
      <c r="I147" s="135"/>
      <c r="J147" s="135"/>
      <c r="K147" s="135"/>
      <c r="L147" s="135"/>
      <c r="M147" s="135"/>
      <c r="N147" s="135"/>
    </row>
    <row r="148" ht="14.25" hidden="1" customHeight="1">
      <c r="B148" s="162"/>
      <c r="C148" s="141" t="str">
        <f t="shared" si="1"/>
        <v>12-1899</v>
      </c>
      <c r="D148" s="54" t="str">
        <f t="shared" si="10"/>
        <v/>
      </c>
      <c r="E148" s="54"/>
      <c r="F148" s="54">
        <f>'220 Antiga Silvinho '!$E148-'220 Antiga Silvinho '!$D148</f>
        <v>0</v>
      </c>
      <c r="G148" s="54">
        <f>'220 Antiga Silvinho '!$F148-10</f>
        <v>-10</v>
      </c>
      <c r="H148" s="135"/>
      <c r="I148" s="135"/>
      <c r="J148" s="135"/>
      <c r="K148" s="135"/>
      <c r="L148" s="135"/>
      <c r="M148" s="135"/>
      <c r="N148" s="135"/>
    </row>
    <row r="149" ht="14.25" hidden="1" customHeight="1">
      <c r="B149" s="162"/>
      <c r="C149" s="141" t="str">
        <f t="shared" si="1"/>
        <v>12-1899</v>
      </c>
      <c r="D149" s="54" t="str">
        <f t="shared" si="10"/>
        <v/>
      </c>
      <c r="E149" s="54"/>
      <c r="F149" s="54">
        <f>'220 Antiga Silvinho '!$E149-'220 Antiga Silvinho '!$D149</f>
        <v>0</v>
      </c>
      <c r="G149" s="54">
        <f>'220 Antiga Silvinho '!$F149-10</f>
        <v>-10</v>
      </c>
      <c r="H149" s="135"/>
      <c r="I149" s="135"/>
      <c r="J149" s="135"/>
      <c r="K149" s="135"/>
      <c r="L149" s="135"/>
      <c r="M149" s="135"/>
      <c r="N149" s="135"/>
    </row>
    <row r="150" ht="14.25" hidden="1" customHeight="1">
      <c r="B150" s="162"/>
      <c r="C150" s="141" t="str">
        <f t="shared" si="1"/>
        <v>12-1899</v>
      </c>
      <c r="D150" s="54" t="str">
        <f t="shared" si="10"/>
        <v/>
      </c>
      <c r="E150" s="54"/>
      <c r="F150" s="54">
        <f>'220 Antiga Silvinho '!$E150-'220 Antiga Silvinho '!$D150</f>
        <v>0</v>
      </c>
      <c r="G150" s="54">
        <f>'220 Antiga Silvinho '!$F150-10</f>
        <v>-10</v>
      </c>
      <c r="H150" s="135"/>
      <c r="I150" s="135"/>
      <c r="J150" s="135"/>
      <c r="K150" s="135"/>
      <c r="L150" s="135"/>
      <c r="M150" s="135"/>
      <c r="N150" s="135"/>
    </row>
    <row r="151" ht="14.25" hidden="1" customHeight="1">
      <c r="B151" s="162"/>
      <c r="C151" s="141" t="str">
        <f t="shared" si="1"/>
        <v>12-1899</v>
      </c>
      <c r="D151" s="54" t="str">
        <f t="shared" si="10"/>
        <v/>
      </c>
      <c r="E151" s="54"/>
      <c r="F151" s="54">
        <f>'220 Antiga Silvinho '!$E151-'220 Antiga Silvinho '!$D151</f>
        <v>0</v>
      </c>
      <c r="G151" s="54">
        <f>'220 Antiga Silvinho '!$F151-10</f>
        <v>-10</v>
      </c>
      <c r="H151" s="135"/>
      <c r="I151" s="135"/>
      <c r="J151" s="135"/>
      <c r="K151" s="135"/>
      <c r="L151" s="135"/>
      <c r="M151" s="135"/>
      <c r="N151" s="135"/>
    </row>
    <row r="152" ht="14.25" hidden="1" customHeight="1">
      <c r="B152" s="162"/>
      <c r="C152" s="141" t="str">
        <f t="shared" si="1"/>
        <v>12-1899</v>
      </c>
      <c r="D152" s="54" t="str">
        <f t="shared" si="10"/>
        <v/>
      </c>
      <c r="E152" s="54"/>
      <c r="F152" s="54">
        <f>'220 Antiga Silvinho '!$E152-'220 Antiga Silvinho '!$D152</f>
        <v>0</v>
      </c>
      <c r="G152" s="54">
        <f>'220 Antiga Silvinho '!$F152-10</f>
        <v>-10</v>
      </c>
      <c r="H152" s="135"/>
      <c r="I152" s="135"/>
      <c r="J152" s="135"/>
      <c r="K152" s="135"/>
      <c r="L152" s="135"/>
      <c r="M152" s="135"/>
      <c r="N152" s="135"/>
    </row>
    <row r="153" ht="14.25" hidden="1" customHeight="1">
      <c r="B153" s="162"/>
      <c r="C153" s="141" t="str">
        <f t="shared" si="1"/>
        <v>12-1899</v>
      </c>
      <c r="D153" s="54" t="str">
        <f t="shared" si="10"/>
        <v/>
      </c>
      <c r="E153" s="54"/>
      <c r="F153" s="54">
        <f>'220 Antiga Silvinho '!$E153-'220 Antiga Silvinho '!$D153</f>
        <v>0</v>
      </c>
      <c r="G153" s="54">
        <f>'220 Antiga Silvinho '!$F153-10</f>
        <v>-10</v>
      </c>
      <c r="H153" s="135"/>
      <c r="I153" s="135"/>
      <c r="J153" s="135"/>
      <c r="K153" s="135"/>
      <c r="L153" s="135"/>
      <c r="M153" s="135"/>
      <c r="N153" s="135"/>
    </row>
    <row r="154" ht="14.25" hidden="1" customHeight="1">
      <c r="B154" s="162"/>
      <c r="C154" s="141" t="str">
        <f t="shared" si="1"/>
        <v>12-1899</v>
      </c>
      <c r="D154" s="54" t="str">
        <f t="shared" si="10"/>
        <v/>
      </c>
      <c r="E154" s="54"/>
      <c r="F154" s="54">
        <f>'220 Antiga Silvinho '!$E154-'220 Antiga Silvinho '!$D154</f>
        <v>0</v>
      </c>
      <c r="G154" s="54">
        <f>'220 Antiga Silvinho '!$F154-10</f>
        <v>-10</v>
      </c>
      <c r="H154" s="135"/>
      <c r="I154" s="135"/>
      <c r="J154" s="135"/>
      <c r="K154" s="135"/>
      <c r="L154" s="135"/>
      <c r="M154" s="135"/>
      <c r="N154" s="135"/>
    </row>
    <row r="155" ht="14.25" hidden="1" customHeight="1">
      <c r="B155" s="162"/>
      <c r="C155" s="141" t="str">
        <f t="shared" si="1"/>
        <v>12-1899</v>
      </c>
      <c r="D155" s="54" t="str">
        <f t="shared" si="10"/>
        <v/>
      </c>
      <c r="E155" s="54"/>
      <c r="F155" s="54">
        <f>'220 Antiga Silvinho '!$E155-'220 Antiga Silvinho '!$D155</f>
        <v>0</v>
      </c>
      <c r="G155" s="54">
        <f>'220 Antiga Silvinho '!$F155-10</f>
        <v>-10</v>
      </c>
      <c r="H155" s="135"/>
      <c r="I155" s="135"/>
      <c r="J155" s="135"/>
      <c r="K155" s="135"/>
      <c r="L155" s="135"/>
      <c r="M155" s="135"/>
      <c r="N155" s="135"/>
    </row>
    <row r="156" ht="14.25" hidden="1" customHeight="1">
      <c r="B156" s="162"/>
      <c r="C156" s="141" t="str">
        <f t="shared" si="1"/>
        <v>12-1899</v>
      </c>
      <c r="D156" s="54" t="str">
        <f t="shared" si="10"/>
        <v/>
      </c>
      <c r="E156" s="54"/>
      <c r="F156" s="54">
        <f>'220 Antiga Silvinho '!$E156-'220 Antiga Silvinho '!$D156</f>
        <v>0</v>
      </c>
      <c r="G156" s="54">
        <f>'220 Antiga Silvinho '!$F156-10</f>
        <v>-10</v>
      </c>
      <c r="H156" s="135"/>
      <c r="I156" s="135"/>
      <c r="J156" s="135"/>
      <c r="K156" s="135"/>
      <c r="L156" s="135"/>
      <c r="M156" s="135"/>
      <c r="N156" s="135"/>
    </row>
    <row r="157" ht="14.25" hidden="1" customHeight="1">
      <c r="B157" s="162"/>
      <c r="C157" s="141" t="str">
        <f t="shared" si="1"/>
        <v>12-1899</v>
      </c>
      <c r="D157" s="54" t="str">
        <f t="shared" si="10"/>
        <v/>
      </c>
      <c r="E157" s="54"/>
      <c r="F157" s="54">
        <f>'220 Antiga Silvinho '!$E157-'220 Antiga Silvinho '!$D157</f>
        <v>0</v>
      </c>
      <c r="G157" s="54">
        <f>'220 Antiga Silvinho '!$F157-10</f>
        <v>-10</v>
      </c>
      <c r="H157" s="135"/>
      <c r="I157" s="135"/>
      <c r="J157" s="135"/>
      <c r="K157" s="135"/>
      <c r="L157" s="135"/>
      <c r="M157" s="135"/>
      <c r="N157" s="135"/>
    </row>
    <row r="158" ht="14.25" hidden="1" customHeight="1">
      <c r="B158" s="162"/>
      <c r="C158" s="141" t="str">
        <f t="shared" si="1"/>
        <v>12-1899</v>
      </c>
      <c r="D158" s="54" t="str">
        <f t="shared" si="10"/>
        <v/>
      </c>
      <c r="E158" s="54"/>
      <c r="F158" s="54">
        <f>'220 Antiga Silvinho '!$E158-'220 Antiga Silvinho '!$D158</f>
        <v>0</v>
      </c>
      <c r="G158" s="54">
        <f>'220 Antiga Silvinho '!$F158-10</f>
        <v>-10</v>
      </c>
      <c r="H158" s="135"/>
      <c r="I158" s="135"/>
      <c r="J158" s="135"/>
      <c r="K158" s="135"/>
      <c r="L158" s="135"/>
      <c r="M158" s="135"/>
      <c r="N158" s="135"/>
    </row>
    <row r="159" ht="14.25" hidden="1" customHeight="1">
      <c r="B159" s="162"/>
      <c r="C159" s="141" t="str">
        <f t="shared" si="1"/>
        <v>12-1899</v>
      </c>
      <c r="D159" s="54" t="str">
        <f t="shared" si="10"/>
        <v/>
      </c>
      <c r="E159" s="54"/>
      <c r="F159" s="54">
        <f>'220 Antiga Silvinho '!$E159-'220 Antiga Silvinho '!$D159</f>
        <v>0</v>
      </c>
      <c r="G159" s="54">
        <f>'220 Antiga Silvinho '!$F159-10</f>
        <v>-10</v>
      </c>
      <c r="H159" s="135"/>
      <c r="I159" s="135"/>
      <c r="J159" s="135"/>
      <c r="K159" s="135"/>
      <c r="L159" s="135"/>
      <c r="M159" s="135"/>
      <c r="N159" s="135"/>
    </row>
    <row r="160" ht="14.25" hidden="1" customHeight="1">
      <c r="B160" s="162"/>
      <c r="C160" s="141" t="str">
        <f t="shared" si="1"/>
        <v>12-1899</v>
      </c>
      <c r="D160" s="54" t="str">
        <f t="shared" si="10"/>
        <v/>
      </c>
      <c r="E160" s="54"/>
      <c r="F160" s="54">
        <f>'220 Antiga Silvinho '!$E160-'220 Antiga Silvinho '!$D160</f>
        <v>0</v>
      </c>
      <c r="G160" s="54">
        <f>'220 Antiga Silvinho '!$F160-10</f>
        <v>-10</v>
      </c>
      <c r="H160" s="135"/>
      <c r="I160" s="135"/>
      <c r="J160" s="135"/>
      <c r="K160" s="135"/>
      <c r="L160" s="135"/>
      <c r="M160" s="135"/>
      <c r="N160" s="135"/>
    </row>
    <row r="161" ht="14.25" hidden="1" customHeight="1">
      <c r="B161" s="162"/>
      <c r="C161" s="141" t="str">
        <f t="shared" si="1"/>
        <v>12-1899</v>
      </c>
      <c r="D161" s="54" t="str">
        <f t="shared" si="10"/>
        <v/>
      </c>
      <c r="E161" s="54"/>
      <c r="F161" s="54">
        <f>'220 Antiga Silvinho '!$E161-'220 Antiga Silvinho '!$D161</f>
        <v>0</v>
      </c>
      <c r="G161" s="54">
        <f>'220 Antiga Silvinho '!$F161-10</f>
        <v>-10</v>
      </c>
      <c r="H161" s="135"/>
      <c r="I161" s="135"/>
      <c r="J161" s="135"/>
      <c r="K161" s="135"/>
      <c r="L161" s="135"/>
      <c r="M161" s="135"/>
      <c r="N161" s="135"/>
    </row>
    <row r="162" ht="14.25" hidden="1" customHeight="1">
      <c r="B162" s="162"/>
      <c r="C162" s="141" t="str">
        <f t="shared" si="1"/>
        <v>12-1899</v>
      </c>
      <c r="D162" s="54" t="str">
        <f t="shared" si="10"/>
        <v/>
      </c>
      <c r="E162" s="54"/>
      <c r="F162" s="54">
        <f>'220 Antiga Silvinho '!$E162-'220 Antiga Silvinho '!$D162</f>
        <v>0</v>
      </c>
      <c r="G162" s="54">
        <f>'220 Antiga Silvinho '!$F162-10</f>
        <v>-10</v>
      </c>
      <c r="H162" s="135"/>
      <c r="I162" s="135"/>
      <c r="J162" s="135"/>
      <c r="K162" s="135"/>
      <c r="L162" s="135"/>
      <c r="M162" s="135"/>
      <c r="N162" s="135"/>
    </row>
    <row r="163" ht="14.25" hidden="1" customHeight="1">
      <c r="B163" s="162"/>
      <c r="C163" s="141" t="str">
        <f t="shared" si="1"/>
        <v>12-1899</v>
      </c>
      <c r="D163" s="54" t="str">
        <f t="shared" si="10"/>
        <v/>
      </c>
      <c r="E163" s="54"/>
      <c r="F163" s="54">
        <f>'220 Antiga Silvinho '!$E163-'220 Antiga Silvinho '!$D163</f>
        <v>0</v>
      </c>
      <c r="G163" s="54">
        <f>'220 Antiga Silvinho '!$F163-10</f>
        <v>-10</v>
      </c>
      <c r="H163" s="135"/>
      <c r="I163" s="135"/>
      <c r="J163" s="135"/>
      <c r="K163" s="135"/>
      <c r="L163" s="135"/>
      <c r="M163" s="135"/>
      <c r="N163" s="135"/>
    </row>
    <row r="164" ht="14.25" hidden="1" customHeight="1">
      <c r="B164" s="162"/>
      <c r="C164" s="141" t="str">
        <f t="shared" si="1"/>
        <v>12-1899</v>
      </c>
      <c r="D164" s="54" t="str">
        <f t="shared" si="10"/>
        <v/>
      </c>
      <c r="E164" s="54"/>
      <c r="F164" s="54">
        <f>'220 Antiga Silvinho '!$E164-'220 Antiga Silvinho '!$D164</f>
        <v>0</v>
      </c>
      <c r="G164" s="54">
        <f>'220 Antiga Silvinho '!$F164-10</f>
        <v>-10</v>
      </c>
      <c r="H164" s="135"/>
      <c r="I164" s="135"/>
      <c r="J164" s="135"/>
      <c r="K164" s="135"/>
      <c r="L164" s="135"/>
      <c r="M164" s="135"/>
      <c r="N164" s="135"/>
    </row>
    <row r="165" ht="14.25" hidden="1" customHeight="1">
      <c r="B165" s="162"/>
      <c r="C165" s="141" t="str">
        <f t="shared" si="1"/>
        <v>12-1899</v>
      </c>
      <c r="D165" s="54" t="str">
        <f t="shared" si="10"/>
        <v/>
      </c>
      <c r="E165" s="54"/>
      <c r="F165" s="54">
        <f>'220 Antiga Silvinho '!$E165-'220 Antiga Silvinho '!$D165</f>
        <v>0</v>
      </c>
      <c r="G165" s="54">
        <f>'220 Antiga Silvinho '!$F165-10</f>
        <v>-10</v>
      </c>
      <c r="H165" s="135"/>
      <c r="I165" s="135"/>
      <c r="J165" s="135"/>
      <c r="K165" s="135"/>
      <c r="L165" s="135"/>
      <c r="M165" s="135"/>
      <c r="N165" s="135"/>
    </row>
    <row r="166" ht="14.25" hidden="1" customHeight="1">
      <c r="B166" s="162"/>
      <c r="C166" s="141" t="str">
        <f t="shared" si="1"/>
        <v>12-1899</v>
      </c>
      <c r="D166" s="54" t="str">
        <f t="shared" si="10"/>
        <v/>
      </c>
      <c r="E166" s="54"/>
      <c r="F166" s="54">
        <f>'220 Antiga Silvinho '!$E166-'220 Antiga Silvinho '!$D166</f>
        <v>0</v>
      </c>
      <c r="G166" s="54">
        <f>'220 Antiga Silvinho '!$F166-10</f>
        <v>-10</v>
      </c>
      <c r="H166" s="135"/>
      <c r="I166" s="135"/>
      <c r="J166" s="135"/>
      <c r="K166" s="135"/>
      <c r="L166" s="135"/>
      <c r="M166" s="135"/>
      <c r="N166" s="135"/>
    </row>
    <row r="167" ht="14.25" hidden="1" customHeight="1">
      <c r="B167" s="162"/>
      <c r="C167" s="141" t="str">
        <f t="shared" si="1"/>
        <v>12-1899</v>
      </c>
      <c r="D167" s="54" t="str">
        <f t="shared" si="10"/>
        <v/>
      </c>
      <c r="E167" s="54"/>
      <c r="F167" s="54">
        <f>'220 Antiga Silvinho '!$E167-'220 Antiga Silvinho '!$D167</f>
        <v>0</v>
      </c>
      <c r="G167" s="54">
        <f>'220 Antiga Silvinho '!$F167-10</f>
        <v>-10</v>
      </c>
      <c r="H167" s="135"/>
      <c r="I167" s="135"/>
      <c r="J167" s="135"/>
      <c r="K167" s="135"/>
      <c r="L167" s="135"/>
      <c r="M167" s="135"/>
      <c r="N167" s="135"/>
    </row>
    <row r="168" ht="14.25" hidden="1" customHeight="1">
      <c r="B168" s="162"/>
      <c r="C168" s="141" t="str">
        <f t="shared" si="1"/>
        <v>12-1899</v>
      </c>
      <c r="D168" s="54" t="str">
        <f t="shared" si="10"/>
        <v/>
      </c>
      <c r="E168" s="54"/>
      <c r="F168" s="54">
        <f>'220 Antiga Silvinho '!$E168-'220 Antiga Silvinho '!$D168</f>
        <v>0</v>
      </c>
      <c r="G168" s="54">
        <f>'220 Antiga Silvinho '!$F168-10</f>
        <v>-10</v>
      </c>
      <c r="H168" s="135"/>
      <c r="I168" s="135"/>
      <c r="J168" s="135"/>
      <c r="K168" s="135"/>
      <c r="L168" s="135"/>
      <c r="M168" s="135"/>
      <c r="N168" s="135"/>
    </row>
    <row r="169" ht="14.25" hidden="1" customHeight="1">
      <c r="B169" s="162"/>
      <c r="C169" s="141" t="str">
        <f t="shared" si="1"/>
        <v>12-1899</v>
      </c>
      <c r="D169" s="54" t="str">
        <f t="shared" si="10"/>
        <v/>
      </c>
      <c r="E169" s="54"/>
      <c r="F169" s="54">
        <f>'220 Antiga Silvinho '!$E169-'220 Antiga Silvinho '!$D169</f>
        <v>0</v>
      </c>
      <c r="G169" s="54">
        <f>'220 Antiga Silvinho '!$F169-10</f>
        <v>-10</v>
      </c>
      <c r="H169" s="135"/>
      <c r="I169" s="135"/>
      <c r="J169" s="135"/>
      <c r="K169" s="135"/>
      <c r="L169" s="135"/>
      <c r="M169" s="135"/>
      <c r="N169" s="135"/>
    </row>
    <row r="170" ht="14.25" hidden="1" customHeight="1">
      <c r="B170" s="162"/>
      <c r="C170" s="141" t="str">
        <f t="shared" si="1"/>
        <v>12-1899</v>
      </c>
      <c r="D170" s="54" t="str">
        <f t="shared" si="10"/>
        <v/>
      </c>
      <c r="E170" s="54"/>
      <c r="F170" s="54">
        <f>'220 Antiga Silvinho '!$E170-'220 Antiga Silvinho '!$D170</f>
        <v>0</v>
      </c>
      <c r="G170" s="54">
        <f>'220 Antiga Silvinho '!$F170-10</f>
        <v>-10</v>
      </c>
      <c r="H170" s="135"/>
      <c r="I170" s="135"/>
      <c r="J170" s="135"/>
      <c r="K170" s="135"/>
      <c r="L170" s="135"/>
      <c r="M170" s="135"/>
      <c r="N170" s="135"/>
    </row>
    <row r="171" ht="14.25" hidden="1" customHeight="1">
      <c r="B171" s="162"/>
      <c r="C171" s="141" t="str">
        <f t="shared" si="1"/>
        <v>12-1899</v>
      </c>
      <c r="D171" s="54" t="str">
        <f t="shared" si="10"/>
        <v/>
      </c>
      <c r="E171" s="54"/>
      <c r="F171" s="54">
        <f>'220 Antiga Silvinho '!$E171-'220 Antiga Silvinho '!$D171</f>
        <v>0</v>
      </c>
      <c r="G171" s="54">
        <f>'220 Antiga Silvinho '!$F171-10</f>
        <v>-10</v>
      </c>
      <c r="H171" s="135"/>
      <c r="I171" s="135"/>
      <c r="J171" s="135"/>
      <c r="K171" s="135"/>
      <c r="L171" s="135"/>
      <c r="M171" s="135"/>
      <c r="N171" s="135"/>
    </row>
    <row r="172" ht="14.25" hidden="1" customHeight="1">
      <c r="B172" s="162"/>
      <c r="C172" s="141" t="str">
        <f t="shared" si="1"/>
        <v>12-1899</v>
      </c>
      <c r="D172" s="54" t="str">
        <f t="shared" si="10"/>
        <v/>
      </c>
      <c r="E172" s="54"/>
      <c r="F172" s="54">
        <f>'220 Antiga Silvinho '!$E172-'220 Antiga Silvinho '!$D172</f>
        <v>0</v>
      </c>
      <c r="G172" s="54">
        <f>'220 Antiga Silvinho '!$F172-10</f>
        <v>-10</v>
      </c>
      <c r="H172" s="135"/>
      <c r="I172" s="135"/>
      <c r="J172" s="135"/>
      <c r="K172" s="135"/>
      <c r="L172" s="135"/>
      <c r="M172" s="135"/>
      <c r="N172" s="135"/>
    </row>
    <row r="173" ht="14.25" hidden="1" customHeight="1">
      <c r="B173" s="162"/>
      <c r="C173" s="141" t="str">
        <f t="shared" si="1"/>
        <v>12-1899</v>
      </c>
      <c r="D173" s="54" t="str">
        <f t="shared" si="10"/>
        <v/>
      </c>
      <c r="E173" s="54"/>
      <c r="F173" s="54">
        <f>'220 Antiga Silvinho '!$E173-'220 Antiga Silvinho '!$D173</f>
        <v>0</v>
      </c>
      <c r="G173" s="54">
        <f>'220 Antiga Silvinho '!$F173-10</f>
        <v>-10</v>
      </c>
      <c r="H173" s="135"/>
      <c r="I173" s="135"/>
      <c r="J173" s="135"/>
      <c r="K173" s="135"/>
      <c r="L173" s="135"/>
      <c r="M173" s="135"/>
      <c r="N173" s="135"/>
    </row>
    <row r="174" ht="14.25" hidden="1" customHeight="1">
      <c r="B174" s="162"/>
      <c r="C174" s="141" t="str">
        <f t="shared" si="1"/>
        <v>12-1899</v>
      </c>
      <c r="D174" s="54" t="str">
        <f t="shared" si="10"/>
        <v/>
      </c>
      <c r="E174" s="54"/>
      <c r="F174" s="54">
        <f>'220 Antiga Silvinho '!$E174-'220 Antiga Silvinho '!$D174</f>
        <v>0</v>
      </c>
      <c r="G174" s="54">
        <f>'220 Antiga Silvinho '!$F174-10</f>
        <v>-10</v>
      </c>
      <c r="H174" s="135"/>
      <c r="I174" s="135"/>
      <c r="J174" s="135"/>
      <c r="K174" s="135"/>
      <c r="L174" s="135"/>
      <c r="M174" s="135"/>
      <c r="N174" s="135"/>
    </row>
    <row r="175" ht="14.25" hidden="1" customHeight="1">
      <c r="B175" s="162"/>
      <c r="C175" s="141" t="str">
        <f t="shared" si="1"/>
        <v>12-1899</v>
      </c>
      <c r="D175" s="54" t="str">
        <f t="shared" si="10"/>
        <v/>
      </c>
      <c r="E175" s="54"/>
      <c r="F175" s="54">
        <f>'220 Antiga Silvinho '!$E175-'220 Antiga Silvinho '!$D175</f>
        <v>0</v>
      </c>
      <c r="G175" s="54">
        <f>'220 Antiga Silvinho '!$F175-10</f>
        <v>-10</v>
      </c>
      <c r="H175" s="135"/>
      <c r="I175" s="135"/>
      <c r="J175" s="135"/>
      <c r="K175" s="135"/>
      <c r="L175" s="135"/>
      <c r="M175" s="135"/>
      <c r="N175" s="135"/>
    </row>
    <row r="176" ht="14.25" hidden="1" customHeight="1">
      <c r="B176" s="162"/>
      <c r="C176" s="141" t="str">
        <f t="shared" si="1"/>
        <v>12-1899</v>
      </c>
      <c r="D176" s="54" t="str">
        <f t="shared" si="10"/>
        <v/>
      </c>
      <c r="E176" s="54"/>
      <c r="F176" s="54">
        <f>'220 Antiga Silvinho '!$E176-'220 Antiga Silvinho '!$D176</f>
        <v>0</v>
      </c>
      <c r="G176" s="54">
        <f>'220 Antiga Silvinho '!$F176-10</f>
        <v>-10</v>
      </c>
      <c r="H176" s="135"/>
      <c r="I176" s="135"/>
      <c r="J176" s="135"/>
      <c r="K176" s="135"/>
      <c r="L176" s="135"/>
      <c r="M176" s="135"/>
      <c r="N176" s="135"/>
    </row>
    <row r="177" ht="14.25" hidden="1" customHeight="1">
      <c r="B177" s="162"/>
      <c r="C177" s="141" t="str">
        <f t="shared" si="1"/>
        <v>12-1899</v>
      </c>
      <c r="D177" s="54" t="str">
        <f t="shared" si="10"/>
        <v/>
      </c>
      <c r="E177" s="54"/>
      <c r="F177" s="54">
        <f>'220 Antiga Silvinho '!$E177-'220 Antiga Silvinho '!$D177</f>
        <v>0</v>
      </c>
      <c r="G177" s="54">
        <f>'220 Antiga Silvinho '!$F177-10</f>
        <v>-10</v>
      </c>
      <c r="H177" s="135"/>
      <c r="I177" s="135"/>
      <c r="J177" s="135"/>
      <c r="K177" s="135"/>
      <c r="L177" s="135"/>
      <c r="M177" s="135"/>
      <c r="N177" s="135"/>
    </row>
    <row r="178" ht="14.25" hidden="1" customHeight="1">
      <c r="B178" s="162"/>
      <c r="C178" s="141" t="str">
        <f t="shared" si="1"/>
        <v>12-1899</v>
      </c>
      <c r="D178" s="54" t="str">
        <f t="shared" si="10"/>
        <v/>
      </c>
      <c r="E178" s="54"/>
      <c r="F178" s="54">
        <f>'220 Antiga Silvinho '!$E178-'220 Antiga Silvinho '!$D178</f>
        <v>0</v>
      </c>
      <c r="G178" s="54">
        <f>'220 Antiga Silvinho '!$F178-10</f>
        <v>-10</v>
      </c>
      <c r="H178" s="135"/>
      <c r="I178" s="135"/>
      <c r="J178" s="135"/>
      <c r="K178" s="135"/>
      <c r="L178" s="135"/>
      <c r="M178" s="135"/>
      <c r="N178" s="135"/>
    </row>
    <row r="179" ht="14.25" hidden="1" customHeight="1">
      <c r="B179" s="162"/>
      <c r="C179" s="141" t="str">
        <f t="shared" si="1"/>
        <v>12-1899</v>
      </c>
      <c r="D179" s="54" t="str">
        <f t="shared" si="10"/>
        <v/>
      </c>
      <c r="E179" s="54"/>
      <c r="F179" s="54">
        <f>'220 Antiga Silvinho '!$E179-'220 Antiga Silvinho '!$D179</f>
        <v>0</v>
      </c>
      <c r="G179" s="54">
        <f>'220 Antiga Silvinho '!$F179-10</f>
        <v>-10</v>
      </c>
      <c r="H179" s="135"/>
      <c r="I179" s="135"/>
      <c r="J179" s="135"/>
      <c r="K179" s="135"/>
      <c r="L179" s="135"/>
      <c r="M179" s="135"/>
      <c r="N179" s="135"/>
    </row>
    <row r="180" ht="14.25" hidden="1" customHeight="1">
      <c r="B180" s="162"/>
      <c r="C180" s="141" t="str">
        <f t="shared" si="1"/>
        <v>12-1899</v>
      </c>
      <c r="D180" s="54" t="str">
        <f t="shared" si="10"/>
        <v/>
      </c>
      <c r="E180" s="54"/>
      <c r="F180" s="54">
        <f>'220 Antiga Silvinho '!$E180-'220 Antiga Silvinho '!$D180</f>
        <v>0</v>
      </c>
      <c r="G180" s="54">
        <f>'220 Antiga Silvinho '!$F180-10</f>
        <v>-10</v>
      </c>
      <c r="H180" s="135"/>
      <c r="I180" s="135"/>
      <c r="J180" s="135"/>
      <c r="K180" s="135"/>
      <c r="L180" s="135"/>
      <c r="M180" s="135"/>
      <c r="N180" s="135"/>
    </row>
    <row r="181" ht="14.25" hidden="1" customHeight="1">
      <c r="B181" s="162"/>
      <c r="C181" s="141" t="str">
        <f t="shared" si="1"/>
        <v>12-1899</v>
      </c>
      <c r="D181" s="54" t="str">
        <f t="shared" si="10"/>
        <v/>
      </c>
      <c r="E181" s="54"/>
      <c r="F181" s="54">
        <f>'220 Antiga Silvinho '!$E181-'220 Antiga Silvinho '!$D181</f>
        <v>0</v>
      </c>
      <c r="G181" s="54">
        <f>'220 Antiga Silvinho '!$F181-10</f>
        <v>-10</v>
      </c>
      <c r="H181" s="135"/>
      <c r="I181" s="135"/>
      <c r="J181" s="135"/>
      <c r="K181" s="135"/>
      <c r="L181" s="135"/>
      <c r="M181" s="135"/>
      <c r="N181" s="135"/>
    </row>
    <row r="182" ht="14.25" hidden="1" customHeight="1">
      <c r="B182" s="162"/>
      <c r="C182" s="141" t="str">
        <f t="shared" si="1"/>
        <v>12-1899</v>
      </c>
      <c r="D182" s="54" t="str">
        <f t="shared" si="10"/>
        <v/>
      </c>
      <c r="E182" s="54"/>
      <c r="F182" s="54">
        <f>'220 Antiga Silvinho '!$E182-'220 Antiga Silvinho '!$D182</f>
        <v>0</v>
      </c>
      <c r="G182" s="54">
        <f>'220 Antiga Silvinho '!$F182-10</f>
        <v>-10</v>
      </c>
      <c r="H182" s="135"/>
      <c r="I182" s="135"/>
      <c r="J182" s="135"/>
      <c r="K182" s="135"/>
      <c r="L182" s="135"/>
      <c r="M182" s="135"/>
      <c r="N182" s="135"/>
    </row>
    <row r="183" ht="14.25" hidden="1" customHeight="1">
      <c r="B183" s="162"/>
      <c r="C183" s="141" t="str">
        <f t="shared" si="1"/>
        <v>12-1899</v>
      </c>
      <c r="D183" s="54" t="str">
        <f t="shared" si="10"/>
        <v/>
      </c>
      <c r="E183" s="54"/>
      <c r="F183" s="54">
        <f>'220 Antiga Silvinho '!$E183-'220 Antiga Silvinho '!$D183</f>
        <v>0</v>
      </c>
      <c r="G183" s="54">
        <f>'220 Antiga Silvinho '!$F183-10</f>
        <v>-10</v>
      </c>
      <c r="H183" s="135"/>
      <c r="I183" s="135"/>
      <c r="J183" s="135"/>
      <c r="K183" s="135"/>
      <c r="L183" s="135"/>
      <c r="M183" s="135"/>
      <c r="N183" s="135"/>
    </row>
    <row r="184" ht="14.25" hidden="1" customHeight="1">
      <c r="B184" s="162"/>
      <c r="C184" s="141" t="str">
        <f t="shared" si="1"/>
        <v>12-1899</v>
      </c>
      <c r="D184" s="54" t="str">
        <f t="shared" si="10"/>
        <v/>
      </c>
      <c r="E184" s="54"/>
      <c r="F184" s="54">
        <f>'220 Antiga Silvinho '!$E184-'220 Antiga Silvinho '!$D184</f>
        <v>0</v>
      </c>
      <c r="G184" s="54">
        <f>'220 Antiga Silvinho '!$F184-10</f>
        <v>-10</v>
      </c>
      <c r="H184" s="135"/>
      <c r="I184" s="135"/>
      <c r="J184" s="135"/>
      <c r="K184" s="135"/>
      <c r="L184" s="135"/>
      <c r="M184" s="135"/>
      <c r="N184" s="135"/>
    </row>
    <row r="185" ht="14.25" hidden="1" customHeight="1">
      <c r="B185" s="162"/>
      <c r="C185" s="141" t="str">
        <f t="shared" si="1"/>
        <v>12-1899</v>
      </c>
      <c r="D185" s="54" t="str">
        <f t="shared" si="10"/>
        <v/>
      </c>
      <c r="E185" s="54"/>
      <c r="F185" s="54">
        <f>'220 Antiga Silvinho '!$E185-'220 Antiga Silvinho '!$D185</f>
        <v>0</v>
      </c>
      <c r="G185" s="54">
        <f>'220 Antiga Silvinho '!$F185-10</f>
        <v>-10</v>
      </c>
      <c r="H185" s="135"/>
      <c r="I185" s="135"/>
      <c r="J185" s="135"/>
      <c r="K185" s="135"/>
      <c r="L185" s="135"/>
      <c r="M185" s="135"/>
      <c r="N185" s="135"/>
    </row>
    <row r="186" ht="14.25" hidden="1" customHeight="1">
      <c r="B186" s="162"/>
      <c r="C186" s="141" t="str">
        <f t="shared" si="1"/>
        <v>12-1899</v>
      </c>
      <c r="D186" s="54" t="str">
        <f t="shared" si="10"/>
        <v/>
      </c>
      <c r="E186" s="54"/>
      <c r="F186" s="54">
        <f>'220 Antiga Silvinho '!$E186-'220 Antiga Silvinho '!$D186</f>
        <v>0</v>
      </c>
      <c r="G186" s="54">
        <f>'220 Antiga Silvinho '!$F186-10</f>
        <v>-10</v>
      </c>
      <c r="H186" s="135"/>
      <c r="I186" s="135"/>
      <c r="J186" s="135"/>
      <c r="K186" s="135"/>
      <c r="L186" s="135"/>
      <c r="M186" s="135"/>
      <c r="N186" s="135"/>
    </row>
    <row r="187" ht="14.25" hidden="1" customHeight="1">
      <c r="B187" s="162"/>
      <c r="C187" s="141" t="str">
        <f t="shared" si="1"/>
        <v>12-1899</v>
      </c>
      <c r="D187" s="54" t="str">
        <f t="shared" si="10"/>
        <v/>
      </c>
      <c r="E187" s="54"/>
      <c r="F187" s="54">
        <f>'220 Antiga Silvinho '!$E187-'220 Antiga Silvinho '!$D187</f>
        <v>0</v>
      </c>
      <c r="G187" s="54">
        <f>'220 Antiga Silvinho '!$F187-10</f>
        <v>-10</v>
      </c>
      <c r="H187" s="135"/>
      <c r="I187" s="135"/>
      <c r="J187" s="135"/>
      <c r="K187" s="135"/>
      <c r="L187" s="135"/>
      <c r="M187" s="135"/>
      <c r="N187" s="135"/>
    </row>
    <row r="188" ht="14.25" hidden="1" customHeight="1">
      <c r="B188" s="162"/>
      <c r="C188" s="141" t="str">
        <f t="shared" si="1"/>
        <v>12-1899</v>
      </c>
      <c r="D188" s="54" t="str">
        <f t="shared" si="10"/>
        <v/>
      </c>
      <c r="E188" s="54"/>
      <c r="F188" s="54">
        <f>'220 Antiga Silvinho '!$E188-'220 Antiga Silvinho '!$D188</f>
        <v>0</v>
      </c>
      <c r="G188" s="54">
        <f>'220 Antiga Silvinho '!$F188-10</f>
        <v>-10</v>
      </c>
      <c r="H188" s="135"/>
      <c r="I188" s="135"/>
      <c r="J188" s="135"/>
      <c r="K188" s="135"/>
      <c r="L188" s="135"/>
      <c r="M188" s="135"/>
      <c r="N188" s="135"/>
    </row>
    <row r="189" ht="14.25" hidden="1" customHeight="1">
      <c r="B189" s="162"/>
      <c r="C189" s="141" t="str">
        <f t="shared" si="1"/>
        <v>12-1899</v>
      </c>
      <c r="D189" s="54" t="str">
        <f t="shared" si="10"/>
        <v/>
      </c>
      <c r="E189" s="54"/>
      <c r="F189" s="54">
        <f>'220 Antiga Silvinho '!$E189-'220 Antiga Silvinho '!$D189</f>
        <v>0</v>
      </c>
      <c r="G189" s="54">
        <f>'220 Antiga Silvinho '!$F189-10</f>
        <v>-10</v>
      </c>
      <c r="H189" s="135"/>
      <c r="I189" s="135"/>
      <c r="J189" s="135"/>
      <c r="K189" s="135"/>
      <c r="L189" s="135"/>
      <c r="M189" s="135"/>
      <c r="N189" s="135"/>
    </row>
    <row r="190" ht="14.25" hidden="1" customHeight="1">
      <c r="B190" s="162"/>
      <c r="C190" s="141" t="str">
        <f t="shared" si="1"/>
        <v>12-1899</v>
      </c>
      <c r="D190" s="54" t="str">
        <f t="shared" si="10"/>
        <v/>
      </c>
      <c r="E190" s="54"/>
      <c r="F190" s="54">
        <f>'220 Antiga Silvinho '!$E190-'220 Antiga Silvinho '!$D190</f>
        <v>0</v>
      </c>
      <c r="G190" s="54">
        <f>'220 Antiga Silvinho '!$F190-10</f>
        <v>-10</v>
      </c>
      <c r="H190" s="135"/>
      <c r="I190" s="135"/>
      <c r="J190" s="135"/>
      <c r="K190" s="135"/>
      <c r="L190" s="135"/>
      <c r="M190" s="135"/>
      <c r="N190" s="135"/>
    </row>
    <row r="191" ht="14.25" hidden="1" customHeight="1">
      <c r="B191" s="162"/>
      <c r="C191" s="141" t="str">
        <f t="shared" si="1"/>
        <v>12-1899</v>
      </c>
      <c r="D191" s="54" t="str">
        <f t="shared" si="10"/>
        <v/>
      </c>
      <c r="E191" s="54"/>
      <c r="F191" s="54">
        <f>'220 Antiga Silvinho '!$E191-'220 Antiga Silvinho '!$D191</f>
        <v>0</v>
      </c>
      <c r="G191" s="54">
        <f>'220 Antiga Silvinho '!$F191-10</f>
        <v>-10</v>
      </c>
      <c r="H191" s="135"/>
      <c r="I191" s="135"/>
      <c r="J191" s="135"/>
      <c r="K191" s="135"/>
      <c r="L191" s="135"/>
      <c r="M191" s="135"/>
      <c r="N191" s="135"/>
    </row>
    <row r="192" ht="14.25" hidden="1" customHeight="1">
      <c r="B192" s="162"/>
      <c r="C192" s="141" t="str">
        <f t="shared" si="1"/>
        <v>12-1899</v>
      </c>
      <c r="D192" s="54" t="str">
        <f t="shared" si="10"/>
        <v/>
      </c>
      <c r="E192" s="54"/>
      <c r="F192" s="54">
        <f>'220 Antiga Silvinho '!$E192-'220 Antiga Silvinho '!$D192</f>
        <v>0</v>
      </c>
      <c r="G192" s="54">
        <f>'220 Antiga Silvinho '!$F192-10</f>
        <v>-10</v>
      </c>
      <c r="H192" s="135"/>
      <c r="I192" s="135"/>
      <c r="J192" s="135"/>
      <c r="K192" s="135"/>
      <c r="L192" s="135"/>
      <c r="M192" s="135"/>
      <c r="N192" s="135"/>
    </row>
    <row r="193" ht="14.25" hidden="1" customHeight="1">
      <c r="B193" s="162"/>
      <c r="C193" s="141" t="str">
        <f t="shared" si="1"/>
        <v>12-1899</v>
      </c>
      <c r="D193" s="54" t="str">
        <f t="shared" si="10"/>
        <v/>
      </c>
      <c r="E193" s="54"/>
      <c r="F193" s="54">
        <f>'220 Antiga Silvinho '!$E193-'220 Antiga Silvinho '!$D193</f>
        <v>0</v>
      </c>
      <c r="G193" s="54">
        <f>'220 Antiga Silvinho '!$F193-10</f>
        <v>-10</v>
      </c>
      <c r="H193" s="135"/>
      <c r="I193" s="135"/>
      <c r="J193" s="135"/>
      <c r="K193" s="135"/>
      <c r="L193" s="135"/>
      <c r="M193" s="135"/>
      <c r="N193" s="135"/>
    </row>
    <row r="194" ht="14.25" hidden="1" customHeight="1">
      <c r="B194" s="162"/>
      <c r="C194" s="141" t="str">
        <f t="shared" si="1"/>
        <v>12-1899</v>
      </c>
      <c r="D194" s="54" t="str">
        <f t="shared" si="10"/>
        <v/>
      </c>
      <c r="E194" s="54"/>
      <c r="F194" s="54">
        <f>'220 Antiga Silvinho '!$E194-'220 Antiga Silvinho '!$D194</f>
        <v>0</v>
      </c>
      <c r="G194" s="54">
        <f>'220 Antiga Silvinho '!$F194-10</f>
        <v>-10</v>
      </c>
      <c r="H194" s="135"/>
      <c r="I194" s="135"/>
      <c r="J194" s="135"/>
      <c r="K194" s="135"/>
      <c r="L194" s="135"/>
      <c r="M194" s="135"/>
      <c r="N194" s="135"/>
    </row>
    <row r="195" ht="14.25" hidden="1" customHeight="1">
      <c r="B195" s="162"/>
      <c r="C195" s="141" t="str">
        <f t="shared" si="1"/>
        <v>12-1899</v>
      </c>
      <c r="D195" s="54" t="str">
        <f t="shared" si="10"/>
        <v/>
      </c>
      <c r="E195" s="54"/>
      <c r="F195" s="54">
        <f>'220 Antiga Silvinho '!$E195-'220 Antiga Silvinho '!$D195</f>
        <v>0</v>
      </c>
      <c r="G195" s="54">
        <f>'220 Antiga Silvinho '!$F195-10</f>
        <v>-10</v>
      </c>
      <c r="H195" s="135"/>
      <c r="I195" s="135"/>
      <c r="J195" s="135"/>
      <c r="K195" s="135"/>
      <c r="L195" s="135"/>
      <c r="M195" s="135"/>
      <c r="N195" s="135"/>
    </row>
    <row r="196" ht="14.25" hidden="1" customHeight="1">
      <c r="B196" s="162"/>
      <c r="C196" s="141" t="str">
        <f t="shared" si="1"/>
        <v>12-1899</v>
      </c>
      <c r="D196" s="54" t="str">
        <f t="shared" si="10"/>
        <v/>
      </c>
      <c r="E196" s="54"/>
      <c r="F196" s="54">
        <f>'220 Antiga Silvinho '!$E196-'220 Antiga Silvinho '!$D196</f>
        <v>0</v>
      </c>
      <c r="G196" s="54">
        <f>'220 Antiga Silvinho '!$F196-10</f>
        <v>-10</v>
      </c>
      <c r="H196" s="135"/>
      <c r="I196" s="135"/>
      <c r="J196" s="135"/>
      <c r="K196" s="135"/>
      <c r="L196" s="135"/>
      <c r="M196" s="135"/>
      <c r="N196" s="135"/>
    </row>
    <row r="197" ht="14.25" hidden="1" customHeight="1">
      <c r="B197" s="162"/>
      <c r="C197" s="141" t="str">
        <f t="shared" si="1"/>
        <v>12-1899</v>
      </c>
      <c r="D197" s="54" t="str">
        <f t="shared" si="10"/>
        <v/>
      </c>
      <c r="E197" s="54"/>
      <c r="F197" s="54">
        <f>'220 Antiga Silvinho '!$E197-'220 Antiga Silvinho '!$D197</f>
        <v>0</v>
      </c>
      <c r="G197" s="54">
        <f>'220 Antiga Silvinho '!$F197-10</f>
        <v>-10</v>
      </c>
      <c r="H197" s="135"/>
      <c r="I197" s="135"/>
      <c r="J197" s="135"/>
      <c r="K197" s="135"/>
      <c r="L197" s="135"/>
      <c r="M197" s="135"/>
      <c r="N197" s="135"/>
    </row>
    <row r="198" ht="14.25" hidden="1" customHeight="1">
      <c r="B198" s="162"/>
      <c r="C198" s="141" t="str">
        <f t="shared" si="1"/>
        <v>12-1899</v>
      </c>
      <c r="D198" s="54" t="str">
        <f t="shared" si="10"/>
        <v/>
      </c>
      <c r="E198" s="54"/>
      <c r="F198" s="54">
        <f>'220 Antiga Silvinho '!$E198-'220 Antiga Silvinho '!$D198</f>
        <v>0</v>
      </c>
      <c r="G198" s="54">
        <f>'220 Antiga Silvinho '!$F198-10</f>
        <v>-10</v>
      </c>
      <c r="H198" s="135"/>
      <c r="I198" s="135"/>
      <c r="J198" s="135"/>
      <c r="K198" s="135"/>
      <c r="L198" s="135"/>
      <c r="M198" s="135"/>
      <c r="N198" s="135"/>
    </row>
    <row r="199" ht="14.25" hidden="1" customHeight="1">
      <c r="B199" s="162"/>
      <c r="C199" s="141" t="str">
        <f t="shared" si="1"/>
        <v>12-1899</v>
      </c>
      <c r="D199" s="54" t="str">
        <f t="shared" si="10"/>
        <v/>
      </c>
      <c r="E199" s="54"/>
      <c r="F199" s="54">
        <f>'220 Antiga Silvinho '!$E199-'220 Antiga Silvinho '!$D199</f>
        <v>0</v>
      </c>
      <c r="G199" s="54">
        <f>'220 Antiga Silvinho '!$F199-10</f>
        <v>-10</v>
      </c>
      <c r="H199" s="135"/>
      <c r="I199" s="135"/>
      <c r="J199" s="135"/>
      <c r="K199" s="135"/>
      <c r="L199" s="135"/>
      <c r="M199" s="135"/>
      <c r="N199" s="135"/>
    </row>
    <row r="200" ht="14.25" hidden="1" customHeight="1">
      <c r="B200" s="162"/>
      <c r="C200" s="141" t="str">
        <f t="shared" si="1"/>
        <v>12-1899</v>
      </c>
      <c r="D200" s="54" t="str">
        <f t="shared" si="10"/>
        <v/>
      </c>
      <c r="E200" s="54"/>
      <c r="F200" s="54">
        <f>'220 Antiga Silvinho '!$E200-'220 Antiga Silvinho '!$D200</f>
        <v>0</v>
      </c>
      <c r="G200" s="54">
        <f>'220 Antiga Silvinho '!$F200-10</f>
        <v>-10</v>
      </c>
      <c r="H200" s="135"/>
      <c r="I200" s="135"/>
      <c r="J200" s="135"/>
      <c r="K200" s="135"/>
      <c r="L200" s="135"/>
      <c r="M200" s="135"/>
      <c r="N200" s="135"/>
    </row>
    <row r="201" ht="14.25" hidden="1" customHeight="1">
      <c r="B201" s="162"/>
      <c r="C201" s="141" t="str">
        <f t="shared" si="1"/>
        <v>12-1899</v>
      </c>
      <c r="D201" s="54" t="str">
        <f t="shared" si="10"/>
        <v/>
      </c>
      <c r="E201" s="54"/>
      <c r="F201" s="54">
        <f>'220 Antiga Silvinho '!$E201-'220 Antiga Silvinho '!$D201</f>
        <v>0</v>
      </c>
      <c r="G201" s="54">
        <f>'220 Antiga Silvinho '!$F201-10</f>
        <v>-10</v>
      </c>
      <c r="H201" s="135"/>
      <c r="I201" s="135"/>
      <c r="J201" s="135"/>
      <c r="K201" s="135"/>
      <c r="L201" s="135"/>
      <c r="M201" s="135"/>
      <c r="N201" s="135"/>
    </row>
    <row r="202" ht="14.25" hidden="1" customHeight="1">
      <c r="B202" s="162"/>
      <c r="C202" s="141" t="str">
        <f t="shared" si="1"/>
        <v>12-1899</v>
      </c>
      <c r="D202" s="54" t="str">
        <f t="shared" si="10"/>
        <v/>
      </c>
      <c r="E202" s="54"/>
      <c r="F202" s="54">
        <f>'220 Antiga Silvinho '!$E202-'220 Antiga Silvinho '!$D202</f>
        <v>0</v>
      </c>
      <c r="G202" s="54">
        <f>'220 Antiga Silvinho '!$F202-10</f>
        <v>-10</v>
      </c>
      <c r="H202" s="135"/>
      <c r="I202" s="135"/>
      <c r="J202" s="135"/>
      <c r="K202" s="135"/>
      <c r="L202" s="135"/>
      <c r="M202" s="135"/>
      <c r="N202" s="135"/>
    </row>
    <row r="203" ht="14.25" hidden="1" customHeight="1">
      <c r="B203" s="162"/>
      <c r="C203" s="141" t="str">
        <f t="shared" si="1"/>
        <v>12-1899</v>
      </c>
      <c r="D203" s="54" t="str">
        <f t="shared" si="10"/>
        <v/>
      </c>
      <c r="E203" s="54"/>
      <c r="F203" s="54">
        <f>'220 Antiga Silvinho '!$E203-'220 Antiga Silvinho '!$D203</f>
        <v>0</v>
      </c>
      <c r="G203" s="54">
        <f>'220 Antiga Silvinho '!$F203-10</f>
        <v>-10</v>
      </c>
      <c r="H203" s="135"/>
      <c r="I203" s="135"/>
      <c r="J203" s="135"/>
      <c r="K203" s="135"/>
      <c r="L203" s="135"/>
      <c r="M203" s="135"/>
      <c r="N203" s="135"/>
    </row>
    <row r="204" ht="14.25" hidden="1" customHeight="1">
      <c r="B204" s="162"/>
      <c r="C204" s="141" t="str">
        <f t="shared" si="1"/>
        <v>12-1899</v>
      </c>
      <c r="D204" s="54" t="str">
        <f t="shared" si="10"/>
        <v/>
      </c>
      <c r="E204" s="54"/>
      <c r="F204" s="54">
        <f>'220 Antiga Silvinho '!$E204-'220 Antiga Silvinho '!$D204</f>
        <v>0</v>
      </c>
      <c r="G204" s="54">
        <f>'220 Antiga Silvinho '!$F204-10</f>
        <v>-10</v>
      </c>
      <c r="H204" s="135"/>
      <c r="I204" s="135"/>
      <c r="J204" s="135"/>
      <c r="K204" s="135"/>
      <c r="L204" s="135"/>
      <c r="M204" s="135"/>
      <c r="N204" s="135"/>
    </row>
    <row r="205" ht="14.25" hidden="1" customHeight="1">
      <c r="B205" s="162"/>
      <c r="C205" s="141" t="str">
        <f t="shared" si="1"/>
        <v>12-1899</v>
      </c>
      <c r="D205" s="54" t="str">
        <f t="shared" si="10"/>
        <v/>
      </c>
      <c r="E205" s="54"/>
      <c r="F205" s="54">
        <f>'220 Antiga Silvinho '!$E205-'220 Antiga Silvinho '!$D205</f>
        <v>0</v>
      </c>
      <c r="G205" s="54">
        <f>'220 Antiga Silvinho '!$F205-10</f>
        <v>-10</v>
      </c>
      <c r="H205" s="135"/>
      <c r="I205" s="135"/>
      <c r="J205" s="135"/>
      <c r="K205" s="135"/>
      <c r="L205" s="135"/>
      <c r="M205" s="135"/>
      <c r="N205" s="135"/>
    </row>
    <row r="206" ht="14.25" hidden="1" customHeight="1">
      <c r="B206" s="162"/>
      <c r="C206" s="141" t="str">
        <f t="shared" si="1"/>
        <v>12-1899</v>
      </c>
      <c r="D206" s="54" t="str">
        <f t="shared" si="10"/>
        <v/>
      </c>
      <c r="E206" s="54"/>
      <c r="F206" s="54">
        <f>'220 Antiga Silvinho '!$E206-'220 Antiga Silvinho '!$D206</f>
        <v>0</v>
      </c>
      <c r="G206" s="54">
        <f>'220 Antiga Silvinho '!$F206-10</f>
        <v>-10</v>
      </c>
      <c r="H206" s="135"/>
      <c r="I206" s="135"/>
      <c r="J206" s="135"/>
      <c r="K206" s="135"/>
      <c r="L206" s="135"/>
      <c r="M206" s="135"/>
      <c r="N206" s="135"/>
    </row>
    <row r="207" ht="14.25" hidden="1" customHeight="1">
      <c r="B207" s="162"/>
      <c r="C207" s="141" t="str">
        <f t="shared" si="1"/>
        <v>12-1899</v>
      </c>
      <c r="D207" s="54" t="str">
        <f t="shared" si="10"/>
        <v/>
      </c>
      <c r="E207" s="54"/>
      <c r="F207" s="54">
        <f>'220 Antiga Silvinho '!$E207-'220 Antiga Silvinho '!$D207</f>
        <v>0</v>
      </c>
      <c r="G207" s="54">
        <f>'220 Antiga Silvinho '!$F207-10</f>
        <v>-10</v>
      </c>
      <c r="H207" s="135"/>
      <c r="I207" s="135"/>
      <c r="J207" s="135"/>
      <c r="K207" s="135"/>
      <c r="L207" s="135"/>
      <c r="M207" s="135"/>
      <c r="N207" s="135"/>
    </row>
    <row r="208" ht="14.25" hidden="1" customHeight="1">
      <c r="B208" s="162"/>
      <c r="C208" s="141" t="str">
        <f t="shared" si="1"/>
        <v>12-1899</v>
      </c>
      <c r="D208" s="54" t="str">
        <f t="shared" si="10"/>
        <v/>
      </c>
      <c r="E208" s="54"/>
      <c r="F208" s="54">
        <f>'220 Antiga Silvinho '!$E208-'220 Antiga Silvinho '!$D208</f>
        <v>0</v>
      </c>
      <c r="G208" s="54">
        <f>'220 Antiga Silvinho '!$F208-10</f>
        <v>-10</v>
      </c>
      <c r="H208" s="135"/>
      <c r="I208" s="135"/>
      <c r="J208" s="135"/>
      <c r="K208" s="135"/>
      <c r="L208" s="135"/>
      <c r="M208" s="135"/>
      <c r="N208" s="135"/>
    </row>
    <row r="209" ht="14.25" hidden="1" customHeight="1">
      <c r="B209" s="162"/>
      <c r="C209" s="141" t="str">
        <f t="shared" si="1"/>
        <v>12-1899</v>
      </c>
      <c r="D209" s="54" t="str">
        <f t="shared" si="10"/>
        <v/>
      </c>
      <c r="E209" s="54"/>
      <c r="F209" s="54">
        <f>'220 Antiga Silvinho '!$E209-'220 Antiga Silvinho '!$D209</f>
        <v>0</v>
      </c>
      <c r="G209" s="54">
        <f>'220 Antiga Silvinho '!$F209-10</f>
        <v>-10</v>
      </c>
      <c r="H209" s="135"/>
      <c r="I209" s="135"/>
      <c r="J209" s="135"/>
      <c r="K209" s="135"/>
      <c r="L209" s="135"/>
      <c r="M209" s="135"/>
      <c r="N209" s="135"/>
    </row>
    <row r="210" ht="14.25" hidden="1" customHeight="1">
      <c r="B210" s="162"/>
      <c r="C210" s="141" t="str">
        <f t="shared" si="1"/>
        <v>12-1899</v>
      </c>
      <c r="D210" s="54" t="str">
        <f t="shared" si="10"/>
        <v/>
      </c>
      <c r="E210" s="54"/>
      <c r="F210" s="54">
        <f>'220 Antiga Silvinho '!$E210-'220 Antiga Silvinho '!$D210</f>
        <v>0</v>
      </c>
      <c r="G210" s="54">
        <f>'220 Antiga Silvinho '!$F210-10</f>
        <v>-10</v>
      </c>
      <c r="H210" s="135"/>
      <c r="I210" s="135"/>
      <c r="J210" s="135"/>
      <c r="K210" s="135"/>
      <c r="L210" s="135"/>
      <c r="M210" s="135"/>
      <c r="N210" s="135"/>
    </row>
    <row r="211" ht="14.25" hidden="1" customHeight="1">
      <c r="B211" s="162"/>
      <c r="C211" s="141" t="str">
        <f t="shared" si="1"/>
        <v>12-1899</v>
      </c>
      <c r="D211" s="54" t="str">
        <f t="shared" si="10"/>
        <v/>
      </c>
      <c r="E211" s="54"/>
      <c r="F211" s="54">
        <f>'220 Antiga Silvinho '!$E211-'220 Antiga Silvinho '!$D211</f>
        <v>0</v>
      </c>
      <c r="G211" s="54">
        <f>'220 Antiga Silvinho '!$F211-10</f>
        <v>-10</v>
      </c>
      <c r="H211" s="135"/>
      <c r="I211" s="135"/>
      <c r="J211" s="135"/>
      <c r="K211" s="135"/>
      <c r="L211" s="135"/>
      <c r="M211" s="135"/>
      <c r="N211" s="135"/>
    </row>
    <row r="212" ht="14.25" hidden="1" customHeight="1">
      <c r="B212" s="162"/>
      <c r="C212" s="141" t="str">
        <f t="shared" si="1"/>
        <v>12-1899</v>
      </c>
      <c r="D212" s="54" t="str">
        <f t="shared" si="10"/>
        <v/>
      </c>
      <c r="E212" s="54"/>
      <c r="F212" s="54">
        <f>'220 Antiga Silvinho '!$E212-'220 Antiga Silvinho '!$D212</f>
        <v>0</v>
      </c>
      <c r="G212" s="54">
        <f>'220 Antiga Silvinho '!$F212-10</f>
        <v>-10</v>
      </c>
      <c r="H212" s="135"/>
      <c r="I212" s="135"/>
      <c r="J212" s="135"/>
      <c r="K212" s="135"/>
      <c r="L212" s="135"/>
      <c r="M212" s="135"/>
      <c r="N212" s="135"/>
    </row>
    <row r="213" ht="14.25" hidden="1" customHeight="1">
      <c r="B213" s="162"/>
      <c r="C213" s="141" t="str">
        <f t="shared" si="1"/>
        <v>12-1899</v>
      </c>
      <c r="D213" s="54" t="str">
        <f t="shared" si="10"/>
        <v/>
      </c>
      <c r="E213" s="54"/>
      <c r="F213" s="54">
        <f>'220 Antiga Silvinho '!$E213-'220 Antiga Silvinho '!$D213</f>
        <v>0</v>
      </c>
      <c r="G213" s="54">
        <f>'220 Antiga Silvinho '!$F213-10</f>
        <v>-10</v>
      </c>
      <c r="H213" s="135"/>
      <c r="I213" s="135"/>
      <c r="J213" s="135"/>
      <c r="K213" s="135"/>
      <c r="L213" s="135"/>
      <c r="M213" s="135"/>
      <c r="N213" s="135"/>
    </row>
    <row r="214" ht="14.25" hidden="1" customHeight="1">
      <c r="B214" s="162"/>
      <c r="C214" s="141" t="str">
        <f t="shared" si="1"/>
        <v>12-1899</v>
      </c>
      <c r="D214" s="54" t="str">
        <f t="shared" si="10"/>
        <v/>
      </c>
      <c r="E214" s="54"/>
      <c r="F214" s="54">
        <f>'220 Antiga Silvinho '!$E214-'220 Antiga Silvinho '!$D214</f>
        <v>0</v>
      </c>
      <c r="G214" s="54">
        <f>'220 Antiga Silvinho '!$F214-10</f>
        <v>-10</v>
      </c>
      <c r="H214" s="135"/>
      <c r="I214" s="135"/>
      <c r="J214" s="135"/>
      <c r="K214" s="135"/>
      <c r="L214" s="135"/>
      <c r="M214" s="135"/>
      <c r="N214" s="135"/>
    </row>
    <row r="215" ht="14.25" hidden="1" customHeight="1">
      <c r="B215" s="162"/>
      <c r="C215" s="141" t="str">
        <f t="shared" si="1"/>
        <v>12-1899</v>
      </c>
      <c r="D215" s="54" t="str">
        <f t="shared" si="10"/>
        <v/>
      </c>
      <c r="E215" s="54"/>
      <c r="F215" s="54">
        <f>'220 Antiga Silvinho '!$E215-'220 Antiga Silvinho '!$D215</f>
        <v>0</v>
      </c>
      <c r="G215" s="54">
        <f>'220 Antiga Silvinho '!$F215-10</f>
        <v>-10</v>
      </c>
      <c r="H215" s="135"/>
      <c r="I215" s="135"/>
      <c r="J215" s="135"/>
      <c r="K215" s="135"/>
      <c r="L215" s="135"/>
      <c r="M215" s="135"/>
      <c r="N215" s="135"/>
    </row>
    <row r="216" ht="14.25" hidden="1" customHeight="1">
      <c r="B216" s="162"/>
      <c r="C216" s="141" t="str">
        <f t="shared" si="1"/>
        <v>12-1899</v>
      </c>
      <c r="D216" s="54" t="str">
        <f t="shared" si="10"/>
        <v/>
      </c>
      <c r="E216" s="54"/>
      <c r="F216" s="54">
        <f>'220 Antiga Silvinho '!$E216-'220 Antiga Silvinho '!$D216</f>
        <v>0</v>
      </c>
      <c r="G216" s="54">
        <f>'220 Antiga Silvinho '!$F216-10</f>
        <v>-10</v>
      </c>
      <c r="H216" s="135"/>
      <c r="I216" s="135"/>
      <c r="J216" s="135"/>
      <c r="K216" s="135"/>
      <c r="L216" s="135"/>
      <c r="M216" s="135"/>
      <c r="N216" s="135"/>
    </row>
    <row r="217" ht="14.25" hidden="1" customHeight="1">
      <c r="B217" s="162"/>
      <c r="C217" s="141" t="str">
        <f t="shared" si="1"/>
        <v>12-1899</v>
      </c>
      <c r="D217" s="54" t="str">
        <f t="shared" si="10"/>
        <v/>
      </c>
      <c r="E217" s="54"/>
      <c r="F217" s="54">
        <f>'220 Antiga Silvinho '!$E217-'220 Antiga Silvinho '!$D217</f>
        <v>0</v>
      </c>
      <c r="G217" s="54">
        <f>'220 Antiga Silvinho '!$F217-10</f>
        <v>-10</v>
      </c>
      <c r="H217" s="135"/>
      <c r="I217" s="135"/>
      <c r="J217" s="135"/>
      <c r="K217" s="135"/>
      <c r="L217" s="135"/>
      <c r="M217" s="135"/>
      <c r="N217" s="135"/>
    </row>
    <row r="218" ht="14.25" hidden="1" customHeight="1">
      <c r="B218" s="162"/>
      <c r="C218" s="141" t="str">
        <f t="shared" si="1"/>
        <v>12-1899</v>
      </c>
      <c r="D218" s="54" t="str">
        <f t="shared" si="10"/>
        <v/>
      </c>
      <c r="E218" s="54"/>
      <c r="F218" s="54">
        <f>'220 Antiga Silvinho '!$E218-'220 Antiga Silvinho '!$D218</f>
        <v>0</v>
      </c>
      <c r="G218" s="54">
        <f>'220 Antiga Silvinho '!$F218-10</f>
        <v>-10</v>
      </c>
      <c r="H218" s="135"/>
      <c r="I218" s="135"/>
      <c r="J218" s="135"/>
      <c r="K218" s="135"/>
      <c r="L218" s="135"/>
      <c r="M218" s="135"/>
      <c r="N218" s="135"/>
    </row>
    <row r="219" ht="14.25" hidden="1" customHeight="1">
      <c r="B219" s="162"/>
      <c r="C219" s="141" t="str">
        <f t="shared" si="1"/>
        <v>12-1899</v>
      </c>
      <c r="D219" s="54" t="str">
        <f t="shared" si="10"/>
        <v/>
      </c>
      <c r="E219" s="54"/>
      <c r="F219" s="54">
        <f>'220 Antiga Silvinho '!$E219-'220 Antiga Silvinho '!$D219</f>
        <v>0</v>
      </c>
      <c r="G219" s="54">
        <f>'220 Antiga Silvinho '!$F219-10</f>
        <v>-10</v>
      </c>
      <c r="H219" s="135"/>
      <c r="I219" s="135"/>
      <c r="J219" s="135"/>
      <c r="K219" s="135"/>
      <c r="L219" s="135"/>
      <c r="M219" s="135"/>
      <c r="N219" s="135"/>
    </row>
    <row r="220" ht="14.25" hidden="1" customHeight="1">
      <c r="B220" s="162"/>
      <c r="C220" s="141" t="str">
        <f t="shared" si="1"/>
        <v>12-1899</v>
      </c>
      <c r="D220" s="54" t="str">
        <f t="shared" si="10"/>
        <v/>
      </c>
      <c r="E220" s="54"/>
      <c r="F220" s="54">
        <f>'220 Antiga Silvinho '!$E220-'220 Antiga Silvinho '!$D220</f>
        <v>0</v>
      </c>
      <c r="G220" s="54">
        <f>'220 Antiga Silvinho '!$F220-10</f>
        <v>-10</v>
      </c>
      <c r="H220" s="135"/>
      <c r="I220" s="135"/>
      <c r="J220" s="135"/>
      <c r="K220" s="135"/>
      <c r="L220" s="135"/>
      <c r="M220" s="135"/>
      <c r="N220" s="135"/>
    </row>
    <row r="221" ht="14.25" hidden="1" customHeight="1">
      <c r="B221" s="162"/>
      <c r="C221" s="141" t="str">
        <f t="shared" si="1"/>
        <v>12-1899</v>
      </c>
      <c r="D221" s="54" t="str">
        <f t="shared" si="10"/>
        <v/>
      </c>
      <c r="E221" s="54"/>
      <c r="F221" s="54">
        <f>'220 Antiga Silvinho '!$E221-'220 Antiga Silvinho '!$D221</f>
        <v>0</v>
      </c>
      <c r="G221" s="54">
        <f>'220 Antiga Silvinho '!$F221-10</f>
        <v>-10</v>
      </c>
      <c r="H221" s="135"/>
      <c r="I221" s="135"/>
      <c r="J221" s="135"/>
      <c r="K221" s="135"/>
      <c r="L221" s="135"/>
      <c r="M221" s="135"/>
      <c r="N221" s="135"/>
    </row>
    <row r="222" ht="14.25" hidden="1" customHeight="1">
      <c r="B222" s="162"/>
      <c r="C222" s="141" t="str">
        <f t="shared" si="1"/>
        <v>12-1899</v>
      </c>
      <c r="D222" s="54" t="str">
        <f t="shared" si="10"/>
        <v/>
      </c>
      <c r="E222" s="54"/>
      <c r="F222" s="54">
        <f>'220 Antiga Silvinho '!$E222-'220 Antiga Silvinho '!$D222</f>
        <v>0</v>
      </c>
      <c r="G222" s="54">
        <f>'220 Antiga Silvinho '!$F222-10</f>
        <v>-10</v>
      </c>
      <c r="H222" s="135"/>
      <c r="I222" s="135"/>
      <c r="J222" s="135"/>
      <c r="K222" s="135"/>
      <c r="L222" s="135"/>
      <c r="M222" s="135"/>
      <c r="N222" s="135"/>
    </row>
    <row r="223" ht="14.25" hidden="1" customHeight="1">
      <c r="B223" s="162"/>
      <c r="C223" s="141" t="str">
        <f t="shared" si="1"/>
        <v>12-1899</v>
      </c>
      <c r="D223" s="54" t="str">
        <f t="shared" si="10"/>
        <v/>
      </c>
      <c r="E223" s="54"/>
      <c r="F223" s="54">
        <f>'220 Antiga Silvinho '!$E223-'220 Antiga Silvinho '!$D223</f>
        <v>0</v>
      </c>
      <c r="G223" s="54">
        <f>'220 Antiga Silvinho '!$F223-10</f>
        <v>-10</v>
      </c>
      <c r="H223" s="135"/>
      <c r="I223" s="135"/>
      <c r="J223" s="135"/>
      <c r="K223" s="135"/>
      <c r="L223" s="135"/>
      <c r="M223" s="135"/>
      <c r="N223" s="135"/>
    </row>
    <row r="224" ht="14.25" hidden="1" customHeight="1">
      <c r="B224" s="162"/>
      <c r="C224" s="141" t="str">
        <f t="shared" si="1"/>
        <v>12-1899</v>
      </c>
      <c r="D224" s="54" t="str">
        <f t="shared" si="10"/>
        <v/>
      </c>
      <c r="E224" s="54"/>
      <c r="F224" s="54">
        <f>'220 Antiga Silvinho '!$E224-'220 Antiga Silvinho '!$D224</f>
        <v>0</v>
      </c>
      <c r="G224" s="54">
        <f>'220 Antiga Silvinho '!$F224-10</f>
        <v>-10</v>
      </c>
      <c r="H224" s="135"/>
      <c r="I224" s="135"/>
      <c r="J224" s="135"/>
      <c r="K224" s="135"/>
      <c r="L224" s="135"/>
      <c r="M224" s="135"/>
      <c r="N224" s="135"/>
    </row>
    <row r="225" ht="14.25" hidden="1" customHeight="1">
      <c r="B225" s="162"/>
      <c r="C225" s="141" t="str">
        <f t="shared" si="1"/>
        <v>12-1899</v>
      </c>
      <c r="D225" s="54" t="str">
        <f t="shared" si="10"/>
        <v/>
      </c>
      <c r="E225" s="54"/>
      <c r="F225" s="54">
        <f>'220 Antiga Silvinho '!$E225-'220 Antiga Silvinho '!$D225</f>
        <v>0</v>
      </c>
      <c r="G225" s="54">
        <f>'220 Antiga Silvinho '!$F225-10</f>
        <v>-10</v>
      </c>
      <c r="H225" s="135"/>
      <c r="I225" s="135"/>
      <c r="J225" s="135"/>
      <c r="K225" s="135"/>
      <c r="L225" s="135"/>
      <c r="M225" s="135"/>
      <c r="N225" s="135"/>
    </row>
    <row r="226" ht="14.25" hidden="1" customHeight="1">
      <c r="B226" s="162"/>
      <c r="C226" s="141" t="str">
        <f t="shared" si="1"/>
        <v>12-1899</v>
      </c>
      <c r="D226" s="54" t="str">
        <f t="shared" si="10"/>
        <v/>
      </c>
      <c r="E226" s="54"/>
      <c r="F226" s="54">
        <f>'220 Antiga Silvinho '!$E226-'220 Antiga Silvinho '!$D226</f>
        <v>0</v>
      </c>
      <c r="G226" s="54">
        <f>'220 Antiga Silvinho '!$F226-10</f>
        <v>-10</v>
      </c>
      <c r="H226" s="135"/>
      <c r="I226" s="135"/>
      <c r="J226" s="135"/>
      <c r="K226" s="135"/>
      <c r="L226" s="135"/>
      <c r="M226" s="135"/>
      <c r="N226" s="135"/>
    </row>
    <row r="227" ht="14.25" hidden="1" customHeight="1">
      <c r="B227" s="162"/>
      <c r="C227" s="141" t="str">
        <f t="shared" si="1"/>
        <v>12-1899</v>
      </c>
      <c r="D227" s="54" t="str">
        <f t="shared" si="10"/>
        <v/>
      </c>
      <c r="E227" s="54"/>
      <c r="F227" s="54">
        <f>'220 Antiga Silvinho '!$E227-'220 Antiga Silvinho '!$D227</f>
        <v>0</v>
      </c>
      <c r="G227" s="54">
        <f>'220 Antiga Silvinho '!$F227-10</f>
        <v>-10</v>
      </c>
      <c r="H227" s="135"/>
      <c r="I227" s="135"/>
      <c r="J227" s="135"/>
      <c r="K227" s="135"/>
      <c r="L227" s="135"/>
      <c r="M227" s="135"/>
      <c r="N227" s="135"/>
    </row>
    <row r="228" ht="14.25" hidden="1" customHeight="1">
      <c r="B228" s="162"/>
      <c r="C228" s="141" t="str">
        <f t="shared" si="1"/>
        <v>12-1899</v>
      </c>
      <c r="D228" s="54" t="str">
        <f t="shared" si="10"/>
        <v/>
      </c>
      <c r="E228" s="54"/>
      <c r="F228" s="54">
        <f>'220 Antiga Silvinho '!$E228-'220 Antiga Silvinho '!$D228</f>
        <v>0</v>
      </c>
      <c r="G228" s="54">
        <f>'220 Antiga Silvinho '!$F228-10</f>
        <v>-10</v>
      </c>
      <c r="H228" s="135"/>
      <c r="I228" s="135"/>
      <c r="J228" s="135"/>
      <c r="K228" s="135"/>
      <c r="L228" s="135"/>
      <c r="M228" s="135"/>
      <c r="N228" s="135"/>
    </row>
    <row r="229" ht="14.25" hidden="1" customHeight="1">
      <c r="B229" s="162"/>
      <c r="C229" s="141" t="str">
        <f t="shared" si="1"/>
        <v>12-1899</v>
      </c>
      <c r="D229" s="54" t="str">
        <f t="shared" si="10"/>
        <v/>
      </c>
      <c r="E229" s="54"/>
      <c r="F229" s="54">
        <f>'220 Antiga Silvinho '!$E229-'220 Antiga Silvinho '!$D229</f>
        <v>0</v>
      </c>
      <c r="G229" s="54">
        <f>'220 Antiga Silvinho '!$F229-10</f>
        <v>-10</v>
      </c>
      <c r="H229" s="135"/>
      <c r="I229" s="135"/>
      <c r="J229" s="135"/>
      <c r="K229" s="135"/>
      <c r="L229" s="135"/>
      <c r="M229" s="135"/>
      <c r="N229" s="135"/>
    </row>
    <row r="230" ht="14.25" hidden="1" customHeight="1">
      <c r="B230" s="162"/>
      <c r="C230" s="141" t="str">
        <f t="shared" si="1"/>
        <v>12-1899</v>
      </c>
      <c r="D230" s="54" t="str">
        <f t="shared" si="10"/>
        <v/>
      </c>
      <c r="E230" s="54"/>
      <c r="F230" s="54">
        <f>'220 Antiga Silvinho '!$E230-'220 Antiga Silvinho '!$D230</f>
        <v>0</v>
      </c>
      <c r="G230" s="54">
        <f>'220 Antiga Silvinho '!$F230-10</f>
        <v>-10</v>
      </c>
      <c r="H230" s="135"/>
      <c r="I230" s="135"/>
      <c r="J230" s="135"/>
      <c r="K230" s="135"/>
      <c r="L230" s="135"/>
      <c r="M230" s="135"/>
      <c r="N230" s="135"/>
    </row>
    <row r="231" ht="14.25" hidden="1" customHeight="1">
      <c r="B231" s="162"/>
      <c r="C231" s="141" t="str">
        <f t="shared" si="1"/>
        <v>12-1899</v>
      </c>
      <c r="D231" s="54" t="str">
        <f t="shared" si="10"/>
        <v/>
      </c>
      <c r="E231" s="54"/>
      <c r="F231" s="54">
        <f>'220 Antiga Silvinho '!$E231-'220 Antiga Silvinho '!$D231</f>
        <v>0</v>
      </c>
      <c r="G231" s="54">
        <f>'220 Antiga Silvinho '!$F231-10</f>
        <v>-10</v>
      </c>
      <c r="H231" s="135"/>
      <c r="I231" s="135"/>
      <c r="J231" s="135"/>
      <c r="K231" s="135"/>
      <c r="L231" s="135"/>
      <c r="M231" s="135"/>
      <c r="N231" s="135"/>
    </row>
    <row r="232" ht="14.25" hidden="1" customHeight="1">
      <c r="B232" s="162"/>
      <c r="C232" s="141" t="str">
        <f t="shared" si="1"/>
        <v>12-1899</v>
      </c>
      <c r="D232" s="54" t="str">
        <f t="shared" si="10"/>
        <v/>
      </c>
      <c r="E232" s="54"/>
      <c r="F232" s="54">
        <f>'220 Antiga Silvinho '!$E232-'220 Antiga Silvinho '!$D232</f>
        <v>0</v>
      </c>
      <c r="G232" s="54">
        <f>'220 Antiga Silvinho '!$F232-10</f>
        <v>-10</v>
      </c>
      <c r="H232" s="135"/>
      <c r="I232" s="135"/>
      <c r="J232" s="135"/>
      <c r="K232" s="135"/>
      <c r="L232" s="135"/>
      <c r="M232" s="135"/>
      <c r="N232" s="135"/>
    </row>
    <row r="233" ht="14.25" hidden="1" customHeight="1">
      <c r="B233" s="162"/>
      <c r="C233" s="141" t="str">
        <f t="shared" si="1"/>
        <v>12-1899</v>
      </c>
      <c r="D233" s="54" t="str">
        <f t="shared" si="10"/>
        <v/>
      </c>
      <c r="E233" s="54"/>
      <c r="F233" s="54">
        <f>'220 Antiga Silvinho '!$E233-'220 Antiga Silvinho '!$D233</f>
        <v>0</v>
      </c>
      <c r="G233" s="54">
        <f>'220 Antiga Silvinho '!$F233-10</f>
        <v>-10</v>
      </c>
      <c r="H233" s="135"/>
      <c r="I233" s="135"/>
      <c r="J233" s="135"/>
      <c r="K233" s="135"/>
      <c r="L233" s="135"/>
      <c r="M233" s="135"/>
      <c r="N233" s="135"/>
    </row>
    <row r="234" ht="14.25" hidden="1" customHeight="1">
      <c r="B234" s="162"/>
      <c r="C234" s="141" t="str">
        <f t="shared" si="1"/>
        <v>12-1899</v>
      </c>
      <c r="D234" s="54" t="str">
        <f t="shared" si="10"/>
        <v/>
      </c>
      <c r="E234" s="54"/>
      <c r="F234" s="54">
        <f>'220 Antiga Silvinho '!$E234-'220 Antiga Silvinho '!$D234</f>
        <v>0</v>
      </c>
      <c r="G234" s="54">
        <f>'220 Antiga Silvinho '!$F234-10</f>
        <v>-10</v>
      </c>
      <c r="H234" s="135"/>
      <c r="I234" s="135"/>
      <c r="J234" s="135"/>
      <c r="K234" s="135"/>
      <c r="L234" s="135"/>
      <c r="M234" s="135"/>
      <c r="N234" s="135"/>
    </row>
    <row r="235" ht="14.25" hidden="1" customHeight="1">
      <c r="B235" s="162"/>
      <c r="C235" s="141" t="str">
        <f t="shared" si="1"/>
        <v>12-1899</v>
      </c>
      <c r="D235" s="54" t="str">
        <f t="shared" si="10"/>
        <v/>
      </c>
      <c r="E235" s="54"/>
      <c r="F235" s="54">
        <f>'220 Antiga Silvinho '!$E235-'220 Antiga Silvinho '!$D235</f>
        <v>0</v>
      </c>
      <c r="G235" s="54">
        <f>'220 Antiga Silvinho '!$F235-10</f>
        <v>-10</v>
      </c>
      <c r="H235" s="135"/>
      <c r="I235" s="135"/>
      <c r="J235" s="135"/>
      <c r="K235" s="135"/>
      <c r="L235" s="135"/>
      <c r="M235" s="135"/>
      <c r="N235" s="135"/>
    </row>
    <row r="236" ht="14.25" hidden="1" customHeight="1">
      <c r="B236" s="162"/>
      <c r="C236" s="141" t="str">
        <f t="shared" si="1"/>
        <v>12-1899</v>
      </c>
      <c r="D236" s="54" t="str">
        <f t="shared" si="10"/>
        <v/>
      </c>
      <c r="E236" s="54"/>
      <c r="F236" s="54">
        <f>'220 Antiga Silvinho '!$E236-'220 Antiga Silvinho '!$D236</f>
        <v>0</v>
      </c>
      <c r="G236" s="54">
        <f>'220 Antiga Silvinho '!$F236-10</f>
        <v>-10</v>
      </c>
      <c r="H236" s="135"/>
      <c r="I236" s="135"/>
      <c r="J236" s="135"/>
      <c r="K236" s="135"/>
      <c r="L236" s="135"/>
      <c r="M236" s="135"/>
      <c r="N236" s="135"/>
    </row>
    <row r="237" ht="14.25" hidden="1" customHeight="1">
      <c r="B237" s="162"/>
      <c r="C237" s="141" t="str">
        <f t="shared" si="1"/>
        <v>12-1899</v>
      </c>
      <c r="D237" s="54" t="str">
        <f t="shared" si="10"/>
        <v/>
      </c>
      <c r="E237" s="54"/>
      <c r="F237" s="54">
        <f>'220 Antiga Silvinho '!$E237-'220 Antiga Silvinho '!$D237</f>
        <v>0</v>
      </c>
      <c r="G237" s="54">
        <f>'220 Antiga Silvinho '!$F237-10</f>
        <v>-10</v>
      </c>
      <c r="H237" s="135"/>
      <c r="I237" s="135"/>
      <c r="J237" s="135"/>
      <c r="K237" s="135"/>
      <c r="L237" s="135"/>
      <c r="M237" s="135"/>
      <c r="N237" s="135"/>
    </row>
    <row r="238" ht="14.25" hidden="1" customHeight="1">
      <c r="B238" s="162"/>
      <c r="C238" s="141" t="str">
        <f t="shared" si="1"/>
        <v>12-1899</v>
      </c>
      <c r="D238" s="54" t="str">
        <f t="shared" si="10"/>
        <v/>
      </c>
      <c r="E238" s="54"/>
      <c r="F238" s="54">
        <f>'220 Antiga Silvinho '!$E238-'220 Antiga Silvinho '!$D238</f>
        <v>0</v>
      </c>
      <c r="G238" s="54">
        <f>'220 Antiga Silvinho '!$F238-10</f>
        <v>-10</v>
      </c>
      <c r="H238" s="135"/>
      <c r="I238" s="135"/>
      <c r="J238" s="135"/>
      <c r="K238" s="135"/>
      <c r="L238" s="135"/>
      <c r="M238" s="135"/>
      <c r="N238" s="135"/>
    </row>
    <row r="239" ht="14.25" hidden="1" customHeight="1">
      <c r="B239" s="162"/>
      <c r="C239" s="141" t="str">
        <f t="shared" si="1"/>
        <v>12-1899</v>
      </c>
      <c r="D239" s="54" t="str">
        <f t="shared" si="10"/>
        <v/>
      </c>
      <c r="E239" s="54"/>
      <c r="F239" s="54">
        <f>'220 Antiga Silvinho '!$E239-'220 Antiga Silvinho '!$D239</f>
        <v>0</v>
      </c>
      <c r="G239" s="54">
        <f>'220 Antiga Silvinho '!$F239-10</f>
        <v>-10</v>
      </c>
      <c r="H239" s="135"/>
      <c r="I239" s="135"/>
      <c r="J239" s="135"/>
      <c r="K239" s="135"/>
      <c r="L239" s="135"/>
      <c r="M239" s="135"/>
      <c r="N239" s="135"/>
    </row>
    <row r="240" ht="14.25" hidden="1" customHeight="1">
      <c r="B240" s="162"/>
      <c r="C240" s="141" t="str">
        <f t="shared" si="1"/>
        <v>12-1899</v>
      </c>
      <c r="D240" s="54" t="str">
        <f t="shared" si="10"/>
        <v/>
      </c>
      <c r="E240" s="54"/>
      <c r="F240" s="54">
        <f>'220 Antiga Silvinho '!$E240-'220 Antiga Silvinho '!$D240</f>
        <v>0</v>
      </c>
      <c r="G240" s="54">
        <f>'220 Antiga Silvinho '!$F240-10</f>
        <v>-10</v>
      </c>
      <c r="H240" s="135"/>
      <c r="I240" s="135"/>
      <c r="J240" s="135"/>
      <c r="K240" s="135"/>
      <c r="L240" s="135"/>
      <c r="M240" s="135"/>
      <c r="N240" s="135"/>
    </row>
    <row r="241" ht="14.25" hidden="1" customHeight="1">
      <c r="B241" s="162"/>
      <c r="C241" s="141" t="str">
        <f t="shared" si="1"/>
        <v>12-1899</v>
      </c>
      <c r="D241" s="54" t="str">
        <f t="shared" si="10"/>
        <v/>
      </c>
      <c r="E241" s="54"/>
      <c r="F241" s="54">
        <f>'220 Antiga Silvinho '!$E241-'220 Antiga Silvinho '!$D241</f>
        <v>0</v>
      </c>
      <c r="G241" s="54">
        <f>'220 Antiga Silvinho '!$F241-10</f>
        <v>-10</v>
      </c>
      <c r="H241" s="135"/>
      <c r="I241" s="135"/>
      <c r="J241" s="135"/>
      <c r="K241" s="135"/>
      <c r="L241" s="135"/>
      <c r="M241" s="135"/>
      <c r="N241" s="135"/>
    </row>
    <row r="242" ht="14.25" hidden="1" customHeight="1">
      <c r="B242" s="162"/>
      <c r="C242" s="141" t="str">
        <f t="shared" si="1"/>
        <v>12-1899</v>
      </c>
      <c r="D242" s="54" t="str">
        <f t="shared" si="10"/>
        <v/>
      </c>
      <c r="E242" s="54"/>
      <c r="F242" s="54">
        <f>'220 Antiga Silvinho '!$E242-'220 Antiga Silvinho '!$D242</f>
        <v>0</v>
      </c>
      <c r="G242" s="54">
        <f>'220 Antiga Silvinho '!$F242-10</f>
        <v>-10</v>
      </c>
      <c r="H242" s="135"/>
      <c r="I242" s="135"/>
      <c r="J242" s="135"/>
      <c r="K242" s="135"/>
      <c r="L242" s="135"/>
      <c r="M242" s="135"/>
      <c r="N242" s="135"/>
    </row>
    <row r="243" ht="14.25" hidden="1" customHeight="1">
      <c r="B243" s="162"/>
      <c r="C243" s="141" t="str">
        <f t="shared" si="1"/>
        <v>12-1899</v>
      </c>
      <c r="D243" s="54" t="str">
        <f t="shared" si="10"/>
        <v/>
      </c>
      <c r="E243" s="54"/>
      <c r="F243" s="54">
        <f>'220 Antiga Silvinho '!$E243-'220 Antiga Silvinho '!$D243</f>
        <v>0</v>
      </c>
      <c r="G243" s="54">
        <f>'220 Antiga Silvinho '!$F243-10</f>
        <v>-10</v>
      </c>
      <c r="H243" s="135"/>
      <c r="I243" s="135"/>
      <c r="J243" s="135"/>
      <c r="K243" s="135"/>
      <c r="L243" s="135"/>
      <c r="M243" s="135"/>
      <c r="N243" s="135"/>
    </row>
    <row r="244" ht="14.25" hidden="1" customHeight="1">
      <c r="B244" s="162"/>
      <c r="C244" s="141" t="str">
        <f t="shared" si="1"/>
        <v>12-1899</v>
      </c>
      <c r="D244" s="54" t="str">
        <f t="shared" si="10"/>
        <v/>
      </c>
      <c r="E244" s="54"/>
      <c r="F244" s="54">
        <f>'220 Antiga Silvinho '!$E244-'220 Antiga Silvinho '!$D244</f>
        <v>0</v>
      </c>
      <c r="G244" s="54">
        <f>'220 Antiga Silvinho '!$F244-10</f>
        <v>-10</v>
      </c>
      <c r="H244" s="135"/>
      <c r="I244" s="135"/>
      <c r="J244" s="135"/>
      <c r="K244" s="135"/>
      <c r="L244" s="135"/>
      <c r="M244" s="135"/>
      <c r="N244" s="135"/>
    </row>
    <row r="245" ht="14.25" hidden="1" customHeight="1">
      <c r="B245" s="162"/>
      <c r="C245" s="141" t="str">
        <f t="shared" si="1"/>
        <v>12-1899</v>
      </c>
      <c r="D245" s="54" t="str">
        <f t="shared" si="10"/>
        <v/>
      </c>
      <c r="E245" s="54"/>
      <c r="F245" s="54">
        <f>'220 Antiga Silvinho '!$E245-'220 Antiga Silvinho '!$D245</f>
        <v>0</v>
      </c>
      <c r="G245" s="54">
        <f>'220 Antiga Silvinho '!$F245-10</f>
        <v>-10</v>
      </c>
      <c r="H245" s="135"/>
      <c r="I245" s="135"/>
      <c r="J245" s="135"/>
      <c r="K245" s="135"/>
      <c r="L245" s="135"/>
      <c r="M245" s="135"/>
      <c r="N245" s="135"/>
    </row>
    <row r="246" ht="14.25" hidden="1" customHeight="1">
      <c r="B246" s="162"/>
      <c r="C246" s="141" t="str">
        <f t="shared" si="1"/>
        <v>12-1899</v>
      </c>
      <c r="D246" s="54" t="str">
        <f t="shared" si="10"/>
        <v/>
      </c>
      <c r="E246" s="54"/>
      <c r="F246" s="54">
        <f>'220 Antiga Silvinho '!$E246-'220 Antiga Silvinho '!$D246</f>
        <v>0</v>
      </c>
      <c r="G246" s="54">
        <f>'220 Antiga Silvinho '!$F246-10</f>
        <v>-10</v>
      </c>
      <c r="H246" s="135"/>
      <c r="I246" s="135"/>
      <c r="J246" s="135"/>
      <c r="K246" s="135"/>
      <c r="L246" s="135"/>
      <c r="M246" s="135"/>
      <c r="N246" s="135"/>
    </row>
    <row r="247" ht="14.25" hidden="1" customHeight="1">
      <c r="B247" s="162"/>
      <c r="C247" s="141" t="str">
        <f t="shared" si="1"/>
        <v>12-1899</v>
      </c>
      <c r="D247" s="54" t="str">
        <f t="shared" si="10"/>
        <v/>
      </c>
      <c r="E247" s="54"/>
      <c r="F247" s="54">
        <f>'220 Antiga Silvinho '!$E247-'220 Antiga Silvinho '!$D247</f>
        <v>0</v>
      </c>
      <c r="G247" s="54">
        <f>'220 Antiga Silvinho '!$F247-10</f>
        <v>-10</v>
      </c>
      <c r="H247" s="135"/>
      <c r="I247" s="135"/>
      <c r="J247" s="135"/>
      <c r="K247" s="135"/>
      <c r="L247" s="135"/>
      <c r="M247" s="135"/>
      <c r="N247" s="135"/>
    </row>
    <row r="248" ht="14.25" hidden="1" customHeight="1">
      <c r="B248" s="162"/>
      <c r="C248" s="141" t="str">
        <f t="shared" si="1"/>
        <v>12-1899</v>
      </c>
      <c r="D248" s="54" t="str">
        <f t="shared" si="10"/>
        <v/>
      </c>
      <c r="E248" s="54"/>
      <c r="F248" s="54">
        <f>'220 Antiga Silvinho '!$E248-'220 Antiga Silvinho '!$D248</f>
        <v>0</v>
      </c>
      <c r="G248" s="54">
        <f>'220 Antiga Silvinho '!$F248-10</f>
        <v>-10</v>
      </c>
      <c r="H248" s="135"/>
      <c r="I248" s="135"/>
      <c r="J248" s="135"/>
      <c r="K248" s="135"/>
      <c r="L248" s="135"/>
      <c r="M248" s="135"/>
      <c r="N248" s="135"/>
    </row>
    <row r="249" ht="14.25" hidden="1" customHeight="1">
      <c r="B249" s="162"/>
      <c r="C249" s="141" t="str">
        <f t="shared" si="1"/>
        <v>12-1899</v>
      </c>
      <c r="D249" s="54" t="str">
        <f t="shared" si="10"/>
        <v/>
      </c>
      <c r="E249" s="54"/>
      <c r="F249" s="54">
        <f>'220 Antiga Silvinho '!$E249-'220 Antiga Silvinho '!$D249</f>
        <v>0</v>
      </c>
      <c r="G249" s="54">
        <f>'220 Antiga Silvinho '!$F249-10</f>
        <v>-10</v>
      </c>
      <c r="H249" s="135"/>
      <c r="I249" s="135"/>
      <c r="J249" s="135"/>
      <c r="K249" s="135"/>
      <c r="L249" s="135"/>
      <c r="M249" s="135"/>
      <c r="N249" s="135"/>
    </row>
    <row r="250" ht="14.25" hidden="1" customHeight="1">
      <c r="B250" s="162"/>
      <c r="C250" s="141" t="str">
        <f t="shared" si="1"/>
        <v>12-1899</v>
      </c>
      <c r="D250" s="54" t="str">
        <f t="shared" si="10"/>
        <v/>
      </c>
      <c r="E250" s="54"/>
      <c r="F250" s="54">
        <f>'220 Antiga Silvinho '!$E250-'220 Antiga Silvinho '!$D250</f>
        <v>0</v>
      </c>
      <c r="G250" s="54">
        <f>'220 Antiga Silvinho '!$F250-10</f>
        <v>-10</v>
      </c>
      <c r="H250" s="135"/>
      <c r="I250" s="135"/>
      <c r="J250" s="135"/>
      <c r="K250" s="135"/>
      <c r="L250" s="135"/>
      <c r="M250" s="135"/>
      <c r="N250" s="135"/>
    </row>
    <row r="251" ht="14.25" hidden="1" customHeight="1">
      <c r="B251" s="162"/>
      <c r="C251" s="141" t="str">
        <f t="shared" si="1"/>
        <v>12-1899</v>
      </c>
      <c r="D251" s="54" t="str">
        <f t="shared" si="10"/>
        <v/>
      </c>
      <c r="E251" s="54"/>
      <c r="F251" s="54">
        <f>'220 Antiga Silvinho '!$E251-'220 Antiga Silvinho '!$D251</f>
        <v>0</v>
      </c>
      <c r="G251" s="54">
        <f>'220 Antiga Silvinho '!$F251-10</f>
        <v>-10</v>
      </c>
      <c r="H251" s="135"/>
      <c r="I251" s="135"/>
      <c r="J251" s="135"/>
      <c r="K251" s="135"/>
      <c r="L251" s="135"/>
      <c r="M251" s="135"/>
      <c r="N251" s="135"/>
    </row>
    <row r="252" ht="14.25" hidden="1" customHeight="1">
      <c r="B252" s="162"/>
      <c r="C252" s="141" t="str">
        <f t="shared" si="1"/>
        <v>12-1899</v>
      </c>
      <c r="D252" s="54" t="str">
        <f t="shared" si="10"/>
        <v/>
      </c>
      <c r="E252" s="54"/>
      <c r="F252" s="54">
        <f>'220 Antiga Silvinho '!$E252-'220 Antiga Silvinho '!$D252</f>
        <v>0</v>
      </c>
      <c r="G252" s="54">
        <f>'220 Antiga Silvinho '!$F252-10</f>
        <v>-10</v>
      </c>
      <c r="H252" s="135"/>
      <c r="I252" s="135"/>
      <c r="J252" s="135"/>
      <c r="K252" s="135"/>
      <c r="L252" s="135"/>
      <c r="M252" s="135"/>
      <c r="N252" s="135"/>
    </row>
    <row r="253" ht="14.25" hidden="1" customHeight="1">
      <c r="B253" s="162"/>
      <c r="C253" s="141" t="str">
        <f t="shared" si="1"/>
        <v>12-1899</v>
      </c>
      <c r="D253" s="54" t="str">
        <f t="shared" si="10"/>
        <v/>
      </c>
      <c r="E253" s="54"/>
      <c r="F253" s="54">
        <f>'220 Antiga Silvinho '!$E253-'220 Antiga Silvinho '!$D253</f>
        <v>0</v>
      </c>
      <c r="G253" s="54">
        <f>'220 Antiga Silvinho '!$F253-10</f>
        <v>-10</v>
      </c>
      <c r="H253" s="135"/>
      <c r="I253" s="135"/>
      <c r="J253" s="135"/>
      <c r="K253" s="135"/>
      <c r="L253" s="135"/>
      <c r="M253" s="135"/>
      <c r="N253" s="135"/>
    </row>
    <row r="254" ht="14.25" hidden="1" customHeight="1">
      <c r="B254" s="162"/>
      <c r="C254" s="141" t="str">
        <f t="shared" si="1"/>
        <v>12-1899</v>
      </c>
      <c r="D254" s="54" t="str">
        <f t="shared" si="10"/>
        <v/>
      </c>
      <c r="E254" s="54"/>
      <c r="F254" s="54">
        <f>'220 Antiga Silvinho '!$E254-'220 Antiga Silvinho '!$D254</f>
        <v>0</v>
      </c>
      <c r="G254" s="54">
        <f>'220 Antiga Silvinho '!$F254-10</f>
        <v>-10</v>
      </c>
      <c r="H254" s="135"/>
      <c r="I254" s="135"/>
      <c r="J254" s="135"/>
      <c r="K254" s="135"/>
      <c r="L254" s="135"/>
      <c r="M254" s="135"/>
      <c r="N254" s="135"/>
    </row>
    <row r="255" ht="14.25" hidden="1" customHeight="1">
      <c r="B255" s="162"/>
      <c r="C255" s="141" t="str">
        <f t="shared" si="1"/>
        <v>12-1899</v>
      </c>
      <c r="D255" s="54" t="str">
        <f t="shared" si="10"/>
        <v/>
      </c>
      <c r="E255" s="54"/>
      <c r="F255" s="54">
        <f>'220 Antiga Silvinho '!$E255-'220 Antiga Silvinho '!$D255</f>
        <v>0</v>
      </c>
      <c r="G255" s="54">
        <f>'220 Antiga Silvinho '!$F255-10</f>
        <v>-10</v>
      </c>
      <c r="H255" s="135"/>
      <c r="I255" s="135"/>
      <c r="J255" s="135"/>
      <c r="K255" s="135"/>
      <c r="L255" s="135"/>
      <c r="M255" s="135"/>
      <c r="N255" s="135"/>
    </row>
    <row r="256" ht="14.25" hidden="1" customHeight="1">
      <c r="B256" s="162"/>
      <c r="C256" s="141" t="str">
        <f t="shared" si="1"/>
        <v>12-1899</v>
      </c>
      <c r="D256" s="54" t="str">
        <f t="shared" si="10"/>
        <v/>
      </c>
      <c r="E256" s="54"/>
      <c r="F256" s="54">
        <f>'220 Antiga Silvinho '!$E256-'220 Antiga Silvinho '!$D256</f>
        <v>0</v>
      </c>
      <c r="G256" s="54">
        <f>'220 Antiga Silvinho '!$F256-10</f>
        <v>-10</v>
      </c>
      <c r="H256" s="135"/>
      <c r="I256" s="135"/>
      <c r="J256" s="135"/>
      <c r="K256" s="135"/>
      <c r="L256" s="135"/>
      <c r="M256" s="135"/>
      <c r="N256" s="135"/>
    </row>
    <row r="257" ht="14.25" hidden="1" customHeight="1">
      <c r="B257" s="162"/>
      <c r="C257" s="141" t="str">
        <f t="shared" si="1"/>
        <v>12-1899</v>
      </c>
      <c r="D257" s="54" t="str">
        <f t="shared" si="10"/>
        <v/>
      </c>
      <c r="E257" s="54"/>
      <c r="F257" s="54">
        <f>'220 Antiga Silvinho '!$E257-'220 Antiga Silvinho '!$D257</f>
        <v>0</v>
      </c>
      <c r="G257" s="54">
        <f>'220 Antiga Silvinho '!$F257-10</f>
        <v>-10</v>
      </c>
      <c r="H257" s="135"/>
      <c r="I257" s="135"/>
      <c r="J257" s="135"/>
      <c r="K257" s="135"/>
      <c r="L257" s="135"/>
      <c r="M257" s="135"/>
      <c r="N257" s="135"/>
    </row>
    <row r="258" ht="14.25" hidden="1" customHeight="1">
      <c r="B258" s="162"/>
      <c r="C258" s="141" t="str">
        <f t="shared" si="1"/>
        <v>12-1899</v>
      </c>
      <c r="D258" s="54" t="str">
        <f t="shared" si="10"/>
        <v/>
      </c>
      <c r="E258" s="54"/>
      <c r="F258" s="54">
        <f>'220 Antiga Silvinho '!$E258-'220 Antiga Silvinho '!$D258</f>
        <v>0</v>
      </c>
      <c r="G258" s="54">
        <f>'220 Antiga Silvinho '!$F258-10</f>
        <v>-10</v>
      </c>
      <c r="H258" s="135"/>
      <c r="I258" s="135"/>
      <c r="J258" s="135"/>
      <c r="K258" s="135"/>
      <c r="L258" s="135"/>
      <c r="M258" s="135"/>
      <c r="N258" s="135"/>
    </row>
    <row r="259" ht="14.25" hidden="1" customHeight="1">
      <c r="B259" s="162"/>
      <c r="C259" s="141" t="str">
        <f t="shared" si="1"/>
        <v>12-1899</v>
      </c>
      <c r="D259" s="54" t="str">
        <f t="shared" si="10"/>
        <v/>
      </c>
      <c r="E259" s="54"/>
      <c r="F259" s="54">
        <f>'220 Antiga Silvinho '!$E259-'220 Antiga Silvinho '!$D259</f>
        <v>0</v>
      </c>
      <c r="G259" s="54">
        <f>'220 Antiga Silvinho '!$F259-10</f>
        <v>-10</v>
      </c>
      <c r="H259" s="135"/>
      <c r="I259" s="135"/>
      <c r="J259" s="135"/>
      <c r="K259" s="135"/>
      <c r="L259" s="135"/>
      <c r="M259" s="135"/>
      <c r="N259" s="135"/>
    </row>
    <row r="260" ht="14.25" hidden="1" customHeight="1">
      <c r="B260" s="162"/>
      <c r="C260" s="141" t="str">
        <f t="shared" si="1"/>
        <v>12-1899</v>
      </c>
      <c r="D260" s="54" t="str">
        <f t="shared" si="10"/>
        <v/>
      </c>
      <c r="E260" s="54"/>
      <c r="F260" s="54">
        <f>'220 Antiga Silvinho '!$E260-'220 Antiga Silvinho '!$D260</f>
        <v>0</v>
      </c>
      <c r="G260" s="54">
        <f>'220 Antiga Silvinho '!$F260-10</f>
        <v>-10</v>
      </c>
      <c r="H260" s="135"/>
      <c r="I260" s="135"/>
      <c r="J260" s="135"/>
      <c r="K260" s="135"/>
      <c r="L260" s="135"/>
      <c r="M260" s="135"/>
      <c r="N260" s="135"/>
    </row>
    <row r="261" ht="14.25" hidden="1" customHeight="1">
      <c r="B261" s="162"/>
      <c r="C261" s="141" t="str">
        <f t="shared" si="1"/>
        <v>12-1899</v>
      </c>
      <c r="D261" s="54" t="str">
        <f t="shared" si="10"/>
        <v/>
      </c>
      <c r="E261" s="54"/>
      <c r="F261" s="54">
        <f>'220 Antiga Silvinho '!$E261-'220 Antiga Silvinho '!$D261</f>
        <v>0</v>
      </c>
      <c r="G261" s="54">
        <f>'220 Antiga Silvinho '!$F261-10</f>
        <v>-10</v>
      </c>
      <c r="H261" s="135"/>
      <c r="I261" s="135"/>
      <c r="J261" s="135"/>
      <c r="K261" s="135"/>
      <c r="L261" s="135"/>
      <c r="M261" s="135"/>
      <c r="N261" s="135"/>
    </row>
    <row r="262" ht="14.25" hidden="1" customHeight="1">
      <c r="B262" s="162"/>
      <c r="C262" s="141" t="str">
        <f t="shared" si="1"/>
        <v>12-1899</v>
      </c>
      <c r="D262" s="54" t="str">
        <f t="shared" si="10"/>
        <v/>
      </c>
      <c r="E262" s="54"/>
      <c r="F262" s="54">
        <f>'220 Antiga Silvinho '!$E262-'220 Antiga Silvinho '!$D262</f>
        <v>0</v>
      </c>
      <c r="G262" s="54">
        <f>'220 Antiga Silvinho '!$F262-10</f>
        <v>-10</v>
      </c>
      <c r="H262" s="135"/>
      <c r="I262" s="135"/>
      <c r="J262" s="135"/>
      <c r="K262" s="135"/>
      <c r="L262" s="135"/>
      <c r="M262" s="135"/>
      <c r="N262" s="135"/>
    </row>
    <row r="263" ht="14.25" hidden="1" customHeight="1">
      <c r="B263" s="162"/>
      <c r="C263" s="141" t="str">
        <f t="shared" si="1"/>
        <v>12-1899</v>
      </c>
      <c r="D263" s="54" t="str">
        <f t="shared" si="10"/>
        <v/>
      </c>
      <c r="E263" s="54"/>
      <c r="F263" s="54">
        <f>'220 Antiga Silvinho '!$E263-'220 Antiga Silvinho '!$D263</f>
        <v>0</v>
      </c>
      <c r="G263" s="54">
        <f>'220 Antiga Silvinho '!$F263-10</f>
        <v>-10</v>
      </c>
      <c r="H263" s="135"/>
      <c r="I263" s="135"/>
      <c r="J263" s="135"/>
      <c r="K263" s="135"/>
      <c r="L263" s="135"/>
      <c r="M263" s="135"/>
      <c r="N263" s="135"/>
    </row>
    <row r="264" ht="14.25" hidden="1" customHeight="1">
      <c r="B264" s="162"/>
      <c r="C264" s="141" t="str">
        <f t="shared" si="1"/>
        <v>12-1899</v>
      </c>
      <c r="D264" s="54" t="str">
        <f t="shared" si="10"/>
        <v/>
      </c>
      <c r="E264" s="54"/>
      <c r="F264" s="54">
        <f>'220 Antiga Silvinho '!$E264-'220 Antiga Silvinho '!$D264</f>
        <v>0</v>
      </c>
      <c r="G264" s="54">
        <f>'220 Antiga Silvinho '!$F264-10</f>
        <v>-10</v>
      </c>
      <c r="H264" s="135"/>
      <c r="I264" s="135"/>
      <c r="J264" s="135"/>
      <c r="K264" s="135"/>
      <c r="L264" s="135"/>
      <c r="M264" s="135"/>
      <c r="N264" s="135"/>
    </row>
    <row r="265" ht="14.25" hidden="1" customHeight="1">
      <c r="B265" s="162"/>
      <c r="C265" s="141" t="str">
        <f t="shared" si="1"/>
        <v>12-1899</v>
      </c>
      <c r="D265" s="54" t="str">
        <f t="shared" si="10"/>
        <v/>
      </c>
      <c r="E265" s="54"/>
      <c r="F265" s="54">
        <f>'220 Antiga Silvinho '!$E265-'220 Antiga Silvinho '!$D265</f>
        <v>0</v>
      </c>
      <c r="G265" s="54">
        <f>'220 Antiga Silvinho '!$F265-10</f>
        <v>-10</v>
      </c>
      <c r="H265" s="135"/>
      <c r="I265" s="135"/>
      <c r="J265" s="135"/>
      <c r="K265" s="135"/>
      <c r="L265" s="135"/>
      <c r="M265" s="135"/>
      <c r="N265" s="135"/>
    </row>
    <row r="266" ht="14.25" hidden="1" customHeight="1">
      <c r="B266" s="162"/>
      <c r="C266" s="141" t="str">
        <f t="shared" si="1"/>
        <v>12-1899</v>
      </c>
      <c r="D266" s="54" t="str">
        <f t="shared" si="10"/>
        <v/>
      </c>
      <c r="E266" s="54"/>
      <c r="F266" s="54">
        <f>'220 Antiga Silvinho '!$E266-'220 Antiga Silvinho '!$D266</f>
        <v>0</v>
      </c>
      <c r="G266" s="54">
        <f>'220 Antiga Silvinho '!$F266-10</f>
        <v>-10</v>
      </c>
      <c r="H266" s="135"/>
      <c r="I266" s="135"/>
      <c r="J266" s="135"/>
      <c r="K266" s="135"/>
      <c r="L266" s="135"/>
      <c r="M266" s="135"/>
      <c r="N266" s="135"/>
    </row>
    <row r="267" ht="14.25" hidden="1" customHeight="1">
      <c r="B267" s="162"/>
      <c r="C267" s="141" t="str">
        <f t="shared" si="1"/>
        <v>12-1899</v>
      </c>
      <c r="D267" s="54" t="str">
        <f t="shared" si="10"/>
        <v/>
      </c>
      <c r="E267" s="54"/>
      <c r="F267" s="54">
        <f>'220 Antiga Silvinho '!$E267-'220 Antiga Silvinho '!$D267</f>
        <v>0</v>
      </c>
      <c r="G267" s="54">
        <f>'220 Antiga Silvinho '!$F267-10</f>
        <v>-10</v>
      </c>
      <c r="H267" s="135"/>
      <c r="I267" s="135"/>
      <c r="J267" s="135"/>
      <c r="K267" s="135"/>
      <c r="L267" s="135"/>
      <c r="M267" s="135"/>
      <c r="N267" s="135"/>
    </row>
    <row r="268" ht="14.25" hidden="1" customHeight="1">
      <c r="B268" s="162"/>
      <c r="C268" s="141" t="str">
        <f t="shared" si="1"/>
        <v>12-1899</v>
      </c>
      <c r="D268" s="54" t="str">
        <f t="shared" si="10"/>
        <v/>
      </c>
      <c r="E268" s="54"/>
      <c r="F268" s="54">
        <f>'220 Antiga Silvinho '!$E268-'220 Antiga Silvinho '!$D268</f>
        <v>0</v>
      </c>
      <c r="G268" s="54">
        <f>'220 Antiga Silvinho '!$F268-10</f>
        <v>-10</v>
      </c>
      <c r="H268" s="135"/>
      <c r="I268" s="135"/>
      <c r="J268" s="135"/>
      <c r="K268" s="135"/>
      <c r="L268" s="135"/>
      <c r="M268" s="135"/>
      <c r="N268" s="135"/>
    </row>
    <row r="269" ht="14.25" hidden="1" customHeight="1">
      <c r="B269" s="162"/>
      <c r="C269" s="141" t="str">
        <f t="shared" si="1"/>
        <v>12-1899</v>
      </c>
      <c r="D269" s="54" t="str">
        <f t="shared" si="10"/>
        <v/>
      </c>
      <c r="E269" s="54"/>
      <c r="F269" s="54">
        <f>'220 Antiga Silvinho '!$E269-'220 Antiga Silvinho '!$D269</f>
        <v>0</v>
      </c>
      <c r="G269" s="54">
        <f>'220 Antiga Silvinho '!$F269-10</f>
        <v>-10</v>
      </c>
      <c r="H269" s="135"/>
      <c r="I269" s="135"/>
      <c r="J269" s="135"/>
      <c r="K269" s="135"/>
      <c r="L269" s="135"/>
      <c r="M269" s="135"/>
      <c r="N269" s="135"/>
    </row>
    <row r="270" ht="14.25" hidden="1" customHeight="1">
      <c r="B270" s="162"/>
      <c r="C270" s="141" t="str">
        <f t="shared" si="1"/>
        <v>12-1899</v>
      </c>
      <c r="D270" s="54" t="str">
        <f t="shared" si="10"/>
        <v/>
      </c>
      <c r="E270" s="54"/>
      <c r="F270" s="54">
        <f>'220 Antiga Silvinho '!$E270-'220 Antiga Silvinho '!$D270</f>
        <v>0</v>
      </c>
      <c r="G270" s="54">
        <f>'220 Antiga Silvinho '!$F270-10</f>
        <v>-10</v>
      </c>
      <c r="H270" s="135"/>
      <c r="I270" s="135"/>
      <c r="J270" s="135"/>
      <c r="K270" s="135"/>
      <c r="L270" s="135"/>
      <c r="M270" s="135"/>
      <c r="N270" s="135"/>
    </row>
    <row r="271" ht="14.25" hidden="1" customHeight="1">
      <c r="B271" s="162"/>
      <c r="C271" s="141" t="str">
        <f t="shared" si="1"/>
        <v>12-1899</v>
      </c>
      <c r="D271" s="54" t="str">
        <f t="shared" si="10"/>
        <v/>
      </c>
      <c r="E271" s="54"/>
      <c r="F271" s="54">
        <f>'220 Antiga Silvinho '!$E271-'220 Antiga Silvinho '!$D271</f>
        <v>0</v>
      </c>
      <c r="G271" s="54">
        <f>'220 Antiga Silvinho '!$F271-10</f>
        <v>-10</v>
      </c>
      <c r="H271" s="135"/>
      <c r="I271" s="135"/>
      <c r="J271" s="135"/>
      <c r="K271" s="135"/>
      <c r="L271" s="135"/>
      <c r="M271" s="135"/>
      <c r="N271" s="135"/>
    </row>
    <row r="272" ht="14.25" hidden="1" customHeight="1">
      <c r="B272" s="162"/>
      <c r="C272" s="141" t="str">
        <f t="shared" si="1"/>
        <v>12-1899</v>
      </c>
      <c r="D272" s="54" t="str">
        <f t="shared" si="10"/>
        <v/>
      </c>
      <c r="E272" s="54"/>
      <c r="F272" s="54">
        <f>'220 Antiga Silvinho '!$E272-'220 Antiga Silvinho '!$D272</f>
        <v>0</v>
      </c>
      <c r="G272" s="54">
        <f>'220 Antiga Silvinho '!$F272-10</f>
        <v>-10</v>
      </c>
      <c r="H272" s="135"/>
      <c r="I272" s="135"/>
      <c r="J272" s="135"/>
      <c r="K272" s="135"/>
      <c r="L272" s="135"/>
      <c r="M272" s="135"/>
      <c r="N272" s="135"/>
    </row>
    <row r="273" ht="14.25" hidden="1" customHeight="1">
      <c r="B273" s="162"/>
      <c r="C273" s="141" t="str">
        <f t="shared" si="1"/>
        <v>12-1899</v>
      </c>
      <c r="D273" s="54" t="str">
        <f t="shared" si="10"/>
        <v/>
      </c>
      <c r="E273" s="54"/>
      <c r="F273" s="54">
        <f>'220 Antiga Silvinho '!$E273-'220 Antiga Silvinho '!$D273</f>
        <v>0</v>
      </c>
      <c r="G273" s="54">
        <f>'220 Antiga Silvinho '!$F273-10</f>
        <v>-10</v>
      </c>
      <c r="H273" s="135"/>
      <c r="I273" s="135"/>
      <c r="J273" s="135"/>
      <c r="K273" s="135"/>
      <c r="L273" s="135"/>
      <c r="M273" s="135"/>
      <c r="N273" s="135"/>
    </row>
    <row r="274" ht="14.25" hidden="1" customHeight="1">
      <c r="B274" s="162"/>
      <c r="C274" s="141" t="str">
        <f t="shared" si="1"/>
        <v>12-1899</v>
      </c>
      <c r="D274" s="54" t="str">
        <f t="shared" si="10"/>
        <v/>
      </c>
      <c r="E274" s="54"/>
      <c r="F274" s="54">
        <f>'220 Antiga Silvinho '!$E274-'220 Antiga Silvinho '!$D274</f>
        <v>0</v>
      </c>
      <c r="G274" s="54">
        <f>'220 Antiga Silvinho '!$F274-10</f>
        <v>-10</v>
      </c>
      <c r="H274" s="135"/>
      <c r="I274" s="135"/>
      <c r="J274" s="135"/>
      <c r="K274" s="135"/>
      <c r="L274" s="135"/>
      <c r="M274" s="135"/>
      <c r="N274" s="135"/>
    </row>
    <row r="275" ht="14.25" hidden="1" customHeight="1">
      <c r="B275" s="162"/>
      <c r="C275" s="141" t="str">
        <f t="shared" si="1"/>
        <v>12-1899</v>
      </c>
      <c r="D275" s="54" t="str">
        <f t="shared" si="10"/>
        <v/>
      </c>
      <c r="E275" s="54"/>
      <c r="F275" s="54">
        <f>'220 Antiga Silvinho '!$E275-'220 Antiga Silvinho '!$D275</f>
        <v>0</v>
      </c>
      <c r="G275" s="54">
        <f>'220 Antiga Silvinho '!$F275-10</f>
        <v>-10</v>
      </c>
      <c r="H275" s="135"/>
      <c r="I275" s="135"/>
      <c r="J275" s="135"/>
      <c r="K275" s="135"/>
      <c r="L275" s="135"/>
      <c r="M275" s="135"/>
      <c r="N275" s="135"/>
    </row>
    <row r="276" ht="14.25" hidden="1" customHeight="1">
      <c r="B276" s="162"/>
      <c r="C276" s="141" t="str">
        <f t="shared" si="1"/>
        <v>12-1899</v>
      </c>
      <c r="D276" s="54" t="str">
        <f t="shared" si="10"/>
        <v/>
      </c>
      <c r="E276" s="54"/>
      <c r="F276" s="54">
        <f>'220 Antiga Silvinho '!$E276-'220 Antiga Silvinho '!$D276</f>
        <v>0</v>
      </c>
      <c r="G276" s="54">
        <f>'220 Antiga Silvinho '!$F276-10</f>
        <v>-10</v>
      </c>
      <c r="H276" s="135"/>
      <c r="I276" s="135"/>
      <c r="J276" s="135"/>
      <c r="K276" s="135"/>
      <c r="L276" s="135"/>
      <c r="M276" s="135"/>
      <c r="N276" s="135"/>
    </row>
    <row r="277" ht="14.25" hidden="1" customHeight="1">
      <c r="B277" s="162"/>
      <c r="C277" s="141" t="str">
        <f t="shared" si="1"/>
        <v>12-1899</v>
      </c>
      <c r="D277" s="54" t="str">
        <f t="shared" si="10"/>
        <v/>
      </c>
      <c r="E277" s="54"/>
      <c r="F277" s="54">
        <f>'220 Antiga Silvinho '!$E277-'220 Antiga Silvinho '!$D277</f>
        <v>0</v>
      </c>
      <c r="G277" s="54">
        <f>'220 Antiga Silvinho '!$F277-10</f>
        <v>-10</v>
      </c>
      <c r="H277" s="135"/>
      <c r="I277" s="135"/>
      <c r="J277" s="135"/>
      <c r="K277" s="135"/>
      <c r="L277" s="135"/>
      <c r="M277" s="135"/>
      <c r="N277" s="135"/>
    </row>
    <row r="278" ht="14.25" hidden="1" customHeight="1">
      <c r="B278" s="162"/>
      <c r="C278" s="141" t="str">
        <f t="shared" si="1"/>
        <v>12-1899</v>
      </c>
      <c r="D278" s="54" t="str">
        <f t="shared" si="10"/>
        <v/>
      </c>
      <c r="E278" s="54"/>
      <c r="F278" s="54">
        <f>'220 Antiga Silvinho '!$E278-'220 Antiga Silvinho '!$D278</f>
        <v>0</v>
      </c>
      <c r="G278" s="54">
        <f>'220 Antiga Silvinho '!$F278-10</f>
        <v>-10</v>
      </c>
      <c r="H278" s="135"/>
      <c r="I278" s="135"/>
      <c r="J278" s="135"/>
      <c r="K278" s="135"/>
      <c r="L278" s="135"/>
      <c r="M278" s="135"/>
      <c r="N278" s="135"/>
    </row>
    <row r="279" ht="14.25" hidden="1" customHeight="1">
      <c r="B279" s="162"/>
      <c r="C279" s="141" t="str">
        <f t="shared" si="1"/>
        <v>12-1899</v>
      </c>
      <c r="D279" s="54" t="str">
        <f t="shared" si="10"/>
        <v/>
      </c>
      <c r="E279" s="54"/>
      <c r="F279" s="54">
        <f>'220 Antiga Silvinho '!$E279-'220 Antiga Silvinho '!$D279</f>
        <v>0</v>
      </c>
      <c r="G279" s="54">
        <f>'220 Antiga Silvinho '!$F279-10</f>
        <v>-10</v>
      </c>
      <c r="H279" s="135"/>
      <c r="I279" s="135"/>
      <c r="J279" s="135"/>
      <c r="K279" s="135"/>
      <c r="L279" s="135"/>
      <c r="M279" s="135"/>
      <c r="N279" s="135"/>
    </row>
    <row r="280" ht="14.25" hidden="1" customHeight="1">
      <c r="B280" s="162"/>
      <c r="C280" s="141" t="str">
        <f t="shared" si="1"/>
        <v>12-1899</v>
      </c>
      <c r="D280" s="54" t="str">
        <f t="shared" si="10"/>
        <v/>
      </c>
      <c r="E280" s="54"/>
      <c r="F280" s="54">
        <f>'220 Antiga Silvinho '!$E280-'220 Antiga Silvinho '!$D280</f>
        <v>0</v>
      </c>
      <c r="G280" s="54">
        <f>'220 Antiga Silvinho '!$F280-10</f>
        <v>-10</v>
      </c>
      <c r="H280" s="135"/>
      <c r="I280" s="135"/>
      <c r="J280" s="135"/>
      <c r="K280" s="135"/>
      <c r="L280" s="135"/>
      <c r="M280" s="135"/>
      <c r="N280" s="135"/>
    </row>
    <row r="281" ht="14.25" hidden="1" customHeight="1">
      <c r="B281" s="162"/>
      <c r="C281" s="141" t="str">
        <f t="shared" si="1"/>
        <v>12-1899</v>
      </c>
      <c r="D281" s="54" t="str">
        <f t="shared" si="10"/>
        <v/>
      </c>
      <c r="E281" s="54"/>
      <c r="F281" s="54">
        <f>'220 Antiga Silvinho '!$E281-'220 Antiga Silvinho '!$D281</f>
        <v>0</v>
      </c>
      <c r="G281" s="54">
        <f>'220 Antiga Silvinho '!$F281-10</f>
        <v>-10</v>
      </c>
      <c r="H281" s="135"/>
      <c r="I281" s="135"/>
      <c r="J281" s="135"/>
      <c r="K281" s="135"/>
      <c r="L281" s="135"/>
      <c r="M281" s="135"/>
      <c r="N281" s="135"/>
    </row>
    <row r="282" ht="14.25" hidden="1" customHeight="1">
      <c r="B282" s="162"/>
      <c r="C282" s="141" t="str">
        <f t="shared" si="1"/>
        <v>12-1899</v>
      </c>
      <c r="D282" s="54" t="str">
        <f t="shared" si="10"/>
        <v/>
      </c>
      <c r="E282" s="54"/>
      <c r="F282" s="54">
        <f>'220 Antiga Silvinho '!$E282-'220 Antiga Silvinho '!$D282</f>
        <v>0</v>
      </c>
      <c r="G282" s="54">
        <f>'220 Antiga Silvinho '!$F282-10</f>
        <v>-10</v>
      </c>
      <c r="H282" s="135"/>
      <c r="I282" s="135"/>
      <c r="J282" s="135"/>
      <c r="K282" s="135"/>
      <c r="L282" s="135"/>
      <c r="M282" s="135"/>
      <c r="N282" s="135"/>
    </row>
    <row r="283" ht="14.25" hidden="1" customHeight="1">
      <c r="B283" s="162"/>
      <c r="C283" s="141" t="str">
        <f t="shared" si="1"/>
        <v>12-1899</v>
      </c>
      <c r="D283" s="54" t="str">
        <f t="shared" si="10"/>
        <v/>
      </c>
      <c r="E283" s="54"/>
      <c r="F283" s="54">
        <f>'220 Antiga Silvinho '!$E283-'220 Antiga Silvinho '!$D283</f>
        <v>0</v>
      </c>
      <c r="G283" s="54">
        <f>'220 Antiga Silvinho '!$F283-10</f>
        <v>-10</v>
      </c>
      <c r="H283" s="135"/>
      <c r="I283" s="135"/>
      <c r="J283" s="135"/>
      <c r="K283" s="135"/>
      <c r="L283" s="135"/>
      <c r="M283" s="135"/>
      <c r="N283" s="135"/>
    </row>
    <row r="284" ht="14.25" hidden="1" customHeight="1">
      <c r="B284" s="162"/>
      <c r="C284" s="141" t="str">
        <f t="shared" si="1"/>
        <v>12-1899</v>
      </c>
      <c r="D284" s="54" t="str">
        <f t="shared" si="10"/>
        <v/>
      </c>
      <c r="E284" s="54"/>
      <c r="F284" s="54">
        <f>'220 Antiga Silvinho '!$E284-'220 Antiga Silvinho '!$D284</f>
        <v>0</v>
      </c>
      <c r="G284" s="54">
        <f>'220 Antiga Silvinho '!$F284-10</f>
        <v>-10</v>
      </c>
      <c r="H284" s="135"/>
      <c r="I284" s="135"/>
      <c r="J284" s="135"/>
      <c r="K284" s="135"/>
      <c r="L284" s="135"/>
      <c r="M284" s="135"/>
      <c r="N284" s="135"/>
    </row>
    <row r="285" ht="14.25" hidden="1" customHeight="1">
      <c r="B285" s="162"/>
      <c r="C285" s="141" t="str">
        <f t="shared" si="1"/>
        <v>12-1899</v>
      </c>
      <c r="D285" s="54" t="str">
        <f t="shared" si="10"/>
        <v/>
      </c>
      <c r="E285" s="54"/>
      <c r="F285" s="54">
        <f>'220 Antiga Silvinho '!$E285-'220 Antiga Silvinho '!$D285</f>
        <v>0</v>
      </c>
      <c r="G285" s="54">
        <f>'220 Antiga Silvinho '!$F285-10</f>
        <v>-10</v>
      </c>
      <c r="H285" s="135"/>
      <c r="I285" s="135"/>
      <c r="J285" s="135"/>
      <c r="K285" s="135"/>
      <c r="L285" s="135"/>
      <c r="M285" s="135"/>
      <c r="N285" s="135"/>
    </row>
    <row r="286" ht="14.25" hidden="1" customHeight="1">
      <c r="B286" s="162"/>
      <c r="C286" s="141" t="str">
        <f t="shared" si="1"/>
        <v>12-1899</v>
      </c>
      <c r="D286" s="54" t="str">
        <f t="shared" si="10"/>
        <v/>
      </c>
      <c r="E286" s="54"/>
      <c r="F286" s="54">
        <f>'220 Antiga Silvinho '!$E286-'220 Antiga Silvinho '!$D286</f>
        <v>0</v>
      </c>
      <c r="G286" s="54">
        <f>'220 Antiga Silvinho '!$F286-10</f>
        <v>-10</v>
      </c>
      <c r="H286" s="135"/>
      <c r="I286" s="135"/>
      <c r="J286" s="135"/>
      <c r="K286" s="135"/>
      <c r="L286" s="135"/>
      <c r="M286" s="135"/>
      <c r="N286" s="135"/>
    </row>
    <row r="287" ht="14.25" hidden="1" customHeight="1">
      <c r="B287" s="162"/>
      <c r="C287" s="141" t="str">
        <f t="shared" si="1"/>
        <v>12-1899</v>
      </c>
      <c r="D287" s="54" t="str">
        <f t="shared" si="10"/>
        <v/>
      </c>
      <c r="E287" s="54"/>
      <c r="F287" s="54">
        <f>'220 Antiga Silvinho '!$E287-'220 Antiga Silvinho '!$D287</f>
        <v>0</v>
      </c>
      <c r="G287" s="54">
        <f>'220 Antiga Silvinho '!$F287-10</f>
        <v>-10</v>
      </c>
      <c r="H287" s="135"/>
      <c r="I287" s="135"/>
      <c r="J287" s="135"/>
      <c r="K287" s="135"/>
      <c r="L287" s="135"/>
      <c r="M287" s="135"/>
      <c r="N287" s="135"/>
    </row>
    <row r="288" ht="14.25" hidden="1" customHeight="1">
      <c r="B288" s="162"/>
      <c r="C288" s="141" t="str">
        <f t="shared" si="1"/>
        <v>12-1899</v>
      </c>
      <c r="D288" s="54" t="str">
        <f t="shared" si="10"/>
        <v/>
      </c>
      <c r="E288" s="54"/>
      <c r="F288" s="54">
        <f>'220 Antiga Silvinho '!$E288-'220 Antiga Silvinho '!$D288</f>
        <v>0</v>
      </c>
      <c r="G288" s="54">
        <f>'220 Antiga Silvinho '!$F288-10</f>
        <v>-10</v>
      </c>
      <c r="H288" s="135"/>
      <c r="I288" s="135"/>
      <c r="J288" s="135"/>
      <c r="K288" s="135"/>
      <c r="L288" s="135"/>
      <c r="M288" s="135"/>
      <c r="N288" s="135"/>
    </row>
    <row r="289" ht="14.25" hidden="1" customHeight="1">
      <c r="B289" s="162"/>
      <c r="C289" s="141" t="str">
        <f t="shared" si="1"/>
        <v>12-1899</v>
      </c>
      <c r="D289" s="54" t="str">
        <f t="shared" si="10"/>
        <v/>
      </c>
      <c r="E289" s="54"/>
      <c r="F289" s="54">
        <f>'220 Antiga Silvinho '!$E289-'220 Antiga Silvinho '!$D289</f>
        <v>0</v>
      </c>
      <c r="G289" s="54">
        <f>'220 Antiga Silvinho '!$F289-10</f>
        <v>-10</v>
      </c>
      <c r="H289" s="135"/>
      <c r="I289" s="135"/>
      <c r="J289" s="135"/>
      <c r="K289" s="135"/>
      <c r="L289" s="135"/>
      <c r="M289" s="135"/>
      <c r="N289" s="135"/>
    </row>
    <row r="290" ht="14.25" hidden="1" customHeight="1">
      <c r="B290" s="162"/>
      <c r="C290" s="141" t="str">
        <f t="shared" si="1"/>
        <v>12-1899</v>
      </c>
      <c r="D290" s="54" t="str">
        <f t="shared" si="10"/>
        <v/>
      </c>
      <c r="E290" s="54"/>
      <c r="F290" s="54">
        <f>'220 Antiga Silvinho '!$E290-'220 Antiga Silvinho '!$D290</f>
        <v>0</v>
      </c>
      <c r="G290" s="54">
        <f>'220 Antiga Silvinho '!$F290-10</f>
        <v>-10</v>
      </c>
      <c r="H290" s="135"/>
      <c r="I290" s="135"/>
      <c r="J290" s="135"/>
      <c r="K290" s="135"/>
      <c r="L290" s="135"/>
      <c r="M290" s="135"/>
      <c r="N290" s="135"/>
    </row>
    <row r="291" ht="14.25" hidden="1" customHeight="1">
      <c r="B291" s="162"/>
      <c r="C291" s="141" t="str">
        <f t="shared" si="1"/>
        <v>12-1899</v>
      </c>
      <c r="D291" s="54" t="str">
        <f t="shared" si="10"/>
        <v/>
      </c>
      <c r="E291" s="54"/>
      <c r="F291" s="54">
        <f>'220 Antiga Silvinho '!$E291-'220 Antiga Silvinho '!$D291</f>
        <v>0</v>
      </c>
      <c r="G291" s="54">
        <f>'220 Antiga Silvinho '!$F291-10</f>
        <v>-10</v>
      </c>
      <c r="H291" s="135"/>
      <c r="I291" s="135"/>
      <c r="J291" s="135"/>
      <c r="K291" s="135"/>
      <c r="L291" s="135"/>
      <c r="M291" s="135"/>
      <c r="N291" s="135"/>
    </row>
    <row r="292" ht="14.25" hidden="1" customHeight="1">
      <c r="B292" s="162"/>
      <c r="C292" s="141" t="str">
        <f t="shared" si="1"/>
        <v>12-1899</v>
      </c>
      <c r="D292" s="54" t="str">
        <f t="shared" si="10"/>
        <v/>
      </c>
      <c r="E292" s="54"/>
      <c r="F292" s="54">
        <f>'220 Antiga Silvinho '!$E292-'220 Antiga Silvinho '!$D292</f>
        <v>0</v>
      </c>
      <c r="G292" s="54">
        <f>'220 Antiga Silvinho '!$F292-10</f>
        <v>-10</v>
      </c>
      <c r="H292" s="135"/>
      <c r="I292" s="135"/>
      <c r="J292" s="135"/>
      <c r="K292" s="135"/>
      <c r="L292" s="135"/>
      <c r="M292" s="135"/>
      <c r="N292" s="135"/>
    </row>
    <row r="293" ht="14.25" hidden="1" customHeight="1">
      <c r="B293" s="162"/>
      <c r="C293" s="141" t="str">
        <f t="shared" si="1"/>
        <v>12-1899</v>
      </c>
      <c r="D293" s="54" t="str">
        <f t="shared" si="10"/>
        <v/>
      </c>
      <c r="E293" s="54"/>
      <c r="F293" s="54">
        <f>'220 Antiga Silvinho '!$E293-'220 Antiga Silvinho '!$D293</f>
        <v>0</v>
      </c>
      <c r="G293" s="54">
        <f>'220 Antiga Silvinho '!$F293-10</f>
        <v>-10</v>
      </c>
      <c r="H293" s="135"/>
      <c r="I293" s="135"/>
      <c r="J293" s="135"/>
      <c r="K293" s="135"/>
      <c r="L293" s="135"/>
      <c r="M293" s="135"/>
      <c r="N293" s="135"/>
    </row>
    <row r="294" ht="14.25" hidden="1" customHeight="1">
      <c r="B294" s="162"/>
      <c r="C294" s="141" t="str">
        <f t="shared" si="1"/>
        <v>12-1899</v>
      </c>
      <c r="D294" s="54" t="str">
        <f t="shared" si="10"/>
        <v/>
      </c>
      <c r="E294" s="54"/>
      <c r="F294" s="54">
        <f>'220 Antiga Silvinho '!$E294-'220 Antiga Silvinho '!$D294</f>
        <v>0</v>
      </c>
      <c r="G294" s="54">
        <f>'220 Antiga Silvinho '!$F294-10</f>
        <v>-10</v>
      </c>
      <c r="H294" s="135"/>
      <c r="I294" s="135"/>
      <c r="J294" s="135"/>
      <c r="K294" s="135"/>
      <c r="L294" s="135"/>
      <c r="M294" s="135"/>
      <c r="N294" s="135"/>
    </row>
    <row r="295" ht="14.25" hidden="1" customHeight="1">
      <c r="B295" s="162"/>
      <c r="C295" s="141" t="str">
        <f t="shared" si="1"/>
        <v>12-1899</v>
      </c>
      <c r="D295" s="54" t="str">
        <f t="shared" si="10"/>
        <v/>
      </c>
      <c r="E295" s="54"/>
      <c r="F295" s="54">
        <f>'220 Antiga Silvinho '!$E295-'220 Antiga Silvinho '!$D295</f>
        <v>0</v>
      </c>
      <c r="G295" s="54">
        <f>'220 Antiga Silvinho '!$F295-10</f>
        <v>-10</v>
      </c>
      <c r="H295" s="135"/>
      <c r="I295" s="135"/>
      <c r="J295" s="135"/>
      <c r="K295" s="135"/>
      <c r="L295" s="135"/>
      <c r="M295" s="135"/>
      <c r="N295" s="135"/>
    </row>
    <row r="296" ht="14.25" hidden="1" customHeight="1">
      <c r="B296" s="162"/>
      <c r="C296" s="141" t="str">
        <f t="shared" si="1"/>
        <v>12-1899</v>
      </c>
      <c r="D296" s="54" t="str">
        <f t="shared" si="10"/>
        <v/>
      </c>
      <c r="E296" s="54"/>
      <c r="F296" s="54">
        <f>'220 Antiga Silvinho '!$E296-'220 Antiga Silvinho '!$D296</f>
        <v>0</v>
      </c>
      <c r="G296" s="54">
        <f>'220 Antiga Silvinho '!$F296-10</f>
        <v>-10</v>
      </c>
      <c r="H296" s="135"/>
      <c r="I296" s="135"/>
      <c r="J296" s="135"/>
      <c r="K296" s="135"/>
      <c r="L296" s="135"/>
      <c r="M296" s="135"/>
      <c r="N296" s="135"/>
    </row>
    <row r="297" ht="14.25" hidden="1" customHeight="1">
      <c r="B297" s="162"/>
      <c r="C297" s="141" t="str">
        <f t="shared" si="1"/>
        <v>12-1899</v>
      </c>
      <c r="D297" s="54" t="str">
        <f t="shared" si="10"/>
        <v/>
      </c>
      <c r="E297" s="54"/>
      <c r="F297" s="54">
        <f>'220 Antiga Silvinho '!$E297-'220 Antiga Silvinho '!$D297</f>
        <v>0</v>
      </c>
      <c r="G297" s="54">
        <f>'220 Antiga Silvinho '!$F297-10</f>
        <v>-10</v>
      </c>
      <c r="H297" s="135"/>
      <c r="I297" s="135"/>
      <c r="J297" s="135"/>
      <c r="K297" s="135"/>
      <c r="L297" s="135"/>
      <c r="M297" s="135"/>
      <c r="N297" s="135"/>
    </row>
    <row r="298" ht="14.25" hidden="1" customHeight="1">
      <c r="B298" s="162"/>
      <c r="C298" s="141" t="str">
        <f t="shared" si="1"/>
        <v>12-1899</v>
      </c>
      <c r="D298" s="54" t="str">
        <f t="shared" si="10"/>
        <v/>
      </c>
      <c r="E298" s="54"/>
      <c r="F298" s="54">
        <f>'220 Antiga Silvinho '!$E298-'220 Antiga Silvinho '!$D298</f>
        <v>0</v>
      </c>
      <c r="G298" s="54">
        <f>'220 Antiga Silvinho '!$F298-10</f>
        <v>-10</v>
      </c>
      <c r="H298" s="135"/>
      <c r="I298" s="135"/>
      <c r="J298" s="135"/>
      <c r="K298" s="135"/>
      <c r="L298" s="135"/>
      <c r="M298" s="135"/>
      <c r="N298" s="135"/>
    </row>
    <row r="299" ht="14.25" hidden="1" customHeight="1">
      <c r="B299" s="162"/>
      <c r="C299" s="141" t="str">
        <f t="shared" si="1"/>
        <v>12-1899</v>
      </c>
      <c r="D299" s="54" t="str">
        <f t="shared" si="10"/>
        <v/>
      </c>
      <c r="E299" s="54"/>
      <c r="F299" s="54">
        <f>'220 Antiga Silvinho '!$E299-'220 Antiga Silvinho '!$D299</f>
        <v>0</v>
      </c>
      <c r="G299" s="54">
        <f>'220 Antiga Silvinho '!$F299-10</f>
        <v>-10</v>
      </c>
      <c r="H299" s="135"/>
      <c r="I299" s="135"/>
      <c r="J299" s="135"/>
      <c r="K299" s="135"/>
      <c r="L299" s="135"/>
      <c r="M299" s="135"/>
      <c r="N299" s="135"/>
    </row>
    <row r="300" ht="14.25" hidden="1" customHeight="1">
      <c r="B300" s="162"/>
      <c r="C300" s="141" t="str">
        <f t="shared" si="1"/>
        <v>12-1899</v>
      </c>
      <c r="D300" s="54" t="str">
        <f t="shared" si="10"/>
        <v/>
      </c>
      <c r="E300" s="54"/>
      <c r="F300" s="54">
        <f>'220 Antiga Silvinho '!$E300-'220 Antiga Silvinho '!$D300</f>
        <v>0</v>
      </c>
      <c r="G300" s="54">
        <f>'220 Antiga Silvinho '!$F300-10</f>
        <v>-10</v>
      </c>
      <c r="H300" s="135"/>
      <c r="I300" s="135"/>
      <c r="J300" s="135"/>
      <c r="K300" s="135"/>
      <c r="L300" s="135"/>
      <c r="M300" s="135"/>
      <c r="N300" s="135"/>
    </row>
    <row r="301" ht="14.25" hidden="1" customHeight="1">
      <c r="B301" s="162"/>
      <c r="C301" s="141" t="str">
        <f t="shared" si="1"/>
        <v>12-1899</v>
      </c>
      <c r="D301" s="54" t="str">
        <f t="shared" si="10"/>
        <v/>
      </c>
      <c r="E301" s="54"/>
      <c r="F301" s="54">
        <f>'220 Antiga Silvinho '!$E301-'220 Antiga Silvinho '!$D301</f>
        <v>0</v>
      </c>
      <c r="G301" s="54">
        <f>'220 Antiga Silvinho '!$F301-10</f>
        <v>-10</v>
      </c>
      <c r="H301" s="135"/>
      <c r="I301" s="135"/>
      <c r="J301" s="135"/>
      <c r="K301" s="135"/>
      <c r="L301" s="135"/>
      <c r="M301" s="135"/>
      <c r="N301" s="135"/>
    </row>
    <row r="302" ht="14.25" hidden="1" customHeight="1">
      <c r="B302" s="162"/>
      <c r="C302" s="141" t="str">
        <f t="shared" si="1"/>
        <v>12-1899</v>
      </c>
      <c r="D302" s="54" t="str">
        <f t="shared" si="10"/>
        <v/>
      </c>
      <c r="E302" s="54"/>
      <c r="F302" s="54">
        <f>'220 Antiga Silvinho '!$E302-'220 Antiga Silvinho '!$D302</f>
        <v>0</v>
      </c>
      <c r="G302" s="54">
        <f>'220 Antiga Silvinho '!$F302-10</f>
        <v>-10</v>
      </c>
      <c r="H302" s="135"/>
      <c r="I302" s="135"/>
      <c r="J302" s="135"/>
      <c r="K302" s="135"/>
      <c r="L302" s="135"/>
      <c r="M302" s="135"/>
      <c r="N302" s="135"/>
    </row>
    <row r="303" ht="14.25" hidden="1" customHeight="1">
      <c r="B303" s="162"/>
      <c r="C303" s="141" t="str">
        <f t="shared" si="1"/>
        <v>12-1899</v>
      </c>
      <c r="D303" s="54" t="str">
        <f t="shared" si="10"/>
        <v/>
      </c>
      <c r="E303" s="54"/>
      <c r="F303" s="54">
        <f>'220 Antiga Silvinho '!$E303-'220 Antiga Silvinho '!$D303</f>
        <v>0</v>
      </c>
      <c r="G303" s="54">
        <f>'220 Antiga Silvinho '!$F303-10</f>
        <v>-10</v>
      </c>
      <c r="H303" s="135"/>
      <c r="I303" s="135"/>
      <c r="J303" s="135"/>
      <c r="K303" s="135"/>
      <c r="L303" s="135"/>
      <c r="M303" s="135"/>
      <c r="N303" s="135"/>
    </row>
    <row r="304" ht="14.25" hidden="1" customHeight="1">
      <c r="B304" s="162"/>
      <c r="C304" s="141" t="str">
        <f t="shared" si="1"/>
        <v>12-1899</v>
      </c>
      <c r="D304" s="54" t="str">
        <f t="shared" si="10"/>
        <v/>
      </c>
      <c r="E304" s="54"/>
      <c r="F304" s="54">
        <f>'220 Antiga Silvinho '!$E304-'220 Antiga Silvinho '!$D304</f>
        <v>0</v>
      </c>
      <c r="G304" s="54">
        <f>'220 Antiga Silvinho '!$F304-10</f>
        <v>-10</v>
      </c>
      <c r="H304" s="135"/>
      <c r="I304" s="135"/>
      <c r="J304" s="135"/>
      <c r="K304" s="135"/>
      <c r="L304" s="135"/>
      <c r="M304" s="135"/>
      <c r="N304" s="135"/>
    </row>
    <row r="305" ht="14.25" hidden="1" customHeight="1">
      <c r="B305" s="162"/>
      <c r="C305" s="141" t="str">
        <f t="shared" si="1"/>
        <v>12-1899</v>
      </c>
      <c r="D305" s="54" t="str">
        <f t="shared" si="10"/>
        <v/>
      </c>
      <c r="E305" s="54"/>
      <c r="F305" s="54">
        <f>'220 Antiga Silvinho '!$E305-'220 Antiga Silvinho '!$D305</f>
        <v>0</v>
      </c>
      <c r="G305" s="54">
        <f>'220 Antiga Silvinho '!$F305-10</f>
        <v>-10</v>
      </c>
      <c r="H305" s="135"/>
      <c r="I305" s="135"/>
      <c r="J305" s="135"/>
      <c r="K305" s="135"/>
      <c r="L305" s="135"/>
      <c r="M305" s="135"/>
      <c r="N305" s="135"/>
    </row>
    <row r="306" ht="14.25" hidden="1" customHeight="1">
      <c r="B306" s="162"/>
      <c r="C306" s="141" t="str">
        <f t="shared" si="1"/>
        <v>12-1899</v>
      </c>
      <c r="D306" s="54" t="str">
        <f t="shared" si="10"/>
        <v/>
      </c>
      <c r="E306" s="54"/>
      <c r="F306" s="54">
        <f>'220 Antiga Silvinho '!$E306-'220 Antiga Silvinho '!$D306</f>
        <v>0</v>
      </c>
      <c r="G306" s="54">
        <f>'220 Antiga Silvinho '!$F306-10</f>
        <v>-10</v>
      </c>
      <c r="H306" s="135"/>
      <c r="I306" s="135"/>
      <c r="J306" s="135"/>
      <c r="K306" s="135"/>
      <c r="L306" s="135"/>
      <c r="M306" s="135"/>
      <c r="N306" s="135"/>
    </row>
    <row r="307" ht="14.25" hidden="1" customHeight="1">
      <c r="B307" s="162"/>
      <c r="C307" s="141" t="str">
        <f t="shared" si="1"/>
        <v>12-1899</v>
      </c>
      <c r="D307" s="54" t="str">
        <f t="shared" si="10"/>
        <v/>
      </c>
      <c r="E307" s="54"/>
      <c r="F307" s="54">
        <f>'220 Antiga Silvinho '!$E307-'220 Antiga Silvinho '!$D307</f>
        <v>0</v>
      </c>
      <c r="G307" s="54">
        <f>'220 Antiga Silvinho '!$F307-10</f>
        <v>-10</v>
      </c>
      <c r="H307" s="135"/>
      <c r="I307" s="135"/>
      <c r="J307" s="135"/>
      <c r="K307" s="135"/>
      <c r="L307" s="135"/>
      <c r="M307" s="135"/>
      <c r="N307" s="135"/>
    </row>
    <row r="308" ht="14.25" hidden="1" customHeight="1">
      <c r="B308" s="162"/>
      <c r="C308" s="141" t="str">
        <f t="shared" si="1"/>
        <v>12-1899</v>
      </c>
      <c r="D308" s="54" t="str">
        <f t="shared" si="10"/>
        <v/>
      </c>
      <c r="E308" s="54"/>
      <c r="F308" s="54">
        <f>'220 Antiga Silvinho '!$E308-'220 Antiga Silvinho '!$D308</f>
        <v>0</v>
      </c>
      <c r="G308" s="54">
        <f>'220 Antiga Silvinho '!$F308-10</f>
        <v>-10</v>
      </c>
      <c r="H308" s="135"/>
      <c r="I308" s="135"/>
      <c r="J308" s="135"/>
      <c r="K308" s="135"/>
      <c r="L308" s="135"/>
      <c r="M308" s="135"/>
      <c r="N308" s="135"/>
    </row>
    <row r="309" ht="14.25" hidden="1" customHeight="1">
      <c r="B309" s="162"/>
      <c r="C309" s="141" t="str">
        <f t="shared" si="1"/>
        <v>12-1899</v>
      </c>
      <c r="D309" s="54" t="str">
        <f t="shared" si="10"/>
        <v/>
      </c>
      <c r="E309" s="54"/>
      <c r="F309" s="54">
        <f>'220 Antiga Silvinho '!$E309-'220 Antiga Silvinho '!$D309</f>
        <v>0</v>
      </c>
      <c r="G309" s="54">
        <f>'220 Antiga Silvinho '!$F309-10</f>
        <v>-10</v>
      </c>
      <c r="H309" s="135"/>
      <c r="I309" s="135"/>
      <c r="J309" s="135"/>
      <c r="K309" s="135"/>
      <c r="L309" s="135"/>
      <c r="M309" s="135"/>
      <c r="N309" s="135"/>
    </row>
    <row r="310" ht="14.25" hidden="1" customHeight="1">
      <c r="B310" s="162"/>
      <c r="C310" s="141" t="str">
        <f t="shared" si="1"/>
        <v>12-1899</v>
      </c>
      <c r="D310" s="54" t="str">
        <f t="shared" si="10"/>
        <v/>
      </c>
      <c r="E310" s="54"/>
      <c r="F310" s="54">
        <f>'220 Antiga Silvinho '!$E310-'220 Antiga Silvinho '!$D310</f>
        <v>0</v>
      </c>
      <c r="G310" s="54">
        <f>'220 Antiga Silvinho '!$F310-10</f>
        <v>-10</v>
      </c>
      <c r="H310" s="135"/>
      <c r="I310" s="135"/>
      <c r="J310" s="135"/>
      <c r="K310" s="135"/>
      <c r="L310" s="135"/>
      <c r="M310" s="135"/>
      <c r="N310" s="135"/>
    </row>
    <row r="311" ht="14.25" hidden="1" customHeight="1">
      <c r="B311" s="162"/>
      <c r="C311" s="141" t="str">
        <f t="shared" si="1"/>
        <v>12-1899</v>
      </c>
      <c r="D311" s="54" t="str">
        <f t="shared" si="10"/>
        <v/>
      </c>
      <c r="E311" s="54"/>
      <c r="F311" s="54">
        <f>'220 Antiga Silvinho '!$E311-'220 Antiga Silvinho '!$D311</f>
        <v>0</v>
      </c>
      <c r="G311" s="54">
        <f>'220 Antiga Silvinho '!$F311-10</f>
        <v>-10</v>
      </c>
      <c r="H311" s="135"/>
      <c r="I311" s="135"/>
      <c r="J311" s="135"/>
      <c r="K311" s="135"/>
      <c r="L311" s="135"/>
      <c r="M311" s="135"/>
      <c r="N311" s="135"/>
    </row>
    <row r="312" ht="14.25" hidden="1" customHeight="1">
      <c r="B312" s="162"/>
      <c r="C312" s="141" t="str">
        <f t="shared" si="1"/>
        <v>12-1899</v>
      </c>
      <c r="D312" s="54" t="str">
        <f t="shared" si="10"/>
        <v/>
      </c>
      <c r="E312" s="54"/>
      <c r="F312" s="54">
        <f>'220 Antiga Silvinho '!$E312-'220 Antiga Silvinho '!$D312</f>
        <v>0</v>
      </c>
      <c r="G312" s="54">
        <f>'220 Antiga Silvinho '!$F312-10</f>
        <v>-10</v>
      </c>
      <c r="H312" s="135"/>
      <c r="I312" s="135"/>
      <c r="J312" s="135"/>
      <c r="K312" s="135"/>
      <c r="L312" s="135"/>
      <c r="M312" s="135"/>
      <c r="N312" s="135"/>
    </row>
    <row r="313" ht="14.25" hidden="1" customHeight="1">
      <c r="B313" s="162"/>
      <c r="C313" s="141" t="str">
        <f t="shared" si="1"/>
        <v>12-1899</v>
      </c>
      <c r="D313" s="54" t="str">
        <f t="shared" si="10"/>
        <v/>
      </c>
      <c r="E313" s="54"/>
      <c r="F313" s="54">
        <f>'220 Antiga Silvinho '!$E313-'220 Antiga Silvinho '!$D313</f>
        <v>0</v>
      </c>
      <c r="G313" s="54">
        <f>'220 Antiga Silvinho '!$F313-10</f>
        <v>-10</v>
      </c>
      <c r="H313" s="135"/>
      <c r="I313" s="135"/>
      <c r="J313" s="135"/>
      <c r="K313" s="135"/>
      <c r="L313" s="135"/>
      <c r="M313" s="135"/>
      <c r="N313" s="135"/>
    </row>
    <row r="314" ht="14.25" hidden="1" customHeight="1">
      <c r="B314" s="162"/>
      <c r="C314" s="141" t="str">
        <f t="shared" si="1"/>
        <v>12-1899</v>
      </c>
      <c r="D314" s="54" t="str">
        <f t="shared" si="10"/>
        <v/>
      </c>
      <c r="E314" s="54"/>
      <c r="F314" s="54">
        <f>'220 Antiga Silvinho '!$E314-'220 Antiga Silvinho '!$D314</f>
        <v>0</v>
      </c>
      <c r="G314" s="54">
        <f>'220 Antiga Silvinho '!$F314-10</f>
        <v>-10</v>
      </c>
      <c r="H314" s="135"/>
      <c r="I314" s="135"/>
      <c r="J314" s="135"/>
      <c r="K314" s="135"/>
      <c r="L314" s="135"/>
      <c r="M314" s="135"/>
      <c r="N314" s="135"/>
    </row>
    <row r="315" ht="14.25" hidden="1" customHeight="1">
      <c r="B315" s="162"/>
      <c r="C315" s="141" t="str">
        <f t="shared" si="1"/>
        <v>12-1899</v>
      </c>
      <c r="D315" s="54" t="str">
        <f t="shared" si="10"/>
        <v/>
      </c>
      <c r="E315" s="54"/>
      <c r="F315" s="54">
        <f>'220 Antiga Silvinho '!$E315-'220 Antiga Silvinho '!$D315</f>
        <v>0</v>
      </c>
      <c r="G315" s="54">
        <f>'220 Antiga Silvinho '!$F315-10</f>
        <v>-10</v>
      </c>
      <c r="H315" s="135"/>
      <c r="I315" s="135"/>
      <c r="J315" s="135"/>
      <c r="K315" s="135"/>
      <c r="L315" s="135"/>
      <c r="M315" s="135"/>
      <c r="N315" s="135"/>
    </row>
    <row r="316" ht="14.25" hidden="1" customHeight="1">
      <c r="B316" s="162"/>
      <c r="C316" s="141" t="str">
        <f t="shared" si="1"/>
        <v>12-1899</v>
      </c>
      <c r="D316" s="54" t="str">
        <f t="shared" si="10"/>
        <v/>
      </c>
      <c r="E316" s="54"/>
      <c r="F316" s="54">
        <f>'220 Antiga Silvinho '!$E316-'220 Antiga Silvinho '!$D316</f>
        <v>0</v>
      </c>
      <c r="G316" s="54">
        <f>'220 Antiga Silvinho '!$F316-10</f>
        <v>-10</v>
      </c>
      <c r="H316" s="135"/>
      <c r="I316" s="135"/>
      <c r="J316" s="135"/>
      <c r="K316" s="135"/>
      <c r="L316" s="135"/>
      <c r="M316" s="135"/>
      <c r="N316" s="135"/>
    </row>
    <row r="317" ht="14.25" hidden="1" customHeight="1">
      <c r="B317" s="162"/>
      <c r="C317" s="141" t="str">
        <f t="shared" si="1"/>
        <v>12-1899</v>
      </c>
      <c r="D317" s="54" t="str">
        <f t="shared" si="10"/>
        <v/>
      </c>
      <c r="E317" s="54"/>
      <c r="F317" s="54">
        <f>'220 Antiga Silvinho '!$E317-'220 Antiga Silvinho '!$D317</f>
        <v>0</v>
      </c>
      <c r="G317" s="54">
        <f>'220 Antiga Silvinho '!$F317-10</f>
        <v>-10</v>
      </c>
      <c r="H317" s="135"/>
      <c r="I317" s="135"/>
      <c r="J317" s="135"/>
      <c r="K317" s="135"/>
      <c r="L317" s="135"/>
      <c r="M317" s="135"/>
      <c r="N317" s="135"/>
    </row>
    <row r="318" ht="14.25" hidden="1" customHeight="1">
      <c r="B318" s="162"/>
      <c r="C318" s="141" t="str">
        <f t="shared" si="1"/>
        <v>12-1899</v>
      </c>
      <c r="D318" s="54" t="str">
        <f t="shared" si="10"/>
        <v/>
      </c>
      <c r="E318" s="54"/>
      <c r="F318" s="54">
        <f>'220 Antiga Silvinho '!$E318-'220 Antiga Silvinho '!$D318</f>
        <v>0</v>
      </c>
      <c r="G318" s="54">
        <f>'220 Antiga Silvinho '!$F318-10</f>
        <v>-10</v>
      </c>
      <c r="H318" s="135"/>
      <c r="I318" s="135"/>
      <c r="J318" s="135"/>
      <c r="K318" s="135"/>
      <c r="L318" s="135"/>
      <c r="M318" s="135"/>
      <c r="N318" s="135"/>
    </row>
    <row r="319" ht="14.25" hidden="1" customHeight="1">
      <c r="B319" s="162"/>
      <c r="C319" s="141" t="str">
        <f t="shared" si="1"/>
        <v>12-1899</v>
      </c>
      <c r="D319" s="54" t="str">
        <f t="shared" si="10"/>
        <v/>
      </c>
      <c r="E319" s="54"/>
      <c r="F319" s="54">
        <f>'220 Antiga Silvinho '!$E319-'220 Antiga Silvinho '!$D319</f>
        <v>0</v>
      </c>
      <c r="G319" s="54">
        <f>'220 Antiga Silvinho '!$F319-10</f>
        <v>-10</v>
      </c>
      <c r="H319" s="135"/>
      <c r="I319" s="135"/>
      <c r="J319" s="135"/>
      <c r="K319" s="135"/>
      <c r="L319" s="135"/>
      <c r="M319" s="135"/>
      <c r="N319" s="135"/>
    </row>
    <row r="320" ht="14.25" hidden="1" customHeight="1">
      <c r="B320" s="162"/>
      <c r="C320" s="141" t="str">
        <f t="shared" si="1"/>
        <v>12-1899</v>
      </c>
      <c r="D320" s="54" t="str">
        <f t="shared" si="10"/>
        <v/>
      </c>
      <c r="E320" s="54"/>
      <c r="F320" s="54">
        <f>'220 Antiga Silvinho '!$E320-'220 Antiga Silvinho '!$D320</f>
        <v>0</v>
      </c>
      <c r="G320" s="54">
        <f>'220 Antiga Silvinho '!$F320-10</f>
        <v>-10</v>
      </c>
      <c r="H320" s="135"/>
      <c r="I320" s="135"/>
      <c r="J320" s="135"/>
      <c r="K320" s="135"/>
      <c r="L320" s="135"/>
      <c r="M320" s="135"/>
      <c r="N320" s="135"/>
    </row>
    <row r="321" ht="14.25" hidden="1" customHeight="1">
      <c r="B321" s="162"/>
      <c r="C321" s="141" t="str">
        <f t="shared" si="1"/>
        <v>12-1899</v>
      </c>
      <c r="D321" s="54" t="str">
        <f t="shared" si="10"/>
        <v/>
      </c>
      <c r="E321" s="54"/>
      <c r="F321" s="54">
        <f>'220 Antiga Silvinho '!$E321-'220 Antiga Silvinho '!$D321</f>
        <v>0</v>
      </c>
      <c r="G321" s="54">
        <f>'220 Antiga Silvinho '!$F321-10</f>
        <v>-10</v>
      </c>
      <c r="H321" s="135"/>
      <c r="I321" s="135"/>
      <c r="J321" s="135"/>
      <c r="K321" s="135"/>
      <c r="L321" s="135"/>
      <c r="M321" s="135"/>
      <c r="N321" s="135"/>
    </row>
    <row r="322" ht="14.25" hidden="1" customHeight="1">
      <c r="B322" s="162"/>
      <c r="C322" s="141" t="str">
        <f t="shared" si="1"/>
        <v>12-1899</v>
      </c>
      <c r="D322" s="54" t="str">
        <f t="shared" si="10"/>
        <v/>
      </c>
      <c r="E322" s="54"/>
      <c r="F322" s="54">
        <f>'220 Antiga Silvinho '!$E322-'220 Antiga Silvinho '!$D322</f>
        <v>0</v>
      </c>
      <c r="G322" s="54">
        <f>'220 Antiga Silvinho '!$F322-10</f>
        <v>-10</v>
      </c>
      <c r="H322" s="135"/>
      <c r="I322" s="135"/>
      <c r="J322" s="135"/>
      <c r="K322" s="135"/>
      <c r="L322" s="135"/>
      <c r="M322" s="135"/>
      <c r="N322" s="135"/>
    </row>
    <row r="323" ht="14.25" hidden="1" customHeight="1">
      <c r="B323" s="162"/>
      <c r="C323" s="141" t="str">
        <f t="shared" si="1"/>
        <v>12-1899</v>
      </c>
      <c r="D323" s="54" t="str">
        <f t="shared" si="10"/>
        <v/>
      </c>
      <c r="E323" s="54"/>
      <c r="F323" s="54">
        <f>'220 Antiga Silvinho '!$E323-'220 Antiga Silvinho '!$D323</f>
        <v>0</v>
      </c>
      <c r="G323" s="54">
        <f>'220 Antiga Silvinho '!$F323-10</f>
        <v>-10</v>
      </c>
      <c r="H323" s="135"/>
      <c r="I323" s="135"/>
      <c r="J323" s="135"/>
      <c r="K323" s="135"/>
      <c r="L323" s="135"/>
      <c r="M323" s="135"/>
      <c r="N323" s="135"/>
    </row>
    <row r="324" ht="14.25" hidden="1" customHeight="1">
      <c r="B324" s="162"/>
      <c r="C324" s="141" t="str">
        <f t="shared" si="1"/>
        <v>12-1899</v>
      </c>
      <c r="D324" s="54" t="str">
        <f t="shared" si="10"/>
        <v/>
      </c>
      <c r="E324" s="54"/>
      <c r="F324" s="54">
        <f>'220 Antiga Silvinho '!$E324-'220 Antiga Silvinho '!$D324</f>
        <v>0</v>
      </c>
      <c r="G324" s="54">
        <f>'220 Antiga Silvinho '!$F324-10</f>
        <v>-10</v>
      </c>
      <c r="H324" s="135"/>
      <c r="I324" s="135"/>
      <c r="J324" s="135"/>
      <c r="K324" s="135"/>
      <c r="L324" s="135"/>
      <c r="M324" s="135"/>
      <c r="N324" s="135"/>
    </row>
    <row r="325" ht="14.25" hidden="1" customHeight="1">
      <c r="B325" s="162"/>
      <c r="C325" s="141" t="str">
        <f t="shared" si="1"/>
        <v>12-1899</v>
      </c>
      <c r="D325" s="54" t="str">
        <f t="shared" si="10"/>
        <v/>
      </c>
      <c r="E325" s="54"/>
      <c r="F325" s="54">
        <f>'220 Antiga Silvinho '!$E325-'220 Antiga Silvinho '!$D325</f>
        <v>0</v>
      </c>
      <c r="G325" s="54">
        <f>'220 Antiga Silvinho '!$F325-10</f>
        <v>-10</v>
      </c>
      <c r="H325" s="135"/>
      <c r="I325" s="135"/>
      <c r="J325" s="135"/>
      <c r="K325" s="135"/>
      <c r="L325" s="135"/>
      <c r="M325" s="135"/>
      <c r="N325" s="135"/>
    </row>
    <row r="326" ht="14.25" hidden="1" customHeight="1">
      <c r="B326" s="162"/>
      <c r="C326" s="141" t="str">
        <f t="shared" si="1"/>
        <v>12-1899</v>
      </c>
      <c r="D326" s="54" t="str">
        <f t="shared" si="10"/>
        <v/>
      </c>
      <c r="E326" s="54"/>
      <c r="F326" s="54">
        <f>'220 Antiga Silvinho '!$E326-'220 Antiga Silvinho '!$D326</f>
        <v>0</v>
      </c>
      <c r="G326" s="54">
        <f>'220 Antiga Silvinho '!$F326-10</f>
        <v>-10</v>
      </c>
      <c r="H326" s="135"/>
      <c r="I326" s="135"/>
      <c r="J326" s="135"/>
      <c r="K326" s="135"/>
      <c r="L326" s="135"/>
      <c r="M326" s="135"/>
      <c r="N326" s="135"/>
    </row>
    <row r="327" ht="14.25" hidden="1" customHeight="1">
      <c r="B327" s="162"/>
      <c r="C327" s="141" t="str">
        <f t="shared" si="1"/>
        <v>12-1899</v>
      </c>
      <c r="D327" s="54" t="str">
        <f t="shared" si="10"/>
        <v/>
      </c>
      <c r="E327" s="54"/>
      <c r="F327" s="54">
        <f>'220 Antiga Silvinho '!$E327-'220 Antiga Silvinho '!$D327</f>
        <v>0</v>
      </c>
      <c r="G327" s="54">
        <f>'220 Antiga Silvinho '!$F327-10</f>
        <v>-10</v>
      </c>
      <c r="H327" s="135"/>
      <c r="I327" s="135"/>
      <c r="J327" s="135"/>
      <c r="K327" s="135"/>
      <c r="L327" s="135"/>
      <c r="M327" s="135"/>
      <c r="N327" s="135"/>
    </row>
    <row r="328" ht="14.25" hidden="1" customHeight="1">
      <c r="B328" s="162"/>
      <c r="C328" s="141" t="str">
        <f t="shared" si="1"/>
        <v>12-1899</v>
      </c>
      <c r="D328" s="54" t="str">
        <f t="shared" si="10"/>
        <v/>
      </c>
      <c r="E328" s="54"/>
      <c r="F328" s="54">
        <f>'220 Antiga Silvinho '!$E328-'220 Antiga Silvinho '!$D328</f>
        <v>0</v>
      </c>
      <c r="G328" s="54">
        <f>'220 Antiga Silvinho '!$F328-10</f>
        <v>-10</v>
      </c>
      <c r="H328" s="135"/>
      <c r="I328" s="135"/>
      <c r="J328" s="135"/>
      <c r="K328" s="135"/>
      <c r="L328" s="135"/>
      <c r="M328" s="135"/>
      <c r="N328" s="135"/>
    </row>
    <row r="329" ht="14.25" hidden="1" customHeight="1">
      <c r="B329" s="162"/>
      <c r="C329" s="141" t="str">
        <f t="shared" si="1"/>
        <v>12-1899</v>
      </c>
      <c r="D329" s="54" t="str">
        <f t="shared" si="10"/>
        <v/>
      </c>
      <c r="E329" s="54"/>
      <c r="F329" s="54">
        <f>'220 Antiga Silvinho '!$E329-'220 Antiga Silvinho '!$D329</f>
        <v>0</v>
      </c>
      <c r="G329" s="54">
        <f>'220 Antiga Silvinho '!$F329-10</f>
        <v>-10</v>
      </c>
      <c r="H329" s="135"/>
      <c r="I329" s="135"/>
      <c r="J329" s="135"/>
      <c r="K329" s="135"/>
      <c r="L329" s="135"/>
      <c r="M329" s="135"/>
      <c r="N329" s="135"/>
    </row>
    <row r="330" ht="14.25" hidden="1" customHeight="1">
      <c r="B330" s="162"/>
      <c r="C330" s="141" t="str">
        <f t="shared" si="1"/>
        <v>12-1899</v>
      </c>
      <c r="D330" s="54" t="str">
        <f t="shared" si="10"/>
        <v/>
      </c>
      <c r="E330" s="54"/>
      <c r="F330" s="54">
        <f>'220 Antiga Silvinho '!$E330-'220 Antiga Silvinho '!$D330</f>
        <v>0</v>
      </c>
      <c r="G330" s="54">
        <f>'220 Antiga Silvinho '!$F330-10</f>
        <v>-10</v>
      </c>
      <c r="H330" s="135"/>
      <c r="I330" s="135"/>
      <c r="J330" s="135"/>
      <c r="K330" s="135"/>
      <c r="L330" s="135"/>
      <c r="M330" s="135"/>
      <c r="N330" s="135"/>
    </row>
    <row r="331" ht="14.25" hidden="1" customHeight="1">
      <c r="B331" s="162"/>
      <c r="C331" s="141" t="str">
        <f t="shared" si="1"/>
        <v>12-1899</v>
      </c>
      <c r="D331" s="54" t="str">
        <f t="shared" si="10"/>
        <v/>
      </c>
      <c r="E331" s="54"/>
      <c r="F331" s="54">
        <f>'220 Antiga Silvinho '!$E331-'220 Antiga Silvinho '!$D331</f>
        <v>0</v>
      </c>
      <c r="G331" s="54">
        <f>'220 Antiga Silvinho '!$F331-10</f>
        <v>-10</v>
      </c>
      <c r="H331" s="135"/>
      <c r="I331" s="135"/>
      <c r="J331" s="135"/>
      <c r="K331" s="135"/>
      <c r="L331" s="135"/>
      <c r="M331" s="135"/>
      <c r="N331" s="135"/>
    </row>
    <row r="332" ht="14.25" hidden="1" customHeight="1">
      <c r="B332" s="162"/>
      <c r="C332" s="141" t="str">
        <f t="shared" si="1"/>
        <v>12-1899</v>
      </c>
      <c r="D332" s="54" t="str">
        <f t="shared" si="10"/>
        <v/>
      </c>
      <c r="E332" s="54"/>
      <c r="F332" s="54">
        <f>'220 Antiga Silvinho '!$E332-'220 Antiga Silvinho '!$D332</f>
        <v>0</v>
      </c>
      <c r="G332" s="54">
        <f>'220 Antiga Silvinho '!$F332-10</f>
        <v>-10</v>
      </c>
      <c r="H332" s="135"/>
      <c r="I332" s="135"/>
      <c r="J332" s="135"/>
      <c r="K332" s="135"/>
      <c r="L332" s="135"/>
      <c r="M332" s="135"/>
      <c r="N332" s="135"/>
    </row>
    <row r="333" ht="14.25" hidden="1" customHeight="1">
      <c r="B333" s="162"/>
      <c r="C333" s="141" t="str">
        <f t="shared" si="1"/>
        <v>12-1899</v>
      </c>
      <c r="D333" s="54" t="str">
        <f t="shared" si="10"/>
        <v/>
      </c>
      <c r="E333" s="54"/>
      <c r="F333" s="54">
        <f>'220 Antiga Silvinho '!$E333-'220 Antiga Silvinho '!$D333</f>
        <v>0</v>
      </c>
      <c r="G333" s="54">
        <f>'220 Antiga Silvinho '!$F333-10</f>
        <v>-10</v>
      </c>
      <c r="H333" s="135"/>
      <c r="I333" s="135"/>
      <c r="J333" s="135"/>
      <c r="K333" s="135"/>
      <c r="L333" s="135"/>
      <c r="M333" s="135"/>
      <c r="N333" s="135"/>
    </row>
    <row r="334" ht="14.25" hidden="1" customHeight="1">
      <c r="B334" s="162"/>
      <c r="C334" s="141" t="str">
        <f t="shared" si="1"/>
        <v>12-1899</v>
      </c>
      <c r="D334" s="54" t="str">
        <f t="shared" si="10"/>
        <v/>
      </c>
      <c r="E334" s="54"/>
      <c r="F334" s="54">
        <f>'220 Antiga Silvinho '!$E334-'220 Antiga Silvinho '!$D334</f>
        <v>0</v>
      </c>
      <c r="G334" s="54">
        <f>'220 Antiga Silvinho '!$F334-10</f>
        <v>-10</v>
      </c>
      <c r="H334" s="135"/>
      <c r="I334" s="135"/>
      <c r="J334" s="135"/>
      <c r="K334" s="135"/>
      <c r="L334" s="135"/>
      <c r="M334" s="135"/>
      <c r="N334" s="135"/>
    </row>
    <row r="335" ht="14.25" hidden="1" customHeight="1">
      <c r="B335" s="162"/>
      <c r="C335" s="141" t="str">
        <f t="shared" si="1"/>
        <v>12-1899</v>
      </c>
      <c r="D335" s="54" t="str">
        <f t="shared" si="10"/>
        <v/>
      </c>
      <c r="E335" s="54"/>
      <c r="F335" s="54">
        <f>'220 Antiga Silvinho '!$E335-'220 Antiga Silvinho '!$D335</f>
        <v>0</v>
      </c>
      <c r="G335" s="54">
        <f>'220 Antiga Silvinho '!$F335-10</f>
        <v>-10</v>
      </c>
      <c r="H335" s="135"/>
      <c r="I335" s="135"/>
      <c r="J335" s="135"/>
      <c r="K335" s="135"/>
      <c r="L335" s="135"/>
      <c r="M335" s="135"/>
      <c r="N335" s="135"/>
    </row>
    <row r="336" ht="14.25" hidden="1" customHeight="1">
      <c r="B336" s="162"/>
      <c r="C336" s="141" t="str">
        <f t="shared" si="1"/>
        <v>12-1899</v>
      </c>
      <c r="D336" s="54" t="str">
        <f t="shared" si="10"/>
        <v/>
      </c>
      <c r="E336" s="54"/>
      <c r="F336" s="54">
        <f>'220 Antiga Silvinho '!$E336-'220 Antiga Silvinho '!$D336</f>
        <v>0</v>
      </c>
      <c r="G336" s="54">
        <f>'220 Antiga Silvinho '!$F336-10</f>
        <v>-10</v>
      </c>
      <c r="H336" s="135"/>
      <c r="I336" s="135"/>
      <c r="J336" s="135"/>
      <c r="K336" s="135"/>
      <c r="L336" s="135"/>
      <c r="M336" s="135"/>
      <c r="N336" s="135"/>
    </row>
    <row r="337" ht="14.25" hidden="1" customHeight="1">
      <c r="B337" s="162"/>
      <c r="C337" s="141" t="str">
        <f t="shared" si="1"/>
        <v>12-1899</v>
      </c>
      <c r="D337" s="54" t="str">
        <f t="shared" si="10"/>
        <v/>
      </c>
      <c r="E337" s="54"/>
      <c r="F337" s="54">
        <f>'220 Antiga Silvinho '!$E337-'220 Antiga Silvinho '!$D337</f>
        <v>0</v>
      </c>
      <c r="G337" s="54">
        <f>'220 Antiga Silvinho '!$F337-10</f>
        <v>-10</v>
      </c>
      <c r="H337" s="135"/>
      <c r="I337" s="135"/>
      <c r="J337" s="135"/>
      <c r="K337" s="135"/>
      <c r="L337" s="135"/>
      <c r="M337" s="135"/>
      <c r="N337" s="135"/>
    </row>
    <row r="338" ht="14.25" hidden="1" customHeight="1">
      <c r="B338" s="162"/>
      <c r="C338" s="141" t="str">
        <f t="shared" si="1"/>
        <v>12-1899</v>
      </c>
      <c r="D338" s="54" t="str">
        <f t="shared" si="10"/>
        <v/>
      </c>
      <c r="E338" s="54"/>
      <c r="F338" s="54">
        <f>'220 Antiga Silvinho '!$E338-'220 Antiga Silvinho '!$D338</f>
        <v>0</v>
      </c>
      <c r="G338" s="54">
        <f>'220 Antiga Silvinho '!$F338-10</f>
        <v>-10</v>
      </c>
      <c r="H338" s="135"/>
      <c r="I338" s="135"/>
      <c r="J338" s="135"/>
      <c r="K338" s="135"/>
      <c r="L338" s="135"/>
      <c r="M338" s="135"/>
      <c r="N338" s="135"/>
    </row>
    <row r="339" ht="14.25" hidden="1" customHeight="1">
      <c r="B339" s="162"/>
      <c r="C339" s="141" t="str">
        <f t="shared" si="1"/>
        <v>12-1899</v>
      </c>
      <c r="D339" s="54" t="str">
        <f t="shared" si="10"/>
        <v/>
      </c>
      <c r="E339" s="54"/>
      <c r="F339" s="54">
        <f>'220 Antiga Silvinho '!$E339-'220 Antiga Silvinho '!$D339</f>
        <v>0</v>
      </c>
      <c r="G339" s="54">
        <f>'220 Antiga Silvinho '!$F339-10</f>
        <v>-10</v>
      </c>
      <c r="H339" s="135"/>
      <c r="I339" s="135"/>
      <c r="J339" s="135"/>
      <c r="K339" s="135"/>
      <c r="L339" s="135"/>
      <c r="M339" s="135"/>
      <c r="N339" s="135"/>
    </row>
    <row r="340" ht="14.25" hidden="1" customHeight="1">
      <c r="B340" s="162"/>
      <c r="C340" s="141" t="str">
        <f t="shared" si="1"/>
        <v>12-1899</v>
      </c>
      <c r="D340" s="54" t="str">
        <f t="shared" si="10"/>
        <v/>
      </c>
      <c r="E340" s="54"/>
      <c r="F340" s="54">
        <f>'220 Antiga Silvinho '!$E340-'220 Antiga Silvinho '!$D340</f>
        <v>0</v>
      </c>
      <c r="G340" s="54">
        <f>'220 Antiga Silvinho '!$F340-10</f>
        <v>-10</v>
      </c>
      <c r="H340" s="135"/>
      <c r="I340" s="135"/>
      <c r="J340" s="135"/>
      <c r="K340" s="135"/>
      <c r="L340" s="135"/>
      <c r="M340" s="135"/>
      <c r="N340" s="135"/>
    </row>
    <row r="341" ht="14.25" hidden="1" customHeight="1">
      <c r="B341" s="162"/>
      <c r="C341" s="141" t="str">
        <f t="shared" si="1"/>
        <v>12-1899</v>
      </c>
      <c r="D341" s="54" t="str">
        <f t="shared" si="10"/>
        <v/>
      </c>
      <c r="E341" s="54"/>
      <c r="F341" s="54">
        <f>'220 Antiga Silvinho '!$E341-'220 Antiga Silvinho '!$D341</f>
        <v>0</v>
      </c>
      <c r="G341" s="54">
        <f>'220 Antiga Silvinho '!$F341-10</f>
        <v>-10</v>
      </c>
      <c r="H341" s="135"/>
      <c r="I341" s="135"/>
      <c r="J341" s="135"/>
      <c r="K341" s="135"/>
      <c r="L341" s="135"/>
      <c r="M341" s="135"/>
      <c r="N341" s="135"/>
    </row>
    <row r="342" ht="14.25" hidden="1" customHeight="1">
      <c r="B342" s="162"/>
      <c r="C342" s="141" t="str">
        <f t="shared" si="1"/>
        <v>12-1899</v>
      </c>
      <c r="D342" s="54" t="str">
        <f t="shared" si="10"/>
        <v/>
      </c>
      <c r="E342" s="54"/>
      <c r="F342" s="54">
        <f>'220 Antiga Silvinho '!$E342-'220 Antiga Silvinho '!$D342</f>
        <v>0</v>
      </c>
      <c r="G342" s="54">
        <f>'220 Antiga Silvinho '!$F342-10</f>
        <v>-10</v>
      </c>
      <c r="H342" s="135"/>
      <c r="I342" s="135"/>
      <c r="J342" s="135"/>
      <c r="K342" s="135"/>
      <c r="L342" s="135"/>
      <c r="M342" s="135"/>
      <c r="N342" s="135"/>
    </row>
    <row r="343" ht="14.25" hidden="1" customHeight="1">
      <c r="B343" s="162"/>
      <c r="C343" s="141" t="str">
        <f t="shared" si="1"/>
        <v>12-1899</v>
      </c>
      <c r="D343" s="54" t="str">
        <f t="shared" si="10"/>
        <v/>
      </c>
      <c r="E343" s="54"/>
      <c r="F343" s="54">
        <f>'220 Antiga Silvinho '!$E343-'220 Antiga Silvinho '!$D343</f>
        <v>0</v>
      </c>
      <c r="G343" s="54">
        <f>'220 Antiga Silvinho '!$F343-10</f>
        <v>-10</v>
      </c>
      <c r="H343" s="135"/>
      <c r="I343" s="135"/>
      <c r="J343" s="135"/>
      <c r="K343" s="135"/>
      <c r="L343" s="135"/>
      <c r="M343" s="135"/>
      <c r="N343" s="135"/>
    </row>
    <row r="344" ht="14.25" hidden="1" customHeight="1">
      <c r="B344" s="162"/>
      <c r="C344" s="141" t="str">
        <f t="shared" si="1"/>
        <v>12-1899</v>
      </c>
      <c r="D344" s="54" t="str">
        <f t="shared" si="10"/>
        <v/>
      </c>
      <c r="E344" s="54"/>
      <c r="F344" s="54">
        <f>'220 Antiga Silvinho '!$E344-'220 Antiga Silvinho '!$D344</f>
        <v>0</v>
      </c>
      <c r="G344" s="54">
        <f>'220 Antiga Silvinho '!$F344-10</f>
        <v>-10</v>
      </c>
      <c r="H344" s="135"/>
      <c r="I344" s="135"/>
      <c r="J344" s="135"/>
      <c r="K344" s="135"/>
      <c r="L344" s="135"/>
      <c r="M344" s="135"/>
      <c r="N344" s="135"/>
    </row>
    <row r="345" ht="14.25" hidden="1" customHeight="1">
      <c r="B345" s="162"/>
      <c r="C345" s="141" t="str">
        <f t="shared" si="1"/>
        <v>12-1899</v>
      </c>
      <c r="D345" s="54" t="str">
        <f t="shared" si="10"/>
        <v/>
      </c>
      <c r="E345" s="54"/>
      <c r="F345" s="54">
        <f>'220 Antiga Silvinho '!$E345-'220 Antiga Silvinho '!$D345</f>
        <v>0</v>
      </c>
      <c r="G345" s="54">
        <f>'220 Antiga Silvinho '!$F345-10</f>
        <v>-10</v>
      </c>
      <c r="H345" s="135"/>
      <c r="I345" s="135"/>
      <c r="J345" s="135"/>
      <c r="K345" s="135"/>
      <c r="L345" s="135"/>
      <c r="M345" s="135"/>
      <c r="N345" s="135"/>
    </row>
    <row r="346" ht="14.25" hidden="1" customHeight="1">
      <c r="B346" s="162"/>
      <c r="C346" s="141" t="str">
        <f t="shared" si="1"/>
        <v>12-1899</v>
      </c>
      <c r="D346" s="54" t="str">
        <f t="shared" si="10"/>
        <v/>
      </c>
      <c r="E346" s="54"/>
      <c r="F346" s="54">
        <f>'220 Antiga Silvinho '!$E346-'220 Antiga Silvinho '!$D346</f>
        <v>0</v>
      </c>
      <c r="G346" s="54">
        <f>'220 Antiga Silvinho '!$F346-10</f>
        <v>-10</v>
      </c>
      <c r="H346" s="135"/>
      <c r="I346" s="135"/>
      <c r="J346" s="135"/>
      <c r="K346" s="135"/>
      <c r="L346" s="135"/>
      <c r="M346" s="135"/>
      <c r="N346" s="135"/>
    </row>
    <row r="347" ht="14.25" hidden="1" customHeight="1">
      <c r="B347" s="162"/>
      <c r="C347" s="141" t="str">
        <f t="shared" si="1"/>
        <v>12-1899</v>
      </c>
      <c r="D347" s="54" t="str">
        <f t="shared" si="10"/>
        <v/>
      </c>
      <c r="E347" s="54"/>
      <c r="F347" s="54">
        <f>'220 Antiga Silvinho '!$E347-'220 Antiga Silvinho '!$D347</f>
        <v>0</v>
      </c>
      <c r="G347" s="54">
        <f>'220 Antiga Silvinho '!$F347-10</f>
        <v>-10</v>
      </c>
      <c r="H347" s="135"/>
      <c r="I347" s="135"/>
      <c r="J347" s="135"/>
      <c r="K347" s="135"/>
      <c r="L347" s="135"/>
      <c r="M347" s="135"/>
      <c r="N347" s="135"/>
    </row>
    <row r="348" ht="14.25" customHeight="1">
      <c r="B348" s="163">
        <v>45293.0</v>
      </c>
      <c r="C348" s="141" t="str">
        <f t="shared" si="1"/>
        <v>1-2024</v>
      </c>
      <c r="D348" s="138">
        <v>5907.7</v>
      </c>
      <c r="E348" s="138">
        <v>5916.4</v>
      </c>
      <c r="F348" s="54">
        <f>'220 Antiga Silvinho '!$E348-'220 Antiga Silvinho '!$D348</f>
        <v>8.7</v>
      </c>
      <c r="G348" s="54">
        <f>'220 Antiga Silvinho '!$F348-10</f>
        <v>-1.3</v>
      </c>
      <c r="H348" s="54"/>
    </row>
    <row r="349" ht="14.25" customHeight="1">
      <c r="B349" s="163">
        <v>45294.0</v>
      </c>
      <c r="C349" s="141" t="str">
        <f t="shared" si="1"/>
        <v>1-2024</v>
      </c>
      <c r="D349" s="54">
        <f t="shared" ref="D349:D357" si="11">E348</f>
        <v>5916.4</v>
      </c>
      <c r="E349" s="138">
        <v>5927.4</v>
      </c>
      <c r="F349" s="54">
        <f>'220 Antiga Silvinho '!$E349-'220 Antiga Silvinho '!$D349</f>
        <v>11</v>
      </c>
      <c r="G349" s="54">
        <f>'220 Antiga Silvinho '!$F349-10</f>
        <v>1</v>
      </c>
      <c r="H349" s="138">
        <v>440.0</v>
      </c>
    </row>
    <row r="350" ht="14.25" customHeight="1">
      <c r="B350" s="163">
        <v>45295.0</v>
      </c>
      <c r="C350" s="141" t="str">
        <f t="shared" si="1"/>
        <v>1-2024</v>
      </c>
      <c r="D350" s="54">
        <f t="shared" si="11"/>
        <v>5927.4</v>
      </c>
      <c r="E350" s="138">
        <v>5938.4</v>
      </c>
      <c r="F350" s="54">
        <f>'220 Antiga Silvinho '!$E350-'220 Antiga Silvinho '!$D350</f>
        <v>11</v>
      </c>
      <c r="G350" s="54">
        <f>'220 Antiga Silvinho '!$F350-10</f>
        <v>1</v>
      </c>
      <c r="H350" s="54"/>
    </row>
    <row r="351" ht="14.25" customHeight="1">
      <c r="B351" s="163">
        <v>45296.0</v>
      </c>
      <c r="C351" s="141" t="str">
        <f t="shared" si="1"/>
        <v>1-2024</v>
      </c>
      <c r="D351" s="54">
        <f t="shared" si="11"/>
        <v>5938.4</v>
      </c>
      <c r="E351" s="138">
        <v>5949.4</v>
      </c>
      <c r="F351" s="54">
        <f>'220 Antiga Silvinho '!$E351-'220 Antiga Silvinho '!$D351</f>
        <v>11</v>
      </c>
      <c r="G351" s="54">
        <f>'220 Antiga Silvinho '!$F351-10</f>
        <v>1</v>
      </c>
      <c r="H351" s="138">
        <v>660.0</v>
      </c>
    </row>
    <row r="352" ht="14.25" customHeight="1">
      <c r="B352" s="163">
        <v>45297.0</v>
      </c>
      <c r="C352" s="141" t="str">
        <f t="shared" si="1"/>
        <v>1-2024</v>
      </c>
      <c r="D352" s="54">
        <f t="shared" si="11"/>
        <v>5949.4</v>
      </c>
      <c r="E352" s="138">
        <v>5960.5</v>
      </c>
      <c r="F352" s="54">
        <f>'220 Antiga Silvinho '!$E352-'220 Antiga Silvinho '!$D352</f>
        <v>11.1</v>
      </c>
      <c r="G352" s="54">
        <f>'220 Antiga Silvinho '!$F352-10</f>
        <v>1.1</v>
      </c>
      <c r="H352" s="54"/>
    </row>
    <row r="353" ht="14.25" customHeight="1">
      <c r="B353" s="163">
        <v>45298.0</v>
      </c>
      <c r="C353" s="141" t="str">
        <f t="shared" si="1"/>
        <v>1-2024</v>
      </c>
      <c r="D353" s="54">
        <f t="shared" si="11"/>
        <v>5960.5</v>
      </c>
      <c r="E353" s="138">
        <v>5971.5</v>
      </c>
      <c r="F353" s="54">
        <f>'220 Antiga Silvinho '!$E353-'220 Antiga Silvinho '!$D353</f>
        <v>11</v>
      </c>
      <c r="G353" s="54">
        <f>'220 Antiga Silvinho '!$F353-10</f>
        <v>1</v>
      </c>
      <c r="H353" s="54"/>
    </row>
    <row r="354" ht="14.25" customHeight="1">
      <c r="B354" s="163">
        <v>45299.0</v>
      </c>
      <c r="C354" s="141" t="str">
        <f t="shared" si="1"/>
        <v>1-2024</v>
      </c>
      <c r="D354" s="54">
        <f t="shared" si="11"/>
        <v>5971.5</v>
      </c>
      <c r="E354" s="138">
        <v>5982.5</v>
      </c>
      <c r="F354" s="54">
        <f>'220 Antiga Silvinho '!$E354-'220 Antiga Silvinho '!$D354</f>
        <v>11</v>
      </c>
      <c r="G354" s="54">
        <f>'220 Antiga Silvinho '!$F354-10</f>
        <v>1</v>
      </c>
      <c r="H354" s="54"/>
    </row>
    <row r="355" ht="14.25" customHeight="1">
      <c r="B355" s="163">
        <v>45300.0</v>
      </c>
      <c r="C355" s="141" t="str">
        <f t="shared" si="1"/>
        <v>1-2024</v>
      </c>
      <c r="D355" s="54">
        <f t="shared" si="11"/>
        <v>5982.5</v>
      </c>
      <c r="E355" s="138">
        <v>5993.4</v>
      </c>
      <c r="F355" s="54">
        <f>'220 Antiga Silvinho '!$E355-'220 Antiga Silvinho '!$D355</f>
        <v>10.9</v>
      </c>
      <c r="G355" s="54">
        <f>'220 Antiga Silvinho '!$F355-10</f>
        <v>0.9</v>
      </c>
      <c r="H355" s="138">
        <v>660.0</v>
      </c>
    </row>
    <row r="356" ht="14.25" customHeight="1">
      <c r="B356" s="163">
        <v>45301.0</v>
      </c>
      <c r="C356" s="141" t="str">
        <f t="shared" si="1"/>
        <v>1-2024</v>
      </c>
      <c r="D356" s="54">
        <f t="shared" si="11"/>
        <v>5993.4</v>
      </c>
      <c r="E356" s="138">
        <v>6004.4</v>
      </c>
      <c r="F356" s="54">
        <f>'220 Antiga Silvinho '!$E356-'220 Antiga Silvinho '!$D356</f>
        <v>11</v>
      </c>
      <c r="G356" s="54">
        <f>'220 Antiga Silvinho '!$F356-10</f>
        <v>1</v>
      </c>
      <c r="H356" s="54"/>
    </row>
    <row r="357" ht="14.25" customHeight="1">
      <c r="B357" s="163">
        <v>45302.0</v>
      </c>
      <c r="C357" s="141" t="str">
        <f t="shared" si="1"/>
        <v>1-2024</v>
      </c>
      <c r="D357" s="54">
        <f t="shared" si="11"/>
        <v>6004.4</v>
      </c>
      <c r="E357" s="138">
        <v>6015.5</v>
      </c>
      <c r="F357" s="54">
        <f>'220 Antiga Silvinho '!$E357-'220 Antiga Silvinho '!$D357</f>
        <v>11.1</v>
      </c>
      <c r="G357" s="54">
        <f>'220 Antiga Silvinho '!$F357-10</f>
        <v>1.1</v>
      </c>
      <c r="H357" s="54"/>
    </row>
    <row r="358" ht="14.25" customHeight="1">
      <c r="B358" s="163">
        <v>45303.0</v>
      </c>
      <c r="C358" s="141" t="str">
        <f t="shared" si="1"/>
        <v>1-2024</v>
      </c>
      <c r="D358" s="54"/>
      <c r="E358" s="54"/>
      <c r="F358" s="54">
        <f>'220 Antiga Silvinho '!$E358-'220 Antiga Silvinho '!$D358</f>
        <v>0</v>
      </c>
      <c r="G358" s="54">
        <f>'220 Antiga Silvinho '!$F358-10</f>
        <v>-10</v>
      </c>
    </row>
    <row r="359" ht="14.25" customHeight="1">
      <c r="B359" s="163">
        <v>45304.0</v>
      </c>
      <c r="C359" s="141" t="str">
        <f t="shared" si="1"/>
        <v>1-2024</v>
      </c>
      <c r="D359" s="54" t="str">
        <f t="shared" ref="D359:D360" si="12">E358</f>
        <v/>
      </c>
      <c r="E359" s="54"/>
      <c r="F359" s="54">
        <f>'220 Antiga Silvinho '!$E359-'220 Antiga Silvinho '!$D359</f>
        <v>0</v>
      </c>
      <c r="G359" s="54">
        <f>'220 Antiga Silvinho '!$F359-10</f>
        <v>-10</v>
      </c>
    </row>
    <row r="360" ht="14.25" customHeight="1">
      <c r="B360" s="163">
        <v>45305.0</v>
      </c>
      <c r="C360" s="141" t="str">
        <f t="shared" si="1"/>
        <v>1-2024</v>
      </c>
      <c r="D360" s="54" t="str">
        <f t="shared" si="12"/>
        <v/>
      </c>
      <c r="E360" s="54"/>
      <c r="F360" s="54">
        <f>'220 Antiga Silvinho '!$E360-'220 Antiga Silvinho '!$D360</f>
        <v>0</v>
      </c>
      <c r="G360" s="54">
        <f>'220 Antiga Silvinho '!$F360-10</f>
        <v>-10</v>
      </c>
    </row>
    <row r="361" ht="14.25" customHeight="1">
      <c r="B361" s="163">
        <v>45306.0</v>
      </c>
      <c r="C361" s="141" t="str">
        <f t="shared" si="1"/>
        <v>1-2024</v>
      </c>
      <c r="D361" s="138">
        <v>6015.5</v>
      </c>
      <c r="E361" s="138">
        <v>6020.5</v>
      </c>
      <c r="F361" s="54">
        <f>'220 Antiga Silvinho '!$E361-'220 Antiga Silvinho '!$D361</f>
        <v>5</v>
      </c>
      <c r="G361" s="54">
        <f>'220 Antiga Silvinho '!$F361-10</f>
        <v>-5</v>
      </c>
      <c r="H361" s="28">
        <v>430.0</v>
      </c>
    </row>
    <row r="362" ht="14.25" customHeight="1">
      <c r="B362" s="163">
        <v>45307.0</v>
      </c>
      <c r="C362" s="141" t="str">
        <f t="shared" si="1"/>
        <v>1-2024</v>
      </c>
      <c r="D362" s="54">
        <f>E361</f>
        <v>6020.5</v>
      </c>
      <c r="E362" s="138">
        <v>6029.6</v>
      </c>
      <c r="F362" s="54">
        <f>'220 Antiga Silvinho '!$E362-'220 Antiga Silvinho '!$D362</f>
        <v>9.1</v>
      </c>
      <c r="G362" s="54">
        <f>'220 Antiga Silvinho '!$F362-10</f>
        <v>-0.9</v>
      </c>
    </row>
    <row r="363" ht="14.25" customHeight="1">
      <c r="B363" s="163">
        <v>45308.0</v>
      </c>
      <c r="C363" s="141" t="str">
        <f t="shared" si="1"/>
        <v>1-2024</v>
      </c>
      <c r="D363" s="138">
        <v>6030.8</v>
      </c>
      <c r="E363" s="138">
        <v>6041.8</v>
      </c>
      <c r="F363" s="54">
        <f>'220 Antiga Silvinho '!$E363-'220 Antiga Silvinho '!$D363</f>
        <v>11</v>
      </c>
      <c r="G363" s="54">
        <f>'220 Antiga Silvinho '!$F363-10</f>
        <v>1</v>
      </c>
    </row>
    <row r="364" ht="14.25" customHeight="1">
      <c r="B364" s="163">
        <v>45309.0</v>
      </c>
      <c r="C364" s="141" t="str">
        <f t="shared" si="1"/>
        <v>1-2024</v>
      </c>
      <c r="D364" s="54">
        <f t="shared" ref="D364:D365" si="13">E363</f>
        <v>6041.8</v>
      </c>
      <c r="E364" s="138">
        <v>6053.3</v>
      </c>
      <c r="F364" s="54">
        <f>'220 Antiga Silvinho '!$E364-'220 Antiga Silvinho '!$D364</f>
        <v>11.5</v>
      </c>
      <c r="G364" s="54">
        <f>'220 Antiga Silvinho '!$F364-10</f>
        <v>1.5</v>
      </c>
      <c r="H364" s="28">
        <v>400.0</v>
      </c>
    </row>
    <row r="365" ht="14.25" customHeight="1">
      <c r="B365" s="163">
        <v>45310.0</v>
      </c>
      <c r="C365" s="141" t="str">
        <f t="shared" si="1"/>
        <v>1-2024</v>
      </c>
      <c r="D365" s="54">
        <f t="shared" si="13"/>
        <v>6053.3</v>
      </c>
      <c r="E365" s="138">
        <v>6063.4</v>
      </c>
      <c r="F365" s="54">
        <f>'220 Antiga Silvinho '!$E365-'220 Antiga Silvinho '!$D365</f>
        <v>10.1</v>
      </c>
      <c r="G365" s="54">
        <f>'220 Antiga Silvinho '!$F365-10</f>
        <v>0.1</v>
      </c>
      <c r="H365" s="28">
        <v>225.0</v>
      </c>
    </row>
    <row r="366" ht="14.25" customHeight="1">
      <c r="B366" s="163">
        <v>45311.0</v>
      </c>
      <c r="C366" s="141" t="str">
        <f t="shared" si="1"/>
        <v>1-2024</v>
      </c>
      <c r="D366" s="138">
        <v>6064.2</v>
      </c>
      <c r="E366" s="138">
        <v>6073.0</v>
      </c>
      <c r="F366" s="54">
        <f>'220 Antiga Silvinho '!$E366-'220 Antiga Silvinho '!$D366</f>
        <v>8.8</v>
      </c>
      <c r="G366" s="54">
        <f>'220 Antiga Silvinho '!$F366-10</f>
        <v>-1.2</v>
      </c>
    </row>
    <row r="367" ht="14.25" customHeight="1">
      <c r="B367" s="163">
        <v>45312.0</v>
      </c>
      <c r="C367" s="141" t="str">
        <f t="shared" si="1"/>
        <v>1-2024</v>
      </c>
      <c r="D367" s="54"/>
      <c r="E367" s="54"/>
      <c r="F367" s="54">
        <f>'220 Antiga Silvinho '!$E367-'220 Antiga Silvinho '!$D367</f>
        <v>0</v>
      </c>
      <c r="G367" s="54">
        <f>'220 Antiga Silvinho '!$F367-10</f>
        <v>-10</v>
      </c>
    </row>
    <row r="368" ht="14.25" customHeight="1">
      <c r="B368" s="163">
        <v>45313.0</v>
      </c>
      <c r="C368" s="141" t="str">
        <f t="shared" si="1"/>
        <v>1-2024</v>
      </c>
      <c r="D368" s="138">
        <v>6073.0</v>
      </c>
      <c r="E368" s="138">
        <v>6080.1</v>
      </c>
      <c r="F368" s="54">
        <f>'220 Antiga Silvinho '!$E368-'220 Antiga Silvinho '!$D368</f>
        <v>7.1</v>
      </c>
      <c r="G368" s="54">
        <f>'220 Antiga Silvinho '!$F368-10</f>
        <v>-2.9</v>
      </c>
    </row>
    <row r="369" ht="14.25" customHeight="1">
      <c r="B369" s="163">
        <v>45314.0</v>
      </c>
      <c r="C369" s="141" t="str">
        <f t="shared" si="1"/>
        <v>1-2024</v>
      </c>
      <c r="D369" s="54">
        <f>E368</f>
        <v>6080.1</v>
      </c>
      <c r="E369" s="138">
        <v>6088.9</v>
      </c>
      <c r="F369" s="54">
        <f>'220 Antiga Silvinho '!$E369-'220 Antiga Silvinho '!$D369</f>
        <v>8.8</v>
      </c>
      <c r="G369" s="54">
        <f>'220 Antiga Silvinho '!$F369-10</f>
        <v>-1.2</v>
      </c>
    </row>
    <row r="370" ht="14.25" customHeight="1">
      <c r="B370" s="163">
        <v>45315.0</v>
      </c>
      <c r="C370" s="141" t="str">
        <f t="shared" si="1"/>
        <v>1-2024</v>
      </c>
      <c r="D370" s="138">
        <v>6091.0</v>
      </c>
      <c r="E370" s="138">
        <v>6099.5</v>
      </c>
      <c r="F370" s="54">
        <f>'220 Antiga Silvinho '!$E370-'220 Antiga Silvinho '!$D370</f>
        <v>8.5</v>
      </c>
      <c r="G370" s="54">
        <f>'220 Antiga Silvinho '!$F370-10</f>
        <v>-1.5</v>
      </c>
    </row>
    <row r="371" ht="14.25" customHeight="1">
      <c r="B371" s="163">
        <v>45316.0</v>
      </c>
      <c r="C371" s="141" t="str">
        <f t="shared" si="1"/>
        <v>1-2024</v>
      </c>
      <c r="D371" s="54">
        <f t="shared" ref="D371:D372" si="14">E370</f>
        <v>6099.5</v>
      </c>
      <c r="E371" s="138">
        <v>6110.0</v>
      </c>
      <c r="F371" s="54">
        <f>'220 Antiga Silvinho '!$E371-'220 Antiga Silvinho '!$D371</f>
        <v>10.5</v>
      </c>
      <c r="G371" s="54">
        <f>'220 Antiga Silvinho '!$F371-10</f>
        <v>0.5</v>
      </c>
      <c r="H371" s="28">
        <v>440.0</v>
      </c>
    </row>
    <row r="372" ht="14.25" customHeight="1">
      <c r="B372" s="163">
        <v>45317.0</v>
      </c>
      <c r="C372" s="141" t="str">
        <f t="shared" si="1"/>
        <v>1-2024</v>
      </c>
      <c r="D372" s="54">
        <f t="shared" si="14"/>
        <v>6110</v>
      </c>
      <c r="E372" s="138">
        <v>6119.3</v>
      </c>
      <c r="F372" s="54">
        <f>'220 Antiga Silvinho '!$E372-'220 Antiga Silvinho '!$D372</f>
        <v>9.3</v>
      </c>
      <c r="G372" s="54">
        <f>'220 Antiga Silvinho '!$F372-10</f>
        <v>-0.7</v>
      </c>
    </row>
    <row r="373" ht="14.25" customHeight="1">
      <c r="B373" s="163">
        <v>45318.0</v>
      </c>
      <c r="C373" s="141" t="str">
        <f t="shared" si="1"/>
        <v>1-2024</v>
      </c>
      <c r="D373" s="54"/>
      <c r="E373" s="54"/>
      <c r="F373" s="54">
        <f>'220 Antiga Silvinho '!$E373-'220 Antiga Silvinho '!$D373</f>
        <v>0</v>
      </c>
      <c r="G373" s="54">
        <f>'220 Antiga Silvinho '!$F373-10</f>
        <v>-10</v>
      </c>
    </row>
    <row r="374" ht="14.25" customHeight="1">
      <c r="B374" s="163">
        <v>45319.0</v>
      </c>
      <c r="C374" s="141" t="str">
        <f t="shared" si="1"/>
        <v>1-2024</v>
      </c>
      <c r="D374" s="54" t="str">
        <f>E373</f>
        <v/>
      </c>
      <c r="E374" s="54"/>
      <c r="F374" s="54">
        <f>'220 Antiga Silvinho '!$E374-'220 Antiga Silvinho '!$D374</f>
        <v>0</v>
      </c>
      <c r="G374" s="54">
        <f>'220 Antiga Silvinho '!$F374-10</f>
        <v>-10</v>
      </c>
    </row>
    <row r="375" ht="14.25" customHeight="1">
      <c r="B375" s="163">
        <v>45320.0</v>
      </c>
      <c r="C375" s="141" t="str">
        <f t="shared" si="1"/>
        <v>1-2024</v>
      </c>
      <c r="D375" s="138">
        <v>6119.3</v>
      </c>
      <c r="E375" s="138">
        <v>6125.3</v>
      </c>
      <c r="F375" s="54">
        <f>'220 Antiga Silvinho '!$E375-'220 Antiga Silvinho '!$D375</f>
        <v>6</v>
      </c>
      <c r="G375" s="54">
        <f>'220 Antiga Silvinho '!$F375-10</f>
        <v>-4</v>
      </c>
    </row>
    <row r="376" ht="14.25" customHeight="1">
      <c r="B376" s="163">
        <v>45321.0</v>
      </c>
      <c r="C376" s="141" t="str">
        <f t="shared" si="1"/>
        <v>1-2024</v>
      </c>
      <c r="D376" s="54">
        <f t="shared" ref="D376:D377" si="15">E375</f>
        <v>6125.3</v>
      </c>
      <c r="E376" s="138">
        <v>6136.0</v>
      </c>
      <c r="F376" s="54">
        <f>'220 Antiga Silvinho '!$E376-'220 Antiga Silvinho '!$D376</f>
        <v>10.7</v>
      </c>
      <c r="G376" s="54">
        <f>'220 Antiga Silvinho '!$F376-10</f>
        <v>0.7</v>
      </c>
    </row>
    <row r="377" ht="14.25" customHeight="1">
      <c r="B377" s="163">
        <v>45322.0</v>
      </c>
      <c r="C377" s="141" t="str">
        <f t="shared" si="1"/>
        <v>1-2024</v>
      </c>
      <c r="D377" s="54">
        <f t="shared" si="15"/>
        <v>6136</v>
      </c>
      <c r="E377" s="138">
        <v>6145.5</v>
      </c>
      <c r="F377" s="54">
        <f>'220 Antiga Silvinho '!$E377-'220 Antiga Silvinho '!$D377</f>
        <v>9.5</v>
      </c>
      <c r="G377" s="54">
        <f>'220 Antiga Silvinho '!$F377-10</f>
        <v>-0.5</v>
      </c>
      <c r="H377" s="28">
        <v>400.0</v>
      </c>
    </row>
    <row r="378" ht="14.25" customHeight="1">
      <c r="B378" s="163">
        <v>45323.0</v>
      </c>
      <c r="C378" s="141" t="str">
        <f t="shared" si="1"/>
        <v>2-2024</v>
      </c>
      <c r="D378" s="138">
        <v>6145.5</v>
      </c>
      <c r="E378" s="138">
        <v>6150.5</v>
      </c>
      <c r="F378" s="54">
        <f>'220 Antiga Silvinho '!$E378-'220 Antiga Silvinho '!$D378</f>
        <v>5</v>
      </c>
      <c r="G378" s="54">
        <f>'220 Antiga Silvinho '!$F378-10</f>
        <v>-5</v>
      </c>
    </row>
    <row r="379" ht="14.25" customHeight="1">
      <c r="B379" s="163">
        <v>45324.0</v>
      </c>
      <c r="C379" s="141" t="str">
        <f t="shared" si="1"/>
        <v>2-2024</v>
      </c>
      <c r="D379" s="54">
        <f t="shared" ref="D379:D380" si="16">E378</f>
        <v>6150.5</v>
      </c>
      <c r="E379" s="138">
        <v>6157.8</v>
      </c>
      <c r="F379" s="54">
        <f>'220 Antiga Silvinho '!$E379-'220 Antiga Silvinho '!$D379</f>
        <v>7.3</v>
      </c>
      <c r="G379" s="54">
        <f>'220 Antiga Silvinho '!$F379-10</f>
        <v>-2.7</v>
      </c>
    </row>
    <row r="380" ht="14.25" customHeight="1">
      <c r="B380" s="163">
        <v>45325.0</v>
      </c>
      <c r="C380" s="141" t="str">
        <f t="shared" si="1"/>
        <v>2-2024</v>
      </c>
      <c r="D380" s="54">
        <f t="shared" si="16"/>
        <v>6157.8</v>
      </c>
      <c r="E380" s="138">
        <v>6158.2</v>
      </c>
      <c r="F380" s="54">
        <f>'220 Antiga Silvinho '!$E380-'220 Antiga Silvinho '!$D380</f>
        <v>0.4</v>
      </c>
      <c r="G380" s="54">
        <f>'220 Antiga Silvinho '!$F380-10</f>
        <v>-9.6</v>
      </c>
    </row>
    <row r="381" ht="14.25" customHeight="1">
      <c r="B381" s="163">
        <v>45326.0</v>
      </c>
      <c r="C381" s="141" t="str">
        <f t="shared" si="1"/>
        <v>2-2024</v>
      </c>
      <c r="D381" s="54"/>
      <c r="E381" s="54"/>
      <c r="F381" s="54">
        <f>'220 Antiga Silvinho '!$E381-'220 Antiga Silvinho '!$D381</f>
        <v>0</v>
      </c>
      <c r="G381" s="54">
        <f>'220 Antiga Silvinho '!$F381-10</f>
        <v>-10</v>
      </c>
    </row>
    <row r="382" ht="14.25" customHeight="1">
      <c r="B382" s="163">
        <v>45327.0</v>
      </c>
      <c r="C382" s="141" t="str">
        <f t="shared" si="1"/>
        <v>2-2024</v>
      </c>
      <c r="D382" s="138">
        <v>6168.2</v>
      </c>
      <c r="E382" s="138">
        <v>6165.2</v>
      </c>
      <c r="F382" s="54">
        <f>'220 Antiga Silvinho '!$E382-'220 Antiga Silvinho '!$D382</f>
        <v>-3</v>
      </c>
      <c r="G382" s="54">
        <f>'220 Antiga Silvinho '!$F382-10</f>
        <v>-13</v>
      </c>
    </row>
    <row r="383" ht="14.25" customHeight="1">
      <c r="B383" s="163">
        <v>45328.0</v>
      </c>
      <c r="C383" s="141" t="str">
        <f t="shared" si="1"/>
        <v>2-2024</v>
      </c>
      <c r="D383" s="54">
        <f>E382</f>
        <v>6165.2</v>
      </c>
      <c r="E383" s="138">
        <v>6167.6</v>
      </c>
      <c r="F383" s="54">
        <f>'220 Antiga Silvinho '!$E383-'220 Antiga Silvinho '!$D383</f>
        <v>2.4</v>
      </c>
      <c r="G383" s="54">
        <f>'220 Antiga Silvinho '!$F383-10</f>
        <v>-7.6</v>
      </c>
    </row>
    <row r="384" ht="14.25" customHeight="1">
      <c r="B384" s="163">
        <v>45329.0</v>
      </c>
      <c r="C384" s="141" t="str">
        <f t="shared" si="1"/>
        <v>2-2024</v>
      </c>
      <c r="D384" s="138">
        <v>6167.7</v>
      </c>
      <c r="E384" s="138">
        <v>6172.7</v>
      </c>
      <c r="F384" s="54">
        <f>'220 Antiga Silvinho '!$E384-'220 Antiga Silvinho '!$D384</f>
        <v>5</v>
      </c>
      <c r="G384" s="54">
        <f>'220 Antiga Silvinho '!$F384-10</f>
        <v>-5</v>
      </c>
    </row>
    <row r="385" ht="14.25" customHeight="1">
      <c r="B385" s="163">
        <v>45330.0</v>
      </c>
      <c r="C385" s="141" t="str">
        <f t="shared" si="1"/>
        <v>2-2024</v>
      </c>
      <c r="D385" s="54">
        <f t="shared" ref="D385:D386" si="17">E384</f>
        <v>6172.7</v>
      </c>
      <c r="E385" s="138">
        <v>6180.7</v>
      </c>
      <c r="F385" s="54">
        <f>'220 Antiga Silvinho '!$E385-'220 Antiga Silvinho '!$D385</f>
        <v>8</v>
      </c>
      <c r="G385" s="54">
        <f>'220 Antiga Silvinho '!$F385-10</f>
        <v>-2</v>
      </c>
    </row>
    <row r="386" ht="14.25" customHeight="1">
      <c r="B386" s="163">
        <v>45331.0</v>
      </c>
      <c r="C386" s="141" t="str">
        <f t="shared" si="1"/>
        <v>2-2024</v>
      </c>
      <c r="D386" s="54">
        <f t="shared" si="17"/>
        <v>6180.7</v>
      </c>
      <c r="E386" s="138">
        <v>6190.1</v>
      </c>
      <c r="F386" s="54">
        <f>'220 Antiga Silvinho '!$E386-'220 Antiga Silvinho '!$D386</f>
        <v>9.4</v>
      </c>
      <c r="G386" s="54">
        <f>'220 Antiga Silvinho '!$F386-10</f>
        <v>-0.6</v>
      </c>
    </row>
    <row r="387" ht="14.25" customHeight="1">
      <c r="B387" s="163">
        <v>45332.0</v>
      </c>
      <c r="C387" s="141" t="str">
        <f t="shared" si="1"/>
        <v>2-2024</v>
      </c>
      <c r="D387" s="54"/>
      <c r="E387" s="54"/>
      <c r="F387" s="54">
        <f>'220 Antiga Silvinho '!$E387-'220 Antiga Silvinho '!$D387</f>
        <v>0</v>
      </c>
      <c r="G387" s="54">
        <f>'220 Antiga Silvinho '!$F387-10</f>
        <v>-10</v>
      </c>
    </row>
    <row r="388" ht="14.25" customHeight="1">
      <c r="B388" s="163">
        <v>45333.0</v>
      </c>
      <c r="C388" s="141" t="str">
        <f t="shared" si="1"/>
        <v>2-2024</v>
      </c>
      <c r="D388" s="54" t="str">
        <f>E387</f>
        <v/>
      </c>
      <c r="E388" s="54"/>
      <c r="F388" s="54">
        <f>'220 Antiga Silvinho '!$E388-'220 Antiga Silvinho '!$D388</f>
        <v>0</v>
      </c>
      <c r="G388" s="54">
        <f>'220 Antiga Silvinho '!$F388-10</f>
        <v>-10</v>
      </c>
    </row>
    <row r="389" ht="14.25" customHeight="1">
      <c r="B389" s="164">
        <v>45334.0</v>
      </c>
      <c r="C389" s="141" t="str">
        <f t="shared" si="1"/>
        <v>2-2024</v>
      </c>
      <c r="D389" s="138">
        <v>6205.1</v>
      </c>
      <c r="E389" s="138">
        <v>6213.1</v>
      </c>
      <c r="F389" s="54">
        <f>'220 Antiga Silvinho '!$E389-'220 Antiga Silvinho '!$D389</f>
        <v>8</v>
      </c>
      <c r="G389" s="54">
        <f>'220 Antiga Silvinho '!$F389-10</f>
        <v>-2</v>
      </c>
    </row>
    <row r="390" ht="14.25" customHeight="1">
      <c r="B390" s="164">
        <v>45335.0</v>
      </c>
      <c r="C390" s="141" t="str">
        <f t="shared" si="1"/>
        <v>2-2024</v>
      </c>
      <c r="D390" s="54">
        <f t="shared" ref="D390:D391" si="18">E389</f>
        <v>6213.1</v>
      </c>
      <c r="E390" s="138">
        <v>6224.1</v>
      </c>
      <c r="F390" s="54">
        <f>'220 Antiga Silvinho '!$E390-'220 Antiga Silvinho '!$D390</f>
        <v>11</v>
      </c>
      <c r="G390" s="54">
        <f>'220 Antiga Silvinho '!$F390-10</f>
        <v>1</v>
      </c>
    </row>
    <row r="391" ht="14.25" customHeight="1">
      <c r="B391" s="164">
        <v>45336.0</v>
      </c>
      <c r="C391" s="141" t="str">
        <f t="shared" si="1"/>
        <v>2-2024</v>
      </c>
      <c r="D391" s="54">
        <f t="shared" si="18"/>
        <v>6224.1</v>
      </c>
      <c r="E391" s="138">
        <v>6234.2</v>
      </c>
      <c r="F391" s="54">
        <f>'220 Antiga Silvinho '!$E391-'220 Antiga Silvinho '!$D391</f>
        <v>10.1</v>
      </c>
      <c r="G391" s="54">
        <f>'220 Antiga Silvinho '!$F391-10</f>
        <v>0.1</v>
      </c>
    </row>
    <row r="392" ht="14.25" customHeight="1">
      <c r="B392" s="164">
        <v>45337.0</v>
      </c>
      <c r="C392" s="141" t="str">
        <f t="shared" si="1"/>
        <v>2-2024</v>
      </c>
      <c r="D392" s="54"/>
      <c r="E392" s="54"/>
      <c r="F392" s="54">
        <f>'220 Antiga Silvinho '!$E392-'220 Antiga Silvinho '!$D392</f>
        <v>0</v>
      </c>
      <c r="G392" s="54">
        <f>'220 Antiga Silvinho '!$F392-10</f>
        <v>-10</v>
      </c>
    </row>
    <row r="393" ht="14.25" customHeight="1">
      <c r="B393" s="164">
        <v>45338.0</v>
      </c>
      <c r="C393" s="141" t="str">
        <f t="shared" si="1"/>
        <v>2-2024</v>
      </c>
      <c r="D393" s="54" t="str">
        <f>E392</f>
        <v/>
      </c>
      <c r="E393" s="54"/>
      <c r="F393" s="54">
        <f>'220 Antiga Silvinho '!$E393-'220 Antiga Silvinho '!$D393</f>
        <v>0</v>
      </c>
      <c r="G393" s="54">
        <f>'220 Antiga Silvinho '!$F393-10</f>
        <v>-10</v>
      </c>
    </row>
    <row r="394" ht="14.25" customHeight="1">
      <c r="B394" s="164">
        <v>45339.0</v>
      </c>
      <c r="C394" s="141" t="str">
        <f t="shared" si="1"/>
        <v>2-2024</v>
      </c>
      <c r="D394" s="28">
        <v>6234.9</v>
      </c>
      <c r="E394" s="28">
        <v>6240.0</v>
      </c>
      <c r="F394" s="54">
        <f>'220 Antiga Silvinho '!$E394-'220 Antiga Silvinho '!$D394</f>
        <v>5.1</v>
      </c>
      <c r="G394" s="54">
        <f>'220 Antiga Silvinho '!$F394-10</f>
        <v>-4.9</v>
      </c>
    </row>
    <row r="395" ht="14.25" customHeight="1">
      <c r="B395" s="164">
        <v>45340.0</v>
      </c>
      <c r="C395" s="141" t="str">
        <f t="shared" si="1"/>
        <v>2-2024</v>
      </c>
      <c r="D395" s="28">
        <v>6240.0</v>
      </c>
      <c r="E395" s="28">
        <v>6251.0</v>
      </c>
      <c r="F395" s="54">
        <f>'220 Antiga Silvinho '!$E395-'220 Antiga Silvinho '!$D395</f>
        <v>11</v>
      </c>
      <c r="G395" s="54">
        <f>'220 Antiga Silvinho '!$F395-10</f>
        <v>1</v>
      </c>
    </row>
    <row r="396" ht="14.25" customHeight="1">
      <c r="B396" s="164">
        <v>45341.0</v>
      </c>
      <c r="C396" s="141" t="str">
        <f t="shared" si="1"/>
        <v>2-2024</v>
      </c>
      <c r="D396" s="165">
        <f t="shared" ref="D396:D399" si="19">E395</f>
        <v>6251</v>
      </c>
      <c r="E396" s="28">
        <v>6258.1</v>
      </c>
      <c r="F396" s="54">
        <f>'220 Antiga Silvinho '!$E396-'220 Antiga Silvinho '!$D396</f>
        <v>7.1</v>
      </c>
      <c r="G396" s="54">
        <f>'220 Antiga Silvinho '!$F396-10</f>
        <v>-2.9</v>
      </c>
    </row>
    <row r="397" ht="14.25" customHeight="1">
      <c r="B397" s="164">
        <v>45342.0</v>
      </c>
      <c r="C397" s="141" t="str">
        <f t="shared" si="1"/>
        <v>2-2024</v>
      </c>
      <c r="D397" s="165">
        <f t="shared" si="19"/>
        <v>6258.1</v>
      </c>
      <c r="E397" s="28">
        <v>6267.2</v>
      </c>
      <c r="F397" s="54">
        <f>'220 Antiga Silvinho '!$E397-'220 Antiga Silvinho '!$D397</f>
        <v>9.1</v>
      </c>
      <c r="G397" s="54">
        <f>'220 Antiga Silvinho '!$F397-10</f>
        <v>-0.9</v>
      </c>
    </row>
    <row r="398" ht="14.25" customHeight="1">
      <c r="B398" s="164">
        <v>45343.0</v>
      </c>
      <c r="C398" s="141" t="str">
        <f t="shared" si="1"/>
        <v>2-2024</v>
      </c>
      <c r="D398" s="165">
        <f t="shared" si="19"/>
        <v>6267.2</v>
      </c>
      <c r="E398" s="28">
        <v>6279.2</v>
      </c>
      <c r="F398" s="54">
        <f>'220 Antiga Silvinho '!$E398-'220 Antiga Silvinho '!$D398</f>
        <v>12</v>
      </c>
      <c r="G398" s="54">
        <f>'220 Antiga Silvinho '!$F398-10</f>
        <v>2</v>
      </c>
    </row>
    <row r="399" ht="14.25" customHeight="1">
      <c r="B399" s="164">
        <v>45344.0</v>
      </c>
      <c r="C399" s="141" t="str">
        <f t="shared" si="1"/>
        <v>2-2024</v>
      </c>
      <c r="D399" s="165">
        <f t="shared" si="19"/>
        <v>6279.2</v>
      </c>
      <c r="E399" s="28">
        <v>6290.2</v>
      </c>
      <c r="F399" s="54">
        <f>'220 Antiga Silvinho '!$E399-'220 Antiga Silvinho '!$D399</f>
        <v>11</v>
      </c>
      <c r="G399" s="54">
        <f>'220 Antiga Silvinho '!$F399-10</f>
        <v>1</v>
      </c>
    </row>
    <row r="400" ht="14.25" customHeight="1">
      <c r="B400" s="164">
        <v>45345.0</v>
      </c>
      <c r="C400" s="141" t="str">
        <f t="shared" si="1"/>
        <v>2-2024</v>
      </c>
      <c r="F400" s="54">
        <f>'220 Antiga Silvinho '!$E400-'220 Antiga Silvinho '!$D400</f>
        <v>0</v>
      </c>
      <c r="G400" s="54">
        <f>'220 Antiga Silvinho '!$F400-10</f>
        <v>-10</v>
      </c>
    </row>
    <row r="401" ht="14.25" customHeight="1">
      <c r="B401" s="164">
        <v>45346.0</v>
      </c>
      <c r="C401" s="141" t="str">
        <f t="shared" si="1"/>
        <v>2-2024</v>
      </c>
      <c r="D401" s="165" t="str">
        <f t="shared" ref="D401:D402" si="20">E400</f>
        <v/>
      </c>
      <c r="F401" s="54">
        <f>'220 Antiga Silvinho '!$E401-'220 Antiga Silvinho '!$D401</f>
        <v>0</v>
      </c>
      <c r="G401" s="54">
        <f>'220 Antiga Silvinho '!$F401-10</f>
        <v>-10</v>
      </c>
    </row>
    <row r="402" ht="14.25" customHeight="1">
      <c r="B402" s="164">
        <v>45347.0</v>
      </c>
      <c r="C402" s="141" t="str">
        <f t="shared" si="1"/>
        <v>2-2024</v>
      </c>
      <c r="D402" s="165" t="str">
        <f t="shared" si="20"/>
        <v/>
      </c>
      <c r="F402" s="54">
        <f>'220 Antiga Silvinho '!$E402-'220 Antiga Silvinho '!$D402</f>
        <v>0</v>
      </c>
      <c r="G402" s="54">
        <f>'220 Antiga Silvinho '!$F402-10</f>
        <v>-10</v>
      </c>
    </row>
    <row r="403" ht="14.25" customHeight="1">
      <c r="B403" s="164">
        <v>45348.0</v>
      </c>
      <c r="C403" s="141" t="str">
        <f t="shared" si="1"/>
        <v>2-2024</v>
      </c>
      <c r="D403" s="28">
        <v>6290.2</v>
      </c>
      <c r="E403" s="28">
        <v>6297.3</v>
      </c>
      <c r="F403" s="54">
        <f>'220 Antiga Silvinho '!$E403-'220 Antiga Silvinho '!$D403</f>
        <v>7.1</v>
      </c>
      <c r="G403" s="54">
        <f>'220 Antiga Silvinho '!$F403-10</f>
        <v>-2.9</v>
      </c>
    </row>
    <row r="404" ht="14.25" customHeight="1">
      <c r="B404" s="164">
        <v>45349.0</v>
      </c>
      <c r="C404" s="141" t="str">
        <f t="shared" si="1"/>
        <v>2-2024</v>
      </c>
      <c r="D404" s="165">
        <f t="shared" ref="D404:D406" si="21">E403</f>
        <v>6297.3</v>
      </c>
      <c r="E404" s="28">
        <v>6309.0</v>
      </c>
      <c r="F404" s="54">
        <f>'220 Antiga Silvinho '!$E404-'220 Antiga Silvinho '!$D404</f>
        <v>11.7</v>
      </c>
      <c r="G404" s="54">
        <f>'220 Antiga Silvinho '!$F404-10</f>
        <v>1.7</v>
      </c>
    </row>
    <row r="405" ht="14.25" customHeight="1">
      <c r="B405" s="164">
        <v>45350.0</v>
      </c>
      <c r="C405" s="141" t="str">
        <f t="shared" si="1"/>
        <v>2-2024</v>
      </c>
      <c r="D405" s="165">
        <f t="shared" si="21"/>
        <v>6309</v>
      </c>
      <c r="E405" s="28">
        <v>6318.2</v>
      </c>
      <c r="F405" s="54">
        <f>'220 Antiga Silvinho '!$E405-'220 Antiga Silvinho '!$D405</f>
        <v>9.2</v>
      </c>
      <c r="G405" s="54">
        <f>'220 Antiga Silvinho '!$F405-10</f>
        <v>-0.8</v>
      </c>
    </row>
    <row r="406" ht="14.25" customHeight="1">
      <c r="B406" s="164">
        <v>45351.0</v>
      </c>
      <c r="C406" s="141" t="str">
        <f t="shared" si="1"/>
        <v>2-2024</v>
      </c>
      <c r="D406" s="165">
        <f t="shared" si="21"/>
        <v>6318.2</v>
      </c>
      <c r="E406" s="28">
        <v>6329.2</v>
      </c>
      <c r="F406" s="54">
        <f>'220 Antiga Silvinho '!$E406-'220 Antiga Silvinho '!$D406</f>
        <v>11</v>
      </c>
      <c r="G406" s="54">
        <f>'220 Antiga Silvinho '!$F406-10</f>
        <v>1</v>
      </c>
    </row>
    <row r="407" ht="14.25" customHeight="1">
      <c r="B407" s="164">
        <v>45352.0</v>
      </c>
      <c r="C407" s="141" t="str">
        <f t="shared" si="1"/>
        <v>3-2024</v>
      </c>
      <c r="D407" s="28">
        <v>6329.2</v>
      </c>
      <c r="E407" s="28">
        <v>6339.2</v>
      </c>
      <c r="F407" s="54">
        <f>'220 Antiga Silvinho '!$E407-'220 Antiga Silvinho '!$D407</f>
        <v>10</v>
      </c>
      <c r="G407" s="54">
        <f>'220 Antiga Silvinho '!$F407-10</f>
        <v>0</v>
      </c>
    </row>
    <row r="408" ht="14.25" customHeight="1">
      <c r="B408" s="164">
        <v>45353.0</v>
      </c>
      <c r="C408" s="141" t="str">
        <f t="shared" si="1"/>
        <v>3-2024</v>
      </c>
      <c r="D408" s="165">
        <f t="shared" ref="D408:D413" si="22">E407</f>
        <v>6339.2</v>
      </c>
      <c r="E408" s="28">
        <v>6350.2</v>
      </c>
      <c r="F408" s="54">
        <f>'220 Antiga Silvinho '!$E408-'220 Antiga Silvinho '!$D408</f>
        <v>11</v>
      </c>
      <c r="G408" s="54">
        <f>'220 Antiga Silvinho '!$F408-10</f>
        <v>1</v>
      </c>
    </row>
    <row r="409" ht="14.25" customHeight="1">
      <c r="B409" s="164">
        <v>45354.0</v>
      </c>
      <c r="C409" s="141" t="str">
        <f t="shared" si="1"/>
        <v>3-2024</v>
      </c>
      <c r="D409" s="165">
        <f t="shared" si="22"/>
        <v>6350.2</v>
      </c>
      <c r="E409" s="28">
        <v>6361.3</v>
      </c>
      <c r="F409" s="54">
        <f>'220 Antiga Silvinho '!$E409-'220 Antiga Silvinho '!$D409</f>
        <v>11.1</v>
      </c>
      <c r="G409" s="54">
        <f>'220 Antiga Silvinho '!$F409-10</f>
        <v>1.1</v>
      </c>
    </row>
    <row r="410" ht="14.25" customHeight="1">
      <c r="B410" s="164">
        <v>45355.0</v>
      </c>
      <c r="C410" s="141" t="str">
        <f t="shared" si="1"/>
        <v>3-2024</v>
      </c>
      <c r="D410" s="165">
        <f t="shared" si="22"/>
        <v>6361.3</v>
      </c>
      <c r="E410" s="28">
        <v>6373.1</v>
      </c>
      <c r="F410" s="54">
        <f>'220 Antiga Silvinho '!$E410-'220 Antiga Silvinho '!$D410</f>
        <v>11.8</v>
      </c>
      <c r="G410" s="54">
        <f>'220 Antiga Silvinho '!$F410-10</f>
        <v>1.8</v>
      </c>
    </row>
    <row r="411" ht="14.25" customHeight="1">
      <c r="B411" s="164">
        <v>45356.0</v>
      </c>
      <c r="C411" s="141" t="str">
        <f t="shared" si="1"/>
        <v>3-2024</v>
      </c>
      <c r="D411" s="165">
        <f t="shared" si="22"/>
        <v>6373.1</v>
      </c>
      <c r="E411" s="28">
        <v>6384.1</v>
      </c>
      <c r="F411" s="54">
        <f>'220 Antiga Silvinho '!$E411-'220 Antiga Silvinho '!$D411</f>
        <v>11</v>
      </c>
      <c r="G411" s="54">
        <f>'220 Antiga Silvinho '!$F411-10</f>
        <v>1</v>
      </c>
    </row>
    <row r="412" ht="14.25" customHeight="1">
      <c r="B412" s="164">
        <v>45357.0</v>
      </c>
      <c r="C412" s="141" t="str">
        <f t="shared" si="1"/>
        <v>3-2024</v>
      </c>
      <c r="D412" s="165">
        <f t="shared" si="22"/>
        <v>6384.1</v>
      </c>
      <c r="E412" s="28">
        <v>6394.0</v>
      </c>
      <c r="F412" s="54">
        <f>'220 Antiga Silvinho '!$E412-'220 Antiga Silvinho '!$D412</f>
        <v>9.9</v>
      </c>
      <c r="G412" s="54">
        <f>'220 Antiga Silvinho '!$F412-10</f>
        <v>-0.1</v>
      </c>
    </row>
    <row r="413" ht="14.25" customHeight="1">
      <c r="B413" s="164">
        <v>45358.0</v>
      </c>
      <c r="C413" s="141" t="str">
        <f t="shared" si="1"/>
        <v>3-2024</v>
      </c>
      <c r="D413" s="165">
        <f t="shared" si="22"/>
        <v>6394</v>
      </c>
      <c r="E413" s="28">
        <v>6405.0</v>
      </c>
      <c r="F413" s="54">
        <f>'220 Antiga Silvinho '!$E413-'220 Antiga Silvinho '!$D413</f>
        <v>11</v>
      </c>
      <c r="G413" s="54">
        <f>'220 Antiga Silvinho '!$F413-10</f>
        <v>1</v>
      </c>
    </row>
    <row r="414" ht="14.25" customHeight="1">
      <c r="B414" s="164">
        <v>45359.0</v>
      </c>
      <c r="C414" s="141" t="str">
        <f t="shared" si="1"/>
        <v>3-2024</v>
      </c>
      <c r="F414" s="54">
        <f>'220 Antiga Silvinho '!$E414-'220 Antiga Silvinho '!$D414</f>
        <v>0</v>
      </c>
      <c r="G414" s="54">
        <f>'220 Antiga Silvinho '!$F414-10</f>
        <v>-10</v>
      </c>
    </row>
    <row r="415" ht="14.25" customHeight="1">
      <c r="B415" s="164">
        <v>45360.0</v>
      </c>
      <c r="C415" s="141" t="str">
        <f t="shared" si="1"/>
        <v>3-2024</v>
      </c>
      <c r="F415" s="54">
        <f>'220 Antiga Silvinho '!$E415-'220 Antiga Silvinho '!$D415</f>
        <v>0</v>
      </c>
      <c r="G415" s="54">
        <f>'220 Antiga Silvinho '!$F415-10</f>
        <v>-10</v>
      </c>
    </row>
    <row r="416" ht="14.25" customHeight="1">
      <c r="B416" s="164">
        <v>45361.0</v>
      </c>
      <c r="C416" s="141" t="str">
        <f t="shared" si="1"/>
        <v>3-2024</v>
      </c>
      <c r="F416" s="54">
        <f>'220 Antiga Silvinho '!$E416-'220 Antiga Silvinho '!$D416</f>
        <v>0</v>
      </c>
      <c r="G416" s="54">
        <f>'220 Antiga Silvinho '!$F416-10</f>
        <v>-10</v>
      </c>
    </row>
    <row r="417" ht="14.25" customHeight="1">
      <c r="B417" s="164">
        <v>45362.0</v>
      </c>
      <c r="C417" s="141" t="str">
        <f t="shared" si="1"/>
        <v>3-2024</v>
      </c>
      <c r="D417" s="28">
        <v>6405.0</v>
      </c>
      <c r="E417" s="28">
        <v>6415.0</v>
      </c>
      <c r="F417" s="54">
        <f>'220 Antiga Silvinho '!$E417-'220 Antiga Silvinho '!$D417</f>
        <v>10</v>
      </c>
      <c r="G417" s="54">
        <f>'220 Antiga Silvinho '!$F417-10</f>
        <v>0</v>
      </c>
    </row>
    <row r="418" ht="14.25" customHeight="1">
      <c r="B418" s="164">
        <v>45363.0</v>
      </c>
      <c r="C418" s="141" t="str">
        <f t="shared" si="1"/>
        <v>3-2024</v>
      </c>
      <c r="D418" s="165">
        <f t="shared" ref="D418:D427" si="23">E417</f>
        <v>6415</v>
      </c>
      <c r="E418" s="28">
        <v>6426.0</v>
      </c>
      <c r="F418" s="54">
        <f>'220 Antiga Silvinho '!$E418-'220 Antiga Silvinho '!$D418</f>
        <v>11</v>
      </c>
      <c r="G418" s="54">
        <f>'220 Antiga Silvinho '!$F418-10</f>
        <v>1</v>
      </c>
    </row>
    <row r="419" ht="14.25" customHeight="1">
      <c r="B419" s="164">
        <v>45364.0</v>
      </c>
      <c r="C419" s="141" t="str">
        <f t="shared" si="1"/>
        <v>3-2024</v>
      </c>
      <c r="D419" s="165">
        <f t="shared" si="23"/>
        <v>6426</v>
      </c>
      <c r="E419" s="28">
        <v>6438.1</v>
      </c>
      <c r="F419" s="54">
        <f>'220 Antiga Silvinho '!$E419-'220 Antiga Silvinho '!$D419</f>
        <v>12.1</v>
      </c>
      <c r="G419" s="54">
        <f>'220 Antiga Silvinho '!$F419-10</f>
        <v>2.1</v>
      </c>
    </row>
    <row r="420" ht="14.25" customHeight="1">
      <c r="B420" s="164">
        <v>45365.0</v>
      </c>
      <c r="C420" s="141" t="str">
        <f t="shared" si="1"/>
        <v>3-2024</v>
      </c>
      <c r="D420" s="165">
        <f t="shared" si="23"/>
        <v>6438.1</v>
      </c>
      <c r="E420" s="28">
        <v>6450.1</v>
      </c>
      <c r="F420" s="54">
        <f>'220 Antiga Silvinho '!$E420-'220 Antiga Silvinho '!$D420</f>
        <v>12</v>
      </c>
      <c r="G420" s="54">
        <f>'220 Antiga Silvinho '!$F420-10</f>
        <v>2</v>
      </c>
    </row>
    <row r="421" ht="14.25" customHeight="1">
      <c r="B421" s="164">
        <v>45366.0</v>
      </c>
      <c r="C421" s="141" t="str">
        <f t="shared" si="1"/>
        <v>3-2024</v>
      </c>
      <c r="D421" s="165">
        <f t="shared" si="23"/>
        <v>6450.1</v>
      </c>
      <c r="E421" s="28">
        <v>6462.1</v>
      </c>
      <c r="F421" s="54">
        <f>'220 Antiga Silvinho '!$E421-'220 Antiga Silvinho '!$D421</f>
        <v>12</v>
      </c>
      <c r="G421" s="54">
        <f>'220 Antiga Silvinho '!$F421-10</f>
        <v>2</v>
      </c>
    </row>
    <row r="422" ht="14.25" customHeight="1">
      <c r="B422" s="164">
        <v>45367.0</v>
      </c>
      <c r="C422" s="141" t="str">
        <f t="shared" si="1"/>
        <v>3-2024</v>
      </c>
      <c r="D422" s="165">
        <f t="shared" si="23"/>
        <v>6462.1</v>
      </c>
      <c r="E422" s="28">
        <v>6473.1</v>
      </c>
      <c r="F422" s="54">
        <f>'220 Antiga Silvinho '!$E422-'220 Antiga Silvinho '!$D422</f>
        <v>11</v>
      </c>
      <c r="G422" s="54">
        <f>'220 Antiga Silvinho '!$F422-10</f>
        <v>1</v>
      </c>
    </row>
    <row r="423" ht="14.25" customHeight="1">
      <c r="B423" s="164">
        <v>45368.0</v>
      </c>
      <c r="C423" s="141" t="str">
        <f t="shared" si="1"/>
        <v>3-2024</v>
      </c>
      <c r="D423" s="165">
        <f t="shared" si="23"/>
        <v>6473.1</v>
      </c>
      <c r="E423" s="28">
        <v>6485.1</v>
      </c>
      <c r="F423" s="54">
        <f>'220 Antiga Silvinho '!$E423-'220 Antiga Silvinho '!$D423</f>
        <v>12</v>
      </c>
      <c r="G423" s="54">
        <f>'220 Antiga Silvinho '!$F423-10</f>
        <v>2</v>
      </c>
    </row>
    <row r="424" ht="14.25" customHeight="1">
      <c r="B424" s="164">
        <v>45369.0</v>
      </c>
      <c r="C424" s="141" t="str">
        <f t="shared" si="1"/>
        <v>3-2024</v>
      </c>
      <c r="D424" s="165">
        <f t="shared" si="23"/>
        <v>6485.1</v>
      </c>
      <c r="E424" s="28">
        <v>6496.1</v>
      </c>
      <c r="F424" s="54">
        <f>'220 Antiga Silvinho '!$E424-'220 Antiga Silvinho '!$D424</f>
        <v>11</v>
      </c>
      <c r="G424" s="54">
        <f>'220 Antiga Silvinho '!$F424-10</f>
        <v>1</v>
      </c>
    </row>
    <row r="425" ht="14.25" customHeight="1">
      <c r="B425" s="164">
        <v>45370.0</v>
      </c>
      <c r="C425" s="141" t="str">
        <f t="shared" si="1"/>
        <v>3-2024</v>
      </c>
      <c r="D425" s="165">
        <f t="shared" si="23"/>
        <v>6496.1</v>
      </c>
      <c r="E425" s="28">
        <v>6507.1</v>
      </c>
      <c r="F425" s="54">
        <f>'220 Antiga Silvinho '!$E425-'220 Antiga Silvinho '!$D425</f>
        <v>11</v>
      </c>
      <c r="G425" s="54">
        <f>'220 Antiga Silvinho '!$F425-10</f>
        <v>1</v>
      </c>
    </row>
    <row r="426" ht="14.25" customHeight="1">
      <c r="B426" s="164">
        <v>45371.0</v>
      </c>
      <c r="C426" s="141" t="str">
        <f t="shared" si="1"/>
        <v>3-2024</v>
      </c>
      <c r="D426" s="165">
        <f t="shared" si="23"/>
        <v>6507.1</v>
      </c>
      <c r="E426" s="28">
        <v>6518.1</v>
      </c>
      <c r="F426" s="54">
        <f>'220 Antiga Silvinho '!$E426-'220 Antiga Silvinho '!$D426</f>
        <v>11</v>
      </c>
      <c r="G426" s="54">
        <f>'220 Antiga Silvinho '!$F426-10</f>
        <v>1</v>
      </c>
    </row>
    <row r="427" ht="14.25" customHeight="1">
      <c r="B427" s="164">
        <v>45372.0</v>
      </c>
      <c r="C427" s="141" t="str">
        <f t="shared" si="1"/>
        <v>3-2024</v>
      </c>
      <c r="D427" s="165">
        <f t="shared" si="23"/>
        <v>6518.1</v>
      </c>
      <c r="E427" s="28">
        <v>6530.0</v>
      </c>
      <c r="F427" s="54">
        <f>'220 Antiga Silvinho '!$E427-'220 Antiga Silvinho '!$D427</f>
        <v>11.9</v>
      </c>
      <c r="G427" s="54">
        <f>'220 Antiga Silvinho '!$F427-10</f>
        <v>1.9</v>
      </c>
    </row>
    <row r="428" ht="14.25" customHeight="1">
      <c r="B428" s="164">
        <v>45373.0</v>
      </c>
      <c r="C428" s="141" t="str">
        <f t="shared" si="1"/>
        <v>3-2024</v>
      </c>
      <c r="F428" s="54">
        <f>'220 Antiga Silvinho '!$E428-'220 Antiga Silvinho '!$D428</f>
        <v>0</v>
      </c>
      <c r="G428" s="54">
        <f>'220 Antiga Silvinho '!$F428-10</f>
        <v>-10</v>
      </c>
    </row>
    <row r="429" ht="14.25" customHeight="1">
      <c r="B429" s="164">
        <v>45374.0</v>
      </c>
      <c r="C429" s="141" t="str">
        <f t="shared" si="1"/>
        <v>3-2024</v>
      </c>
      <c r="D429" s="165" t="str">
        <f t="shared" ref="D429:D430" si="24">E428</f>
        <v/>
      </c>
      <c r="F429" s="54">
        <f>'220 Antiga Silvinho '!$E429-'220 Antiga Silvinho '!$D429</f>
        <v>0</v>
      </c>
      <c r="G429" s="54">
        <f>'220 Antiga Silvinho '!$F429-10</f>
        <v>-10</v>
      </c>
    </row>
    <row r="430" ht="14.25" customHeight="1">
      <c r="B430" s="164">
        <v>45375.0</v>
      </c>
      <c r="C430" s="141" t="str">
        <f t="shared" si="1"/>
        <v>3-2024</v>
      </c>
      <c r="D430" s="165" t="str">
        <f t="shared" si="24"/>
        <v/>
      </c>
      <c r="F430" s="54">
        <f>'220 Antiga Silvinho '!$E430-'220 Antiga Silvinho '!$D430</f>
        <v>0</v>
      </c>
      <c r="G430" s="54">
        <f>'220 Antiga Silvinho '!$F430-10</f>
        <v>-10</v>
      </c>
    </row>
    <row r="431" ht="14.25" customHeight="1">
      <c r="B431" s="164">
        <v>45376.0</v>
      </c>
      <c r="C431" s="141" t="str">
        <f t="shared" si="1"/>
        <v>3-2024</v>
      </c>
      <c r="D431" s="28">
        <v>6530.0</v>
      </c>
      <c r="E431" s="28">
        <v>6538.1</v>
      </c>
      <c r="F431" s="54">
        <f>'220 Antiga Silvinho '!$E431-'220 Antiga Silvinho '!$D431</f>
        <v>8.1</v>
      </c>
      <c r="G431" s="54">
        <f>'220 Antiga Silvinho '!$F431-10</f>
        <v>-1.9</v>
      </c>
    </row>
    <row r="432" ht="14.25" customHeight="1">
      <c r="B432" s="164">
        <v>45377.0</v>
      </c>
      <c r="C432" s="141" t="str">
        <f t="shared" si="1"/>
        <v>3-2024</v>
      </c>
      <c r="F432" s="54">
        <f>'220 Antiga Silvinho '!$E432-'220 Antiga Silvinho '!$D432</f>
        <v>0</v>
      </c>
      <c r="G432" s="54">
        <f>'220 Antiga Silvinho '!$F432-10</f>
        <v>-10</v>
      </c>
    </row>
    <row r="433" ht="14.25" customHeight="1">
      <c r="B433" s="164">
        <v>45378.0</v>
      </c>
      <c r="C433" s="141" t="str">
        <f t="shared" si="1"/>
        <v>3-2024</v>
      </c>
      <c r="D433" s="165" t="str">
        <f>E432</f>
        <v/>
      </c>
      <c r="F433" s="54">
        <f>'220 Antiga Silvinho '!$E433-'220 Antiga Silvinho '!$D433</f>
        <v>0</v>
      </c>
      <c r="G433" s="54">
        <f>'220 Antiga Silvinho '!$F433-10</f>
        <v>-10</v>
      </c>
    </row>
    <row r="434" ht="14.25" customHeight="1">
      <c r="B434" s="164">
        <v>45379.0</v>
      </c>
      <c r="C434" s="141" t="str">
        <f t="shared" si="1"/>
        <v>3-2024</v>
      </c>
      <c r="D434" s="28">
        <v>6538.1</v>
      </c>
      <c r="E434" s="28">
        <v>6546.1</v>
      </c>
      <c r="F434" s="54">
        <f>'220 Antiga Silvinho '!$E434-'220 Antiga Silvinho '!$D434</f>
        <v>8</v>
      </c>
      <c r="G434" s="54">
        <f>'220 Antiga Silvinho '!$F434-10</f>
        <v>-2</v>
      </c>
    </row>
    <row r="435" ht="14.25" customHeight="1">
      <c r="B435" s="164">
        <v>45380.0</v>
      </c>
      <c r="C435" s="141" t="str">
        <f t="shared" si="1"/>
        <v>3-2024</v>
      </c>
      <c r="F435" s="54">
        <f>'220 Antiga Silvinho '!$E435-'220 Antiga Silvinho '!$D435</f>
        <v>0</v>
      </c>
      <c r="G435" s="54">
        <f>'220 Antiga Silvinho '!$F435-10</f>
        <v>-10</v>
      </c>
    </row>
    <row r="436" ht="14.25" customHeight="1">
      <c r="B436" s="164">
        <v>45381.0</v>
      </c>
      <c r="C436" s="141" t="str">
        <f t="shared" si="1"/>
        <v>3-2024</v>
      </c>
      <c r="D436" s="165" t="str">
        <f t="shared" ref="D436:D437" si="25">E435</f>
        <v/>
      </c>
      <c r="F436" s="54">
        <f>'220 Antiga Silvinho '!$E436-'220 Antiga Silvinho '!$D436</f>
        <v>0</v>
      </c>
      <c r="G436" s="54">
        <f>'220 Antiga Silvinho '!$F436-10</f>
        <v>-10</v>
      </c>
    </row>
    <row r="437" ht="14.25" customHeight="1">
      <c r="B437" s="164">
        <v>45382.0</v>
      </c>
      <c r="C437" s="141" t="str">
        <f t="shared" si="1"/>
        <v>3-2024</v>
      </c>
      <c r="D437" s="165" t="str">
        <f t="shared" si="25"/>
        <v/>
      </c>
      <c r="F437" s="54">
        <f>'220 Antiga Silvinho '!$E437-'220 Antiga Silvinho '!$D437</f>
        <v>0</v>
      </c>
      <c r="G437" s="54">
        <f>'220 Antiga Silvinho '!$F437-10</f>
        <v>-10</v>
      </c>
    </row>
    <row r="438" ht="14.25" customHeight="1">
      <c r="B438" s="164">
        <v>45383.0</v>
      </c>
      <c r="C438" s="141" t="str">
        <f t="shared" si="1"/>
        <v>4-2024</v>
      </c>
      <c r="D438" s="28">
        <v>6546.1</v>
      </c>
      <c r="E438" s="28">
        <v>6553.1</v>
      </c>
      <c r="F438" s="54">
        <f>'220 Antiga Silvinho '!$E438-'220 Antiga Silvinho '!$D438</f>
        <v>7</v>
      </c>
      <c r="G438" s="54">
        <f>'220 Antiga Silvinho '!$F438-10</f>
        <v>-3</v>
      </c>
    </row>
    <row r="439" ht="14.25" customHeight="1">
      <c r="B439" s="164">
        <v>45384.0</v>
      </c>
      <c r="C439" s="141" t="str">
        <f t="shared" si="1"/>
        <v>4-2024</v>
      </c>
      <c r="D439" s="165">
        <f t="shared" ref="D439:D443" si="26">E438</f>
        <v>6553.1</v>
      </c>
      <c r="E439" s="28">
        <v>6565.1</v>
      </c>
      <c r="F439" s="54">
        <f>'220 Antiga Silvinho '!$E439-'220 Antiga Silvinho '!$D439</f>
        <v>12</v>
      </c>
      <c r="G439" s="54">
        <f>'220 Antiga Silvinho '!$F439-10</f>
        <v>2</v>
      </c>
    </row>
    <row r="440" ht="14.25" customHeight="1">
      <c r="B440" s="164">
        <v>45385.0</v>
      </c>
      <c r="C440" s="141" t="str">
        <f t="shared" si="1"/>
        <v>4-2024</v>
      </c>
      <c r="D440" s="165">
        <f t="shared" si="26"/>
        <v>6565.1</v>
      </c>
      <c r="E440" s="28">
        <v>6577.1</v>
      </c>
      <c r="F440" s="54">
        <f>'220 Antiga Silvinho '!$E440-'220 Antiga Silvinho '!$D440</f>
        <v>12</v>
      </c>
      <c r="G440" s="54">
        <f>'220 Antiga Silvinho '!$F440-10</f>
        <v>2</v>
      </c>
    </row>
    <row r="441" ht="14.25" customHeight="1">
      <c r="B441" s="164">
        <v>45386.0</v>
      </c>
      <c r="C441" s="141" t="str">
        <f t="shared" si="1"/>
        <v>4-2024</v>
      </c>
      <c r="D441" s="165">
        <f t="shared" si="26"/>
        <v>6577.1</v>
      </c>
      <c r="E441" s="28">
        <v>6588.1</v>
      </c>
      <c r="F441" s="54">
        <f>'220 Antiga Silvinho '!$E441-'220 Antiga Silvinho '!$D441</f>
        <v>11</v>
      </c>
      <c r="G441" s="54">
        <f>'220 Antiga Silvinho '!$F441-10</f>
        <v>1</v>
      </c>
    </row>
    <row r="442" ht="14.25" customHeight="1">
      <c r="B442" s="164">
        <v>45387.0</v>
      </c>
      <c r="C442" s="141" t="str">
        <f t="shared" si="1"/>
        <v>4-2024</v>
      </c>
      <c r="D442" s="165">
        <f t="shared" si="26"/>
        <v>6588.1</v>
      </c>
      <c r="E442" s="28">
        <v>6600.1</v>
      </c>
      <c r="F442" s="54">
        <f>'220 Antiga Silvinho '!$E442-'220 Antiga Silvinho '!$D442</f>
        <v>12</v>
      </c>
      <c r="G442" s="54">
        <f>'220 Antiga Silvinho '!$F442-10</f>
        <v>2</v>
      </c>
    </row>
    <row r="443" ht="14.25" customHeight="1">
      <c r="B443" s="164">
        <v>45388.0</v>
      </c>
      <c r="C443" s="141" t="str">
        <f t="shared" si="1"/>
        <v>4-2024</v>
      </c>
      <c r="D443" s="165">
        <f t="shared" si="26"/>
        <v>6600.1</v>
      </c>
      <c r="E443" s="28">
        <v>6612.1</v>
      </c>
      <c r="F443" s="54">
        <f>'220 Antiga Silvinho '!$E443-'220 Antiga Silvinho '!$D443</f>
        <v>12</v>
      </c>
      <c r="G443" s="54">
        <f>'220 Antiga Silvinho '!$F443-10</f>
        <v>2</v>
      </c>
    </row>
    <row r="444" ht="14.25" customHeight="1">
      <c r="B444" s="164">
        <v>45389.0</v>
      </c>
      <c r="C444" s="141" t="str">
        <f t="shared" si="1"/>
        <v>4-2024</v>
      </c>
      <c r="D444" s="28">
        <v>6612.1</v>
      </c>
      <c r="E444" s="28">
        <v>6623.1</v>
      </c>
      <c r="F444" s="54">
        <f>'220 Antiga Silvinho '!$E444-'220 Antiga Silvinho '!$D444</f>
        <v>11</v>
      </c>
      <c r="G444" s="54">
        <f>'220 Antiga Silvinho '!$F444-10</f>
        <v>1</v>
      </c>
    </row>
    <row r="445" ht="14.25" customHeight="1">
      <c r="B445" s="164">
        <v>45390.0</v>
      </c>
      <c r="C445" s="141" t="str">
        <f t="shared" si="1"/>
        <v>4-2024</v>
      </c>
      <c r="D445" s="165">
        <f t="shared" ref="D445:D448" si="27">E444</f>
        <v>6623.1</v>
      </c>
      <c r="E445" s="28">
        <v>6635.1</v>
      </c>
      <c r="F445" s="54">
        <f>'220 Antiga Silvinho '!$E445-'220 Antiga Silvinho '!$D445</f>
        <v>12</v>
      </c>
      <c r="G445" s="54">
        <f>'220 Antiga Silvinho '!$F445-10</f>
        <v>2</v>
      </c>
    </row>
    <row r="446" ht="14.25" customHeight="1">
      <c r="B446" s="164">
        <v>45391.0</v>
      </c>
      <c r="C446" s="141" t="str">
        <f t="shared" si="1"/>
        <v>4-2024</v>
      </c>
      <c r="D446" s="165">
        <f t="shared" si="27"/>
        <v>6635.1</v>
      </c>
      <c r="E446" s="28">
        <v>6646.1</v>
      </c>
      <c r="F446" s="54">
        <f>'220 Antiga Silvinho '!$E446-'220 Antiga Silvinho '!$D446</f>
        <v>11</v>
      </c>
      <c r="G446" s="54">
        <f>'220 Antiga Silvinho '!$F446-10</f>
        <v>1</v>
      </c>
    </row>
    <row r="447" ht="14.25" customHeight="1">
      <c r="B447" s="164">
        <v>45392.0</v>
      </c>
      <c r="C447" s="141" t="str">
        <f t="shared" si="1"/>
        <v>4-2024</v>
      </c>
      <c r="D447" s="165">
        <f t="shared" si="27"/>
        <v>6646.1</v>
      </c>
      <c r="E447" s="28">
        <v>6658.1</v>
      </c>
      <c r="F447" s="54">
        <f>'220 Antiga Silvinho '!$E447-'220 Antiga Silvinho '!$D447</f>
        <v>12</v>
      </c>
      <c r="G447" s="54">
        <f>'220 Antiga Silvinho '!$F447-10</f>
        <v>2</v>
      </c>
    </row>
    <row r="448" ht="14.25" customHeight="1">
      <c r="B448" s="164">
        <v>45393.0</v>
      </c>
      <c r="C448" s="141" t="str">
        <f t="shared" si="1"/>
        <v>4-2024</v>
      </c>
      <c r="D448" s="165">
        <f t="shared" si="27"/>
        <v>6658.1</v>
      </c>
      <c r="E448" s="28">
        <v>6669.7</v>
      </c>
      <c r="F448" s="54">
        <f>'220 Antiga Silvinho '!$E448-'220 Antiga Silvinho '!$D448</f>
        <v>11.6</v>
      </c>
      <c r="G448" s="54">
        <f>'220 Antiga Silvinho '!$F448-10</f>
        <v>1.6</v>
      </c>
    </row>
    <row r="449" ht="14.25" customHeight="1">
      <c r="B449" s="164">
        <v>45394.0</v>
      </c>
      <c r="C449" s="141" t="str">
        <f t="shared" si="1"/>
        <v>4-2024</v>
      </c>
      <c r="F449" s="54">
        <f>'220 Antiga Silvinho '!$E449-'220 Antiga Silvinho '!$D449</f>
        <v>0</v>
      </c>
      <c r="G449" s="54">
        <f>'220 Antiga Silvinho '!$F449-10</f>
        <v>-10</v>
      </c>
    </row>
    <row r="450" ht="14.25" customHeight="1">
      <c r="B450" s="164">
        <v>45395.0</v>
      </c>
      <c r="C450" s="141" t="str">
        <f t="shared" si="1"/>
        <v>4-2024</v>
      </c>
      <c r="D450" s="165" t="str">
        <f t="shared" ref="D450:D451" si="28">E449</f>
        <v/>
      </c>
      <c r="F450" s="54">
        <f>'220 Antiga Silvinho '!$E450-'220 Antiga Silvinho '!$D450</f>
        <v>0</v>
      </c>
      <c r="G450" s="54">
        <f>'220 Antiga Silvinho '!$F450-10</f>
        <v>-10</v>
      </c>
    </row>
    <row r="451" ht="14.25" customHeight="1">
      <c r="B451" s="164">
        <v>45396.0</v>
      </c>
      <c r="C451" s="141" t="str">
        <f t="shared" si="1"/>
        <v>4-2024</v>
      </c>
      <c r="D451" s="165" t="str">
        <f t="shared" si="28"/>
        <v/>
      </c>
      <c r="F451" s="54">
        <f>'220 Antiga Silvinho '!$E451-'220 Antiga Silvinho '!$D451</f>
        <v>0</v>
      </c>
      <c r="G451" s="54">
        <f>'220 Antiga Silvinho '!$F451-10</f>
        <v>-10</v>
      </c>
    </row>
    <row r="452" ht="14.25" customHeight="1">
      <c r="B452" s="164">
        <v>45397.0</v>
      </c>
      <c r="C452" s="141" t="str">
        <f t="shared" si="1"/>
        <v>4-2024</v>
      </c>
      <c r="D452" s="28">
        <v>6669.7</v>
      </c>
      <c r="E452" s="28">
        <v>6678.1</v>
      </c>
      <c r="F452" s="54">
        <f>'220 Antiga Silvinho '!$E452-'220 Antiga Silvinho '!$D452</f>
        <v>8.4</v>
      </c>
      <c r="G452" s="54">
        <f>'220 Antiga Silvinho '!$F452-10</f>
        <v>-1.6</v>
      </c>
    </row>
    <row r="453" ht="14.25" customHeight="1">
      <c r="B453" s="164">
        <v>45398.0</v>
      </c>
      <c r="C453" s="141" t="str">
        <f t="shared" si="1"/>
        <v>4-2024</v>
      </c>
      <c r="D453" s="165">
        <f t="shared" ref="D453:D461" si="29">E452</f>
        <v>6678.1</v>
      </c>
      <c r="E453" s="28">
        <v>6690.1</v>
      </c>
      <c r="F453" s="54">
        <f>'220 Antiga Silvinho '!$E453-'220 Antiga Silvinho '!$D453</f>
        <v>12</v>
      </c>
      <c r="G453" s="54">
        <f>'220 Antiga Silvinho '!$F453-10</f>
        <v>2</v>
      </c>
    </row>
    <row r="454" ht="14.25" customHeight="1">
      <c r="B454" s="164">
        <v>45399.0</v>
      </c>
      <c r="C454" s="141" t="str">
        <f t="shared" si="1"/>
        <v>4-2024</v>
      </c>
      <c r="D454" s="165">
        <f t="shared" si="29"/>
        <v>6690.1</v>
      </c>
      <c r="E454" s="28">
        <v>6701.1</v>
      </c>
      <c r="F454" s="54">
        <f>'220 Antiga Silvinho '!$E454-'220 Antiga Silvinho '!$D454</f>
        <v>11</v>
      </c>
      <c r="G454" s="54">
        <f>'220 Antiga Silvinho '!$F454-10</f>
        <v>1</v>
      </c>
    </row>
    <row r="455" ht="14.25" customHeight="1">
      <c r="B455" s="164">
        <v>45400.0</v>
      </c>
      <c r="C455" s="141" t="str">
        <f t="shared" si="1"/>
        <v>4-2024</v>
      </c>
      <c r="D455" s="165">
        <f t="shared" si="29"/>
        <v>6701.1</v>
      </c>
      <c r="E455" s="28">
        <v>6712.1</v>
      </c>
      <c r="F455" s="54">
        <f>'220 Antiga Silvinho '!$E455-'220 Antiga Silvinho '!$D455</f>
        <v>11</v>
      </c>
      <c r="G455" s="54">
        <f>'220 Antiga Silvinho '!$F455-10</f>
        <v>1</v>
      </c>
    </row>
    <row r="456" ht="14.25" customHeight="1">
      <c r="B456" s="164">
        <v>45401.0</v>
      </c>
      <c r="C456" s="141" t="str">
        <f t="shared" si="1"/>
        <v>4-2024</v>
      </c>
      <c r="D456" s="165">
        <f t="shared" si="29"/>
        <v>6712.1</v>
      </c>
      <c r="E456" s="28">
        <v>6723.1</v>
      </c>
      <c r="F456" s="54">
        <f>'220 Antiga Silvinho '!$E456-'220 Antiga Silvinho '!$D456</f>
        <v>11</v>
      </c>
      <c r="G456" s="54">
        <f>'220 Antiga Silvinho '!$F456-10</f>
        <v>1</v>
      </c>
    </row>
    <row r="457" ht="14.25" customHeight="1">
      <c r="B457" s="164">
        <v>45402.0</v>
      </c>
      <c r="C457" s="141" t="str">
        <f t="shared" si="1"/>
        <v>4-2024</v>
      </c>
      <c r="D457" s="165">
        <f t="shared" si="29"/>
        <v>6723.1</v>
      </c>
      <c r="E457" s="28">
        <v>6734.1</v>
      </c>
      <c r="F457" s="54">
        <f>'220 Antiga Silvinho '!$E457-'220 Antiga Silvinho '!$D457</f>
        <v>11</v>
      </c>
      <c r="G457" s="54">
        <f>'220 Antiga Silvinho '!$F457-10</f>
        <v>1</v>
      </c>
    </row>
    <row r="458" ht="14.25" customHeight="1">
      <c r="B458" s="164">
        <v>45403.0</v>
      </c>
      <c r="C458" s="141" t="str">
        <f t="shared" si="1"/>
        <v>4-2024</v>
      </c>
      <c r="D458" s="165">
        <f t="shared" si="29"/>
        <v>6734.1</v>
      </c>
      <c r="E458" s="28">
        <v>6745.1</v>
      </c>
      <c r="F458" s="54">
        <f>'220 Antiga Silvinho '!$E458-'220 Antiga Silvinho '!$D458</f>
        <v>11</v>
      </c>
      <c r="G458" s="54">
        <f>'220 Antiga Silvinho '!$F458-10</f>
        <v>1</v>
      </c>
    </row>
    <row r="459" ht="14.25" customHeight="1">
      <c r="B459" s="164">
        <v>45404.0</v>
      </c>
      <c r="C459" s="141" t="str">
        <f t="shared" si="1"/>
        <v>4-2024</v>
      </c>
      <c r="D459" s="165">
        <f t="shared" si="29"/>
        <v>6745.1</v>
      </c>
      <c r="E459" s="28">
        <v>6757.1</v>
      </c>
      <c r="F459" s="54">
        <f>'220 Antiga Silvinho '!$E459-'220 Antiga Silvinho '!$D459</f>
        <v>12</v>
      </c>
      <c r="G459" s="54">
        <f>'220 Antiga Silvinho '!$F459-10</f>
        <v>2</v>
      </c>
    </row>
    <row r="460" ht="14.25" customHeight="1">
      <c r="B460" s="164">
        <v>45405.0</v>
      </c>
      <c r="C460" s="141" t="str">
        <f t="shared" si="1"/>
        <v>4-2024</v>
      </c>
      <c r="D460" s="165">
        <f t="shared" si="29"/>
        <v>6757.1</v>
      </c>
      <c r="E460" s="28">
        <v>6768.1</v>
      </c>
      <c r="F460" s="54">
        <f>'220 Antiga Silvinho '!$E460-'220 Antiga Silvinho '!$D460</f>
        <v>11</v>
      </c>
      <c r="G460" s="54">
        <f>'220 Antiga Silvinho '!$F460-10</f>
        <v>1</v>
      </c>
    </row>
    <row r="461" ht="14.25" customHeight="1">
      <c r="B461" s="164">
        <v>45406.0</v>
      </c>
      <c r="C461" s="141" t="str">
        <f t="shared" si="1"/>
        <v>4-2024</v>
      </c>
      <c r="D461" s="165">
        <f t="shared" si="29"/>
        <v>6768.1</v>
      </c>
      <c r="E461" s="28">
        <v>6779.4</v>
      </c>
      <c r="F461" s="54">
        <f>'220 Antiga Silvinho '!$E461-'220 Antiga Silvinho '!$D461</f>
        <v>11.3</v>
      </c>
      <c r="G461" s="54">
        <f>'220 Antiga Silvinho '!$F461-10</f>
        <v>1.3</v>
      </c>
    </row>
    <row r="462" ht="14.25" customHeight="1">
      <c r="B462" s="164">
        <v>45407.0</v>
      </c>
      <c r="C462" s="141" t="str">
        <f t="shared" si="1"/>
        <v>4-2024</v>
      </c>
      <c r="F462" s="54">
        <f>'220 Antiga Silvinho '!$E462-'220 Antiga Silvinho '!$D462</f>
        <v>0</v>
      </c>
      <c r="G462" s="54">
        <f>'220 Antiga Silvinho '!$F462-10</f>
        <v>-10</v>
      </c>
    </row>
    <row r="463" ht="14.25" customHeight="1">
      <c r="B463" s="164">
        <v>45408.0</v>
      </c>
      <c r="C463" s="141" t="str">
        <f t="shared" si="1"/>
        <v>4-2024</v>
      </c>
      <c r="D463" s="165" t="str">
        <f t="shared" ref="D463:D465" si="30">E462</f>
        <v/>
      </c>
      <c r="F463" s="54">
        <f>'220 Antiga Silvinho '!$E463-'220 Antiga Silvinho '!$D463</f>
        <v>0</v>
      </c>
      <c r="G463" s="54">
        <f>'220 Antiga Silvinho '!$F463-10</f>
        <v>-10</v>
      </c>
    </row>
    <row r="464" ht="14.25" customHeight="1">
      <c r="B464" s="164">
        <v>45409.0</v>
      </c>
      <c r="C464" s="141" t="str">
        <f t="shared" si="1"/>
        <v>4-2024</v>
      </c>
      <c r="D464" s="165" t="str">
        <f t="shared" si="30"/>
        <v/>
      </c>
      <c r="F464" s="54">
        <f>'220 Antiga Silvinho '!$E464-'220 Antiga Silvinho '!$D464</f>
        <v>0</v>
      </c>
      <c r="G464" s="54">
        <f>'220 Antiga Silvinho '!$F464-10</f>
        <v>-10</v>
      </c>
    </row>
    <row r="465" ht="14.25" customHeight="1">
      <c r="B465" s="164">
        <v>45410.0</v>
      </c>
      <c r="C465" s="141" t="str">
        <f t="shared" si="1"/>
        <v>4-2024</v>
      </c>
      <c r="D465" s="165" t="str">
        <f t="shared" si="30"/>
        <v/>
      </c>
      <c r="F465" s="54">
        <f>'220 Antiga Silvinho '!$E465-'220 Antiga Silvinho '!$D465</f>
        <v>0</v>
      </c>
      <c r="G465" s="54">
        <f>'220 Antiga Silvinho '!$F465-10</f>
        <v>-10</v>
      </c>
    </row>
    <row r="466" ht="14.25" customHeight="1">
      <c r="B466" s="164">
        <v>45411.0</v>
      </c>
      <c r="C466" s="141" t="str">
        <f t="shared" si="1"/>
        <v>4-2024</v>
      </c>
      <c r="D466" s="28">
        <v>6791.8</v>
      </c>
      <c r="F466" s="54">
        <f>'220 Antiga Silvinho '!$E466-'220 Antiga Silvinho '!$D466</f>
        <v>-6791.8</v>
      </c>
      <c r="G466" s="54">
        <f>'220 Antiga Silvinho '!$F466-10</f>
        <v>-6801.8</v>
      </c>
    </row>
    <row r="467" ht="14.25" customHeight="1">
      <c r="B467" s="164">
        <v>45412.0</v>
      </c>
      <c r="C467" s="141" t="str">
        <f t="shared" si="1"/>
        <v>4-2024</v>
      </c>
      <c r="D467" s="165" t="str">
        <f>E466</f>
        <v/>
      </c>
      <c r="F467" s="54">
        <f>'220 Antiga Silvinho '!$E467-'220 Antiga Silvinho '!$D467</f>
        <v>0</v>
      </c>
      <c r="G467" s="54">
        <f>'220 Antiga Silvinho '!$F467-10</f>
        <v>-10</v>
      </c>
    </row>
    <row r="468" ht="14.25" customHeight="1">
      <c r="B468" s="142">
        <v>45413.0</v>
      </c>
      <c r="C468" s="143" t="str">
        <f t="shared" si="1"/>
        <v>5-2024</v>
      </c>
      <c r="D468" s="144">
        <v>6820.6</v>
      </c>
      <c r="E468" s="144">
        <v>6830.4</v>
      </c>
      <c r="F468" s="92">
        <f>'220 Antiga Silvinho '!$E468-'220 Antiga Silvinho '!$D468</f>
        <v>9.8</v>
      </c>
      <c r="G468" s="92">
        <f>'220 Antiga Silvinho '!$F468-10</f>
        <v>-0.2</v>
      </c>
    </row>
    <row r="469" ht="14.25" customHeight="1">
      <c r="B469" s="164">
        <v>45414.0</v>
      </c>
      <c r="C469" s="141" t="str">
        <f t="shared" si="1"/>
        <v>5-2024</v>
      </c>
      <c r="D469" s="165">
        <f t="shared" ref="D469:D477" si="31">E468</f>
        <v>6830.4</v>
      </c>
      <c r="E469" s="28">
        <v>6841.0</v>
      </c>
      <c r="F469" s="54">
        <f>'220 Antiga Silvinho '!$E469-'220 Antiga Silvinho '!$D469</f>
        <v>10.6</v>
      </c>
      <c r="G469" s="54">
        <f>'220 Antiga Silvinho '!$F469-10</f>
        <v>0.6</v>
      </c>
    </row>
    <row r="470" ht="14.25" customHeight="1">
      <c r="B470" s="164">
        <v>45415.0</v>
      </c>
      <c r="C470" s="141" t="str">
        <f t="shared" si="1"/>
        <v>5-2024</v>
      </c>
      <c r="D470" s="165">
        <f t="shared" si="31"/>
        <v>6841</v>
      </c>
      <c r="E470" s="28">
        <v>6851.4</v>
      </c>
      <c r="F470" s="54">
        <f>'220 Antiga Silvinho '!$E470-'220 Antiga Silvinho '!$D470</f>
        <v>10.4</v>
      </c>
      <c r="G470" s="54">
        <f>'220 Antiga Silvinho '!$F470-10</f>
        <v>0.4</v>
      </c>
    </row>
    <row r="471" ht="14.25" customHeight="1">
      <c r="B471" s="145">
        <v>45416.0</v>
      </c>
      <c r="C471" s="166" t="str">
        <f t="shared" si="1"/>
        <v>5-2024</v>
      </c>
      <c r="D471" s="167">
        <f t="shared" si="31"/>
        <v>6851.4</v>
      </c>
      <c r="E471" s="168">
        <v>6863.4</v>
      </c>
      <c r="F471" s="167">
        <f>'220 Antiga Silvinho '!$E471-'220 Antiga Silvinho '!$D471</f>
        <v>12</v>
      </c>
      <c r="G471" s="167">
        <f>'220 Antiga Silvinho '!$F471-10</f>
        <v>2</v>
      </c>
    </row>
    <row r="472" ht="14.25" customHeight="1">
      <c r="B472" s="145">
        <v>45417.0</v>
      </c>
      <c r="C472" s="166" t="str">
        <f t="shared" si="1"/>
        <v>5-2024</v>
      </c>
      <c r="D472" s="167">
        <f t="shared" si="31"/>
        <v>6863.4</v>
      </c>
      <c r="E472" s="168">
        <v>6875.2</v>
      </c>
      <c r="F472" s="167">
        <f>'220 Antiga Silvinho '!$E472-'220 Antiga Silvinho '!$D472</f>
        <v>11.8</v>
      </c>
      <c r="G472" s="167">
        <f>'220 Antiga Silvinho '!$F472-10</f>
        <v>1.8</v>
      </c>
    </row>
    <row r="473" ht="14.25" customHeight="1">
      <c r="B473" s="164">
        <v>45418.0</v>
      </c>
      <c r="C473" s="141" t="str">
        <f t="shared" si="1"/>
        <v>5-2024</v>
      </c>
      <c r="D473" s="165">
        <f t="shared" si="31"/>
        <v>6875.2</v>
      </c>
      <c r="E473" s="28">
        <v>6887.0</v>
      </c>
      <c r="F473" s="54">
        <f>'220 Antiga Silvinho '!$E473-'220 Antiga Silvinho '!$D473</f>
        <v>11.8</v>
      </c>
      <c r="G473" s="54">
        <f>'220 Antiga Silvinho '!$F473-10</f>
        <v>1.8</v>
      </c>
    </row>
    <row r="474" ht="14.25" customHeight="1">
      <c r="B474" s="164">
        <v>45419.0</v>
      </c>
      <c r="C474" s="141" t="str">
        <f t="shared" si="1"/>
        <v>5-2024</v>
      </c>
      <c r="D474" s="165">
        <f t="shared" si="31"/>
        <v>6887</v>
      </c>
      <c r="E474" s="28">
        <v>6898.6</v>
      </c>
      <c r="F474" s="54">
        <f>'220 Antiga Silvinho '!$E474-'220 Antiga Silvinho '!$D474</f>
        <v>11.6</v>
      </c>
      <c r="G474" s="54">
        <f>'220 Antiga Silvinho '!$F474-10</f>
        <v>1.6</v>
      </c>
    </row>
    <row r="475" ht="14.25" customHeight="1">
      <c r="B475" s="164">
        <v>45420.0</v>
      </c>
      <c r="C475" s="141" t="str">
        <f t="shared" si="1"/>
        <v>5-2024</v>
      </c>
      <c r="D475" s="165">
        <f t="shared" si="31"/>
        <v>6898.6</v>
      </c>
      <c r="E475" s="28">
        <v>6910.1</v>
      </c>
      <c r="F475" s="54">
        <f>'220 Antiga Silvinho '!$E475-'220 Antiga Silvinho '!$D475</f>
        <v>11.5</v>
      </c>
      <c r="G475" s="54">
        <f>'220 Antiga Silvinho '!$F475-10</f>
        <v>1.5</v>
      </c>
    </row>
    <row r="476" ht="14.25" customHeight="1">
      <c r="B476" s="164">
        <v>45421.0</v>
      </c>
      <c r="C476" s="141" t="str">
        <f t="shared" si="1"/>
        <v>5-2024</v>
      </c>
      <c r="D476" s="165">
        <f t="shared" si="31"/>
        <v>6910.1</v>
      </c>
      <c r="E476" s="28">
        <v>6921.0</v>
      </c>
      <c r="F476" s="54">
        <f>'220 Antiga Silvinho '!$E476-'220 Antiga Silvinho '!$D476</f>
        <v>10.9</v>
      </c>
      <c r="G476" s="54">
        <f>'220 Antiga Silvinho '!$F476-10</f>
        <v>0.9</v>
      </c>
    </row>
    <row r="477" ht="14.25" customHeight="1">
      <c r="B477" s="164">
        <v>45422.0</v>
      </c>
      <c r="C477" s="141" t="str">
        <f t="shared" si="1"/>
        <v>5-2024</v>
      </c>
      <c r="D477" s="165">
        <f t="shared" si="31"/>
        <v>6921</v>
      </c>
      <c r="E477" s="28">
        <v>6932.7</v>
      </c>
      <c r="F477" s="54">
        <f>'220 Antiga Silvinho '!$E477-'220 Antiga Silvinho '!$D477</f>
        <v>11.7</v>
      </c>
      <c r="G477" s="54">
        <f>'220 Antiga Silvinho '!$F477-10</f>
        <v>1.7</v>
      </c>
    </row>
    <row r="478" ht="14.25" customHeight="1">
      <c r="B478" s="145">
        <v>45423.0</v>
      </c>
      <c r="C478" s="166" t="str">
        <f t="shared" si="1"/>
        <v>5-2024</v>
      </c>
      <c r="D478" s="167"/>
      <c r="E478" s="167"/>
      <c r="F478" s="167">
        <f>'220 Antiga Silvinho '!$E478-'220 Antiga Silvinho '!$D478</f>
        <v>0</v>
      </c>
      <c r="G478" s="167">
        <f>'220 Antiga Silvinho '!$F478-10</f>
        <v>-10</v>
      </c>
    </row>
    <row r="479" ht="14.25" customHeight="1">
      <c r="B479" s="145">
        <v>45424.0</v>
      </c>
      <c r="C479" s="166" t="str">
        <f t="shared" si="1"/>
        <v>5-2024</v>
      </c>
      <c r="D479" s="167" t="str">
        <f>E478</f>
        <v/>
      </c>
      <c r="E479" s="167"/>
      <c r="F479" s="167">
        <f>'220 Antiga Silvinho '!$E479-'220 Antiga Silvinho '!$D479</f>
        <v>0</v>
      </c>
      <c r="G479" s="167">
        <f>'220 Antiga Silvinho '!$F479-10</f>
        <v>-10</v>
      </c>
    </row>
    <row r="480" ht="14.25" customHeight="1">
      <c r="B480" s="164">
        <v>45425.0</v>
      </c>
      <c r="C480" s="141" t="str">
        <f t="shared" si="1"/>
        <v>5-2024</v>
      </c>
      <c r="D480" s="28">
        <v>6932.7</v>
      </c>
      <c r="E480" s="28">
        <v>6936.1</v>
      </c>
      <c r="F480" s="54">
        <f>'220 Antiga Silvinho '!$E480-'220 Antiga Silvinho '!$D480</f>
        <v>3.4</v>
      </c>
      <c r="G480" s="54">
        <f>'220 Antiga Silvinho '!$F480-10</f>
        <v>-6.6</v>
      </c>
    </row>
    <row r="481" ht="14.25" customHeight="1">
      <c r="B481" s="164">
        <v>45426.0</v>
      </c>
      <c r="C481" s="141" t="str">
        <f t="shared" si="1"/>
        <v>5-2024</v>
      </c>
      <c r="D481" s="165">
        <f t="shared" ref="D481:D490" si="32">E480</f>
        <v>6936.1</v>
      </c>
      <c r="E481" s="28">
        <v>6948.0</v>
      </c>
      <c r="F481" s="54">
        <f>'220 Antiga Silvinho '!$E481-'220 Antiga Silvinho '!$D481</f>
        <v>11.9</v>
      </c>
      <c r="G481" s="54">
        <f>'220 Antiga Silvinho '!$F481-10</f>
        <v>1.9</v>
      </c>
    </row>
    <row r="482" ht="14.25" customHeight="1">
      <c r="B482" s="164">
        <v>45427.0</v>
      </c>
      <c r="C482" s="141" t="str">
        <f t="shared" si="1"/>
        <v>5-2024</v>
      </c>
      <c r="D482" s="165">
        <f t="shared" si="32"/>
        <v>6948</v>
      </c>
      <c r="E482" s="28">
        <v>6959.0</v>
      </c>
      <c r="F482" s="54">
        <f>'220 Antiga Silvinho '!$E482-'220 Antiga Silvinho '!$D482</f>
        <v>11</v>
      </c>
      <c r="G482" s="54">
        <f>'220 Antiga Silvinho '!$F482-10</f>
        <v>1</v>
      </c>
    </row>
    <row r="483" ht="14.25" customHeight="1">
      <c r="B483" s="164">
        <v>45428.0</v>
      </c>
      <c r="C483" s="141" t="str">
        <f t="shared" si="1"/>
        <v>5-2024</v>
      </c>
      <c r="D483" s="165">
        <f t="shared" si="32"/>
        <v>6959</v>
      </c>
      <c r="E483" s="28">
        <v>6970.5</v>
      </c>
      <c r="F483" s="54">
        <f>'220 Antiga Silvinho '!$E483-'220 Antiga Silvinho '!$D483</f>
        <v>11.5</v>
      </c>
      <c r="G483" s="54">
        <f>'220 Antiga Silvinho '!$F483-10</f>
        <v>1.5</v>
      </c>
    </row>
    <row r="484" ht="14.25" customHeight="1">
      <c r="B484" s="164">
        <v>45429.0</v>
      </c>
      <c r="C484" s="141" t="str">
        <f t="shared" si="1"/>
        <v>5-2024</v>
      </c>
      <c r="D484" s="165">
        <f t="shared" si="32"/>
        <v>6970.5</v>
      </c>
      <c r="E484" s="28">
        <v>6982.1</v>
      </c>
      <c r="F484" s="54">
        <f>'220 Antiga Silvinho '!$E484-'220 Antiga Silvinho '!$D484</f>
        <v>11.6</v>
      </c>
      <c r="G484" s="54">
        <f>'220 Antiga Silvinho '!$F484-10</f>
        <v>1.6</v>
      </c>
    </row>
    <row r="485" ht="14.25" customHeight="1">
      <c r="B485" s="145">
        <v>45430.0</v>
      </c>
      <c r="C485" s="166" t="str">
        <f t="shared" si="1"/>
        <v>5-2024</v>
      </c>
      <c r="D485" s="167">
        <f t="shared" si="32"/>
        <v>6982.1</v>
      </c>
      <c r="E485" s="168">
        <v>6993.0</v>
      </c>
      <c r="F485" s="167">
        <f>'220 Antiga Silvinho '!$E485-'220 Antiga Silvinho '!$D485</f>
        <v>10.9</v>
      </c>
      <c r="G485" s="167">
        <f>'220 Antiga Silvinho '!$F485-10</f>
        <v>0.9</v>
      </c>
    </row>
    <row r="486" ht="14.25" customHeight="1">
      <c r="B486" s="145">
        <v>45431.0</v>
      </c>
      <c r="C486" s="166" t="str">
        <f t="shared" si="1"/>
        <v>5-2024</v>
      </c>
      <c r="D486" s="167">
        <f t="shared" si="32"/>
        <v>6993</v>
      </c>
      <c r="E486" s="168">
        <v>7004.0</v>
      </c>
      <c r="F486" s="167">
        <f>'220 Antiga Silvinho '!$E486-'220 Antiga Silvinho '!$D486</f>
        <v>11</v>
      </c>
      <c r="G486" s="167">
        <f>'220 Antiga Silvinho '!$F486-10</f>
        <v>1</v>
      </c>
    </row>
    <row r="487" ht="14.25" customHeight="1">
      <c r="B487" s="164">
        <v>45432.0</v>
      </c>
      <c r="C487" s="141" t="str">
        <f t="shared" si="1"/>
        <v>5-2024</v>
      </c>
      <c r="D487" s="165">
        <f t="shared" si="32"/>
        <v>7004</v>
      </c>
      <c r="E487" s="28">
        <v>7015.2</v>
      </c>
      <c r="F487" s="54">
        <f>'220 Antiga Silvinho '!$E487-'220 Antiga Silvinho '!$D487</f>
        <v>11.2</v>
      </c>
      <c r="G487" s="54">
        <f>'220 Antiga Silvinho '!$F487-10</f>
        <v>1.2</v>
      </c>
    </row>
    <row r="488" ht="14.25" customHeight="1">
      <c r="B488" s="164">
        <v>45433.0</v>
      </c>
      <c r="C488" s="141" t="str">
        <f t="shared" si="1"/>
        <v>5-2024</v>
      </c>
      <c r="D488" s="165">
        <f t="shared" si="32"/>
        <v>7015.2</v>
      </c>
      <c r="E488" s="28">
        <v>7026.6</v>
      </c>
      <c r="F488" s="54">
        <f>'220 Antiga Silvinho '!$E488-'220 Antiga Silvinho '!$D488</f>
        <v>11.4</v>
      </c>
      <c r="G488" s="54">
        <f>'220 Antiga Silvinho '!$F488-10</f>
        <v>1.4</v>
      </c>
    </row>
    <row r="489" ht="14.25" customHeight="1">
      <c r="B489" s="164">
        <v>45434.0</v>
      </c>
      <c r="C489" s="141" t="str">
        <f t="shared" si="1"/>
        <v>5-2024</v>
      </c>
      <c r="D489" s="165">
        <f t="shared" si="32"/>
        <v>7026.6</v>
      </c>
      <c r="E489" s="28">
        <v>7037.8</v>
      </c>
      <c r="F489" s="54">
        <f>'220 Antiga Silvinho '!$E489-'220 Antiga Silvinho '!$D489</f>
        <v>11.2</v>
      </c>
      <c r="G489" s="54">
        <f>'220 Antiga Silvinho '!$F489-10</f>
        <v>1.2</v>
      </c>
    </row>
    <row r="490" ht="14.25" customHeight="1">
      <c r="B490" s="164">
        <v>45435.0</v>
      </c>
      <c r="C490" s="141" t="str">
        <f t="shared" si="1"/>
        <v>5-2024</v>
      </c>
      <c r="D490" s="165">
        <f t="shared" si="32"/>
        <v>7037.8</v>
      </c>
      <c r="E490" s="28">
        <v>7040.5</v>
      </c>
      <c r="F490" s="54">
        <f>'220 Antiga Silvinho '!$E490-'220 Antiga Silvinho '!$D490</f>
        <v>2.7</v>
      </c>
      <c r="G490" s="54">
        <f>'220 Antiga Silvinho '!$F490-10</f>
        <v>-7.3</v>
      </c>
    </row>
    <row r="491" ht="14.25" customHeight="1">
      <c r="B491" s="164">
        <v>45436.0</v>
      </c>
      <c r="C491" s="141" t="str">
        <f t="shared" si="1"/>
        <v>5-2024</v>
      </c>
      <c r="F491" s="54">
        <f>'220 Antiga Silvinho '!$E491-'220 Antiga Silvinho '!$D491</f>
        <v>0</v>
      </c>
      <c r="G491" s="54">
        <f>'220 Antiga Silvinho '!$F491-10</f>
        <v>-10</v>
      </c>
    </row>
    <row r="492" ht="14.25" customHeight="1">
      <c r="B492" s="145">
        <v>45437.0</v>
      </c>
      <c r="C492" s="166" t="str">
        <f t="shared" si="1"/>
        <v>5-2024</v>
      </c>
      <c r="D492" s="167" t="str">
        <f t="shared" ref="D492:D493" si="33">E491</f>
        <v/>
      </c>
      <c r="E492" s="167"/>
      <c r="F492" s="168"/>
      <c r="G492" s="167">
        <f>'220 Antiga Silvinho '!$F492-10</f>
        <v>-10</v>
      </c>
      <c r="H492" s="28" t="s">
        <v>130</v>
      </c>
    </row>
    <row r="493" ht="14.25" customHeight="1">
      <c r="B493" s="145">
        <v>45438.0</v>
      </c>
      <c r="C493" s="166" t="str">
        <f t="shared" si="1"/>
        <v>5-2024</v>
      </c>
      <c r="D493" s="167" t="str">
        <f t="shared" si="33"/>
        <v/>
      </c>
      <c r="E493" s="167"/>
      <c r="F493" s="167">
        <f>'220 Antiga Silvinho '!$E493-'220 Antiga Silvinho '!$D493</f>
        <v>0</v>
      </c>
      <c r="G493" s="167">
        <f>'220 Antiga Silvinho '!$F493-10</f>
        <v>-10</v>
      </c>
    </row>
    <row r="494" ht="14.25" customHeight="1">
      <c r="B494" s="164">
        <v>45439.0</v>
      </c>
      <c r="C494" s="141" t="str">
        <f t="shared" si="1"/>
        <v>5-2024</v>
      </c>
      <c r="D494" s="28">
        <v>7062.6</v>
      </c>
      <c r="E494" s="28">
        <v>7068.6</v>
      </c>
      <c r="F494" s="54">
        <f>'220 Antiga Silvinho '!$E494-'220 Antiga Silvinho '!$D494</f>
        <v>6</v>
      </c>
      <c r="G494" s="54">
        <f>'220 Antiga Silvinho '!$F494-10</f>
        <v>-4</v>
      </c>
    </row>
    <row r="495" ht="14.25" customHeight="1">
      <c r="B495" s="164">
        <v>45440.0</v>
      </c>
      <c r="C495" s="141" t="str">
        <f t="shared" si="1"/>
        <v>5-2024</v>
      </c>
      <c r="D495" s="165">
        <f t="shared" ref="D495:D496" si="34">E494</f>
        <v>7068.6</v>
      </c>
      <c r="E495" s="28">
        <v>7080.2</v>
      </c>
      <c r="F495" s="54">
        <f>'220 Antiga Silvinho '!$E495-'220 Antiga Silvinho '!$D495</f>
        <v>11.6</v>
      </c>
      <c r="G495" s="54">
        <f>'220 Antiga Silvinho '!$F495-10</f>
        <v>1.6</v>
      </c>
    </row>
    <row r="496" ht="14.25" customHeight="1">
      <c r="B496" s="164">
        <v>45441.0</v>
      </c>
      <c r="C496" s="141" t="str">
        <f t="shared" si="1"/>
        <v>5-2024</v>
      </c>
      <c r="D496" s="165">
        <f t="shared" si="34"/>
        <v>7080.2</v>
      </c>
      <c r="E496" s="28">
        <v>7091.2</v>
      </c>
      <c r="F496" s="54">
        <f>'220 Antiga Silvinho '!$E496-'220 Antiga Silvinho '!$D496</f>
        <v>11</v>
      </c>
      <c r="G496" s="54">
        <f>'220 Antiga Silvinho '!$F496-10</f>
        <v>1</v>
      </c>
    </row>
    <row r="497" ht="14.25" customHeight="1">
      <c r="B497" s="142">
        <v>45442.0</v>
      </c>
      <c r="C497" s="143" t="str">
        <f t="shared" si="1"/>
        <v>5-2024</v>
      </c>
      <c r="D497" s="92"/>
      <c r="E497" s="92"/>
      <c r="F497" s="92">
        <f>'220 Antiga Silvinho '!$E497-'220 Antiga Silvinho '!$D497</f>
        <v>0</v>
      </c>
      <c r="G497" s="92">
        <f>'220 Antiga Silvinho '!$F497-10</f>
        <v>-10</v>
      </c>
    </row>
    <row r="498" ht="14.25" customHeight="1">
      <c r="B498" s="164">
        <v>45443.0</v>
      </c>
      <c r="C498" s="141" t="str">
        <f t="shared" si="1"/>
        <v>5-2024</v>
      </c>
      <c r="D498" s="28">
        <v>7091.2</v>
      </c>
      <c r="E498" s="28">
        <v>7102.2</v>
      </c>
      <c r="F498" s="54">
        <f>'220 Antiga Silvinho '!$E498-'220 Antiga Silvinho '!$D498</f>
        <v>11</v>
      </c>
      <c r="G498" s="54">
        <f>'220 Antiga Silvinho '!$F498-10</f>
        <v>1</v>
      </c>
    </row>
    <row r="499" ht="14.25" customHeight="1">
      <c r="B499" s="145">
        <v>45444.0</v>
      </c>
      <c r="C499" s="166" t="str">
        <f t="shared" si="1"/>
        <v>6-2024</v>
      </c>
      <c r="D499" s="168"/>
      <c r="E499" s="168"/>
      <c r="F499" s="167">
        <f>'220 Antiga Silvinho '!$E499-'220 Antiga Silvinho '!$D499</f>
        <v>0</v>
      </c>
      <c r="G499" s="167">
        <f>'220 Antiga Silvinho '!$F499-10</f>
        <v>-10</v>
      </c>
    </row>
    <row r="500" ht="14.25" customHeight="1">
      <c r="B500" s="145">
        <v>45445.0</v>
      </c>
      <c r="C500" s="166" t="str">
        <f t="shared" si="1"/>
        <v>6-2024</v>
      </c>
      <c r="D500" s="168"/>
      <c r="E500" s="168"/>
      <c r="F500" s="167">
        <f>'220 Antiga Silvinho '!$E500-'220 Antiga Silvinho '!$D500</f>
        <v>0</v>
      </c>
      <c r="G500" s="167">
        <f>'220 Antiga Silvinho '!$F500-10</f>
        <v>-10</v>
      </c>
    </row>
    <row r="501" ht="14.25" customHeight="1">
      <c r="B501" s="164">
        <v>45446.0</v>
      </c>
      <c r="C501" s="141" t="str">
        <f t="shared" si="1"/>
        <v>6-2024</v>
      </c>
      <c r="D501" s="28">
        <v>7110.0</v>
      </c>
      <c r="E501" s="28">
        <v>7114.4</v>
      </c>
      <c r="F501" s="54">
        <f>'220 Antiga Silvinho '!$E501-'220 Antiga Silvinho '!$D501</f>
        <v>4.4</v>
      </c>
      <c r="G501" s="54">
        <f>'220 Antiga Silvinho '!$F501-10</f>
        <v>-5.6</v>
      </c>
    </row>
    <row r="502" ht="14.25" customHeight="1">
      <c r="B502" s="164">
        <v>45447.0</v>
      </c>
      <c r="C502" s="141" t="str">
        <f t="shared" si="1"/>
        <v>6-2024</v>
      </c>
      <c r="D502" s="28">
        <v>7114.4</v>
      </c>
      <c r="E502" s="28">
        <v>7125.5</v>
      </c>
      <c r="F502" s="54">
        <f>'220 Antiga Silvinho '!$E502-'220 Antiga Silvinho '!$D502</f>
        <v>11.1</v>
      </c>
      <c r="G502" s="54">
        <f>'220 Antiga Silvinho '!$F502-10</f>
        <v>1.1</v>
      </c>
    </row>
    <row r="503" ht="14.25" customHeight="1">
      <c r="B503" s="164">
        <v>45448.0</v>
      </c>
      <c r="C503" s="141" t="str">
        <f t="shared" si="1"/>
        <v>6-2024</v>
      </c>
      <c r="D503" s="165">
        <f>E502</f>
        <v>7125.5</v>
      </c>
      <c r="E503" s="28">
        <v>7137.7</v>
      </c>
      <c r="F503" s="54">
        <f>'220 Antiga Silvinho '!$E503-'220 Antiga Silvinho '!$D503</f>
        <v>12.2</v>
      </c>
      <c r="G503" s="54">
        <f>'220 Antiga Silvinho '!$F503-10</f>
        <v>2.2</v>
      </c>
    </row>
    <row r="504" ht="14.25" customHeight="1">
      <c r="B504" s="164">
        <v>45449.0</v>
      </c>
      <c r="C504" s="141" t="str">
        <f t="shared" si="1"/>
        <v>6-2024</v>
      </c>
      <c r="D504" s="28">
        <v>7137.7</v>
      </c>
      <c r="E504" s="28">
        <v>7150.2</v>
      </c>
      <c r="F504" s="54">
        <f>'220 Antiga Silvinho '!$E504-'220 Antiga Silvinho '!$D504</f>
        <v>12.5</v>
      </c>
      <c r="G504" s="54">
        <f>'220 Antiga Silvinho '!$F504-10</f>
        <v>2.5</v>
      </c>
    </row>
    <row r="505" ht="14.25" customHeight="1">
      <c r="B505" s="164">
        <v>45450.0</v>
      </c>
      <c r="C505" s="141" t="str">
        <f t="shared" si="1"/>
        <v>6-2024</v>
      </c>
      <c r="D505" s="165">
        <f t="shared" ref="D505:D506" si="35">E504</f>
        <v>7150.2</v>
      </c>
      <c r="E505" s="28">
        <v>7161.6</v>
      </c>
      <c r="F505" s="54">
        <f>'220 Antiga Silvinho '!$E505-'220 Antiga Silvinho '!$D505</f>
        <v>11.4</v>
      </c>
      <c r="G505" s="54">
        <f>'220 Antiga Silvinho '!$F505-10</f>
        <v>1.4</v>
      </c>
    </row>
    <row r="506" ht="14.25" customHeight="1">
      <c r="B506" s="145">
        <v>45451.0</v>
      </c>
      <c r="C506" s="166" t="str">
        <f t="shared" si="1"/>
        <v>6-2024</v>
      </c>
      <c r="D506" s="167">
        <f t="shared" si="35"/>
        <v>7161.6</v>
      </c>
      <c r="E506" s="168">
        <v>7174.0</v>
      </c>
      <c r="F506" s="167">
        <f>'220 Antiga Silvinho '!$E506-'220 Antiga Silvinho '!$D506</f>
        <v>12.4</v>
      </c>
      <c r="G506" s="167">
        <f>'220 Antiga Silvinho '!$F506-10</f>
        <v>2.4</v>
      </c>
    </row>
    <row r="507" ht="14.25" customHeight="1">
      <c r="B507" s="145">
        <v>45452.0</v>
      </c>
      <c r="C507" s="166" t="str">
        <f t="shared" si="1"/>
        <v>6-2024</v>
      </c>
      <c r="D507" s="167"/>
      <c r="E507" s="167"/>
      <c r="F507" s="167">
        <f>'220 Antiga Silvinho '!$E507-'220 Antiga Silvinho '!$D507</f>
        <v>0</v>
      </c>
      <c r="G507" s="167">
        <f>'220 Antiga Silvinho '!$F507-10</f>
        <v>-10</v>
      </c>
    </row>
    <row r="508" ht="14.25" customHeight="1">
      <c r="B508" s="164">
        <v>45453.0</v>
      </c>
      <c r="C508" s="141" t="str">
        <f t="shared" si="1"/>
        <v>6-2024</v>
      </c>
      <c r="D508" s="28">
        <v>7174.0</v>
      </c>
      <c r="E508" s="28">
        <v>7185.5</v>
      </c>
      <c r="F508" s="54">
        <f>'220 Antiga Silvinho '!$E508-'220 Antiga Silvinho '!$D508</f>
        <v>11.5</v>
      </c>
      <c r="G508" s="54">
        <f>'220 Antiga Silvinho '!$F508-10</f>
        <v>1.5</v>
      </c>
    </row>
    <row r="509" ht="14.25" customHeight="1">
      <c r="B509" s="164">
        <v>45454.0</v>
      </c>
      <c r="C509" s="141" t="str">
        <f t="shared" si="1"/>
        <v>6-2024</v>
      </c>
      <c r="D509" s="165">
        <f t="shared" ref="D509:D512" si="36">E508</f>
        <v>7185.5</v>
      </c>
      <c r="E509" s="28">
        <v>7191.3</v>
      </c>
      <c r="F509" s="54">
        <f>'220 Antiga Silvinho '!$E509-'220 Antiga Silvinho '!$D509</f>
        <v>5.8</v>
      </c>
      <c r="G509" s="54">
        <f>'220 Antiga Silvinho '!$F509-10</f>
        <v>-4.2</v>
      </c>
    </row>
    <row r="510" ht="14.25" customHeight="1">
      <c r="B510" s="164">
        <v>45455.0</v>
      </c>
      <c r="C510" s="141" t="str">
        <f t="shared" si="1"/>
        <v>6-2024</v>
      </c>
      <c r="D510" s="165">
        <f t="shared" si="36"/>
        <v>7191.3</v>
      </c>
      <c r="E510" s="28">
        <v>7206.0</v>
      </c>
      <c r="F510" s="54">
        <f>'220 Antiga Silvinho '!$E510-'220 Antiga Silvinho '!$D510</f>
        <v>14.7</v>
      </c>
      <c r="G510" s="54">
        <f>'220 Antiga Silvinho '!$F510-10</f>
        <v>4.7</v>
      </c>
    </row>
    <row r="511" ht="14.25" customHeight="1">
      <c r="B511" s="164">
        <v>45456.0</v>
      </c>
      <c r="C511" s="141" t="str">
        <f t="shared" si="1"/>
        <v>6-2024</v>
      </c>
      <c r="D511" s="165">
        <f t="shared" si="36"/>
        <v>7206</v>
      </c>
      <c r="E511" s="28">
        <v>7215.0</v>
      </c>
      <c r="F511" s="54">
        <f>'220 Antiga Silvinho '!$E511-'220 Antiga Silvinho '!$D511</f>
        <v>9</v>
      </c>
      <c r="G511" s="54">
        <f>'220 Antiga Silvinho '!$F511-10</f>
        <v>-1</v>
      </c>
    </row>
    <row r="512" ht="14.25" customHeight="1">
      <c r="B512" s="164">
        <v>45457.0</v>
      </c>
      <c r="C512" s="141" t="str">
        <f t="shared" si="1"/>
        <v>6-2024</v>
      </c>
      <c r="D512" s="165">
        <f t="shared" si="36"/>
        <v>7215</v>
      </c>
      <c r="E512" s="28">
        <v>7224.5</v>
      </c>
      <c r="F512" s="54">
        <f>'220 Antiga Silvinho '!$E512-'220 Antiga Silvinho '!$D512</f>
        <v>9.5</v>
      </c>
      <c r="G512" s="54">
        <f>'220 Antiga Silvinho '!$F512-10</f>
        <v>-0.5</v>
      </c>
    </row>
    <row r="513" ht="14.25" customHeight="1">
      <c r="B513" s="145">
        <v>45458.0</v>
      </c>
      <c r="C513" s="141" t="str">
        <f t="shared" si="1"/>
        <v>6-2024</v>
      </c>
      <c r="D513" s="138">
        <v>7224.5</v>
      </c>
      <c r="E513" s="138">
        <v>7231.4</v>
      </c>
      <c r="F513" s="54">
        <f>'220 Antiga Silvinho '!$E513-'220 Antiga Silvinho '!$D513</f>
        <v>6.9</v>
      </c>
      <c r="G513" s="54">
        <f>'220 Antiga Silvinho '!$F513-10</f>
        <v>-3.1</v>
      </c>
    </row>
    <row r="514" ht="14.25" customHeight="1">
      <c r="B514" s="145">
        <v>45459.0</v>
      </c>
      <c r="C514" s="141" t="str">
        <f t="shared" si="1"/>
        <v>6-2024</v>
      </c>
      <c r="D514" s="54"/>
      <c r="E514" s="54"/>
      <c r="F514" s="54">
        <f>'220 Antiga Silvinho '!$E514-'220 Antiga Silvinho '!$D514</f>
        <v>0</v>
      </c>
      <c r="G514" s="54">
        <f>'220 Antiga Silvinho '!$F514-10</f>
        <v>-10</v>
      </c>
    </row>
    <row r="515" ht="14.25" customHeight="1">
      <c r="B515" s="164">
        <v>45460.0</v>
      </c>
      <c r="C515" s="141" t="str">
        <f t="shared" si="1"/>
        <v>6-2024</v>
      </c>
      <c r="D515" s="138">
        <v>7231.4</v>
      </c>
      <c r="E515" s="138">
        <v>7240.2</v>
      </c>
      <c r="F515" s="54">
        <f>'220 Antiga Silvinho '!$E515-'220 Antiga Silvinho '!$D515</f>
        <v>8.8</v>
      </c>
      <c r="G515" s="54">
        <f>'220 Antiga Silvinho '!$F515-10</f>
        <v>-1.2</v>
      </c>
    </row>
    <row r="516" ht="14.25" customHeight="1">
      <c r="B516" s="164">
        <v>45461.0</v>
      </c>
      <c r="C516" s="141" t="str">
        <f t="shared" si="1"/>
        <v>6-2024</v>
      </c>
      <c r="D516" s="54">
        <f t="shared" ref="D516:D520" si="37">E515</f>
        <v>7240.2</v>
      </c>
      <c r="E516" s="138">
        <v>7252.0</v>
      </c>
      <c r="F516" s="54">
        <f>'220 Antiga Silvinho '!$E516-'220 Antiga Silvinho '!$D516</f>
        <v>11.8</v>
      </c>
      <c r="G516" s="54">
        <f>'220 Antiga Silvinho '!$F516-10</f>
        <v>1.8</v>
      </c>
    </row>
    <row r="517" ht="14.25" customHeight="1">
      <c r="B517" s="164">
        <v>45462.0</v>
      </c>
      <c r="C517" s="141" t="str">
        <f t="shared" si="1"/>
        <v>6-2024</v>
      </c>
      <c r="D517" s="54">
        <f t="shared" si="37"/>
        <v>7252</v>
      </c>
      <c r="E517" s="138">
        <v>7263.2</v>
      </c>
      <c r="F517" s="54">
        <f>'220 Antiga Silvinho '!$E517-'220 Antiga Silvinho '!$D517</f>
        <v>11.2</v>
      </c>
      <c r="G517" s="54">
        <f>'220 Antiga Silvinho '!$F517-10</f>
        <v>1.2</v>
      </c>
    </row>
    <row r="518" ht="14.25" customHeight="1">
      <c r="B518" s="164">
        <v>45463.0</v>
      </c>
      <c r="C518" s="141" t="str">
        <f t="shared" si="1"/>
        <v>6-2024</v>
      </c>
      <c r="D518" s="54">
        <f t="shared" si="37"/>
        <v>7263.2</v>
      </c>
      <c r="E518" s="138">
        <v>7275.0</v>
      </c>
      <c r="F518" s="54">
        <f>'220 Antiga Silvinho '!$E518-'220 Antiga Silvinho '!$D518</f>
        <v>11.8</v>
      </c>
      <c r="G518" s="54">
        <f>'220 Antiga Silvinho '!$F518-10</f>
        <v>1.8</v>
      </c>
    </row>
    <row r="519" ht="14.25" customHeight="1">
      <c r="B519" s="164">
        <v>45464.0</v>
      </c>
      <c r="C519" s="141" t="str">
        <f t="shared" si="1"/>
        <v>6-2024</v>
      </c>
      <c r="D519" s="54">
        <f t="shared" si="37"/>
        <v>7275</v>
      </c>
      <c r="E519" s="138">
        <v>7287.0</v>
      </c>
      <c r="F519" s="54">
        <f>'220 Antiga Silvinho '!$E519-'220 Antiga Silvinho '!$D519</f>
        <v>12</v>
      </c>
      <c r="G519" s="54">
        <f>'220 Antiga Silvinho '!$F519-10</f>
        <v>2</v>
      </c>
    </row>
    <row r="520" ht="14.25" customHeight="1">
      <c r="B520" s="145">
        <v>45465.0</v>
      </c>
      <c r="C520" s="141" t="str">
        <f t="shared" si="1"/>
        <v>6-2024</v>
      </c>
      <c r="D520" s="54">
        <f t="shared" si="37"/>
        <v>7287</v>
      </c>
      <c r="E520" s="138">
        <v>7296.3</v>
      </c>
      <c r="F520" s="54">
        <f>'220 Antiga Silvinho '!$E520-'220 Antiga Silvinho '!$D520</f>
        <v>9.3</v>
      </c>
      <c r="G520" s="54">
        <f>'220 Antiga Silvinho '!$F520-10</f>
        <v>-0.7</v>
      </c>
    </row>
    <row r="521" ht="14.25" customHeight="1">
      <c r="B521" s="145">
        <v>45466.0</v>
      </c>
      <c r="C521" s="141" t="str">
        <f t="shared" si="1"/>
        <v>6-2024</v>
      </c>
      <c r="D521" s="54"/>
      <c r="E521" s="54"/>
      <c r="F521" s="54">
        <f>'220 Antiga Silvinho '!$E521-'220 Antiga Silvinho '!$D521</f>
        <v>0</v>
      </c>
      <c r="G521" s="54">
        <f>'220 Antiga Silvinho '!$F521-10</f>
        <v>-10</v>
      </c>
    </row>
    <row r="522" ht="14.25" customHeight="1">
      <c r="B522" s="164">
        <v>45467.0</v>
      </c>
      <c r="C522" s="141" t="str">
        <f t="shared" si="1"/>
        <v>6-2024</v>
      </c>
      <c r="D522" s="138">
        <v>7296.3</v>
      </c>
      <c r="E522" s="138">
        <v>7305.3</v>
      </c>
      <c r="F522" s="54">
        <f>'220 Antiga Silvinho '!$E522-'220 Antiga Silvinho '!$D522</f>
        <v>9</v>
      </c>
      <c r="G522" s="54">
        <f>'220 Antiga Silvinho '!$F522-10</f>
        <v>-1</v>
      </c>
    </row>
    <row r="523" ht="14.25" customHeight="1">
      <c r="B523" s="164">
        <v>45468.0</v>
      </c>
      <c r="C523" s="141" t="str">
        <f t="shared" si="1"/>
        <v>6-2024</v>
      </c>
      <c r="D523" s="54">
        <f t="shared" ref="D523:D527" si="38">E522</f>
        <v>7305.3</v>
      </c>
      <c r="E523" s="138">
        <v>7318.0</v>
      </c>
      <c r="F523" s="54">
        <f>'220 Antiga Silvinho '!$E523-'220 Antiga Silvinho '!$D523</f>
        <v>12.7</v>
      </c>
      <c r="G523" s="54">
        <f>'220 Antiga Silvinho '!$F523-10</f>
        <v>2.7</v>
      </c>
    </row>
    <row r="524" ht="14.25" customHeight="1">
      <c r="B524" s="164">
        <v>45469.0</v>
      </c>
      <c r="C524" s="141" t="str">
        <f t="shared" si="1"/>
        <v>6-2024</v>
      </c>
      <c r="D524" s="54">
        <f t="shared" si="38"/>
        <v>7318</v>
      </c>
      <c r="E524" s="138">
        <v>7330.0</v>
      </c>
      <c r="F524" s="54">
        <f>'220 Antiga Silvinho '!$E524-'220 Antiga Silvinho '!$D524</f>
        <v>12</v>
      </c>
      <c r="G524" s="54">
        <f>'220 Antiga Silvinho '!$F524-10</f>
        <v>2</v>
      </c>
    </row>
    <row r="525" ht="14.25" customHeight="1">
      <c r="B525" s="164">
        <v>45470.0</v>
      </c>
      <c r="C525" s="141" t="str">
        <f t="shared" si="1"/>
        <v>6-2024</v>
      </c>
      <c r="D525" s="54">
        <f t="shared" si="38"/>
        <v>7330</v>
      </c>
      <c r="E525" s="138">
        <v>7341.0</v>
      </c>
      <c r="F525" s="54">
        <f>'220 Antiga Silvinho '!$E525-'220 Antiga Silvinho '!$D525</f>
        <v>11</v>
      </c>
      <c r="G525" s="54">
        <f>'220 Antiga Silvinho '!$F525-10</f>
        <v>1</v>
      </c>
    </row>
    <row r="526" ht="14.25" customHeight="1">
      <c r="B526" s="164">
        <v>45471.0</v>
      </c>
      <c r="C526" s="141" t="str">
        <f t="shared" si="1"/>
        <v>6-2024</v>
      </c>
      <c r="D526" s="54">
        <f t="shared" si="38"/>
        <v>7341</v>
      </c>
      <c r="E526" s="138">
        <v>7354.0</v>
      </c>
      <c r="F526" s="54">
        <f>'220 Antiga Silvinho '!$E526-'220 Antiga Silvinho '!$D526</f>
        <v>13</v>
      </c>
      <c r="G526" s="54">
        <f>'220 Antiga Silvinho '!$F526-10</f>
        <v>3</v>
      </c>
    </row>
    <row r="527" ht="14.25" customHeight="1">
      <c r="B527" s="145">
        <v>45472.0</v>
      </c>
      <c r="C527" s="141" t="str">
        <f t="shared" si="1"/>
        <v>6-2024</v>
      </c>
      <c r="D527" s="54">
        <f t="shared" si="38"/>
        <v>7354</v>
      </c>
      <c r="E527" s="138">
        <v>7364.4</v>
      </c>
      <c r="F527" s="54">
        <f>'220 Antiga Silvinho '!$E527-'220 Antiga Silvinho '!$D527</f>
        <v>10.4</v>
      </c>
      <c r="G527" s="54">
        <f>'220 Antiga Silvinho '!$F527-10</f>
        <v>0.4</v>
      </c>
    </row>
    <row r="528" ht="14.25" customHeight="1">
      <c r="B528" s="145">
        <v>45473.0</v>
      </c>
      <c r="C528" s="141" t="str">
        <f t="shared" si="1"/>
        <v>6-2024</v>
      </c>
      <c r="D528" s="54"/>
      <c r="E528" s="54"/>
      <c r="F528" s="54">
        <f>'220 Antiga Silvinho '!$E528-'220 Antiga Silvinho '!$D528</f>
        <v>0</v>
      </c>
      <c r="G528" s="54">
        <f>'220 Antiga Silvinho '!$F528-10</f>
        <v>-10</v>
      </c>
    </row>
    <row r="529" ht="14.25" customHeight="1">
      <c r="B529" s="164">
        <v>45474.0</v>
      </c>
      <c r="C529" s="141" t="str">
        <f t="shared" si="1"/>
        <v>7-2024</v>
      </c>
      <c r="D529" s="138">
        <v>7364.4</v>
      </c>
      <c r="E529" s="138">
        <v>7373.4</v>
      </c>
      <c r="F529" s="54">
        <f>'220 Antiga Silvinho '!$E529-'220 Antiga Silvinho '!$D529</f>
        <v>9</v>
      </c>
      <c r="G529" s="54">
        <f>'220 Antiga Silvinho '!$F529-10</f>
        <v>-1</v>
      </c>
    </row>
    <row r="530" ht="14.25" customHeight="1">
      <c r="B530" s="164">
        <v>45475.0</v>
      </c>
      <c r="C530" s="141" t="str">
        <f t="shared" si="1"/>
        <v>7-2024</v>
      </c>
      <c r="D530" s="54">
        <f t="shared" ref="D530:D534" si="39">E529</f>
        <v>7373.4</v>
      </c>
      <c r="E530" s="138">
        <v>7385.2</v>
      </c>
      <c r="F530" s="54">
        <f>'220 Antiga Silvinho '!$E530-'220 Antiga Silvinho '!$D530</f>
        <v>11.8</v>
      </c>
      <c r="G530" s="54">
        <f>'220 Antiga Silvinho '!$F530-10</f>
        <v>1.8</v>
      </c>
    </row>
    <row r="531" ht="14.25" customHeight="1">
      <c r="B531" s="140">
        <v>45476.0</v>
      </c>
      <c r="C531" s="141" t="str">
        <f t="shared" si="1"/>
        <v>7-2024</v>
      </c>
      <c r="D531" s="54">
        <f t="shared" si="39"/>
        <v>7385.2</v>
      </c>
      <c r="E531" s="138">
        <v>7397.3</v>
      </c>
      <c r="F531" s="54">
        <f>'220 Antiga Silvinho '!$E531-'220 Antiga Silvinho '!$D531</f>
        <v>12.1</v>
      </c>
      <c r="G531" s="54">
        <f>'220 Antiga Silvinho '!$F531-10</f>
        <v>2.1</v>
      </c>
    </row>
    <row r="532" ht="14.25" customHeight="1">
      <c r="B532" s="169">
        <v>45477.0</v>
      </c>
      <c r="C532" s="141" t="str">
        <f t="shared" si="1"/>
        <v>7-2024</v>
      </c>
      <c r="D532" s="54">
        <f t="shared" si="39"/>
        <v>7397.3</v>
      </c>
      <c r="E532" s="138">
        <v>7409.1</v>
      </c>
      <c r="F532" s="54">
        <f>'220 Antiga Silvinho '!$E532-'220 Antiga Silvinho '!$D532</f>
        <v>11.8</v>
      </c>
      <c r="G532" s="54">
        <f>'220 Antiga Silvinho '!$F532-10</f>
        <v>1.8</v>
      </c>
    </row>
    <row r="533" ht="14.25" customHeight="1">
      <c r="B533" s="169">
        <v>45478.0</v>
      </c>
      <c r="C533" s="141" t="str">
        <f t="shared" si="1"/>
        <v>7-2024</v>
      </c>
      <c r="D533" s="54">
        <f t="shared" si="39"/>
        <v>7409.1</v>
      </c>
      <c r="E533" s="138">
        <v>7420.2</v>
      </c>
      <c r="F533" s="54">
        <f>'220 Antiga Silvinho '!$E533-'220 Antiga Silvinho '!$D533</f>
        <v>11.1</v>
      </c>
      <c r="G533" s="54">
        <f>'220 Antiga Silvinho '!$F533-10</f>
        <v>1.1</v>
      </c>
    </row>
    <row r="534" ht="14.25" customHeight="1">
      <c r="B534" s="164">
        <v>45479.0</v>
      </c>
      <c r="C534" s="141" t="str">
        <f t="shared" si="1"/>
        <v>7-2024</v>
      </c>
      <c r="D534" s="54">
        <f t="shared" si="39"/>
        <v>7420.2</v>
      </c>
      <c r="E534" s="138">
        <v>7430.0</v>
      </c>
      <c r="F534" s="54">
        <f>'220 Antiga Silvinho '!$E534-'220 Antiga Silvinho '!$D534</f>
        <v>9.8</v>
      </c>
      <c r="G534" s="54">
        <f>'220 Antiga Silvinho '!$F534-10</f>
        <v>-0.2</v>
      </c>
    </row>
    <row r="535" ht="14.25" customHeight="1">
      <c r="B535" s="145">
        <v>45480.0</v>
      </c>
      <c r="C535" s="141" t="str">
        <f t="shared" si="1"/>
        <v>7-2024</v>
      </c>
      <c r="D535" s="54"/>
      <c r="E535" s="54"/>
      <c r="F535" s="54">
        <f>'220 Antiga Silvinho '!$E535-'220 Antiga Silvinho '!$D535</f>
        <v>0</v>
      </c>
      <c r="G535" s="54">
        <f>'220 Antiga Silvinho '!$F535-10</f>
        <v>-10</v>
      </c>
    </row>
    <row r="536" ht="14.25" customHeight="1">
      <c r="B536" s="145">
        <v>45481.0</v>
      </c>
      <c r="C536" s="141" t="str">
        <f t="shared" si="1"/>
        <v>7-2024</v>
      </c>
      <c r="D536" s="138">
        <v>7430.0</v>
      </c>
      <c r="E536" s="138">
        <v>7440.0</v>
      </c>
      <c r="F536" s="54">
        <f>'220 Antiga Silvinho '!$E536-'220 Antiga Silvinho '!$D536</f>
        <v>10</v>
      </c>
      <c r="G536" s="54">
        <f>'220 Antiga Silvinho '!$F536-10</f>
        <v>0</v>
      </c>
    </row>
    <row r="537" ht="14.25" customHeight="1">
      <c r="B537" s="164">
        <v>45482.0</v>
      </c>
      <c r="C537" s="141" t="str">
        <f t="shared" si="1"/>
        <v>7-2024</v>
      </c>
      <c r="D537" s="54">
        <f t="shared" ref="D537:D541" si="40">E536</f>
        <v>7440</v>
      </c>
      <c r="E537" s="138">
        <v>7451.2</v>
      </c>
      <c r="F537" s="54">
        <f>'220 Antiga Silvinho '!$E537-'220 Antiga Silvinho '!$D537</f>
        <v>11.2</v>
      </c>
      <c r="G537" s="54">
        <f>'220 Antiga Silvinho '!$F537-10</f>
        <v>1.2</v>
      </c>
    </row>
    <row r="538" ht="14.25" customHeight="1">
      <c r="B538" s="164">
        <v>45483.0</v>
      </c>
      <c r="C538" s="141" t="str">
        <f t="shared" si="1"/>
        <v>7-2024</v>
      </c>
      <c r="D538" s="54">
        <f t="shared" si="40"/>
        <v>7451.2</v>
      </c>
      <c r="E538" s="138">
        <v>7464.0</v>
      </c>
      <c r="F538" s="54">
        <f>'220 Antiga Silvinho '!$E538-'220 Antiga Silvinho '!$D538</f>
        <v>12.8</v>
      </c>
      <c r="G538" s="54">
        <f>'220 Antiga Silvinho '!$F538-10</f>
        <v>2.8</v>
      </c>
    </row>
    <row r="539" ht="14.25" customHeight="1">
      <c r="B539" s="164">
        <v>45484.0</v>
      </c>
      <c r="C539" s="141" t="str">
        <f t="shared" si="1"/>
        <v>7-2024</v>
      </c>
      <c r="D539" s="54">
        <f t="shared" si="40"/>
        <v>7464</v>
      </c>
      <c r="E539" s="138">
        <v>7476.1</v>
      </c>
      <c r="F539" s="54">
        <f>'220 Antiga Silvinho '!$E539-'220 Antiga Silvinho '!$D539</f>
        <v>12.1</v>
      </c>
      <c r="G539" s="54">
        <f>'220 Antiga Silvinho '!$F539-10</f>
        <v>2.1</v>
      </c>
    </row>
    <row r="540" ht="14.25" customHeight="1">
      <c r="B540" s="164">
        <v>45485.0</v>
      </c>
      <c r="C540" s="141" t="str">
        <f t="shared" si="1"/>
        <v>7-2024</v>
      </c>
      <c r="D540" s="54">
        <f t="shared" si="40"/>
        <v>7476.1</v>
      </c>
      <c r="E540" s="138">
        <v>7489.0</v>
      </c>
      <c r="F540" s="54">
        <f>'220 Antiga Silvinho '!$E540-'220 Antiga Silvinho '!$D540</f>
        <v>12.9</v>
      </c>
      <c r="G540" s="54">
        <f>'220 Antiga Silvinho '!$F540-10</f>
        <v>2.9</v>
      </c>
    </row>
    <row r="541" ht="14.25" customHeight="1">
      <c r="B541" s="145">
        <v>45486.0</v>
      </c>
      <c r="C541" s="141" t="str">
        <f t="shared" si="1"/>
        <v>7-2024</v>
      </c>
      <c r="D541" s="54">
        <f t="shared" si="40"/>
        <v>7489</v>
      </c>
      <c r="E541" s="138">
        <v>7495.7</v>
      </c>
      <c r="F541" s="54">
        <f>'220 Antiga Silvinho '!$E541-'220 Antiga Silvinho '!$D541</f>
        <v>6.7</v>
      </c>
      <c r="G541" s="54">
        <f>'220 Antiga Silvinho '!$F541-10</f>
        <v>-3.3</v>
      </c>
    </row>
    <row r="542" ht="14.25" customHeight="1">
      <c r="B542" s="145">
        <v>45487.0</v>
      </c>
      <c r="C542" s="141" t="str">
        <f t="shared" si="1"/>
        <v>7-2024</v>
      </c>
      <c r="D542" s="54"/>
      <c r="E542" s="54"/>
      <c r="F542" s="54">
        <f>'220 Antiga Silvinho '!$E542-'220 Antiga Silvinho '!$D542</f>
        <v>0</v>
      </c>
      <c r="G542" s="54">
        <f>'220 Antiga Silvinho '!$F542-10</f>
        <v>-10</v>
      </c>
    </row>
    <row r="543" ht="14.25" customHeight="1">
      <c r="B543" s="164">
        <v>45488.0</v>
      </c>
      <c r="C543" s="141" t="str">
        <f t="shared" si="1"/>
        <v>7-2024</v>
      </c>
      <c r="D543" s="138">
        <v>7495.7</v>
      </c>
      <c r="E543" s="138">
        <v>7502.7</v>
      </c>
      <c r="F543" s="54">
        <f>'220 Antiga Silvinho '!$E543-'220 Antiga Silvinho '!$D543</f>
        <v>7</v>
      </c>
      <c r="G543" s="54">
        <f>'220 Antiga Silvinho '!$F543-10</f>
        <v>-3</v>
      </c>
    </row>
    <row r="544" ht="14.25" customHeight="1">
      <c r="B544" s="164">
        <v>45489.0</v>
      </c>
      <c r="C544" s="141" t="str">
        <f t="shared" si="1"/>
        <v>7-2024</v>
      </c>
      <c r="D544" s="54">
        <f t="shared" ref="D544:D548" si="41">E543</f>
        <v>7502.7</v>
      </c>
      <c r="E544" s="138">
        <v>7512.3</v>
      </c>
      <c r="F544" s="54">
        <f>'220 Antiga Silvinho '!$E544-'220 Antiga Silvinho '!$D544</f>
        <v>9.6</v>
      </c>
      <c r="G544" s="54">
        <f>'220 Antiga Silvinho '!$F544-10</f>
        <v>-0.4</v>
      </c>
    </row>
    <row r="545" ht="14.25" customHeight="1">
      <c r="B545" s="164">
        <v>45490.0</v>
      </c>
      <c r="C545" s="141" t="str">
        <f t="shared" si="1"/>
        <v>7-2024</v>
      </c>
      <c r="D545" s="54">
        <f t="shared" si="41"/>
        <v>7512.3</v>
      </c>
      <c r="E545" s="138">
        <v>7522.2</v>
      </c>
      <c r="F545" s="54">
        <f>'220 Antiga Silvinho '!$E545-'220 Antiga Silvinho '!$D545</f>
        <v>9.9</v>
      </c>
      <c r="G545" s="54">
        <f>'220 Antiga Silvinho '!$F545-10</f>
        <v>-0.1</v>
      </c>
    </row>
    <row r="546" ht="14.25" customHeight="1">
      <c r="B546" s="164">
        <v>45491.0</v>
      </c>
      <c r="C546" s="141" t="str">
        <f t="shared" si="1"/>
        <v>7-2024</v>
      </c>
      <c r="D546" s="54">
        <f t="shared" si="41"/>
        <v>7522.2</v>
      </c>
      <c r="E546" s="138">
        <v>7534.0</v>
      </c>
      <c r="F546" s="54">
        <f>'220 Antiga Silvinho '!$E546-'220 Antiga Silvinho '!$D546</f>
        <v>11.8</v>
      </c>
      <c r="G546" s="54">
        <f>'220 Antiga Silvinho '!$F546-10</f>
        <v>1.8</v>
      </c>
    </row>
    <row r="547" ht="14.25" customHeight="1">
      <c r="B547" s="164">
        <v>45492.0</v>
      </c>
      <c r="C547" s="141" t="str">
        <f t="shared" si="1"/>
        <v>7-2024</v>
      </c>
      <c r="D547" s="54">
        <f t="shared" si="41"/>
        <v>7534</v>
      </c>
      <c r="E547" s="138">
        <v>7546.0</v>
      </c>
      <c r="F547" s="54">
        <f>'220 Antiga Silvinho '!$E547-'220 Antiga Silvinho '!$D547</f>
        <v>12</v>
      </c>
      <c r="G547" s="54">
        <f>'220 Antiga Silvinho '!$F547-10</f>
        <v>2</v>
      </c>
    </row>
    <row r="548" ht="14.25" customHeight="1">
      <c r="B548" s="145">
        <v>45493.0</v>
      </c>
      <c r="C548" s="141" t="str">
        <f t="shared" si="1"/>
        <v>7-2024</v>
      </c>
      <c r="D548" s="54">
        <f t="shared" si="41"/>
        <v>7546</v>
      </c>
      <c r="E548" s="138">
        <v>7553.0</v>
      </c>
      <c r="F548" s="54">
        <f>'220 Antiga Silvinho '!$E548-'220 Antiga Silvinho '!$D548</f>
        <v>7</v>
      </c>
      <c r="G548" s="54">
        <f>'220 Antiga Silvinho '!$F548-10</f>
        <v>-3</v>
      </c>
    </row>
    <row r="549" ht="14.25" customHeight="1">
      <c r="B549" s="145">
        <v>45494.0</v>
      </c>
      <c r="C549" s="141" t="str">
        <f t="shared" si="1"/>
        <v>7-2024</v>
      </c>
      <c r="D549" s="54"/>
      <c r="E549" s="54"/>
      <c r="F549" s="54">
        <f>'220 Antiga Silvinho '!$E549-'220 Antiga Silvinho '!$D549</f>
        <v>0</v>
      </c>
      <c r="G549" s="54">
        <f>'220 Antiga Silvinho '!$F549-10</f>
        <v>-10</v>
      </c>
    </row>
    <row r="550" ht="14.25" customHeight="1">
      <c r="B550" s="164">
        <v>45495.0</v>
      </c>
      <c r="C550" s="141" t="str">
        <f t="shared" si="1"/>
        <v>7-2024</v>
      </c>
      <c r="D550" s="138">
        <v>7553.0</v>
      </c>
      <c r="E550" s="138">
        <v>7561.5</v>
      </c>
      <c r="F550" s="54">
        <f>'220 Antiga Silvinho '!$E550-'220 Antiga Silvinho '!$D550</f>
        <v>8.5</v>
      </c>
      <c r="G550" s="54">
        <f>'220 Antiga Silvinho '!$F550-10</f>
        <v>-1.5</v>
      </c>
    </row>
    <row r="551" ht="14.25" customHeight="1">
      <c r="B551" s="164">
        <v>45496.0</v>
      </c>
      <c r="C551" s="141" t="str">
        <f t="shared" si="1"/>
        <v>7-2024</v>
      </c>
      <c r="D551" s="54">
        <f t="shared" ref="D551:D554" si="42">E550</f>
        <v>7561.5</v>
      </c>
      <c r="E551" s="138">
        <v>7573.2</v>
      </c>
      <c r="F551" s="54">
        <f>'220 Antiga Silvinho '!$E551-'220 Antiga Silvinho '!$D551</f>
        <v>11.7</v>
      </c>
      <c r="G551" s="54">
        <f>'220 Antiga Silvinho '!$F551-10</f>
        <v>1.7</v>
      </c>
    </row>
    <row r="552" ht="14.25" customHeight="1">
      <c r="B552" s="164">
        <v>45497.0</v>
      </c>
      <c r="C552" s="141" t="str">
        <f t="shared" si="1"/>
        <v>7-2024</v>
      </c>
      <c r="D552" s="54">
        <f t="shared" si="42"/>
        <v>7573.2</v>
      </c>
      <c r="E552" s="138">
        <v>7585.2</v>
      </c>
      <c r="F552" s="54">
        <f>'220 Antiga Silvinho '!$E552-'220 Antiga Silvinho '!$D552</f>
        <v>12</v>
      </c>
      <c r="G552" s="54">
        <f>'220 Antiga Silvinho '!$F552-10</f>
        <v>2</v>
      </c>
    </row>
    <row r="553" ht="14.25" customHeight="1">
      <c r="B553" s="164">
        <v>45498.0</v>
      </c>
      <c r="C553" s="141" t="str">
        <f t="shared" si="1"/>
        <v>7-2024</v>
      </c>
      <c r="D553" s="54">
        <f t="shared" si="42"/>
        <v>7585.2</v>
      </c>
      <c r="E553" s="138">
        <v>7597.1</v>
      </c>
      <c r="F553" s="54">
        <f>'220 Antiga Silvinho '!$E553-'220 Antiga Silvinho '!$D553</f>
        <v>11.9</v>
      </c>
      <c r="G553" s="54">
        <f>'220 Antiga Silvinho '!$F553-10</f>
        <v>1.9</v>
      </c>
    </row>
    <row r="554" ht="14.25" customHeight="1">
      <c r="B554" s="164">
        <v>45499.0</v>
      </c>
      <c r="C554" s="141" t="str">
        <f t="shared" si="1"/>
        <v>7-2024</v>
      </c>
      <c r="D554" s="54">
        <f t="shared" si="42"/>
        <v>7597.1</v>
      </c>
      <c r="E554" s="138">
        <v>7609.0</v>
      </c>
      <c r="F554" s="54">
        <f>'220 Antiga Silvinho '!$E554-'220 Antiga Silvinho '!$D554</f>
        <v>11.9</v>
      </c>
      <c r="G554" s="54">
        <f>'220 Antiga Silvinho '!$F554-10</f>
        <v>1.9</v>
      </c>
    </row>
    <row r="555" ht="14.25" customHeight="1">
      <c r="B555" s="145">
        <v>45500.0</v>
      </c>
      <c r="C555" s="141" t="str">
        <f t="shared" si="1"/>
        <v>7-2024</v>
      </c>
      <c r="D555" s="54"/>
      <c r="E555" s="54"/>
      <c r="F555" s="54">
        <f>'220 Antiga Silvinho '!$E555-'220 Antiga Silvinho '!$D555</f>
        <v>0</v>
      </c>
      <c r="G555" s="54">
        <f>'220 Antiga Silvinho '!$F555-10</f>
        <v>-10</v>
      </c>
    </row>
    <row r="556" ht="14.25" customHeight="1">
      <c r="B556" s="145">
        <v>45501.0</v>
      </c>
      <c r="C556" s="141" t="str">
        <f t="shared" si="1"/>
        <v>7-2024</v>
      </c>
      <c r="D556" s="54" t="str">
        <f>E555</f>
        <v/>
      </c>
      <c r="E556" s="54"/>
      <c r="F556" s="54">
        <f>'220 Antiga Silvinho '!$E556-'220 Antiga Silvinho '!$D556</f>
        <v>0</v>
      </c>
      <c r="G556" s="54">
        <f>'220 Antiga Silvinho '!$F556-10</f>
        <v>-10</v>
      </c>
    </row>
    <row r="557" ht="14.25" customHeight="1">
      <c r="B557" s="164">
        <v>45502.0</v>
      </c>
      <c r="C557" s="141" t="str">
        <f t="shared" si="1"/>
        <v>7-2024</v>
      </c>
      <c r="D557" s="138">
        <v>7609.0</v>
      </c>
      <c r="E557" s="138">
        <v>7619.0</v>
      </c>
      <c r="F557" s="54">
        <f>'220 Antiga Silvinho '!$E557-'220 Antiga Silvinho '!$D557</f>
        <v>10</v>
      </c>
      <c r="G557" s="54">
        <f>'220 Antiga Silvinho '!$F557-10</f>
        <v>0</v>
      </c>
    </row>
    <row r="558" ht="14.25" customHeight="1">
      <c r="B558" s="164">
        <v>45503.0</v>
      </c>
      <c r="C558" s="141" t="str">
        <f t="shared" si="1"/>
        <v>7-2024</v>
      </c>
      <c r="D558" s="54">
        <f t="shared" ref="D558:D559" si="43">E557</f>
        <v>7619</v>
      </c>
      <c r="E558" s="138">
        <v>7630.1</v>
      </c>
      <c r="F558" s="54">
        <f>'220 Antiga Silvinho '!$E558-'220 Antiga Silvinho '!$D558</f>
        <v>11.1</v>
      </c>
      <c r="G558" s="54">
        <f>'220 Antiga Silvinho '!$F558-10</f>
        <v>1.1</v>
      </c>
    </row>
    <row r="559" ht="14.25" customHeight="1">
      <c r="B559" s="164">
        <v>45504.0</v>
      </c>
      <c r="C559" s="141" t="str">
        <f t="shared" si="1"/>
        <v>7-2024</v>
      </c>
      <c r="D559" s="54">
        <f t="shared" si="43"/>
        <v>7630.1</v>
      </c>
      <c r="E559" s="138">
        <v>7642.4</v>
      </c>
      <c r="F559" s="54">
        <f>'220 Antiga Silvinho '!$E559-'220 Antiga Silvinho '!$D559</f>
        <v>12.3</v>
      </c>
      <c r="G559" s="54">
        <f>'220 Antiga Silvinho '!$F559-10</f>
        <v>2.3</v>
      </c>
    </row>
    <row r="560" ht="14.25" customHeight="1">
      <c r="B560" s="164">
        <v>45505.0</v>
      </c>
      <c r="C560" s="141" t="str">
        <f t="shared" si="1"/>
        <v>8-2024</v>
      </c>
      <c r="D560" s="168">
        <v>7642.4</v>
      </c>
      <c r="E560" s="168">
        <v>7667.5</v>
      </c>
      <c r="F560" s="138">
        <v>7.0</v>
      </c>
      <c r="G560" s="54">
        <f>'220 Antiga Silvinho '!$F560-10</f>
        <v>-3</v>
      </c>
    </row>
    <row r="561" ht="14.25" customHeight="1">
      <c r="B561" s="164">
        <v>45506.0</v>
      </c>
      <c r="C561" s="141" t="str">
        <f t="shared" si="1"/>
        <v>8-2024</v>
      </c>
      <c r="D561" s="138"/>
      <c r="E561" s="138"/>
      <c r="F561" s="54">
        <f>'220 Antiga Silvinho '!$E561-'220 Antiga Silvinho '!$D561</f>
        <v>0</v>
      </c>
      <c r="G561" s="54">
        <f>'220 Antiga Silvinho '!$F561-10</f>
        <v>-10</v>
      </c>
      <c r="H561" s="28" t="s">
        <v>131</v>
      </c>
    </row>
    <row r="562" ht="14.25" customHeight="1">
      <c r="B562" s="145">
        <v>45507.0</v>
      </c>
      <c r="C562" s="141" t="str">
        <f t="shared" si="1"/>
        <v>8-2024</v>
      </c>
      <c r="D562" s="54" t="str">
        <f t="shared" ref="D562:D564" si="44">E561</f>
        <v/>
      </c>
      <c r="E562" s="54"/>
      <c r="F562" s="54">
        <f>'220 Antiga Silvinho '!$E562-'220 Antiga Silvinho '!$D562</f>
        <v>0</v>
      </c>
      <c r="G562" s="54">
        <f>'220 Antiga Silvinho '!$F562-10</f>
        <v>-10</v>
      </c>
    </row>
    <row r="563" ht="14.25" customHeight="1">
      <c r="B563" s="145">
        <v>45508.0</v>
      </c>
      <c r="C563" s="141" t="str">
        <f t="shared" si="1"/>
        <v>8-2024</v>
      </c>
      <c r="D563" s="54" t="str">
        <f t="shared" si="44"/>
        <v/>
      </c>
      <c r="E563" s="54"/>
      <c r="F563" s="54">
        <f>'220 Antiga Silvinho '!$E563-'220 Antiga Silvinho '!$D563</f>
        <v>0</v>
      </c>
      <c r="G563" s="54">
        <f>'220 Antiga Silvinho '!$F563-10</f>
        <v>-10</v>
      </c>
    </row>
    <row r="564" ht="14.25" customHeight="1">
      <c r="B564" s="164">
        <v>45509.0</v>
      </c>
      <c r="C564" s="141" t="str">
        <f t="shared" si="1"/>
        <v>8-2024</v>
      </c>
      <c r="D564" s="54" t="str">
        <f t="shared" si="44"/>
        <v/>
      </c>
      <c r="E564" s="54"/>
      <c r="F564" s="54">
        <f>'220 Antiga Silvinho '!$E564-'220 Antiga Silvinho '!$D564</f>
        <v>0</v>
      </c>
      <c r="G564" s="54">
        <f>'220 Antiga Silvinho '!$F564-10</f>
        <v>-10</v>
      </c>
    </row>
    <row r="565" ht="14.25" customHeight="1">
      <c r="B565" s="164">
        <v>45510.0</v>
      </c>
      <c r="C565" s="141" t="str">
        <f t="shared" si="1"/>
        <v>8-2024</v>
      </c>
      <c r="D565" s="138">
        <v>5019.4</v>
      </c>
      <c r="E565" s="138">
        <v>5025.1</v>
      </c>
      <c r="F565" s="54">
        <f>'220 Antiga Silvinho '!$E565-'220 Antiga Silvinho '!$D565</f>
        <v>5.7</v>
      </c>
      <c r="G565" s="54">
        <f>'220 Antiga Silvinho '!$F565-10</f>
        <v>-4.3</v>
      </c>
    </row>
    <row r="566" ht="14.25" customHeight="1">
      <c r="B566" s="164">
        <v>45511.0</v>
      </c>
      <c r="C566" s="141" t="str">
        <f t="shared" si="1"/>
        <v>8-2024</v>
      </c>
      <c r="D566" s="54">
        <f t="shared" ref="D566:D567" si="45">E565</f>
        <v>5025.1</v>
      </c>
      <c r="E566" s="138">
        <v>5036.1</v>
      </c>
      <c r="F566" s="54">
        <f>'220 Antiga Silvinho '!$E566-'220 Antiga Silvinho '!$D566</f>
        <v>11</v>
      </c>
      <c r="G566" s="54">
        <f>'220 Antiga Silvinho '!$F566-10</f>
        <v>1</v>
      </c>
    </row>
    <row r="567" ht="14.25" customHeight="1">
      <c r="B567" s="164">
        <v>45512.0</v>
      </c>
      <c r="C567" s="141" t="str">
        <f t="shared" si="1"/>
        <v>8-2024</v>
      </c>
      <c r="D567" s="54">
        <f t="shared" si="45"/>
        <v>5036.1</v>
      </c>
      <c r="E567" s="138">
        <v>5047.2</v>
      </c>
      <c r="F567" s="54">
        <f>'220 Antiga Silvinho '!$E567-'220 Antiga Silvinho '!$D567</f>
        <v>11.1</v>
      </c>
      <c r="G567" s="54">
        <f>'220 Antiga Silvinho '!$F567-10</f>
        <v>1.1</v>
      </c>
    </row>
    <row r="568" ht="14.25" customHeight="1">
      <c r="B568" s="164">
        <v>45513.0</v>
      </c>
      <c r="C568" s="141" t="str">
        <f t="shared" si="1"/>
        <v>8-2024</v>
      </c>
      <c r="D568" s="138">
        <v>7693.1</v>
      </c>
      <c r="E568" s="138">
        <v>7703.1</v>
      </c>
      <c r="F568" s="54">
        <f>'220 Antiga Silvinho '!$E568-'220 Antiga Silvinho '!$D568</f>
        <v>10</v>
      </c>
      <c r="G568" s="54">
        <f>'220 Antiga Silvinho '!$F568-10</f>
        <v>0</v>
      </c>
    </row>
    <row r="569" ht="14.25" customHeight="1">
      <c r="B569" s="145">
        <v>45514.0</v>
      </c>
      <c r="C569" s="141" t="str">
        <f t="shared" si="1"/>
        <v>8-2024</v>
      </c>
      <c r="D569" s="138">
        <v>7703.1</v>
      </c>
      <c r="E569" s="138">
        <v>7704.5</v>
      </c>
      <c r="F569" s="54">
        <f>'220 Antiga Silvinho '!$E569-'220 Antiga Silvinho '!$D569</f>
        <v>1.4</v>
      </c>
      <c r="G569" s="54">
        <f>'220 Antiga Silvinho '!$F569-10</f>
        <v>-8.6</v>
      </c>
    </row>
    <row r="570" ht="14.25" customHeight="1">
      <c r="B570" s="145">
        <v>45515.0</v>
      </c>
      <c r="C570" s="141" t="str">
        <f t="shared" si="1"/>
        <v>8-2024</v>
      </c>
      <c r="D570" s="54"/>
      <c r="E570" s="54"/>
      <c r="F570" s="54">
        <f>'220 Antiga Silvinho '!$E570-'220 Antiga Silvinho '!$D570</f>
        <v>0</v>
      </c>
      <c r="G570" s="54">
        <f>'220 Antiga Silvinho '!$F570-10</f>
        <v>-10</v>
      </c>
    </row>
    <row r="571" ht="14.25" customHeight="1">
      <c r="B571" s="164">
        <v>45516.0</v>
      </c>
      <c r="C571" s="141" t="str">
        <f t="shared" si="1"/>
        <v>8-2024</v>
      </c>
      <c r="D571" s="138">
        <v>7704.8</v>
      </c>
      <c r="E571" s="138">
        <v>7707.4</v>
      </c>
      <c r="F571" s="54">
        <f>'220 Antiga Silvinho '!$E571-'220 Antiga Silvinho '!$D571</f>
        <v>2.6</v>
      </c>
      <c r="G571" s="54">
        <f>'220 Antiga Silvinho '!$F571-10</f>
        <v>-7.4</v>
      </c>
    </row>
    <row r="572" ht="14.25" customHeight="1">
      <c r="B572" s="164">
        <v>45517.0</v>
      </c>
      <c r="C572" s="141" t="str">
        <f t="shared" si="1"/>
        <v>8-2024</v>
      </c>
      <c r="D572" s="54">
        <f t="shared" ref="D572:D594" si="46">E571</f>
        <v>7707.4</v>
      </c>
      <c r="E572" s="138">
        <v>7717.4</v>
      </c>
      <c r="F572" s="54">
        <f>'220 Antiga Silvinho '!$E572-'220 Antiga Silvinho '!$D572</f>
        <v>10</v>
      </c>
      <c r="G572" s="54">
        <f>'220 Antiga Silvinho '!$F572-10</f>
        <v>0</v>
      </c>
    </row>
    <row r="573" ht="14.25" customHeight="1">
      <c r="B573" s="164">
        <v>45518.0</v>
      </c>
      <c r="C573" s="141" t="str">
        <f t="shared" si="1"/>
        <v>8-2024</v>
      </c>
      <c r="D573" s="54">
        <f t="shared" si="46"/>
        <v>7717.4</v>
      </c>
      <c r="E573" s="138">
        <v>7727.5</v>
      </c>
      <c r="F573" s="54">
        <f>'220 Antiga Silvinho '!$E573-'220 Antiga Silvinho '!$D573</f>
        <v>10.1</v>
      </c>
      <c r="G573" s="54">
        <f>'220 Antiga Silvinho '!$F573-10</f>
        <v>0.1</v>
      </c>
    </row>
    <row r="574" ht="14.25" customHeight="1">
      <c r="B574" s="164">
        <v>45519.0</v>
      </c>
      <c r="C574" s="141" t="str">
        <f t="shared" si="1"/>
        <v>8-2024</v>
      </c>
      <c r="D574" s="54">
        <f t="shared" si="46"/>
        <v>7727.5</v>
      </c>
      <c r="E574" s="138">
        <v>7738.5</v>
      </c>
      <c r="F574" s="54">
        <f>'220 Antiga Silvinho '!$E574-'220 Antiga Silvinho '!$D574</f>
        <v>11</v>
      </c>
      <c r="G574" s="54">
        <f>'220 Antiga Silvinho '!$F574-10</f>
        <v>1</v>
      </c>
    </row>
    <row r="575" ht="14.25" customHeight="1">
      <c r="B575" s="164">
        <v>45520.0</v>
      </c>
      <c r="C575" s="141" t="str">
        <f t="shared" si="1"/>
        <v>8-2024</v>
      </c>
      <c r="D575" s="54">
        <f t="shared" si="46"/>
        <v>7738.5</v>
      </c>
      <c r="E575" s="138">
        <v>7749.0</v>
      </c>
      <c r="F575" s="54">
        <f>'220 Antiga Silvinho '!$E575-'220 Antiga Silvinho '!$D575</f>
        <v>10.5</v>
      </c>
      <c r="G575" s="54">
        <f>'220 Antiga Silvinho '!$F575-10</f>
        <v>0.5</v>
      </c>
    </row>
    <row r="576" ht="14.25" customHeight="1">
      <c r="B576" s="145">
        <v>45521.0</v>
      </c>
      <c r="C576" s="141" t="str">
        <f t="shared" si="1"/>
        <v>8-2024</v>
      </c>
      <c r="D576" s="54">
        <f t="shared" si="46"/>
        <v>7749</v>
      </c>
      <c r="E576" s="138">
        <v>7759.5</v>
      </c>
      <c r="F576" s="54">
        <f>'220 Antiga Silvinho '!$E576-'220 Antiga Silvinho '!$D576</f>
        <v>10.5</v>
      </c>
      <c r="G576" s="54">
        <f>'220 Antiga Silvinho '!$F576-10</f>
        <v>0.5</v>
      </c>
    </row>
    <row r="577" ht="14.25" customHeight="1">
      <c r="B577" s="145">
        <v>45522.0</v>
      </c>
      <c r="C577" s="141" t="str">
        <f t="shared" si="1"/>
        <v>8-2024</v>
      </c>
      <c r="D577" s="54">
        <f t="shared" si="46"/>
        <v>7759.5</v>
      </c>
      <c r="E577" s="138">
        <v>7770.5</v>
      </c>
      <c r="F577" s="54">
        <f>'220 Antiga Silvinho '!$E577-'220 Antiga Silvinho '!$D577</f>
        <v>11</v>
      </c>
      <c r="G577" s="54">
        <f>'220 Antiga Silvinho '!$F577-10</f>
        <v>1</v>
      </c>
    </row>
    <row r="578" ht="14.25" customHeight="1">
      <c r="B578" s="164">
        <v>45523.0</v>
      </c>
      <c r="C578" s="141" t="str">
        <f t="shared" si="1"/>
        <v>8-2024</v>
      </c>
      <c r="D578" s="54">
        <f t="shared" si="46"/>
        <v>7770.5</v>
      </c>
      <c r="E578" s="138">
        <v>7781.5</v>
      </c>
      <c r="F578" s="54">
        <f>'220 Antiga Silvinho '!$E578-'220 Antiga Silvinho '!$D578</f>
        <v>11</v>
      </c>
      <c r="G578" s="54">
        <f>'220 Antiga Silvinho '!$F578-10</f>
        <v>1</v>
      </c>
    </row>
    <row r="579" ht="14.25" customHeight="1">
      <c r="B579" s="164">
        <v>45524.0</v>
      </c>
      <c r="C579" s="141" t="str">
        <f t="shared" si="1"/>
        <v>8-2024</v>
      </c>
      <c r="D579" s="54">
        <f t="shared" si="46"/>
        <v>7781.5</v>
      </c>
      <c r="E579" s="138">
        <v>7784.0</v>
      </c>
      <c r="F579" s="54">
        <f>'220 Antiga Silvinho '!$E579-'220 Antiga Silvinho '!$D579</f>
        <v>2.5</v>
      </c>
      <c r="G579" s="54">
        <f>'220 Antiga Silvinho '!$F579-10</f>
        <v>-7.5</v>
      </c>
    </row>
    <row r="580" ht="14.25" customHeight="1">
      <c r="B580" s="164">
        <v>45525.0</v>
      </c>
      <c r="C580" s="141" t="str">
        <f t="shared" si="1"/>
        <v>8-2024</v>
      </c>
      <c r="D580" s="54">
        <f t="shared" si="46"/>
        <v>7784</v>
      </c>
      <c r="E580" s="138">
        <v>7795.0</v>
      </c>
      <c r="F580" s="54">
        <f>'220 Antiga Silvinho '!$E580-'220 Antiga Silvinho '!$D580</f>
        <v>11</v>
      </c>
      <c r="G580" s="54">
        <f>'220 Antiga Silvinho '!$F580-10</f>
        <v>1</v>
      </c>
    </row>
    <row r="581" ht="14.25" customHeight="1">
      <c r="B581" s="164">
        <v>45526.0</v>
      </c>
      <c r="C581" s="141" t="str">
        <f t="shared" si="1"/>
        <v>8-2024</v>
      </c>
      <c r="D581" s="54">
        <f t="shared" si="46"/>
        <v>7795</v>
      </c>
      <c r="E581" s="138">
        <v>7800.0</v>
      </c>
      <c r="F581" s="54">
        <f>'220 Antiga Silvinho '!$E581-'220 Antiga Silvinho '!$D581</f>
        <v>5</v>
      </c>
      <c r="G581" s="54">
        <f>'220 Antiga Silvinho '!$F581-10</f>
        <v>-5</v>
      </c>
    </row>
    <row r="582" ht="14.25" customHeight="1">
      <c r="B582" s="164">
        <v>45527.0</v>
      </c>
      <c r="C582" s="141" t="str">
        <f t="shared" si="1"/>
        <v>8-2024</v>
      </c>
      <c r="D582" s="54">
        <f t="shared" si="46"/>
        <v>7800</v>
      </c>
      <c r="E582" s="138">
        <v>7807.0</v>
      </c>
      <c r="F582" s="54">
        <f>'220 Antiga Silvinho '!$E582-'220 Antiga Silvinho '!$D582</f>
        <v>7</v>
      </c>
      <c r="G582" s="54">
        <f>'220 Antiga Silvinho '!$F582-10</f>
        <v>-3</v>
      </c>
    </row>
    <row r="583" ht="14.25" customHeight="1">
      <c r="B583" s="145">
        <v>45528.0</v>
      </c>
      <c r="C583" s="141" t="str">
        <f t="shared" si="1"/>
        <v>8-2024</v>
      </c>
      <c r="D583" s="54">
        <f t="shared" si="46"/>
        <v>7807</v>
      </c>
      <c r="E583" s="138">
        <v>7818.0</v>
      </c>
      <c r="F583" s="54">
        <f>'220 Antiga Silvinho '!$E583-'220 Antiga Silvinho '!$D583</f>
        <v>11</v>
      </c>
      <c r="G583" s="54">
        <f>'220 Antiga Silvinho '!$F583-10</f>
        <v>1</v>
      </c>
    </row>
    <row r="584" ht="14.25" customHeight="1">
      <c r="B584" s="145">
        <v>45529.0</v>
      </c>
      <c r="C584" s="141" t="str">
        <f t="shared" si="1"/>
        <v>8-2024</v>
      </c>
      <c r="D584" s="54">
        <f t="shared" si="46"/>
        <v>7818</v>
      </c>
      <c r="E584" s="138">
        <v>7829.0</v>
      </c>
      <c r="F584" s="54">
        <f>'220 Antiga Silvinho '!$E584-'220 Antiga Silvinho '!$D584</f>
        <v>11</v>
      </c>
      <c r="G584" s="54">
        <f>'220 Antiga Silvinho '!$F584-10</f>
        <v>1</v>
      </c>
    </row>
    <row r="585" ht="14.25" customHeight="1">
      <c r="B585" s="164">
        <v>45530.0</v>
      </c>
      <c r="C585" s="141" t="str">
        <f t="shared" si="1"/>
        <v>8-2024</v>
      </c>
      <c r="D585" s="54">
        <f t="shared" si="46"/>
        <v>7829</v>
      </c>
      <c r="E585" s="138">
        <v>7840.0</v>
      </c>
      <c r="F585" s="54">
        <f>'220 Antiga Silvinho '!$E585-'220 Antiga Silvinho '!$D585</f>
        <v>11</v>
      </c>
      <c r="G585" s="54">
        <f>'220 Antiga Silvinho '!$F585-10</f>
        <v>1</v>
      </c>
    </row>
    <row r="586" ht="14.25" customHeight="1">
      <c r="B586" s="164">
        <v>45531.0</v>
      </c>
      <c r="C586" s="141" t="str">
        <f t="shared" si="1"/>
        <v>8-2024</v>
      </c>
      <c r="D586" s="54">
        <f t="shared" si="46"/>
        <v>7840</v>
      </c>
      <c r="E586" s="138">
        <v>7850.0</v>
      </c>
      <c r="F586" s="54">
        <f>'220 Antiga Silvinho '!$E586-'220 Antiga Silvinho '!$D586</f>
        <v>10</v>
      </c>
      <c r="G586" s="54">
        <f>'220 Antiga Silvinho '!$F586-10</f>
        <v>0</v>
      </c>
    </row>
    <row r="587" ht="14.25" customHeight="1">
      <c r="B587" s="164">
        <v>45532.0</v>
      </c>
      <c r="C587" s="141" t="str">
        <f t="shared" si="1"/>
        <v>8-2024</v>
      </c>
      <c r="D587" s="54">
        <f t="shared" si="46"/>
        <v>7850</v>
      </c>
      <c r="E587" s="138">
        <v>7857.5</v>
      </c>
      <c r="F587" s="54">
        <f>'220 Antiga Silvinho '!$E587-'220 Antiga Silvinho '!$D587</f>
        <v>7.5</v>
      </c>
      <c r="G587" s="54">
        <f>'220 Antiga Silvinho '!$F587-10</f>
        <v>-2.5</v>
      </c>
    </row>
    <row r="588" ht="14.25" customHeight="1">
      <c r="B588" s="164">
        <v>45533.0</v>
      </c>
      <c r="C588" s="141" t="str">
        <f t="shared" si="1"/>
        <v>8-2024</v>
      </c>
      <c r="D588" s="54">
        <f t="shared" si="46"/>
        <v>7857.5</v>
      </c>
      <c r="E588" s="138">
        <v>7867.5</v>
      </c>
      <c r="F588" s="54">
        <f>'220 Antiga Silvinho '!$E588-'220 Antiga Silvinho '!$D588</f>
        <v>10</v>
      </c>
      <c r="G588" s="54">
        <f>'220 Antiga Silvinho '!$F588-10</f>
        <v>0</v>
      </c>
    </row>
    <row r="589" ht="14.25" customHeight="1">
      <c r="B589" s="164">
        <v>45534.0</v>
      </c>
      <c r="C589" s="141" t="str">
        <f t="shared" si="1"/>
        <v>8-2024</v>
      </c>
      <c r="D589" s="54">
        <f t="shared" si="46"/>
        <v>7867.5</v>
      </c>
      <c r="E589" s="138">
        <v>7875.5</v>
      </c>
      <c r="F589" s="54">
        <f>'220 Antiga Silvinho '!$E589-'220 Antiga Silvinho '!$D589</f>
        <v>8</v>
      </c>
      <c r="G589" s="54">
        <f>'220 Antiga Silvinho '!$F589-10</f>
        <v>-2</v>
      </c>
    </row>
    <row r="590" ht="14.25" customHeight="1">
      <c r="B590" s="145">
        <v>45535.0</v>
      </c>
      <c r="C590" s="141" t="str">
        <f t="shared" si="1"/>
        <v>8-2024</v>
      </c>
      <c r="D590" s="54">
        <f t="shared" si="46"/>
        <v>7875.5</v>
      </c>
      <c r="E590" s="138">
        <v>7884.9</v>
      </c>
      <c r="F590" s="54">
        <f>'220 Antiga Silvinho '!$E590-'220 Antiga Silvinho '!$D590</f>
        <v>9.4</v>
      </c>
      <c r="G590" s="54">
        <f>'220 Antiga Silvinho '!$F590-10</f>
        <v>-0.6</v>
      </c>
    </row>
    <row r="591" ht="14.25" customHeight="1">
      <c r="B591" s="145">
        <v>45536.0</v>
      </c>
      <c r="C591" s="141" t="str">
        <f t="shared" si="1"/>
        <v>9-2024</v>
      </c>
      <c r="D591" s="54">
        <f t="shared" si="46"/>
        <v>7884.9</v>
      </c>
      <c r="E591" s="138">
        <v>7895.4</v>
      </c>
      <c r="F591" s="54">
        <f>'220 Antiga Silvinho '!$E591-'220 Antiga Silvinho '!$D591</f>
        <v>10.5</v>
      </c>
      <c r="G591" s="54">
        <f>'220 Antiga Silvinho '!$F591-10</f>
        <v>0.5</v>
      </c>
    </row>
    <row r="592" ht="14.25" customHeight="1">
      <c r="B592" s="140">
        <v>45537.0</v>
      </c>
      <c r="C592" s="141" t="str">
        <f t="shared" si="1"/>
        <v>9-2024</v>
      </c>
      <c r="D592" s="54">
        <f t="shared" si="46"/>
        <v>7895.4</v>
      </c>
      <c r="E592" s="138">
        <v>7905.4</v>
      </c>
      <c r="F592" s="54">
        <f>'220 Antiga Silvinho '!$E592-'220 Antiga Silvinho '!$D592</f>
        <v>10</v>
      </c>
      <c r="G592" s="54">
        <f>'220 Antiga Silvinho '!$F592-10</f>
        <v>0</v>
      </c>
      <c r="H592" s="28">
        <v>215.0</v>
      </c>
    </row>
    <row r="593" ht="14.25" customHeight="1">
      <c r="B593" s="140">
        <v>45538.0</v>
      </c>
      <c r="C593" s="141" t="str">
        <f t="shared" si="1"/>
        <v>9-2024</v>
      </c>
      <c r="D593" s="54">
        <f t="shared" si="46"/>
        <v>7905.4</v>
      </c>
      <c r="E593" s="138">
        <v>7915.0</v>
      </c>
      <c r="F593" s="54">
        <f>'220 Antiga Silvinho '!$E593-'220 Antiga Silvinho '!$D593</f>
        <v>9.6</v>
      </c>
      <c r="G593" s="54">
        <f>'220 Antiga Silvinho '!$F593-10</f>
        <v>-0.4</v>
      </c>
      <c r="H593" s="28">
        <v>200.0</v>
      </c>
    </row>
    <row r="594" ht="14.25" customHeight="1">
      <c r="B594" s="140">
        <v>45539.0</v>
      </c>
      <c r="C594" s="141" t="str">
        <f t="shared" si="1"/>
        <v>9-2024</v>
      </c>
      <c r="D594" s="54">
        <f t="shared" si="46"/>
        <v>7915</v>
      </c>
      <c r="E594" s="138">
        <v>7928.7</v>
      </c>
      <c r="F594" s="54">
        <f>'220 Antiga Silvinho '!$E594-'220 Antiga Silvinho '!$D594</f>
        <v>13.7</v>
      </c>
      <c r="G594" s="54">
        <f>'220 Antiga Silvinho '!$F594-10</f>
        <v>3.7</v>
      </c>
    </row>
    <row r="595" ht="14.25" customHeight="1">
      <c r="B595" s="140">
        <v>45540.0</v>
      </c>
      <c r="C595" s="141" t="str">
        <f t="shared" si="1"/>
        <v>9-2024</v>
      </c>
      <c r="D595" s="54"/>
      <c r="E595" s="54"/>
      <c r="F595" s="54">
        <f>'220 Antiga Silvinho '!$E595-'220 Antiga Silvinho '!$D595</f>
        <v>0</v>
      </c>
      <c r="G595" s="54">
        <f>'220 Antiga Silvinho '!$F595-10</f>
        <v>-10</v>
      </c>
    </row>
    <row r="596" ht="14.25" customHeight="1">
      <c r="B596" s="140">
        <v>45541.0</v>
      </c>
      <c r="C596" s="141" t="str">
        <f t="shared" si="1"/>
        <v>9-2024</v>
      </c>
      <c r="D596" s="54" t="str">
        <f t="shared" ref="D596:D600" si="47">E595</f>
        <v/>
      </c>
      <c r="E596" s="54"/>
      <c r="F596" s="54">
        <f>'220 Antiga Silvinho '!$E596-'220 Antiga Silvinho '!$D596</f>
        <v>0</v>
      </c>
      <c r="G596" s="54">
        <f>'220 Antiga Silvinho '!$F596-10</f>
        <v>-10</v>
      </c>
    </row>
    <row r="597" ht="14.25" customHeight="1">
      <c r="B597" s="145">
        <v>45542.0</v>
      </c>
      <c r="C597" s="141" t="str">
        <f t="shared" si="1"/>
        <v>9-2024</v>
      </c>
      <c r="D597" s="54" t="str">
        <f t="shared" si="47"/>
        <v/>
      </c>
      <c r="E597" s="54"/>
      <c r="F597" s="54">
        <f>'220 Antiga Silvinho '!$E597-'220 Antiga Silvinho '!$D597</f>
        <v>0</v>
      </c>
      <c r="G597" s="54">
        <f>'220 Antiga Silvinho '!$F597-10</f>
        <v>-10</v>
      </c>
    </row>
    <row r="598" ht="14.25" customHeight="1">
      <c r="B598" s="145">
        <v>45543.0</v>
      </c>
      <c r="C598" s="141" t="str">
        <f t="shared" si="1"/>
        <v>9-2024</v>
      </c>
      <c r="D598" s="54" t="str">
        <f t="shared" si="47"/>
        <v/>
      </c>
      <c r="E598" s="54"/>
      <c r="F598" s="54">
        <f>'220 Antiga Silvinho '!$E598-'220 Antiga Silvinho '!$D598</f>
        <v>0</v>
      </c>
      <c r="G598" s="54">
        <f>'220 Antiga Silvinho '!$F598-10</f>
        <v>-10</v>
      </c>
    </row>
    <row r="599" ht="14.25" customHeight="1">
      <c r="B599" s="140">
        <v>45544.0</v>
      </c>
      <c r="C599" s="141" t="str">
        <f t="shared" si="1"/>
        <v>9-2024</v>
      </c>
      <c r="D599" s="54" t="str">
        <f t="shared" si="47"/>
        <v/>
      </c>
      <c r="E599" s="54"/>
      <c r="F599" s="54">
        <f>'220 Antiga Silvinho '!$E599-'220 Antiga Silvinho '!$D599</f>
        <v>0</v>
      </c>
      <c r="G599" s="54">
        <f>'220 Antiga Silvinho '!$F599-10</f>
        <v>-10</v>
      </c>
    </row>
    <row r="600" ht="14.25" customHeight="1">
      <c r="B600" s="140">
        <v>45545.0</v>
      </c>
      <c r="C600" s="141" t="str">
        <f t="shared" si="1"/>
        <v>9-2024</v>
      </c>
      <c r="D600" s="54" t="str">
        <f t="shared" si="47"/>
        <v/>
      </c>
      <c r="E600" s="54"/>
      <c r="F600" s="54">
        <f>'220 Antiga Silvinho '!$E600-'220 Antiga Silvinho '!$D600</f>
        <v>0</v>
      </c>
      <c r="G600" s="54">
        <f>'220 Antiga Silvinho '!$F600-10</f>
        <v>-10</v>
      </c>
    </row>
    <row r="601" ht="14.25" customHeight="1">
      <c r="B601" s="140">
        <v>45546.0</v>
      </c>
      <c r="C601" s="141" t="str">
        <f t="shared" si="1"/>
        <v>9-2024</v>
      </c>
      <c r="D601" s="138">
        <v>7964.7</v>
      </c>
      <c r="E601" s="138">
        <v>7968.2</v>
      </c>
      <c r="F601" s="54">
        <f>'220 Antiga Silvinho '!$E601-'220 Antiga Silvinho '!$D601</f>
        <v>3.5</v>
      </c>
      <c r="G601" s="54">
        <f>'220 Antiga Silvinho '!$F601-10</f>
        <v>-6.5</v>
      </c>
      <c r="H601" s="28">
        <v>220.0</v>
      </c>
    </row>
    <row r="602" ht="14.25" customHeight="1">
      <c r="B602" s="140">
        <v>45547.0</v>
      </c>
      <c r="C602" s="141" t="str">
        <f t="shared" si="1"/>
        <v>9-2024</v>
      </c>
      <c r="D602" s="54">
        <f t="shared" ref="D602:D610" si="48">E601</f>
        <v>7968.2</v>
      </c>
      <c r="E602" s="138">
        <v>7977.0</v>
      </c>
      <c r="F602" s="54">
        <f>'220 Antiga Silvinho '!$E602-'220 Antiga Silvinho '!$D602</f>
        <v>8.8</v>
      </c>
      <c r="G602" s="54">
        <f>'220 Antiga Silvinho '!$F602-10</f>
        <v>-1.2</v>
      </c>
    </row>
    <row r="603" ht="14.25" customHeight="1">
      <c r="B603" s="140">
        <v>45548.0</v>
      </c>
      <c r="C603" s="141" t="str">
        <f t="shared" si="1"/>
        <v>9-2024</v>
      </c>
      <c r="D603" s="54">
        <f t="shared" si="48"/>
        <v>7977</v>
      </c>
      <c r="E603" s="138">
        <v>7981.0</v>
      </c>
      <c r="F603" s="54">
        <f>'220 Antiga Silvinho '!$E603-'220 Antiga Silvinho '!$D603</f>
        <v>4</v>
      </c>
      <c r="G603" s="54">
        <f>'220 Antiga Silvinho '!$F603-10</f>
        <v>-6</v>
      </c>
      <c r="H603" s="28">
        <v>220.0</v>
      </c>
    </row>
    <row r="604" ht="14.25" customHeight="1">
      <c r="B604" s="145">
        <v>45549.0</v>
      </c>
      <c r="C604" s="141" t="str">
        <f t="shared" si="1"/>
        <v>9-2024</v>
      </c>
      <c r="D604" s="54">
        <f t="shared" si="48"/>
        <v>7981</v>
      </c>
      <c r="E604" s="138">
        <v>7990.6</v>
      </c>
      <c r="F604" s="54">
        <f>'220 Antiga Silvinho '!$E604-'220 Antiga Silvinho '!$D604</f>
        <v>9.6</v>
      </c>
      <c r="G604" s="54">
        <f>'220 Antiga Silvinho '!$F604-10</f>
        <v>-0.4</v>
      </c>
      <c r="H604" s="28">
        <v>230.0</v>
      </c>
    </row>
    <row r="605" ht="14.25" customHeight="1">
      <c r="B605" s="145">
        <v>45550.0</v>
      </c>
      <c r="C605" s="141" t="str">
        <f t="shared" si="1"/>
        <v>9-2024</v>
      </c>
      <c r="D605" s="54">
        <f t="shared" si="48"/>
        <v>7990.6</v>
      </c>
      <c r="E605" s="138">
        <v>8001.3</v>
      </c>
      <c r="F605" s="54">
        <f>'220 Antiga Silvinho '!$E605-'220 Antiga Silvinho '!$D605</f>
        <v>10.7</v>
      </c>
      <c r="G605" s="54">
        <f>'220 Antiga Silvinho '!$F605-10</f>
        <v>0.7</v>
      </c>
    </row>
    <row r="606" ht="14.25" customHeight="1">
      <c r="B606" s="140">
        <v>45551.0</v>
      </c>
      <c r="C606" s="141" t="str">
        <f t="shared" si="1"/>
        <v>9-2024</v>
      </c>
      <c r="D606" s="54">
        <f t="shared" si="48"/>
        <v>8001.3</v>
      </c>
      <c r="E606" s="138">
        <v>8002.1</v>
      </c>
      <c r="F606" s="54">
        <f>'220 Antiga Silvinho '!$E606-'220 Antiga Silvinho '!$D606</f>
        <v>0.8</v>
      </c>
      <c r="G606" s="54">
        <f>'220 Antiga Silvinho '!$F606-10</f>
        <v>-9.2</v>
      </c>
    </row>
    <row r="607" ht="14.25" customHeight="1">
      <c r="B607" s="140">
        <v>45552.0</v>
      </c>
      <c r="C607" s="141" t="str">
        <f t="shared" si="1"/>
        <v>9-2024</v>
      </c>
      <c r="D607" s="54">
        <f t="shared" si="48"/>
        <v>8002.1</v>
      </c>
      <c r="E607" s="138">
        <v>8010.1</v>
      </c>
      <c r="F607" s="54">
        <f>'220 Antiga Silvinho '!$E607-'220 Antiga Silvinho '!$D607</f>
        <v>8</v>
      </c>
      <c r="G607" s="54">
        <f>'220 Antiga Silvinho '!$F607-10</f>
        <v>-2</v>
      </c>
      <c r="H607" s="28">
        <v>180.0</v>
      </c>
    </row>
    <row r="608" ht="14.25" customHeight="1">
      <c r="B608" s="140">
        <v>45553.0</v>
      </c>
      <c r="C608" s="141" t="str">
        <f t="shared" si="1"/>
        <v>9-2024</v>
      </c>
      <c r="D608" s="54">
        <f t="shared" si="48"/>
        <v>8010.1</v>
      </c>
      <c r="E608" s="138">
        <v>8021.6</v>
      </c>
      <c r="F608" s="54">
        <f>'220 Antiga Silvinho '!$E608-'220 Antiga Silvinho '!$D608</f>
        <v>11.5</v>
      </c>
      <c r="G608" s="54">
        <f>'220 Antiga Silvinho '!$F608-10</f>
        <v>1.5</v>
      </c>
    </row>
    <row r="609" ht="14.25" customHeight="1">
      <c r="B609" s="140">
        <v>45554.0</v>
      </c>
      <c r="C609" s="141" t="str">
        <f t="shared" si="1"/>
        <v>9-2024</v>
      </c>
      <c r="D609" s="54">
        <f t="shared" si="48"/>
        <v>8021.6</v>
      </c>
      <c r="E609" s="138">
        <v>8032.6</v>
      </c>
      <c r="F609" s="54">
        <f>'220 Antiga Silvinho '!$E609-'220 Antiga Silvinho '!$D609</f>
        <v>11</v>
      </c>
      <c r="G609" s="54">
        <f>'220 Antiga Silvinho '!$F609-10</f>
        <v>1</v>
      </c>
      <c r="H609" s="28">
        <v>200.0</v>
      </c>
    </row>
    <row r="610" ht="14.25" customHeight="1">
      <c r="B610" s="140">
        <v>45555.0</v>
      </c>
      <c r="C610" s="141" t="str">
        <f t="shared" si="1"/>
        <v>9-2024</v>
      </c>
      <c r="D610" s="54">
        <f t="shared" si="48"/>
        <v>8032.6</v>
      </c>
      <c r="E610" s="138">
        <v>8043.0</v>
      </c>
      <c r="F610" s="54">
        <f>'220 Antiga Silvinho '!$E610-'220 Antiga Silvinho '!$D610</f>
        <v>10.4</v>
      </c>
      <c r="G610" s="54">
        <f>'220 Antiga Silvinho '!$F610-10</f>
        <v>0.4</v>
      </c>
    </row>
    <row r="611" ht="14.25" customHeight="1">
      <c r="B611" s="145">
        <v>45556.0</v>
      </c>
      <c r="C611" s="141" t="str">
        <f t="shared" si="1"/>
        <v>9-2024</v>
      </c>
      <c r="D611" s="54"/>
      <c r="E611" s="54"/>
      <c r="F611" s="54">
        <f>'220 Antiga Silvinho '!$E611-'220 Antiga Silvinho '!$D611</f>
        <v>0</v>
      </c>
      <c r="G611" s="54">
        <f>'220 Antiga Silvinho '!$F611-10</f>
        <v>-10</v>
      </c>
    </row>
    <row r="612" ht="14.25" customHeight="1">
      <c r="B612" s="145">
        <v>45557.0</v>
      </c>
      <c r="C612" s="141" t="str">
        <f t="shared" si="1"/>
        <v>9-2024</v>
      </c>
      <c r="D612" s="54" t="str">
        <f>E611</f>
        <v/>
      </c>
      <c r="E612" s="54"/>
      <c r="F612" s="54">
        <f>'220 Antiga Silvinho '!$E612-'220 Antiga Silvinho '!$D612</f>
        <v>0</v>
      </c>
      <c r="G612" s="54">
        <f>'220 Antiga Silvinho '!$F612-10</f>
        <v>-10</v>
      </c>
    </row>
    <row r="613" ht="14.25" customHeight="1">
      <c r="B613" s="140">
        <v>45558.0</v>
      </c>
      <c r="C613" s="141" t="str">
        <f t="shared" si="1"/>
        <v>9-2024</v>
      </c>
      <c r="D613" s="138">
        <v>8043.0</v>
      </c>
      <c r="E613" s="138">
        <v>8051.0</v>
      </c>
      <c r="F613" s="54">
        <f>'220 Antiga Silvinho '!$E613-'220 Antiga Silvinho '!$D613</f>
        <v>8</v>
      </c>
      <c r="G613" s="54">
        <f>'220 Antiga Silvinho '!$F613-10</f>
        <v>-2</v>
      </c>
      <c r="H613" s="28">
        <v>200.0</v>
      </c>
    </row>
    <row r="614" ht="14.25" customHeight="1">
      <c r="B614" s="140">
        <v>45559.0</v>
      </c>
      <c r="C614" s="141" t="str">
        <f t="shared" si="1"/>
        <v>9-2024</v>
      </c>
      <c r="D614" s="54">
        <f t="shared" ref="D614:D618" si="49">E613</f>
        <v>8051</v>
      </c>
      <c r="E614" s="138">
        <v>8062.1</v>
      </c>
      <c r="F614" s="54">
        <f>'220 Antiga Silvinho '!$E614-'220 Antiga Silvinho '!$D614</f>
        <v>11.1</v>
      </c>
      <c r="G614" s="54">
        <f>'220 Antiga Silvinho '!$F614-10</f>
        <v>1.1</v>
      </c>
      <c r="H614" s="28">
        <v>225.0</v>
      </c>
    </row>
    <row r="615" ht="14.25" customHeight="1">
      <c r="B615" s="140">
        <v>45560.0</v>
      </c>
      <c r="C615" s="141" t="str">
        <f t="shared" si="1"/>
        <v>9-2024</v>
      </c>
      <c r="D615" s="54">
        <f t="shared" si="49"/>
        <v>8062.1</v>
      </c>
      <c r="E615" s="138">
        <v>8074.1</v>
      </c>
      <c r="F615" s="54">
        <f>'220 Antiga Silvinho '!$E615-'220 Antiga Silvinho '!$D615</f>
        <v>12</v>
      </c>
      <c r="G615" s="54">
        <f>'220 Antiga Silvinho '!$F615-10</f>
        <v>2</v>
      </c>
      <c r="H615" s="28">
        <v>220.0</v>
      </c>
    </row>
    <row r="616" ht="14.25" customHeight="1">
      <c r="B616" s="140">
        <v>45561.0</v>
      </c>
      <c r="C616" s="141" t="str">
        <f t="shared" si="1"/>
        <v>9-2024</v>
      </c>
      <c r="D616" s="54">
        <f t="shared" si="49"/>
        <v>8074.1</v>
      </c>
      <c r="E616" s="138">
        <v>8085.2</v>
      </c>
      <c r="F616" s="54">
        <f>'220 Antiga Silvinho '!$E616-'220 Antiga Silvinho '!$D616</f>
        <v>11.1</v>
      </c>
      <c r="G616" s="54">
        <f>'220 Antiga Silvinho '!$F616-10</f>
        <v>1.1</v>
      </c>
      <c r="H616" s="28">
        <v>240.0</v>
      </c>
    </row>
    <row r="617" ht="14.25" customHeight="1">
      <c r="B617" s="140">
        <v>45562.0</v>
      </c>
      <c r="C617" s="141" t="str">
        <f t="shared" si="1"/>
        <v>9-2024</v>
      </c>
      <c r="D617" s="54">
        <f t="shared" si="49"/>
        <v>8085.2</v>
      </c>
      <c r="E617" s="138">
        <v>8096.1</v>
      </c>
      <c r="F617" s="54">
        <f>'220 Antiga Silvinho '!$E617-'220 Antiga Silvinho '!$D617</f>
        <v>10.9</v>
      </c>
      <c r="G617" s="54">
        <f>'220 Antiga Silvinho '!$F617-10</f>
        <v>0.9</v>
      </c>
      <c r="H617" s="28">
        <v>220.0</v>
      </c>
    </row>
    <row r="618" ht="14.25" customHeight="1">
      <c r="B618" s="145">
        <v>45563.0</v>
      </c>
      <c r="C618" s="141" t="str">
        <f t="shared" si="1"/>
        <v>9-2024</v>
      </c>
      <c r="D618" s="54">
        <f t="shared" si="49"/>
        <v>8096.1</v>
      </c>
      <c r="E618" s="138">
        <v>8103.7</v>
      </c>
      <c r="F618" s="54">
        <f>'220 Antiga Silvinho '!$E618-'220 Antiga Silvinho '!$D618</f>
        <v>7.6</v>
      </c>
      <c r="G618" s="54">
        <f>'220 Antiga Silvinho '!$F618-10</f>
        <v>-2.4</v>
      </c>
      <c r="H618" s="28">
        <v>230.0</v>
      </c>
    </row>
    <row r="619" ht="14.25" customHeight="1">
      <c r="B619" s="145">
        <v>45564.0</v>
      </c>
      <c r="C619" s="141" t="str">
        <f t="shared" si="1"/>
        <v>9-2024</v>
      </c>
      <c r="D619" s="138">
        <v>5381.0</v>
      </c>
      <c r="E619" s="138">
        <v>5392.2</v>
      </c>
      <c r="F619" s="54">
        <f>'220 Antiga Silvinho '!$E619-'220 Antiga Silvinho '!$D619</f>
        <v>11.2</v>
      </c>
      <c r="G619" s="54">
        <f>'220 Antiga Silvinho '!$F619-10</f>
        <v>1.2</v>
      </c>
    </row>
    <row r="620" ht="14.25" customHeight="1">
      <c r="B620" s="140">
        <v>45565.0</v>
      </c>
      <c r="C620" s="141" t="str">
        <f t="shared" si="1"/>
        <v>9-2024</v>
      </c>
      <c r="D620" s="138">
        <v>8103.7</v>
      </c>
      <c r="E620" s="138">
        <v>8112.1</v>
      </c>
      <c r="F620" s="54">
        <f>'220 Antiga Silvinho '!$E620-'220 Antiga Silvinho '!$D620</f>
        <v>8.4</v>
      </c>
      <c r="G620" s="54">
        <f>'220 Antiga Silvinho '!$F620-10</f>
        <v>-1.6</v>
      </c>
    </row>
    <row r="621" ht="14.25" customHeight="1">
      <c r="B621" s="140">
        <v>45566.0</v>
      </c>
      <c r="C621" s="141" t="str">
        <f t="shared" si="1"/>
        <v>10-2024</v>
      </c>
      <c r="D621" s="138">
        <v>8112.1</v>
      </c>
      <c r="E621" s="138">
        <v>8122.2</v>
      </c>
      <c r="F621" s="54">
        <f>'220 Antiga Silvinho '!$E621-'220 Antiga Silvinho '!$D621</f>
        <v>10.1</v>
      </c>
      <c r="G621" s="54">
        <f>'220 Antiga Silvinho '!$F621-10</f>
        <v>0.1</v>
      </c>
    </row>
    <row r="622" ht="14.25" customHeight="1">
      <c r="B622" s="140">
        <v>45567.0</v>
      </c>
      <c r="C622" s="141" t="str">
        <f t="shared" si="1"/>
        <v>10-2024</v>
      </c>
      <c r="D622" s="54">
        <f t="shared" ref="D622:D623" si="50">E621</f>
        <v>8122.2</v>
      </c>
      <c r="E622" s="138">
        <v>8134.0</v>
      </c>
      <c r="F622" s="54">
        <f>'220 Antiga Silvinho '!$E622-'220 Antiga Silvinho '!$D622</f>
        <v>11.8</v>
      </c>
      <c r="G622" s="54">
        <f>'220 Antiga Silvinho '!$F622-10</f>
        <v>1.8</v>
      </c>
      <c r="H622" s="28">
        <v>465.0</v>
      </c>
    </row>
    <row r="623" ht="14.25" customHeight="1">
      <c r="B623" s="140">
        <v>45568.0</v>
      </c>
      <c r="C623" s="141" t="str">
        <f t="shared" si="1"/>
        <v>10-2024</v>
      </c>
      <c r="D623" s="54">
        <f t="shared" si="50"/>
        <v>8134</v>
      </c>
      <c r="E623" s="138">
        <v>8140.2</v>
      </c>
      <c r="F623" s="54">
        <f>'220 Antiga Silvinho '!$E623-'220 Antiga Silvinho '!$D623</f>
        <v>6.2</v>
      </c>
      <c r="G623" s="54">
        <f>'220 Antiga Silvinho '!$F623-10</f>
        <v>-3.8</v>
      </c>
    </row>
    <row r="624" ht="14.25" customHeight="1">
      <c r="B624" s="140">
        <v>45569.0</v>
      </c>
      <c r="C624" s="141" t="str">
        <f t="shared" si="1"/>
        <v>10-2024</v>
      </c>
      <c r="D624" s="54"/>
      <c r="E624" s="54"/>
      <c r="F624" s="54">
        <f>'220 Antiga Silvinho '!$E624-'220 Antiga Silvinho '!$D624</f>
        <v>0</v>
      </c>
      <c r="G624" s="54">
        <f>'220 Antiga Silvinho '!$F624-10</f>
        <v>-10</v>
      </c>
    </row>
    <row r="625" ht="14.25" customHeight="1">
      <c r="B625" s="145">
        <v>45570.0</v>
      </c>
      <c r="C625" s="141" t="str">
        <f t="shared" si="1"/>
        <v>10-2024</v>
      </c>
      <c r="D625" s="54" t="str">
        <f t="shared" ref="D625:D626" si="51">E624</f>
        <v/>
      </c>
      <c r="E625" s="54"/>
      <c r="F625" s="54">
        <f>'220 Antiga Silvinho '!$E625-'220 Antiga Silvinho '!$D625</f>
        <v>0</v>
      </c>
      <c r="G625" s="54">
        <f>'220 Antiga Silvinho '!$F625-10</f>
        <v>-10</v>
      </c>
    </row>
    <row r="626" ht="14.25" customHeight="1">
      <c r="B626" s="145">
        <v>45571.0</v>
      </c>
      <c r="C626" s="141" t="str">
        <f t="shared" si="1"/>
        <v>10-2024</v>
      </c>
      <c r="D626" s="54" t="str">
        <f t="shared" si="51"/>
        <v/>
      </c>
      <c r="E626" s="54"/>
      <c r="F626" s="54">
        <f>'220 Antiga Silvinho '!$E626-'220 Antiga Silvinho '!$D626</f>
        <v>0</v>
      </c>
      <c r="G626" s="54">
        <f>'220 Antiga Silvinho '!$F626-10</f>
        <v>-10</v>
      </c>
    </row>
    <row r="627" ht="14.25" customHeight="1">
      <c r="B627" s="140">
        <v>45572.0</v>
      </c>
      <c r="C627" s="141" t="str">
        <f t="shared" si="1"/>
        <v>10-2024</v>
      </c>
      <c r="D627" s="138">
        <v>8142.6</v>
      </c>
      <c r="E627" s="138">
        <v>8146.0</v>
      </c>
      <c r="F627" s="54">
        <f>'220 Antiga Silvinho '!$E627-'220 Antiga Silvinho '!$D627</f>
        <v>3.4</v>
      </c>
      <c r="G627" s="54">
        <f>'220 Antiga Silvinho '!$F627-10</f>
        <v>-6.6</v>
      </c>
    </row>
    <row r="628" ht="14.25" customHeight="1">
      <c r="B628" s="140">
        <v>45573.0</v>
      </c>
      <c r="C628" s="141" t="str">
        <f t="shared" si="1"/>
        <v>10-2024</v>
      </c>
      <c r="D628" s="54">
        <f t="shared" ref="D628:D629" si="52">E627</f>
        <v>8146</v>
      </c>
      <c r="E628" s="138">
        <v>8157.1</v>
      </c>
      <c r="F628" s="54">
        <f>'220 Antiga Silvinho '!$E628-'220 Antiga Silvinho '!$D628</f>
        <v>11.1</v>
      </c>
      <c r="G628" s="54">
        <f>'220 Antiga Silvinho '!$F628-10</f>
        <v>1.1</v>
      </c>
    </row>
    <row r="629" ht="14.25" customHeight="1">
      <c r="B629" s="140">
        <v>45574.0</v>
      </c>
      <c r="C629" s="141" t="str">
        <f t="shared" si="1"/>
        <v>10-2024</v>
      </c>
      <c r="D629" s="54">
        <f t="shared" si="52"/>
        <v>8157.1</v>
      </c>
      <c r="E629" s="138">
        <v>8167.1</v>
      </c>
      <c r="F629" s="54">
        <f>'220 Antiga Silvinho '!$E629-'220 Antiga Silvinho '!$D629</f>
        <v>10</v>
      </c>
      <c r="G629" s="54">
        <f>'220 Antiga Silvinho '!$F629-10</f>
        <v>0</v>
      </c>
      <c r="H629" s="28">
        <v>230.0</v>
      </c>
    </row>
    <row r="630" ht="14.25" customHeight="1">
      <c r="B630" s="140">
        <v>45575.0</v>
      </c>
      <c r="C630" s="141" t="str">
        <f t="shared" si="1"/>
        <v>10-2024</v>
      </c>
      <c r="D630" s="54"/>
      <c r="E630" s="54"/>
      <c r="F630" s="54">
        <f>'220 Antiga Silvinho '!$E630-'220 Antiga Silvinho '!$D630</f>
        <v>0</v>
      </c>
      <c r="G630" s="54">
        <f>'220 Antiga Silvinho '!$F630-10</f>
        <v>-10</v>
      </c>
    </row>
    <row r="631" ht="14.25" customHeight="1">
      <c r="B631" s="140">
        <v>45576.0</v>
      </c>
      <c r="C631" s="141" t="str">
        <f t="shared" si="1"/>
        <v>10-2024</v>
      </c>
      <c r="D631" s="54" t="str">
        <f t="shared" ref="D631:D633" si="53">E630</f>
        <v/>
      </c>
      <c r="E631" s="54"/>
      <c r="F631" s="54">
        <f>'220 Antiga Silvinho '!$E631-'220 Antiga Silvinho '!$D631</f>
        <v>0</v>
      </c>
      <c r="G631" s="54">
        <f>'220 Antiga Silvinho '!$F631-10</f>
        <v>-10</v>
      </c>
    </row>
    <row r="632" ht="14.25" customHeight="1">
      <c r="B632" s="145">
        <v>45577.0</v>
      </c>
      <c r="C632" s="141" t="str">
        <f t="shared" si="1"/>
        <v>10-2024</v>
      </c>
      <c r="D632" s="54" t="str">
        <f t="shared" si="53"/>
        <v/>
      </c>
      <c r="E632" s="54"/>
      <c r="F632" s="54">
        <f>'220 Antiga Silvinho '!$E632-'220 Antiga Silvinho '!$D632</f>
        <v>0</v>
      </c>
      <c r="G632" s="54">
        <f>'220 Antiga Silvinho '!$F632-10</f>
        <v>-10</v>
      </c>
    </row>
    <row r="633" ht="14.25" customHeight="1">
      <c r="B633" s="145">
        <v>45578.0</v>
      </c>
      <c r="C633" s="141" t="str">
        <f t="shared" si="1"/>
        <v>10-2024</v>
      </c>
      <c r="D633" s="54" t="str">
        <f t="shared" si="53"/>
        <v/>
      </c>
      <c r="E633" s="54"/>
      <c r="F633" s="54">
        <f>'220 Antiga Silvinho '!$E633-'220 Antiga Silvinho '!$D633</f>
        <v>0</v>
      </c>
      <c r="G633" s="54">
        <f>'220 Antiga Silvinho '!$F633-10</f>
        <v>-10</v>
      </c>
    </row>
    <row r="634" ht="14.25" customHeight="1">
      <c r="B634" s="140">
        <v>45579.0</v>
      </c>
      <c r="C634" s="141" t="str">
        <f t="shared" si="1"/>
        <v>10-2024</v>
      </c>
      <c r="D634" s="138">
        <v>8167.1</v>
      </c>
      <c r="E634" s="138">
        <v>8174.1</v>
      </c>
      <c r="F634" s="54">
        <f>'220 Antiga Silvinho '!$E634-'220 Antiga Silvinho '!$D634</f>
        <v>7</v>
      </c>
      <c r="G634" s="54">
        <f>'220 Antiga Silvinho '!$F634-10</f>
        <v>-3</v>
      </c>
    </row>
    <row r="635" ht="14.25" customHeight="1">
      <c r="B635" s="140">
        <v>45580.0</v>
      </c>
      <c r="C635" s="141" t="str">
        <f t="shared" si="1"/>
        <v>10-2024</v>
      </c>
      <c r="D635" s="54">
        <f t="shared" ref="D635:D644" si="54">E634</f>
        <v>8174.1</v>
      </c>
      <c r="E635" s="138">
        <v>8186.0</v>
      </c>
      <c r="F635" s="54">
        <f>'220 Antiga Silvinho '!$E635-'220 Antiga Silvinho '!$D635</f>
        <v>11.9</v>
      </c>
      <c r="G635" s="54">
        <f>'220 Antiga Silvinho '!$F635-10</f>
        <v>1.9</v>
      </c>
      <c r="H635" s="28">
        <v>200.0</v>
      </c>
    </row>
    <row r="636" ht="14.25" customHeight="1">
      <c r="B636" s="140">
        <v>45581.0</v>
      </c>
      <c r="C636" s="141" t="str">
        <f t="shared" si="1"/>
        <v>10-2024</v>
      </c>
      <c r="D636" s="54">
        <f t="shared" si="54"/>
        <v>8186</v>
      </c>
      <c r="E636" s="138">
        <v>8198.0</v>
      </c>
      <c r="F636" s="54">
        <f>'220 Antiga Silvinho '!$E636-'220 Antiga Silvinho '!$D636</f>
        <v>12</v>
      </c>
      <c r="G636" s="54">
        <f>'220 Antiga Silvinho '!$F636-10</f>
        <v>2</v>
      </c>
      <c r="H636" s="28">
        <v>230.0</v>
      </c>
    </row>
    <row r="637" ht="14.25" customHeight="1">
      <c r="B637" s="140">
        <v>45582.0</v>
      </c>
      <c r="C637" s="141" t="str">
        <f t="shared" si="1"/>
        <v>10-2024</v>
      </c>
      <c r="D637" s="54">
        <f t="shared" si="54"/>
        <v>8198</v>
      </c>
      <c r="E637" s="138">
        <v>8200.0</v>
      </c>
      <c r="F637" s="54">
        <f>'220 Antiga Silvinho '!$E637-'220 Antiga Silvinho '!$D637</f>
        <v>2</v>
      </c>
      <c r="G637" s="54">
        <f>'220 Antiga Silvinho '!$F637-10</f>
        <v>-8</v>
      </c>
      <c r="H637" s="28">
        <v>230.0</v>
      </c>
    </row>
    <row r="638" ht="14.25" customHeight="1">
      <c r="B638" s="140">
        <v>45583.0</v>
      </c>
      <c r="C638" s="141" t="str">
        <f t="shared" si="1"/>
        <v>10-2024</v>
      </c>
      <c r="D638" s="54">
        <f t="shared" si="54"/>
        <v>8200</v>
      </c>
      <c r="E638" s="138">
        <v>8205.0</v>
      </c>
      <c r="F638" s="54">
        <f>'220 Antiga Silvinho '!$E638-'220 Antiga Silvinho '!$D638</f>
        <v>5</v>
      </c>
      <c r="G638" s="54">
        <f>'220 Antiga Silvinho '!$F638-10</f>
        <v>-5</v>
      </c>
      <c r="H638" s="28">
        <v>231.0</v>
      </c>
    </row>
    <row r="639" ht="14.25" customHeight="1">
      <c r="B639" s="145">
        <v>45584.0</v>
      </c>
      <c r="C639" s="141" t="str">
        <f t="shared" si="1"/>
        <v>10-2024</v>
      </c>
      <c r="D639" s="54">
        <f t="shared" si="54"/>
        <v>8205</v>
      </c>
      <c r="E639" s="138">
        <v>8212.0</v>
      </c>
      <c r="F639" s="54">
        <f>'220 Antiga Silvinho '!$E639-'220 Antiga Silvinho '!$D639</f>
        <v>7</v>
      </c>
      <c r="G639" s="54">
        <f>'220 Antiga Silvinho '!$F639-10</f>
        <v>-3</v>
      </c>
    </row>
    <row r="640" ht="14.25" customHeight="1">
      <c r="B640" s="145">
        <v>45585.0</v>
      </c>
      <c r="C640" s="141" t="str">
        <f t="shared" si="1"/>
        <v>10-2024</v>
      </c>
      <c r="D640" s="54">
        <f t="shared" si="54"/>
        <v>8212</v>
      </c>
      <c r="E640" s="138">
        <v>8223.0</v>
      </c>
      <c r="F640" s="54">
        <f>'220 Antiga Silvinho '!$E640-'220 Antiga Silvinho '!$D640</f>
        <v>11</v>
      </c>
      <c r="G640" s="54">
        <f>'220 Antiga Silvinho '!$F640-10</f>
        <v>1</v>
      </c>
    </row>
    <row r="641" ht="14.25" customHeight="1">
      <c r="B641" s="140">
        <v>45586.0</v>
      </c>
      <c r="C641" s="141" t="str">
        <f t="shared" si="1"/>
        <v>10-2024</v>
      </c>
      <c r="D641" s="54">
        <f t="shared" si="54"/>
        <v>8223</v>
      </c>
      <c r="E641" s="138">
        <v>8235.0</v>
      </c>
      <c r="F641" s="54">
        <f>'220 Antiga Silvinho '!$E641-'220 Antiga Silvinho '!$D641</f>
        <v>12</v>
      </c>
      <c r="G641" s="54">
        <f>'220 Antiga Silvinho '!$F641-10</f>
        <v>2</v>
      </c>
      <c r="H641" s="28">
        <v>460.0</v>
      </c>
    </row>
    <row r="642" ht="14.25" customHeight="1">
      <c r="B642" s="140">
        <v>45587.0</v>
      </c>
      <c r="C642" s="141" t="str">
        <f t="shared" si="1"/>
        <v>10-2024</v>
      </c>
      <c r="D642" s="54">
        <f t="shared" si="54"/>
        <v>8235</v>
      </c>
      <c r="E642" s="138">
        <v>8247.0</v>
      </c>
      <c r="F642" s="54">
        <f>'220 Antiga Silvinho '!$E642-'220 Antiga Silvinho '!$D642</f>
        <v>12</v>
      </c>
      <c r="G642" s="54">
        <f>'220 Antiga Silvinho '!$F642-10</f>
        <v>2</v>
      </c>
      <c r="H642" s="28">
        <v>230.0</v>
      </c>
    </row>
    <row r="643" ht="14.25" customHeight="1">
      <c r="B643" s="140">
        <v>45588.0</v>
      </c>
      <c r="C643" s="141" t="str">
        <f t="shared" si="1"/>
        <v>10-2024</v>
      </c>
      <c r="D643" s="54">
        <f t="shared" si="54"/>
        <v>8247</v>
      </c>
      <c r="E643" s="138">
        <v>8258.0</v>
      </c>
      <c r="F643" s="54">
        <f>'220 Antiga Silvinho '!$E643-'220 Antiga Silvinho '!$D643</f>
        <v>11</v>
      </c>
      <c r="G643" s="54">
        <f>'220 Antiga Silvinho '!$F643-10</f>
        <v>1</v>
      </c>
    </row>
    <row r="644" ht="14.25" customHeight="1">
      <c r="B644" s="140">
        <v>45589.0</v>
      </c>
      <c r="C644" s="141" t="str">
        <f t="shared" si="1"/>
        <v>10-2024</v>
      </c>
      <c r="D644" s="54">
        <f t="shared" si="54"/>
        <v>8258</v>
      </c>
      <c r="E644" s="138">
        <v>8269.6</v>
      </c>
      <c r="F644" s="54">
        <f>'220 Antiga Silvinho '!$E644-'220 Antiga Silvinho '!$D644</f>
        <v>11.6</v>
      </c>
      <c r="G644" s="54">
        <f>'220 Antiga Silvinho '!$F644-10</f>
        <v>1.6</v>
      </c>
      <c r="H644" s="28">
        <v>420.0</v>
      </c>
    </row>
    <row r="645" ht="14.25" customHeight="1">
      <c r="B645" s="140">
        <v>45590.0</v>
      </c>
      <c r="C645" s="141" t="str">
        <f t="shared" si="1"/>
        <v>10-2024</v>
      </c>
      <c r="D645" s="54"/>
      <c r="E645" s="138"/>
      <c r="F645" s="54">
        <f>'220 Antiga Silvinho '!$E645-'220 Antiga Silvinho '!$D645</f>
        <v>0</v>
      </c>
      <c r="G645" s="54">
        <f>'220 Antiga Silvinho '!$F645-10</f>
        <v>-10</v>
      </c>
    </row>
    <row r="646" ht="14.25" customHeight="1">
      <c r="B646" s="145">
        <v>45591.0</v>
      </c>
      <c r="C646" s="141" t="str">
        <f t="shared" si="1"/>
        <v>10-2024</v>
      </c>
      <c r="D646" s="54" t="str">
        <f t="shared" ref="D646:D647" si="55">E645</f>
        <v/>
      </c>
      <c r="E646" s="54"/>
      <c r="F646" s="54">
        <f>'220 Antiga Silvinho '!$E646-'220 Antiga Silvinho '!$D646</f>
        <v>0</v>
      </c>
      <c r="G646" s="54">
        <f>'220 Antiga Silvinho '!$F646-10</f>
        <v>-10</v>
      </c>
    </row>
    <row r="647" ht="14.25" customHeight="1">
      <c r="B647" s="145">
        <v>45592.0</v>
      </c>
      <c r="C647" s="141" t="str">
        <f t="shared" si="1"/>
        <v>10-2024</v>
      </c>
      <c r="D647" s="54" t="str">
        <f t="shared" si="55"/>
        <v/>
      </c>
      <c r="E647" s="54"/>
      <c r="F647" s="54">
        <f>'220 Antiga Silvinho '!$E647-'220 Antiga Silvinho '!$D647</f>
        <v>0</v>
      </c>
      <c r="G647" s="54">
        <f>'220 Antiga Silvinho '!$F647-10</f>
        <v>-10</v>
      </c>
    </row>
    <row r="648" ht="14.25" customHeight="1">
      <c r="B648" s="164">
        <v>45593.0</v>
      </c>
      <c r="C648" s="141" t="str">
        <f t="shared" si="1"/>
        <v>10-2024</v>
      </c>
      <c r="D648" s="138">
        <v>8279.6</v>
      </c>
      <c r="E648" s="138">
        <v>8286.6</v>
      </c>
      <c r="F648" s="54">
        <f>'220 Antiga Silvinho '!$E648-'220 Antiga Silvinho '!$D648</f>
        <v>7</v>
      </c>
      <c r="G648" s="54">
        <f>'220 Antiga Silvinho '!$F648-10</f>
        <v>-3</v>
      </c>
      <c r="H648" s="28">
        <v>460.0</v>
      </c>
    </row>
    <row r="649" ht="14.25" customHeight="1">
      <c r="B649" s="164">
        <v>45594.0</v>
      </c>
      <c r="C649" s="141" t="str">
        <f t="shared" si="1"/>
        <v>10-2024</v>
      </c>
      <c r="D649" s="54">
        <f t="shared" ref="D649:D651" si="56">E648</f>
        <v>8286.6</v>
      </c>
      <c r="E649" s="138">
        <v>8296.6</v>
      </c>
      <c r="F649" s="54">
        <f>'220 Antiga Silvinho '!$E649-'220 Antiga Silvinho '!$D649</f>
        <v>10</v>
      </c>
      <c r="G649" s="54">
        <f>'220 Antiga Silvinho '!$F649-10</f>
        <v>0</v>
      </c>
    </row>
    <row r="650" ht="14.25" customHeight="1">
      <c r="B650" s="164">
        <v>45595.0</v>
      </c>
      <c r="C650" s="141" t="str">
        <f t="shared" si="1"/>
        <v>10-2024</v>
      </c>
      <c r="D650" s="54">
        <f t="shared" si="56"/>
        <v>8296.6</v>
      </c>
      <c r="E650" s="138">
        <v>8308.6</v>
      </c>
      <c r="F650" s="54">
        <f>'220 Antiga Silvinho '!$E650-'220 Antiga Silvinho '!$D650</f>
        <v>12</v>
      </c>
      <c r="G650" s="54">
        <f>'220 Antiga Silvinho '!$F650-10</f>
        <v>2</v>
      </c>
      <c r="H650" s="28">
        <v>250.0</v>
      </c>
    </row>
    <row r="651" ht="14.25" customHeight="1">
      <c r="B651" s="164">
        <v>45596.0</v>
      </c>
      <c r="C651" s="141" t="str">
        <f t="shared" si="1"/>
        <v>10-2024</v>
      </c>
      <c r="D651" s="54">
        <f t="shared" si="56"/>
        <v>8308.6</v>
      </c>
      <c r="E651" s="138">
        <v>8320.7</v>
      </c>
      <c r="F651" s="54">
        <f>'220 Antiga Silvinho '!$E651-'220 Antiga Silvinho '!$D651</f>
        <v>12.1</v>
      </c>
      <c r="G651" s="54">
        <f>'220 Antiga Silvinho '!$F651-10</f>
        <v>2.1</v>
      </c>
      <c r="H651" s="28">
        <v>380.0</v>
      </c>
    </row>
    <row r="652" ht="14.25" customHeight="1">
      <c r="B652" s="140">
        <v>45597.0</v>
      </c>
      <c r="C652" s="141" t="str">
        <f t="shared" si="1"/>
        <v>11-2024</v>
      </c>
      <c r="D652" s="138">
        <v>8320.7</v>
      </c>
      <c r="E652" s="138">
        <v>8332.9</v>
      </c>
      <c r="F652" s="54">
        <f>'220 Antiga Silvinho '!$E652-'220 Antiga Silvinho '!$D652</f>
        <v>12.2</v>
      </c>
      <c r="G652" s="54">
        <f>'220 Antiga Silvinho '!$F652-10</f>
        <v>2.2</v>
      </c>
      <c r="H652" s="28">
        <v>230.0</v>
      </c>
    </row>
    <row r="653" ht="14.25" customHeight="1">
      <c r="B653" s="145">
        <v>45598.0</v>
      </c>
      <c r="C653" s="148" t="str">
        <f t="shared" si="1"/>
        <v>11-2024</v>
      </c>
      <c r="D653" s="54">
        <f t="shared" ref="D653:D658" si="57">E652</f>
        <v>8332.9</v>
      </c>
      <c r="E653" s="138">
        <v>8344.9</v>
      </c>
      <c r="F653" s="54">
        <f>'220 Antiga Silvinho '!$E653-'220 Antiga Silvinho '!$D653</f>
        <v>12</v>
      </c>
      <c r="G653" s="54">
        <f>'220 Antiga Silvinho '!$F653-10</f>
        <v>2</v>
      </c>
    </row>
    <row r="654" ht="14.25" customHeight="1">
      <c r="B654" s="145">
        <v>45599.0</v>
      </c>
      <c r="C654" s="141" t="str">
        <f t="shared" si="1"/>
        <v>11-2024</v>
      </c>
      <c r="D654" s="54">
        <f t="shared" si="57"/>
        <v>8344.9</v>
      </c>
      <c r="E654" s="138">
        <v>8355.9</v>
      </c>
      <c r="F654" s="54">
        <f>'220 Antiga Silvinho '!$E654-'220 Antiga Silvinho '!$D654</f>
        <v>11</v>
      </c>
      <c r="G654" s="54">
        <f>'220 Antiga Silvinho '!$F654-10</f>
        <v>1</v>
      </c>
    </row>
    <row r="655" ht="14.25" customHeight="1">
      <c r="B655" s="140">
        <v>45600.0</v>
      </c>
      <c r="C655" s="141" t="str">
        <f t="shared" si="1"/>
        <v>11-2024</v>
      </c>
      <c r="D655" s="54">
        <f t="shared" si="57"/>
        <v>8355.9</v>
      </c>
      <c r="E655" s="138">
        <v>8367.2</v>
      </c>
      <c r="F655" s="54">
        <f>'220 Antiga Silvinho '!$E655-'220 Antiga Silvinho '!$D655</f>
        <v>11.3</v>
      </c>
      <c r="G655" s="54">
        <f>'220 Antiga Silvinho '!$F655-10</f>
        <v>1.3</v>
      </c>
      <c r="H655" s="28">
        <v>480.0</v>
      </c>
    </row>
    <row r="656" ht="14.25" customHeight="1">
      <c r="B656" s="140">
        <v>45601.0</v>
      </c>
      <c r="C656" s="141" t="str">
        <f t="shared" si="1"/>
        <v>11-2024</v>
      </c>
      <c r="D656" s="54">
        <f t="shared" si="57"/>
        <v>8367.2</v>
      </c>
      <c r="E656" s="138">
        <v>8378.0</v>
      </c>
      <c r="F656" s="54">
        <f>'220 Antiga Silvinho '!$E656-'220 Antiga Silvinho '!$D656</f>
        <v>10.8</v>
      </c>
      <c r="G656" s="54">
        <f>'220 Antiga Silvinho '!$F656-10</f>
        <v>0.8</v>
      </c>
      <c r="H656" s="28">
        <v>345.0</v>
      </c>
    </row>
    <row r="657" ht="14.25" customHeight="1">
      <c r="B657" s="140">
        <v>45602.0</v>
      </c>
      <c r="C657" s="141" t="str">
        <f t="shared" si="1"/>
        <v>11-2024</v>
      </c>
      <c r="D657" s="54">
        <f t="shared" si="57"/>
        <v>8378</v>
      </c>
      <c r="E657" s="138">
        <v>8389.0</v>
      </c>
      <c r="F657" s="54">
        <f>'220 Antiga Silvinho '!$E657-'220 Antiga Silvinho '!$D657</f>
        <v>11</v>
      </c>
      <c r="G657" s="54">
        <f>'220 Antiga Silvinho '!$F657-10</f>
        <v>1</v>
      </c>
    </row>
    <row r="658" ht="14.25" customHeight="1">
      <c r="B658" s="140">
        <v>45603.0</v>
      </c>
      <c r="C658" s="141" t="str">
        <f t="shared" si="1"/>
        <v>11-2024</v>
      </c>
      <c r="D658" s="54">
        <f t="shared" si="57"/>
        <v>8389</v>
      </c>
      <c r="E658" s="138">
        <v>8399.4</v>
      </c>
      <c r="F658" s="54">
        <f>'220 Antiga Silvinho '!$E658-'220 Antiga Silvinho '!$D658</f>
        <v>10.4</v>
      </c>
      <c r="G658" s="54">
        <f>'220 Antiga Silvinho '!$F658-10</f>
        <v>0.4</v>
      </c>
      <c r="H658" s="28">
        <v>231.0</v>
      </c>
    </row>
    <row r="659" ht="14.25" customHeight="1">
      <c r="B659" s="140">
        <v>45604.0</v>
      </c>
      <c r="C659" s="141" t="str">
        <f t="shared" si="1"/>
        <v>11-2024</v>
      </c>
      <c r="D659" s="54"/>
      <c r="E659" s="54"/>
      <c r="F659" s="54">
        <f>'220 Antiga Silvinho '!$E659-'220 Antiga Silvinho '!$D659</f>
        <v>0</v>
      </c>
      <c r="G659" s="54">
        <f>'220 Antiga Silvinho '!$F659-10</f>
        <v>-10</v>
      </c>
    </row>
    <row r="660" ht="14.25" customHeight="1">
      <c r="B660" s="145">
        <v>45605.0</v>
      </c>
      <c r="C660" s="141" t="str">
        <f t="shared" si="1"/>
        <v>11-2024</v>
      </c>
      <c r="D660" s="54" t="str">
        <f t="shared" ref="D660:D661" si="58">E659</f>
        <v/>
      </c>
      <c r="E660" s="54"/>
      <c r="F660" s="54">
        <f>'220 Antiga Silvinho '!$E660-'220 Antiga Silvinho '!$D660</f>
        <v>0</v>
      </c>
      <c r="G660" s="54">
        <f>'220 Antiga Silvinho '!$F660-10</f>
        <v>-10</v>
      </c>
    </row>
    <row r="661" ht="14.25" customHeight="1">
      <c r="B661" s="145">
        <v>45606.0</v>
      </c>
      <c r="C661" s="141" t="str">
        <f t="shared" si="1"/>
        <v>11-2024</v>
      </c>
      <c r="D661" s="54" t="str">
        <f t="shared" si="58"/>
        <v/>
      </c>
      <c r="E661" s="54"/>
      <c r="F661" s="54">
        <f>'220 Antiga Silvinho '!$E661-'220 Antiga Silvinho '!$D661</f>
        <v>0</v>
      </c>
      <c r="G661" s="54">
        <f>'220 Antiga Silvinho '!$F661-10</f>
        <v>-10</v>
      </c>
    </row>
    <row r="662" ht="14.25" customHeight="1">
      <c r="B662" s="140">
        <v>45607.0</v>
      </c>
      <c r="C662" s="141" t="str">
        <f t="shared" si="1"/>
        <v>11-2024</v>
      </c>
      <c r="D662" s="138">
        <v>8399.4</v>
      </c>
      <c r="E662" s="138">
        <v>8406.4</v>
      </c>
      <c r="F662" s="54">
        <f>'220 Antiga Silvinho '!$E662-'220 Antiga Silvinho '!$D662</f>
        <v>7</v>
      </c>
      <c r="G662" s="54">
        <f>'220 Antiga Silvinho '!$F662-10</f>
        <v>-3</v>
      </c>
      <c r="H662" s="28">
        <v>230.0</v>
      </c>
    </row>
    <row r="663" ht="14.25" customHeight="1">
      <c r="B663" s="140">
        <v>45608.0</v>
      </c>
      <c r="C663" s="141" t="str">
        <f t="shared" si="1"/>
        <v>11-2024</v>
      </c>
      <c r="D663" s="54">
        <f>E662</f>
        <v>8406.4</v>
      </c>
      <c r="E663" s="138">
        <v>8417.6</v>
      </c>
      <c r="F663" s="54">
        <f>'220 Antiga Silvinho '!$E663-'220 Antiga Silvinho '!$D663</f>
        <v>11.2</v>
      </c>
      <c r="G663" s="54">
        <f>'220 Antiga Silvinho '!$F663-10</f>
        <v>1.2</v>
      </c>
      <c r="H663" s="28">
        <v>200.0</v>
      </c>
    </row>
    <row r="664" ht="14.25" customHeight="1">
      <c r="B664" s="140">
        <v>45609.0</v>
      </c>
      <c r="C664" s="141" t="str">
        <f t="shared" si="1"/>
        <v>11-2024</v>
      </c>
      <c r="D664" s="138">
        <v>8417.6</v>
      </c>
      <c r="E664" s="138">
        <v>8424.2</v>
      </c>
      <c r="F664" s="54">
        <f>'220 Antiga Silvinho '!$E664-'220 Antiga Silvinho '!$D664</f>
        <v>6.6</v>
      </c>
      <c r="G664" s="54">
        <f>'220 Antiga Silvinho '!$F664-10</f>
        <v>-3.4</v>
      </c>
    </row>
    <row r="665" ht="14.25" customHeight="1">
      <c r="B665" s="140">
        <v>45610.0</v>
      </c>
      <c r="C665" s="141" t="str">
        <f t="shared" si="1"/>
        <v>11-2024</v>
      </c>
      <c r="D665" s="54">
        <f t="shared" ref="D665:D672" si="59">E664</f>
        <v>8424.2</v>
      </c>
      <c r="E665" s="138">
        <v>8436.2</v>
      </c>
      <c r="F665" s="54">
        <f>'220 Antiga Silvinho '!$E665-'220 Antiga Silvinho '!$D665</f>
        <v>12</v>
      </c>
      <c r="G665" s="54">
        <f>'220 Antiga Silvinho '!$F665-10</f>
        <v>2</v>
      </c>
    </row>
    <row r="666" ht="14.25" customHeight="1">
      <c r="B666" s="140">
        <v>45611.0</v>
      </c>
      <c r="C666" s="148" t="str">
        <f t="shared" si="1"/>
        <v>11-2024</v>
      </c>
      <c r="D666" s="54">
        <f t="shared" si="59"/>
        <v>8436.2</v>
      </c>
      <c r="E666" s="138">
        <v>8447.2</v>
      </c>
      <c r="F666" s="54">
        <f>'220 Antiga Silvinho '!$E666-'220 Antiga Silvinho '!$D666</f>
        <v>11</v>
      </c>
      <c r="G666" s="54">
        <f>'220 Antiga Silvinho '!$F666-10</f>
        <v>1</v>
      </c>
      <c r="H666" s="28">
        <v>221.0</v>
      </c>
    </row>
    <row r="667" ht="14.25" customHeight="1">
      <c r="B667" s="145">
        <v>45612.0</v>
      </c>
      <c r="C667" s="141" t="str">
        <f t="shared" si="1"/>
        <v>11-2024</v>
      </c>
      <c r="D667" s="54">
        <f t="shared" si="59"/>
        <v>8447.2</v>
      </c>
      <c r="E667" s="138">
        <v>8458.2</v>
      </c>
      <c r="F667" s="54">
        <f>'220 Antiga Silvinho '!$E667-'220 Antiga Silvinho '!$D667</f>
        <v>11</v>
      </c>
      <c r="G667" s="54">
        <f>'220 Antiga Silvinho '!$F667-10</f>
        <v>1</v>
      </c>
      <c r="H667" s="28">
        <v>645.0</v>
      </c>
    </row>
    <row r="668" ht="14.25" customHeight="1">
      <c r="B668" s="145">
        <v>45613.0</v>
      </c>
      <c r="C668" s="141" t="str">
        <f t="shared" si="1"/>
        <v>11-2024</v>
      </c>
      <c r="D668" s="54">
        <f t="shared" si="59"/>
        <v>8458.2</v>
      </c>
      <c r="E668" s="138">
        <v>8469.2</v>
      </c>
      <c r="F668" s="54">
        <f>'220 Antiga Silvinho '!$E668-'220 Antiga Silvinho '!$D668</f>
        <v>11</v>
      </c>
      <c r="G668" s="54">
        <f>'220 Antiga Silvinho '!$F668-10</f>
        <v>1</v>
      </c>
    </row>
    <row r="669" ht="14.25" customHeight="1">
      <c r="B669" s="140">
        <v>45614.0</v>
      </c>
      <c r="C669" s="141" t="str">
        <f t="shared" si="1"/>
        <v>11-2024</v>
      </c>
      <c r="D669" s="54">
        <f t="shared" si="59"/>
        <v>8469.2</v>
      </c>
      <c r="E669" s="138">
        <v>8481.2</v>
      </c>
      <c r="F669" s="54">
        <f>'220 Antiga Silvinho '!$E669-'220 Antiga Silvinho '!$D669</f>
        <v>12</v>
      </c>
      <c r="G669" s="54">
        <f>'220 Antiga Silvinho '!$F669-10</f>
        <v>2</v>
      </c>
      <c r="H669" s="28">
        <v>220.0</v>
      </c>
    </row>
    <row r="670" ht="14.25" customHeight="1">
      <c r="B670" s="140">
        <v>45615.0</v>
      </c>
      <c r="C670" s="141" t="str">
        <f t="shared" si="1"/>
        <v>11-2024</v>
      </c>
      <c r="D670" s="54">
        <f t="shared" si="59"/>
        <v>8481.2</v>
      </c>
      <c r="E670" s="138">
        <v>8488.8</v>
      </c>
      <c r="F670" s="54">
        <f>'220 Antiga Silvinho '!$E670-'220 Antiga Silvinho '!$D670</f>
        <v>7.6</v>
      </c>
      <c r="G670" s="54">
        <f>'220 Antiga Silvinho '!$F670-10</f>
        <v>-2.4</v>
      </c>
      <c r="H670" s="28">
        <v>220.0</v>
      </c>
    </row>
    <row r="671" ht="14.25" customHeight="1">
      <c r="B671" s="140">
        <v>45616.0</v>
      </c>
      <c r="C671" s="148" t="str">
        <f t="shared" si="1"/>
        <v>11-2024</v>
      </c>
      <c r="D671" s="54">
        <f t="shared" si="59"/>
        <v>8488.8</v>
      </c>
      <c r="E671" s="138">
        <v>8497.8</v>
      </c>
      <c r="F671" s="54">
        <f>'220 Antiga Silvinho '!$E671-'220 Antiga Silvinho '!$D671</f>
        <v>9</v>
      </c>
      <c r="G671" s="54">
        <f>'220 Antiga Silvinho '!$F671-10</f>
        <v>-1</v>
      </c>
      <c r="H671" s="28">
        <v>410.0</v>
      </c>
    </row>
    <row r="672" ht="14.25" customHeight="1">
      <c r="B672" s="140">
        <v>45617.0</v>
      </c>
      <c r="C672" s="141" t="str">
        <f t="shared" si="1"/>
        <v>11-2024</v>
      </c>
      <c r="D672" s="54">
        <f t="shared" si="59"/>
        <v>8497.8</v>
      </c>
      <c r="E672" s="138">
        <v>8505.9</v>
      </c>
      <c r="F672" s="54">
        <f>'220 Antiga Silvinho '!$E672-'220 Antiga Silvinho '!$D672</f>
        <v>8.1</v>
      </c>
      <c r="G672" s="54">
        <f>'220 Antiga Silvinho '!$F672-10</f>
        <v>-1.9</v>
      </c>
    </row>
    <row r="673" ht="14.25" customHeight="1">
      <c r="B673" s="140">
        <v>45618.0</v>
      </c>
      <c r="C673" s="141" t="str">
        <f t="shared" si="1"/>
        <v>11-2024</v>
      </c>
      <c r="D673" s="54"/>
      <c r="E673" s="54"/>
      <c r="F673" s="54">
        <f>'220 Antiga Silvinho '!$E673-'220 Antiga Silvinho '!$D673</f>
        <v>0</v>
      </c>
      <c r="G673" s="54">
        <f>'220 Antiga Silvinho '!$F673-10</f>
        <v>-10</v>
      </c>
    </row>
    <row r="674" ht="14.25" customHeight="1">
      <c r="B674" s="145">
        <v>45619.0</v>
      </c>
      <c r="C674" s="141" t="str">
        <f t="shared" si="1"/>
        <v>11-2024</v>
      </c>
      <c r="D674" s="54" t="str">
        <f t="shared" ref="D674:D675" si="60">E673</f>
        <v/>
      </c>
      <c r="E674" s="54"/>
      <c r="F674" s="54">
        <f>'220 Antiga Silvinho '!$E674-'220 Antiga Silvinho '!$D674</f>
        <v>0</v>
      </c>
      <c r="G674" s="54">
        <f>'220 Antiga Silvinho '!$F674-10</f>
        <v>-10</v>
      </c>
    </row>
    <row r="675" ht="14.25" customHeight="1">
      <c r="B675" s="145">
        <v>45620.0</v>
      </c>
      <c r="C675" s="141" t="str">
        <f t="shared" si="1"/>
        <v>11-2024</v>
      </c>
      <c r="D675" s="54" t="str">
        <f t="shared" si="60"/>
        <v/>
      </c>
      <c r="E675" s="54"/>
      <c r="F675" s="54">
        <f>'220 Antiga Silvinho '!$E675-'220 Antiga Silvinho '!$D675</f>
        <v>0</v>
      </c>
      <c r="G675" s="54">
        <f>'220 Antiga Silvinho '!$F675-10</f>
        <v>-10</v>
      </c>
    </row>
    <row r="676" ht="14.25" customHeight="1">
      <c r="B676" s="140">
        <v>45621.0</v>
      </c>
      <c r="C676" s="141" t="str">
        <f t="shared" si="1"/>
        <v>11-2024</v>
      </c>
      <c r="D676" s="138">
        <v>4746.8</v>
      </c>
      <c r="E676" s="138">
        <v>4753.7</v>
      </c>
      <c r="F676" s="149">
        <f>'220 Antiga Silvinho '!$E676-'220 Antiga Silvinho '!$D676</f>
        <v>6.9</v>
      </c>
      <c r="G676" s="54">
        <f>'220 Antiga Silvinho '!$F676-10</f>
        <v>-3.1</v>
      </c>
    </row>
    <row r="677" ht="14.25" customHeight="1">
      <c r="B677" s="140">
        <v>45622.0</v>
      </c>
      <c r="C677" s="141" t="str">
        <f t="shared" si="1"/>
        <v>11-2024</v>
      </c>
      <c r="D677" s="54">
        <f t="shared" ref="D677:D678" si="61">E676</f>
        <v>4753.7</v>
      </c>
      <c r="E677" s="138">
        <v>4765.8</v>
      </c>
      <c r="F677" s="149">
        <f>'220 Antiga Silvinho '!$E677-'220 Antiga Silvinho '!$D677</f>
        <v>12.1</v>
      </c>
      <c r="G677" s="54">
        <f>'220 Antiga Silvinho '!$F677-10</f>
        <v>2.1</v>
      </c>
    </row>
    <row r="678" ht="14.25" customHeight="1">
      <c r="B678" s="140">
        <v>45623.0</v>
      </c>
      <c r="C678" s="141" t="str">
        <f t="shared" si="1"/>
        <v>11-2024</v>
      </c>
      <c r="D678" s="54">
        <f t="shared" si="61"/>
        <v>4765.8</v>
      </c>
      <c r="E678" s="138">
        <v>4772.8</v>
      </c>
      <c r="F678" s="149">
        <f>'220 Antiga Silvinho '!$E678-'220 Antiga Silvinho '!$D678</f>
        <v>7</v>
      </c>
      <c r="G678" s="54">
        <f>'220 Antiga Silvinho '!$F678-10</f>
        <v>-3</v>
      </c>
      <c r="H678" s="28">
        <v>220.0</v>
      </c>
      <c r="I678" s="28" t="s">
        <v>132</v>
      </c>
    </row>
    <row r="679" ht="14.25" customHeight="1">
      <c r="B679" s="140">
        <v>45624.0</v>
      </c>
      <c r="C679" s="141" t="str">
        <f t="shared" si="1"/>
        <v>11-2024</v>
      </c>
      <c r="D679" s="138">
        <v>8522.3</v>
      </c>
      <c r="E679" s="138">
        <v>8533.8</v>
      </c>
      <c r="F679" s="54">
        <f>'220 Antiga Silvinho '!$E679-'220 Antiga Silvinho '!$D679</f>
        <v>11.5</v>
      </c>
      <c r="G679" s="54">
        <f>'220 Antiga Silvinho '!$F679-10</f>
        <v>1.5</v>
      </c>
      <c r="H679" s="28">
        <v>360.0</v>
      </c>
    </row>
    <row r="680" ht="14.25" customHeight="1">
      <c r="B680" s="140">
        <v>45625.0</v>
      </c>
      <c r="C680" s="141" t="str">
        <f t="shared" si="1"/>
        <v>11-2024</v>
      </c>
      <c r="D680" s="54">
        <f t="shared" ref="D680:D681" si="62">E679</f>
        <v>8533.8</v>
      </c>
      <c r="E680" s="138">
        <v>8545.4</v>
      </c>
      <c r="F680" s="54">
        <f>'220 Antiga Silvinho '!$E680-'220 Antiga Silvinho '!$D680</f>
        <v>11.6</v>
      </c>
      <c r="G680" s="54">
        <f>'220 Antiga Silvinho '!$F680-10</f>
        <v>1.6</v>
      </c>
      <c r="H680" s="28">
        <v>420.0</v>
      </c>
    </row>
    <row r="681" ht="14.25" customHeight="1">
      <c r="B681" s="145">
        <v>45626.0</v>
      </c>
      <c r="C681" s="141" t="str">
        <f t="shared" si="1"/>
        <v>11-2024</v>
      </c>
      <c r="D681" s="54">
        <f t="shared" si="62"/>
        <v>8545.4</v>
      </c>
      <c r="E681" s="138">
        <v>8556.4</v>
      </c>
      <c r="F681" s="54">
        <f>'220 Antiga Silvinho '!$E681-'220 Antiga Silvinho '!$D681</f>
        <v>11</v>
      </c>
      <c r="G681" s="54">
        <f>'220 Antiga Silvinho '!$F681-10</f>
        <v>1</v>
      </c>
    </row>
    <row r="682" ht="14.25" customHeight="1">
      <c r="B682" s="145">
        <v>45627.0</v>
      </c>
      <c r="C682" s="141" t="str">
        <f t="shared" si="1"/>
        <v>12-2024</v>
      </c>
      <c r="D682" s="138">
        <v>8556.0</v>
      </c>
      <c r="E682" s="138">
        <v>8559.4</v>
      </c>
      <c r="F682" s="54">
        <f>'220 Antiga Silvinho '!$E682-'220 Antiga Silvinho '!$D682</f>
        <v>3.4</v>
      </c>
      <c r="G682" s="54">
        <f>'220 Antiga Silvinho '!$F682-10</f>
        <v>-6.6</v>
      </c>
    </row>
    <row r="683" ht="14.25" customHeight="1">
      <c r="B683" s="140">
        <v>45628.0</v>
      </c>
      <c r="C683" s="141" t="str">
        <f t="shared" si="1"/>
        <v>12-2024</v>
      </c>
      <c r="D683" s="138">
        <v>8559.4</v>
      </c>
      <c r="E683" s="138">
        <v>8568.9</v>
      </c>
      <c r="F683" s="54">
        <f>'220 Antiga Silvinho '!$E683-'220 Antiga Silvinho '!$D683</f>
        <v>9.5</v>
      </c>
      <c r="G683" s="54">
        <f>'220 Antiga Silvinho '!$F683-10</f>
        <v>-0.5</v>
      </c>
    </row>
    <row r="684" ht="14.25" customHeight="1">
      <c r="B684" s="140">
        <v>45629.0</v>
      </c>
      <c r="C684" s="141" t="str">
        <f t="shared" si="1"/>
        <v>12-2024</v>
      </c>
      <c r="D684" s="54"/>
      <c r="E684" s="54"/>
      <c r="F684" s="54">
        <f>'220 Antiga Silvinho '!$E684-'220 Antiga Silvinho '!$D684</f>
        <v>0</v>
      </c>
      <c r="G684" s="54">
        <f>'220 Antiga Silvinho '!$F684-10</f>
        <v>-10</v>
      </c>
    </row>
    <row r="685" ht="14.25" customHeight="1">
      <c r="B685" s="140">
        <v>45630.0</v>
      </c>
      <c r="C685" s="141" t="str">
        <f t="shared" si="1"/>
        <v>12-2024</v>
      </c>
      <c r="D685" s="54" t="str">
        <f t="shared" ref="D685:D689" si="63">E684</f>
        <v/>
      </c>
      <c r="E685" s="54"/>
      <c r="F685" s="54">
        <f>'220 Antiga Silvinho '!$E685-'220 Antiga Silvinho '!$D685</f>
        <v>0</v>
      </c>
      <c r="G685" s="54">
        <f>'220 Antiga Silvinho '!$F685-10</f>
        <v>-10</v>
      </c>
    </row>
    <row r="686" ht="14.25" customHeight="1">
      <c r="B686" s="140">
        <v>45631.0</v>
      </c>
      <c r="C686" s="141" t="str">
        <f t="shared" si="1"/>
        <v>12-2024</v>
      </c>
      <c r="D686" s="54" t="str">
        <f t="shared" si="63"/>
        <v/>
      </c>
      <c r="E686" s="54"/>
      <c r="F686" s="54">
        <f>'220 Antiga Silvinho '!$E686-'220 Antiga Silvinho '!$D686</f>
        <v>0</v>
      </c>
      <c r="G686" s="54">
        <f>'220 Antiga Silvinho '!$F686-10</f>
        <v>-10</v>
      </c>
    </row>
    <row r="687" ht="14.25" customHeight="1">
      <c r="B687" s="140">
        <v>45632.0</v>
      </c>
      <c r="C687" s="141" t="str">
        <f t="shared" si="1"/>
        <v>12-2024</v>
      </c>
      <c r="D687" s="54" t="str">
        <f t="shared" si="63"/>
        <v/>
      </c>
      <c r="E687" s="54"/>
      <c r="F687" s="54">
        <f>'220 Antiga Silvinho '!$E687-'220 Antiga Silvinho '!$D687</f>
        <v>0</v>
      </c>
      <c r="G687" s="54">
        <f>'220 Antiga Silvinho '!$F687-10</f>
        <v>-10</v>
      </c>
    </row>
    <row r="688" ht="14.25" customHeight="1">
      <c r="B688" s="145">
        <v>45633.0</v>
      </c>
      <c r="C688" s="141" t="str">
        <f t="shared" si="1"/>
        <v>12-2024</v>
      </c>
      <c r="D688" s="54" t="str">
        <f t="shared" si="63"/>
        <v/>
      </c>
      <c r="E688" s="54"/>
      <c r="F688" s="54">
        <f>'220 Antiga Silvinho '!$E688-'220 Antiga Silvinho '!$D688</f>
        <v>0</v>
      </c>
      <c r="G688" s="54">
        <f>'220 Antiga Silvinho '!$F688-10</f>
        <v>-10</v>
      </c>
    </row>
    <row r="689" ht="14.25" customHeight="1">
      <c r="B689" s="145">
        <v>45634.0</v>
      </c>
      <c r="C689" s="141" t="str">
        <f t="shared" si="1"/>
        <v>12-2024</v>
      </c>
      <c r="D689" s="54" t="str">
        <f t="shared" si="63"/>
        <v/>
      </c>
      <c r="E689" s="54"/>
      <c r="F689" s="54">
        <f>'220 Antiga Silvinho '!$E689-'220 Antiga Silvinho '!$D689</f>
        <v>0</v>
      </c>
      <c r="G689" s="54">
        <f>'220 Antiga Silvinho '!$F689-10</f>
        <v>-10</v>
      </c>
    </row>
    <row r="690" ht="14.25" customHeight="1">
      <c r="B690" s="140">
        <v>45635.0</v>
      </c>
      <c r="C690" s="141" t="str">
        <f t="shared" si="1"/>
        <v>12-2024</v>
      </c>
      <c r="D690" s="138">
        <v>8571.3</v>
      </c>
      <c r="E690" s="138">
        <v>8576.4</v>
      </c>
      <c r="F690" s="54">
        <f>'220 Antiga Silvinho '!$E690-'220 Antiga Silvinho '!$D690</f>
        <v>5.1</v>
      </c>
      <c r="G690" s="54">
        <f>'220 Antiga Silvinho '!$F690-10</f>
        <v>-4.9</v>
      </c>
    </row>
    <row r="691" ht="14.25" customHeight="1">
      <c r="B691" s="140">
        <v>45636.0</v>
      </c>
      <c r="C691" s="141" t="str">
        <f t="shared" si="1"/>
        <v>12-2024</v>
      </c>
      <c r="D691" s="54">
        <f t="shared" ref="D691:D702" si="64">E690</f>
        <v>8576.4</v>
      </c>
      <c r="E691" s="138">
        <v>8580.4</v>
      </c>
      <c r="F691" s="54">
        <f>'220 Antiga Silvinho '!$E691-'220 Antiga Silvinho '!$D691</f>
        <v>4</v>
      </c>
      <c r="G691" s="54">
        <f>'220 Antiga Silvinho '!$F691-10</f>
        <v>-6</v>
      </c>
      <c r="H691" s="28">
        <v>300.0</v>
      </c>
    </row>
    <row r="692" ht="14.25" customHeight="1">
      <c r="B692" s="140">
        <v>45637.0</v>
      </c>
      <c r="C692" s="141" t="str">
        <f t="shared" si="1"/>
        <v>12-2024</v>
      </c>
      <c r="D692" s="54">
        <f t="shared" si="64"/>
        <v>8580.4</v>
      </c>
      <c r="E692" s="138">
        <v>8585.4</v>
      </c>
      <c r="F692" s="54">
        <f>'220 Antiga Silvinho '!$E692-'220 Antiga Silvinho '!$D692</f>
        <v>5</v>
      </c>
      <c r="G692" s="54">
        <f>'220 Antiga Silvinho '!$F692-10</f>
        <v>-5</v>
      </c>
    </row>
    <row r="693" ht="14.25" customHeight="1">
      <c r="B693" s="140">
        <v>45638.0</v>
      </c>
      <c r="C693" s="141" t="str">
        <f t="shared" si="1"/>
        <v>12-2024</v>
      </c>
      <c r="D693" s="54">
        <f t="shared" si="64"/>
        <v>8585.4</v>
      </c>
      <c r="E693" s="138">
        <v>8591.5</v>
      </c>
      <c r="F693" s="54">
        <f>'220 Antiga Silvinho '!$E693-'220 Antiga Silvinho '!$D693</f>
        <v>6.1</v>
      </c>
      <c r="G693" s="54">
        <f>'220 Antiga Silvinho '!$F693-10</f>
        <v>-3.9</v>
      </c>
    </row>
    <row r="694" ht="14.25" customHeight="1">
      <c r="B694" s="140">
        <v>45639.0</v>
      </c>
      <c r="C694" s="141" t="str">
        <f t="shared" si="1"/>
        <v>12-2024</v>
      </c>
      <c r="D694" s="54">
        <f t="shared" si="64"/>
        <v>8591.5</v>
      </c>
      <c r="E694" s="138">
        <v>8601.0</v>
      </c>
      <c r="F694" s="54">
        <f>'220 Antiga Silvinho '!$E694-'220 Antiga Silvinho '!$D694</f>
        <v>9.5</v>
      </c>
      <c r="G694" s="54">
        <f>'220 Antiga Silvinho '!$F694-10</f>
        <v>-0.5</v>
      </c>
      <c r="H694" s="28">
        <v>730.0</v>
      </c>
    </row>
    <row r="695" ht="14.25" customHeight="1">
      <c r="B695" s="145">
        <v>45640.0</v>
      </c>
      <c r="C695" s="141" t="str">
        <f t="shared" si="1"/>
        <v>12-2024</v>
      </c>
      <c r="D695" s="54">
        <f t="shared" si="64"/>
        <v>8601</v>
      </c>
      <c r="E695" s="138">
        <v>8612.0</v>
      </c>
      <c r="F695" s="54">
        <f>'220 Antiga Silvinho '!$E695-'220 Antiga Silvinho '!$D695</f>
        <v>11</v>
      </c>
      <c r="G695" s="54">
        <f>'220 Antiga Silvinho '!$F695-10</f>
        <v>1</v>
      </c>
    </row>
    <row r="696" ht="14.25" customHeight="1">
      <c r="B696" s="145">
        <v>45641.0</v>
      </c>
      <c r="C696" s="141" t="str">
        <f t="shared" si="1"/>
        <v>12-2024</v>
      </c>
      <c r="D696" s="54">
        <f t="shared" si="64"/>
        <v>8612</v>
      </c>
      <c r="E696" s="138">
        <v>8623.0</v>
      </c>
      <c r="F696" s="54">
        <f>'220 Antiga Silvinho '!$E696-'220 Antiga Silvinho '!$D696</f>
        <v>11</v>
      </c>
      <c r="G696" s="54">
        <f>'220 Antiga Silvinho '!$F696-10</f>
        <v>1</v>
      </c>
    </row>
    <row r="697" ht="14.25" customHeight="1">
      <c r="B697" s="140">
        <v>45642.0</v>
      </c>
      <c r="C697" s="141" t="str">
        <f t="shared" si="1"/>
        <v>12-2024</v>
      </c>
      <c r="D697" s="54">
        <f t="shared" si="64"/>
        <v>8623</v>
      </c>
      <c r="E697" s="138">
        <v>8633.1</v>
      </c>
      <c r="F697" s="54">
        <f>'220 Antiga Silvinho '!$E697-'220 Antiga Silvinho '!$D697</f>
        <v>10.1</v>
      </c>
      <c r="G697" s="54">
        <f>'220 Antiga Silvinho '!$F697-10</f>
        <v>0.1</v>
      </c>
      <c r="H697" s="28">
        <v>420.0</v>
      </c>
    </row>
    <row r="698" ht="14.25" customHeight="1">
      <c r="B698" s="140">
        <v>45643.0</v>
      </c>
      <c r="C698" s="141" t="str">
        <f t="shared" si="1"/>
        <v>12-2024</v>
      </c>
      <c r="D698" s="54">
        <f t="shared" si="64"/>
        <v>8633.1</v>
      </c>
      <c r="E698" s="138">
        <v>8644.0</v>
      </c>
      <c r="F698" s="54">
        <f>'220 Antiga Silvinho '!$E698-'220 Antiga Silvinho '!$D698</f>
        <v>10.9</v>
      </c>
      <c r="G698" s="54">
        <f>'220 Antiga Silvinho '!$F698-10</f>
        <v>0.9</v>
      </c>
      <c r="H698" s="28">
        <v>465.0</v>
      </c>
    </row>
    <row r="699" ht="14.25" customHeight="1">
      <c r="B699" s="140">
        <v>45644.0</v>
      </c>
      <c r="C699" s="141" t="str">
        <f t="shared" si="1"/>
        <v>12-2024</v>
      </c>
      <c r="D699" s="54">
        <f t="shared" si="64"/>
        <v>8644</v>
      </c>
      <c r="E699" s="138">
        <v>8654.1</v>
      </c>
      <c r="F699" s="54">
        <f>'220 Antiga Silvinho '!$E699-'220 Antiga Silvinho '!$D699</f>
        <v>10.1</v>
      </c>
      <c r="G699" s="54">
        <f>'220 Antiga Silvinho '!$F699-10</f>
        <v>0.1</v>
      </c>
    </row>
    <row r="700" ht="14.25" customHeight="1">
      <c r="B700" s="140">
        <v>45645.0</v>
      </c>
      <c r="C700" s="141" t="str">
        <f t="shared" si="1"/>
        <v>12-2024</v>
      </c>
      <c r="D700" s="54">
        <f t="shared" si="64"/>
        <v>8654.1</v>
      </c>
      <c r="E700" s="138">
        <v>8666.0</v>
      </c>
      <c r="F700" s="54">
        <f>'220 Antiga Silvinho '!$E700-'220 Antiga Silvinho '!$D700</f>
        <v>11.9</v>
      </c>
      <c r="G700" s="54">
        <f>'220 Antiga Silvinho '!$F700-10</f>
        <v>1.9</v>
      </c>
      <c r="H700" s="28">
        <v>475.0</v>
      </c>
    </row>
    <row r="701" ht="14.25" customHeight="1">
      <c r="B701" s="140">
        <v>45646.0</v>
      </c>
      <c r="C701" s="141" t="str">
        <f t="shared" si="1"/>
        <v>12-2024</v>
      </c>
      <c r="D701" s="54">
        <f t="shared" si="64"/>
        <v>8666</v>
      </c>
      <c r="E701" s="138">
        <v>8677.0</v>
      </c>
      <c r="F701" s="54">
        <f>'220 Antiga Silvinho '!$E701-'220 Antiga Silvinho '!$D701</f>
        <v>11</v>
      </c>
      <c r="G701" s="54">
        <f>'220 Antiga Silvinho '!$F701-10</f>
        <v>1</v>
      </c>
    </row>
    <row r="702" ht="14.25" customHeight="1">
      <c r="B702" s="145">
        <v>45647.0</v>
      </c>
      <c r="C702" s="141" t="str">
        <f t="shared" si="1"/>
        <v>12-2024</v>
      </c>
      <c r="D702" s="54">
        <f t="shared" si="64"/>
        <v>8677</v>
      </c>
      <c r="E702" s="138">
        <v>8685.5</v>
      </c>
      <c r="F702" s="54">
        <f>'220 Antiga Silvinho '!$E702-'220 Antiga Silvinho '!$D702</f>
        <v>8.5</v>
      </c>
      <c r="G702" s="54">
        <f>'220 Antiga Silvinho '!$F702-10</f>
        <v>-1.5</v>
      </c>
    </row>
    <row r="703" ht="14.25" customHeight="1">
      <c r="B703" s="145">
        <v>45648.0</v>
      </c>
      <c r="C703" s="141" t="str">
        <f t="shared" si="1"/>
        <v>12-2024</v>
      </c>
      <c r="D703" s="54"/>
      <c r="E703" s="54"/>
      <c r="F703" s="54">
        <f>'220 Antiga Silvinho '!$E703-'220 Antiga Silvinho '!$D703</f>
        <v>0</v>
      </c>
      <c r="G703" s="54">
        <f>'220 Antiga Silvinho '!$F703-10</f>
        <v>-10</v>
      </c>
    </row>
    <row r="704" ht="14.25" customHeight="1">
      <c r="B704" s="140">
        <v>45649.0</v>
      </c>
      <c r="C704" s="141" t="str">
        <f t="shared" si="1"/>
        <v>12-2024</v>
      </c>
      <c r="D704" s="54" t="str">
        <f t="shared" ref="D704:D706" si="65">E703</f>
        <v/>
      </c>
      <c r="E704" s="54"/>
      <c r="F704" s="54">
        <f>'220 Antiga Silvinho '!$E704-'220 Antiga Silvinho '!$D704</f>
        <v>0</v>
      </c>
      <c r="G704" s="54">
        <f>'220 Antiga Silvinho '!$F704-10</f>
        <v>-10</v>
      </c>
    </row>
    <row r="705" ht="14.25" customHeight="1">
      <c r="B705" s="140">
        <v>45650.0</v>
      </c>
      <c r="C705" s="141" t="str">
        <f t="shared" si="1"/>
        <v>12-2024</v>
      </c>
      <c r="D705" s="54" t="str">
        <f t="shared" si="65"/>
        <v/>
      </c>
      <c r="E705" s="54"/>
      <c r="F705" s="54">
        <f>'220 Antiga Silvinho '!$E705-'220 Antiga Silvinho '!$D705</f>
        <v>0</v>
      </c>
      <c r="G705" s="54">
        <f>'220 Antiga Silvinho '!$F705-10</f>
        <v>-10</v>
      </c>
    </row>
    <row r="706" ht="14.25" customHeight="1">
      <c r="B706" s="151">
        <v>45651.0</v>
      </c>
      <c r="C706" s="141" t="str">
        <f t="shared" si="1"/>
        <v>12-2024</v>
      </c>
      <c r="D706" s="54" t="str">
        <f t="shared" si="65"/>
        <v/>
      </c>
      <c r="E706" s="54"/>
      <c r="F706" s="54">
        <f>'220 Antiga Silvinho '!$E706-'220 Antiga Silvinho '!$D706</f>
        <v>0</v>
      </c>
      <c r="G706" s="54">
        <f>'220 Antiga Silvinho '!$F706-10</f>
        <v>-10</v>
      </c>
    </row>
    <row r="707" ht="14.25" customHeight="1">
      <c r="B707" s="140">
        <v>45652.0</v>
      </c>
      <c r="C707" s="141" t="str">
        <f t="shared" si="1"/>
        <v>12-2024</v>
      </c>
      <c r="D707" s="138">
        <v>8685.5</v>
      </c>
      <c r="E707" s="138">
        <v>8691.5</v>
      </c>
      <c r="F707" s="54">
        <f>'220 Antiga Silvinho '!$E707-'220 Antiga Silvinho '!$D707</f>
        <v>6</v>
      </c>
      <c r="G707" s="54">
        <f>'220 Antiga Silvinho '!$F707-10</f>
        <v>-4</v>
      </c>
      <c r="H707" s="28">
        <v>400.0</v>
      </c>
    </row>
    <row r="708" ht="14.25" customHeight="1">
      <c r="B708" s="140">
        <v>45653.0</v>
      </c>
      <c r="C708" s="141" t="str">
        <f t="shared" si="1"/>
        <v>12-2024</v>
      </c>
      <c r="D708" s="54">
        <f t="shared" ref="D708:D709" si="66">E707</f>
        <v>8691.5</v>
      </c>
      <c r="E708" s="138">
        <v>8703.4</v>
      </c>
      <c r="F708" s="54">
        <f>'220 Antiga Silvinho '!$E708-'220 Antiga Silvinho '!$D708</f>
        <v>11.9</v>
      </c>
      <c r="G708" s="54">
        <f>'220 Antiga Silvinho '!$F708-10</f>
        <v>1.9</v>
      </c>
      <c r="H708" s="28">
        <v>450.0</v>
      </c>
    </row>
    <row r="709" ht="14.25" customHeight="1">
      <c r="B709" s="145">
        <v>45654.0</v>
      </c>
      <c r="C709" s="141" t="str">
        <f t="shared" si="1"/>
        <v>12-2024</v>
      </c>
      <c r="D709" s="54">
        <f t="shared" si="66"/>
        <v>8703.4</v>
      </c>
      <c r="E709" s="138">
        <v>8714.6</v>
      </c>
      <c r="F709" s="54">
        <f>'220 Antiga Silvinho '!$E709-'220 Antiga Silvinho '!$D709</f>
        <v>11.2</v>
      </c>
      <c r="G709" s="54">
        <f>'220 Antiga Silvinho '!$F709-10</f>
        <v>1.2</v>
      </c>
    </row>
    <row r="710" ht="14.25" customHeight="1">
      <c r="B710" s="145">
        <v>45655.0</v>
      </c>
      <c r="C710" s="141" t="str">
        <f t="shared" si="1"/>
        <v>12-2024</v>
      </c>
      <c r="D710" s="54"/>
      <c r="E710" s="54"/>
      <c r="F710" s="54">
        <f>'220 Antiga Silvinho '!$E710-'220 Antiga Silvinho '!$D710</f>
        <v>0</v>
      </c>
      <c r="G710" s="54">
        <f>'220 Antiga Silvinho '!$F710-10</f>
        <v>-10</v>
      </c>
    </row>
    <row r="711" ht="14.25" customHeight="1">
      <c r="B711" s="140">
        <v>45656.0</v>
      </c>
      <c r="C711" s="141" t="str">
        <f t="shared" si="1"/>
        <v>12-2024</v>
      </c>
      <c r="D711" s="54" t="str">
        <f t="shared" ref="D711:D713" si="67">E710</f>
        <v/>
      </c>
      <c r="E711" s="54"/>
      <c r="F711" s="54">
        <f>'220 Antiga Silvinho '!$E711-'220 Antiga Silvinho '!$D711</f>
        <v>0</v>
      </c>
      <c r="G711" s="54">
        <f>'220 Antiga Silvinho '!$F711-10</f>
        <v>-10</v>
      </c>
    </row>
    <row r="712" ht="14.25" customHeight="1">
      <c r="B712" s="140">
        <v>45657.0</v>
      </c>
      <c r="C712" s="141" t="str">
        <f t="shared" si="1"/>
        <v>12-2024</v>
      </c>
      <c r="D712" s="54" t="str">
        <f t="shared" si="67"/>
        <v/>
      </c>
      <c r="E712" s="54"/>
      <c r="F712" s="54">
        <f>'220 Antiga Silvinho '!$E712-'220 Antiga Silvinho '!$D712</f>
        <v>0</v>
      </c>
      <c r="G712" s="54">
        <f>'220 Antiga Silvinho '!$F712-10</f>
        <v>-10</v>
      </c>
    </row>
    <row r="713" ht="14.25" customHeight="1">
      <c r="B713" s="152">
        <v>45658.0</v>
      </c>
      <c r="C713" s="141" t="str">
        <f t="shared" si="1"/>
        <v>1-2025</v>
      </c>
      <c r="D713" s="54" t="str">
        <f t="shared" si="67"/>
        <v/>
      </c>
      <c r="E713" s="54"/>
      <c r="F713" s="54">
        <f>'220 Antiga Silvinho '!$E713-'220 Antiga Silvinho '!$D713</f>
        <v>0</v>
      </c>
      <c r="G713" s="54">
        <f>'220 Antiga Silvinho '!$F713-10</f>
        <v>-10</v>
      </c>
    </row>
    <row r="714" ht="14.25" customHeight="1">
      <c r="B714" s="140">
        <v>45659.0</v>
      </c>
      <c r="C714" s="141" t="str">
        <f t="shared" si="1"/>
        <v>1-2025</v>
      </c>
      <c r="D714" s="138">
        <v>8714.6</v>
      </c>
      <c r="E714" s="138">
        <v>8720.6</v>
      </c>
      <c r="F714" s="54">
        <f>'220 Antiga Silvinho '!$E714-'220 Antiga Silvinho '!$D714</f>
        <v>6</v>
      </c>
      <c r="G714" s="54">
        <f>'220 Antiga Silvinho '!$F714-10</f>
        <v>-4</v>
      </c>
      <c r="H714" s="28">
        <v>480.0</v>
      </c>
    </row>
    <row r="715" ht="14.25" customHeight="1">
      <c r="B715" s="140">
        <v>45660.0</v>
      </c>
      <c r="C715" s="141" t="str">
        <f t="shared" si="1"/>
        <v>1-2025</v>
      </c>
      <c r="D715" s="54">
        <f t="shared" ref="D715:D721" si="68">E714</f>
        <v>8720.6</v>
      </c>
      <c r="E715" s="138">
        <v>8729.2</v>
      </c>
      <c r="F715" s="54">
        <f>'220 Antiga Silvinho '!$E715-'220 Antiga Silvinho '!$D715</f>
        <v>8.6</v>
      </c>
      <c r="G715" s="54">
        <f>'220 Antiga Silvinho '!$F715-10</f>
        <v>-1.4</v>
      </c>
    </row>
    <row r="716" ht="14.25" customHeight="1">
      <c r="B716" s="152">
        <v>45661.0</v>
      </c>
      <c r="C716" s="141" t="str">
        <f t="shared" si="1"/>
        <v>1-2025</v>
      </c>
      <c r="D716" s="54">
        <f t="shared" si="68"/>
        <v>8729.2</v>
      </c>
      <c r="E716" s="138">
        <v>8738.8</v>
      </c>
      <c r="F716" s="54">
        <f>'220 Antiga Silvinho '!$E716-'220 Antiga Silvinho '!$D716</f>
        <v>9.6</v>
      </c>
      <c r="G716" s="54">
        <f>'220 Antiga Silvinho '!$F716-10</f>
        <v>-0.4</v>
      </c>
    </row>
    <row r="717" ht="14.25" customHeight="1">
      <c r="B717" s="152">
        <v>45662.0</v>
      </c>
      <c r="C717" s="141" t="str">
        <f t="shared" si="1"/>
        <v>1-2025</v>
      </c>
      <c r="D717" s="54">
        <f t="shared" si="68"/>
        <v>8738.8</v>
      </c>
      <c r="E717" s="138">
        <v>8743.0</v>
      </c>
      <c r="F717" s="54">
        <f>'220 Antiga Silvinho '!$E717-'220 Antiga Silvinho '!$D717</f>
        <v>4.2</v>
      </c>
      <c r="G717" s="54">
        <f>'220 Antiga Silvinho '!$F717-10</f>
        <v>-5.8</v>
      </c>
    </row>
    <row r="718" ht="14.25" customHeight="1">
      <c r="B718" s="140">
        <v>45663.0</v>
      </c>
      <c r="C718" s="141" t="str">
        <f t="shared" si="1"/>
        <v>1-2025</v>
      </c>
      <c r="D718" s="54">
        <f t="shared" si="68"/>
        <v>8743</v>
      </c>
      <c r="E718" s="138">
        <v>8751.0</v>
      </c>
      <c r="F718" s="54">
        <f>'220 Antiga Silvinho '!$E718-'220 Antiga Silvinho '!$D718</f>
        <v>8</v>
      </c>
      <c r="G718" s="54">
        <f>'220 Antiga Silvinho '!$F718-10</f>
        <v>-2</v>
      </c>
      <c r="H718" s="28">
        <v>450.0</v>
      </c>
    </row>
    <row r="719" ht="14.25" customHeight="1">
      <c r="B719" s="140">
        <v>45664.0</v>
      </c>
      <c r="C719" s="141" t="str">
        <f t="shared" si="1"/>
        <v>1-2025</v>
      </c>
      <c r="D719" s="54">
        <f t="shared" si="68"/>
        <v>8751</v>
      </c>
      <c r="E719" s="138">
        <v>8762.0</v>
      </c>
      <c r="F719" s="54">
        <f>'220 Antiga Silvinho '!$E719-'220 Antiga Silvinho '!$D719</f>
        <v>11</v>
      </c>
      <c r="G719" s="54">
        <f>'220 Antiga Silvinho '!$F719-10</f>
        <v>1</v>
      </c>
      <c r="H719" s="28">
        <v>235.0</v>
      </c>
    </row>
    <row r="720" ht="14.25" customHeight="1">
      <c r="B720" s="140">
        <v>45665.0</v>
      </c>
      <c r="C720" s="141" t="str">
        <f t="shared" si="1"/>
        <v>1-2025</v>
      </c>
      <c r="D720" s="54">
        <f t="shared" si="68"/>
        <v>8762</v>
      </c>
      <c r="E720" s="138">
        <v>8773.0</v>
      </c>
      <c r="F720" s="54">
        <f>'220 Antiga Silvinho '!$E720-'220 Antiga Silvinho '!$D720</f>
        <v>11</v>
      </c>
      <c r="G720" s="54">
        <f>'220 Antiga Silvinho '!$F720-10</f>
        <v>1</v>
      </c>
      <c r="H720" s="28">
        <v>240.0</v>
      </c>
    </row>
    <row r="721" ht="14.25" customHeight="1">
      <c r="B721" s="140">
        <v>45666.0</v>
      </c>
      <c r="C721" s="141" t="str">
        <f t="shared" si="1"/>
        <v>1-2025</v>
      </c>
      <c r="D721" s="54">
        <f t="shared" si="68"/>
        <v>8773</v>
      </c>
      <c r="E721" s="138">
        <v>8783.9</v>
      </c>
      <c r="F721" s="54">
        <f>'220 Antiga Silvinho '!$E721-'220 Antiga Silvinho '!$D721</f>
        <v>10.9</v>
      </c>
      <c r="G721" s="54">
        <f>'220 Antiga Silvinho '!$F721-10</f>
        <v>0.9</v>
      </c>
    </row>
    <row r="722" ht="14.25" customHeight="1">
      <c r="B722" s="140">
        <v>45667.0</v>
      </c>
      <c r="C722" s="141" t="str">
        <f t="shared" si="1"/>
        <v>1-2025</v>
      </c>
      <c r="D722" s="54"/>
      <c r="E722" s="54"/>
      <c r="F722" s="54">
        <f>'220 Antiga Silvinho '!$E722-'220 Antiga Silvinho '!$D722</f>
        <v>0</v>
      </c>
      <c r="G722" s="54">
        <f>'220 Antiga Silvinho '!$F722-10</f>
        <v>-10</v>
      </c>
    </row>
    <row r="723" ht="14.25" customHeight="1">
      <c r="B723" s="152">
        <v>45668.0</v>
      </c>
      <c r="C723" s="141" t="str">
        <f t="shared" si="1"/>
        <v>1-2025</v>
      </c>
      <c r="D723" s="54" t="str">
        <f t="shared" ref="D723:D724" si="69">E722</f>
        <v/>
      </c>
      <c r="E723" s="54"/>
      <c r="F723" s="54">
        <f>'220 Antiga Silvinho '!$E723-'220 Antiga Silvinho '!$D723</f>
        <v>0</v>
      </c>
      <c r="G723" s="54">
        <f>'220 Antiga Silvinho '!$F723-10</f>
        <v>-10</v>
      </c>
    </row>
    <row r="724" ht="14.25" customHeight="1">
      <c r="B724" s="152">
        <v>45669.0</v>
      </c>
      <c r="C724" s="141" t="str">
        <f t="shared" si="1"/>
        <v>1-2025</v>
      </c>
      <c r="D724" s="54" t="str">
        <f t="shared" si="69"/>
        <v/>
      </c>
      <c r="E724" s="54"/>
      <c r="F724" s="54">
        <f>'220 Antiga Silvinho '!$E724-'220 Antiga Silvinho '!$D724</f>
        <v>0</v>
      </c>
      <c r="G724" s="54">
        <f>'220 Antiga Silvinho '!$F724-10</f>
        <v>-10</v>
      </c>
    </row>
    <row r="725" ht="14.25" customHeight="1">
      <c r="B725" s="140">
        <v>45670.0</v>
      </c>
      <c r="C725" s="141" t="str">
        <f t="shared" si="1"/>
        <v>1-2025</v>
      </c>
      <c r="D725" s="138">
        <v>8796.8</v>
      </c>
      <c r="E725" s="138">
        <v>8802.8</v>
      </c>
      <c r="F725" s="54">
        <f>'220 Antiga Silvinho '!$E725-'220 Antiga Silvinho '!$D725</f>
        <v>6</v>
      </c>
      <c r="G725" s="54">
        <f>'220 Antiga Silvinho '!$F725-10</f>
        <v>-4</v>
      </c>
    </row>
    <row r="726" ht="14.25" customHeight="1">
      <c r="B726" s="140">
        <v>45671.0</v>
      </c>
      <c r="C726" s="141" t="str">
        <f t="shared" si="1"/>
        <v>1-2025</v>
      </c>
      <c r="D726" s="54">
        <f t="shared" ref="D726:D735" si="70">E725</f>
        <v>8802.8</v>
      </c>
      <c r="E726" s="138">
        <v>8813.0</v>
      </c>
      <c r="F726" s="54">
        <f>'220 Antiga Silvinho '!$E726-'220 Antiga Silvinho '!$D726</f>
        <v>10.2</v>
      </c>
      <c r="G726" s="54">
        <f>'220 Antiga Silvinho '!$F726-10</f>
        <v>0.2</v>
      </c>
      <c r="H726" s="28">
        <v>235.0</v>
      </c>
    </row>
    <row r="727" ht="14.25" customHeight="1">
      <c r="B727" s="140">
        <v>45672.0</v>
      </c>
      <c r="C727" s="141" t="str">
        <f t="shared" si="1"/>
        <v>1-2025</v>
      </c>
      <c r="D727" s="54">
        <f t="shared" si="70"/>
        <v>8813</v>
      </c>
      <c r="E727" s="138">
        <v>8824.0</v>
      </c>
      <c r="F727" s="54">
        <f>'220 Antiga Silvinho '!$E727-'220 Antiga Silvinho '!$D727</f>
        <v>11</v>
      </c>
      <c r="G727" s="54">
        <f>'220 Antiga Silvinho '!$F727-10</f>
        <v>1</v>
      </c>
    </row>
    <row r="728" ht="14.25" customHeight="1">
      <c r="B728" s="140">
        <v>45673.0</v>
      </c>
      <c r="C728" s="141" t="str">
        <f t="shared" si="1"/>
        <v>1-2025</v>
      </c>
      <c r="D728" s="54">
        <f t="shared" si="70"/>
        <v>8824</v>
      </c>
      <c r="E728" s="138">
        <v>8833.0</v>
      </c>
      <c r="F728" s="54">
        <f>'220 Antiga Silvinho '!$E728-'220 Antiga Silvinho '!$D728</f>
        <v>9</v>
      </c>
      <c r="G728" s="54">
        <f>'220 Antiga Silvinho '!$F728-10</f>
        <v>-1</v>
      </c>
      <c r="H728" s="28">
        <v>220.0</v>
      </c>
    </row>
    <row r="729" ht="14.25" customHeight="1">
      <c r="B729" s="140">
        <v>45674.0</v>
      </c>
      <c r="C729" s="141" t="str">
        <f t="shared" si="1"/>
        <v>1-2025</v>
      </c>
      <c r="D729" s="54">
        <f t="shared" si="70"/>
        <v>8833</v>
      </c>
      <c r="E729" s="138">
        <v>8841.0</v>
      </c>
      <c r="F729" s="54">
        <f>'220 Antiga Silvinho '!$E729-'220 Antiga Silvinho '!$D729</f>
        <v>8</v>
      </c>
      <c r="G729" s="54">
        <f>'220 Antiga Silvinho '!$F729-10</f>
        <v>-2</v>
      </c>
    </row>
    <row r="730" ht="14.25" customHeight="1">
      <c r="B730" s="152">
        <v>45675.0</v>
      </c>
      <c r="C730" s="141" t="str">
        <f t="shared" si="1"/>
        <v>1-2025</v>
      </c>
      <c r="D730" s="54">
        <f t="shared" si="70"/>
        <v>8841</v>
      </c>
      <c r="E730" s="138">
        <v>8851.6</v>
      </c>
      <c r="F730" s="54">
        <f>'220 Antiga Silvinho '!$E730-'220 Antiga Silvinho '!$D730</f>
        <v>10.6</v>
      </c>
      <c r="G730" s="54">
        <f>'220 Antiga Silvinho '!$F730-10</f>
        <v>0.6</v>
      </c>
      <c r="H730" s="28">
        <v>220.0</v>
      </c>
    </row>
    <row r="731" ht="14.25" customHeight="1">
      <c r="B731" s="152">
        <v>45676.0</v>
      </c>
      <c r="C731" s="141" t="str">
        <f t="shared" si="1"/>
        <v>1-2025</v>
      </c>
      <c r="D731" s="54">
        <f t="shared" si="70"/>
        <v>8851.6</v>
      </c>
      <c r="E731" s="138">
        <v>8862.6</v>
      </c>
      <c r="F731" s="54">
        <f>'220 Antiga Silvinho '!$E731-'220 Antiga Silvinho '!$D731</f>
        <v>11</v>
      </c>
      <c r="G731" s="54">
        <f>'220 Antiga Silvinho '!$F731-10</f>
        <v>1</v>
      </c>
      <c r="H731" s="28">
        <v>236.0</v>
      </c>
    </row>
    <row r="732" ht="14.25" customHeight="1">
      <c r="B732" s="140">
        <v>45677.0</v>
      </c>
      <c r="C732" s="141" t="str">
        <f t="shared" si="1"/>
        <v>1-2025</v>
      </c>
      <c r="D732" s="54">
        <f t="shared" si="70"/>
        <v>8862.6</v>
      </c>
      <c r="E732" s="138">
        <v>8871.3</v>
      </c>
      <c r="F732" s="54">
        <f>'220 Antiga Silvinho '!$E732-'220 Antiga Silvinho '!$D732</f>
        <v>8.7</v>
      </c>
      <c r="G732" s="54">
        <f>'220 Antiga Silvinho '!$F732-10</f>
        <v>-1.3</v>
      </c>
      <c r="H732" s="28">
        <v>235.0</v>
      </c>
    </row>
    <row r="733" ht="14.25" customHeight="1">
      <c r="B733" s="140">
        <v>45678.0</v>
      </c>
      <c r="C733" s="141" t="str">
        <f t="shared" si="1"/>
        <v>1-2025</v>
      </c>
      <c r="D733" s="54">
        <f t="shared" si="70"/>
        <v>8871.3</v>
      </c>
      <c r="E733" s="138">
        <v>8881.3</v>
      </c>
      <c r="F733" s="54">
        <f>'220 Antiga Silvinho '!$E733-'220 Antiga Silvinho '!$D733</f>
        <v>10</v>
      </c>
      <c r="G733" s="54">
        <f>'220 Antiga Silvinho '!$F733-10</f>
        <v>0</v>
      </c>
      <c r="H733" s="28">
        <v>460.0</v>
      </c>
    </row>
    <row r="734" ht="14.25" customHeight="1">
      <c r="B734" s="140">
        <v>45679.0</v>
      </c>
      <c r="C734" s="141" t="str">
        <f t="shared" si="1"/>
        <v>1-2025</v>
      </c>
      <c r="D734" s="54">
        <f t="shared" si="70"/>
        <v>8881.3</v>
      </c>
      <c r="E734" s="138">
        <v>8893.0</v>
      </c>
      <c r="F734" s="54">
        <f>'220 Antiga Silvinho '!$E734-'220 Antiga Silvinho '!$D734</f>
        <v>11.7</v>
      </c>
      <c r="G734" s="54">
        <f>'220 Antiga Silvinho '!$F734-10</f>
        <v>1.7</v>
      </c>
    </row>
    <row r="735" ht="14.25" customHeight="1">
      <c r="B735" s="140">
        <v>45680.0</v>
      </c>
      <c r="C735" s="141" t="str">
        <f t="shared" si="1"/>
        <v>1-2025</v>
      </c>
      <c r="D735" s="54">
        <f t="shared" si="70"/>
        <v>8893</v>
      </c>
      <c r="E735" s="138">
        <v>8904.4</v>
      </c>
      <c r="F735" s="54">
        <f>'220 Antiga Silvinho '!$E735-'220 Antiga Silvinho '!$D735</f>
        <v>11.4</v>
      </c>
      <c r="G735" s="54">
        <f>'220 Antiga Silvinho '!$F735-10</f>
        <v>1.4</v>
      </c>
      <c r="H735" s="28">
        <v>250.0</v>
      </c>
    </row>
    <row r="736" ht="14.25" customHeight="1">
      <c r="B736" s="140">
        <v>45681.0</v>
      </c>
      <c r="C736" s="141" t="str">
        <f t="shared" si="1"/>
        <v>1-2025</v>
      </c>
      <c r="D736" s="54"/>
      <c r="E736" s="54"/>
      <c r="F736" s="54">
        <f>'220 Antiga Silvinho '!$E736-'220 Antiga Silvinho '!$D736</f>
        <v>0</v>
      </c>
      <c r="G736" s="54">
        <f>'220 Antiga Silvinho '!$F736-10</f>
        <v>-10</v>
      </c>
    </row>
    <row r="737" ht="14.25" customHeight="1">
      <c r="B737" s="152">
        <v>45682.0</v>
      </c>
      <c r="C737" s="141" t="str">
        <f t="shared" si="1"/>
        <v>1-2025</v>
      </c>
      <c r="D737" s="54" t="str">
        <f t="shared" ref="D737:D738" si="71">E736</f>
        <v/>
      </c>
      <c r="E737" s="54"/>
      <c r="F737" s="54">
        <f>'220 Antiga Silvinho '!$E737-'220 Antiga Silvinho '!$D737</f>
        <v>0</v>
      </c>
      <c r="G737" s="54">
        <f>'220 Antiga Silvinho '!$F737-10</f>
        <v>-10</v>
      </c>
    </row>
    <row r="738" ht="14.25" customHeight="1">
      <c r="B738" s="152">
        <v>45683.0</v>
      </c>
      <c r="C738" s="141" t="str">
        <f t="shared" si="1"/>
        <v>1-2025</v>
      </c>
      <c r="D738" s="54" t="str">
        <f t="shared" si="71"/>
        <v/>
      </c>
      <c r="E738" s="54"/>
      <c r="F738" s="54">
        <f>'220 Antiga Silvinho '!$E738-'220 Antiga Silvinho '!$D738</f>
        <v>0</v>
      </c>
      <c r="G738" s="54">
        <f>'220 Antiga Silvinho '!$F738-10</f>
        <v>-10</v>
      </c>
    </row>
    <row r="739" ht="14.25" customHeight="1">
      <c r="B739" s="140">
        <v>45684.0</v>
      </c>
      <c r="C739" s="141" t="str">
        <f t="shared" si="1"/>
        <v>1-2025</v>
      </c>
      <c r="D739" s="138">
        <v>8913.0</v>
      </c>
      <c r="E739" s="138">
        <v>8920.1</v>
      </c>
      <c r="F739" s="54">
        <f>'220 Antiga Silvinho '!$E739-'220 Antiga Silvinho '!$D739</f>
        <v>7.1</v>
      </c>
      <c r="G739" s="54">
        <f>'220 Antiga Silvinho '!$F739-10</f>
        <v>-2.9</v>
      </c>
      <c r="H739" s="28">
        <v>240.0</v>
      </c>
    </row>
    <row r="740" ht="14.25" customHeight="1">
      <c r="B740" s="140">
        <v>45685.0</v>
      </c>
      <c r="C740" s="141" t="str">
        <f t="shared" si="1"/>
        <v>1-2025</v>
      </c>
      <c r="D740" s="54">
        <f t="shared" ref="D740:D743" si="72">E739</f>
        <v>8920.1</v>
      </c>
      <c r="E740" s="138">
        <v>8932.1</v>
      </c>
      <c r="F740" s="54">
        <f>'220 Antiga Silvinho '!$E740-'220 Antiga Silvinho '!$D740</f>
        <v>12</v>
      </c>
      <c r="G740" s="54">
        <f>'220 Antiga Silvinho '!$F740-10</f>
        <v>2</v>
      </c>
      <c r="H740" s="28">
        <v>235.0</v>
      </c>
    </row>
    <row r="741" ht="14.25" customHeight="1">
      <c r="B741" s="140">
        <v>45686.0</v>
      </c>
      <c r="C741" s="141" t="str">
        <f t="shared" si="1"/>
        <v>1-2025</v>
      </c>
      <c r="D741" s="54">
        <f t="shared" si="72"/>
        <v>8932.1</v>
      </c>
      <c r="E741" s="138">
        <v>8943.5</v>
      </c>
      <c r="F741" s="54">
        <f>'220 Antiga Silvinho '!$E741-'220 Antiga Silvinho '!$D741</f>
        <v>11.4</v>
      </c>
      <c r="G741" s="54">
        <f>'220 Antiga Silvinho '!$F741-10</f>
        <v>1.4</v>
      </c>
      <c r="H741" s="28">
        <v>220.0</v>
      </c>
    </row>
    <row r="742" ht="14.25" customHeight="1">
      <c r="B742" s="140">
        <v>45687.0</v>
      </c>
      <c r="C742" s="141" t="str">
        <f t="shared" si="1"/>
        <v>1-2025</v>
      </c>
      <c r="D742" s="54">
        <f t="shared" si="72"/>
        <v>8943.5</v>
      </c>
      <c r="E742" s="138">
        <v>8953.5</v>
      </c>
      <c r="F742" s="54">
        <f>'220 Antiga Silvinho '!$E742-'220 Antiga Silvinho '!$D742</f>
        <v>10</v>
      </c>
      <c r="G742" s="54">
        <f>'220 Antiga Silvinho '!$F742-10</f>
        <v>0</v>
      </c>
      <c r="H742" s="28">
        <v>440.0</v>
      </c>
    </row>
    <row r="743" ht="14.25" customHeight="1">
      <c r="B743" s="140">
        <v>45688.0</v>
      </c>
      <c r="C743" s="141" t="str">
        <f t="shared" si="1"/>
        <v>1-2025</v>
      </c>
      <c r="D743" s="54">
        <f t="shared" si="72"/>
        <v>8953.5</v>
      </c>
      <c r="E743" s="138">
        <v>8956.4</v>
      </c>
      <c r="F743" s="54">
        <f>'220 Antiga Silvinho '!$E743-'220 Antiga Silvinho '!$D743</f>
        <v>2.9</v>
      </c>
      <c r="G743" s="54">
        <f>'220 Antiga Silvinho '!$F743-10</f>
        <v>-7.1</v>
      </c>
    </row>
    <row r="744" ht="14.25" customHeight="1">
      <c r="B744" s="145">
        <v>45689.0</v>
      </c>
      <c r="C744" s="141" t="str">
        <f t="shared" si="1"/>
        <v>2-2025</v>
      </c>
      <c r="D744" s="54"/>
      <c r="F744" s="54">
        <f>'220 Antiga Silvinho '!$E744-'220 Antiga Silvinho '!$D744</f>
        <v>0</v>
      </c>
      <c r="G744" s="54">
        <f>'220 Antiga Silvinho '!$F744-10</f>
        <v>-10</v>
      </c>
    </row>
    <row r="745" ht="14.25" customHeight="1">
      <c r="B745" s="145">
        <v>45690.0</v>
      </c>
      <c r="C745" s="141" t="str">
        <f t="shared" si="1"/>
        <v>2-2025</v>
      </c>
      <c r="D745" s="54" t="str">
        <f t="shared" ref="D745:D746" si="73">E744</f>
        <v/>
      </c>
      <c r="F745" s="54">
        <f>'220 Antiga Silvinho '!$E745-'220 Antiga Silvinho '!$D745</f>
        <v>0</v>
      </c>
      <c r="G745" s="54">
        <f>'220 Antiga Silvinho '!$F745-10</f>
        <v>-10</v>
      </c>
    </row>
    <row r="746" ht="14.25" customHeight="1">
      <c r="B746" s="140">
        <v>45691.0</v>
      </c>
      <c r="C746" s="141" t="str">
        <f t="shared" si="1"/>
        <v>2-2025</v>
      </c>
      <c r="D746" s="54" t="str">
        <f t="shared" si="73"/>
        <v/>
      </c>
      <c r="F746" s="54">
        <f>'220 Antiga Silvinho '!$E746-'220 Antiga Silvinho '!$D746</f>
        <v>0</v>
      </c>
      <c r="G746" s="54">
        <f>'220 Antiga Silvinho '!$F746-10</f>
        <v>-10</v>
      </c>
    </row>
    <row r="747" ht="14.25" customHeight="1">
      <c r="B747" s="140">
        <v>45692.0</v>
      </c>
      <c r="C747" s="141" t="str">
        <f t="shared" si="1"/>
        <v>2-2025</v>
      </c>
      <c r="D747" s="138">
        <v>8958.2</v>
      </c>
      <c r="E747" s="28">
        <v>8959.8</v>
      </c>
      <c r="F747" s="54">
        <f>'220 Antiga Silvinho '!$E747-'220 Antiga Silvinho '!$D747</f>
        <v>1.6</v>
      </c>
      <c r="G747" s="54">
        <f>'220 Antiga Silvinho '!$F747-10</f>
        <v>-8.4</v>
      </c>
    </row>
    <row r="748" ht="14.25" customHeight="1">
      <c r="B748" s="140">
        <v>45693.0</v>
      </c>
      <c r="C748" s="141" t="str">
        <f t="shared" si="1"/>
        <v>2-2025</v>
      </c>
      <c r="D748" s="54">
        <f t="shared" ref="D748:D756" si="74">E747</f>
        <v>8959.8</v>
      </c>
      <c r="E748" s="28">
        <v>8970.3</v>
      </c>
      <c r="F748" s="54">
        <f>'220 Antiga Silvinho '!$E748-'220 Antiga Silvinho '!$D748</f>
        <v>10.5</v>
      </c>
      <c r="G748" s="54">
        <f>'220 Antiga Silvinho '!$F748-10</f>
        <v>0.5</v>
      </c>
    </row>
    <row r="749" ht="14.25" customHeight="1">
      <c r="B749" s="140">
        <v>45694.0</v>
      </c>
      <c r="C749" s="141" t="str">
        <f t="shared" si="1"/>
        <v>2-2025</v>
      </c>
      <c r="D749" s="54">
        <f t="shared" si="74"/>
        <v>8970.3</v>
      </c>
      <c r="E749" s="28">
        <v>8981.3</v>
      </c>
      <c r="F749" s="54">
        <f>'220 Antiga Silvinho '!$E749-'220 Antiga Silvinho '!$D749</f>
        <v>11</v>
      </c>
      <c r="G749" s="54">
        <f>'220 Antiga Silvinho '!$F749-10</f>
        <v>1</v>
      </c>
    </row>
    <row r="750" ht="14.25" customHeight="1">
      <c r="B750" s="140">
        <v>45695.0</v>
      </c>
      <c r="C750" s="141" t="str">
        <f t="shared" si="1"/>
        <v>2-2025</v>
      </c>
      <c r="D750" s="54">
        <f t="shared" si="74"/>
        <v>8981.3</v>
      </c>
      <c r="E750" s="28">
        <v>8992.3</v>
      </c>
      <c r="F750" s="54">
        <f>'220 Antiga Silvinho '!$E750-'220 Antiga Silvinho '!$D750</f>
        <v>11</v>
      </c>
      <c r="G750" s="54">
        <f>'220 Antiga Silvinho '!$F750-10</f>
        <v>1</v>
      </c>
    </row>
    <row r="751" ht="14.25" customHeight="1">
      <c r="B751" s="145">
        <v>45696.0</v>
      </c>
      <c r="C751" s="141" t="str">
        <f t="shared" si="1"/>
        <v>2-2025</v>
      </c>
      <c r="D751" s="54">
        <f t="shared" si="74"/>
        <v>8992.3</v>
      </c>
      <c r="E751" s="28">
        <v>9003.3</v>
      </c>
      <c r="F751" s="54">
        <f>'220 Antiga Silvinho '!$E751-'220 Antiga Silvinho '!$D751</f>
        <v>11</v>
      </c>
      <c r="G751" s="54">
        <f>'220 Antiga Silvinho '!$F751-10</f>
        <v>1</v>
      </c>
    </row>
    <row r="752" ht="14.25" customHeight="1">
      <c r="B752" s="145">
        <v>45697.0</v>
      </c>
      <c r="C752" s="141" t="str">
        <f t="shared" si="1"/>
        <v>2-2025</v>
      </c>
      <c r="D752" s="54">
        <f t="shared" si="74"/>
        <v>9003.3</v>
      </c>
      <c r="E752" s="28">
        <v>9014.3</v>
      </c>
      <c r="F752" s="54">
        <f>'220 Antiga Silvinho '!$E752-'220 Antiga Silvinho '!$D752</f>
        <v>11</v>
      </c>
      <c r="G752" s="54">
        <f>'220 Antiga Silvinho '!$F752-10</f>
        <v>1</v>
      </c>
    </row>
    <row r="753" ht="14.25" customHeight="1">
      <c r="B753" s="140">
        <v>45698.0</v>
      </c>
      <c r="C753" s="141" t="str">
        <f t="shared" si="1"/>
        <v>2-2025</v>
      </c>
      <c r="D753" s="54">
        <f t="shared" si="74"/>
        <v>9014.3</v>
      </c>
      <c r="E753" s="28">
        <v>9025.3</v>
      </c>
      <c r="F753" s="54">
        <f>'220 Antiga Silvinho '!$E753-'220 Antiga Silvinho '!$D753</f>
        <v>11</v>
      </c>
      <c r="G753" s="54">
        <f>'220 Antiga Silvinho '!$F753-10</f>
        <v>1</v>
      </c>
    </row>
    <row r="754" ht="14.25" customHeight="1">
      <c r="B754" s="140">
        <v>45699.0</v>
      </c>
      <c r="C754" s="141" t="str">
        <f t="shared" si="1"/>
        <v>2-2025</v>
      </c>
      <c r="D754" s="54">
        <f t="shared" si="74"/>
        <v>9025.3</v>
      </c>
      <c r="E754" s="28">
        <v>9036.3</v>
      </c>
      <c r="F754" s="54">
        <f>'220 Antiga Silvinho '!$E754-'220 Antiga Silvinho '!$D754</f>
        <v>11</v>
      </c>
      <c r="G754" s="54">
        <f>'220 Antiga Silvinho '!$F754-10</f>
        <v>1</v>
      </c>
    </row>
    <row r="755" ht="14.25" customHeight="1">
      <c r="B755" s="140">
        <v>45700.0</v>
      </c>
      <c r="C755" s="141" t="str">
        <f t="shared" si="1"/>
        <v>2-2025</v>
      </c>
      <c r="D755" s="54">
        <f t="shared" si="74"/>
        <v>9036.3</v>
      </c>
      <c r="E755" s="28">
        <v>9047.2</v>
      </c>
      <c r="F755" s="54">
        <f>'220 Antiga Silvinho '!$E755-'220 Antiga Silvinho '!$D755</f>
        <v>10.9</v>
      </c>
      <c r="G755" s="54">
        <f>'220 Antiga Silvinho '!$F755-10</f>
        <v>0.9</v>
      </c>
    </row>
    <row r="756" ht="14.25" customHeight="1">
      <c r="B756" s="140">
        <v>45701.0</v>
      </c>
      <c r="C756" s="141" t="str">
        <f t="shared" si="1"/>
        <v>2-2025</v>
      </c>
      <c r="D756" s="54">
        <f t="shared" si="74"/>
        <v>9047.2</v>
      </c>
      <c r="E756" s="28">
        <v>9058.1</v>
      </c>
      <c r="F756" s="54">
        <f>'220 Antiga Silvinho '!$E756-'220 Antiga Silvinho '!$D756</f>
        <v>10.9</v>
      </c>
      <c r="G756" s="54">
        <f>'220 Antiga Silvinho '!$F756-10</f>
        <v>0.9</v>
      </c>
    </row>
    <row r="757" ht="14.25" customHeight="1">
      <c r="B757" s="140">
        <v>45702.0</v>
      </c>
      <c r="C757" s="141" t="str">
        <f t="shared" si="1"/>
        <v>2-2025</v>
      </c>
      <c r="D757" s="54"/>
      <c r="F757" s="54">
        <f>'220 Antiga Silvinho '!$E757-'220 Antiga Silvinho '!$D757</f>
        <v>0</v>
      </c>
      <c r="G757" s="54">
        <f>'220 Antiga Silvinho '!$F757-10</f>
        <v>-10</v>
      </c>
    </row>
    <row r="758" ht="14.25" customHeight="1">
      <c r="B758" s="145">
        <v>45703.0</v>
      </c>
      <c r="C758" s="141" t="str">
        <f t="shared" si="1"/>
        <v>2-2025</v>
      </c>
      <c r="D758" s="54" t="str">
        <f t="shared" ref="D758:D759" si="75">E757</f>
        <v/>
      </c>
      <c r="F758" s="54">
        <f>'220 Antiga Silvinho '!$E758-'220 Antiga Silvinho '!$D758</f>
        <v>0</v>
      </c>
      <c r="G758" s="54">
        <f>'220 Antiga Silvinho '!$F758-10</f>
        <v>-10</v>
      </c>
    </row>
    <row r="759" ht="14.25" customHeight="1">
      <c r="B759" s="145">
        <v>45704.0</v>
      </c>
      <c r="C759" s="141" t="str">
        <f t="shared" si="1"/>
        <v>2-2025</v>
      </c>
      <c r="D759" s="54" t="str">
        <f t="shared" si="75"/>
        <v/>
      </c>
      <c r="F759" s="54">
        <f>'220 Antiga Silvinho '!$E759-'220 Antiga Silvinho '!$D759</f>
        <v>0</v>
      </c>
      <c r="G759" s="54">
        <f>'220 Antiga Silvinho '!$F759-10</f>
        <v>-10</v>
      </c>
    </row>
    <row r="760" ht="14.25" customHeight="1">
      <c r="B760" s="140">
        <v>45705.0</v>
      </c>
      <c r="C760" s="141" t="str">
        <f t="shared" si="1"/>
        <v>2-2025</v>
      </c>
      <c r="D760" s="138">
        <v>9058.1</v>
      </c>
      <c r="E760" s="28">
        <v>9064.2</v>
      </c>
      <c r="F760" s="54">
        <f>'220 Antiga Silvinho '!$E760-'220 Antiga Silvinho '!$D760</f>
        <v>6.1</v>
      </c>
      <c r="G760" s="54">
        <f>'220 Antiga Silvinho '!$F760-10</f>
        <v>-3.9</v>
      </c>
    </row>
    <row r="761" ht="14.25" customHeight="1">
      <c r="B761" s="140">
        <v>45706.0</v>
      </c>
      <c r="C761" s="141" t="str">
        <f t="shared" si="1"/>
        <v>2-2025</v>
      </c>
      <c r="D761" s="54">
        <f t="shared" ref="D761:D762" si="76">E760</f>
        <v>9064.2</v>
      </c>
      <c r="E761" s="28">
        <v>9070.0</v>
      </c>
      <c r="F761" s="54">
        <f>'220 Antiga Silvinho '!$E761-'220 Antiga Silvinho '!$D761</f>
        <v>5.8</v>
      </c>
      <c r="G761" s="54">
        <f>'220 Antiga Silvinho '!$F761-10</f>
        <v>-4.2</v>
      </c>
    </row>
    <row r="762" ht="14.25" customHeight="1">
      <c r="B762" s="140">
        <v>45707.0</v>
      </c>
      <c r="C762" s="141" t="str">
        <f t="shared" si="1"/>
        <v>2-2025</v>
      </c>
      <c r="D762" s="54">
        <f t="shared" si="76"/>
        <v>9070</v>
      </c>
      <c r="E762" s="28">
        <v>9082.4</v>
      </c>
      <c r="F762" s="54">
        <f>'220 Antiga Silvinho '!$E762-'220 Antiga Silvinho '!$D762</f>
        <v>12.4</v>
      </c>
      <c r="G762" s="54">
        <f>'220 Antiga Silvinho '!$F762-10</f>
        <v>2.4</v>
      </c>
    </row>
    <row r="763" ht="14.25" customHeight="1">
      <c r="B763" s="140">
        <v>45708.0</v>
      </c>
      <c r="C763" s="141" t="str">
        <f t="shared" si="1"/>
        <v>2-2025</v>
      </c>
      <c r="D763" s="138">
        <v>9082.9</v>
      </c>
      <c r="E763" s="28">
        <v>9091.3</v>
      </c>
      <c r="F763" s="54">
        <f>'220 Antiga Silvinho '!$E763-'220 Antiga Silvinho '!$D763</f>
        <v>8.4</v>
      </c>
      <c r="G763" s="54">
        <f>'220 Antiga Silvinho '!$F763-10</f>
        <v>-1.6</v>
      </c>
    </row>
    <row r="764" ht="14.25" customHeight="1">
      <c r="B764" s="140">
        <v>45709.0</v>
      </c>
      <c r="C764" s="141" t="str">
        <f t="shared" si="1"/>
        <v>2-2025</v>
      </c>
      <c r="D764" s="54">
        <f t="shared" ref="D764:D771" si="77">E763</f>
        <v>9091.3</v>
      </c>
      <c r="E764" s="28">
        <v>9103.3</v>
      </c>
      <c r="F764" s="54">
        <f>'220 Antiga Silvinho '!$E764-'220 Antiga Silvinho '!$D764</f>
        <v>12</v>
      </c>
      <c r="G764" s="54">
        <f>'220 Antiga Silvinho '!$F764-10</f>
        <v>2</v>
      </c>
    </row>
    <row r="765" ht="14.25" customHeight="1">
      <c r="B765" s="145">
        <v>45710.0</v>
      </c>
      <c r="C765" s="141" t="str">
        <f t="shared" si="1"/>
        <v>2-2025</v>
      </c>
      <c r="D765" s="54">
        <f t="shared" si="77"/>
        <v>9103.3</v>
      </c>
      <c r="E765" s="28">
        <v>9115.0</v>
      </c>
      <c r="F765" s="54">
        <f>'220 Antiga Silvinho '!$E765-'220 Antiga Silvinho '!$D765</f>
        <v>11.7</v>
      </c>
      <c r="G765" s="54">
        <f>'220 Antiga Silvinho '!$F765-10</f>
        <v>1.7</v>
      </c>
    </row>
    <row r="766" ht="14.25" customHeight="1">
      <c r="B766" s="145">
        <v>45711.0</v>
      </c>
      <c r="C766" s="141" t="str">
        <f t="shared" si="1"/>
        <v>2-2025</v>
      </c>
      <c r="D766" s="54">
        <f t="shared" si="77"/>
        <v>9115</v>
      </c>
      <c r="E766" s="28">
        <v>9126.0</v>
      </c>
      <c r="F766" s="54">
        <f>'220 Antiga Silvinho '!$E766-'220 Antiga Silvinho '!$D766</f>
        <v>11</v>
      </c>
      <c r="G766" s="54">
        <f>'220 Antiga Silvinho '!$F766-10</f>
        <v>1</v>
      </c>
    </row>
    <row r="767" ht="14.25" customHeight="1">
      <c r="B767" s="140">
        <v>45712.0</v>
      </c>
      <c r="C767" s="141" t="str">
        <f t="shared" si="1"/>
        <v>2-2025</v>
      </c>
      <c r="D767" s="54">
        <f t="shared" si="77"/>
        <v>9126</v>
      </c>
      <c r="E767" s="28">
        <v>9138.0</v>
      </c>
      <c r="F767" s="54">
        <f>'220 Antiga Silvinho '!$E767-'220 Antiga Silvinho '!$D767</f>
        <v>12</v>
      </c>
      <c r="G767" s="54">
        <f>'220 Antiga Silvinho '!$F767-10</f>
        <v>2</v>
      </c>
    </row>
    <row r="768" ht="14.25" customHeight="1">
      <c r="B768" s="140">
        <v>45713.0</v>
      </c>
      <c r="C768" s="141" t="str">
        <f t="shared" si="1"/>
        <v>2-2025</v>
      </c>
      <c r="D768" s="54">
        <f t="shared" si="77"/>
        <v>9138</v>
      </c>
      <c r="E768" s="28">
        <v>9149.0</v>
      </c>
      <c r="F768" s="54">
        <f>'220 Antiga Silvinho '!$E768-'220 Antiga Silvinho '!$D768</f>
        <v>11</v>
      </c>
      <c r="G768" s="54">
        <f>'220 Antiga Silvinho '!$F768-10</f>
        <v>1</v>
      </c>
    </row>
    <row r="769" ht="14.25" customHeight="1">
      <c r="B769" s="140">
        <v>45714.0</v>
      </c>
      <c r="C769" s="141" t="str">
        <f t="shared" si="1"/>
        <v>2-2025</v>
      </c>
      <c r="D769" s="54">
        <f t="shared" si="77"/>
        <v>9149</v>
      </c>
      <c r="E769" s="28">
        <v>9161.1</v>
      </c>
      <c r="F769" s="54">
        <f>'220 Antiga Silvinho '!$E769-'220 Antiga Silvinho '!$D769</f>
        <v>12.1</v>
      </c>
      <c r="G769" s="54">
        <f>'220 Antiga Silvinho '!$F769-10</f>
        <v>2.1</v>
      </c>
    </row>
    <row r="770" ht="14.25" customHeight="1">
      <c r="B770" s="140">
        <v>45715.0</v>
      </c>
      <c r="C770" s="141" t="str">
        <f t="shared" si="1"/>
        <v>2-2025</v>
      </c>
      <c r="D770" s="54">
        <f t="shared" si="77"/>
        <v>9161.1</v>
      </c>
      <c r="E770" s="28">
        <v>9173.0</v>
      </c>
      <c r="F770" s="54">
        <f>'220 Antiga Silvinho '!$E770-'220 Antiga Silvinho '!$D770</f>
        <v>11.9</v>
      </c>
      <c r="G770" s="54">
        <f>'220 Antiga Silvinho '!$F770-10</f>
        <v>1.9</v>
      </c>
    </row>
    <row r="771" ht="14.25" customHeight="1">
      <c r="B771" s="140">
        <v>45716.0</v>
      </c>
      <c r="C771" s="141" t="str">
        <f t="shared" si="1"/>
        <v>2-2025</v>
      </c>
      <c r="D771" s="54">
        <f t="shared" si="77"/>
        <v>9173</v>
      </c>
      <c r="E771" s="28">
        <v>9184.2</v>
      </c>
      <c r="F771" s="54">
        <f>'220 Antiga Silvinho '!$E771-'220 Antiga Silvinho '!$D771</f>
        <v>11.2</v>
      </c>
      <c r="G771" s="54">
        <f>'220 Antiga Silvinho '!$F771-10</f>
        <v>1.2</v>
      </c>
    </row>
    <row r="772" ht="14.25" customHeight="1">
      <c r="B772" s="145">
        <v>45717.0</v>
      </c>
      <c r="C772" s="141" t="str">
        <f t="shared" si="1"/>
        <v>3-2025</v>
      </c>
      <c r="D772" s="138"/>
      <c r="F772" s="54">
        <f>'220 Antiga Silvinho '!$E772-'220 Antiga Silvinho '!$D772</f>
        <v>0</v>
      </c>
      <c r="G772" s="54">
        <f>'220 Antiga Silvinho '!$F772-10</f>
        <v>-10</v>
      </c>
    </row>
    <row r="773" ht="14.25" customHeight="1">
      <c r="B773" s="145">
        <v>45718.0</v>
      </c>
      <c r="C773" s="141" t="str">
        <f t="shared" si="1"/>
        <v>3-2025</v>
      </c>
      <c r="D773" s="54" t="str">
        <f t="shared" ref="D773:D774" si="78">E772</f>
        <v/>
      </c>
      <c r="F773" s="54">
        <f>'220 Antiga Silvinho '!$E773-'220 Antiga Silvinho '!$D773</f>
        <v>0</v>
      </c>
      <c r="G773" s="54">
        <f>'220 Antiga Silvinho '!$F773-10</f>
        <v>-10</v>
      </c>
    </row>
    <row r="774" ht="14.25" customHeight="1">
      <c r="B774" s="140">
        <v>45719.0</v>
      </c>
      <c r="C774" s="141" t="str">
        <f t="shared" si="1"/>
        <v>3-2025</v>
      </c>
      <c r="D774" s="54" t="str">
        <f t="shared" si="78"/>
        <v/>
      </c>
      <c r="F774" s="54">
        <f>'220 Antiga Silvinho '!$E774-'220 Antiga Silvinho '!$D774</f>
        <v>0</v>
      </c>
      <c r="G774" s="54">
        <f>'220 Antiga Silvinho '!$F774-10</f>
        <v>-10</v>
      </c>
    </row>
    <row r="775" ht="14.25" customHeight="1">
      <c r="B775" s="140">
        <v>45720.0</v>
      </c>
      <c r="C775" s="141" t="str">
        <f t="shared" si="1"/>
        <v>3-2025</v>
      </c>
      <c r="D775" s="138">
        <v>9198.2</v>
      </c>
      <c r="E775" s="28">
        <v>9204.2</v>
      </c>
      <c r="F775" s="54">
        <f>'220 Antiga Silvinho '!$E775-'220 Antiga Silvinho '!$D775</f>
        <v>6</v>
      </c>
      <c r="G775" s="54">
        <f>'220 Antiga Silvinho '!$F775-10</f>
        <v>-4</v>
      </c>
    </row>
    <row r="776" ht="14.25" customHeight="1">
      <c r="B776" s="140">
        <v>45721.0</v>
      </c>
      <c r="C776" s="141" t="str">
        <f t="shared" si="1"/>
        <v>3-2025</v>
      </c>
      <c r="D776" s="54">
        <f t="shared" ref="D776:D784" si="79">E775</f>
        <v>9204.2</v>
      </c>
      <c r="E776" s="28">
        <v>9215.2</v>
      </c>
      <c r="F776" s="54">
        <f>'220 Antiga Silvinho '!$E776-'220 Antiga Silvinho '!$D776</f>
        <v>11</v>
      </c>
      <c r="G776" s="54">
        <f>'220 Antiga Silvinho '!$F776-10</f>
        <v>1</v>
      </c>
    </row>
    <row r="777" ht="14.25" customHeight="1">
      <c r="B777" s="140">
        <v>45722.0</v>
      </c>
      <c r="C777" s="141" t="str">
        <f t="shared" si="1"/>
        <v>3-2025</v>
      </c>
      <c r="D777" s="54">
        <f t="shared" si="79"/>
        <v>9215.2</v>
      </c>
      <c r="E777" s="28">
        <v>9227.0</v>
      </c>
      <c r="F777" s="54">
        <f>'220 Antiga Silvinho '!$E777-'220 Antiga Silvinho '!$D777</f>
        <v>11.8</v>
      </c>
      <c r="G777" s="54">
        <f>'220 Antiga Silvinho '!$F777-10</f>
        <v>1.8</v>
      </c>
    </row>
    <row r="778" ht="14.25" customHeight="1">
      <c r="B778" s="140">
        <v>45723.0</v>
      </c>
      <c r="C778" s="141" t="str">
        <f t="shared" si="1"/>
        <v>3-2025</v>
      </c>
      <c r="D778" s="54">
        <f t="shared" si="79"/>
        <v>9227</v>
      </c>
      <c r="E778" s="28">
        <v>9238.0</v>
      </c>
      <c r="F778" s="54">
        <f>'220 Antiga Silvinho '!$E778-'220 Antiga Silvinho '!$D778</f>
        <v>11</v>
      </c>
      <c r="G778" s="54">
        <f>'220 Antiga Silvinho '!$F778-10</f>
        <v>1</v>
      </c>
    </row>
    <row r="779" ht="14.25" customHeight="1">
      <c r="B779" s="145">
        <v>45724.0</v>
      </c>
      <c r="C779" s="141" t="str">
        <f t="shared" si="1"/>
        <v>3-2025</v>
      </c>
      <c r="D779" s="54">
        <f t="shared" si="79"/>
        <v>9238</v>
      </c>
      <c r="E779" s="28">
        <v>9250.0</v>
      </c>
      <c r="F779" s="54">
        <f>'220 Antiga Silvinho '!$E779-'220 Antiga Silvinho '!$D779</f>
        <v>12</v>
      </c>
      <c r="G779" s="54">
        <f>'220 Antiga Silvinho '!$F779-10</f>
        <v>2</v>
      </c>
    </row>
    <row r="780" ht="14.25" customHeight="1">
      <c r="B780" s="145">
        <v>45725.0</v>
      </c>
      <c r="C780" s="141" t="str">
        <f t="shared" si="1"/>
        <v>3-2025</v>
      </c>
      <c r="D780" s="54">
        <f t="shared" si="79"/>
        <v>9250</v>
      </c>
      <c r="E780" s="28">
        <v>9261.0</v>
      </c>
      <c r="F780" s="54">
        <f>'220 Antiga Silvinho '!$E780-'220 Antiga Silvinho '!$D780</f>
        <v>11</v>
      </c>
      <c r="G780" s="54">
        <f>'220 Antiga Silvinho '!$F780-10</f>
        <v>1</v>
      </c>
    </row>
    <row r="781" ht="14.25" customHeight="1">
      <c r="B781" s="140">
        <v>45726.0</v>
      </c>
      <c r="C781" s="141" t="str">
        <f t="shared" si="1"/>
        <v>3-2025</v>
      </c>
      <c r="D781" s="54">
        <f t="shared" si="79"/>
        <v>9261</v>
      </c>
      <c r="E781" s="28">
        <v>9272.0</v>
      </c>
      <c r="F781" s="54">
        <f>'220 Antiga Silvinho '!$E781-'220 Antiga Silvinho '!$D781</f>
        <v>11</v>
      </c>
      <c r="G781" s="54">
        <f>'220 Antiga Silvinho '!$F781-10</f>
        <v>1</v>
      </c>
    </row>
    <row r="782" ht="14.25" customHeight="1">
      <c r="B782" s="140">
        <v>45727.0</v>
      </c>
      <c r="C782" s="141" t="str">
        <f t="shared" si="1"/>
        <v>3-2025</v>
      </c>
      <c r="D782" s="54">
        <f t="shared" si="79"/>
        <v>9272</v>
      </c>
      <c r="E782" s="28">
        <v>9284.6</v>
      </c>
      <c r="F782" s="54">
        <f>'220 Antiga Silvinho '!$E782-'220 Antiga Silvinho '!$D782</f>
        <v>12.6</v>
      </c>
      <c r="G782" s="54">
        <f>'220 Antiga Silvinho '!$F782-10</f>
        <v>2.6</v>
      </c>
    </row>
    <row r="783" ht="14.25" customHeight="1">
      <c r="B783" s="140">
        <v>45728.0</v>
      </c>
      <c r="C783" s="141" t="str">
        <f t="shared" si="1"/>
        <v>3-2025</v>
      </c>
      <c r="D783" s="54">
        <f t="shared" si="79"/>
        <v>9284.6</v>
      </c>
      <c r="E783" s="28">
        <v>9296.0</v>
      </c>
      <c r="F783" s="54">
        <f>'220 Antiga Silvinho '!$E783-'220 Antiga Silvinho '!$D783</f>
        <v>11.4</v>
      </c>
      <c r="G783" s="54">
        <f>'220 Antiga Silvinho '!$F783-10</f>
        <v>1.4</v>
      </c>
    </row>
    <row r="784" ht="14.25" customHeight="1">
      <c r="B784" s="140">
        <v>45729.0</v>
      </c>
      <c r="C784" s="141" t="str">
        <f t="shared" si="1"/>
        <v>3-2025</v>
      </c>
      <c r="D784" s="54">
        <f t="shared" si="79"/>
        <v>9296</v>
      </c>
      <c r="E784" s="28">
        <v>9308.0</v>
      </c>
      <c r="F784" s="54">
        <f>'220 Antiga Silvinho '!$E784-'220 Antiga Silvinho '!$D784</f>
        <v>12</v>
      </c>
      <c r="G784" s="54">
        <f>'220 Antiga Silvinho '!$F784-10</f>
        <v>2</v>
      </c>
    </row>
    <row r="785" ht="14.25" customHeight="1">
      <c r="B785" s="140">
        <v>45730.0</v>
      </c>
      <c r="C785" s="141" t="str">
        <f t="shared" si="1"/>
        <v>3-2025</v>
      </c>
      <c r="D785" s="54"/>
      <c r="F785" s="54">
        <f>'220 Antiga Silvinho '!$E785-'220 Antiga Silvinho '!$D785</f>
        <v>0</v>
      </c>
      <c r="G785" s="54">
        <f>'220 Antiga Silvinho '!$F785-10</f>
        <v>-10</v>
      </c>
    </row>
    <row r="786" ht="14.25" customHeight="1">
      <c r="B786" s="145">
        <v>45731.0</v>
      </c>
      <c r="C786" s="141" t="str">
        <f t="shared" si="1"/>
        <v>3-2025</v>
      </c>
      <c r="D786" s="54" t="str">
        <f>E785</f>
        <v/>
      </c>
      <c r="F786" s="54">
        <f>'220 Antiga Silvinho '!$E786-'220 Antiga Silvinho '!$D786</f>
        <v>0</v>
      </c>
      <c r="G786" s="54">
        <f>'220 Antiga Silvinho '!$F786-10</f>
        <v>-10</v>
      </c>
    </row>
    <row r="787" ht="14.25" customHeight="1">
      <c r="B787" s="145">
        <v>45732.0</v>
      </c>
      <c r="C787" s="141" t="str">
        <f t="shared" si="1"/>
        <v>3-2025</v>
      </c>
      <c r="F787" s="54">
        <f>'220 Antiga Silvinho '!$E787-'220 Antiga Silvinho '!$D787</f>
        <v>0</v>
      </c>
      <c r="G787" s="54">
        <f>'220 Antiga Silvinho '!$F787-10</f>
        <v>-10</v>
      </c>
    </row>
    <row r="788" ht="14.25" customHeight="1">
      <c r="B788" s="140">
        <v>45733.0</v>
      </c>
      <c r="C788" s="141" t="str">
        <f t="shared" si="1"/>
        <v>3-2025</v>
      </c>
      <c r="D788" s="28">
        <v>9326.0</v>
      </c>
      <c r="E788" s="28">
        <v>9332.0</v>
      </c>
      <c r="F788" s="54">
        <f>'220 Antiga Silvinho '!$E788-'220 Antiga Silvinho '!$D788</f>
        <v>6</v>
      </c>
      <c r="G788" s="54">
        <f>'220 Antiga Silvinho '!$F788-10</f>
        <v>-4</v>
      </c>
    </row>
    <row r="789" ht="14.25" customHeight="1">
      <c r="B789" s="140">
        <v>45734.0</v>
      </c>
      <c r="C789" s="141" t="str">
        <f t="shared" si="1"/>
        <v>3-2025</v>
      </c>
      <c r="D789" s="165">
        <f t="shared" ref="D789:D797" si="80">E788</f>
        <v>9332</v>
      </c>
      <c r="E789" s="28">
        <v>9344.0</v>
      </c>
      <c r="F789" s="54">
        <f>'220 Antiga Silvinho '!$E789-'220 Antiga Silvinho '!$D789</f>
        <v>12</v>
      </c>
      <c r="G789" s="54">
        <f>'220 Antiga Silvinho '!$F789-10</f>
        <v>2</v>
      </c>
    </row>
    <row r="790" ht="14.25" customHeight="1">
      <c r="B790" s="140">
        <v>45735.0</v>
      </c>
      <c r="C790" s="141" t="str">
        <f t="shared" si="1"/>
        <v>3-2025</v>
      </c>
      <c r="D790" s="165">
        <f t="shared" si="80"/>
        <v>9344</v>
      </c>
      <c r="E790" s="28">
        <v>9355.0</v>
      </c>
      <c r="F790" s="54">
        <f>'220 Antiga Silvinho '!$E790-'220 Antiga Silvinho '!$D790</f>
        <v>11</v>
      </c>
      <c r="G790" s="54">
        <f>'220 Antiga Silvinho '!$F790-10</f>
        <v>1</v>
      </c>
    </row>
    <row r="791" ht="14.25" customHeight="1">
      <c r="B791" s="140">
        <v>45736.0</v>
      </c>
      <c r="C791" s="141" t="str">
        <f t="shared" si="1"/>
        <v>3-2025</v>
      </c>
      <c r="D791" s="165">
        <f t="shared" si="80"/>
        <v>9355</v>
      </c>
      <c r="E791" s="28">
        <v>9367.0</v>
      </c>
      <c r="F791" s="54">
        <f>'220 Antiga Silvinho '!$E791-'220 Antiga Silvinho '!$D791</f>
        <v>12</v>
      </c>
      <c r="G791" s="54">
        <f>'220 Antiga Silvinho '!$F791-10</f>
        <v>2</v>
      </c>
    </row>
    <row r="792" ht="14.25" customHeight="1">
      <c r="B792" s="140">
        <v>45737.0</v>
      </c>
      <c r="C792" s="141" t="str">
        <f t="shared" si="1"/>
        <v>3-2025</v>
      </c>
      <c r="D792" s="165">
        <f t="shared" si="80"/>
        <v>9367</v>
      </c>
      <c r="E792" s="28">
        <v>9378.0</v>
      </c>
      <c r="F792" s="54">
        <f>'220 Antiga Silvinho '!$E792-'220 Antiga Silvinho '!$D792</f>
        <v>11</v>
      </c>
      <c r="G792" s="54">
        <f>'220 Antiga Silvinho '!$F792-10</f>
        <v>1</v>
      </c>
    </row>
    <row r="793" ht="14.25" customHeight="1">
      <c r="B793" s="145">
        <v>45738.0</v>
      </c>
      <c r="C793" s="141" t="str">
        <f t="shared" si="1"/>
        <v>3-2025</v>
      </c>
      <c r="D793" s="165">
        <f t="shared" si="80"/>
        <v>9378</v>
      </c>
      <c r="E793" s="28">
        <v>9390.0</v>
      </c>
      <c r="F793" s="54">
        <f>'220 Antiga Silvinho '!$E793-'220 Antiga Silvinho '!$D793</f>
        <v>12</v>
      </c>
      <c r="G793" s="54">
        <f>'220 Antiga Silvinho '!$F793-10</f>
        <v>2</v>
      </c>
    </row>
    <row r="794" ht="14.25" customHeight="1">
      <c r="B794" s="145">
        <v>45739.0</v>
      </c>
      <c r="C794" s="141" t="str">
        <f t="shared" si="1"/>
        <v>3-2025</v>
      </c>
      <c r="D794" s="165">
        <f t="shared" si="80"/>
        <v>9390</v>
      </c>
      <c r="E794" s="28">
        <v>9401.0</v>
      </c>
      <c r="F794" s="54">
        <f>'220 Antiga Silvinho '!$E794-'220 Antiga Silvinho '!$D794</f>
        <v>11</v>
      </c>
      <c r="G794" s="54">
        <f>'220 Antiga Silvinho '!$F794-10</f>
        <v>1</v>
      </c>
    </row>
    <row r="795" ht="14.25" customHeight="1">
      <c r="B795" s="140">
        <v>45740.0</v>
      </c>
      <c r="C795" s="141" t="str">
        <f t="shared" si="1"/>
        <v>3-2025</v>
      </c>
      <c r="D795" s="165">
        <f t="shared" si="80"/>
        <v>9401</v>
      </c>
      <c r="E795" s="28">
        <v>9412.6</v>
      </c>
      <c r="F795" s="54">
        <f>'220 Antiga Silvinho '!$E795-'220 Antiga Silvinho '!$D795</f>
        <v>11.6</v>
      </c>
      <c r="G795" s="54">
        <f>'220 Antiga Silvinho '!$F795-10</f>
        <v>1.6</v>
      </c>
    </row>
    <row r="796" ht="14.25" customHeight="1">
      <c r="B796" s="140">
        <v>45741.0</v>
      </c>
      <c r="C796" s="141" t="str">
        <f t="shared" si="1"/>
        <v>3-2025</v>
      </c>
      <c r="D796" s="165">
        <f t="shared" si="80"/>
        <v>9412.6</v>
      </c>
      <c r="E796" s="28">
        <v>9424.0</v>
      </c>
      <c r="F796" s="54">
        <f>'220 Antiga Silvinho '!$E796-'220 Antiga Silvinho '!$D796</f>
        <v>11.4</v>
      </c>
      <c r="G796" s="54">
        <f>'220 Antiga Silvinho '!$F796-10</f>
        <v>1.4</v>
      </c>
    </row>
    <row r="797" ht="14.25" customHeight="1">
      <c r="B797" s="140">
        <v>45742.0</v>
      </c>
      <c r="C797" s="141" t="str">
        <f t="shared" si="1"/>
        <v>3-2025</v>
      </c>
      <c r="D797" s="165">
        <f t="shared" si="80"/>
        <v>9424</v>
      </c>
      <c r="E797" s="28">
        <v>9432.0</v>
      </c>
      <c r="F797" s="54">
        <f>'220 Antiga Silvinho '!$E797-'220 Antiga Silvinho '!$D797</f>
        <v>8</v>
      </c>
      <c r="G797" s="54">
        <f>'220 Antiga Silvinho '!$F797-10</f>
        <v>-2</v>
      </c>
    </row>
    <row r="798" ht="14.25" customHeight="1">
      <c r="B798" s="140">
        <v>45743.0</v>
      </c>
      <c r="C798" s="141" t="str">
        <f t="shared" si="1"/>
        <v>3-2025</v>
      </c>
      <c r="D798" s="28">
        <v>9432.0</v>
      </c>
      <c r="E798" s="28">
        <v>9443.5</v>
      </c>
      <c r="F798" s="54">
        <f>'220 Antiga Silvinho '!$E798-'220 Antiga Silvinho '!$D798</f>
        <v>11.5</v>
      </c>
      <c r="G798" s="54">
        <f>'220 Antiga Silvinho '!$F798-10</f>
        <v>1.5</v>
      </c>
    </row>
    <row r="799" ht="14.25" customHeight="1">
      <c r="B799" s="140">
        <v>45744.0</v>
      </c>
      <c r="C799" s="141" t="str">
        <f t="shared" si="1"/>
        <v>3-2025</v>
      </c>
      <c r="F799" s="54">
        <f>'220 Antiga Silvinho '!$E799-'220 Antiga Silvinho '!$D799</f>
        <v>0</v>
      </c>
      <c r="G799" s="54">
        <f>'220 Antiga Silvinho '!$F799-10</f>
        <v>-10</v>
      </c>
    </row>
    <row r="800" ht="14.25" customHeight="1">
      <c r="B800" s="145">
        <v>45745.0</v>
      </c>
      <c r="C800" s="141" t="str">
        <f t="shared" si="1"/>
        <v>3-2025</v>
      </c>
      <c r="F800" s="54">
        <f>'220 Antiga Silvinho '!$E800-'220 Antiga Silvinho '!$D800</f>
        <v>0</v>
      </c>
      <c r="G800" s="54">
        <f>'220 Antiga Silvinho '!$F800-10</f>
        <v>-10</v>
      </c>
    </row>
    <row r="801" ht="14.25" customHeight="1">
      <c r="B801" s="145">
        <v>45746.0</v>
      </c>
      <c r="C801" s="141" t="str">
        <f t="shared" si="1"/>
        <v>3-2025</v>
      </c>
      <c r="F801" s="54">
        <f>'220 Antiga Silvinho '!$E801-'220 Antiga Silvinho '!$D801</f>
        <v>0</v>
      </c>
      <c r="G801" s="54">
        <f>'220 Antiga Silvinho '!$F801-10</f>
        <v>-10</v>
      </c>
    </row>
    <row r="802" ht="14.25" customHeight="1">
      <c r="B802" s="140">
        <v>45747.0</v>
      </c>
      <c r="C802" s="141" t="str">
        <f t="shared" si="1"/>
        <v>3-2025</v>
      </c>
      <c r="D802" s="28">
        <v>9461.9</v>
      </c>
      <c r="E802" s="28">
        <v>9469.0</v>
      </c>
      <c r="F802" s="54">
        <f>'220 Antiga Silvinho '!$E802-'220 Antiga Silvinho '!$D802</f>
        <v>7.1</v>
      </c>
      <c r="G802" s="54">
        <f>'220 Antiga Silvinho '!$F802-10</f>
        <v>-2.9</v>
      </c>
    </row>
    <row r="803" ht="14.25" customHeight="1">
      <c r="B803" s="140">
        <v>45748.0</v>
      </c>
      <c r="C803" s="141" t="str">
        <f t="shared" si="1"/>
        <v>4-2025</v>
      </c>
      <c r="D803" s="28">
        <v>9469.0</v>
      </c>
      <c r="E803" s="28">
        <v>9480.0</v>
      </c>
      <c r="F803" s="54">
        <f>'220 Antiga Silvinho '!$E803-'220 Antiga Silvinho '!$D803</f>
        <v>11</v>
      </c>
      <c r="G803" s="54">
        <f>'220 Antiga Silvinho '!$F803-10</f>
        <v>1</v>
      </c>
      <c r="H803" s="28">
        <v>200.0</v>
      </c>
    </row>
    <row r="804" ht="14.25" customHeight="1">
      <c r="B804" s="140">
        <v>45749.0</v>
      </c>
      <c r="C804" s="141" t="str">
        <f t="shared" si="1"/>
        <v>4-2025</v>
      </c>
      <c r="D804" s="165">
        <f t="shared" ref="D804:D807" si="81">E803</f>
        <v>9480</v>
      </c>
      <c r="E804" s="28">
        <v>9491.0</v>
      </c>
      <c r="F804" s="54">
        <f>'220 Antiga Silvinho '!$E804-'220 Antiga Silvinho '!$D804</f>
        <v>11</v>
      </c>
      <c r="G804" s="54">
        <f>'220 Antiga Silvinho '!$F804-10</f>
        <v>1</v>
      </c>
      <c r="H804" s="28">
        <v>200.0</v>
      </c>
    </row>
    <row r="805" ht="14.25" customHeight="1">
      <c r="B805" s="140">
        <v>45750.0</v>
      </c>
      <c r="C805" s="141" t="str">
        <f t="shared" si="1"/>
        <v>4-2025</v>
      </c>
      <c r="D805" s="165">
        <f t="shared" si="81"/>
        <v>9491</v>
      </c>
      <c r="E805" s="28">
        <v>9497.0</v>
      </c>
      <c r="F805" s="54">
        <f>'220 Antiga Silvinho '!$E805-'220 Antiga Silvinho '!$D805</f>
        <v>6</v>
      </c>
      <c r="G805" s="54">
        <f>'220 Antiga Silvinho '!$F805-10</f>
        <v>-4</v>
      </c>
      <c r="K805" s="30"/>
    </row>
    <row r="806" ht="14.25" customHeight="1">
      <c r="B806" s="140">
        <v>45751.0</v>
      </c>
      <c r="C806" s="141" t="str">
        <f t="shared" si="1"/>
        <v>4-2025</v>
      </c>
      <c r="D806" s="165">
        <f t="shared" si="81"/>
        <v>9497</v>
      </c>
      <c r="E806" s="28">
        <v>9506.0</v>
      </c>
      <c r="F806" s="54">
        <f>'220 Antiga Silvinho '!$E806-'220 Antiga Silvinho '!$D806</f>
        <v>9</v>
      </c>
      <c r="G806" s="54">
        <f>'220 Antiga Silvinho '!$F806-10</f>
        <v>-1</v>
      </c>
    </row>
    <row r="807" ht="14.25" customHeight="1">
      <c r="B807" s="152">
        <v>45752.0</v>
      </c>
      <c r="C807" s="141" t="str">
        <f t="shared" si="1"/>
        <v>4-2025</v>
      </c>
      <c r="D807" s="165">
        <f t="shared" si="81"/>
        <v>9506</v>
      </c>
      <c r="E807" s="28">
        <v>9511.9</v>
      </c>
      <c r="F807" s="54">
        <f>'220 Antiga Silvinho '!$E807-'220 Antiga Silvinho '!$D807</f>
        <v>5.9</v>
      </c>
      <c r="G807" s="54">
        <f>'220 Antiga Silvinho '!$F807-10</f>
        <v>-4.1</v>
      </c>
      <c r="H807" s="28">
        <v>200.0</v>
      </c>
    </row>
    <row r="808" ht="14.25" customHeight="1">
      <c r="B808" s="152">
        <v>45753.0</v>
      </c>
      <c r="C808" s="141" t="str">
        <f t="shared" si="1"/>
        <v>4-2025</v>
      </c>
      <c r="F808" s="54">
        <f>'220 Antiga Silvinho '!$E808-'220 Antiga Silvinho '!$D808</f>
        <v>0</v>
      </c>
      <c r="G808" s="54">
        <f>'220 Antiga Silvinho '!$F808-10</f>
        <v>-10</v>
      </c>
    </row>
    <row r="809" ht="14.25" customHeight="1">
      <c r="B809" s="140">
        <v>45754.0</v>
      </c>
      <c r="C809" s="141" t="str">
        <f t="shared" si="1"/>
        <v>4-2025</v>
      </c>
      <c r="D809" s="28">
        <v>9511.9</v>
      </c>
      <c r="E809" s="28">
        <v>9520.5</v>
      </c>
      <c r="F809" s="54">
        <f>'220 Antiga Silvinho '!$E809-'220 Antiga Silvinho '!$D809</f>
        <v>8.6</v>
      </c>
      <c r="G809" s="54">
        <f>'220 Antiga Silvinho '!$F809-10</f>
        <v>-1.4</v>
      </c>
    </row>
    <row r="810" ht="14.25" customHeight="1">
      <c r="B810" s="140">
        <v>45755.0</v>
      </c>
      <c r="C810" s="141" t="str">
        <f t="shared" si="1"/>
        <v>4-2025</v>
      </c>
      <c r="D810" s="165">
        <f t="shared" ref="D810:D819" si="82">E809</f>
        <v>9520.5</v>
      </c>
      <c r="E810" s="28">
        <v>9531.2</v>
      </c>
      <c r="F810" s="54">
        <f>'220 Antiga Silvinho '!$E810-'220 Antiga Silvinho '!$D810</f>
        <v>10.7</v>
      </c>
      <c r="G810" s="54">
        <f>'220 Antiga Silvinho '!$F810-10</f>
        <v>0.7</v>
      </c>
    </row>
    <row r="811" ht="14.25" customHeight="1">
      <c r="B811" s="140">
        <v>45756.0</v>
      </c>
      <c r="C811" s="141" t="str">
        <f t="shared" si="1"/>
        <v>4-2025</v>
      </c>
      <c r="D811" s="165">
        <f t="shared" si="82"/>
        <v>9531.2</v>
      </c>
      <c r="E811" s="28">
        <v>9541.2</v>
      </c>
      <c r="F811" s="54">
        <f>'220 Antiga Silvinho '!$E811-'220 Antiga Silvinho '!$D811</f>
        <v>10</v>
      </c>
      <c r="G811" s="54">
        <f>'220 Antiga Silvinho '!$F811-10</f>
        <v>0</v>
      </c>
      <c r="H811" s="28">
        <v>298.0</v>
      </c>
    </row>
    <row r="812" ht="14.25" customHeight="1">
      <c r="B812" s="140">
        <v>45757.0</v>
      </c>
      <c r="C812" s="141" t="str">
        <f t="shared" si="1"/>
        <v>4-2025</v>
      </c>
      <c r="D812" s="165">
        <f t="shared" si="82"/>
        <v>9541.2</v>
      </c>
      <c r="E812" s="28">
        <v>9552.2</v>
      </c>
      <c r="F812" s="54">
        <f>'220 Antiga Silvinho '!$E812-'220 Antiga Silvinho '!$D812</f>
        <v>11</v>
      </c>
      <c r="G812" s="54">
        <f>'220 Antiga Silvinho '!$F812-10</f>
        <v>1</v>
      </c>
      <c r="H812" s="28">
        <v>229.0</v>
      </c>
    </row>
    <row r="813" ht="14.25" customHeight="1">
      <c r="B813" s="140">
        <v>45758.0</v>
      </c>
      <c r="C813" s="141" t="str">
        <f t="shared" si="1"/>
        <v>4-2025</v>
      </c>
      <c r="D813" s="165">
        <f t="shared" si="82"/>
        <v>9552.2</v>
      </c>
      <c r="E813" s="28">
        <v>9563.2</v>
      </c>
      <c r="F813" s="54">
        <f>'220 Antiga Silvinho '!$E813-'220 Antiga Silvinho '!$D813</f>
        <v>11</v>
      </c>
      <c r="G813" s="54">
        <f>'220 Antiga Silvinho '!$F813-10</f>
        <v>1</v>
      </c>
    </row>
    <row r="814" ht="14.25" customHeight="1">
      <c r="B814" s="152">
        <v>45759.0</v>
      </c>
      <c r="C814" s="141" t="str">
        <f t="shared" si="1"/>
        <v>4-2025</v>
      </c>
      <c r="D814" s="165">
        <f t="shared" si="82"/>
        <v>9563.2</v>
      </c>
      <c r="E814" s="28">
        <v>9570.7</v>
      </c>
      <c r="F814" s="54">
        <f>'220 Antiga Silvinho '!$E814-'220 Antiga Silvinho '!$D814</f>
        <v>7.5</v>
      </c>
      <c r="G814" s="54">
        <f>'220 Antiga Silvinho '!$F814-10</f>
        <v>-2.5</v>
      </c>
      <c r="H814" s="28">
        <v>300.0</v>
      </c>
    </row>
    <row r="815" ht="14.25" customHeight="1">
      <c r="B815" s="152">
        <v>45760.0</v>
      </c>
      <c r="C815" s="141" t="str">
        <f t="shared" si="1"/>
        <v>4-2025</v>
      </c>
      <c r="D815" s="165">
        <f t="shared" si="82"/>
        <v>9570.7</v>
      </c>
      <c r="E815" s="28">
        <v>9582.7</v>
      </c>
      <c r="F815" s="54">
        <f>'220 Antiga Silvinho '!$E815-'220 Antiga Silvinho '!$D815</f>
        <v>12</v>
      </c>
      <c r="G815" s="54">
        <f>'220 Antiga Silvinho '!$F815-10</f>
        <v>2</v>
      </c>
      <c r="H815" s="28">
        <v>278.0</v>
      </c>
    </row>
    <row r="816" ht="14.25" customHeight="1">
      <c r="B816" s="140">
        <v>45761.0</v>
      </c>
      <c r="C816" s="141" t="str">
        <f t="shared" si="1"/>
        <v>4-2025</v>
      </c>
      <c r="D816" s="165">
        <f t="shared" si="82"/>
        <v>9582.7</v>
      </c>
      <c r="E816" s="28">
        <v>9594.2</v>
      </c>
      <c r="F816" s="54">
        <f>'220 Antiga Silvinho '!$E816-'220 Antiga Silvinho '!$D816</f>
        <v>11.5</v>
      </c>
      <c r="G816" s="54">
        <f>'220 Antiga Silvinho '!$F816-10</f>
        <v>1.5</v>
      </c>
    </row>
    <row r="817" ht="14.25" customHeight="1">
      <c r="B817" s="140">
        <v>45762.0</v>
      </c>
      <c r="C817" s="141" t="str">
        <f t="shared" si="1"/>
        <v>4-2025</v>
      </c>
      <c r="D817" s="165">
        <f t="shared" si="82"/>
        <v>9594.2</v>
      </c>
      <c r="E817" s="28">
        <v>9601.0</v>
      </c>
      <c r="F817" s="54">
        <f>'220 Antiga Silvinho '!$E817-'220 Antiga Silvinho '!$D817</f>
        <v>6.8</v>
      </c>
      <c r="G817" s="54">
        <f>'220 Antiga Silvinho '!$F817-10</f>
        <v>-3.2</v>
      </c>
      <c r="H817" s="28">
        <v>230.0</v>
      </c>
    </row>
    <row r="818" ht="14.25" customHeight="1">
      <c r="B818" s="140">
        <v>45763.0</v>
      </c>
      <c r="C818" s="141" t="str">
        <f t="shared" si="1"/>
        <v>4-2025</v>
      </c>
      <c r="D818" s="165">
        <f t="shared" si="82"/>
        <v>9601</v>
      </c>
      <c r="E818" s="28">
        <v>9612.0</v>
      </c>
      <c r="F818" s="54">
        <f>'220 Antiga Silvinho '!$E818-'220 Antiga Silvinho '!$D818</f>
        <v>11</v>
      </c>
      <c r="G818" s="54">
        <f>'220 Antiga Silvinho '!$F818-10</f>
        <v>1</v>
      </c>
      <c r="H818" s="28">
        <v>224.0</v>
      </c>
    </row>
    <row r="819" ht="14.25" customHeight="1">
      <c r="B819" s="140">
        <v>45764.0</v>
      </c>
      <c r="C819" s="141" t="str">
        <f t="shared" si="1"/>
        <v>4-2025</v>
      </c>
      <c r="D819" s="165">
        <f t="shared" si="82"/>
        <v>9612</v>
      </c>
      <c r="E819" s="28">
        <v>9621.2</v>
      </c>
      <c r="F819" s="54">
        <f>'220 Antiga Silvinho '!$E819-'220 Antiga Silvinho '!$D819</f>
        <v>9.2</v>
      </c>
      <c r="G819" s="54">
        <f>'220 Antiga Silvinho '!$F819-10</f>
        <v>-0.8</v>
      </c>
      <c r="H819" s="28">
        <v>230.0</v>
      </c>
    </row>
    <row r="820" ht="14.25" customHeight="1">
      <c r="B820" s="153">
        <v>45765.0</v>
      </c>
      <c r="C820" s="141" t="str">
        <f t="shared" si="1"/>
        <v>4-2025</v>
      </c>
      <c r="F820" s="54">
        <f>'220 Antiga Silvinho '!$E820-'220 Antiga Silvinho '!$D820</f>
        <v>0</v>
      </c>
      <c r="G820" s="54">
        <f>'220 Antiga Silvinho '!$F820-10</f>
        <v>-10</v>
      </c>
    </row>
    <row r="821" ht="14.25" customHeight="1">
      <c r="B821" s="152">
        <v>45766.0</v>
      </c>
      <c r="C821" s="141" t="str">
        <f t="shared" si="1"/>
        <v>4-2025</v>
      </c>
      <c r="D821" s="165" t="str">
        <f t="shared" ref="D821:D822" si="83">E820</f>
        <v/>
      </c>
      <c r="F821" s="54">
        <f>'220 Antiga Silvinho '!$E821-'220 Antiga Silvinho '!$D821</f>
        <v>0</v>
      </c>
      <c r="G821" s="54">
        <f>'220 Antiga Silvinho '!$F821-10</f>
        <v>-10</v>
      </c>
    </row>
    <row r="822" ht="14.25" customHeight="1">
      <c r="B822" s="152">
        <v>45767.0</v>
      </c>
      <c r="C822" s="141" t="str">
        <f t="shared" si="1"/>
        <v>4-2025</v>
      </c>
      <c r="D822" s="165" t="str">
        <f t="shared" si="83"/>
        <v/>
      </c>
      <c r="F822" s="54">
        <f>'220 Antiga Silvinho '!$E822-'220 Antiga Silvinho '!$D822</f>
        <v>0</v>
      </c>
      <c r="G822" s="54">
        <f>'220 Antiga Silvinho '!$F822-10</f>
        <v>-10</v>
      </c>
    </row>
    <row r="823" ht="14.25" customHeight="1">
      <c r="B823" s="153">
        <v>45768.0</v>
      </c>
      <c r="C823" s="141" t="str">
        <f t="shared" si="1"/>
        <v>4-2025</v>
      </c>
      <c r="D823" s="28">
        <v>9621.2</v>
      </c>
      <c r="E823" s="28">
        <v>9628.0</v>
      </c>
      <c r="F823" s="54">
        <f>'220 Antiga Silvinho '!$E823-'220 Antiga Silvinho '!$D823</f>
        <v>6.8</v>
      </c>
      <c r="G823" s="54">
        <f>'220 Antiga Silvinho '!$F823-10</f>
        <v>-3.2</v>
      </c>
    </row>
    <row r="824" ht="14.25" customHeight="1">
      <c r="B824" s="140">
        <v>45769.0</v>
      </c>
      <c r="C824" s="141" t="str">
        <f t="shared" si="1"/>
        <v>4-2025</v>
      </c>
      <c r="D824" s="165">
        <f t="shared" ref="D824:D832" si="84">E823</f>
        <v>9628</v>
      </c>
      <c r="E824" s="28">
        <v>9638.0</v>
      </c>
      <c r="F824" s="54">
        <f>'220 Antiga Silvinho '!$E824-'220 Antiga Silvinho '!$D824</f>
        <v>10</v>
      </c>
      <c r="G824" s="54">
        <f>'220 Antiga Silvinho '!$F824-10</f>
        <v>0</v>
      </c>
      <c r="H824" s="28">
        <v>450.0</v>
      </c>
    </row>
    <row r="825" ht="14.25" customHeight="1">
      <c r="B825" s="140">
        <v>45770.0</v>
      </c>
      <c r="C825" s="141" t="str">
        <f t="shared" si="1"/>
        <v>4-2025</v>
      </c>
      <c r="D825" s="165">
        <f t="shared" si="84"/>
        <v>9638</v>
      </c>
      <c r="E825" s="28">
        <v>9649.0</v>
      </c>
      <c r="F825" s="54">
        <f>'220 Antiga Silvinho '!$E825-'220 Antiga Silvinho '!$D825</f>
        <v>11</v>
      </c>
      <c r="G825" s="54">
        <f>'220 Antiga Silvinho '!$F825-10</f>
        <v>1</v>
      </c>
      <c r="H825" s="28">
        <v>225.0</v>
      </c>
    </row>
    <row r="826" ht="14.25" customHeight="1">
      <c r="B826" s="140">
        <v>45771.0</v>
      </c>
      <c r="C826" s="141" t="str">
        <f t="shared" si="1"/>
        <v>4-2025</v>
      </c>
      <c r="D826" s="165">
        <f t="shared" si="84"/>
        <v>9649</v>
      </c>
      <c r="E826" s="28">
        <v>9660.0</v>
      </c>
      <c r="F826" s="54">
        <f>'220 Antiga Silvinho '!$E826-'220 Antiga Silvinho '!$D826</f>
        <v>11</v>
      </c>
      <c r="G826" s="54">
        <f>'220 Antiga Silvinho '!$F826-10</f>
        <v>1</v>
      </c>
      <c r="H826" s="28">
        <v>225.0</v>
      </c>
    </row>
    <row r="827" ht="14.25" customHeight="1">
      <c r="B827" s="140">
        <v>45772.0</v>
      </c>
      <c r="C827" s="141" t="str">
        <f t="shared" si="1"/>
        <v>4-2025</v>
      </c>
      <c r="D827" s="165">
        <f t="shared" si="84"/>
        <v>9660</v>
      </c>
      <c r="E827" s="28">
        <v>9671.0</v>
      </c>
      <c r="F827" s="54">
        <f>'220 Antiga Silvinho '!$E827-'220 Antiga Silvinho '!$D827</f>
        <v>11</v>
      </c>
      <c r="G827" s="54">
        <f>'220 Antiga Silvinho '!$F827-10</f>
        <v>1</v>
      </c>
      <c r="H827" s="28">
        <v>450.0</v>
      </c>
    </row>
    <row r="828" ht="14.25" customHeight="1">
      <c r="B828" s="152">
        <v>45773.0</v>
      </c>
      <c r="C828" s="141" t="str">
        <f t="shared" si="1"/>
        <v>4-2025</v>
      </c>
      <c r="D828" s="165">
        <f t="shared" si="84"/>
        <v>9671</v>
      </c>
      <c r="E828" s="28">
        <v>9682.0</v>
      </c>
      <c r="F828" s="54">
        <f>'220 Antiga Silvinho '!$E828-'220 Antiga Silvinho '!$D828</f>
        <v>11</v>
      </c>
      <c r="G828" s="54">
        <f>'220 Antiga Silvinho '!$F828-10</f>
        <v>1</v>
      </c>
    </row>
    <row r="829" ht="14.25" customHeight="1">
      <c r="B829" s="152">
        <v>45774.0</v>
      </c>
      <c r="C829" s="141" t="str">
        <f t="shared" si="1"/>
        <v>4-2025</v>
      </c>
      <c r="D829" s="165">
        <f t="shared" si="84"/>
        <v>9682</v>
      </c>
      <c r="E829" s="28">
        <v>9692.0</v>
      </c>
      <c r="F829" s="54">
        <f>'220 Antiga Silvinho '!$E829-'220 Antiga Silvinho '!$D829</f>
        <v>10</v>
      </c>
      <c r="G829" s="54">
        <f>'220 Antiga Silvinho '!$F829-10</f>
        <v>0</v>
      </c>
    </row>
    <row r="830" ht="14.25" customHeight="1">
      <c r="B830" s="140">
        <v>45775.0</v>
      </c>
      <c r="C830" s="141" t="str">
        <f t="shared" si="1"/>
        <v>4-2025</v>
      </c>
      <c r="D830" s="165">
        <f t="shared" si="84"/>
        <v>9692</v>
      </c>
      <c r="E830" s="28">
        <v>9702.0</v>
      </c>
      <c r="F830" s="54">
        <f>'220 Antiga Silvinho '!$E830-'220 Antiga Silvinho '!$D830</f>
        <v>10</v>
      </c>
      <c r="G830" s="54">
        <f>'220 Antiga Silvinho '!$F830-10</f>
        <v>0</v>
      </c>
      <c r="H830" s="28">
        <v>200.0</v>
      </c>
    </row>
    <row r="831" ht="14.25" customHeight="1">
      <c r="B831" s="140">
        <v>45776.0</v>
      </c>
      <c r="C831" s="141" t="str">
        <f t="shared" si="1"/>
        <v>4-2025</v>
      </c>
      <c r="D831" s="165">
        <f t="shared" si="84"/>
        <v>9702</v>
      </c>
      <c r="E831" s="28">
        <v>9713.0</v>
      </c>
      <c r="F831" s="54">
        <f>'220 Antiga Silvinho '!$E831-'220 Antiga Silvinho '!$D831</f>
        <v>11</v>
      </c>
      <c r="G831" s="54">
        <f>'220 Antiga Silvinho '!$F831-10</f>
        <v>1</v>
      </c>
      <c r="H831" s="28">
        <v>220.0</v>
      </c>
    </row>
    <row r="832" ht="14.25" customHeight="1">
      <c r="B832" s="140">
        <v>45777.0</v>
      </c>
      <c r="C832" s="141" t="str">
        <f t="shared" si="1"/>
        <v>4-2025</v>
      </c>
      <c r="D832" s="165">
        <f t="shared" si="84"/>
        <v>9713</v>
      </c>
      <c r="E832" s="28">
        <v>9724.0</v>
      </c>
      <c r="F832" s="54">
        <f>'220 Antiga Silvinho '!$E832-'220 Antiga Silvinho '!$D832</f>
        <v>11</v>
      </c>
      <c r="G832" s="54">
        <f>'220 Antiga Silvinho '!$F832-10</f>
        <v>1</v>
      </c>
      <c r="H832" s="28">
        <v>450.0</v>
      </c>
    </row>
    <row r="833" ht="14.25" customHeight="1">
      <c r="B833" s="154">
        <v>45778.0</v>
      </c>
      <c r="C833" s="141" t="str">
        <f t="shared" si="1"/>
        <v>5-2025</v>
      </c>
      <c r="D833" s="28">
        <v>9724.0</v>
      </c>
      <c r="E833" s="28">
        <v>9738.0</v>
      </c>
      <c r="F833" s="54">
        <f>'220 Antiga Silvinho '!$E833-'220 Antiga Silvinho '!$D833</f>
        <v>14</v>
      </c>
      <c r="G833" s="54">
        <f>'220 Antiga Silvinho '!$F833-10</f>
        <v>4</v>
      </c>
    </row>
    <row r="834" ht="14.25" customHeight="1">
      <c r="B834" s="140">
        <v>45779.0</v>
      </c>
      <c r="C834" s="141" t="str">
        <f t="shared" si="1"/>
        <v>5-2025</v>
      </c>
      <c r="D834" s="165">
        <f>E833</f>
        <v>9738</v>
      </c>
      <c r="E834" s="28">
        <v>9747.8</v>
      </c>
      <c r="F834" s="54">
        <f>'220 Antiga Silvinho '!$E834-'220 Antiga Silvinho '!$D834</f>
        <v>9.8</v>
      </c>
      <c r="G834" s="54">
        <f>'220 Antiga Silvinho '!$F834-10</f>
        <v>-0.2</v>
      </c>
    </row>
    <row r="835" ht="14.25" customHeight="1">
      <c r="B835" s="145">
        <v>45780.0</v>
      </c>
      <c r="C835" s="141" t="str">
        <f t="shared" si="1"/>
        <v>5-2025</v>
      </c>
      <c r="F835" s="54">
        <f>'220 Antiga Silvinho '!$E835-'220 Antiga Silvinho '!$D835</f>
        <v>0</v>
      </c>
      <c r="G835" s="54">
        <f>'220 Antiga Silvinho '!$F835-10</f>
        <v>-10</v>
      </c>
    </row>
    <row r="836" ht="14.25" customHeight="1">
      <c r="B836" s="145">
        <v>45781.0</v>
      </c>
      <c r="C836" s="141" t="str">
        <f t="shared" si="1"/>
        <v>5-2025</v>
      </c>
      <c r="D836" s="165" t="str">
        <f>E835</f>
        <v/>
      </c>
      <c r="F836" s="54">
        <f>'220 Antiga Silvinho '!$E836-'220 Antiga Silvinho '!$D836</f>
        <v>0</v>
      </c>
      <c r="G836" s="54">
        <f>'220 Antiga Silvinho '!$F836-10</f>
        <v>-10</v>
      </c>
    </row>
    <row r="837" ht="14.25" customHeight="1">
      <c r="B837" s="140">
        <v>45782.0</v>
      </c>
      <c r="C837" s="141" t="str">
        <f t="shared" si="1"/>
        <v>5-2025</v>
      </c>
      <c r="D837" s="28">
        <v>9747.8</v>
      </c>
      <c r="E837" s="28">
        <v>9753.0</v>
      </c>
      <c r="F837" s="54">
        <f>'220 Antiga Silvinho '!$E837-'220 Antiga Silvinho '!$D837</f>
        <v>5.2</v>
      </c>
      <c r="G837" s="54">
        <f>'220 Antiga Silvinho '!$F837-10</f>
        <v>-4.8</v>
      </c>
    </row>
    <row r="838" ht="14.25" customHeight="1">
      <c r="B838" s="140">
        <v>45783.0</v>
      </c>
      <c r="C838" s="141" t="str">
        <f t="shared" si="1"/>
        <v>5-2025</v>
      </c>
      <c r="F838" s="54">
        <f>'220 Antiga Silvinho '!$E838-'220 Antiga Silvinho '!$D838</f>
        <v>0</v>
      </c>
      <c r="G838" s="54">
        <f>'220 Antiga Silvinho '!$F838-10</f>
        <v>-10</v>
      </c>
    </row>
    <row r="839" ht="14.25" customHeight="1">
      <c r="B839" s="140">
        <v>45784.0</v>
      </c>
      <c r="C839" s="141" t="str">
        <f t="shared" si="1"/>
        <v>5-2025</v>
      </c>
      <c r="D839" s="165" t="str">
        <f t="shared" ref="D839:D843" si="85">E838</f>
        <v/>
      </c>
      <c r="F839" s="54">
        <f>'220 Antiga Silvinho '!$E839-'220 Antiga Silvinho '!$D839</f>
        <v>0</v>
      </c>
      <c r="G839" s="54">
        <f>'220 Antiga Silvinho '!$F839-10</f>
        <v>-10</v>
      </c>
    </row>
    <row r="840" ht="14.25" customHeight="1">
      <c r="B840" s="140">
        <v>45785.0</v>
      </c>
      <c r="C840" s="141" t="str">
        <f t="shared" si="1"/>
        <v>5-2025</v>
      </c>
      <c r="D840" s="165" t="str">
        <f t="shared" si="85"/>
        <v/>
      </c>
      <c r="F840" s="54">
        <f>'220 Antiga Silvinho '!$E840-'220 Antiga Silvinho '!$D840</f>
        <v>0</v>
      </c>
      <c r="G840" s="54">
        <f>'220 Antiga Silvinho '!$F840-10</f>
        <v>-10</v>
      </c>
    </row>
    <row r="841" ht="14.25" customHeight="1">
      <c r="B841" s="140">
        <v>45786.0</v>
      </c>
      <c r="C841" s="141" t="str">
        <f t="shared" si="1"/>
        <v>5-2025</v>
      </c>
      <c r="D841" s="165" t="str">
        <f t="shared" si="85"/>
        <v/>
      </c>
      <c r="F841" s="54">
        <f>'220 Antiga Silvinho '!$E841-'220 Antiga Silvinho '!$D841</f>
        <v>0</v>
      </c>
      <c r="G841" s="54">
        <f>'220 Antiga Silvinho '!$F841-10</f>
        <v>-10</v>
      </c>
    </row>
    <row r="842" ht="14.25" customHeight="1">
      <c r="B842" s="145">
        <v>45787.0</v>
      </c>
      <c r="C842" s="141" t="str">
        <f t="shared" si="1"/>
        <v>5-2025</v>
      </c>
      <c r="D842" s="165" t="str">
        <f t="shared" si="85"/>
        <v/>
      </c>
      <c r="F842" s="54">
        <f>'220 Antiga Silvinho '!$E842-'220 Antiga Silvinho '!$D842</f>
        <v>0</v>
      </c>
      <c r="G842" s="54">
        <f>'220 Antiga Silvinho '!$F842-10</f>
        <v>-10</v>
      </c>
    </row>
    <row r="843" ht="14.25" customHeight="1">
      <c r="B843" s="145">
        <v>45788.0</v>
      </c>
      <c r="C843" s="141" t="str">
        <f t="shared" si="1"/>
        <v>5-2025</v>
      </c>
      <c r="D843" s="165" t="str">
        <f t="shared" si="85"/>
        <v/>
      </c>
      <c r="F843" s="54">
        <f>'220 Antiga Silvinho '!$E843-'220 Antiga Silvinho '!$D843</f>
        <v>0</v>
      </c>
      <c r="G843" s="54">
        <f>'220 Antiga Silvinho '!$F843-10</f>
        <v>-10</v>
      </c>
    </row>
    <row r="844" ht="14.25" customHeight="1">
      <c r="B844" s="140">
        <v>45789.0</v>
      </c>
      <c r="C844" s="141" t="str">
        <f t="shared" si="1"/>
        <v>5-2025</v>
      </c>
      <c r="D844" s="28">
        <v>9761.6</v>
      </c>
      <c r="E844" s="28">
        <v>9765.6</v>
      </c>
      <c r="F844" s="54">
        <f>'220 Antiga Silvinho '!$E844-'220 Antiga Silvinho '!$D844</f>
        <v>4</v>
      </c>
      <c r="G844" s="54">
        <f>'220 Antiga Silvinho '!$F844-10</f>
        <v>-6</v>
      </c>
    </row>
    <row r="845" ht="14.25" customHeight="1">
      <c r="B845" s="140">
        <v>45790.0</v>
      </c>
      <c r="C845" s="141" t="str">
        <f t="shared" si="1"/>
        <v>5-2025</v>
      </c>
      <c r="D845" s="165">
        <f t="shared" ref="D845:D852" si="86">E844</f>
        <v>9765.6</v>
      </c>
      <c r="E845" s="28">
        <v>9775.6</v>
      </c>
      <c r="F845" s="54">
        <f>'220 Antiga Silvinho '!$E845-'220 Antiga Silvinho '!$D845</f>
        <v>10</v>
      </c>
      <c r="G845" s="54">
        <f>'220 Antiga Silvinho '!$F845-10</f>
        <v>0</v>
      </c>
    </row>
    <row r="846" ht="14.25" customHeight="1">
      <c r="B846" s="140">
        <v>45791.0</v>
      </c>
      <c r="C846" s="141" t="str">
        <f t="shared" si="1"/>
        <v>5-2025</v>
      </c>
      <c r="D846" s="165">
        <f t="shared" si="86"/>
        <v>9775.6</v>
      </c>
      <c r="E846" s="28">
        <v>9786.6</v>
      </c>
      <c r="F846" s="54">
        <f>'220 Antiga Silvinho '!$E846-'220 Antiga Silvinho '!$D846</f>
        <v>11</v>
      </c>
      <c r="G846" s="54">
        <f>'220 Antiga Silvinho '!$F846-10</f>
        <v>1</v>
      </c>
    </row>
    <row r="847" ht="14.25" customHeight="1">
      <c r="B847" s="140">
        <v>45792.0</v>
      </c>
      <c r="C847" s="141" t="str">
        <f t="shared" si="1"/>
        <v>5-2025</v>
      </c>
      <c r="D847" s="165">
        <f t="shared" si="86"/>
        <v>9786.6</v>
      </c>
      <c r="E847" s="28">
        <v>9796.6</v>
      </c>
      <c r="F847" s="54">
        <f>'220 Antiga Silvinho '!$E847-'220 Antiga Silvinho '!$D847</f>
        <v>10</v>
      </c>
      <c r="G847" s="54">
        <f>'220 Antiga Silvinho '!$F847-10</f>
        <v>0</v>
      </c>
    </row>
    <row r="848" ht="14.25" customHeight="1">
      <c r="B848" s="140">
        <v>45793.0</v>
      </c>
      <c r="C848" s="141" t="str">
        <f t="shared" si="1"/>
        <v>5-2025</v>
      </c>
      <c r="D848" s="165">
        <f t="shared" si="86"/>
        <v>9796.6</v>
      </c>
      <c r="E848" s="28">
        <v>9807.2</v>
      </c>
      <c r="F848" s="54">
        <f>'220 Antiga Silvinho '!$E848-'220 Antiga Silvinho '!$D848</f>
        <v>10.6</v>
      </c>
      <c r="G848" s="54">
        <f>'220 Antiga Silvinho '!$F848-10</f>
        <v>0.6</v>
      </c>
    </row>
    <row r="849" ht="14.25" customHeight="1">
      <c r="B849" s="145">
        <v>45794.0</v>
      </c>
      <c r="C849" s="141" t="str">
        <f t="shared" si="1"/>
        <v>5-2025</v>
      </c>
      <c r="D849" s="165">
        <f t="shared" si="86"/>
        <v>9807.2</v>
      </c>
      <c r="E849" s="28">
        <v>9813.0</v>
      </c>
      <c r="F849" s="54">
        <f>'220 Antiga Silvinho '!$E849-'220 Antiga Silvinho '!$D849</f>
        <v>5.8</v>
      </c>
      <c r="G849" s="54">
        <f>'220 Antiga Silvinho '!$F849-10</f>
        <v>-4.2</v>
      </c>
    </row>
    <row r="850" ht="14.25" customHeight="1">
      <c r="B850" s="145">
        <v>45795.0</v>
      </c>
      <c r="C850" s="141" t="str">
        <f t="shared" si="1"/>
        <v>5-2025</v>
      </c>
      <c r="D850" s="165">
        <f t="shared" si="86"/>
        <v>9813</v>
      </c>
      <c r="E850" s="28">
        <v>9824.1</v>
      </c>
      <c r="F850" s="54">
        <f>'220 Antiga Silvinho '!$E850-'220 Antiga Silvinho '!$D850</f>
        <v>11.1</v>
      </c>
      <c r="G850" s="54">
        <f>'220 Antiga Silvinho '!$F850-10</f>
        <v>1.1</v>
      </c>
    </row>
    <row r="851" ht="14.25" customHeight="1">
      <c r="B851" s="140">
        <v>45796.0</v>
      </c>
      <c r="C851" s="141" t="str">
        <f t="shared" si="1"/>
        <v>5-2025</v>
      </c>
      <c r="D851" s="165">
        <f t="shared" si="86"/>
        <v>9824.1</v>
      </c>
      <c r="E851" s="28">
        <v>9835.1</v>
      </c>
      <c r="F851" s="54">
        <f>'220 Antiga Silvinho '!$E851-'220 Antiga Silvinho '!$D851</f>
        <v>11</v>
      </c>
      <c r="G851" s="54">
        <f>'220 Antiga Silvinho '!$F851-10</f>
        <v>1</v>
      </c>
    </row>
    <row r="852" ht="14.25" customHeight="1">
      <c r="B852" s="140">
        <v>45797.0</v>
      </c>
      <c r="C852" s="141" t="str">
        <f t="shared" si="1"/>
        <v>5-2025</v>
      </c>
      <c r="D852" s="165">
        <f t="shared" si="86"/>
        <v>9835.1</v>
      </c>
      <c r="E852" s="28">
        <v>9841.1</v>
      </c>
      <c r="F852" s="54">
        <f>'220 Antiga Silvinho '!$E852-'220 Antiga Silvinho '!$D852</f>
        <v>6</v>
      </c>
      <c r="G852" s="54">
        <f>'220 Antiga Silvinho '!$F852-10</f>
        <v>-4</v>
      </c>
    </row>
    <row r="853" ht="14.25" customHeight="1">
      <c r="B853" s="140">
        <v>45798.0</v>
      </c>
      <c r="C853" s="141" t="str">
        <f t="shared" si="1"/>
        <v>5-2025</v>
      </c>
      <c r="F853" s="54">
        <f>'220 Antiga Silvinho '!$E853-'220 Antiga Silvinho '!$D853</f>
        <v>0</v>
      </c>
      <c r="G853" s="54">
        <f>'220 Antiga Silvinho '!$F853-10</f>
        <v>-10</v>
      </c>
    </row>
    <row r="854" ht="14.25" customHeight="1">
      <c r="B854" s="140">
        <v>45799.0</v>
      </c>
      <c r="C854" s="141" t="str">
        <f t="shared" si="1"/>
        <v>5-2025</v>
      </c>
      <c r="D854" s="165" t="str">
        <f t="shared" ref="D854:D859" si="87">E853</f>
        <v/>
      </c>
      <c r="F854" s="54">
        <f>'220 Antiga Silvinho '!$E854-'220 Antiga Silvinho '!$D854</f>
        <v>0</v>
      </c>
      <c r="G854" s="54">
        <f>'220 Antiga Silvinho '!$F854-10</f>
        <v>-10</v>
      </c>
    </row>
    <row r="855" ht="14.25" customHeight="1">
      <c r="B855" s="140">
        <v>45800.0</v>
      </c>
      <c r="C855" s="141" t="str">
        <f t="shared" si="1"/>
        <v>5-2025</v>
      </c>
      <c r="D855" s="165" t="str">
        <f t="shared" si="87"/>
        <v/>
      </c>
      <c r="F855" s="54">
        <f>'220 Antiga Silvinho '!$E855-'220 Antiga Silvinho '!$D855</f>
        <v>0</v>
      </c>
      <c r="G855" s="54">
        <f>'220 Antiga Silvinho '!$F855-10</f>
        <v>-10</v>
      </c>
    </row>
    <row r="856" ht="14.25" customHeight="1">
      <c r="B856" s="145">
        <v>45801.0</v>
      </c>
      <c r="C856" s="141" t="str">
        <f t="shared" si="1"/>
        <v>5-2025</v>
      </c>
      <c r="D856" s="165" t="str">
        <f t="shared" si="87"/>
        <v/>
      </c>
      <c r="F856" s="54">
        <f>'220 Antiga Silvinho '!$E856-'220 Antiga Silvinho '!$D856</f>
        <v>0</v>
      </c>
      <c r="G856" s="54">
        <f>'220 Antiga Silvinho '!$F856-10</f>
        <v>-10</v>
      </c>
    </row>
    <row r="857" ht="14.25" customHeight="1">
      <c r="B857" s="145">
        <v>45802.0</v>
      </c>
      <c r="C857" s="141" t="str">
        <f t="shared" si="1"/>
        <v>5-2025</v>
      </c>
      <c r="D857" s="165" t="str">
        <f t="shared" si="87"/>
        <v/>
      </c>
      <c r="F857" s="54">
        <f>'220 Antiga Silvinho '!$E857-'220 Antiga Silvinho '!$D857</f>
        <v>0</v>
      </c>
      <c r="G857" s="54">
        <f>'220 Antiga Silvinho '!$F857-10</f>
        <v>-10</v>
      </c>
    </row>
    <row r="858" ht="14.25" customHeight="1">
      <c r="B858" s="140">
        <v>45803.0</v>
      </c>
      <c r="C858" s="141" t="str">
        <f t="shared" si="1"/>
        <v>5-2025</v>
      </c>
      <c r="D858" s="165" t="str">
        <f t="shared" si="87"/>
        <v/>
      </c>
      <c r="F858" s="54">
        <f>'220 Antiga Silvinho '!$E858-'220 Antiga Silvinho '!$D858</f>
        <v>0</v>
      </c>
      <c r="G858" s="54">
        <f>'220 Antiga Silvinho '!$F858-10</f>
        <v>-10</v>
      </c>
    </row>
    <row r="859" ht="14.25" customHeight="1">
      <c r="B859" s="140">
        <v>45804.0</v>
      </c>
      <c r="C859" s="141" t="str">
        <f t="shared" si="1"/>
        <v>5-2025</v>
      </c>
      <c r="D859" s="165" t="str">
        <f t="shared" si="87"/>
        <v/>
      </c>
      <c r="F859" s="54">
        <f>'220 Antiga Silvinho '!$E859-'220 Antiga Silvinho '!$D859</f>
        <v>0</v>
      </c>
      <c r="G859" s="54">
        <f>'220 Antiga Silvinho '!$F859-10</f>
        <v>-10</v>
      </c>
    </row>
    <row r="860" ht="14.25" customHeight="1">
      <c r="B860" s="140">
        <v>45805.0</v>
      </c>
      <c r="C860" s="141" t="str">
        <f t="shared" si="1"/>
        <v>5-2025</v>
      </c>
      <c r="D860" s="28">
        <v>9841.1</v>
      </c>
      <c r="E860" s="28">
        <v>9851.1</v>
      </c>
      <c r="F860" s="54">
        <f>'220 Antiga Silvinho '!$E860-'220 Antiga Silvinho '!$D860</f>
        <v>10</v>
      </c>
      <c r="G860" s="54">
        <f>'220 Antiga Silvinho '!$F860-10</f>
        <v>0</v>
      </c>
    </row>
    <row r="861" ht="14.25" customHeight="1">
      <c r="B861" s="140">
        <v>45806.0</v>
      </c>
      <c r="C861" s="141" t="str">
        <f t="shared" si="1"/>
        <v>5-2025</v>
      </c>
      <c r="D861" s="165">
        <f t="shared" ref="D861:D863" si="88">E860</f>
        <v>9851.1</v>
      </c>
      <c r="E861" s="28">
        <v>9858.1</v>
      </c>
      <c r="F861" s="54">
        <f>'220 Antiga Silvinho '!$E861-'220 Antiga Silvinho '!$D861</f>
        <v>7</v>
      </c>
      <c r="G861" s="54">
        <f>'220 Antiga Silvinho '!$F861-10</f>
        <v>-3</v>
      </c>
    </row>
    <row r="862" ht="14.25" customHeight="1">
      <c r="B862" s="140">
        <v>45807.0</v>
      </c>
      <c r="C862" s="141" t="str">
        <f t="shared" si="1"/>
        <v>5-2025</v>
      </c>
      <c r="D862" s="165">
        <f t="shared" si="88"/>
        <v>9858.1</v>
      </c>
      <c r="E862" s="28">
        <v>9863.1</v>
      </c>
      <c r="F862" s="54">
        <f>'220 Antiga Silvinho '!$E862-'220 Antiga Silvinho '!$D862</f>
        <v>5</v>
      </c>
      <c r="G862" s="54">
        <f>'220 Antiga Silvinho '!$F862-10</f>
        <v>-5</v>
      </c>
    </row>
    <row r="863" ht="14.25" customHeight="1">
      <c r="B863" s="145">
        <v>45808.0</v>
      </c>
      <c r="C863" s="141" t="str">
        <f t="shared" si="1"/>
        <v>5-2025</v>
      </c>
      <c r="D863" s="165">
        <f t="shared" si="88"/>
        <v>9863.1</v>
      </c>
      <c r="E863" s="28">
        <v>9872.0</v>
      </c>
      <c r="F863" s="54">
        <f>'220 Antiga Silvinho '!$E863-'220 Antiga Silvinho '!$D863</f>
        <v>8.9</v>
      </c>
      <c r="G863" s="54">
        <f>'220 Antiga Silvinho '!$F863-10</f>
        <v>-1.1</v>
      </c>
      <c r="H863" s="28">
        <v>2200.0</v>
      </c>
    </row>
    <row r="864" ht="14.25" customHeight="1">
      <c r="B864" s="145">
        <v>45809.0</v>
      </c>
      <c r="C864" s="141" t="str">
        <f t="shared" si="1"/>
        <v>6-2025</v>
      </c>
      <c r="D864" s="28">
        <v>9872.0</v>
      </c>
      <c r="E864" s="28">
        <v>9884.0</v>
      </c>
      <c r="F864" s="54">
        <f>'220 Antiga Silvinho '!$E864-'220 Antiga Silvinho '!$D864</f>
        <v>12</v>
      </c>
      <c r="G864" s="54">
        <f>'220 Antiga Silvinho '!$F864-10</f>
        <v>2</v>
      </c>
    </row>
    <row r="865" ht="14.25" customHeight="1">
      <c r="B865" s="140">
        <v>45810.0</v>
      </c>
      <c r="C865" s="141" t="str">
        <f t="shared" si="1"/>
        <v>6-2025</v>
      </c>
      <c r="D865" s="165">
        <f>E864</f>
        <v>9884</v>
      </c>
      <c r="E865" s="28">
        <v>9892.0</v>
      </c>
      <c r="F865" s="54">
        <f>'220 Antiga Silvinho '!$E865-'220 Antiga Silvinho '!$D865</f>
        <v>8</v>
      </c>
      <c r="G865" s="54">
        <f>'220 Antiga Silvinho '!$F865-10</f>
        <v>-2</v>
      </c>
    </row>
    <row r="866" ht="14.25" customHeight="1">
      <c r="B866" s="140">
        <v>45811.0</v>
      </c>
      <c r="C866" s="141" t="str">
        <f t="shared" si="1"/>
        <v>6-2025</v>
      </c>
      <c r="D866" s="28">
        <v>9892.0</v>
      </c>
      <c r="E866" s="28">
        <v>9903.0</v>
      </c>
      <c r="F866" s="54">
        <f>'220 Antiga Silvinho '!$E866-'220 Antiga Silvinho '!$D866</f>
        <v>11</v>
      </c>
      <c r="G866" s="54">
        <f>'220 Antiga Silvinho '!$F866-10</f>
        <v>1</v>
      </c>
    </row>
    <row r="867" ht="14.25" customHeight="1">
      <c r="B867" s="140">
        <v>45812.0</v>
      </c>
      <c r="C867" s="141" t="str">
        <f t="shared" si="1"/>
        <v>6-2025</v>
      </c>
      <c r="D867" s="165">
        <f t="shared" ref="D867:D868" si="89">E866</f>
        <v>9903</v>
      </c>
      <c r="E867" s="28">
        <v>9924.0</v>
      </c>
      <c r="F867" s="54">
        <f>'220 Antiga Silvinho '!$E867-'220 Antiga Silvinho '!$D867</f>
        <v>21</v>
      </c>
      <c r="G867" s="54">
        <f>'220 Antiga Silvinho '!$F867-10</f>
        <v>11</v>
      </c>
      <c r="H867" s="28">
        <v>470.0</v>
      </c>
    </row>
    <row r="868" ht="14.25" customHeight="1">
      <c r="B868" s="140">
        <v>45813.0</v>
      </c>
      <c r="C868" s="141" t="str">
        <f t="shared" si="1"/>
        <v>6-2025</v>
      </c>
      <c r="D868" s="165">
        <f t="shared" si="89"/>
        <v>9924</v>
      </c>
      <c r="E868" s="28">
        <v>9932.3</v>
      </c>
      <c r="F868" s="54">
        <f>'220 Antiga Silvinho '!$E868-'220 Antiga Silvinho '!$D868</f>
        <v>8.3</v>
      </c>
      <c r="G868" s="54">
        <f>'220 Antiga Silvinho '!$F868-10</f>
        <v>-1.7</v>
      </c>
    </row>
    <row r="869" ht="14.25" customHeight="1">
      <c r="B869" s="140">
        <v>45814.0</v>
      </c>
      <c r="C869" s="141" t="str">
        <f t="shared" si="1"/>
        <v>6-2025</v>
      </c>
      <c r="F869" s="54">
        <f>'220 Antiga Silvinho '!$E869-'220 Antiga Silvinho '!$D869</f>
        <v>0</v>
      </c>
      <c r="G869" s="54">
        <f>'220 Antiga Silvinho '!$F869-10</f>
        <v>-10</v>
      </c>
      <c r="H869" s="28">
        <v>470.0</v>
      </c>
    </row>
    <row r="870" ht="14.25" customHeight="1">
      <c r="B870" s="145">
        <v>45815.0</v>
      </c>
      <c r="C870" s="141" t="str">
        <f t="shared" si="1"/>
        <v>6-2025</v>
      </c>
      <c r="D870" s="165" t="str">
        <f t="shared" ref="D870:D871" si="90">E869</f>
        <v/>
      </c>
      <c r="F870" s="54">
        <f>'220 Antiga Silvinho '!$E870-'220 Antiga Silvinho '!$D870</f>
        <v>0</v>
      </c>
      <c r="G870" s="54">
        <f>'220 Antiga Silvinho '!$F870-10</f>
        <v>-10</v>
      </c>
    </row>
    <row r="871" ht="14.25" customHeight="1">
      <c r="B871" s="145">
        <v>45816.0</v>
      </c>
      <c r="C871" s="141" t="str">
        <f t="shared" si="1"/>
        <v>6-2025</v>
      </c>
      <c r="D871" s="165" t="str">
        <f t="shared" si="90"/>
        <v/>
      </c>
      <c r="F871" s="54">
        <f>'220 Antiga Silvinho '!$E871-'220 Antiga Silvinho '!$D871</f>
        <v>0</v>
      </c>
      <c r="G871" s="54">
        <f>'220 Antiga Silvinho '!$F871-10</f>
        <v>-10</v>
      </c>
    </row>
    <row r="872" ht="14.25" customHeight="1">
      <c r="B872" s="140">
        <v>45817.0</v>
      </c>
      <c r="C872" s="141" t="str">
        <f t="shared" si="1"/>
        <v>6-2025</v>
      </c>
      <c r="D872" s="28">
        <v>9932.3</v>
      </c>
      <c r="E872" s="28">
        <v>9940.0</v>
      </c>
      <c r="F872" s="54">
        <f>'220 Antiga Silvinho '!$E872-'220 Antiga Silvinho '!$D872</f>
        <v>7.7</v>
      </c>
      <c r="G872" s="54">
        <f>'220 Antiga Silvinho '!$F872-10</f>
        <v>-2.3</v>
      </c>
    </row>
    <row r="873" ht="14.25" customHeight="1">
      <c r="B873" s="140">
        <v>45818.0</v>
      </c>
      <c r="C873" s="141" t="str">
        <f t="shared" si="1"/>
        <v>6-2025</v>
      </c>
      <c r="D873" s="165">
        <f t="shared" ref="D873:D881" si="91">E872</f>
        <v>9940</v>
      </c>
      <c r="E873" s="28">
        <v>9949.0</v>
      </c>
      <c r="F873" s="54">
        <f>'220 Antiga Silvinho '!$E873-'220 Antiga Silvinho '!$D873</f>
        <v>9</v>
      </c>
      <c r="G873" s="54">
        <f>'220 Antiga Silvinho '!$F873-10</f>
        <v>-1</v>
      </c>
      <c r="H873" s="28">
        <v>450.0</v>
      </c>
    </row>
    <row r="874" ht="14.25" customHeight="1">
      <c r="B874" s="140">
        <v>45819.0</v>
      </c>
      <c r="C874" s="141" t="str">
        <f t="shared" si="1"/>
        <v>6-2025</v>
      </c>
      <c r="D874" s="165">
        <f t="shared" si="91"/>
        <v>9949</v>
      </c>
      <c r="E874" s="28">
        <v>9959.0</v>
      </c>
      <c r="F874" s="54">
        <f>'220 Antiga Silvinho '!$E874-'220 Antiga Silvinho '!$D874</f>
        <v>10</v>
      </c>
      <c r="G874" s="54">
        <f>'220 Antiga Silvinho '!$F874-10</f>
        <v>0</v>
      </c>
    </row>
    <row r="875" ht="14.25" customHeight="1">
      <c r="B875" s="140">
        <v>45820.0</v>
      </c>
      <c r="C875" s="141" t="str">
        <f t="shared" si="1"/>
        <v>6-2025</v>
      </c>
      <c r="D875" s="165">
        <f t="shared" si="91"/>
        <v>9959</v>
      </c>
      <c r="E875" s="28">
        <v>9970.0</v>
      </c>
      <c r="F875" s="54">
        <f>'220 Antiga Silvinho '!$E875-'220 Antiga Silvinho '!$D875</f>
        <v>11</v>
      </c>
      <c r="G875" s="54">
        <f>'220 Antiga Silvinho '!$F875-10</f>
        <v>1</v>
      </c>
    </row>
    <row r="876" ht="14.25" customHeight="1">
      <c r="B876" s="140">
        <v>45821.0</v>
      </c>
      <c r="C876" s="141" t="str">
        <f t="shared" si="1"/>
        <v>6-2025</v>
      </c>
      <c r="D876" s="165">
        <f t="shared" si="91"/>
        <v>9970</v>
      </c>
      <c r="E876" s="28">
        <v>9980.0</v>
      </c>
      <c r="F876" s="54">
        <f>'220 Antiga Silvinho '!$E876-'220 Antiga Silvinho '!$D876</f>
        <v>10</v>
      </c>
      <c r="G876" s="54">
        <f>'220 Antiga Silvinho '!$F876-10</f>
        <v>0</v>
      </c>
      <c r="H876" s="28">
        <v>451.0</v>
      </c>
    </row>
    <row r="877" ht="14.25" customHeight="1">
      <c r="B877" s="145">
        <v>45822.0</v>
      </c>
      <c r="C877" s="141" t="str">
        <f t="shared" si="1"/>
        <v>6-2025</v>
      </c>
      <c r="D877" s="165">
        <f t="shared" si="91"/>
        <v>9980</v>
      </c>
      <c r="E877" s="28">
        <v>9991.0</v>
      </c>
      <c r="F877" s="54">
        <f>'220 Antiga Silvinho '!$E877-'220 Antiga Silvinho '!$D877</f>
        <v>11</v>
      </c>
      <c r="G877" s="54">
        <f>'220 Antiga Silvinho '!$F877-10</f>
        <v>1</v>
      </c>
      <c r="H877" s="28">
        <v>450.0</v>
      </c>
    </row>
    <row r="878" ht="14.25" customHeight="1">
      <c r="B878" s="145">
        <v>45823.0</v>
      </c>
      <c r="C878" s="141" t="str">
        <f t="shared" si="1"/>
        <v>6-2025</v>
      </c>
      <c r="D878" s="165">
        <f t="shared" si="91"/>
        <v>9991</v>
      </c>
      <c r="E878" s="28">
        <v>10002.0</v>
      </c>
      <c r="F878" s="54">
        <f>'220 Antiga Silvinho '!$E878-'220 Antiga Silvinho '!$D878</f>
        <v>11</v>
      </c>
      <c r="G878" s="54">
        <f>'220 Antiga Silvinho '!$F878-10</f>
        <v>1</v>
      </c>
    </row>
    <row r="879" ht="14.25" customHeight="1">
      <c r="B879" s="140">
        <v>45824.0</v>
      </c>
      <c r="C879" s="141" t="str">
        <f t="shared" si="1"/>
        <v>6-2025</v>
      </c>
      <c r="D879" s="165">
        <f t="shared" si="91"/>
        <v>10002</v>
      </c>
      <c r="E879" s="28">
        <v>10012.0</v>
      </c>
      <c r="F879" s="54">
        <f>'220 Antiga Silvinho '!$E879-'220 Antiga Silvinho '!$D879</f>
        <v>10</v>
      </c>
      <c r="G879" s="54">
        <f>'220 Antiga Silvinho '!$F879-10</f>
        <v>0</v>
      </c>
    </row>
    <row r="880" ht="14.25" customHeight="1">
      <c r="B880" s="140">
        <v>45825.0</v>
      </c>
      <c r="C880" s="141" t="str">
        <f t="shared" si="1"/>
        <v>6-2025</v>
      </c>
      <c r="D880" s="165">
        <f t="shared" si="91"/>
        <v>10012</v>
      </c>
      <c r="E880" s="28">
        <v>10022.1</v>
      </c>
      <c r="F880" s="54">
        <f>'220 Antiga Silvinho '!$E880-'220 Antiga Silvinho '!$D880</f>
        <v>10.1</v>
      </c>
      <c r="G880" s="54">
        <f>'220 Antiga Silvinho '!$F880-10</f>
        <v>0.1</v>
      </c>
      <c r="H880" s="28">
        <v>460.0</v>
      </c>
    </row>
    <row r="881" ht="14.25" customHeight="1">
      <c r="B881" s="140">
        <v>45826.0</v>
      </c>
      <c r="C881" s="141" t="str">
        <f t="shared" si="1"/>
        <v>6-2025</v>
      </c>
      <c r="D881" s="165">
        <f t="shared" si="91"/>
        <v>10022.1</v>
      </c>
      <c r="E881" s="28">
        <v>10033.1</v>
      </c>
      <c r="F881" s="54">
        <f>'220 Antiga Silvinho '!$E881-'220 Antiga Silvinho '!$D881</f>
        <v>11</v>
      </c>
      <c r="G881" s="54">
        <f>'220 Antiga Silvinho '!$F881-10</f>
        <v>1</v>
      </c>
    </row>
    <row r="882" ht="14.25" customHeight="1">
      <c r="B882" s="145">
        <v>45827.0</v>
      </c>
      <c r="C882" s="141" t="str">
        <f t="shared" si="1"/>
        <v>6-2025</v>
      </c>
      <c r="D882" s="28">
        <v>10033.1</v>
      </c>
      <c r="E882" s="28">
        <v>10041.1</v>
      </c>
      <c r="F882" s="54">
        <f>'220 Antiga Silvinho '!$E882-'220 Antiga Silvinho '!$D882</f>
        <v>8</v>
      </c>
      <c r="G882" s="54">
        <f>'220 Antiga Silvinho '!$F882-10</f>
        <v>-2</v>
      </c>
      <c r="I882" s="28" t="s">
        <v>117</v>
      </c>
    </row>
    <row r="883" ht="14.25" customHeight="1">
      <c r="B883" s="140">
        <v>45828.0</v>
      </c>
      <c r="C883" s="141" t="str">
        <f t="shared" si="1"/>
        <v>6-2025</v>
      </c>
      <c r="D883" s="165">
        <f>E882</f>
        <v>10041.1</v>
      </c>
      <c r="E883" s="28">
        <v>10047.2</v>
      </c>
      <c r="F883" s="54">
        <f>'220 Antiga Silvinho '!$E883-'220 Antiga Silvinho '!$D883</f>
        <v>6.1</v>
      </c>
      <c r="G883" s="54">
        <f>'220 Antiga Silvinho '!$F883-10</f>
        <v>-3.9</v>
      </c>
      <c r="I883" s="28" t="s">
        <v>117</v>
      </c>
    </row>
    <row r="884" ht="14.25" customHeight="1">
      <c r="B884" s="145">
        <v>45829.0</v>
      </c>
      <c r="C884" s="141" t="str">
        <f t="shared" si="1"/>
        <v>6-2025</v>
      </c>
      <c r="F884" s="54">
        <f>'220 Antiga Silvinho '!$E884-'220 Antiga Silvinho '!$D884</f>
        <v>0</v>
      </c>
      <c r="G884" s="54">
        <f>'220 Antiga Silvinho '!$F884-10</f>
        <v>-10</v>
      </c>
    </row>
    <row r="885" ht="14.25" customHeight="1">
      <c r="B885" s="145">
        <v>45830.0</v>
      </c>
      <c r="C885" s="141" t="str">
        <f t="shared" si="1"/>
        <v>6-2025</v>
      </c>
      <c r="D885" s="165" t="str">
        <f>E884</f>
        <v/>
      </c>
      <c r="F885" s="54">
        <f>'220 Antiga Silvinho '!$E885-'220 Antiga Silvinho '!$D885</f>
        <v>0</v>
      </c>
      <c r="G885" s="54">
        <f>'220 Antiga Silvinho '!$F885-10</f>
        <v>-10</v>
      </c>
    </row>
    <row r="886" ht="14.25" customHeight="1">
      <c r="B886" s="140">
        <v>45831.0</v>
      </c>
      <c r="C886" s="141" t="str">
        <f t="shared" si="1"/>
        <v>6-2025</v>
      </c>
      <c r="D886" s="28">
        <v>10047.2</v>
      </c>
      <c r="E886" s="28">
        <v>10056.0</v>
      </c>
      <c r="F886" s="54">
        <f>'220 Antiga Silvinho '!$E886-'220 Antiga Silvinho '!$D886</f>
        <v>8.8</v>
      </c>
      <c r="G886" s="54">
        <f>'220 Antiga Silvinho '!$F886-10</f>
        <v>-1.2</v>
      </c>
    </row>
    <row r="887" ht="14.25" customHeight="1">
      <c r="B887" s="140">
        <v>45832.0</v>
      </c>
      <c r="C887" s="141" t="str">
        <f t="shared" si="1"/>
        <v>6-2025</v>
      </c>
      <c r="D887" s="165">
        <f t="shared" ref="D887:D893" si="92">E886</f>
        <v>10056</v>
      </c>
      <c r="E887" s="28">
        <v>10065.0</v>
      </c>
      <c r="F887" s="54">
        <f>'220 Antiga Silvinho '!$E887-'220 Antiga Silvinho '!$D887</f>
        <v>9</v>
      </c>
      <c r="G887" s="54">
        <f>'220 Antiga Silvinho '!$F887-10</f>
        <v>-1</v>
      </c>
      <c r="H887" s="28">
        <v>459.0</v>
      </c>
    </row>
    <row r="888" ht="14.25" customHeight="1">
      <c r="B888" s="140">
        <v>45833.0</v>
      </c>
      <c r="C888" s="141" t="str">
        <f t="shared" si="1"/>
        <v>6-2025</v>
      </c>
      <c r="D888" s="165">
        <f t="shared" si="92"/>
        <v>10065</v>
      </c>
      <c r="E888" s="28">
        <v>10077.0</v>
      </c>
      <c r="F888" s="54">
        <f>'220 Antiga Silvinho '!$E888-'220 Antiga Silvinho '!$D888</f>
        <v>12</v>
      </c>
      <c r="G888" s="54">
        <f>'220 Antiga Silvinho '!$F888-10</f>
        <v>2</v>
      </c>
    </row>
    <row r="889" ht="14.25" customHeight="1">
      <c r="B889" s="140">
        <v>45834.0</v>
      </c>
      <c r="C889" s="141" t="str">
        <f t="shared" si="1"/>
        <v>6-2025</v>
      </c>
      <c r="D889" s="165">
        <f t="shared" si="92"/>
        <v>10077</v>
      </c>
      <c r="E889" s="28">
        <v>10088.0</v>
      </c>
      <c r="F889" s="54">
        <f>'220 Antiga Silvinho '!$E889-'220 Antiga Silvinho '!$D889</f>
        <v>11</v>
      </c>
      <c r="G889" s="54">
        <f>'220 Antiga Silvinho '!$F889-10</f>
        <v>1</v>
      </c>
      <c r="H889" s="28">
        <v>205.0</v>
      </c>
    </row>
    <row r="890" ht="14.25" customHeight="1">
      <c r="B890" s="140">
        <v>45835.0</v>
      </c>
      <c r="C890" s="141" t="str">
        <f t="shared" si="1"/>
        <v>6-2025</v>
      </c>
      <c r="D890" s="165">
        <f t="shared" si="92"/>
        <v>10088</v>
      </c>
      <c r="E890" s="28">
        <v>10099.0</v>
      </c>
      <c r="F890" s="54">
        <f>'220 Antiga Silvinho '!$E890-'220 Antiga Silvinho '!$D890</f>
        <v>11</v>
      </c>
      <c r="G890" s="54">
        <f>'220 Antiga Silvinho '!$F890-10</f>
        <v>1</v>
      </c>
      <c r="H890" s="28">
        <v>460.0</v>
      </c>
    </row>
    <row r="891" ht="14.25" customHeight="1">
      <c r="B891" s="145">
        <v>45836.0</v>
      </c>
      <c r="C891" s="141" t="str">
        <f t="shared" si="1"/>
        <v>6-2025</v>
      </c>
      <c r="D891" s="165">
        <f t="shared" si="92"/>
        <v>10099</v>
      </c>
      <c r="E891" s="28">
        <v>10109.0</v>
      </c>
      <c r="F891" s="54">
        <f>'220 Antiga Silvinho '!$E891-'220 Antiga Silvinho '!$D891</f>
        <v>10</v>
      </c>
      <c r="G891" s="54">
        <f>'220 Antiga Silvinho '!$F891-10</f>
        <v>0</v>
      </c>
    </row>
    <row r="892" ht="14.25" customHeight="1">
      <c r="B892" s="145">
        <v>45837.0</v>
      </c>
      <c r="C892" s="141" t="str">
        <f t="shared" si="1"/>
        <v>6-2025</v>
      </c>
      <c r="D892" s="165">
        <f t="shared" si="92"/>
        <v>10109</v>
      </c>
      <c r="E892" s="28">
        <v>10120.0</v>
      </c>
      <c r="F892" s="54">
        <f>'220 Antiga Silvinho '!$E892-'220 Antiga Silvinho '!$D892</f>
        <v>11</v>
      </c>
      <c r="G892" s="54">
        <f>'220 Antiga Silvinho '!$F892-10</f>
        <v>1</v>
      </c>
      <c r="H892" s="28">
        <v>475.0</v>
      </c>
    </row>
    <row r="893" ht="14.25" customHeight="1">
      <c r="B893" s="140">
        <v>45838.0</v>
      </c>
      <c r="C893" s="141" t="str">
        <f t="shared" si="1"/>
        <v>6-2025</v>
      </c>
      <c r="D893" s="165">
        <f t="shared" si="92"/>
        <v>10120</v>
      </c>
      <c r="E893" s="28">
        <v>10131.0</v>
      </c>
      <c r="F893" s="54">
        <f>'220 Antiga Silvinho '!$E893-'220 Antiga Silvinho '!$D893</f>
        <v>11</v>
      </c>
      <c r="G893" s="54">
        <f>'220 Antiga Silvinho '!$F893-10</f>
        <v>1</v>
      </c>
    </row>
    <row r="894" ht="14.25" customHeight="1">
      <c r="B894" s="140">
        <v>45839.0</v>
      </c>
      <c r="C894" s="141" t="str">
        <f t="shared" si="1"/>
        <v>7-2025</v>
      </c>
      <c r="D894" s="28">
        <v>10131.0</v>
      </c>
      <c r="E894" s="28">
        <v>10140.0</v>
      </c>
      <c r="F894" s="54">
        <f>'220 Antiga Silvinho '!$E894-'220 Antiga Silvinho '!$D894</f>
        <v>9</v>
      </c>
      <c r="G894" s="54">
        <f>'220 Antiga Silvinho '!$F894-10</f>
        <v>-1</v>
      </c>
      <c r="H894" s="28">
        <v>660.0</v>
      </c>
    </row>
    <row r="895" ht="14.25" customHeight="1">
      <c r="B895" s="140">
        <v>45840.0</v>
      </c>
      <c r="C895" s="141" t="str">
        <f t="shared" si="1"/>
        <v>7-2025</v>
      </c>
      <c r="D895" s="165">
        <f t="shared" ref="D895:D896" si="93">E894</f>
        <v>10140</v>
      </c>
      <c r="E895" s="28">
        <v>10152.0</v>
      </c>
      <c r="F895" s="54">
        <f>'220 Antiga Silvinho '!$E895-'220 Antiga Silvinho '!$D895</f>
        <v>12</v>
      </c>
      <c r="G895" s="54">
        <f>'220 Antiga Silvinho '!$F895-10</f>
        <v>2</v>
      </c>
    </row>
    <row r="896" ht="14.25" customHeight="1">
      <c r="B896" s="140">
        <v>45841.0</v>
      </c>
      <c r="C896" s="141" t="str">
        <f t="shared" si="1"/>
        <v>7-2025</v>
      </c>
      <c r="D896" s="165">
        <f t="shared" si="93"/>
        <v>10152</v>
      </c>
      <c r="E896" s="28">
        <v>10163.3</v>
      </c>
      <c r="F896" s="54">
        <f>'220 Antiga Silvinho '!$E896-'220 Antiga Silvinho '!$D896</f>
        <v>11.3</v>
      </c>
      <c r="G896" s="54">
        <f>'220 Antiga Silvinho '!$F896-10</f>
        <v>1.3</v>
      </c>
      <c r="H896" s="28">
        <v>401.0</v>
      </c>
    </row>
    <row r="897" ht="14.25" customHeight="1">
      <c r="B897" s="140">
        <v>45842.0</v>
      </c>
      <c r="C897" s="141" t="str">
        <f t="shared" si="1"/>
        <v>7-2025</v>
      </c>
      <c r="F897" s="54">
        <f>'220 Antiga Silvinho '!$E897-'220 Antiga Silvinho '!$D897</f>
        <v>0</v>
      </c>
      <c r="G897" s="54">
        <f>'220 Antiga Silvinho '!$F897-10</f>
        <v>-10</v>
      </c>
    </row>
    <row r="898" ht="14.25" customHeight="1">
      <c r="B898" s="145">
        <v>45843.0</v>
      </c>
      <c r="C898" s="141" t="str">
        <f t="shared" si="1"/>
        <v>7-2025</v>
      </c>
      <c r="D898" s="165" t="str">
        <f t="shared" ref="D898:D899" si="94">E897</f>
        <v/>
      </c>
      <c r="F898" s="54">
        <f>'220 Antiga Silvinho '!$E898-'220 Antiga Silvinho '!$D898</f>
        <v>0</v>
      </c>
      <c r="G898" s="54">
        <f>'220 Antiga Silvinho '!$F898-10</f>
        <v>-10</v>
      </c>
    </row>
    <row r="899" ht="14.25" customHeight="1">
      <c r="B899" s="145">
        <v>45844.0</v>
      </c>
      <c r="C899" s="141" t="str">
        <f t="shared" si="1"/>
        <v>7-2025</v>
      </c>
      <c r="D899" s="165" t="str">
        <f t="shared" si="94"/>
        <v/>
      </c>
      <c r="F899" s="54">
        <f>'220 Antiga Silvinho '!$E899-'220 Antiga Silvinho '!$D899</f>
        <v>0</v>
      </c>
      <c r="G899" s="54">
        <f>'220 Antiga Silvinho '!$F899-10</f>
        <v>-10</v>
      </c>
    </row>
    <row r="900" ht="14.25" customHeight="1">
      <c r="B900" s="140">
        <v>45845.0</v>
      </c>
      <c r="C900" s="141" t="str">
        <f t="shared" si="1"/>
        <v>7-2025</v>
      </c>
      <c r="D900" s="28">
        <v>10163.3</v>
      </c>
      <c r="E900" s="28">
        <v>10171.2</v>
      </c>
      <c r="F900" s="54">
        <f>'220 Antiga Silvinho '!$E900-'220 Antiga Silvinho '!$D900</f>
        <v>7.9</v>
      </c>
      <c r="G900" s="54">
        <f>'220 Antiga Silvinho '!$F900-10</f>
        <v>-2.1</v>
      </c>
    </row>
    <row r="901" ht="14.25" customHeight="1">
      <c r="B901" s="140">
        <v>45846.0</v>
      </c>
      <c r="C901" s="141" t="str">
        <f t="shared" si="1"/>
        <v>7-2025</v>
      </c>
      <c r="D901" s="165">
        <f t="shared" ref="D901:D910" si="95">E900</f>
        <v>10171.2</v>
      </c>
      <c r="E901" s="28">
        <v>10182.2</v>
      </c>
      <c r="F901" s="54">
        <f>'220 Antiga Silvinho '!$E901-'220 Antiga Silvinho '!$D901</f>
        <v>11</v>
      </c>
      <c r="G901" s="54">
        <f>'220 Antiga Silvinho '!$F901-10</f>
        <v>1</v>
      </c>
      <c r="H901" s="28">
        <v>443.0</v>
      </c>
    </row>
    <row r="902" ht="14.25" customHeight="1">
      <c r="B902" s="140">
        <v>45847.0</v>
      </c>
      <c r="C902" s="141" t="str">
        <f t="shared" si="1"/>
        <v>7-2025</v>
      </c>
      <c r="D902" s="165">
        <f t="shared" si="95"/>
        <v>10182.2</v>
      </c>
      <c r="E902" s="28">
        <v>10193.2</v>
      </c>
      <c r="F902" s="54">
        <f>'220 Antiga Silvinho '!$E902-'220 Antiga Silvinho '!$D902</f>
        <v>11</v>
      </c>
      <c r="G902" s="54">
        <f>'220 Antiga Silvinho '!$F902-10</f>
        <v>1</v>
      </c>
    </row>
    <row r="903" ht="14.25" customHeight="1">
      <c r="B903" s="140">
        <v>45848.0</v>
      </c>
      <c r="C903" s="141" t="str">
        <f t="shared" si="1"/>
        <v>7-2025</v>
      </c>
      <c r="D903" s="165">
        <f t="shared" si="95"/>
        <v>10193.2</v>
      </c>
      <c r="E903" s="28">
        <v>10205.0</v>
      </c>
      <c r="F903" s="54">
        <f>'220 Antiga Silvinho '!$E903-'220 Antiga Silvinho '!$D903</f>
        <v>11.8</v>
      </c>
      <c r="G903" s="54">
        <f>'220 Antiga Silvinho '!$F903-10</f>
        <v>1.8</v>
      </c>
      <c r="H903" s="28">
        <v>440.0</v>
      </c>
    </row>
    <row r="904" ht="14.25" customHeight="1">
      <c r="B904" s="140">
        <v>45849.0</v>
      </c>
      <c r="C904" s="141" t="str">
        <f t="shared" si="1"/>
        <v>7-2025</v>
      </c>
      <c r="D904" s="165">
        <f t="shared" si="95"/>
        <v>10205</v>
      </c>
      <c r="E904" s="28">
        <v>10216.0</v>
      </c>
      <c r="F904" s="54">
        <f>'220 Antiga Silvinho '!$E904-'220 Antiga Silvinho '!$D904</f>
        <v>11</v>
      </c>
      <c r="G904" s="54">
        <f>'220 Antiga Silvinho '!$F904-10</f>
        <v>1</v>
      </c>
    </row>
    <row r="905" ht="14.25" customHeight="1">
      <c r="B905" s="145">
        <v>45850.0</v>
      </c>
      <c r="C905" s="141" t="str">
        <f t="shared" si="1"/>
        <v>7-2025</v>
      </c>
      <c r="D905" s="165">
        <f t="shared" si="95"/>
        <v>10216</v>
      </c>
      <c r="E905" s="28">
        <v>10224.0</v>
      </c>
      <c r="F905" s="54">
        <f>'220 Antiga Silvinho '!$E905-'220 Antiga Silvinho '!$D905</f>
        <v>8</v>
      </c>
      <c r="G905" s="54">
        <f>'220 Antiga Silvinho '!$F905-10</f>
        <v>-2</v>
      </c>
      <c r="H905" s="28">
        <v>461.0</v>
      </c>
    </row>
    <row r="906" ht="14.25" customHeight="1">
      <c r="B906" s="145">
        <v>45851.0</v>
      </c>
      <c r="C906" s="141" t="str">
        <f t="shared" si="1"/>
        <v>7-2025</v>
      </c>
      <c r="D906" s="165">
        <f t="shared" si="95"/>
        <v>10224</v>
      </c>
      <c r="E906" s="28">
        <v>10238.0</v>
      </c>
      <c r="F906" s="54">
        <f>'220 Antiga Silvinho '!$E906-'220 Antiga Silvinho '!$D906</f>
        <v>14</v>
      </c>
      <c r="G906" s="54">
        <f>'220 Antiga Silvinho '!$F906-10</f>
        <v>4</v>
      </c>
    </row>
    <row r="907" ht="14.25" customHeight="1">
      <c r="B907" s="140">
        <v>45852.0</v>
      </c>
      <c r="C907" s="141" t="str">
        <f t="shared" si="1"/>
        <v>7-2025</v>
      </c>
      <c r="D907" s="165">
        <f t="shared" si="95"/>
        <v>10238</v>
      </c>
      <c r="E907" s="28">
        <v>10249.0</v>
      </c>
      <c r="F907" s="54">
        <f>'220 Antiga Silvinho '!$E907-'220 Antiga Silvinho '!$D907</f>
        <v>11</v>
      </c>
      <c r="G907" s="54">
        <f>'220 Antiga Silvinho '!$F907-10</f>
        <v>1</v>
      </c>
      <c r="H907" s="28">
        <v>465.0</v>
      </c>
    </row>
    <row r="908" ht="14.25" customHeight="1">
      <c r="B908" s="140">
        <v>45853.0</v>
      </c>
      <c r="C908" s="141" t="str">
        <f t="shared" si="1"/>
        <v>7-2025</v>
      </c>
      <c r="D908" s="165">
        <f t="shared" si="95"/>
        <v>10249</v>
      </c>
      <c r="E908" s="28">
        <v>10261.0</v>
      </c>
      <c r="F908" s="54">
        <f>'220 Antiga Silvinho '!$E908-'220 Antiga Silvinho '!$D908</f>
        <v>12</v>
      </c>
      <c r="G908" s="54">
        <f>'220 Antiga Silvinho '!$F908-10</f>
        <v>2</v>
      </c>
    </row>
    <row r="909" ht="14.25" customHeight="1">
      <c r="B909" s="140">
        <v>45854.0</v>
      </c>
      <c r="C909" s="141" t="str">
        <f t="shared" si="1"/>
        <v>7-2025</v>
      </c>
      <c r="D909" s="165">
        <f t="shared" si="95"/>
        <v>10261</v>
      </c>
      <c r="E909" s="28">
        <v>10272.0</v>
      </c>
      <c r="F909" s="54">
        <f>'220 Antiga Silvinho '!$E909-'220 Antiga Silvinho '!$D909</f>
        <v>11</v>
      </c>
      <c r="G909" s="54">
        <f>'220 Antiga Silvinho '!$F909-10</f>
        <v>1</v>
      </c>
      <c r="H909" s="28">
        <v>461.0</v>
      </c>
    </row>
    <row r="910" ht="14.25" customHeight="1">
      <c r="B910" s="140">
        <v>45855.0</v>
      </c>
      <c r="C910" s="141" t="str">
        <f t="shared" si="1"/>
        <v>7-2025</v>
      </c>
      <c r="D910" s="165">
        <f t="shared" si="95"/>
        <v>10272</v>
      </c>
      <c r="E910" s="28">
        <v>10282.5</v>
      </c>
      <c r="F910" s="54">
        <f>'220 Antiga Silvinho '!$E910-'220 Antiga Silvinho '!$D910</f>
        <v>10.5</v>
      </c>
      <c r="G910" s="54">
        <f>'220 Antiga Silvinho '!$F910-10</f>
        <v>0.5</v>
      </c>
    </row>
    <row r="911" ht="14.25" customHeight="1">
      <c r="B911" s="140">
        <v>45856.0</v>
      </c>
      <c r="C911" s="141" t="str">
        <f t="shared" si="1"/>
        <v>7-2025</v>
      </c>
      <c r="F911" s="54">
        <f>'220 Antiga Silvinho '!$E911-'220 Antiga Silvinho '!$D911</f>
        <v>0</v>
      </c>
      <c r="G911" s="54">
        <f>'220 Antiga Silvinho '!$F911-10</f>
        <v>-10</v>
      </c>
    </row>
    <row r="912" ht="14.25" customHeight="1">
      <c r="B912" s="145">
        <v>45857.0</v>
      </c>
      <c r="C912" s="141" t="str">
        <f t="shared" si="1"/>
        <v>7-2025</v>
      </c>
      <c r="D912" s="165" t="str">
        <f t="shared" ref="D912:D913" si="96">E911</f>
        <v/>
      </c>
      <c r="F912" s="54">
        <f>'220 Antiga Silvinho '!$E912-'220 Antiga Silvinho '!$D912</f>
        <v>0</v>
      </c>
      <c r="G912" s="54">
        <f>'220 Antiga Silvinho '!$F912-10</f>
        <v>-10</v>
      </c>
    </row>
    <row r="913" ht="14.25" customHeight="1">
      <c r="B913" s="145">
        <v>45858.0</v>
      </c>
      <c r="C913" s="141" t="str">
        <f t="shared" si="1"/>
        <v>7-2025</v>
      </c>
      <c r="D913" s="165" t="str">
        <f t="shared" si="96"/>
        <v/>
      </c>
      <c r="F913" s="54">
        <f>'220 Antiga Silvinho '!$E913-'220 Antiga Silvinho '!$D913</f>
        <v>0</v>
      </c>
      <c r="G913" s="54">
        <f>'220 Antiga Silvinho '!$F913-10</f>
        <v>-10</v>
      </c>
    </row>
    <row r="914" ht="14.25" customHeight="1">
      <c r="B914" s="140">
        <v>45859.0</v>
      </c>
      <c r="C914" s="141" t="str">
        <f t="shared" si="1"/>
        <v>7-2025</v>
      </c>
      <c r="D914" s="28">
        <v>10283.8</v>
      </c>
      <c r="E914" s="28">
        <v>10291.5</v>
      </c>
      <c r="F914" s="54">
        <f>'220 Antiga Silvinho '!$E914-'220 Antiga Silvinho '!$D914</f>
        <v>7.7</v>
      </c>
      <c r="G914" s="54">
        <f>'220 Antiga Silvinho '!$F914-10</f>
        <v>-2.3</v>
      </c>
      <c r="H914" s="28">
        <v>230.0</v>
      </c>
    </row>
    <row r="915" ht="14.25" customHeight="1">
      <c r="B915" s="140">
        <v>45860.0</v>
      </c>
      <c r="C915" s="141" t="str">
        <f t="shared" si="1"/>
        <v>7-2025</v>
      </c>
      <c r="D915" s="165">
        <f t="shared" ref="D915:D922" si="97">E914</f>
        <v>10291.5</v>
      </c>
      <c r="E915" s="28">
        <v>10302.5</v>
      </c>
      <c r="F915" s="54">
        <f>'220 Antiga Silvinho '!$E915-'220 Antiga Silvinho '!$D915</f>
        <v>11</v>
      </c>
      <c r="G915" s="54">
        <f>'220 Antiga Silvinho '!$F915-10</f>
        <v>1</v>
      </c>
      <c r="H915" s="28">
        <v>401.0</v>
      </c>
    </row>
    <row r="916" ht="14.25" customHeight="1">
      <c r="B916" s="140">
        <v>45861.0</v>
      </c>
      <c r="C916" s="141" t="str">
        <f t="shared" si="1"/>
        <v>7-2025</v>
      </c>
      <c r="D916" s="165">
        <f t="shared" si="97"/>
        <v>10302.5</v>
      </c>
      <c r="E916" s="28">
        <v>10313.5</v>
      </c>
      <c r="F916" s="54">
        <f>'220 Antiga Silvinho '!$E916-'220 Antiga Silvinho '!$D916</f>
        <v>11</v>
      </c>
      <c r="G916" s="54">
        <f>'220 Antiga Silvinho '!$F916-10</f>
        <v>1</v>
      </c>
    </row>
    <row r="917" ht="14.25" customHeight="1">
      <c r="B917" s="140">
        <v>45862.0</v>
      </c>
      <c r="C917" s="141" t="str">
        <f t="shared" si="1"/>
        <v>7-2025</v>
      </c>
      <c r="D917" s="165">
        <f t="shared" si="97"/>
        <v>10313.5</v>
      </c>
      <c r="E917" s="28">
        <v>10324.0</v>
      </c>
      <c r="F917" s="54">
        <f>'220 Antiga Silvinho '!$E917-'220 Antiga Silvinho '!$D917</f>
        <v>10.5</v>
      </c>
      <c r="G917" s="54">
        <f>'220 Antiga Silvinho '!$F917-10</f>
        <v>0.5</v>
      </c>
      <c r="H917" s="28">
        <v>200.0</v>
      </c>
    </row>
    <row r="918" ht="14.25" customHeight="1">
      <c r="B918" s="140">
        <v>45863.0</v>
      </c>
      <c r="C918" s="141" t="str">
        <f t="shared" si="1"/>
        <v>7-2025</v>
      </c>
      <c r="D918" s="165">
        <f t="shared" si="97"/>
        <v>10324</v>
      </c>
      <c r="E918" s="28">
        <v>10334.0</v>
      </c>
      <c r="F918" s="54">
        <f>'220 Antiga Silvinho '!$E918-'220 Antiga Silvinho '!$D918</f>
        <v>10</v>
      </c>
      <c r="G918" s="54">
        <f>'220 Antiga Silvinho '!$F918-10</f>
        <v>0</v>
      </c>
      <c r="H918" s="28">
        <v>441.0</v>
      </c>
    </row>
    <row r="919" ht="14.25" customHeight="1">
      <c r="B919" s="145">
        <v>45864.0</v>
      </c>
      <c r="C919" s="141" t="str">
        <f t="shared" si="1"/>
        <v>7-2025</v>
      </c>
      <c r="D919" s="165">
        <f t="shared" si="97"/>
        <v>10334</v>
      </c>
      <c r="E919" s="28">
        <v>10344.0</v>
      </c>
      <c r="F919" s="54">
        <f>'220 Antiga Silvinho '!$E919-'220 Antiga Silvinho '!$D919</f>
        <v>10</v>
      </c>
      <c r="G919" s="54">
        <f>'220 Antiga Silvinho '!$F919-10</f>
        <v>0</v>
      </c>
    </row>
    <row r="920" ht="14.25" customHeight="1">
      <c r="B920" s="145">
        <v>45865.0</v>
      </c>
      <c r="C920" s="141" t="str">
        <f t="shared" si="1"/>
        <v>7-2025</v>
      </c>
      <c r="D920" s="165">
        <f t="shared" si="97"/>
        <v>10344</v>
      </c>
      <c r="E920" s="28">
        <v>10355.0</v>
      </c>
      <c r="F920" s="54">
        <f>'220 Antiga Silvinho '!$E920-'220 Antiga Silvinho '!$D920</f>
        <v>11</v>
      </c>
      <c r="G920" s="54">
        <f>'220 Antiga Silvinho '!$F920-10</f>
        <v>1</v>
      </c>
      <c r="H920" s="28">
        <v>400.0</v>
      </c>
    </row>
    <row r="921" ht="14.25" customHeight="1">
      <c r="B921" s="140">
        <v>45866.0</v>
      </c>
      <c r="C921" s="141" t="str">
        <f t="shared" si="1"/>
        <v>7-2025</v>
      </c>
      <c r="D921" s="165">
        <f t="shared" si="97"/>
        <v>10355</v>
      </c>
      <c r="E921" s="28">
        <v>10365.0</v>
      </c>
      <c r="F921" s="54">
        <f>'220 Antiga Silvinho '!$E921-'220 Antiga Silvinho '!$D921</f>
        <v>10</v>
      </c>
      <c r="G921" s="54">
        <f>'220 Antiga Silvinho '!$F921-10</f>
        <v>0</v>
      </c>
    </row>
    <row r="922" ht="14.25" customHeight="1">
      <c r="B922" s="140">
        <v>45867.0</v>
      </c>
      <c r="C922" s="141" t="str">
        <f t="shared" si="1"/>
        <v>7-2025</v>
      </c>
      <c r="D922" s="165">
        <f t="shared" si="97"/>
        <v>10365</v>
      </c>
      <c r="E922" s="28">
        <v>10375.0</v>
      </c>
      <c r="F922" s="54">
        <f>'220 Antiga Silvinho '!$E922-'220 Antiga Silvinho '!$D922</f>
        <v>10</v>
      </c>
      <c r="G922" s="54">
        <f>'220 Antiga Silvinho '!$F922-10</f>
        <v>0</v>
      </c>
      <c r="H922" s="28">
        <v>550.0</v>
      </c>
    </row>
    <row r="923" ht="14.25" customHeight="1">
      <c r="B923" s="140">
        <v>45868.0</v>
      </c>
      <c r="C923" s="141" t="str">
        <f t="shared" si="1"/>
        <v>7-2025</v>
      </c>
      <c r="D923" s="28">
        <v>10375.0</v>
      </c>
      <c r="E923" s="28">
        <v>10385.0</v>
      </c>
      <c r="F923" s="54">
        <f>'220 Antiga Silvinho '!$E923-'220 Antiga Silvinho '!$D923</f>
        <v>10</v>
      </c>
      <c r="G923" s="54">
        <f>'220 Antiga Silvinho '!$F923-10</f>
        <v>0</v>
      </c>
    </row>
    <row r="924" ht="14.25" customHeight="1">
      <c r="B924" s="140">
        <v>45869.0</v>
      </c>
      <c r="C924" s="141" t="str">
        <f t="shared" si="1"/>
        <v>7-2025</v>
      </c>
      <c r="D924" s="28">
        <v>10385.0</v>
      </c>
      <c r="E924" s="28">
        <v>10394.0</v>
      </c>
      <c r="F924" s="54">
        <f>'220 Antiga Silvinho '!$E924-'220 Antiga Silvinho '!$D924</f>
        <v>9</v>
      </c>
      <c r="G924" s="54">
        <f>'220 Antiga Silvinho '!$F924-10</f>
        <v>-1</v>
      </c>
      <c r="H924" s="28">
        <v>200.0</v>
      </c>
    </row>
    <row r="925" ht="14.25" customHeight="1">
      <c r="B925" s="140">
        <v>45870.0</v>
      </c>
      <c r="C925" s="141" t="str">
        <f t="shared" si="1"/>
        <v>8-2025</v>
      </c>
      <c r="F925" s="54">
        <f>'220 Antiga Silvinho '!$E925-'220 Antiga Silvinho '!$D925</f>
        <v>0</v>
      </c>
      <c r="G925" s="54">
        <f>'220 Antiga Silvinho '!$F925-10</f>
        <v>-10</v>
      </c>
    </row>
    <row r="926" ht="14.25" customHeight="1">
      <c r="B926" s="145">
        <v>45871.0</v>
      </c>
      <c r="C926" s="141" t="str">
        <f t="shared" si="1"/>
        <v>8-2025</v>
      </c>
      <c r="F926" s="54">
        <f>'220 Antiga Silvinho '!$E926-'220 Antiga Silvinho '!$D926</f>
        <v>0</v>
      </c>
      <c r="G926" s="54">
        <f>'220 Antiga Silvinho '!$F926-10</f>
        <v>-10</v>
      </c>
    </row>
    <row r="927" ht="14.25" customHeight="1">
      <c r="B927" s="145">
        <v>45872.0</v>
      </c>
      <c r="C927" s="141" t="str">
        <f t="shared" si="1"/>
        <v>8-2025</v>
      </c>
      <c r="F927" s="54">
        <f>'220 Antiga Silvinho '!$E927-'220 Antiga Silvinho '!$D927</f>
        <v>0</v>
      </c>
      <c r="G927" s="54">
        <f>'220 Antiga Silvinho '!$F927-10</f>
        <v>-10</v>
      </c>
    </row>
    <row r="928" ht="14.25" customHeight="1">
      <c r="B928" s="140">
        <v>45873.0</v>
      </c>
      <c r="C928" s="141" t="str">
        <f t="shared" si="1"/>
        <v>8-2025</v>
      </c>
      <c r="F928" s="54">
        <f>'220 Antiga Silvinho '!$E928-'220 Antiga Silvinho '!$D928</f>
        <v>0</v>
      </c>
      <c r="G928" s="54">
        <f>'220 Antiga Silvinho '!$F928-10</f>
        <v>-10</v>
      </c>
    </row>
    <row r="929" ht="14.25" customHeight="1">
      <c r="B929" s="140">
        <v>45874.0</v>
      </c>
      <c r="C929" s="141" t="str">
        <f t="shared" si="1"/>
        <v>8-2025</v>
      </c>
      <c r="F929" s="54">
        <f>'220 Antiga Silvinho '!$E929-'220 Antiga Silvinho '!$D929</f>
        <v>0</v>
      </c>
      <c r="G929" s="54">
        <f>'220 Antiga Silvinho '!$F929-10</f>
        <v>-10</v>
      </c>
    </row>
    <row r="930" ht="14.25" customHeight="1">
      <c r="B930" s="140">
        <v>45875.0</v>
      </c>
      <c r="C930" s="141" t="str">
        <f t="shared" si="1"/>
        <v>8-2025</v>
      </c>
      <c r="D930" s="28">
        <v>10397.1</v>
      </c>
      <c r="E930" s="28">
        <v>10404.0</v>
      </c>
      <c r="F930" s="54">
        <f>'220 Antiga Silvinho '!$E930-'220 Antiga Silvinho '!$D930</f>
        <v>6.9</v>
      </c>
      <c r="G930" s="54">
        <f>'220 Antiga Silvinho '!$F930-10</f>
        <v>-3.1</v>
      </c>
    </row>
    <row r="931" ht="14.25" customHeight="1">
      <c r="B931" s="140">
        <v>45876.0</v>
      </c>
      <c r="C931" s="141" t="str">
        <f t="shared" si="1"/>
        <v>8-2025</v>
      </c>
      <c r="D931" s="28">
        <v>10404.0</v>
      </c>
      <c r="E931" s="28">
        <v>10413.0</v>
      </c>
      <c r="F931" s="54">
        <f>'220 Antiga Silvinho '!$E931-'220 Antiga Silvinho '!$D931</f>
        <v>9</v>
      </c>
      <c r="G931" s="54">
        <f>'220 Antiga Silvinho '!$F931-10</f>
        <v>-1</v>
      </c>
    </row>
    <row r="932" ht="14.25" customHeight="1">
      <c r="B932" s="140">
        <v>45877.0</v>
      </c>
      <c r="C932" s="141" t="str">
        <f t="shared" si="1"/>
        <v>8-2025</v>
      </c>
      <c r="D932" s="28">
        <v>10413.0</v>
      </c>
      <c r="E932" s="28">
        <v>10424.0</v>
      </c>
      <c r="F932" s="54">
        <f>'220 Antiga Silvinho '!$E932-'220 Antiga Silvinho '!$D932</f>
        <v>11</v>
      </c>
      <c r="G932" s="54">
        <f>'220 Antiga Silvinho '!$F932-10</f>
        <v>1</v>
      </c>
    </row>
    <row r="933" ht="14.25" customHeight="1">
      <c r="B933" s="145">
        <v>45878.0</v>
      </c>
      <c r="C933" s="141" t="str">
        <f t="shared" si="1"/>
        <v>8-2025</v>
      </c>
      <c r="F933" s="54">
        <f>'220 Antiga Silvinho '!$E933-'220 Antiga Silvinho '!$D933</f>
        <v>0</v>
      </c>
      <c r="G933" s="54">
        <f>'220 Antiga Silvinho '!$F933-10</f>
        <v>-10</v>
      </c>
    </row>
    <row r="934" ht="14.25" customHeight="1">
      <c r="B934" s="145">
        <v>45879.0</v>
      </c>
      <c r="C934" s="141" t="str">
        <f t="shared" si="1"/>
        <v>8-2025</v>
      </c>
      <c r="F934" s="54">
        <f>'220 Antiga Silvinho '!$E934-'220 Antiga Silvinho '!$D934</f>
        <v>0</v>
      </c>
      <c r="G934" s="54">
        <f>'220 Antiga Silvinho '!$F934-10</f>
        <v>-10</v>
      </c>
    </row>
    <row r="935" ht="14.25" customHeight="1">
      <c r="B935" s="140">
        <v>45880.0</v>
      </c>
      <c r="C935" s="141" t="str">
        <f t="shared" si="1"/>
        <v>8-2025</v>
      </c>
      <c r="D935" s="28">
        <v>10424.0</v>
      </c>
      <c r="E935" s="28">
        <v>10431.0</v>
      </c>
      <c r="F935" s="54">
        <f>'220 Antiga Silvinho '!$E935-'220 Antiga Silvinho '!$D935</f>
        <v>7</v>
      </c>
      <c r="G935" s="54">
        <f>'220 Antiga Silvinho '!$F935-10</f>
        <v>-3</v>
      </c>
    </row>
    <row r="936" ht="14.25" customHeight="1">
      <c r="B936" s="140">
        <v>45881.0</v>
      </c>
      <c r="C936" s="141" t="str">
        <f t="shared" si="1"/>
        <v>8-2025</v>
      </c>
      <c r="D936" s="165">
        <f t="shared" ref="D936:D944" si="98">E935</f>
        <v>10431</v>
      </c>
      <c r="E936" s="28">
        <v>10443.1</v>
      </c>
      <c r="F936" s="54">
        <f>'220 Antiga Silvinho '!$E936-'220 Antiga Silvinho '!$D936</f>
        <v>12.1</v>
      </c>
      <c r="G936" s="54">
        <f>'220 Antiga Silvinho '!$F936-10</f>
        <v>2.1</v>
      </c>
    </row>
    <row r="937" ht="14.25" customHeight="1">
      <c r="B937" s="140">
        <v>45882.0</v>
      </c>
      <c r="C937" s="141" t="str">
        <f t="shared" si="1"/>
        <v>8-2025</v>
      </c>
      <c r="D937" s="165">
        <f t="shared" si="98"/>
        <v>10443.1</v>
      </c>
      <c r="E937" s="28">
        <v>10454.1</v>
      </c>
      <c r="F937" s="54">
        <f>'220 Antiga Silvinho '!$E937-'220 Antiga Silvinho '!$D937</f>
        <v>11</v>
      </c>
      <c r="G937" s="54">
        <f>'220 Antiga Silvinho '!$F937-10</f>
        <v>1</v>
      </c>
    </row>
    <row r="938" ht="14.25" customHeight="1">
      <c r="B938" s="140">
        <v>45883.0</v>
      </c>
      <c r="C938" s="141" t="str">
        <f t="shared" si="1"/>
        <v>8-2025</v>
      </c>
      <c r="D938" s="165">
        <f t="shared" si="98"/>
        <v>10454.1</v>
      </c>
      <c r="E938" s="28">
        <v>10465.1</v>
      </c>
      <c r="F938" s="54">
        <f>'220 Antiga Silvinho '!$E938-'220 Antiga Silvinho '!$D938</f>
        <v>11</v>
      </c>
      <c r="G938" s="54">
        <f>'220 Antiga Silvinho '!$F938-10</f>
        <v>1</v>
      </c>
    </row>
    <row r="939" ht="14.25" customHeight="1">
      <c r="B939" s="140">
        <v>45884.0</v>
      </c>
      <c r="C939" s="141" t="str">
        <f t="shared" si="1"/>
        <v>8-2025</v>
      </c>
      <c r="D939" s="165">
        <f t="shared" si="98"/>
        <v>10465.1</v>
      </c>
      <c r="E939" s="28">
        <v>10476.1</v>
      </c>
      <c r="F939" s="54">
        <f>'220 Antiga Silvinho '!$E939-'220 Antiga Silvinho '!$D939</f>
        <v>11</v>
      </c>
      <c r="G939" s="54">
        <f>'220 Antiga Silvinho '!$F939-10</f>
        <v>1</v>
      </c>
    </row>
    <row r="940" ht="14.25" customHeight="1">
      <c r="B940" s="145">
        <v>45885.0</v>
      </c>
      <c r="C940" s="141" t="str">
        <f t="shared" si="1"/>
        <v>8-2025</v>
      </c>
      <c r="D940" s="165">
        <f t="shared" si="98"/>
        <v>10476.1</v>
      </c>
      <c r="E940" s="28">
        <v>10488.0</v>
      </c>
      <c r="F940" s="54">
        <f>'220 Antiga Silvinho '!$E940-'220 Antiga Silvinho '!$D940</f>
        <v>11.9</v>
      </c>
      <c r="G940" s="54">
        <f>'220 Antiga Silvinho '!$F940-10</f>
        <v>1.9</v>
      </c>
    </row>
    <row r="941" ht="14.25" customHeight="1">
      <c r="B941" s="145">
        <v>45886.0</v>
      </c>
      <c r="C941" s="141" t="str">
        <f t="shared" si="1"/>
        <v>8-2025</v>
      </c>
      <c r="D941" s="165">
        <f t="shared" si="98"/>
        <v>10488</v>
      </c>
      <c r="E941" s="28">
        <v>10498.0</v>
      </c>
      <c r="F941" s="54">
        <f>'220 Antiga Silvinho '!$E941-'220 Antiga Silvinho '!$D941</f>
        <v>10</v>
      </c>
      <c r="G941" s="54">
        <f>'220 Antiga Silvinho '!$F941-10</f>
        <v>0</v>
      </c>
    </row>
    <row r="942" ht="14.25" customHeight="1">
      <c r="B942" s="140">
        <v>45887.0</v>
      </c>
      <c r="C942" s="141" t="str">
        <f t="shared" si="1"/>
        <v>8-2025</v>
      </c>
      <c r="D942" s="165">
        <f t="shared" si="98"/>
        <v>10498</v>
      </c>
      <c r="E942" s="28">
        <v>10502.0</v>
      </c>
      <c r="F942" s="54">
        <f>'220 Antiga Silvinho '!$E942-'220 Antiga Silvinho '!$D942</f>
        <v>4</v>
      </c>
      <c r="G942" s="54">
        <f>'220 Antiga Silvinho '!$F942-10</f>
        <v>-6</v>
      </c>
    </row>
    <row r="943" ht="14.25" customHeight="1">
      <c r="B943" s="140">
        <v>45888.0</v>
      </c>
      <c r="C943" s="141" t="str">
        <f t="shared" si="1"/>
        <v>8-2025</v>
      </c>
      <c r="D943" s="165">
        <f t="shared" si="98"/>
        <v>10502</v>
      </c>
      <c r="E943" s="28">
        <v>10506.5</v>
      </c>
      <c r="F943" s="54">
        <f>'220 Antiga Silvinho '!$E943-'220 Antiga Silvinho '!$D943</f>
        <v>4.5</v>
      </c>
      <c r="G943" s="54">
        <f>'220 Antiga Silvinho '!$F943-10</f>
        <v>-5.5</v>
      </c>
    </row>
    <row r="944" ht="14.25" customHeight="1">
      <c r="B944" s="140">
        <v>45889.0</v>
      </c>
      <c r="C944" s="141" t="str">
        <f t="shared" si="1"/>
        <v>8-2025</v>
      </c>
      <c r="D944" s="165">
        <f t="shared" si="98"/>
        <v>10506.5</v>
      </c>
      <c r="E944" s="28">
        <v>10509.3</v>
      </c>
      <c r="F944" s="54">
        <f>'220 Antiga Silvinho '!$E944-'220 Antiga Silvinho '!$D944</f>
        <v>2.8</v>
      </c>
      <c r="G944" s="54">
        <f>'220 Antiga Silvinho '!$F944-10</f>
        <v>-7.2</v>
      </c>
    </row>
    <row r="945" ht="14.25" customHeight="1">
      <c r="B945" s="140">
        <v>45890.0</v>
      </c>
      <c r="C945" s="141" t="str">
        <f t="shared" si="1"/>
        <v>8-2025</v>
      </c>
      <c r="F945" s="54">
        <f>'220 Antiga Silvinho '!$E945-'220 Antiga Silvinho '!$D945</f>
        <v>0</v>
      </c>
      <c r="G945" s="54">
        <f>'220 Antiga Silvinho '!$F945-10</f>
        <v>-10</v>
      </c>
    </row>
    <row r="946" ht="14.25" customHeight="1">
      <c r="B946" s="140">
        <v>45891.0</v>
      </c>
      <c r="C946" s="141" t="str">
        <f t="shared" si="1"/>
        <v>8-2025</v>
      </c>
      <c r="D946" s="165" t="str">
        <f t="shared" ref="D946:D961" si="99">E945</f>
        <v/>
      </c>
      <c r="F946" s="54">
        <f>'220 Antiga Silvinho '!$E946-'220 Antiga Silvinho '!$D946</f>
        <v>0</v>
      </c>
      <c r="G946" s="54">
        <f>'220 Antiga Silvinho '!$F946-10</f>
        <v>-10</v>
      </c>
    </row>
    <row r="947" ht="14.25" customHeight="1">
      <c r="B947" s="145">
        <v>45892.0</v>
      </c>
      <c r="C947" s="141" t="str">
        <f t="shared" si="1"/>
        <v>8-2025</v>
      </c>
      <c r="D947" s="165" t="str">
        <f t="shared" si="99"/>
        <v/>
      </c>
      <c r="F947" s="54">
        <f>'220 Antiga Silvinho '!$E947-'220 Antiga Silvinho '!$D947</f>
        <v>0</v>
      </c>
      <c r="G947" s="54">
        <f>'220 Antiga Silvinho '!$F947-10</f>
        <v>-10</v>
      </c>
    </row>
    <row r="948" ht="14.25" customHeight="1">
      <c r="B948" s="145">
        <v>45893.0</v>
      </c>
      <c r="C948" s="141" t="str">
        <f t="shared" si="1"/>
        <v>8-2025</v>
      </c>
      <c r="D948" s="165" t="str">
        <f t="shared" si="99"/>
        <v/>
      </c>
      <c r="F948" s="54">
        <f>'220 Antiga Silvinho '!$E948-'220 Antiga Silvinho '!$D948</f>
        <v>0</v>
      </c>
      <c r="G948" s="54">
        <f>'220 Antiga Silvinho '!$F948-10</f>
        <v>-10</v>
      </c>
    </row>
    <row r="949" ht="14.25" customHeight="1">
      <c r="B949" s="140">
        <v>45894.0</v>
      </c>
      <c r="C949" s="141" t="str">
        <f t="shared" si="1"/>
        <v>8-2025</v>
      </c>
      <c r="D949" s="165" t="str">
        <f t="shared" si="99"/>
        <v/>
      </c>
      <c r="F949" s="54">
        <f>'220 Antiga Silvinho '!$E949-'220 Antiga Silvinho '!$D949</f>
        <v>0</v>
      </c>
      <c r="G949" s="54">
        <f>'220 Antiga Silvinho '!$F949-10</f>
        <v>-10</v>
      </c>
    </row>
    <row r="950" ht="14.25" customHeight="1">
      <c r="B950" s="140">
        <v>45895.0</v>
      </c>
      <c r="C950" s="141" t="str">
        <f t="shared" si="1"/>
        <v>8-2025</v>
      </c>
      <c r="D950" s="165" t="str">
        <f t="shared" si="99"/>
        <v/>
      </c>
      <c r="F950" s="54">
        <f>'220 Antiga Silvinho '!$E950-'220 Antiga Silvinho '!$D950</f>
        <v>0</v>
      </c>
      <c r="G950" s="54">
        <f>'220 Antiga Silvinho '!$F950-10</f>
        <v>-10</v>
      </c>
    </row>
    <row r="951" ht="14.25" customHeight="1">
      <c r="B951" s="140">
        <v>45896.0</v>
      </c>
      <c r="C951" s="141" t="str">
        <f t="shared" si="1"/>
        <v>8-2025</v>
      </c>
      <c r="D951" s="165" t="str">
        <f t="shared" si="99"/>
        <v/>
      </c>
      <c r="F951" s="54">
        <f>'220 Antiga Silvinho '!$E951-'220 Antiga Silvinho '!$D951</f>
        <v>0</v>
      </c>
      <c r="G951" s="54">
        <f>'220 Antiga Silvinho '!$F951-10</f>
        <v>-10</v>
      </c>
    </row>
    <row r="952" ht="14.25" customHeight="1">
      <c r="B952" s="140">
        <v>45897.0</v>
      </c>
      <c r="C952" s="141" t="str">
        <f t="shared" si="1"/>
        <v>8-2025</v>
      </c>
      <c r="D952" s="165" t="str">
        <f t="shared" si="99"/>
        <v/>
      </c>
      <c r="F952" s="54">
        <f>'220 Antiga Silvinho '!$E952-'220 Antiga Silvinho '!$D952</f>
        <v>0</v>
      </c>
      <c r="G952" s="54">
        <f>'220 Antiga Silvinho '!$F952-10</f>
        <v>-10</v>
      </c>
    </row>
    <row r="953" ht="14.25" customHeight="1">
      <c r="B953" s="140">
        <v>45898.0</v>
      </c>
      <c r="C953" s="141" t="str">
        <f t="shared" si="1"/>
        <v>8-2025</v>
      </c>
      <c r="D953" s="165" t="str">
        <f t="shared" si="99"/>
        <v/>
      </c>
      <c r="F953" s="54">
        <f>'220 Antiga Silvinho '!$E953-'220 Antiga Silvinho '!$D953</f>
        <v>0</v>
      </c>
      <c r="G953" s="54">
        <f>'220 Antiga Silvinho '!$F953-10</f>
        <v>-10</v>
      </c>
    </row>
    <row r="954" ht="14.25" customHeight="1">
      <c r="B954" s="145">
        <v>45899.0</v>
      </c>
      <c r="C954" s="141" t="str">
        <f t="shared" si="1"/>
        <v>8-2025</v>
      </c>
      <c r="D954" s="165" t="str">
        <f t="shared" si="99"/>
        <v/>
      </c>
      <c r="F954" s="54">
        <f>'220 Antiga Silvinho '!$E954-'220 Antiga Silvinho '!$D954</f>
        <v>0</v>
      </c>
      <c r="G954" s="54">
        <f>'220 Antiga Silvinho '!$F954-10</f>
        <v>-10</v>
      </c>
    </row>
    <row r="955" ht="14.25" customHeight="1">
      <c r="B955" s="145">
        <v>45900.0</v>
      </c>
      <c r="C955" s="141" t="str">
        <f t="shared" si="1"/>
        <v>8-2025</v>
      </c>
      <c r="D955" s="165" t="str">
        <f t="shared" si="99"/>
        <v/>
      </c>
      <c r="F955" s="54">
        <f>'220 Antiga Silvinho '!$E955-'220 Antiga Silvinho '!$D955</f>
        <v>0</v>
      </c>
      <c r="G955" s="54">
        <f>'220 Antiga Silvinho '!$F955-10</f>
        <v>-10</v>
      </c>
    </row>
    <row r="956" ht="14.25" customHeight="1">
      <c r="B956" s="140">
        <v>45901.0</v>
      </c>
      <c r="C956" s="141" t="str">
        <f t="shared" si="1"/>
        <v>9-2025</v>
      </c>
      <c r="D956" s="165" t="str">
        <f t="shared" si="99"/>
        <v/>
      </c>
      <c r="F956" s="54">
        <f>'220 Antiga Silvinho '!$E956-'220 Antiga Silvinho '!$D956</f>
        <v>0</v>
      </c>
      <c r="G956" s="54">
        <f>'220 Antiga Silvinho '!$F956-10</f>
        <v>-10</v>
      </c>
    </row>
    <row r="957" ht="14.25" customHeight="1">
      <c r="B957" s="140">
        <v>45902.0</v>
      </c>
      <c r="C957" s="141" t="str">
        <f t="shared" si="1"/>
        <v>9-2025</v>
      </c>
      <c r="D957" s="165" t="str">
        <f t="shared" si="99"/>
        <v/>
      </c>
      <c r="F957" s="54">
        <f>'220 Antiga Silvinho '!$E957-'220 Antiga Silvinho '!$D957</f>
        <v>0</v>
      </c>
      <c r="G957" s="54">
        <f>'220 Antiga Silvinho '!$F957-10</f>
        <v>-10</v>
      </c>
    </row>
    <row r="958" ht="14.25" customHeight="1">
      <c r="B958" s="140">
        <v>45903.0</v>
      </c>
      <c r="C958" s="141" t="str">
        <f t="shared" si="1"/>
        <v>9-2025</v>
      </c>
      <c r="D958" s="165" t="str">
        <f t="shared" si="99"/>
        <v/>
      </c>
      <c r="F958" s="54">
        <f>'220 Antiga Silvinho '!$E958-'220 Antiga Silvinho '!$D958</f>
        <v>0</v>
      </c>
      <c r="G958" s="54">
        <f>'220 Antiga Silvinho '!$F958-10</f>
        <v>-10</v>
      </c>
    </row>
    <row r="959" ht="14.25" customHeight="1">
      <c r="B959" s="140">
        <v>45904.0</v>
      </c>
      <c r="C959" s="141" t="str">
        <f t="shared" si="1"/>
        <v>9-2025</v>
      </c>
      <c r="D959" s="165" t="str">
        <f t="shared" si="99"/>
        <v/>
      </c>
      <c r="F959" s="54">
        <f>'220 Antiga Silvinho '!$E959-'220 Antiga Silvinho '!$D959</f>
        <v>0</v>
      </c>
      <c r="G959" s="54">
        <f>'220 Antiga Silvinho '!$F959-10</f>
        <v>-10</v>
      </c>
    </row>
    <row r="960" ht="14.25" customHeight="1">
      <c r="B960" s="140">
        <v>45905.0</v>
      </c>
      <c r="C960" s="141" t="str">
        <f t="shared" si="1"/>
        <v>9-2025</v>
      </c>
      <c r="D960" s="165" t="str">
        <f t="shared" si="99"/>
        <v/>
      </c>
      <c r="F960" s="54">
        <f>'220 Antiga Silvinho '!$E960-'220 Antiga Silvinho '!$D960</f>
        <v>0</v>
      </c>
      <c r="G960" s="54">
        <f>'220 Antiga Silvinho '!$F960-10</f>
        <v>-10</v>
      </c>
    </row>
    <row r="961" ht="14.25" customHeight="1">
      <c r="B961" s="145">
        <v>45906.0</v>
      </c>
      <c r="C961" s="141" t="str">
        <f t="shared" si="1"/>
        <v>9-2025</v>
      </c>
      <c r="D961" s="165" t="str">
        <f t="shared" si="99"/>
        <v/>
      </c>
      <c r="F961" s="54">
        <f>'220 Antiga Silvinho '!$E961-'220 Antiga Silvinho '!$D961</f>
        <v>0</v>
      </c>
      <c r="G961" s="54">
        <f>'220 Antiga Silvinho '!$F961-10</f>
        <v>-10</v>
      </c>
    </row>
    <row r="962" ht="14.25" customHeight="1">
      <c r="B962" s="145">
        <v>45907.0</v>
      </c>
      <c r="C962" s="141" t="str">
        <f t="shared" si="1"/>
        <v>9-2025</v>
      </c>
      <c r="D962" s="28">
        <v>10509.3</v>
      </c>
      <c r="E962" s="28">
        <v>10516.2</v>
      </c>
      <c r="F962" s="54">
        <f>'220 Antiga Silvinho '!$E962-'220 Antiga Silvinho '!$D962</f>
        <v>6.9</v>
      </c>
      <c r="G962" s="54">
        <f>'220 Antiga Silvinho '!$F962-10</f>
        <v>-3.1</v>
      </c>
      <c r="H962" s="28" t="s">
        <v>133</v>
      </c>
    </row>
    <row r="963" ht="14.25" customHeight="1">
      <c r="B963" s="140">
        <v>45908.0</v>
      </c>
      <c r="C963" s="141" t="str">
        <f t="shared" si="1"/>
        <v>9-2025</v>
      </c>
      <c r="F963" s="54">
        <f>'220 Antiga Silvinho '!$E963-'220 Antiga Silvinho '!$D963</f>
        <v>0</v>
      </c>
      <c r="G963" s="54">
        <f>'220 Antiga Silvinho '!$F963-10</f>
        <v>-10</v>
      </c>
    </row>
    <row r="964" ht="14.25" customHeight="1">
      <c r="B964" s="140">
        <v>45909.0</v>
      </c>
      <c r="C964" s="141" t="str">
        <f t="shared" si="1"/>
        <v>9-2025</v>
      </c>
      <c r="D964" s="165" t="str">
        <f t="shared" ref="D964:D966" si="100">E963</f>
        <v/>
      </c>
      <c r="F964" s="54">
        <f>'220 Antiga Silvinho '!$E964-'220 Antiga Silvinho '!$D964</f>
        <v>0</v>
      </c>
      <c r="G964" s="54">
        <f>'220 Antiga Silvinho '!$F964-10</f>
        <v>-10</v>
      </c>
    </row>
    <row r="965" ht="14.25" customHeight="1">
      <c r="B965" s="140">
        <v>45910.0</v>
      </c>
      <c r="C965" s="141" t="str">
        <f t="shared" si="1"/>
        <v>9-2025</v>
      </c>
      <c r="D965" s="165" t="str">
        <f t="shared" si="100"/>
        <v/>
      </c>
      <c r="F965" s="54">
        <f>'220 Antiga Silvinho '!$E965-'220 Antiga Silvinho '!$D965</f>
        <v>0</v>
      </c>
      <c r="G965" s="54">
        <f>'220 Antiga Silvinho '!$F965-10</f>
        <v>-10</v>
      </c>
    </row>
    <row r="966" ht="14.25" customHeight="1">
      <c r="B966" s="140">
        <v>45911.0</v>
      </c>
      <c r="C966" s="141" t="str">
        <f t="shared" si="1"/>
        <v>9-2025</v>
      </c>
      <c r="D966" s="165" t="str">
        <f t="shared" si="100"/>
        <v/>
      </c>
      <c r="F966" s="54">
        <f>'220 Antiga Silvinho '!$E966-'220 Antiga Silvinho '!$D966</f>
        <v>0</v>
      </c>
      <c r="G966" s="54">
        <f>'220 Antiga Silvinho '!$F966-10</f>
        <v>-10</v>
      </c>
    </row>
    <row r="967" ht="14.25" customHeight="1">
      <c r="B967" s="140">
        <v>45912.0</v>
      </c>
      <c r="C967" s="141" t="str">
        <f t="shared" si="1"/>
        <v>9-2025</v>
      </c>
      <c r="D967" s="28">
        <v>10516.2</v>
      </c>
      <c r="E967" s="28">
        <v>10527.2</v>
      </c>
      <c r="F967" s="54">
        <f>'220 Antiga Silvinho '!$E967-'220 Antiga Silvinho '!$D967</f>
        <v>11</v>
      </c>
      <c r="G967" s="54">
        <f>'220 Antiga Silvinho '!$F967-10</f>
        <v>1</v>
      </c>
    </row>
    <row r="968" ht="14.25" customHeight="1">
      <c r="B968" s="145">
        <v>45913.0</v>
      </c>
      <c r="C968" s="141" t="str">
        <f t="shared" si="1"/>
        <v>9-2025</v>
      </c>
      <c r="D968" s="165">
        <f t="shared" ref="D968:D974" si="101">E967</f>
        <v>10527.2</v>
      </c>
      <c r="E968" s="28">
        <v>10539.0</v>
      </c>
      <c r="F968" s="54">
        <f>'220 Antiga Silvinho '!$E968-'220 Antiga Silvinho '!$D968</f>
        <v>11.8</v>
      </c>
      <c r="G968" s="54">
        <f>'220 Antiga Silvinho '!$F968-10</f>
        <v>1.8</v>
      </c>
    </row>
    <row r="969" ht="14.25" customHeight="1">
      <c r="B969" s="145">
        <v>45914.0</v>
      </c>
      <c r="C969" s="141" t="str">
        <f t="shared" si="1"/>
        <v>9-2025</v>
      </c>
      <c r="D969" s="165">
        <f t="shared" si="101"/>
        <v>10539</v>
      </c>
      <c r="E969" s="28">
        <v>10550.0</v>
      </c>
      <c r="F969" s="54">
        <f>'220 Antiga Silvinho '!$E969-'220 Antiga Silvinho '!$D969</f>
        <v>11</v>
      </c>
      <c r="G969" s="54">
        <f>'220 Antiga Silvinho '!$F969-10</f>
        <v>1</v>
      </c>
    </row>
    <row r="970" ht="14.25" customHeight="1">
      <c r="B970" s="140">
        <v>45915.0</v>
      </c>
      <c r="C970" s="141" t="str">
        <f t="shared" si="1"/>
        <v>9-2025</v>
      </c>
      <c r="D970" s="165">
        <f t="shared" si="101"/>
        <v>10550</v>
      </c>
      <c r="E970" s="28">
        <v>10561.0</v>
      </c>
      <c r="F970" s="54">
        <f>'220 Antiga Silvinho '!$E970-'220 Antiga Silvinho '!$D970</f>
        <v>11</v>
      </c>
      <c r="G970" s="54">
        <f>'220 Antiga Silvinho '!$F970-10</f>
        <v>1</v>
      </c>
    </row>
    <row r="971" ht="14.25" customHeight="1">
      <c r="B971" s="140">
        <v>45916.0</v>
      </c>
      <c r="C971" s="141" t="str">
        <f t="shared" si="1"/>
        <v>9-2025</v>
      </c>
      <c r="D971" s="165">
        <f t="shared" si="101"/>
        <v>10561</v>
      </c>
      <c r="E971" s="28">
        <v>10570.0</v>
      </c>
      <c r="F971" s="54">
        <f>'220 Antiga Silvinho '!$E971-'220 Antiga Silvinho '!$D971</f>
        <v>9</v>
      </c>
      <c r="G971" s="54">
        <f>'220 Antiga Silvinho '!$F971-10</f>
        <v>-1</v>
      </c>
    </row>
    <row r="972" ht="14.25" customHeight="1">
      <c r="B972" s="140">
        <v>45917.0</v>
      </c>
      <c r="C972" s="141" t="str">
        <f t="shared" si="1"/>
        <v>9-2025</v>
      </c>
      <c r="D972" s="165">
        <f t="shared" si="101"/>
        <v>10570</v>
      </c>
      <c r="E972" s="28">
        <v>10576.6</v>
      </c>
      <c r="F972" s="54">
        <f>'220 Antiga Silvinho '!$E972-'220 Antiga Silvinho '!$D972</f>
        <v>6.6</v>
      </c>
      <c r="G972" s="54">
        <f>'220 Antiga Silvinho '!$F972-10</f>
        <v>-3.4</v>
      </c>
    </row>
    <row r="973" ht="14.25" customHeight="1">
      <c r="B973" s="140">
        <v>45918.0</v>
      </c>
      <c r="C973" s="141" t="str">
        <f t="shared" si="1"/>
        <v>9-2025</v>
      </c>
      <c r="D973" s="165">
        <f t="shared" si="101"/>
        <v>10576.6</v>
      </c>
      <c r="E973" s="28">
        <v>10588.0</v>
      </c>
      <c r="F973" s="54">
        <f>'220 Antiga Silvinho '!$E973-'220 Antiga Silvinho '!$D973</f>
        <v>11.4</v>
      </c>
      <c r="G973" s="54">
        <f>'220 Antiga Silvinho '!$F973-10</f>
        <v>1.4</v>
      </c>
    </row>
    <row r="974" ht="14.25" customHeight="1">
      <c r="B974" s="140">
        <v>45919.0</v>
      </c>
      <c r="C974" s="141" t="str">
        <f t="shared" si="1"/>
        <v>9-2025</v>
      </c>
      <c r="D974" s="165">
        <f t="shared" si="101"/>
        <v>10588</v>
      </c>
      <c r="E974" s="28">
        <v>10598.0</v>
      </c>
      <c r="F974" s="54">
        <f>'220 Antiga Silvinho '!$E974-'220 Antiga Silvinho '!$D974</f>
        <v>10</v>
      </c>
      <c r="G974" s="54">
        <f>'220 Antiga Silvinho '!$F974-10</f>
        <v>0</v>
      </c>
    </row>
    <row r="975" ht="14.25" customHeight="1">
      <c r="B975" s="145">
        <v>45920.0</v>
      </c>
      <c r="C975" s="141" t="str">
        <f t="shared" si="1"/>
        <v>9-2025</v>
      </c>
      <c r="F975" s="54">
        <f>'220 Antiga Silvinho '!$E975-'220 Antiga Silvinho '!$D975</f>
        <v>0</v>
      </c>
      <c r="G975" s="54">
        <f>'220 Antiga Silvinho '!$F975-10</f>
        <v>-10</v>
      </c>
    </row>
    <row r="976" ht="14.25" customHeight="1">
      <c r="B976" s="145">
        <v>45921.0</v>
      </c>
      <c r="C976" s="141" t="str">
        <f t="shared" si="1"/>
        <v>9-2025</v>
      </c>
      <c r="D976" s="165" t="str">
        <f>E975</f>
        <v/>
      </c>
      <c r="F976" s="54">
        <f>'220 Antiga Silvinho '!$E976-'220 Antiga Silvinho '!$D976</f>
        <v>0</v>
      </c>
      <c r="G976" s="54">
        <f>'220 Antiga Silvinho '!$F976-10</f>
        <v>-10</v>
      </c>
    </row>
    <row r="977" ht="14.25" customHeight="1">
      <c r="B977" s="140">
        <v>45922.0</v>
      </c>
      <c r="C977" s="141" t="str">
        <f t="shared" si="1"/>
        <v>9-2025</v>
      </c>
      <c r="D977" s="28">
        <v>10598.0</v>
      </c>
      <c r="E977" s="28">
        <v>10606.0</v>
      </c>
      <c r="F977" s="54">
        <f>'220 Antiga Silvinho '!$E977-'220 Antiga Silvinho '!$D977</f>
        <v>8</v>
      </c>
      <c r="G977" s="54">
        <f>'220 Antiga Silvinho '!$F977-10</f>
        <v>-2</v>
      </c>
    </row>
    <row r="978" ht="14.25" customHeight="1">
      <c r="B978" s="140">
        <v>45923.0</v>
      </c>
      <c r="C978" s="141" t="str">
        <f t="shared" si="1"/>
        <v>9-2025</v>
      </c>
      <c r="D978" s="165">
        <f t="shared" ref="D978:D985" si="102">E977</f>
        <v>10606</v>
      </c>
      <c r="E978" s="28">
        <v>10613.0</v>
      </c>
      <c r="F978" s="54">
        <f>'220 Antiga Silvinho '!$E978-'220 Antiga Silvinho '!$D978</f>
        <v>7</v>
      </c>
      <c r="G978" s="54">
        <f>'220 Antiga Silvinho '!$F978-10</f>
        <v>-3</v>
      </c>
    </row>
    <row r="979" ht="14.25" customHeight="1">
      <c r="B979" s="140">
        <v>45924.0</v>
      </c>
      <c r="C979" s="141" t="str">
        <f t="shared" si="1"/>
        <v>9-2025</v>
      </c>
      <c r="D979" s="165">
        <f t="shared" si="102"/>
        <v>10613</v>
      </c>
      <c r="E979" s="28">
        <v>10624.0</v>
      </c>
      <c r="F979" s="54">
        <f>'220 Antiga Silvinho '!$E979-'220 Antiga Silvinho '!$D979</f>
        <v>11</v>
      </c>
      <c r="G979" s="54">
        <f>'220 Antiga Silvinho '!$F979-10</f>
        <v>1</v>
      </c>
    </row>
    <row r="980" ht="14.25" customHeight="1">
      <c r="B980" s="140">
        <v>45925.0</v>
      </c>
      <c r="C980" s="141" t="str">
        <f t="shared" si="1"/>
        <v>9-2025</v>
      </c>
      <c r="D980" s="165">
        <f t="shared" si="102"/>
        <v>10624</v>
      </c>
      <c r="E980" s="28">
        <v>10631.5</v>
      </c>
      <c r="F980" s="54">
        <f>'220 Antiga Silvinho '!$E980-'220 Antiga Silvinho '!$D980</f>
        <v>7.5</v>
      </c>
      <c r="G980" s="54">
        <f>'220 Antiga Silvinho '!$F980-10</f>
        <v>-2.5</v>
      </c>
    </row>
    <row r="981" ht="14.25" customHeight="1">
      <c r="B981" s="140">
        <v>45926.0</v>
      </c>
      <c r="C981" s="141" t="str">
        <f t="shared" si="1"/>
        <v>9-2025</v>
      </c>
      <c r="D981" s="165">
        <f t="shared" si="102"/>
        <v>10631.5</v>
      </c>
      <c r="E981" s="28">
        <v>10639.8</v>
      </c>
      <c r="F981" s="54">
        <f>'220 Antiga Silvinho '!$E981-'220 Antiga Silvinho '!$D981</f>
        <v>8.3</v>
      </c>
      <c r="G981" s="54">
        <f>'220 Antiga Silvinho '!$F981-10</f>
        <v>-1.7</v>
      </c>
    </row>
    <row r="982" ht="14.25" customHeight="1">
      <c r="B982" s="145">
        <v>45927.0</v>
      </c>
      <c r="C982" s="141" t="str">
        <f t="shared" si="1"/>
        <v>9-2025</v>
      </c>
      <c r="D982" s="165">
        <f t="shared" si="102"/>
        <v>10639.8</v>
      </c>
      <c r="E982" s="28">
        <v>10654.0</v>
      </c>
      <c r="F982" s="54">
        <f>'220 Antiga Silvinho '!$E982-'220 Antiga Silvinho '!$D982</f>
        <v>14.2</v>
      </c>
      <c r="G982" s="54">
        <f>'220 Antiga Silvinho '!$F982-10</f>
        <v>4.2</v>
      </c>
    </row>
    <row r="983" ht="14.25" customHeight="1">
      <c r="B983" s="145">
        <v>45928.0</v>
      </c>
      <c r="C983" s="141" t="str">
        <f t="shared" si="1"/>
        <v>9-2025</v>
      </c>
      <c r="D983" s="165">
        <f t="shared" si="102"/>
        <v>10654</v>
      </c>
      <c r="E983" s="28">
        <v>10671.0</v>
      </c>
      <c r="F983" s="54">
        <f>'220 Antiga Silvinho '!$E983-'220 Antiga Silvinho '!$D983</f>
        <v>17</v>
      </c>
      <c r="G983" s="54">
        <f>'220 Antiga Silvinho '!$F983-10</f>
        <v>7</v>
      </c>
    </row>
    <row r="984" ht="14.25" customHeight="1">
      <c r="B984" s="140">
        <v>45929.0</v>
      </c>
      <c r="C984" s="141" t="str">
        <f t="shared" si="1"/>
        <v>9-2025</v>
      </c>
      <c r="D984" s="165">
        <f t="shared" si="102"/>
        <v>10671</v>
      </c>
      <c r="E984" s="28">
        <v>10686.0</v>
      </c>
      <c r="F984" s="54">
        <f>'220 Antiga Silvinho '!$E984-'220 Antiga Silvinho '!$D984</f>
        <v>15</v>
      </c>
      <c r="G984" s="54">
        <f>'220 Antiga Silvinho '!$F984-10</f>
        <v>5</v>
      </c>
    </row>
    <row r="985" ht="14.25" customHeight="1">
      <c r="B985" s="140">
        <v>45930.0</v>
      </c>
      <c r="C985" s="141" t="str">
        <f t="shared" si="1"/>
        <v>9-2025</v>
      </c>
      <c r="D985" s="165">
        <f t="shared" si="102"/>
        <v>10686</v>
      </c>
      <c r="E985" s="28">
        <v>10691.5</v>
      </c>
      <c r="F985" s="54">
        <f>'220 Antiga Silvinho '!$E985-'220 Antiga Silvinho '!$D985</f>
        <v>5.5</v>
      </c>
      <c r="G985" s="54">
        <f>'220 Antiga Silvinho '!$F985-10</f>
        <v>-4.5</v>
      </c>
    </row>
    <row r="986" ht="14.25" customHeight="1">
      <c r="B986" s="140">
        <v>45931.0</v>
      </c>
      <c r="C986" s="141" t="str">
        <f t="shared" si="1"/>
        <v>10-2025</v>
      </c>
      <c r="D986" s="28">
        <v>10691.5</v>
      </c>
      <c r="E986" s="28">
        <v>10701.7</v>
      </c>
      <c r="F986" s="54">
        <f>'220 Antiga Silvinho '!$E986-'220 Antiga Silvinho '!$D986</f>
        <v>10.2</v>
      </c>
      <c r="G986" s="54">
        <f>'220 Antiga Silvinho '!$F986-10</f>
        <v>0.2</v>
      </c>
    </row>
    <row r="987" ht="14.25" customHeight="1">
      <c r="B987" s="140">
        <v>45932.0</v>
      </c>
      <c r="C987" s="141" t="str">
        <f t="shared" si="1"/>
        <v>10-2025</v>
      </c>
      <c r="F987" s="54">
        <f>'220 Antiga Silvinho '!$E987-'220 Antiga Silvinho '!$D987</f>
        <v>0</v>
      </c>
      <c r="G987" s="54">
        <f>'220 Antiga Silvinho '!$F987-10</f>
        <v>-10</v>
      </c>
    </row>
    <row r="988" ht="14.25" customHeight="1">
      <c r="B988" s="140">
        <v>45933.0</v>
      </c>
      <c r="C988" s="141" t="str">
        <f t="shared" si="1"/>
        <v>10-2025</v>
      </c>
      <c r="D988" s="165" t="str">
        <f t="shared" ref="D988:D991" si="103">E987</f>
        <v/>
      </c>
      <c r="F988" s="54">
        <f>'220 Antiga Silvinho '!$E988-'220 Antiga Silvinho '!$D988</f>
        <v>0</v>
      </c>
      <c r="G988" s="54">
        <f>'220 Antiga Silvinho '!$F988-10</f>
        <v>-10</v>
      </c>
    </row>
    <row r="989" ht="14.25" customHeight="1">
      <c r="B989" s="152">
        <v>45934.0</v>
      </c>
      <c r="C989" s="141" t="str">
        <f t="shared" si="1"/>
        <v>10-2025</v>
      </c>
      <c r="D989" s="165" t="str">
        <f t="shared" si="103"/>
        <v/>
      </c>
      <c r="F989" s="54">
        <f>'220 Antiga Silvinho '!$E989-'220 Antiga Silvinho '!$D989</f>
        <v>0</v>
      </c>
      <c r="G989" s="54">
        <f>'220 Antiga Silvinho '!$F989-10</f>
        <v>-10</v>
      </c>
    </row>
    <row r="990" ht="14.25" customHeight="1">
      <c r="B990" s="152">
        <v>45935.0</v>
      </c>
      <c r="C990" s="141" t="str">
        <f t="shared" si="1"/>
        <v>10-2025</v>
      </c>
      <c r="D990" s="165" t="str">
        <f t="shared" si="103"/>
        <v/>
      </c>
      <c r="F990" s="54">
        <f>'220 Antiga Silvinho '!$E990-'220 Antiga Silvinho '!$D990</f>
        <v>0</v>
      </c>
      <c r="G990" s="54">
        <f>'220 Antiga Silvinho '!$F990-10</f>
        <v>-10</v>
      </c>
    </row>
    <row r="991" ht="14.25" customHeight="1">
      <c r="B991" s="140">
        <v>45936.0</v>
      </c>
      <c r="C991" s="141" t="str">
        <f t="shared" si="1"/>
        <v>10-2025</v>
      </c>
      <c r="D991" s="165" t="str">
        <f t="shared" si="103"/>
        <v/>
      </c>
      <c r="F991" s="54">
        <f>'220 Antiga Silvinho '!$E991-'220 Antiga Silvinho '!$D991</f>
        <v>0</v>
      </c>
      <c r="G991" s="54">
        <f>'220 Antiga Silvinho '!$F991-10</f>
        <v>-10</v>
      </c>
    </row>
    <row r="992" ht="14.25" customHeight="1">
      <c r="B992" s="140">
        <v>45937.0</v>
      </c>
      <c r="C992" s="141" t="str">
        <f t="shared" si="1"/>
        <v>10-2025</v>
      </c>
      <c r="D992" s="28">
        <v>10701.7</v>
      </c>
      <c r="E992" s="28">
        <v>10709.5</v>
      </c>
      <c r="F992" s="54">
        <f>'220 Antiga Silvinho '!$E992-'220 Antiga Silvinho '!$D992</f>
        <v>7.8</v>
      </c>
      <c r="G992" s="54">
        <f>'220 Antiga Silvinho '!$F992-10</f>
        <v>-2.2</v>
      </c>
    </row>
    <row r="993" ht="14.25" customHeight="1">
      <c r="B993" s="140">
        <v>45938.0</v>
      </c>
      <c r="C993" s="141" t="str">
        <f t="shared" si="1"/>
        <v>10-2025</v>
      </c>
      <c r="D993" s="165">
        <f t="shared" ref="D993:D996" si="104">E992</f>
        <v>10709.5</v>
      </c>
      <c r="E993" s="28">
        <v>10720.5</v>
      </c>
      <c r="F993" s="54">
        <f>'220 Antiga Silvinho '!$E993-'220 Antiga Silvinho '!$D993</f>
        <v>11</v>
      </c>
      <c r="G993" s="54">
        <f>'220 Antiga Silvinho '!$F993-10</f>
        <v>1</v>
      </c>
    </row>
    <row r="994" ht="14.25" customHeight="1">
      <c r="B994" s="140">
        <v>45939.0</v>
      </c>
      <c r="C994" s="141" t="str">
        <f t="shared" si="1"/>
        <v>10-2025</v>
      </c>
      <c r="D994" s="165">
        <f t="shared" si="104"/>
        <v>10720.5</v>
      </c>
      <c r="E994" s="28">
        <v>10731.5</v>
      </c>
      <c r="F994" s="54">
        <f>'220 Antiga Silvinho '!$E994-'220 Antiga Silvinho '!$D994</f>
        <v>11</v>
      </c>
      <c r="G994" s="54">
        <f>'220 Antiga Silvinho '!$F994-10</f>
        <v>1</v>
      </c>
    </row>
    <row r="995" ht="14.25" customHeight="1">
      <c r="B995" s="140">
        <v>45940.0</v>
      </c>
      <c r="C995" s="141" t="str">
        <f t="shared" si="1"/>
        <v>10-2025</v>
      </c>
      <c r="D995" s="165">
        <f t="shared" si="104"/>
        <v>10731.5</v>
      </c>
      <c r="E995" s="28">
        <v>10741.5</v>
      </c>
      <c r="F995" s="54">
        <f>'220 Antiga Silvinho '!$E995-'220 Antiga Silvinho '!$D995</f>
        <v>10</v>
      </c>
      <c r="G995" s="54">
        <f>'220 Antiga Silvinho '!$F995-10</f>
        <v>0</v>
      </c>
    </row>
    <row r="996" ht="14.25" customHeight="1">
      <c r="B996" s="152">
        <v>45941.0</v>
      </c>
      <c r="C996" s="141" t="str">
        <f t="shared" si="1"/>
        <v>10-2025</v>
      </c>
      <c r="D996" s="165">
        <f t="shared" si="104"/>
        <v>10741.5</v>
      </c>
      <c r="E996" s="28">
        <v>10745.5</v>
      </c>
      <c r="F996" s="54">
        <f>'220 Antiga Silvinho '!$E996-'220 Antiga Silvinho '!$D996</f>
        <v>4</v>
      </c>
      <c r="G996" s="54">
        <f>'220 Antiga Silvinho '!$F996-10</f>
        <v>-6</v>
      </c>
    </row>
    <row r="997" ht="14.25" customHeight="1">
      <c r="B997" s="152">
        <v>45942.0</v>
      </c>
      <c r="C997" s="141" t="str">
        <f t="shared" si="1"/>
        <v>10-2025</v>
      </c>
      <c r="F997" s="54">
        <f>'220 Antiga Silvinho '!$E997-'220 Antiga Silvinho '!$D997</f>
        <v>0</v>
      </c>
      <c r="G997" s="54">
        <f>'220 Antiga Silvinho '!$F997-10</f>
        <v>-10</v>
      </c>
    </row>
    <row r="998" ht="14.25" customHeight="1">
      <c r="B998" s="140">
        <v>45943.0</v>
      </c>
      <c r="C998" s="141" t="str">
        <f t="shared" si="1"/>
        <v>10-2025</v>
      </c>
      <c r="D998" s="28">
        <v>10745.5</v>
      </c>
      <c r="E998" s="28">
        <v>10751.1</v>
      </c>
      <c r="F998" s="54">
        <f>'220 Antiga Silvinho '!$E998-'220 Antiga Silvinho '!$D998</f>
        <v>5.6</v>
      </c>
      <c r="G998" s="54">
        <f>'220 Antiga Silvinho '!$F998-10</f>
        <v>-4.4</v>
      </c>
    </row>
    <row r="999" ht="14.25" customHeight="1">
      <c r="B999" s="140">
        <v>45944.0</v>
      </c>
      <c r="C999" s="141" t="str">
        <f t="shared" si="1"/>
        <v>10-2025</v>
      </c>
      <c r="F999" s="54">
        <f>'220 Antiga Silvinho '!$E999-'220 Antiga Silvinho '!$D999</f>
        <v>0</v>
      </c>
      <c r="G999" s="54">
        <f>'220 Antiga Silvinho '!$F999-10</f>
        <v>-10</v>
      </c>
    </row>
    <row r="1000" ht="14.25" customHeight="1">
      <c r="B1000" s="140">
        <v>45945.0</v>
      </c>
      <c r="C1000" s="141" t="str">
        <f t="shared" si="1"/>
        <v>10-2025</v>
      </c>
      <c r="D1000" s="165" t="str">
        <f t="shared" ref="D1000:D1001" si="105">E999</f>
        <v/>
      </c>
      <c r="F1000" s="54">
        <f>'220 Antiga Silvinho '!$E1000-'220 Antiga Silvinho '!$D1000</f>
        <v>0</v>
      </c>
      <c r="G1000" s="54">
        <f>'220 Antiga Silvinho '!$F1000-10</f>
        <v>-10</v>
      </c>
    </row>
    <row r="1001" ht="14.25" customHeight="1">
      <c r="B1001" s="140">
        <v>45946.0</v>
      </c>
      <c r="C1001" s="141" t="str">
        <f t="shared" si="1"/>
        <v>10-2025</v>
      </c>
      <c r="D1001" s="165" t="str">
        <f t="shared" si="105"/>
        <v/>
      </c>
      <c r="F1001" s="54">
        <f>'220 Antiga Silvinho '!$E1001-'220 Antiga Silvinho '!$D1001</f>
        <v>0</v>
      </c>
      <c r="G1001" s="54">
        <f>'220 Antiga Silvinho '!$F1001-10</f>
        <v>-10</v>
      </c>
    </row>
    <row r="1002" ht="14.25" customHeight="1">
      <c r="B1002" s="140">
        <v>45947.0</v>
      </c>
      <c r="C1002" s="141" t="str">
        <f t="shared" si="1"/>
        <v>10-2025</v>
      </c>
      <c r="D1002" s="28">
        <v>10755.5</v>
      </c>
      <c r="E1002" s="28">
        <v>10761.6</v>
      </c>
      <c r="F1002" s="54">
        <f>'220 Antiga Silvinho '!$E1002-'220 Antiga Silvinho '!$D1002</f>
        <v>6.1</v>
      </c>
      <c r="G1002" s="54">
        <f>'220 Antiga Silvinho '!$F1002-10</f>
        <v>-3.9</v>
      </c>
    </row>
    <row r="1003" ht="14.25" customHeight="1">
      <c r="B1003" s="152">
        <v>45948.0</v>
      </c>
      <c r="C1003" s="141" t="str">
        <f t="shared" si="1"/>
        <v>10-2025</v>
      </c>
      <c r="D1003" s="165">
        <f t="shared" ref="D1003:D1008" si="106">E1002</f>
        <v>10761.6</v>
      </c>
      <c r="E1003" s="28">
        <v>10770.5</v>
      </c>
      <c r="F1003" s="54">
        <f>'220 Antiga Silvinho '!$E1003-'220 Antiga Silvinho '!$D1003</f>
        <v>8.9</v>
      </c>
      <c r="G1003" s="54">
        <f>'220 Antiga Silvinho '!$F1003-10</f>
        <v>-1.1</v>
      </c>
    </row>
    <row r="1004" ht="14.25" customHeight="1">
      <c r="B1004" s="152">
        <v>45949.0</v>
      </c>
      <c r="C1004" s="141" t="str">
        <f t="shared" si="1"/>
        <v>10-2025</v>
      </c>
      <c r="D1004" s="165">
        <f t="shared" si="106"/>
        <v>10770.5</v>
      </c>
      <c r="E1004" s="28">
        <v>10781.0</v>
      </c>
      <c r="F1004" s="54">
        <f>'220 Antiga Silvinho '!$E1004-'220 Antiga Silvinho '!$D1004</f>
        <v>10.5</v>
      </c>
      <c r="G1004" s="54">
        <f>'220 Antiga Silvinho '!$F1004-10</f>
        <v>0.5</v>
      </c>
    </row>
    <row r="1005" ht="14.25" customHeight="1">
      <c r="B1005" s="140">
        <v>45950.0</v>
      </c>
      <c r="C1005" s="141" t="str">
        <f t="shared" si="1"/>
        <v>10-2025</v>
      </c>
      <c r="D1005" s="165">
        <f t="shared" si="106"/>
        <v>10781</v>
      </c>
      <c r="E1005" s="28">
        <v>10790.1</v>
      </c>
      <c r="F1005" s="54">
        <f>'220 Antiga Silvinho '!$E1005-'220 Antiga Silvinho '!$D1005</f>
        <v>9.1</v>
      </c>
      <c r="G1005" s="54">
        <f>'220 Antiga Silvinho '!$F1005-10</f>
        <v>-0.9</v>
      </c>
    </row>
    <row r="1006" ht="14.25" customHeight="1">
      <c r="B1006" s="140">
        <v>45951.0</v>
      </c>
      <c r="C1006" s="141" t="str">
        <f t="shared" si="1"/>
        <v>10-2025</v>
      </c>
      <c r="D1006" s="165">
        <f t="shared" si="106"/>
        <v>10790.1</v>
      </c>
      <c r="E1006" s="28">
        <v>10801.0</v>
      </c>
      <c r="F1006" s="54">
        <f>'220 Antiga Silvinho '!$E1006-'220 Antiga Silvinho '!$D1006</f>
        <v>10.9</v>
      </c>
      <c r="G1006" s="54">
        <f>'220 Antiga Silvinho '!$F1006-10</f>
        <v>0.9</v>
      </c>
    </row>
    <row r="1007" ht="14.25" customHeight="1">
      <c r="B1007" s="140">
        <v>45952.0</v>
      </c>
      <c r="C1007" s="141" t="str">
        <f t="shared" si="1"/>
        <v>10-2025</v>
      </c>
      <c r="D1007" s="165">
        <f t="shared" si="106"/>
        <v>10801</v>
      </c>
      <c r="E1007" s="28">
        <v>10812.0</v>
      </c>
      <c r="F1007" s="54">
        <f>'220 Antiga Silvinho '!$E1007-'220 Antiga Silvinho '!$D1007</f>
        <v>11</v>
      </c>
      <c r="G1007" s="54">
        <f>'220 Antiga Silvinho '!$F1007-10</f>
        <v>1</v>
      </c>
    </row>
    <row r="1008" ht="14.25" customHeight="1">
      <c r="B1008" s="140">
        <v>45953.0</v>
      </c>
      <c r="C1008" s="141" t="str">
        <f t="shared" si="1"/>
        <v>10-2025</v>
      </c>
      <c r="D1008" s="165">
        <f t="shared" si="106"/>
        <v>10812</v>
      </c>
      <c r="E1008" s="28">
        <v>10819.4</v>
      </c>
      <c r="F1008" s="54">
        <f>'220 Antiga Silvinho '!$E1008-'220 Antiga Silvinho '!$D1008</f>
        <v>7.4</v>
      </c>
      <c r="G1008" s="54">
        <f>'220 Antiga Silvinho '!$F1008-10</f>
        <v>-2.6</v>
      </c>
    </row>
    <row r="1009" ht="14.25" customHeight="1">
      <c r="B1009" s="140">
        <v>45954.0</v>
      </c>
      <c r="C1009" s="141" t="str">
        <f t="shared" si="1"/>
        <v>10-2025</v>
      </c>
      <c r="F1009" s="54">
        <f>'220 Antiga Silvinho '!$E1009-'220 Antiga Silvinho '!$D1009</f>
        <v>0</v>
      </c>
      <c r="G1009" s="54">
        <f>'220 Antiga Silvinho '!$F1009-10</f>
        <v>-10</v>
      </c>
    </row>
    <row r="1010" ht="14.25" customHeight="1">
      <c r="B1010" s="152">
        <v>45955.0</v>
      </c>
      <c r="C1010" s="141" t="str">
        <f t="shared" si="1"/>
        <v>10-2025</v>
      </c>
      <c r="D1010" s="165" t="str">
        <f t="shared" ref="D1010:D1011" si="107">E1009</f>
        <v/>
      </c>
      <c r="F1010" s="54">
        <f>'220 Antiga Silvinho '!$E1010-'220 Antiga Silvinho '!$D1010</f>
        <v>0</v>
      </c>
      <c r="G1010" s="54">
        <f>'220 Antiga Silvinho '!$F1010-10</f>
        <v>-10</v>
      </c>
    </row>
    <row r="1011" ht="14.25" customHeight="1">
      <c r="B1011" s="152">
        <v>45956.0</v>
      </c>
      <c r="C1011" s="141" t="str">
        <f t="shared" si="1"/>
        <v>10-2025</v>
      </c>
      <c r="D1011" s="165" t="str">
        <f t="shared" si="107"/>
        <v/>
      </c>
      <c r="F1011" s="54">
        <f>'220 Antiga Silvinho '!$E1011-'220 Antiga Silvinho '!$D1011</f>
        <v>0</v>
      </c>
      <c r="G1011" s="54">
        <f>'220 Antiga Silvinho '!$F1011-10</f>
        <v>-10</v>
      </c>
    </row>
    <row r="1012" ht="14.25" customHeight="1">
      <c r="B1012" s="140">
        <v>45957.0</v>
      </c>
      <c r="C1012" s="141" t="str">
        <f t="shared" si="1"/>
        <v>10-2025</v>
      </c>
      <c r="D1012" s="28">
        <v>10819.4</v>
      </c>
      <c r="E1012" s="28">
        <v>10826.2</v>
      </c>
      <c r="F1012" s="54">
        <f>'220 Antiga Silvinho '!$E1012-'220 Antiga Silvinho '!$D1012</f>
        <v>6.8</v>
      </c>
      <c r="G1012" s="54">
        <f>'220 Antiga Silvinho '!$F1012-10</f>
        <v>-3.2</v>
      </c>
    </row>
    <row r="1013" ht="14.25" customHeight="1">
      <c r="B1013" s="140">
        <v>45958.0</v>
      </c>
      <c r="C1013" s="141" t="str">
        <f t="shared" si="1"/>
        <v>10-2025</v>
      </c>
      <c r="D1013" s="165">
        <f t="shared" ref="D1013:D1016" si="108">E1012</f>
        <v>10826.2</v>
      </c>
      <c r="E1013" s="28">
        <v>10836.8</v>
      </c>
      <c r="F1013" s="54">
        <f>'220 Antiga Silvinho '!$E1013-'220 Antiga Silvinho '!$D1013</f>
        <v>10.6</v>
      </c>
      <c r="G1013" s="54">
        <f>'220 Antiga Silvinho '!$F1013-10</f>
        <v>0.6</v>
      </c>
    </row>
    <row r="1014" ht="14.25" customHeight="1">
      <c r="B1014" s="140">
        <v>45959.0</v>
      </c>
      <c r="C1014" s="141" t="str">
        <f t="shared" si="1"/>
        <v>10-2025</v>
      </c>
      <c r="D1014" s="165">
        <f t="shared" si="108"/>
        <v>10836.8</v>
      </c>
      <c r="E1014" s="28">
        <v>10846.5</v>
      </c>
      <c r="F1014" s="54">
        <f>'220 Antiga Silvinho '!$E1014-'220 Antiga Silvinho '!$D1014</f>
        <v>9.7</v>
      </c>
      <c r="G1014" s="54">
        <f>'220 Antiga Silvinho '!$F1014-10</f>
        <v>-0.3</v>
      </c>
    </row>
    <row r="1015" ht="14.25" customHeight="1">
      <c r="B1015" s="140">
        <v>45960.0</v>
      </c>
      <c r="C1015" s="141" t="str">
        <f t="shared" si="1"/>
        <v>10-2025</v>
      </c>
      <c r="D1015" s="165">
        <f t="shared" si="108"/>
        <v>10846.5</v>
      </c>
      <c r="E1015" s="28">
        <v>10851.9</v>
      </c>
      <c r="F1015" s="54">
        <f>'220 Antiga Silvinho '!$E1015-'220 Antiga Silvinho '!$D1015</f>
        <v>5.4</v>
      </c>
      <c r="G1015" s="54">
        <f>'220 Antiga Silvinho '!$F1015-10</f>
        <v>-4.6</v>
      </c>
    </row>
    <row r="1016" ht="14.25" customHeight="1">
      <c r="B1016" s="140">
        <v>45961.0</v>
      </c>
      <c r="C1016" s="141" t="str">
        <f t="shared" si="1"/>
        <v>10-2025</v>
      </c>
      <c r="D1016" s="165">
        <f t="shared" si="108"/>
        <v>10851.9</v>
      </c>
      <c r="E1016" s="28">
        <v>10861.5</v>
      </c>
      <c r="F1016" s="54">
        <f>'220 Antiga Silvinho '!$E1016-'220 Antiga Silvinho '!$D1016</f>
        <v>9.6</v>
      </c>
      <c r="G1016" s="54">
        <f>'220 Antiga Silvinho '!$F1016-10</f>
        <v>-0.4</v>
      </c>
      <c r="H1016" s="28">
        <v>1370.0</v>
      </c>
    </row>
    <row r="1017" ht="14.25" customHeight="1">
      <c r="A1017" s="30"/>
      <c r="B1017" s="153">
        <v>45962.0</v>
      </c>
      <c r="C1017" s="148" t="str">
        <f t="shared" si="1"/>
        <v>11-2025</v>
      </c>
      <c r="D1017" s="116">
        <v>10861.5</v>
      </c>
      <c r="E1017" s="116">
        <v>10872.5</v>
      </c>
      <c r="F1017" s="30">
        <f>'220 Antiga Silvinho '!$E1017-'220 Antiga Silvinho '!$D1017</f>
        <v>11</v>
      </c>
      <c r="G1017" s="30">
        <f>'220 Antiga Silvinho '!$F1017-10</f>
        <v>1</v>
      </c>
      <c r="H1017" s="30"/>
      <c r="I1017" s="30"/>
      <c r="J1017" s="116" t="s">
        <v>123</v>
      </c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</row>
    <row r="1018" ht="14.25" customHeight="1">
      <c r="B1018" s="140">
        <v>45963.0</v>
      </c>
      <c r="C1018" s="141" t="str">
        <f t="shared" si="1"/>
        <v>11-2025</v>
      </c>
      <c r="D1018" s="165">
        <f t="shared" ref="D1018:D1022" si="109">E1017</f>
        <v>10872.5</v>
      </c>
      <c r="E1018" s="28">
        <v>10882.5</v>
      </c>
      <c r="F1018" s="54">
        <f>'220 Antiga Silvinho '!$E1018-'220 Antiga Silvinho '!$D1018</f>
        <v>10</v>
      </c>
      <c r="G1018" s="54">
        <f>'220 Antiga Silvinho '!$F1018-10</f>
        <v>0</v>
      </c>
    </row>
    <row r="1019" ht="14.25" customHeight="1">
      <c r="B1019" s="140">
        <v>45964.0</v>
      </c>
      <c r="C1019" s="141" t="str">
        <f t="shared" si="1"/>
        <v>11-2025</v>
      </c>
      <c r="D1019" s="165">
        <f t="shared" si="109"/>
        <v>10882.5</v>
      </c>
      <c r="E1019" s="28">
        <v>10894.5</v>
      </c>
      <c r="F1019" s="54">
        <f>'220 Antiga Silvinho '!$E1019-'220 Antiga Silvinho '!$D1019</f>
        <v>12</v>
      </c>
      <c r="G1019" s="54">
        <f>'220 Antiga Silvinho '!$F1019-10</f>
        <v>2</v>
      </c>
    </row>
    <row r="1020" ht="14.25" customHeight="1">
      <c r="B1020" s="140">
        <v>45965.0</v>
      </c>
      <c r="C1020" s="141" t="str">
        <f t="shared" si="1"/>
        <v>11-2025</v>
      </c>
      <c r="D1020" s="165">
        <f t="shared" si="109"/>
        <v>10894.5</v>
      </c>
      <c r="E1020" s="28">
        <v>10906.5</v>
      </c>
      <c r="F1020" s="54">
        <f>'220 Antiga Silvinho '!$E1020-'220 Antiga Silvinho '!$D1020</f>
        <v>12</v>
      </c>
      <c r="G1020" s="54">
        <f>'220 Antiga Silvinho '!$F1020-10</f>
        <v>2</v>
      </c>
    </row>
    <row r="1021" ht="14.25" customHeight="1">
      <c r="B1021" s="140">
        <v>45966.0</v>
      </c>
      <c r="C1021" s="141" t="str">
        <f t="shared" si="1"/>
        <v>11-2025</v>
      </c>
      <c r="D1021" s="165">
        <f t="shared" si="109"/>
        <v>10906.5</v>
      </c>
      <c r="E1021" s="28">
        <v>10916.5</v>
      </c>
      <c r="F1021" s="54">
        <f>'220 Antiga Silvinho '!$E1021-'220 Antiga Silvinho '!$D1021</f>
        <v>10</v>
      </c>
      <c r="G1021" s="54">
        <f>'220 Antiga Silvinho '!$F1021-10</f>
        <v>0</v>
      </c>
    </row>
    <row r="1022" ht="14.25" customHeight="1">
      <c r="B1022" s="140">
        <v>45967.0</v>
      </c>
      <c r="C1022" s="141" t="str">
        <f t="shared" si="1"/>
        <v>11-2025</v>
      </c>
      <c r="D1022" s="165">
        <f t="shared" si="109"/>
        <v>10916.5</v>
      </c>
      <c r="E1022" s="28">
        <v>10925.4</v>
      </c>
      <c r="F1022" s="54">
        <f>'220 Antiga Silvinho '!$E1022-'220 Antiga Silvinho '!$D1022</f>
        <v>8.9</v>
      </c>
      <c r="G1022" s="54">
        <f>'220 Antiga Silvinho '!$F1022-10</f>
        <v>-1.1</v>
      </c>
    </row>
    <row r="1023" ht="14.25" customHeight="1">
      <c r="B1023" s="140">
        <v>45968.0</v>
      </c>
      <c r="C1023" s="141" t="str">
        <f t="shared" si="1"/>
        <v>11-2025</v>
      </c>
      <c r="F1023" s="54">
        <f>'220 Antiga Silvinho '!$E1023-'220 Antiga Silvinho '!$D1023</f>
        <v>0</v>
      </c>
      <c r="G1023" s="54">
        <f>'220 Antiga Silvinho '!$F1023-10</f>
        <v>-10</v>
      </c>
    </row>
    <row r="1024" ht="14.25" customHeight="1">
      <c r="B1024" s="140">
        <v>45969.0</v>
      </c>
      <c r="C1024" s="141" t="str">
        <f t="shared" si="1"/>
        <v>11-2025</v>
      </c>
      <c r="D1024" s="165" t="str">
        <f t="shared" ref="D1024:D1025" si="110">E1023</f>
        <v/>
      </c>
      <c r="F1024" s="54">
        <f>'220 Antiga Silvinho '!$E1024-'220 Antiga Silvinho '!$D1024</f>
        <v>0</v>
      </c>
      <c r="G1024" s="54">
        <f>'220 Antiga Silvinho '!$F1024-10</f>
        <v>-10</v>
      </c>
    </row>
    <row r="1025" ht="14.25" customHeight="1">
      <c r="B1025" s="140">
        <v>45970.0</v>
      </c>
      <c r="C1025" s="141" t="str">
        <f t="shared" si="1"/>
        <v>11-2025</v>
      </c>
      <c r="D1025" s="165" t="str">
        <f t="shared" si="110"/>
        <v/>
      </c>
      <c r="F1025" s="54">
        <f>'220 Antiga Silvinho '!$E1025-'220 Antiga Silvinho '!$D1025</f>
        <v>0</v>
      </c>
      <c r="G1025" s="54">
        <f>'220 Antiga Silvinho '!$F1025-10</f>
        <v>-10</v>
      </c>
    </row>
    <row r="1026" ht="14.25" customHeight="1">
      <c r="B1026" s="140">
        <v>45971.0</v>
      </c>
      <c r="C1026" s="141" t="str">
        <f t="shared" si="1"/>
        <v>11-2025</v>
      </c>
      <c r="D1026" s="28">
        <v>10925.4</v>
      </c>
      <c r="E1026" s="28">
        <v>10933.2</v>
      </c>
      <c r="F1026" s="54">
        <f>'220 Antiga Silvinho '!$E1026-'220 Antiga Silvinho '!$D1026</f>
        <v>7.8</v>
      </c>
      <c r="G1026" s="54">
        <f>'220 Antiga Silvinho '!$F1026-10</f>
        <v>-2.2</v>
      </c>
    </row>
    <row r="1027" ht="14.25" customHeight="1">
      <c r="B1027" s="140">
        <v>45972.0</v>
      </c>
      <c r="C1027" s="141" t="str">
        <f t="shared" si="1"/>
        <v>11-2025</v>
      </c>
      <c r="D1027" s="165">
        <f t="shared" ref="D1027:D1035" si="111">E1026</f>
        <v>10933.2</v>
      </c>
      <c r="E1027" s="28">
        <v>10944.2</v>
      </c>
      <c r="F1027" s="54">
        <f>'220 Antiga Silvinho '!$E1027-'220 Antiga Silvinho '!$D1027</f>
        <v>11</v>
      </c>
      <c r="G1027" s="54">
        <f>'220 Antiga Silvinho '!$F1027-10</f>
        <v>1</v>
      </c>
    </row>
    <row r="1028" ht="14.25" customHeight="1">
      <c r="B1028" s="140">
        <v>45973.0</v>
      </c>
      <c r="C1028" s="141" t="str">
        <f t="shared" si="1"/>
        <v>11-2025</v>
      </c>
      <c r="D1028" s="165">
        <f t="shared" si="111"/>
        <v>10944.2</v>
      </c>
      <c r="E1028" s="28">
        <v>10955.2</v>
      </c>
      <c r="F1028" s="54">
        <f>'220 Antiga Silvinho '!$E1028-'220 Antiga Silvinho '!$D1028</f>
        <v>11</v>
      </c>
      <c r="G1028" s="54">
        <f>'220 Antiga Silvinho '!$F1028-10</f>
        <v>1</v>
      </c>
    </row>
    <row r="1029" ht="14.25" customHeight="1">
      <c r="B1029" s="140">
        <v>45974.0</v>
      </c>
      <c r="C1029" s="141" t="str">
        <f t="shared" si="1"/>
        <v>11-2025</v>
      </c>
      <c r="D1029" s="165">
        <f t="shared" si="111"/>
        <v>10955.2</v>
      </c>
      <c r="E1029" s="28">
        <v>10966.2</v>
      </c>
      <c r="F1029" s="54">
        <f>'220 Antiga Silvinho '!$E1029-'220 Antiga Silvinho '!$D1029</f>
        <v>11</v>
      </c>
      <c r="G1029" s="54">
        <f>'220 Antiga Silvinho '!$F1029-10</f>
        <v>1</v>
      </c>
    </row>
    <row r="1030" ht="14.25" customHeight="1">
      <c r="B1030" s="140">
        <v>45975.0</v>
      </c>
      <c r="C1030" s="141" t="str">
        <f t="shared" si="1"/>
        <v>11-2025</v>
      </c>
      <c r="D1030" s="165">
        <f t="shared" si="111"/>
        <v>10966.2</v>
      </c>
      <c r="E1030" s="28">
        <v>10977.3</v>
      </c>
      <c r="F1030" s="54">
        <f>'220 Antiga Silvinho '!$E1030-'220 Antiga Silvinho '!$D1030</f>
        <v>11.1</v>
      </c>
      <c r="G1030" s="54">
        <f>'220 Antiga Silvinho '!$F1030-10</f>
        <v>1.1</v>
      </c>
    </row>
    <row r="1031" ht="14.25" customHeight="1">
      <c r="A1031" s="170"/>
      <c r="B1031" s="171">
        <v>45976.0</v>
      </c>
      <c r="C1031" s="172" t="str">
        <f t="shared" si="1"/>
        <v>11-2025</v>
      </c>
      <c r="D1031" s="170">
        <f t="shared" si="111"/>
        <v>10977.3</v>
      </c>
      <c r="E1031" s="173">
        <v>10988.3</v>
      </c>
      <c r="F1031" s="170">
        <f>'220 Antiga Silvinho '!$E1031-'220 Antiga Silvinho '!$D1031</f>
        <v>11</v>
      </c>
      <c r="G1031" s="170">
        <f>'220 Antiga Silvinho '!$F1031-10</f>
        <v>1</v>
      </c>
      <c r="H1031" s="170"/>
      <c r="I1031" s="173" t="s">
        <v>123</v>
      </c>
      <c r="J1031" s="170"/>
      <c r="K1031" s="170"/>
      <c r="L1031" s="170"/>
      <c r="M1031" s="170"/>
      <c r="N1031" s="170"/>
      <c r="O1031" s="170"/>
      <c r="P1031" s="170"/>
      <c r="Q1031" s="170"/>
      <c r="R1031" s="170"/>
      <c r="S1031" s="170"/>
      <c r="T1031" s="170"/>
      <c r="U1031" s="170"/>
    </row>
    <row r="1032" ht="14.25" customHeight="1">
      <c r="B1032" s="140">
        <v>45977.0</v>
      </c>
      <c r="C1032" s="141" t="str">
        <f t="shared" si="1"/>
        <v>11-2025</v>
      </c>
      <c r="D1032" s="165">
        <f t="shared" si="111"/>
        <v>10988.3</v>
      </c>
      <c r="E1032" s="28">
        <v>10998.3</v>
      </c>
      <c r="F1032" s="54">
        <f>'220 Antiga Silvinho '!$E1032-'220 Antiga Silvinho '!$D1032</f>
        <v>10</v>
      </c>
      <c r="G1032" s="54">
        <f>'220 Antiga Silvinho '!$F1032-10</f>
        <v>0</v>
      </c>
    </row>
    <row r="1033" ht="14.25" customHeight="1">
      <c r="B1033" s="140">
        <v>45978.0</v>
      </c>
      <c r="C1033" s="141" t="str">
        <f t="shared" si="1"/>
        <v>11-2025</v>
      </c>
      <c r="D1033" s="165">
        <f t="shared" si="111"/>
        <v>10998.3</v>
      </c>
      <c r="E1033" s="28">
        <v>11008.3</v>
      </c>
      <c r="F1033" s="54">
        <f>'220 Antiga Silvinho '!$E1033-'220 Antiga Silvinho '!$D1033</f>
        <v>10</v>
      </c>
      <c r="G1033" s="54">
        <f>'220 Antiga Silvinho '!$F1033-10</f>
        <v>0</v>
      </c>
    </row>
    <row r="1034" ht="14.25" customHeight="1">
      <c r="B1034" s="140">
        <v>45979.0</v>
      </c>
      <c r="C1034" s="141" t="str">
        <f t="shared" si="1"/>
        <v>11-2025</v>
      </c>
      <c r="D1034" s="165">
        <f t="shared" si="111"/>
        <v>11008.3</v>
      </c>
      <c r="E1034" s="28">
        <v>11019.3</v>
      </c>
      <c r="F1034" s="54">
        <f>'220 Antiga Silvinho '!$E1034-'220 Antiga Silvinho '!$D1034</f>
        <v>11</v>
      </c>
      <c r="G1034" s="54">
        <f>'220 Antiga Silvinho '!$F1034-10</f>
        <v>1</v>
      </c>
    </row>
    <row r="1035" ht="14.25" customHeight="1">
      <c r="B1035" s="140">
        <v>45980.0</v>
      </c>
      <c r="C1035" s="141" t="str">
        <f t="shared" si="1"/>
        <v>11-2025</v>
      </c>
      <c r="D1035" s="165">
        <f t="shared" si="111"/>
        <v>11019.3</v>
      </c>
      <c r="E1035" s="28">
        <v>11023.1</v>
      </c>
      <c r="F1035" s="54">
        <f>'220 Antiga Silvinho '!$E1035-'220 Antiga Silvinho '!$D1035</f>
        <v>3.8</v>
      </c>
      <c r="G1035" s="54">
        <f>'220 Antiga Silvinho '!$F1035-10</f>
        <v>-6.2</v>
      </c>
    </row>
    <row r="1036" ht="14.25" customHeight="1">
      <c r="B1036" s="140">
        <v>45981.0</v>
      </c>
      <c r="C1036" s="141" t="str">
        <f t="shared" si="1"/>
        <v>11-2025</v>
      </c>
      <c r="F1036" s="54">
        <f>'220 Antiga Silvinho '!$E1036-'220 Antiga Silvinho '!$D1036</f>
        <v>0</v>
      </c>
      <c r="G1036" s="54">
        <f>'220 Antiga Silvinho '!$F1036-10</f>
        <v>-10</v>
      </c>
    </row>
    <row r="1037" ht="14.25" customHeight="1">
      <c r="B1037" s="140">
        <v>45982.0</v>
      </c>
      <c r="C1037" s="141" t="str">
        <f t="shared" si="1"/>
        <v>11-2025</v>
      </c>
      <c r="D1037" s="165" t="str">
        <f t="shared" ref="D1037:D1039" si="112">E1036</f>
        <v/>
      </c>
      <c r="F1037" s="54">
        <f>'220 Antiga Silvinho '!$E1037-'220 Antiga Silvinho '!$D1037</f>
        <v>0</v>
      </c>
      <c r="G1037" s="54">
        <f>'220 Antiga Silvinho '!$F1037-10</f>
        <v>-10</v>
      </c>
    </row>
    <row r="1038" ht="14.25" customHeight="1">
      <c r="B1038" s="140">
        <v>45983.0</v>
      </c>
      <c r="C1038" s="141" t="str">
        <f t="shared" si="1"/>
        <v>11-2025</v>
      </c>
      <c r="D1038" s="165" t="str">
        <f t="shared" si="112"/>
        <v/>
      </c>
      <c r="F1038" s="54">
        <f>'220 Antiga Silvinho '!$E1038-'220 Antiga Silvinho '!$D1038</f>
        <v>0</v>
      </c>
      <c r="G1038" s="54">
        <f>'220 Antiga Silvinho '!$F1038-10</f>
        <v>-10</v>
      </c>
    </row>
    <row r="1039" ht="14.25" customHeight="1">
      <c r="B1039" s="140">
        <v>45984.0</v>
      </c>
      <c r="C1039" s="141" t="str">
        <f t="shared" si="1"/>
        <v>11-2025</v>
      </c>
      <c r="D1039" s="165" t="str">
        <f t="shared" si="112"/>
        <v/>
      </c>
      <c r="F1039" s="54">
        <f>'220 Antiga Silvinho '!$E1039-'220 Antiga Silvinho '!$D1039</f>
        <v>0</v>
      </c>
      <c r="G1039" s="54">
        <f>'220 Antiga Silvinho '!$F1039-10</f>
        <v>-10</v>
      </c>
    </row>
    <row r="1040" ht="14.25" customHeight="1">
      <c r="B1040" s="140">
        <v>45985.0</v>
      </c>
      <c r="C1040" s="141" t="str">
        <f t="shared" si="1"/>
        <v>11-2025</v>
      </c>
      <c r="D1040" s="28">
        <v>11023.1</v>
      </c>
      <c r="E1040" s="28">
        <v>11029.1</v>
      </c>
      <c r="F1040" s="54">
        <f>'220 Antiga Silvinho '!$E1040-'220 Antiga Silvinho '!$D1040</f>
        <v>6</v>
      </c>
      <c r="G1040" s="54">
        <f>'220 Antiga Silvinho '!$F1040-10</f>
        <v>-4</v>
      </c>
    </row>
    <row r="1041" ht="14.25" customHeight="1">
      <c r="B1041" s="140">
        <v>45986.0</v>
      </c>
      <c r="C1041" s="141" t="str">
        <f t="shared" si="1"/>
        <v>11-2025</v>
      </c>
      <c r="D1041" s="165">
        <f t="shared" ref="D1041:D1046" si="113">E1040</f>
        <v>11029.1</v>
      </c>
      <c r="E1041" s="28">
        <v>11038.1</v>
      </c>
      <c r="F1041" s="54">
        <f>'220 Antiga Silvinho '!$E1041-'220 Antiga Silvinho '!$D1041</f>
        <v>9</v>
      </c>
      <c r="G1041" s="54">
        <f>'220 Antiga Silvinho '!$F1041-10</f>
        <v>-1</v>
      </c>
    </row>
    <row r="1042" ht="14.25" customHeight="1">
      <c r="B1042" s="140">
        <v>45987.0</v>
      </c>
      <c r="C1042" s="141" t="str">
        <f t="shared" si="1"/>
        <v>11-2025</v>
      </c>
      <c r="D1042" s="165">
        <f t="shared" si="113"/>
        <v>11038.1</v>
      </c>
      <c r="E1042" s="28">
        <v>11049.1</v>
      </c>
      <c r="F1042" s="54">
        <f>'220 Antiga Silvinho '!$E1042-'220 Antiga Silvinho '!$D1042</f>
        <v>11</v>
      </c>
      <c r="G1042" s="54">
        <f>'220 Antiga Silvinho '!$F1042-10</f>
        <v>1</v>
      </c>
    </row>
    <row r="1043" ht="14.25" customHeight="1">
      <c r="B1043" s="140">
        <v>45988.0</v>
      </c>
      <c r="C1043" s="141" t="str">
        <f t="shared" si="1"/>
        <v>11-2025</v>
      </c>
      <c r="D1043" s="165">
        <f t="shared" si="113"/>
        <v>11049.1</v>
      </c>
      <c r="E1043" s="28">
        <v>11058.1</v>
      </c>
      <c r="F1043" s="54">
        <f>'220 Antiga Silvinho '!$E1043-'220 Antiga Silvinho '!$D1043</f>
        <v>9</v>
      </c>
      <c r="G1043" s="54">
        <f>'220 Antiga Silvinho '!$F1043-10</f>
        <v>-1</v>
      </c>
    </row>
    <row r="1044" ht="14.25" customHeight="1">
      <c r="B1044" s="140">
        <v>45989.0</v>
      </c>
      <c r="C1044" s="141" t="str">
        <f t="shared" si="1"/>
        <v>11-2025</v>
      </c>
      <c r="D1044" s="165">
        <f t="shared" si="113"/>
        <v>11058.1</v>
      </c>
      <c r="E1044" s="28">
        <v>11069.1</v>
      </c>
      <c r="F1044" s="54">
        <f>'220 Antiga Silvinho '!$E1044-'220 Antiga Silvinho '!$D1044</f>
        <v>11</v>
      </c>
      <c r="G1044" s="54">
        <f>'220 Antiga Silvinho '!$F1044-10</f>
        <v>1</v>
      </c>
    </row>
    <row r="1045" ht="14.25" customHeight="1">
      <c r="A1045" s="173" t="s">
        <v>134</v>
      </c>
      <c r="B1045" s="171">
        <v>45990.0</v>
      </c>
      <c r="C1045" s="172" t="str">
        <f t="shared" si="1"/>
        <v>11-2025</v>
      </c>
      <c r="D1045" s="170">
        <f t="shared" si="113"/>
        <v>11069.1</v>
      </c>
      <c r="E1045" s="173">
        <v>11080.1</v>
      </c>
      <c r="F1045" s="54">
        <f>'220 Antiga Silvinho '!$E1045-'220 Antiga Silvinho '!$D1045</f>
        <v>11</v>
      </c>
      <c r="G1045" s="170">
        <f>'220 Antiga Silvinho '!$F1045-10</f>
        <v>1</v>
      </c>
      <c r="H1045" s="170"/>
      <c r="I1045" s="170"/>
      <c r="J1045" s="170"/>
      <c r="K1045" s="170"/>
      <c r="L1045" s="170"/>
      <c r="M1045" s="170"/>
      <c r="N1045" s="170"/>
      <c r="O1045" s="170"/>
      <c r="P1045" s="170"/>
      <c r="Q1045" s="170"/>
      <c r="R1045" s="170"/>
      <c r="S1045" s="170"/>
      <c r="T1045" s="170"/>
      <c r="U1045" s="170"/>
    </row>
    <row r="1046" ht="14.25" customHeight="1">
      <c r="B1046" s="140">
        <v>45991.0</v>
      </c>
      <c r="C1046" s="141" t="str">
        <f t="shared" si="1"/>
        <v>11-2025</v>
      </c>
      <c r="D1046" s="165">
        <f t="shared" si="113"/>
        <v>11080.1</v>
      </c>
      <c r="E1046" s="28">
        <v>11090.1</v>
      </c>
      <c r="F1046" s="54">
        <f>'220 Antiga Silvinho '!$E1046-'220 Antiga Silvinho '!$D1046</f>
        <v>10</v>
      </c>
      <c r="G1046" s="54">
        <f>'220 Antiga Silvinho '!$F1046-10</f>
        <v>0</v>
      </c>
      <c r="H1046" s="28">
        <v>4010.0</v>
      </c>
    </row>
    <row r="1047" ht="14.25" customHeight="1">
      <c r="B1047" s="140">
        <v>45992.0</v>
      </c>
      <c r="C1047" s="141" t="str">
        <f t="shared" si="1"/>
        <v>12-2025</v>
      </c>
      <c r="D1047" s="28">
        <v>11090.1</v>
      </c>
      <c r="E1047" s="28">
        <v>11100.9</v>
      </c>
      <c r="F1047" s="54">
        <f>'220 Antiga Silvinho '!$E1047-'220 Antiga Silvinho '!$D1047</f>
        <v>10.8</v>
      </c>
      <c r="G1047" s="54">
        <f>'220 Antiga Silvinho '!$F1047-10</f>
        <v>0.8</v>
      </c>
    </row>
    <row r="1048" ht="14.25" customHeight="1">
      <c r="B1048" s="140">
        <v>45993.0</v>
      </c>
      <c r="C1048" s="141" t="str">
        <f t="shared" si="1"/>
        <v>12-2025</v>
      </c>
      <c r="D1048" s="165">
        <f t="shared" ref="D1048:D1050" si="114">E1047</f>
        <v>11100.9</v>
      </c>
      <c r="E1048" s="28">
        <v>11103.2</v>
      </c>
      <c r="F1048" s="54">
        <f>'220 Antiga Silvinho '!$E1048-'220 Antiga Silvinho '!$D1048</f>
        <v>2.3</v>
      </c>
      <c r="G1048" s="54">
        <f>'220 Antiga Silvinho '!$F1048-10</f>
        <v>-7.7</v>
      </c>
    </row>
    <row r="1049" ht="14.25" customHeight="1">
      <c r="B1049" s="140">
        <v>45994.0</v>
      </c>
      <c r="C1049" s="141" t="str">
        <f t="shared" si="1"/>
        <v>12-2025</v>
      </c>
      <c r="D1049" s="165">
        <f t="shared" si="114"/>
        <v>11103.2</v>
      </c>
      <c r="E1049" s="28">
        <v>11111.0</v>
      </c>
      <c r="F1049" s="54">
        <f>'220 Antiga Silvinho '!$E1049-'220 Antiga Silvinho '!$D1049</f>
        <v>7.8</v>
      </c>
      <c r="G1049" s="54">
        <f>'220 Antiga Silvinho '!$F1049-10</f>
        <v>-2.2</v>
      </c>
    </row>
    <row r="1050" ht="14.25" customHeight="1">
      <c r="B1050" s="140">
        <v>45995.0</v>
      </c>
      <c r="C1050" s="141" t="str">
        <f t="shared" si="1"/>
        <v>12-2025</v>
      </c>
      <c r="D1050" s="165">
        <f t="shared" si="114"/>
        <v>11111</v>
      </c>
      <c r="E1050" s="28">
        <v>11120.0</v>
      </c>
      <c r="F1050" s="54">
        <f>'220 Antiga Silvinho '!$E1050-'220 Antiga Silvinho '!$D1050</f>
        <v>9</v>
      </c>
      <c r="G1050" s="54">
        <f>'220 Antiga Silvinho '!$F1050-10</f>
        <v>-1</v>
      </c>
    </row>
    <row r="1051" ht="14.25" customHeight="1">
      <c r="B1051" s="140">
        <v>45996.0</v>
      </c>
      <c r="C1051" s="141" t="str">
        <f t="shared" si="1"/>
        <v>12-2025</v>
      </c>
      <c r="F1051" s="54">
        <f>'220 Antiga Silvinho '!$E1051-'220 Antiga Silvinho '!$D1051</f>
        <v>0</v>
      </c>
      <c r="G1051" s="54">
        <f>'220 Antiga Silvinho '!$F1051-10</f>
        <v>-10</v>
      </c>
    </row>
    <row r="1052" ht="14.25" customHeight="1">
      <c r="B1052" s="142">
        <v>45997.0</v>
      </c>
      <c r="C1052" s="141" t="str">
        <f t="shared" si="1"/>
        <v>12-2025</v>
      </c>
      <c r="D1052" s="165" t="str">
        <f t="shared" ref="D1052:D1053" si="115">E1051</f>
        <v/>
      </c>
      <c r="F1052" s="54">
        <f>'220 Antiga Silvinho '!$E1052-'220 Antiga Silvinho '!$D1052</f>
        <v>0</v>
      </c>
      <c r="G1052" s="54">
        <f>'220 Antiga Silvinho '!$F1052-10</f>
        <v>-10</v>
      </c>
    </row>
    <row r="1053" ht="14.25" customHeight="1">
      <c r="B1053" s="142">
        <v>45998.0</v>
      </c>
      <c r="C1053" s="141" t="str">
        <f t="shared" si="1"/>
        <v>12-2025</v>
      </c>
      <c r="D1053" s="165" t="str">
        <f t="shared" si="115"/>
        <v/>
      </c>
      <c r="F1053" s="54">
        <f>'220 Antiga Silvinho '!$E1053-'220 Antiga Silvinho '!$D1053</f>
        <v>0</v>
      </c>
      <c r="G1053" s="54">
        <f>'220 Antiga Silvinho '!$F1053-10</f>
        <v>-10</v>
      </c>
    </row>
    <row r="1054" ht="14.25" customHeight="1">
      <c r="B1054" s="140">
        <v>45999.0</v>
      </c>
      <c r="C1054" s="141" t="str">
        <f t="shared" si="1"/>
        <v>12-2025</v>
      </c>
      <c r="D1054" s="28">
        <v>11120.0</v>
      </c>
      <c r="E1054" s="28">
        <v>11130.0</v>
      </c>
      <c r="F1054" s="54">
        <f>'220 Antiga Silvinho '!$E1054-'220 Antiga Silvinho '!$D1054</f>
        <v>10</v>
      </c>
      <c r="G1054" s="54">
        <f>'220 Antiga Silvinho '!$F1054-10</f>
        <v>0</v>
      </c>
    </row>
    <row r="1055" ht="14.25" customHeight="1">
      <c r="B1055" s="140">
        <v>46000.0</v>
      </c>
      <c r="C1055" s="141" t="str">
        <f t="shared" si="1"/>
        <v>12-2025</v>
      </c>
      <c r="D1055" s="165">
        <f t="shared" ref="D1055:D1057" si="116">E1054</f>
        <v>11130</v>
      </c>
      <c r="E1055" s="28">
        <v>11139.0</v>
      </c>
      <c r="F1055" s="54">
        <f>'220 Antiga Silvinho '!$E1055-'220 Antiga Silvinho '!$D1055</f>
        <v>9</v>
      </c>
      <c r="G1055" s="54">
        <f>'220 Antiga Silvinho '!$F1055-10</f>
        <v>-1</v>
      </c>
    </row>
    <row r="1056" ht="14.25" customHeight="1">
      <c r="B1056" s="140">
        <v>46001.0</v>
      </c>
      <c r="C1056" s="141" t="str">
        <f t="shared" si="1"/>
        <v>12-2025</v>
      </c>
      <c r="D1056" s="165">
        <f t="shared" si="116"/>
        <v>11139</v>
      </c>
      <c r="E1056" s="28">
        <v>11148.0</v>
      </c>
      <c r="F1056" s="54">
        <f>'220 Antiga Silvinho '!$E1056-'220 Antiga Silvinho '!$D1056</f>
        <v>9</v>
      </c>
      <c r="G1056" s="54">
        <f>'220 Antiga Silvinho '!$F1056-10</f>
        <v>-1</v>
      </c>
    </row>
    <row r="1057" ht="14.25" customHeight="1">
      <c r="B1057" s="140">
        <v>46002.0</v>
      </c>
      <c r="C1057" s="141" t="str">
        <f t="shared" si="1"/>
        <v>12-2025</v>
      </c>
      <c r="D1057" s="165">
        <f t="shared" si="116"/>
        <v>11148</v>
      </c>
      <c r="E1057" s="28">
        <v>11159.0</v>
      </c>
      <c r="F1057" s="54">
        <f>'220 Antiga Silvinho '!$E1057-'220 Antiga Silvinho '!$D1057</f>
        <v>11</v>
      </c>
      <c r="G1057" s="54">
        <f>'220 Antiga Silvinho '!$F1057-10</f>
        <v>1</v>
      </c>
    </row>
    <row r="1058" ht="14.25" customHeight="1">
      <c r="B1058" s="140">
        <v>46003.0</v>
      </c>
      <c r="C1058" s="141" t="str">
        <f t="shared" si="1"/>
        <v>12-2025</v>
      </c>
      <c r="F1058" s="54">
        <f>'220 Antiga Silvinho '!$E1058-'220 Antiga Silvinho '!$D1058</f>
        <v>0</v>
      </c>
      <c r="G1058" s="54">
        <f>'220 Antiga Silvinho '!$F1058-10</f>
        <v>-10</v>
      </c>
    </row>
    <row r="1059" ht="14.25" customHeight="1">
      <c r="B1059" s="142">
        <v>46004.0</v>
      </c>
      <c r="C1059" s="141" t="str">
        <f t="shared" si="1"/>
        <v>12-2025</v>
      </c>
      <c r="D1059" s="165" t="str">
        <f t="shared" ref="D1059:D1060" si="117">E1058</f>
        <v/>
      </c>
      <c r="F1059" s="54">
        <f>'220 Antiga Silvinho '!$E1059-'220 Antiga Silvinho '!$D1059</f>
        <v>0</v>
      </c>
      <c r="G1059" s="54">
        <f>'220 Antiga Silvinho '!$F1059-10</f>
        <v>-10</v>
      </c>
    </row>
    <row r="1060" ht="14.25" customHeight="1">
      <c r="B1060" s="142">
        <v>46005.0</v>
      </c>
      <c r="C1060" s="141" t="str">
        <f t="shared" si="1"/>
        <v>12-2025</v>
      </c>
      <c r="D1060" s="165" t="str">
        <f t="shared" si="117"/>
        <v/>
      </c>
      <c r="F1060" s="54">
        <f>'220 Antiga Silvinho '!$E1060-'220 Antiga Silvinho '!$D1060</f>
        <v>0</v>
      </c>
      <c r="G1060" s="54">
        <f>'220 Antiga Silvinho '!$F1060-10</f>
        <v>-10</v>
      </c>
    </row>
    <row r="1061" ht="14.25" customHeight="1">
      <c r="B1061" s="140">
        <v>46006.0</v>
      </c>
      <c r="C1061" s="141" t="str">
        <f t="shared" si="1"/>
        <v>12-2025</v>
      </c>
      <c r="D1061" s="28">
        <v>11159.0</v>
      </c>
      <c r="E1061" s="28">
        <v>11167.0</v>
      </c>
      <c r="F1061" s="54">
        <f>'220 Antiga Silvinho '!$E1061-'220 Antiga Silvinho '!$D1061</f>
        <v>8</v>
      </c>
      <c r="G1061" s="54">
        <f>'220 Antiga Silvinho '!$F1061-10</f>
        <v>-2</v>
      </c>
    </row>
    <row r="1062" ht="14.25" customHeight="1">
      <c r="B1062" s="140">
        <v>46007.0</v>
      </c>
      <c r="C1062" s="141" t="str">
        <f t="shared" si="1"/>
        <v>12-2025</v>
      </c>
      <c r="D1062" s="165">
        <f t="shared" ref="D1062:D1069" si="118">E1061</f>
        <v>11167</v>
      </c>
      <c r="E1062" s="28">
        <v>11179.0</v>
      </c>
      <c r="F1062" s="54">
        <f>'220 Antiga Silvinho '!$E1062-'220 Antiga Silvinho '!$D1062</f>
        <v>12</v>
      </c>
      <c r="G1062" s="54">
        <f>'220 Antiga Silvinho '!$F1062-10</f>
        <v>2</v>
      </c>
    </row>
    <row r="1063" ht="14.25" customHeight="1">
      <c r="B1063" s="140">
        <v>46008.0</v>
      </c>
      <c r="C1063" s="141" t="str">
        <f t="shared" si="1"/>
        <v>12-2025</v>
      </c>
      <c r="D1063" s="165">
        <f t="shared" si="118"/>
        <v>11179</v>
      </c>
      <c r="E1063" s="28">
        <v>11190.0</v>
      </c>
      <c r="F1063" s="54">
        <f>'220 Antiga Silvinho '!$E1063-'220 Antiga Silvinho '!$D1063</f>
        <v>11</v>
      </c>
      <c r="G1063" s="54">
        <f>'220 Antiga Silvinho '!$F1063-10</f>
        <v>1</v>
      </c>
    </row>
    <row r="1064" ht="14.25" customHeight="1">
      <c r="B1064" s="140">
        <v>46009.0</v>
      </c>
      <c r="C1064" s="141" t="str">
        <f t="shared" si="1"/>
        <v>12-2025</v>
      </c>
      <c r="D1064" s="165">
        <f t="shared" si="118"/>
        <v>11190</v>
      </c>
      <c r="E1064" s="28">
        <v>11201.0</v>
      </c>
      <c r="F1064" s="54">
        <f>'220 Antiga Silvinho '!$E1064-'220 Antiga Silvinho '!$D1064</f>
        <v>11</v>
      </c>
      <c r="G1064" s="54">
        <f>'220 Antiga Silvinho '!$F1064-10</f>
        <v>1</v>
      </c>
    </row>
    <row r="1065" ht="14.25" customHeight="1">
      <c r="B1065" s="140">
        <v>46010.0</v>
      </c>
      <c r="C1065" s="141" t="str">
        <f t="shared" si="1"/>
        <v>12-2025</v>
      </c>
      <c r="D1065" s="165">
        <f t="shared" si="118"/>
        <v>11201</v>
      </c>
      <c r="E1065" s="28">
        <v>11212.0</v>
      </c>
      <c r="F1065" s="54">
        <f>'220 Antiga Silvinho '!$E1065-'220 Antiga Silvinho '!$D1065</f>
        <v>11</v>
      </c>
      <c r="G1065" s="54">
        <f>'220 Antiga Silvinho '!$F1065-10</f>
        <v>1</v>
      </c>
    </row>
    <row r="1066" ht="14.25" customHeight="1">
      <c r="B1066" s="142">
        <v>46011.0</v>
      </c>
      <c r="C1066" s="141" t="str">
        <f t="shared" si="1"/>
        <v>12-2025</v>
      </c>
      <c r="D1066" s="165">
        <f t="shared" si="118"/>
        <v>11212</v>
      </c>
      <c r="E1066" s="28">
        <v>11223.0</v>
      </c>
      <c r="F1066" s="54">
        <f>'220 Antiga Silvinho '!$E1066-'220 Antiga Silvinho '!$D1066</f>
        <v>11</v>
      </c>
      <c r="G1066" s="54">
        <f>'220 Antiga Silvinho '!$F1066-10</f>
        <v>1</v>
      </c>
    </row>
    <row r="1067" ht="14.25" customHeight="1">
      <c r="B1067" s="142">
        <v>46012.0</v>
      </c>
      <c r="C1067" s="141" t="str">
        <f t="shared" si="1"/>
        <v>12-2025</v>
      </c>
      <c r="D1067" s="165">
        <f t="shared" si="118"/>
        <v>11223</v>
      </c>
      <c r="E1067" s="28">
        <v>11234.0</v>
      </c>
      <c r="F1067" s="54">
        <f>'220 Antiga Silvinho '!$E1067-'220 Antiga Silvinho '!$D1067</f>
        <v>11</v>
      </c>
      <c r="G1067" s="54">
        <f>'220 Antiga Silvinho '!$F1067-10</f>
        <v>1</v>
      </c>
    </row>
    <row r="1068" ht="14.25" customHeight="1">
      <c r="B1068" s="140">
        <v>46013.0</v>
      </c>
      <c r="C1068" s="141" t="str">
        <f t="shared" si="1"/>
        <v>12-2025</v>
      </c>
      <c r="D1068" s="165">
        <f t="shared" si="118"/>
        <v>11234</v>
      </c>
      <c r="E1068" s="28">
        <v>11246.0</v>
      </c>
      <c r="F1068" s="54">
        <f>'220 Antiga Silvinho '!$E1068-'220 Antiga Silvinho '!$D1068</f>
        <v>12</v>
      </c>
      <c r="G1068" s="54">
        <f>'220 Antiga Silvinho '!$F1068-10</f>
        <v>2</v>
      </c>
    </row>
    <row r="1069" ht="14.25" customHeight="1">
      <c r="B1069" s="140">
        <v>46014.0</v>
      </c>
      <c r="C1069" s="141" t="str">
        <f t="shared" si="1"/>
        <v>12-2025</v>
      </c>
      <c r="D1069" s="165">
        <f t="shared" si="118"/>
        <v>11246</v>
      </c>
      <c r="E1069" s="28">
        <v>11257.7</v>
      </c>
      <c r="F1069" s="54">
        <f>'220 Antiga Silvinho '!$E1069-'220 Antiga Silvinho '!$D1069</f>
        <v>11.7</v>
      </c>
      <c r="G1069" s="54">
        <f>'220 Antiga Silvinho '!$F1069-10</f>
        <v>1.7</v>
      </c>
    </row>
    <row r="1070" ht="14.25" customHeight="1">
      <c r="B1070" s="140">
        <v>46015.0</v>
      </c>
      <c r="C1070" s="141" t="str">
        <f t="shared" si="1"/>
        <v>12-2025</v>
      </c>
      <c r="F1070" s="54">
        <f>'220 Antiga Silvinho '!$E1070-'220 Antiga Silvinho '!$D1070</f>
        <v>0</v>
      </c>
      <c r="G1070" s="54">
        <f>'220 Antiga Silvinho '!$F1070-10</f>
        <v>-10</v>
      </c>
    </row>
    <row r="1071" ht="14.25" customHeight="1">
      <c r="B1071" s="142">
        <v>46016.0</v>
      </c>
      <c r="C1071" s="141" t="str">
        <f t="shared" si="1"/>
        <v>12-2025</v>
      </c>
      <c r="D1071" s="165" t="str">
        <f t="shared" ref="D1071:D1074" si="119">E1070</f>
        <v/>
      </c>
      <c r="F1071" s="54">
        <f>'220 Antiga Silvinho '!$E1071-'220 Antiga Silvinho '!$D1071</f>
        <v>0</v>
      </c>
      <c r="G1071" s="54">
        <f>'220 Antiga Silvinho '!$F1071-10</f>
        <v>-10</v>
      </c>
    </row>
    <row r="1072" ht="14.25" customHeight="1">
      <c r="B1072" s="140">
        <v>46017.0</v>
      </c>
      <c r="C1072" s="141" t="str">
        <f t="shared" si="1"/>
        <v>12-2025</v>
      </c>
      <c r="D1072" s="165" t="str">
        <f t="shared" si="119"/>
        <v/>
      </c>
      <c r="F1072" s="54">
        <f>'220 Antiga Silvinho '!$E1072-'220 Antiga Silvinho '!$D1072</f>
        <v>0</v>
      </c>
      <c r="G1072" s="54">
        <f>'220 Antiga Silvinho '!$F1072-10</f>
        <v>-10</v>
      </c>
    </row>
    <row r="1073" ht="14.25" customHeight="1">
      <c r="B1073" s="142">
        <v>46018.0</v>
      </c>
      <c r="C1073" s="141" t="str">
        <f t="shared" si="1"/>
        <v>12-2025</v>
      </c>
      <c r="D1073" s="165" t="str">
        <f t="shared" si="119"/>
        <v/>
      </c>
      <c r="F1073" s="54">
        <f>'220 Antiga Silvinho '!$E1073-'220 Antiga Silvinho '!$D1073</f>
        <v>0</v>
      </c>
      <c r="G1073" s="54">
        <f>'220 Antiga Silvinho '!$F1073-10</f>
        <v>-10</v>
      </c>
    </row>
    <row r="1074" ht="14.25" customHeight="1">
      <c r="B1074" s="142">
        <v>46019.0</v>
      </c>
      <c r="C1074" s="141" t="str">
        <f t="shared" si="1"/>
        <v>12-2025</v>
      </c>
      <c r="D1074" s="165" t="str">
        <f t="shared" si="119"/>
        <v/>
      </c>
      <c r="F1074" s="54">
        <f>'220 Antiga Silvinho '!$E1074-'220 Antiga Silvinho '!$D1074</f>
        <v>0</v>
      </c>
      <c r="G1074" s="54">
        <f>'220 Antiga Silvinho '!$F1074-10</f>
        <v>-10</v>
      </c>
    </row>
    <row r="1075" ht="14.25" customHeight="1">
      <c r="B1075" s="140">
        <v>46020.0</v>
      </c>
      <c r="C1075" s="141" t="str">
        <f t="shared" si="1"/>
        <v>12-2025</v>
      </c>
      <c r="D1075" s="28">
        <v>11257.7</v>
      </c>
      <c r="E1075" s="28">
        <v>11268.0</v>
      </c>
      <c r="F1075" s="54">
        <f>'220 Antiga Silvinho '!$E1075-'220 Antiga Silvinho '!$D1075</f>
        <v>10.3</v>
      </c>
      <c r="G1075" s="54">
        <f>'220 Antiga Silvinho '!$F1075-10</f>
        <v>0.3</v>
      </c>
    </row>
    <row r="1076" ht="14.25" customHeight="1">
      <c r="B1076" s="140">
        <v>46021.0</v>
      </c>
      <c r="C1076" s="141" t="str">
        <f t="shared" si="1"/>
        <v>12-2025</v>
      </c>
      <c r="D1076" s="165">
        <f>E1075</f>
        <v>11268</v>
      </c>
      <c r="E1076" s="28">
        <v>11280.0</v>
      </c>
      <c r="F1076" s="54">
        <f>'220 Antiga Silvinho '!$E1076-'220 Antiga Silvinho '!$D1076</f>
        <v>12</v>
      </c>
      <c r="G1076" s="54">
        <f>'220 Antiga Silvinho '!$F1076-10</f>
        <v>2</v>
      </c>
    </row>
    <row r="1077" ht="14.25" customHeight="1">
      <c r="B1077" s="140">
        <v>46022.0</v>
      </c>
      <c r="C1077" s="141" t="str">
        <f t="shared" si="1"/>
        <v>12-2025</v>
      </c>
      <c r="F1077" s="54">
        <f>'220 Antiga Silvinho '!$E1077-'220 Antiga Silvinho '!$D1077</f>
        <v>0</v>
      </c>
      <c r="G1077" s="54">
        <f>'220 Antiga Silvinho '!$F1077-10</f>
        <v>-10</v>
      </c>
    </row>
    <row r="1078" ht="14.25" customHeight="1">
      <c r="B1078" s="140">
        <v>46023.0</v>
      </c>
      <c r="C1078" s="141" t="str">
        <f t="shared" si="1"/>
        <v>1-2026</v>
      </c>
      <c r="F1078" s="54">
        <f>'220 Antiga Silvinho '!$E1078-'220 Antiga Silvinho '!$D1078</f>
        <v>0</v>
      </c>
      <c r="G1078" s="54">
        <f>'220 Antiga Silvinho '!$F1078-10</f>
        <v>-10</v>
      </c>
    </row>
    <row r="1079" ht="14.25" customHeight="1">
      <c r="B1079" s="140">
        <v>46024.0</v>
      </c>
      <c r="C1079" s="141" t="str">
        <f t="shared" si="1"/>
        <v>1-2026</v>
      </c>
      <c r="F1079" s="54">
        <f>'220 Antiga Silvinho '!$E1079-'220 Antiga Silvinho '!$D1079</f>
        <v>0</v>
      </c>
      <c r="G1079" s="54">
        <f>'220 Antiga Silvinho '!$F1079-10</f>
        <v>-10</v>
      </c>
    </row>
    <row r="1080" ht="14.25" customHeight="1">
      <c r="B1080" s="151">
        <v>46025.0</v>
      </c>
      <c r="C1080" s="141" t="str">
        <f t="shared" si="1"/>
        <v>1-2026</v>
      </c>
      <c r="D1080" s="165" t="str">
        <f t="shared" ref="D1080:D1081" si="120">E1079</f>
        <v/>
      </c>
      <c r="F1080" s="54">
        <f>'220 Antiga Silvinho '!$E1080-'220 Antiga Silvinho '!$D1080</f>
        <v>0</v>
      </c>
      <c r="G1080" s="54">
        <f>'220 Antiga Silvinho '!$F1080-10</f>
        <v>-10</v>
      </c>
    </row>
    <row r="1081" ht="14.25" customHeight="1">
      <c r="B1081" s="151">
        <v>46026.0</v>
      </c>
      <c r="C1081" s="141" t="str">
        <f t="shared" si="1"/>
        <v>1-2026</v>
      </c>
      <c r="D1081" s="165" t="str">
        <f t="shared" si="120"/>
        <v/>
      </c>
      <c r="F1081" s="54">
        <f>'220 Antiga Silvinho '!$E1081-'220 Antiga Silvinho '!$D1081</f>
        <v>0</v>
      </c>
      <c r="G1081" s="54">
        <f>'220 Antiga Silvinho '!$F1081-10</f>
        <v>-10</v>
      </c>
    </row>
    <row r="1082" ht="14.25" customHeight="1">
      <c r="B1082" s="140">
        <v>46027.0</v>
      </c>
      <c r="C1082" s="141" t="str">
        <f t="shared" si="1"/>
        <v>1-2026</v>
      </c>
      <c r="D1082" s="28">
        <v>11280.0</v>
      </c>
      <c r="E1082" s="28">
        <v>11290.0</v>
      </c>
      <c r="F1082" s="54">
        <f>'220 Antiga Silvinho '!$E1082-'220 Antiga Silvinho '!$D1082</f>
        <v>10</v>
      </c>
      <c r="G1082" s="54">
        <f>'220 Antiga Silvinho '!$F1082-10</f>
        <v>0</v>
      </c>
    </row>
    <row r="1083" ht="14.25" customHeight="1">
      <c r="B1083" s="140">
        <v>46028.0</v>
      </c>
      <c r="C1083" s="141" t="str">
        <f t="shared" si="1"/>
        <v>1-2026</v>
      </c>
      <c r="D1083" s="165">
        <f>E1082</f>
        <v>11290</v>
      </c>
      <c r="E1083" s="28">
        <v>11291.2</v>
      </c>
      <c r="F1083" s="54">
        <f>'220 Antiga Silvinho '!$E1083-'220 Antiga Silvinho '!$D1083</f>
        <v>1.2</v>
      </c>
      <c r="G1083" s="54">
        <f>'220 Antiga Silvinho '!$F1083-10</f>
        <v>-8.8</v>
      </c>
    </row>
    <row r="1084" ht="14.25" customHeight="1">
      <c r="B1084" s="140">
        <v>46029.0</v>
      </c>
      <c r="C1084" s="141" t="str">
        <f t="shared" si="1"/>
        <v>1-2026</v>
      </c>
      <c r="F1084" s="54">
        <f>'220 Antiga Silvinho '!$E1084-'220 Antiga Silvinho '!$D1084</f>
        <v>0</v>
      </c>
      <c r="G1084" s="54">
        <f>'220 Antiga Silvinho '!$F1084-10</f>
        <v>-10</v>
      </c>
    </row>
    <row r="1085" ht="14.25" customHeight="1">
      <c r="B1085" s="140">
        <v>46030.0</v>
      </c>
      <c r="C1085" s="141" t="str">
        <f t="shared" si="1"/>
        <v>1-2026</v>
      </c>
      <c r="D1085" s="165" t="str">
        <f>E1084</f>
        <v/>
      </c>
      <c r="F1085" s="54">
        <f>'220 Antiga Silvinho '!$E1085-'220 Antiga Silvinho '!$D1085</f>
        <v>0</v>
      </c>
      <c r="G1085" s="54">
        <f>'220 Antiga Silvinho '!$F1085-10</f>
        <v>-10</v>
      </c>
    </row>
    <row r="1086" ht="14.25" customHeight="1">
      <c r="B1086" s="140">
        <v>46031.0</v>
      </c>
      <c r="C1086" s="141" t="str">
        <f t="shared" si="1"/>
        <v>1-2026</v>
      </c>
      <c r="D1086" s="28">
        <v>11291.2</v>
      </c>
      <c r="E1086" s="28">
        <v>11299.0</v>
      </c>
      <c r="F1086" s="54">
        <f>'220 Antiga Silvinho '!$E1086-'220 Antiga Silvinho '!$D1086</f>
        <v>7.8</v>
      </c>
      <c r="G1086" s="54">
        <f>'220 Antiga Silvinho '!$F1086-10</f>
        <v>-2.2</v>
      </c>
    </row>
    <row r="1087" ht="14.25" customHeight="1">
      <c r="B1087" s="151">
        <v>46032.0</v>
      </c>
      <c r="C1087" s="141" t="str">
        <f t="shared" si="1"/>
        <v>1-2026</v>
      </c>
      <c r="D1087" s="165">
        <f t="shared" ref="D1087:D1092" si="121">E1086</f>
        <v>11299</v>
      </c>
      <c r="E1087" s="28">
        <v>11309.6</v>
      </c>
      <c r="F1087" s="54">
        <f>'220 Antiga Silvinho '!$E1087-'220 Antiga Silvinho '!$D1087</f>
        <v>10.6</v>
      </c>
      <c r="G1087" s="54">
        <f>'220 Antiga Silvinho '!$F1087-10</f>
        <v>0.6</v>
      </c>
    </row>
    <row r="1088" ht="14.25" customHeight="1">
      <c r="B1088" s="151">
        <v>46033.0</v>
      </c>
      <c r="C1088" s="141" t="str">
        <f t="shared" si="1"/>
        <v>1-2026</v>
      </c>
      <c r="D1088" s="165">
        <f t="shared" si="121"/>
        <v>11309.6</v>
      </c>
      <c r="E1088" s="28">
        <v>11321.4</v>
      </c>
      <c r="F1088" s="54">
        <f>'220 Antiga Silvinho '!$E1088-'220 Antiga Silvinho '!$D1088</f>
        <v>11.8</v>
      </c>
      <c r="G1088" s="54">
        <f>'220 Antiga Silvinho '!$F1088-10</f>
        <v>1.8</v>
      </c>
    </row>
    <row r="1089" ht="14.25" customHeight="1">
      <c r="B1089" s="140">
        <v>46034.0</v>
      </c>
      <c r="C1089" s="141" t="str">
        <f t="shared" si="1"/>
        <v>1-2026</v>
      </c>
      <c r="D1089" s="165">
        <f t="shared" si="121"/>
        <v>11321.4</v>
      </c>
      <c r="E1089" s="28">
        <v>11332.8</v>
      </c>
      <c r="F1089" s="54">
        <f>'220 Antiga Silvinho '!$E1089-'220 Antiga Silvinho '!$D1089</f>
        <v>11.4</v>
      </c>
      <c r="G1089" s="54">
        <f>'220 Antiga Silvinho '!$F1089-10</f>
        <v>1.4</v>
      </c>
    </row>
    <row r="1090" ht="14.25" customHeight="1">
      <c r="B1090" s="140">
        <v>46035.0</v>
      </c>
      <c r="C1090" s="141" t="str">
        <f t="shared" si="1"/>
        <v>1-2026</v>
      </c>
      <c r="D1090" s="165">
        <f t="shared" si="121"/>
        <v>11332.8</v>
      </c>
      <c r="E1090" s="28">
        <v>11344.0</v>
      </c>
      <c r="F1090" s="54">
        <f>'220 Antiga Silvinho '!$E1090-'220 Antiga Silvinho '!$D1090</f>
        <v>11.2</v>
      </c>
      <c r="G1090" s="54">
        <f>'220 Antiga Silvinho '!$F1090-10</f>
        <v>1.2</v>
      </c>
    </row>
    <row r="1091" ht="14.25" customHeight="1">
      <c r="B1091" s="140">
        <v>46036.0</v>
      </c>
      <c r="C1091" s="141" t="str">
        <f t="shared" si="1"/>
        <v>1-2026</v>
      </c>
      <c r="D1091" s="165">
        <f t="shared" si="121"/>
        <v>11344</v>
      </c>
      <c r="E1091" s="28">
        <v>11355.4</v>
      </c>
      <c r="F1091" s="54">
        <f>'220 Antiga Silvinho '!$E1091-'220 Antiga Silvinho '!$D1091</f>
        <v>11.4</v>
      </c>
      <c r="G1091" s="54">
        <f>'220 Antiga Silvinho '!$F1091-10</f>
        <v>1.4</v>
      </c>
    </row>
    <row r="1092" ht="14.25" customHeight="1">
      <c r="B1092" s="140">
        <v>46037.0</v>
      </c>
      <c r="C1092" s="141" t="str">
        <f t="shared" si="1"/>
        <v>1-2026</v>
      </c>
      <c r="D1092" s="165">
        <f t="shared" si="121"/>
        <v>11355.4</v>
      </c>
      <c r="E1092" s="28">
        <v>11366.9</v>
      </c>
      <c r="F1092" s="54">
        <f>'220 Antiga Silvinho '!$E1092-'220 Antiga Silvinho '!$D1092</f>
        <v>11.5</v>
      </c>
      <c r="G1092" s="54">
        <f>'220 Antiga Silvinho '!$F1092-10</f>
        <v>1.5</v>
      </c>
    </row>
    <row r="1093" ht="14.25" customHeight="1">
      <c r="B1093" s="140">
        <v>46038.0</v>
      </c>
      <c r="C1093" s="141" t="str">
        <f t="shared" si="1"/>
        <v>1-2026</v>
      </c>
      <c r="F1093" s="54">
        <f>'220 Antiga Silvinho '!$E1093-'220 Antiga Silvinho '!$D1093</f>
        <v>0</v>
      </c>
      <c r="G1093" s="54">
        <f>'220 Antiga Silvinho '!$F1093-10</f>
        <v>-10</v>
      </c>
    </row>
    <row r="1094" ht="14.25" customHeight="1">
      <c r="B1094" s="151">
        <v>46039.0</v>
      </c>
      <c r="C1094" s="141" t="str">
        <f t="shared" si="1"/>
        <v>1-2026</v>
      </c>
      <c r="F1094" s="54">
        <f>'220 Antiga Silvinho '!$E1094-'220 Antiga Silvinho '!$D1094</f>
        <v>0</v>
      </c>
      <c r="G1094" s="54">
        <f>'220 Antiga Silvinho '!$F1094-10</f>
        <v>-10</v>
      </c>
    </row>
    <row r="1095" ht="14.25" customHeight="1">
      <c r="B1095" s="151">
        <v>46040.0</v>
      </c>
      <c r="C1095" s="141" t="str">
        <f t="shared" si="1"/>
        <v>1-2026</v>
      </c>
      <c r="F1095" s="54">
        <f>'220 Antiga Silvinho '!$E1095-'220 Antiga Silvinho '!$D1095</f>
        <v>0</v>
      </c>
      <c r="G1095" s="54">
        <f>'220 Antiga Silvinho '!$F1095-10</f>
        <v>-10</v>
      </c>
    </row>
    <row r="1096" ht="14.25" customHeight="1">
      <c r="B1096" s="140">
        <v>46041.0</v>
      </c>
      <c r="C1096" s="141" t="str">
        <f t="shared" si="1"/>
        <v>1-2026</v>
      </c>
      <c r="D1096" s="28">
        <v>11366.9</v>
      </c>
      <c r="E1096" s="28">
        <v>11375.9</v>
      </c>
      <c r="F1096" s="54">
        <f>'220 Antiga Silvinho '!$E1096-'220 Antiga Silvinho '!$D1096</f>
        <v>9</v>
      </c>
      <c r="G1096" s="54">
        <f>'220 Antiga Silvinho '!$F1096-10</f>
        <v>-1</v>
      </c>
    </row>
    <row r="1097" ht="14.25" customHeight="1">
      <c r="B1097" s="140">
        <v>46042.0</v>
      </c>
      <c r="C1097" s="141" t="str">
        <f t="shared" si="1"/>
        <v>1-2026</v>
      </c>
      <c r="D1097" s="165">
        <f t="shared" ref="D1097:D1100" si="122">E1096</f>
        <v>11375.9</v>
      </c>
      <c r="E1097" s="28">
        <v>11387.5</v>
      </c>
      <c r="F1097" s="54">
        <f>'220 Antiga Silvinho '!$E1097-'220 Antiga Silvinho '!$D1097</f>
        <v>11.6</v>
      </c>
      <c r="G1097" s="54">
        <f>'220 Antiga Silvinho '!$F1097-10</f>
        <v>1.6</v>
      </c>
    </row>
    <row r="1098" ht="14.25" customHeight="1">
      <c r="B1098" s="140">
        <v>46043.0</v>
      </c>
      <c r="C1098" s="141" t="str">
        <f t="shared" si="1"/>
        <v>1-2026</v>
      </c>
      <c r="D1098" s="165">
        <f t="shared" si="122"/>
        <v>11387.5</v>
      </c>
      <c r="E1098" s="28">
        <v>11398.9</v>
      </c>
      <c r="F1098" s="54">
        <f>'220 Antiga Silvinho '!$E1098-'220 Antiga Silvinho '!$D1098</f>
        <v>11.4</v>
      </c>
      <c r="G1098" s="54">
        <f>'220 Antiga Silvinho '!$F1098-10</f>
        <v>1.4</v>
      </c>
    </row>
    <row r="1099" ht="14.25" customHeight="1">
      <c r="B1099" s="140">
        <v>46044.0</v>
      </c>
      <c r="C1099" s="141" t="str">
        <f t="shared" si="1"/>
        <v>1-2026</v>
      </c>
      <c r="D1099" s="165">
        <f t="shared" si="122"/>
        <v>11398.9</v>
      </c>
      <c r="E1099" s="28">
        <v>11410.4</v>
      </c>
      <c r="F1099" s="54">
        <f>'220 Antiga Silvinho '!$E1099-'220 Antiga Silvinho '!$D1099</f>
        <v>11.5</v>
      </c>
      <c r="G1099" s="54">
        <f>'220 Antiga Silvinho '!$F1099-10</f>
        <v>1.5</v>
      </c>
    </row>
    <row r="1100" ht="14.25" customHeight="1">
      <c r="B1100" s="140">
        <v>46045.0</v>
      </c>
      <c r="C1100" s="141" t="str">
        <f t="shared" si="1"/>
        <v>1-2026</v>
      </c>
      <c r="D1100" s="165">
        <f t="shared" si="122"/>
        <v>11410.4</v>
      </c>
      <c r="E1100" s="28">
        <v>11420.1</v>
      </c>
      <c r="F1100" s="54">
        <f>'220 Antiga Silvinho '!$E1100-'220 Antiga Silvinho '!$D1100</f>
        <v>9.7</v>
      </c>
      <c r="G1100" s="54">
        <f>'220 Antiga Silvinho '!$F1100-10</f>
        <v>-0.3</v>
      </c>
    </row>
    <row r="1101" ht="14.25" customHeight="1">
      <c r="B1101" s="151">
        <v>46046.0</v>
      </c>
      <c r="C1101" s="141" t="str">
        <f t="shared" si="1"/>
        <v>1-2026</v>
      </c>
      <c r="F1101" s="54">
        <f>'220 Antiga Silvinho '!$E1101-'220 Antiga Silvinho '!$D1101</f>
        <v>0</v>
      </c>
      <c r="G1101" s="54">
        <f>'220 Antiga Silvinho '!$F1101-10</f>
        <v>-10</v>
      </c>
    </row>
    <row r="1102" ht="14.25" customHeight="1">
      <c r="B1102" s="151">
        <v>46047.0</v>
      </c>
      <c r="C1102" s="141" t="str">
        <f t="shared" si="1"/>
        <v>1-2026</v>
      </c>
      <c r="D1102" s="165" t="str">
        <f t="shared" ref="D1102:D1103" si="123">E1101</f>
        <v/>
      </c>
      <c r="F1102" s="54">
        <f>'220 Antiga Silvinho '!$E1102-'220 Antiga Silvinho '!$D1102</f>
        <v>0</v>
      </c>
      <c r="G1102" s="54">
        <f>'220 Antiga Silvinho '!$F1102-10</f>
        <v>-10</v>
      </c>
    </row>
    <row r="1103" ht="14.25" customHeight="1">
      <c r="B1103" s="140">
        <v>46048.0</v>
      </c>
      <c r="C1103" s="141" t="str">
        <f t="shared" si="1"/>
        <v>1-2026</v>
      </c>
      <c r="D1103" s="165" t="str">
        <f t="shared" si="123"/>
        <v/>
      </c>
      <c r="F1103" s="54">
        <f>'220 Antiga Silvinho '!$E1103-'220 Antiga Silvinho '!$D1103</f>
        <v>0</v>
      </c>
      <c r="G1103" s="54">
        <f>'220 Antiga Silvinho '!$F1103-10</f>
        <v>-10</v>
      </c>
    </row>
    <row r="1104" ht="14.25" customHeight="1">
      <c r="B1104" s="140">
        <v>46049.0</v>
      </c>
      <c r="C1104" s="141" t="str">
        <f t="shared" si="1"/>
        <v>1-2026</v>
      </c>
      <c r="D1104" s="28">
        <v>11420.1</v>
      </c>
      <c r="E1104" s="28">
        <v>11428.8</v>
      </c>
      <c r="F1104" s="54">
        <f>'220 Antiga Silvinho '!$E1104-'220 Antiga Silvinho '!$D1104</f>
        <v>8.7</v>
      </c>
      <c r="G1104" s="54">
        <f>'220 Antiga Silvinho '!$F1104-10</f>
        <v>-1.3</v>
      </c>
    </row>
    <row r="1105" ht="14.25" customHeight="1">
      <c r="B1105" s="140">
        <v>46050.0</v>
      </c>
      <c r="C1105" s="141" t="str">
        <f t="shared" si="1"/>
        <v>1-2026</v>
      </c>
      <c r="D1105" s="165">
        <f t="shared" ref="D1105:D1107" si="124">E1104</f>
        <v>11428.8</v>
      </c>
      <c r="E1105" s="28">
        <v>11440.1</v>
      </c>
      <c r="F1105" s="54">
        <f>'220 Antiga Silvinho '!$E1105-'220 Antiga Silvinho '!$D1105</f>
        <v>11.3</v>
      </c>
      <c r="G1105" s="54">
        <f>'220 Antiga Silvinho '!$F1105-10</f>
        <v>1.3</v>
      </c>
    </row>
    <row r="1106" ht="14.25" customHeight="1">
      <c r="B1106" s="140">
        <v>46051.0</v>
      </c>
      <c r="C1106" s="141" t="str">
        <f t="shared" si="1"/>
        <v>1-2026</v>
      </c>
      <c r="D1106" s="165">
        <f t="shared" si="124"/>
        <v>11440.1</v>
      </c>
      <c r="E1106" s="28">
        <v>11451.1</v>
      </c>
      <c r="F1106" s="54">
        <f>'220 Antiga Silvinho '!$E1106-'220 Antiga Silvinho '!$D1106</f>
        <v>11</v>
      </c>
      <c r="G1106" s="54">
        <f>'220 Antiga Silvinho '!$F1106-10</f>
        <v>1</v>
      </c>
    </row>
    <row r="1107" ht="14.25" customHeight="1">
      <c r="B1107" s="140">
        <v>46052.0</v>
      </c>
      <c r="C1107" s="141" t="str">
        <f t="shared" si="1"/>
        <v>1-2026</v>
      </c>
      <c r="D1107" s="165">
        <f t="shared" si="124"/>
        <v>11451.1</v>
      </c>
      <c r="E1107" s="28">
        <v>11460.8</v>
      </c>
      <c r="F1107" s="54">
        <f>'220 Antiga Silvinho '!$E1107-'220 Antiga Silvinho '!$D1107</f>
        <v>9.7</v>
      </c>
      <c r="G1107" s="54">
        <f>'220 Antiga Silvinho '!$F1107-10</f>
        <v>-0.3</v>
      </c>
      <c r="H1107" s="28">
        <v>2556.0</v>
      </c>
    </row>
    <row r="1108" ht="14.25" customHeight="1">
      <c r="B1108" s="151">
        <v>46053.0</v>
      </c>
      <c r="C1108" s="141" t="str">
        <f t="shared" si="1"/>
        <v>1-2026</v>
      </c>
      <c r="F1108" s="54">
        <f>'220 Antiga Silvinho '!$E1108-'220 Antiga Silvinho '!$D1108</f>
        <v>0</v>
      </c>
      <c r="G1108" s="54">
        <f>'220 Antiga Silvinho '!$F1108-10</f>
        <v>-10</v>
      </c>
    </row>
    <row r="1109" ht="14.25" customHeight="1">
      <c r="B1109" s="140">
        <v>46054.0</v>
      </c>
      <c r="C1109" s="141" t="str">
        <f t="shared" si="1"/>
        <v>2-2026</v>
      </c>
      <c r="D1109" s="165" t="str">
        <f t="shared" ref="D1109:D1196" si="125">E1108</f>
        <v/>
      </c>
      <c r="F1109" s="54">
        <f>'220 Antiga Silvinho '!$E1109-'220 Antiga Silvinho '!$D1109</f>
        <v>0</v>
      </c>
      <c r="G1109" s="54">
        <f>'220 Antiga Silvinho '!$F1109-10</f>
        <v>-10</v>
      </c>
    </row>
    <row r="1110" ht="14.25" customHeight="1">
      <c r="B1110" s="140"/>
      <c r="C1110" s="141" t="str">
        <f t="shared" si="1"/>
        <v>12-1899</v>
      </c>
      <c r="D1110" s="165" t="str">
        <f t="shared" si="125"/>
        <v/>
      </c>
      <c r="F1110" s="54">
        <f>'220 Antiga Silvinho '!$E1110-'220 Antiga Silvinho '!$D1110</f>
        <v>0</v>
      </c>
      <c r="G1110" s="54">
        <f>'220 Antiga Silvinho '!$F1110-10</f>
        <v>-10</v>
      </c>
    </row>
    <row r="1111" ht="14.25" customHeight="1">
      <c r="B1111" s="140"/>
      <c r="C1111" s="141" t="str">
        <f t="shared" si="1"/>
        <v>12-1899</v>
      </c>
      <c r="D1111" s="165" t="str">
        <f t="shared" si="125"/>
        <v/>
      </c>
      <c r="F1111" s="54">
        <f>'220 Antiga Silvinho '!$E1111-'220 Antiga Silvinho '!$D1111</f>
        <v>0</v>
      </c>
      <c r="G1111" s="54">
        <f>'220 Antiga Silvinho '!$F1111-10</f>
        <v>-10</v>
      </c>
    </row>
    <row r="1112" ht="14.25" customHeight="1">
      <c r="B1112" s="140"/>
      <c r="C1112" s="141" t="str">
        <f t="shared" si="1"/>
        <v>12-1899</v>
      </c>
      <c r="D1112" s="165" t="str">
        <f t="shared" si="125"/>
        <v/>
      </c>
      <c r="F1112" s="54">
        <f>'220 Antiga Silvinho '!$E1112-'220 Antiga Silvinho '!$D1112</f>
        <v>0</v>
      </c>
      <c r="G1112" s="54">
        <f>'220 Antiga Silvinho '!$F1112-10</f>
        <v>-10</v>
      </c>
    </row>
    <row r="1113" ht="14.25" customHeight="1">
      <c r="B1113" s="140"/>
      <c r="C1113" s="141" t="str">
        <f t="shared" si="1"/>
        <v>12-1899</v>
      </c>
      <c r="D1113" s="165" t="str">
        <f t="shared" si="125"/>
        <v/>
      </c>
      <c r="F1113" s="54">
        <f>'220 Antiga Silvinho '!$E1113-'220 Antiga Silvinho '!$D1113</f>
        <v>0</v>
      </c>
      <c r="G1113" s="54">
        <f>'220 Antiga Silvinho '!$F1113-10</f>
        <v>-10</v>
      </c>
    </row>
    <row r="1114" ht="14.25" customHeight="1">
      <c r="B1114" s="140"/>
      <c r="C1114" s="141" t="str">
        <f t="shared" si="1"/>
        <v>12-1899</v>
      </c>
      <c r="D1114" s="165" t="str">
        <f t="shared" si="125"/>
        <v/>
      </c>
      <c r="F1114" s="54">
        <f>'220 Antiga Silvinho '!$E1114-'220 Antiga Silvinho '!$D1114</f>
        <v>0</v>
      </c>
      <c r="G1114" s="54">
        <f>'220 Antiga Silvinho '!$F1114-10</f>
        <v>-10</v>
      </c>
    </row>
    <row r="1115" ht="14.25" customHeight="1">
      <c r="B1115" s="140"/>
      <c r="C1115" s="141" t="str">
        <f t="shared" si="1"/>
        <v>12-1899</v>
      </c>
      <c r="D1115" s="165" t="str">
        <f t="shared" si="125"/>
        <v/>
      </c>
      <c r="F1115" s="54">
        <f>'220 Antiga Silvinho '!$E1115-'220 Antiga Silvinho '!$D1115</f>
        <v>0</v>
      </c>
      <c r="G1115" s="54">
        <f>'220 Antiga Silvinho '!$F1115-10</f>
        <v>-10</v>
      </c>
    </row>
    <row r="1116" ht="14.25" customHeight="1">
      <c r="B1116" s="140"/>
      <c r="C1116" s="141" t="str">
        <f t="shared" si="1"/>
        <v>12-1899</v>
      </c>
      <c r="D1116" s="165" t="str">
        <f t="shared" si="125"/>
        <v/>
      </c>
      <c r="F1116" s="54">
        <f>'220 Antiga Silvinho '!$E1116-'220 Antiga Silvinho '!$D1116</f>
        <v>0</v>
      </c>
      <c r="G1116" s="54">
        <f>'220 Antiga Silvinho '!$F1116-10</f>
        <v>-10</v>
      </c>
    </row>
    <row r="1117" ht="14.25" customHeight="1">
      <c r="B1117" s="140"/>
      <c r="C1117" s="141" t="str">
        <f t="shared" si="1"/>
        <v>12-1899</v>
      </c>
      <c r="D1117" s="165" t="str">
        <f t="shared" si="125"/>
        <v/>
      </c>
      <c r="F1117" s="54">
        <f>'220 Antiga Silvinho '!$E1117-'220 Antiga Silvinho '!$D1117</f>
        <v>0</v>
      </c>
      <c r="G1117" s="54">
        <f>'220 Antiga Silvinho '!$F1117-10</f>
        <v>-10</v>
      </c>
    </row>
    <row r="1118" ht="14.25" customHeight="1">
      <c r="B1118" s="140"/>
      <c r="C1118" s="141" t="str">
        <f t="shared" si="1"/>
        <v>12-1899</v>
      </c>
      <c r="D1118" s="165" t="str">
        <f t="shared" si="125"/>
        <v/>
      </c>
      <c r="F1118" s="54">
        <f>'220 Antiga Silvinho '!$E1118-'220 Antiga Silvinho '!$D1118</f>
        <v>0</v>
      </c>
      <c r="G1118" s="54">
        <f>'220 Antiga Silvinho '!$F1118-10</f>
        <v>-10</v>
      </c>
    </row>
    <row r="1119" ht="14.25" customHeight="1">
      <c r="B1119" s="140"/>
      <c r="C1119" s="141" t="str">
        <f t="shared" si="1"/>
        <v>12-1899</v>
      </c>
      <c r="D1119" s="165" t="str">
        <f t="shared" si="125"/>
        <v/>
      </c>
      <c r="F1119" s="54">
        <f>'220 Antiga Silvinho '!$E1119-'220 Antiga Silvinho '!$D1119</f>
        <v>0</v>
      </c>
      <c r="G1119" s="54">
        <f>'220 Antiga Silvinho '!$F1119-10</f>
        <v>-10</v>
      </c>
    </row>
    <row r="1120" ht="14.25" customHeight="1">
      <c r="B1120" s="140"/>
      <c r="C1120" s="141" t="str">
        <f t="shared" si="1"/>
        <v>12-1899</v>
      </c>
      <c r="D1120" s="165" t="str">
        <f t="shared" si="125"/>
        <v/>
      </c>
      <c r="F1120" s="54">
        <f>'220 Antiga Silvinho '!$E1120-'220 Antiga Silvinho '!$D1120</f>
        <v>0</v>
      </c>
      <c r="G1120" s="54">
        <f>'220 Antiga Silvinho '!$F1120-10</f>
        <v>-10</v>
      </c>
    </row>
    <row r="1121" ht="14.25" customHeight="1">
      <c r="B1121" s="140"/>
      <c r="C1121" s="141" t="str">
        <f t="shared" si="1"/>
        <v>12-1899</v>
      </c>
      <c r="D1121" s="165" t="str">
        <f t="shared" si="125"/>
        <v/>
      </c>
      <c r="F1121" s="54">
        <f>'220 Antiga Silvinho '!$E1121-'220 Antiga Silvinho '!$D1121</f>
        <v>0</v>
      </c>
      <c r="G1121" s="54">
        <f>'220 Antiga Silvinho '!$F1121-10</f>
        <v>-10</v>
      </c>
    </row>
    <row r="1122" ht="14.25" customHeight="1">
      <c r="B1122" s="140"/>
      <c r="C1122" s="141" t="str">
        <f t="shared" si="1"/>
        <v>12-1899</v>
      </c>
      <c r="D1122" s="165" t="str">
        <f t="shared" si="125"/>
        <v/>
      </c>
      <c r="F1122" s="54">
        <f>'220 Antiga Silvinho '!$E1122-'220 Antiga Silvinho '!$D1122</f>
        <v>0</v>
      </c>
      <c r="G1122" s="54">
        <f>'220 Antiga Silvinho '!$F1122-10</f>
        <v>-10</v>
      </c>
    </row>
    <row r="1123" ht="14.25" customHeight="1">
      <c r="B1123" s="140"/>
      <c r="C1123" s="141" t="str">
        <f t="shared" si="1"/>
        <v>12-1899</v>
      </c>
      <c r="D1123" s="165" t="str">
        <f t="shared" si="125"/>
        <v/>
      </c>
      <c r="F1123" s="54">
        <f>'220 Antiga Silvinho '!$E1123-'220 Antiga Silvinho '!$D1123</f>
        <v>0</v>
      </c>
      <c r="G1123" s="54">
        <f>'220 Antiga Silvinho '!$F1123-10</f>
        <v>-10</v>
      </c>
    </row>
    <row r="1124" ht="14.25" customHeight="1">
      <c r="B1124" s="140"/>
      <c r="C1124" s="141" t="str">
        <f t="shared" si="1"/>
        <v>12-1899</v>
      </c>
      <c r="D1124" s="165" t="str">
        <f t="shared" si="125"/>
        <v/>
      </c>
      <c r="F1124" s="54">
        <f>'220 Antiga Silvinho '!$E1124-'220 Antiga Silvinho '!$D1124</f>
        <v>0</v>
      </c>
      <c r="G1124" s="54">
        <f>'220 Antiga Silvinho '!$F1124-10</f>
        <v>-10</v>
      </c>
    </row>
    <row r="1125" ht="14.25" customHeight="1">
      <c r="B1125" s="140"/>
      <c r="C1125" s="141" t="str">
        <f t="shared" si="1"/>
        <v>12-1899</v>
      </c>
      <c r="D1125" s="165" t="str">
        <f t="shared" si="125"/>
        <v/>
      </c>
      <c r="F1125" s="54">
        <f>'220 Antiga Silvinho '!$E1125-'220 Antiga Silvinho '!$D1125</f>
        <v>0</v>
      </c>
      <c r="G1125" s="54">
        <f>'220 Antiga Silvinho '!$F1125-10</f>
        <v>-10</v>
      </c>
    </row>
    <row r="1126" ht="14.25" customHeight="1">
      <c r="B1126" s="140"/>
      <c r="C1126" s="141" t="str">
        <f t="shared" si="1"/>
        <v>12-1899</v>
      </c>
      <c r="D1126" s="165" t="str">
        <f t="shared" si="125"/>
        <v/>
      </c>
      <c r="F1126" s="54">
        <f>'220 Antiga Silvinho '!$E1126-'220 Antiga Silvinho '!$D1126</f>
        <v>0</v>
      </c>
      <c r="G1126" s="54">
        <f>'220 Antiga Silvinho '!$F1126-10</f>
        <v>-10</v>
      </c>
    </row>
    <row r="1127" ht="14.25" customHeight="1">
      <c r="B1127" s="140"/>
      <c r="C1127" s="141" t="str">
        <f t="shared" si="1"/>
        <v>12-1899</v>
      </c>
      <c r="D1127" s="165" t="str">
        <f t="shared" si="125"/>
        <v/>
      </c>
      <c r="F1127" s="54">
        <f>'220 Antiga Silvinho '!$E1127-'220 Antiga Silvinho '!$D1127</f>
        <v>0</v>
      </c>
      <c r="G1127" s="54">
        <f>'220 Antiga Silvinho '!$F1127-10</f>
        <v>-10</v>
      </c>
    </row>
    <row r="1128" ht="14.25" customHeight="1">
      <c r="B1128" s="140"/>
      <c r="C1128" s="141" t="str">
        <f t="shared" si="1"/>
        <v>12-1899</v>
      </c>
      <c r="D1128" s="165" t="str">
        <f t="shared" si="125"/>
        <v/>
      </c>
      <c r="F1128" s="54">
        <f>'220 Antiga Silvinho '!$E1128-'220 Antiga Silvinho '!$D1128</f>
        <v>0</v>
      </c>
      <c r="G1128" s="54">
        <f>'220 Antiga Silvinho '!$F1128-10</f>
        <v>-10</v>
      </c>
    </row>
    <row r="1129" ht="14.25" customHeight="1">
      <c r="B1129" s="140"/>
      <c r="C1129" s="141" t="str">
        <f t="shared" si="1"/>
        <v>12-1899</v>
      </c>
      <c r="D1129" s="165" t="str">
        <f t="shared" si="125"/>
        <v/>
      </c>
      <c r="F1129" s="54">
        <f>'220 Antiga Silvinho '!$E1129-'220 Antiga Silvinho '!$D1129</f>
        <v>0</v>
      </c>
      <c r="G1129" s="54">
        <f>'220 Antiga Silvinho '!$F1129-10</f>
        <v>-10</v>
      </c>
    </row>
    <row r="1130" ht="14.25" customHeight="1">
      <c r="B1130" s="140"/>
      <c r="C1130" s="141" t="str">
        <f t="shared" si="1"/>
        <v>12-1899</v>
      </c>
      <c r="D1130" s="165" t="str">
        <f t="shared" si="125"/>
        <v/>
      </c>
      <c r="F1130" s="54">
        <f>'220 Antiga Silvinho '!$E1130-'220 Antiga Silvinho '!$D1130</f>
        <v>0</v>
      </c>
      <c r="G1130" s="54">
        <f>'220 Antiga Silvinho '!$F1130-10</f>
        <v>-10</v>
      </c>
    </row>
    <row r="1131" ht="14.25" customHeight="1">
      <c r="B1131" s="140"/>
      <c r="C1131" s="141" t="str">
        <f t="shared" si="1"/>
        <v>12-1899</v>
      </c>
      <c r="D1131" s="165" t="str">
        <f t="shared" si="125"/>
        <v/>
      </c>
      <c r="F1131" s="54">
        <f>'220 Antiga Silvinho '!$E1131-'220 Antiga Silvinho '!$D1131</f>
        <v>0</v>
      </c>
      <c r="G1131" s="54">
        <f>'220 Antiga Silvinho '!$F1131-10</f>
        <v>-10</v>
      </c>
    </row>
    <row r="1132" ht="14.25" customHeight="1">
      <c r="B1132" s="140"/>
      <c r="C1132" s="141" t="str">
        <f t="shared" si="1"/>
        <v>12-1899</v>
      </c>
      <c r="D1132" s="165" t="str">
        <f t="shared" si="125"/>
        <v/>
      </c>
      <c r="F1132" s="54">
        <f>'220 Antiga Silvinho '!$E1132-'220 Antiga Silvinho '!$D1132</f>
        <v>0</v>
      </c>
      <c r="G1132" s="54">
        <f>'220 Antiga Silvinho '!$F1132-10</f>
        <v>-10</v>
      </c>
    </row>
    <row r="1133" ht="14.25" customHeight="1">
      <c r="B1133" s="140"/>
      <c r="C1133" s="141" t="str">
        <f t="shared" si="1"/>
        <v>12-1899</v>
      </c>
      <c r="D1133" s="165" t="str">
        <f t="shared" si="125"/>
        <v/>
      </c>
      <c r="F1133" s="54">
        <f>'220 Antiga Silvinho '!$E1133-'220 Antiga Silvinho '!$D1133</f>
        <v>0</v>
      </c>
      <c r="G1133" s="54">
        <f>'220 Antiga Silvinho '!$F1133-10</f>
        <v>-10</v>
      </c>
    </row>
    <row r="1134" ht="14.25" customHeight="1">
      <c r="B1134" s="140"/>
      <c r="C1134" s="141" t="str">
        <f t="shared" si="1"/>
        <v>12-1899</v>
      </c>
      <c r="D1134" s="165" t="str">
        <f t="shared" si="125"/>
        <v/>
      </c>
      <c r="F1134" s="54">
        <f>'220 Antiga Silvinho '!$E1134-'220 Antiga Silvinho '!$D1134</f>
        <v>0</v>
      </c>
      <c r="G1134" s="54">
        <f>'220 Antiga Silvinho '!$F1134-10</f>
        <v>-10</v>
      </c>
    </row>
    <row r="1135" ht="14.25" customHeight="1">
      <c r="B1135" s="140"/>
      <c r="C1135" s="141" t="str">
        <f t="shared" si="1"/>
        <v>12-1899</v>
      </c>
      <c r="D1135" s="165" t="str">
        <f t="shared" si="125"/>
        <v/>
      </c>
      <c r="F1135" s="54">
        <f>'220 Antiga Silvinho '!$E1135-'220 Antiga Silvinho '!$D1135</f>
        <v>0</v>
      </c>
      <c r="G1135" s="54">
        <f>'220 Antiga Silvinho '!$F1135-10</f>
        <v>-10</v>
      </c>
    </row>
    <row r="1136" ht="14.25" customHeight="1">
      <c r="B1136" s="140"/>
      <c r="C1136" s="141" t="str">
        <f t="shared" si="1"/>
        <v>12-1899</v>
      </c>
      <c r="D1136" s="165" t="str">
        <f t="shared" si="125"/>
        <v/>
      </c>
      <c r="F1136" s="54">
        <f>'220 Antiga Silvinho '!$E1136-'220 Antiga Silvinho '!$D1136</f>
        <v>0</v>
      </c>
      <c r="G1136" s="54">
        <f>'220 Antiga Silvinho '!$F1136-10</f>
        <v>-10</v>
      </c>
    </row>
    <row r="1137" ht="14.25" customHeight="1">
      <c r="B1137" s="140"/>
      <c r="C1137" s="141" t="str">
        <f t="shared" si="1"/>
        <v>12-1899</v>
      </c>
      <c r="D1137" s="165" t="str">
        <f t="shared" si="125"/>
        <v/>
      </c>
      <c r="F1137" s="54">
        <f>'220 Antiga Silvinho '!$E1137-'220 Antiga Silvinho '!$D1137</f>
        <v>0</v>
      </c>
      <c r="G1137" s="54">
        <f>'220 Antiga Silvinho '!$F1137-10</f>
        <v>-10</v>
      </c>
    </row>
    <row r="1138" ht="14.25" customHeight="1">
      <c r="B1138" s="140"/>
      <c r="C1138" s="141" t="str">
        <f t="shared" si="1"/>
        <v>12-1899</v>
      </c>
      <c r="D1138" s="165" t="str">
        <f t="shared" si="125"/>
        <v/>
      </c>
      <c r="F1138" s="54">
        <f>'220 Antiga Silvinho '!$E1138-'220 Antiga Silvinho '!$D1138</f>
        <v>0</v>
      </c>
      <c r="G1138" s="54">
        <f>'220 Antiga Silvinho '!$F1138-10</f>
        <v>-10</v>
      </c>
    </row>
    <row r="1139" ht="14.25" customHeight="1">
      <c r="B1139" s="140"/>
      <c r="C1139" s="141" t="str">
        <f t="shared" si="1"/>
        <v>12-1899</v>
      </c>
      <c r="D1139" s="165" t="str">
        <f t="shared" si="125"/>
        <v/>
      </c>
      <c r="F1139" s="54">
        <f>'220 Antiga Silvinho '!$E1139-'220 Antiga Silvinho '!$D1139</f>
        <v>0</v>
      </c>
      <c r="G1139" s="54">
        <f>'220 Antiga Silvinho '!$F1139-10</f>
        <v>-10</v>
      </c>
    </row>
    <row r="1140" ht="14.25" customHeight="1">
      <c r="B1140" s="140"/>
      <c r="C1140" s="141" t="str">
        <f t="shared" si="1"/>
        <v>12-1899</v>
      </c>
      <c r="D1140" s="165" t="str">
        <f t="shared" si="125"/>
        <v/>
      </c>
      <c r="F1140" s="54">
        <f>'220 Antiga Silvinho '!$E1140-'220 Antiga Silvinho '!$D1140</f>
        <v>0</v>
      </c>
      <c r="G1140" s="54">
        <f>'220 Antiga Silvinho '!$F1140-10</f>
        <v>-10</v>
      </c>
    </row>
    <row r="1141" ht="14.25" customHeight="1">
      <c r="B1141" s="140"/>
      <c r="C1141" s="141" t="str">
        <f t="shared" si="1"/>
        <v>12-1899</v>
      </c>
      <c r="D1141" s="165" t="str">
        <f t="shared" si="125"/>
        <v/>
      </c>
      <c r="F1141" s="54">
        <f>'220 Antiga Silvinho '!$E1141-'220 Antiga Silvinho '!$D1141</f>
        <v>0</v>
      </c>
      <c r="G1141" s="54">
        <f>'220 Antiga Silvinho '!$F1141-10</f>
        <v>-10</v>
      </c>
    </row>
    <row r="1142" ht="14.25" customHeight="1">
      <c r="B1142" s="140"/>
      <c r="C1142" s="141" t="str">
        <f t="shared" si="1"/>
        <v>12-1899</v>
      </c>
      <c r="D1142" s="165" t="str">
        <f t="shared" si="125"/>
        <v/>
      </c>
      <c r="F1142" s="54">
        <f>'220 Antiga Silvinho '!$E1142-'220 Antiga Silvinho '!$D1142</f>
        <v>0</v>
      </c>
      <c r="G1142" s="54">
        <f>'220 Antiga Silvinho '!$F1142-10</f>
        <v>-10</v>
      </c>
    </row>
    <row r="1143" ht="14.25" customHeight="1">
      <c r="B1143" s="140"/>
      <c r="C1143" s="141" t="str">
        <f t="shared" si="1"/>
        <v>12-1899</v>
      </c>
      <c r="D1143" s="165" t="str">
        <f t="shared" si="125"/>
        <v/>
      </c>
      <c r="F1143" s="54">
        <f>'220 Antiga Silvinho '!$E1143-'220 Antiga Silvinho '!$D1143</f>
        <v>0</v>
      </c>
      <c r="G1143" s="54">
        <f>'220 Antiga Silvinho '!$F1143-10</f>
        <v>-10</v>
      </c>
    </row>
    <row r="1144" ht="14.25" customHeight="1">
      <c r="B1144" s="140"/>
      <c r="C1144" s="141" t="str">
        <f t="shared" si="1"/>
        <v>12-1899</v>
      </c>
      <c r="D1144" s="165" t="str">
        <f t="shared" si="125"/>
        <v/>
      </c>
      <c r="F1144" s="54">
        <f>'220 Antiga Silvinho '!$E1144-'220 Antiga Silvinho '!$D1144</f>
        <v>0</v>
      </c>
      <c r="G1144" s="54">
        <f>'220 Antiga Silvinho '!$F1144-10</f>
        <v>-10</v>
      </c>
    </row>
    <row r="1145" ht="14.25" customHeight="1">
      <c r="B1145" s="140"/>
      <c r="C1145" s="141" t="str">
        <f t="shared" si="1"/>
        <v>12-1899</v>
      </c>
      <c r="D1145" s="165" t="str">
        <f t="shared" si="125"/>
        <v/>
      </c>
      <c r="F1145" s="54">
        <f>'220 Antiga Silvinho '!$E1145-'220 Antiga Silvinho '!$D1145</f>
        <v>0</v>
      </c>
      <c r="G1145" s="54">
        <f>'220 Antiga Silvinho '!$F1145-10</f>
        <v>-10</v>
      </c>
    </row>
    <row r="1146" ht="14.25" customHeight="1">
      <c r="B1146" s="140"/>
      <c r="C1146" s="141" t="str">
        <f t="shared" si="1"/>
        <v>12-1899</v>
      </c>
      <c r="D1146" s="165" t="str">
        <f t="shared" si="125"/>
        <v/>
      </c>
      <c r="F1146" s="54">
        <f>'220 Antiga Silvinho '!$E1146-'220 Antiga Silvinho '!$D1146</f>
        <v>0</v>
      </c>
      <c r="G1146" s="54">
        <f>'220 Antiga Silvinho '!$F1146-10</f>
        <v>-10</v>
      </c>
    </row>
    <row r="1147" ht="14.25" customHeight="1">
      <c r="B1147" s="140"/>
      <c r="C1147" s="141"/>
      <c r="D1147" s="165" t="str">
        <f t="shared" si="125"/>
        <v/>
      </c>
      <c r="F1147" s="54"/>
      <c r="G1147" s="54"/>
    </row>
    <row r="1148" ht="14.25" customHeight="1">
      <c r="B1148" s="140"/>
      <c r="C1148" s="141"/>
      <c r="D1148" s="165" t="str">
        <f t="shared" si="125"/>
        <v/>
      </c>
      <c r="F1148" s="54"/>
      <c r="G1148" s="54"/>
    </row>
    <row r="1149" ht="14.25" customHeight="1">
      <c r="B1149" s="140"/>
      <c r="C1149" s="141"/>
      <c r="D1149" s="165" t="str">
        <f t="shared" si="125"/>
        <v/>
      </c>
      <c r="F1149" s="54"/>
      <c r="G1149" s="54"/>
    </row>
    <row r="1150" ht="14.25" customHeight="1">
      <c r="B1150" s="140"/>
      <c r="C1150" s="141"/>
      <c r="D1150" s="165" t="str">
        <f t="shared" si="125"/>
        <v/>
      </c>
      <c r="F1150" s="54"/>
      <c r="G1150" s="54"/>
    </row>
    <row r="1151" ht="14.25" customHeight="1">
      <c r="B1151" s="140"/>
      <c r="C1151" s="141"/>
      <c r="D1151" s="165" t="str">
        <f t="shared" si="125"/>
        <v/>
      </c>
      <c r="F1151" s="54"/>
      <c r="G1151" s="54"/>
    </row>
    <row r="1152" ht="14.25" customHeight="1">
      <c r="B1152" s="140"/>
      <c r="C1152" s="141"/>
      <c r="D1152" s="165" t="str">
        <f t="shared" si="125"/>
        <v/>
      </c>
      <c r="F1152" s="54"/>
      <c r="G1152" s="54"/>
    </row>
    <row r="1153" ht="14.25" customHeight="1">
      <c r="B1153" s="140"/>
      <c r="C1153" s="141"/>
      <c r="D1153" s="165" t="str">
        <f t="shared" si="125"/>
        <v/>
      </c>
      <c r="F1153" s="54"/>
      <c r="G1153" s="54"/>
    </row>
    <row r="1154" ht="14.25" customHeight="1">
      <c r="B1154" s="140"/>
      <c r="C1154" s="141"/>
      <c r="D1154" s="165" t="str">
        <f t="shared" si="125"/>
        <v/>
      </c>
      <c r="F1154" s="54"/>
      <c r="G1154" s="54"/>
    </row>
    <row r="1155" ht="14.25" customHeight="1">
      <c r="B1155" s="140"/>
      <c r="C1155" s="141"/>
      <c r="D1155" s="165" t="str">
        <f t="shared" si="125"/>
        <v/>
      </c>
      <c r="F1155" s="54"/>
      <c r="G1155" s="54"/>
    </row>
    <row r="1156" ht="14.25" customHeight="1">
      <c r="B1156" s="140"/>
      <c r="C1156" s="141"/>
      <c r="D1156" s="165" t="str">
        <f t="shared" si="125"/>
        <v/>
      </c>
      <c r="F1156" s="54"/>
      <c r="G1156" s="54"/>
    </row>
    <row r="1157" ht="14.25" customHeight="1">
      <c r="B1157" s="140"/>
      <c r="C1157" s="141"/>
      <c r="D1157" s="165" t="str">
        <f t="shared" si="125"/>
        <v/>
      </c>
      <c r="F1157" s="54"/>
      <c r="G1157" s="54"/>
    </row>
    <row r="1158" ht="14.25" customHeight="1">
      <c r="B1158" s="140"/>
      <c r="C1158" s="141"/>
      <c r="D1158" s="165" t="str">
        <f t="shared" si="125"/>
        <v/>
      </c>
      <c r="F1158" s="54"/>
      <c r="G1158" s="54"/>
    </row>
    <row r="1159" ht="14.25" customHeight="1">
      <c r="B1159" s="140"/>
      <c r="C1159" s="141"/>
      <c r="D1159" s="165" t="str">
        <f t="shared" si="125"/>
        <v/>
      </c>
      <c r="F1159" s="54"/>
      <c r="G1159" s="54"/>
    </row>
    <row r="1160" ht="14.25" customHeight="1">
      <c r="B1160" s="140"/>
      <c r="C1160" s="141"/>
      <c r="D1160" s="165" t="str">
        <f t="shared" si="125"/>
        <v/>
      </c>
      <c r="F1160" s="54"/>
      <c r="G1160" s="54"/>
    </row>
    <row r="1161" ht="14.25" customHeight="1">
      <c r="B1161" s="140"/>
      <c r="C1161" s="141"/>
      <c r="D1161" s="165" t="str">
        <f t="shared" si="125"/>
        <v/>
      </c>
      <c r="F1161" s="54"/>
      <c r="G1161" s="54"/>
    </row>
    <row r="1162" ht="14.25" customHeight="1">
      <c r="B1162" s="140"/>
      <c r="C1162" s="141"/>
      <c r="D1162" s="165" t="str">
        <f t="shared" si="125"/>
        <v/>
      </c>
      <c r="F1162" s="54"/>
      <c r="G1162" s="54"/>
    </row>
    <row r="1163" ht="14.25" customHeight="1">
      <c r="B1163" s="140"/>
      <c r="C1163" s="141"/>
      <c r="D1163" s="165" t="str">
        <f t="shared" si="125"/>
        <v/>
      </c>
      <c r="F1163" s="54"/>
      <c r="G1163" s="54"/>
    </row>
    <row r="1164" ht="14.25" customHeight="1">
      <c r="B1164" s="140"/>
      <c r="C1164" s="141"/>
      <c r="D1164" s="165" t="str">
        <f t="shared" si="125"/>
        <v/>
      </c>
      <c r="F1164" s="54"/>
      <c r="G1164" s="54"/>
    </row>
    <row r="1165" ht="14.25" customHeight="1">
      <c r="B1165" s="140"/>
      <c r="C1165" s="141"/>
      <c r="D1165" s="165" t="str">
        <f t="shared" si="125"/>
        <v/>
      </c>
      <c r="F1165" s="54"/>
      <c r="G1165" s="54"/>
    </row>
    <row r="1166" ht="14.25" customHeight="1">
      <c r="B1166" s="140"/>
      <c r="C1166" s="141"/>
      <c r="D1166" s="165" t="str">
        <f t="shared" si="125"/>
        <v/>
      </c>
      <c r="F1166" s="54"/>
      <c r="G1166" s="54"/>
    </row>
    <row r="1167" ht="14.25" customHeight="1">
      <c r="B1167" s="140"/>
      <c r="C1167" s="141"/>
      <c r="D1167" s="165" t="str">
        <f t="shared" si="125"/>
        <v/>
      </c>
      <c r="F1167" s="54"/>
      <c r="G1167" s="54"/>
    </row>
    <row r="1168" ht="14.25" customHeight="1">
      <c r="B1168" s="140"/>
      <c r="C1168" s="141"/>
      <c r="D1168" s="165" t="str">
        <f t="shared" si="125"/>
        <v/>
      </c>
      <c r="F1168" s="54"/>
      <c r="G1168" s="54"/>
    </row>
    <row r="1169" ht="14.25" customHeight="1">
      <c r="B1169" s="140"/>
      <c r="C1169" s="141"/>
      <c r="D1169" s="165" t="str">
        <f t="shared" si="125"/>
        <v/>
      </c>
      <c r="F1169" s="54"/>
      <c r="G1169" s="54"/>
    </row>
    <row r="1170" ht="14.25" customHeight="1">
      <c r="B1170" s="140"/>
      <c r="C1170" s="141"/>
      <c r="D1170" s="165" t="str">
        <f t="shared" si="125"/>
        <v/>
      </c>
      <c r="F1170" s="54"/>
      <c r="G1170" s="54"/>
    </row>
    <row r="1171" ht="14.25" customHeight="1">
      <c r="B1171" s="140"/>
      <c r="C1171" s="141"/>
      <c r="D1171" s="165" t="str">
        <f t="shared" si="125"/>
        <v/>
      </c>
      <c r="F1171" s="54"/>
      <c r="G1171" s="54"/>
    </row>
    <row r="1172" ht="14.25" customHeight="1">
      <c r="B1172" s="140"/>
      <c r="C1172" s="141"/>
      <c r="D1172" s="165" t="str">
        <f t="shared" si="125"/>
        <v/>
      </c>
      <c r="F1172" s="54"/>
      <c r="G1172" s="54"/>
    </row>
    <row r="1173" ht="14.25" customHeight="1">
      <c r="B1173" s="140"/>
      <c r="C1173" s="141"/>
      <c r="D1173" s="165" t="str">
        <f t="shared" si="125"/>
        <v/>
      </c>
      <c r="F1173" s="54"/>
      <c r="G1173" s="54"/>
    </row>
    <row r="1174" ht="14.25" customHeight="1">
      <c r="B1174" s="140"/>
      <c r="C1174" s="141"/>
      <c r="D1174" s="165" t="str">
        <f t="shared" si="125"/>
        <v/>
      </c>
      <c r="F1174" s="54"/>
      <c r="G1174" s="54"/>
    </row>
    <row r="1175" ht="14.25" customHeight="1">
      <c r="B1175" s="140"/>
      <c r="C1175" s="141"/>
      <c r="D1175" s="165" t="str">
        <f t="shared" si="125"/>
        <v/>
      </c>
      <c r="F1175" s="54"/>
      <c r="G1175" s="54"/>
    </row>
    <row r="1176" ht="14.25" customHeight="1">
      <c r="B1176" s="140"/>
      <c r="C1176" s="141"/>
      <c r="D1176" s="165" t="str">
        <f t="shared" si="125"/>
        <v/>
      </c>
      <c r="F1176" s="54"/>
      <c r="G1176" s="54"/>
    </row>
    <row r="1177" ht="14.25" customHeight="1">
      <c r="B1177" s="140"/>
      <c r="C1177" s="141"/>
      <c r="D1177" s="165" t="str">
        <f t="shared" si="125"/>
        <v/>
      </c>
      <c r="F1177" s="54"/>
      <c r="G1177" s="54"/>
    </row>
    <row r="1178" ht="14.25" customHeight="1">
      <c r="B1178" s="140"/>
      <c r="C1178" s="141"/>
      <c r="D1178" s="165" t="str">
        <f t="shared" si="125"/>
        <v/>
      </c>
      <c r="F1178" s="54"/>
      <c r="G1178" s="54"/>
    </row>
    <row r="1179" ht="14.25" customHeight="1">
      <c r="B1179" s="140"/>
      <c r="C1179" s="141"/>
      <c r="D1179" s="165" t="str">
        <f t="shared" si="125"/>
        <v/>
      </c>
      <c r="F1179" s="54"/>
      <c r="G1179" s="54"/>
    </row>
    <row r="1180" ht="14.25" customHeight="1">
      <c r="B1180" s="140"/>
      <c r="C1180" s="141"/>
      <c r="D1180" s="165" t="str">
        <f t="shared" si="125"/>
        <v/>
      </c>
      <c r="F1180" s="54"/>
      <c r="G1180" s="54"/>
    </row>
    <row r="1181" ht="14.25" customHeight="1">
      <c r="B1181" s="140"/>
      <c r="C1181" s="141"/>
      <c r="D1181" s="165" t="str">
        <f t="shared" si="125"/>
        <v/>
      </c>
      <c r="F1181" s="54"/>
      <c r="G1181" s="54"/>
    </row>
    <row r="1182" ht="14.25" customHeight="1">
      <c r="B1182" s="140"/>
      <c r="C1182" s="141"/>
      <c r="D1182" s="165" t="str">
        <f t="shared" si="125"/>
        <v/>
      </c>
      <c r="F1182" s="54"/>
      <c r="G1182" s="54"/>
    </row>
    <row r="1183" ht="14.25" customHeight="1">
      <c r="B1183" s="140"/>
      <c r="C1183" s="141"/>
      <c r="D1183" s="165" t="str">
        <f t="shared" si="125"/>
        <v/>
      </c>
      <c r="F1183" s="54"/>
      <c r="G1183" s="54"/>
    </row>
    <row r="1184" ht="14.25" customHeight="1">
      <c r="B1184" s="140"/>
      <c r="C1184" s="141"/>
      <c r="D1184" s="165" t="str">
        <f t="shared" si="125"/>
        <v/>
      </c>
      <c r="F1184" s="54"/>
      <c r="G1184" s="54"/>
    </row>
    <row r="1185" ht="14.25" customHeight="1">
      <c r="B1185" s="140"/>
      <c r="C1185" s="141"/>
      <c r="D1185" s="165" t="str">
        <f t="shared" si="125"/>
        <v/>
      </c>
      <c r="F1185" s="54"/>
      <c r="G1185" s="54"/>
    </row>
    <row r="1186" ht="14.25" customHeight="1">
      <c r="B1186" s="140"/>
      <c r="C1186" s="141"/>
      <c r="D1186" s="165" t="str">
        <f t="shared" si="125"/>
        <v/>
      </c>
      <c r="F1186" s="54"/>
      <c r="G1186" s="54"/>
    </row>
    <row r="1187" ht="14.25" customHeight="1">
      <c r="B1187" s="140"/>
      <c r="C1187" s="141"/>
      <c r="D1187" s="165" t="str">
        <f t="shared" si="125"/>
        <v/>
      </c>
      <c r="F1187" s="54"/>
      <c r="G1187" s="54"/>
    </row>
    <row r="1188" ht="14.25" customHeight="1">
      <c r="B1188" s="140"/>
      <c r="C1188" s="141"/>
      <c r="D1188" s="165" t="str">
        <f t="shared" si="125"/>
        <v/>
      </c>
      <c r="F1188" s="54"/>
      <c r="G1188" s="54"/>
    </row>
    <row r="1189" ht="14.25" customHeight="1">
      <c r="B1189" s="140"/>
      <c r="C1189" s="141"/>
      <c r="D1189" s="165" t="str">
        <f t="shared" si="125"/>
        <v/>
      </c>
      <c r="F1189" s="54"/>
      <c r="G1189" s="54"/>
    </row>
    <row r="1190" ht="14.25" customHeight="1">
      <c r="B1190" s="140"/>
      <c r="C1190" s="141"/>
      <c r="D1190" s="165" t="str">
        <f t="shared" si="125"/>
        <v/>
      </c>
      <c r="F1190" s="54"/>
      <c r="G1190" s="54"/>
    </row>
    <row r="1191" ht="14.25" customHeight="1">
      <c r="B1191" s="140"/>
      <c r="C1191" s="141"/>
      <c r="D1191" s="165" t="str">
        <f t="shared" si="125"/>
        <v/>
      </c>
      <c r="F1191" s="54"/>
      <c r="G1191" s="54"/>
    </row>
    <row r="1192" ht="14.25" customHeight="1">
      <c r="B1192" s="140"/>
      <c r="C1192" s="141"/>
      <c r="D1192" s="165" t="str">
        <f t="shared" si="125"/>
        <v/>
      </c>
      <c r="F1192" s="54"/>
      <c r="G1192" s="54"/>
    </row>
    <row r="1193" ht="14.25" customHeight="1">
      <c r="B1193" s="140"/>
      <c r="C1193" s="141"/>
      <c r="D1193" s="165" t="str">
        <f t="shared" si="125"/>
        <v/>
      </c>
      <c r="F1193" s="54"/>
      <c r="G1193" s="54"/>
    </row>
    <row r="1194" ht="14.25" customHeight="1">
      <c r="B1194" s="140"/>
      <c r="C1194" s="141"/>
      <c r="D1194" s="165" t="str">
        <f t="shared" si="125"/>
        <v/>
      </c>
      <c r="F1194" s="54"/>
      <c r="G1194" s="54"/>
    </row>
    <row r="1195" ht="14.25" customHeight="1">
      <c r="B1195" s="140"/>
      <c r="C1195" s="141"/>
      <c r="D1195" s="165" t="str">
        <f t="shared" si="125"/>
        <v/>
      </c>
      <c r="F1195" s="54"/>
      <c r="G1195" s="54"/>
    </row>
    <row r="1196" ht="14.25" customHeight="1">
      <c r="B1196" s="140"/>
      <c r="C1196" s="141"/>
      <c r="D1196" s="165" t="str">
        <f t="shared" si="125"/>
        <v/>
      </c>
      <c r="F1196" s="54"/>
      <c r="G1196" s="54"/>
    </row>
    <row r="1197" ht="14.25" customHeight="1">
      <c r="B1197" s="140"/>
      <c r="C1197" s="141"/>
      <c r="F1197" s="54"/>
      <c r="G1197" s="54"/>
    </row>
    <row r="1198" ht="14.25" customHeight="1">
      <c r="B1198" s="140"/>
      <c r="C1198" s="141"/>
      <c r="F1198" s="54"/>
      <c r="G1198" s="54"/>
    </row>
    <row r="1199" ht="14.25" customHeight="1">
      <c r="B1199" s="140"/>
      <c r="C1199" s="141"/>
      <c r="F1199" s="54"/>
      <c r="G1199" s="54"/>
    </row>
    <row r="1200" ht="14.25" customHeight="1">
      <c r="B1200" s="140"/>
      <c r="C1200" s="141"/>
      <c r="F1200" s="54"/>
      <c r="G1200" s="54"/>
    </row>
    <row r="1201" ht="14.25" customHeight="1">
      <c r="B1201" s="140"/>
      <c r="C1201" s="141"/>
      <c r="F1201" s="54"/>
      <c r="G1201" s="54"/>
    </row>
    <row r="1202" ht="14.25" customHeight="1">
      <c r="B1202" s="140"/>
      <c r="C1202" s="141"/>
      <c r="F1202" s="54"/>
      <c r="G1202" s="54"/>
    </row>
    <row r="1203" ht="14.25" customHeight="1">
      <c r="B1203" s="140"/>
      <c r="C1203" s="141"/>
      <c r="F1203" s="54"/>
      <c r="G1203" s="54"/>
    </row>
    <row r="1204" ht="14.25" customHeight="1">
      <c r="B1204" s="140"/>
      <c r="C1204" s="141"/>
      <c r="F1204" s="54"/>
      <c r="G1204" s="54"/>
    </row>
    <row r="1205" ht="14.25" customHeight="1">
      <c r="B1205" s="140"/>
      <c r="C1205" s="141"/>
      <c r="F1205" s="54"/>
      <c r="G1205" s="54"/>
    </row>
    <row r="1206" ht="14.25" customHeight="1">
      <c r="B1206" s="140"/>
      <c r="C1206" s="141"/>
      <c r="F1206" s="54"/>
      <c r="G1206" s="54"/>
    </row>
    <row r="1207" ht="14.25" customHeight="1">
      <c r="B1207" s="140"/>
      <c r="C1207" s="141"/>
      <c r="F1207" s="54"/>
      <c r="G1207" s="54"/>
    </row>
    <row r="1208" ht="14.25" customHeight="1">
      <c r="B1208" s="140"/>
      <c r="C1208" s="141"/>
      <c r="F1208" s="54"/>
      <c r="G1208" s="54"/>
    </row>
    <row r="1209" ht="14.25" customHeight="1">
      <c r="B1209" s="140"/>
      <c r="C1209" s="141"/>
      <c r="F1209" s="54"/>
      <c r="G1209" s="54"/>
    </row>
    <row r="1210" ht="14.25" customHeight="1">
      <c r="B1210" s="140"/>
      <c r="C1210" s="141"/>
      <c r="F1210" s="54"/>
      <c r="G1210" s="54"/>
    </row>
    <row r="1211" ht="14.25" customHeight="1">
      <c r="B1211" s="140"/>
      <c r="C1211" s="141"/>
      <c r="F1211" s="54"/>
      <c r="G1211" s="54"/>
    </row>
    <row r="1212" ht="14.25" customHeight="1">
      <c r="B1212" s="140"/>
      <c r="C1212" s="141"/>
      <c r="F1212" s="54"/>
      <c r="G1212" s="54"/>
    </row>
    <row r="1213" ht="14.25" customHeight="1">
      <c r="B1213" s="140"/>
      <c r="C1213" s="141"/>
      <c r="F1213" s="54"/>
      <c r="G1213" s="54"/>
    </row>
    <row r="1214" ht="14.25" customHeight="1">
      <c r="B1214" s="140"/>
      <c r="C1214" s="141"/>
      <c r="F1214" s="54"/>
      <c r="G1214" s="54"/>
    </row>
    <row r="1215" ht="14.25" customHeight="1">
      <c r="B1215" s="140"/>
      <c r="C1215" s="141"/>
      <c r="F1215" s="54"/>
      <c r="G1215" s="54"/>
    </row>
    <row r="1216" ht="14.25" customHeight="1">
      <c r="B1216" s="140"/>
      <c r="C1216" s="141"/>
      <c r="F1216" s="54"/>
      <c r="G1216" s="54"/>
    </row>
    <row r="1217" ht="14.25" customHeight="1">
      <c r="B1217" s="140"/>
      <c r="C1217" s="141"/>
      <c r="F1217" s="54"/>
      <c r="G1217" s="54"/>
    </row>
    <row r="1218" ht="14.25" customHeight="1">
      <c r="B1218" s="140"/>
      <c r="C1218" s="141"/>
      <c r="F1218" s="54"/>
      <c r="G1218" s="54"/>
    </row>
    <row r="1219" ht="14.25" customHeight="1">
      <c r="B1219" s="140"/>
      <c r="C1219" s="141"/>
      <c r="F1219" s="54"/>
      <c r="G1219" s="54"/>
    </row>
    <row r="1220" ht="14.25" customHeight="1">
      <c r="B1220" s="140"/>
      <c r="C1220" s="141"/>
      <c r="F1220" s="54"/>
      <c r="G1220" s="54"/>
    </row>
    <row r="1221" ht="14.25" customHeight="1">
      <c r="B1221" s="140"/>
      <c r="C1221" s="141"/>
      <c r="F1221" s="54"/>
      <c r="G1221" s="54"/>
    </row>
    <row r="1222" ht="14.25" customHeight="1">
      <c r="B1222" s="140"/>
      <c r="C1222" s="141"/>
      <c r="F1222" s="54"/>
      <c r="G1222" s="54"/>
    </row>
    <row r="1223" ht="14.25" customHeight="1">
      <c r="B1223" s="140"/>
      <c r="C1223" s="141"/>
      <c r="F1223" s="54"/>
      <c r="G1223" s="54"/>
    </row>
    <row r="1224" ht="14.25" customHeight="1">
      <c r="B1224" s="140"/>
      <c r="C1224" s="141"/>
      <c r="F1224" s="54"/>
      <c r="G1224" s="54"/>
    </row>
    <row r="1225" ht="14.25" customHeight="1">
      <c r="B1225" s="140"/>
      <c r="C1225" s="141"/>
      <c r="F1225" s="54"/>
      <c r="G1225" s="54"/>
    </row>
    <row r="1226" ht="14.25" customHeight="1">
      <c r="B1226" s="140"/>
      <c r="C1226" s="141"/>
      <c r="F1226" s="54"/>
      <c r="G1226" s="54"/>
    </row>
    <row r="1227" ht="14.25" customHeight="1">
      <c r="B1227" s="140"/>
      <c r="C1227" s="141"/>
      <c r="F1227" s="54"/>
      <c r="G1227" s="54"/>
    </row>
    <row r="1228" ht="14.25" customHeight="1">
      <c r="B1228" s="140"/>
      <c r="C1228" s="141"/>
      <c r="F1228" s="54"/>
      <c r="G1228" s="54"/>
    </row>
    <row r="1229" ht="14.25" customHeight="1">
      <c r="B1229" s="140"/>
      <c r="C1229" s="141"/>
      <c r="F1229" s="54"/>
      <c r="G1229" s="54"/>
    </row>
    <row r="1230" ht="14.25" customHeight="1">
      <c r="B1230" s="140"/>
      <c r="C1230" s="141"/>
      <c r="F1230" s="54"/>
      <c r="G1230" s="54"/>
    </row>
    <row r="1231" ht="14.25" customHeight="1">
      <c r="B1231" s="140"/>
      <c r="C1231" s="141"/>
      <c r="F1231" s="54"/>
      <c r="G1231" s="54"/>
    </row>
    <row r="1232" ht="14.25" customHeight="1">
      <c r="B1232" s="140"/>
      <c r="C1232" s="141"/>
      <c r="F1232" s="54"/>
      <c r="G1232" s="54"/>
    </row>
    <row r="1233" ht="14.25" customHeight="1">
      <c r="B1233" s="140"/>
      <c r="C1233" s="141"/>
      <c r="F1233" s="54"/>
      <c r="G1233" s="54"/>
    </row>
    <row r="1234" ht="14.25" customHeight="1">
      <c r="B1234" s="140"/>
      <c r="C1234" s="141"/>
      <c r="F1234" s="54"/>
      <c r="G1234" s="54"/>
    </row>
    <row r="1235" ht="14.25" customHeight="1">
      <c r="B1235" s="140"/>
      <c r="C1235" s="141"/>
      <c r="F1235" s="54"/>
      <c r="G1235" s="54"/>
    </row>
    <row r="1236" ht="14.25" customHeight="1">
      <c r="B1236" s="140"/>
      <c r="C1236" s="141"/>
      <c r="F1236" s="54"/>
      <c r="G1236" s="54"/>
    </row>
    <row r="1237" ht="14.25" customHeight="1">
      <c r="B1237" s="140"/>
      <c r="C1237" s="141"/>
      <c r="F1237" s="54"/>
      <c r="G1237" s="54"/>
    </row>
    <row r="1238" ht="14.25" customHeight="1">
      <c r="B1238" s="140"/>
      <c r="C1238" s="141"/>
      <c r="F1238" s="54"/>
      <c r="G1238" s="54"/>
    </row>
    <row r="1239" ht="14.25" customHeight="1">
      <c r="B1239" s="140"/>
      <c r="C1239" s="141"/>
      <c r="F1239" s="54"/>
      <c r="G1239" s="54"/>
    </row>
    <row r="1240" ht="14.25" customHeight="1">
      <c r="B1240" s="140"/>
      <c r="C1240" s="141"/>
      <c r="F1240" s="54"/>
      <c r="G1240" s="54"/>
    </row>
    <row r="1241" ht="14.25" customHeight="1">
      <c r="B1241" s="140"/>
      <c r="C1241" s="141"/>
      <c r="F1241" s="54"/>
      <c r="G1241" s="54"/>
    </row>
    <row r="1242" ht="14.25" customHeight="1">
      <c r="B1242" s="140"/>
      <c r="C1242" s="141"/>
      <c r="F1242" s="54"/>
      <c r="G1242" s="54"/>
    </row>
    <row r="1243" ht="14.25" customHeight="1">
      <c r="B1243" s="140"/>
      <c r="C1243" s="141"/>
      <c r="F1243" s="54"/>
      <c r="G1243" s="54"/>
    </row>
    <row r="1244" ht="14.25" customHeight="1">
      <c r="B1244" s="140"/>
      <c r="C1244" s="141"/>
      <c r="F1244" s="54"/>
      <c r="G1244" s="54"/>
    </row>
    <row r="1245" ht="14.25" customHeight="1">
      <c r="B1245" s="140"/>
      <c r="C1245" s="141"/>
      <c r="F1245" s="54"/>
      <c r="G1245" s="54"/>
    </row>
    <row r="1246" ht="14.25" customHeight="1">
      <c r="B1246" s="140"/>
      <c r="C1246" s="141"/>
      <c r="F1246" s="54"/>
      <c r="G1246" s="54"/>
    </row>
    <row r="1247" ht="14.25" customHeight="1">
      <c r="B1247" s="140"/>
      <c r="C1247" s="141"/>
      <c r="F1247" s="54"/>
      <c r="G1247" s="54"/>
    </row>
    <row r="1248" ht="14.25" customHeight="1">
      <c r="B1248" s="140"/>
      <c r="C1248" s="141"/>
      <c r="F1248" s="54"/>
      <c r="G1248" s="54"/>
    </row>
    <row r="1249" ht="14.25" customHeight="1">
      <c r="B1249" s="140"/>
      <c r="C1249" s="141"/>
      <c r="F1249" s="54"/>
      <c r="G1249" s="54"/>
    </row>
    <row r="1250" ht="14.25" customHeight="1">
      <c r="B1250" s="140"/>
      <c r="C1250" s="141"/>
      <c r="F1250" s="54"/>
      <c r="G1250" s="54"/>
    </row>
    <row r="1251" ht="14.25" customHeight="1">
      <c r="B1251" s="140"/>
      <c r="C1251" s="141"/>
      <c r="F1251" s="54"/>
      <c r="G1251" s="54"/>
    </row>
    <row r="1252" ht="14.25" customHeight="1">
      <c r="B1252" s="140"/>
      <c r="C1252" s="141"/>
      <c r="F1252" s="54"/>
      <c r="G1252" s="54"/>
    </row>
    <row r="1253" ht="14.25" customHeight="1">
      <c r="B1253" s="140"/>
      <c r="C1253" s="141"/>
      <c r="F1253" s="54"/>
      <c r="G1253" s="54"/>
    </row>
    <row r="1254" ht="14.25" customHeight="1">
      <c r="B1254" s="140"/>
      <c r="C1254" s="141"/>
      <c r="F1254" s="54"/>
      <c r="G1254" s="54"/>
    </row>
    <row r="1255" ht="14.25" customHeight="1">
      <c r="B1255" s="140"/>
      <c r="C1255" s="141"/>
      <c r="F1255" s="54"/>
      <c r="G1255" s="54"/>
    </row>
    <row r="1256" ht="14.25" customHeight="1">
      <c r="B1256" s="140"/>
      <c r="C1256" s="141"/>
      <c r="F1256" s="54"/>
      <c r="G1256" s="54"/>
    </row>
    <row r="1257" ht="14.25" customHeight="1">
      <c r="B1257" s="140"/>
      <c r="C1257" s="141"/>
      <c r="F1257" s="54"/>
      <c r="G1257" s="54"/>
    </row>
    <row r="1258" ht="14.25" customHeight="1">
      <c r="B1258" s="140"/>
      <c r="C1258" s="141"/>
      <c r="F1258" s="54"/>
      <c r="G1258" s="54"/>
    </row>
    <row r="1259" ht="14.25" customHeight="1">
      <c r="B1259" s="140"/>
      <c r="C1259" s="141"/>
      <c r="F1259" s="54"/>
      <c r="G1259" s="54"/>
    </row>
    <row r="1260" ht="14.25" customHeight="1">
      <c r="B1260" s="140"/>
      <c r="C1260" s="141"/>
      <c r="F1260" s="54"/>
      <c r="G1260" s="54"/>
    </row>
    <row r="1261" ht="14.25" customHeight="1">
      <c r="B1261" s="140"/>
      <c r="C1261" s="141"/>
      <c r="F1261" s="54"/>
      <c r="G1261" s="54"/>
    </row>
    <row r="1262" ht="14.25" customHeight="1">
      <c r="B1262" s="140"/>
      <c r="C1262" s="141"/>
      <c r="F1262" s="54"/>
      <c r="G1262" s="54"/>
    </row>
    <row r="1263" ht="14.25" customHeight="1">
      <c r="B1263" s="140"/>
      <c r="C1263" s="141"/>
      <c r="F1263" s="54"/>
      <c r="G1263" s="54"/>
    </row>
    <row r="1264" ht="14.25" customHeight="1">
      <c r="B1264" s="140"/>
      <c r="C1264" s="141"/>
      <c r="F1264" s="54"/>
      <c r="G1264" s="54"/>
    </row>
    <row r="1265" ht="14.25" customHeight="1">
      <c r="B1265" s="140"/>
      <c r="C1265" s="141"/>
      <c r="F1265" s="54"/>
      <c r="G1265" s="54"/>
    </row>
    <row r="1266" ht="14.25" customHeight="1">
      <c r="B1266" s="140"/>
      <c r="C1266" s="141"/>
      <c r="F1266" s="54"/>
      <c r="G1266" s="54"/>
    </row>
    <row r="1267" ht="14.25" customHeight="1">
      <c r="B1267" s="140"/>
      <c r="C1267" s="141"/>
      <c r="F1267" s="54"/>
      <c r="G1267" s="54"/>
    </row>
    <row r="1268" ht="14.25" customHeight="1">
      <c r="B1268" s="140"/>
      <c r="C1268" s="141"/>
      <c r="F1268" s="54"/>
      <c r="G1268" s="54"/>
    </row>
    <row r="1269" ht="14.25" customHeight="1">
      <c r="B1269" s="140"/>
      <c r="C1269" s="141"/>
      <c r="F1269" s="54"/>
      <c r="G1269" s="54"/>
    </row>
    <row r="1270" ht="14.25" customHeight="1">
      <c r="B1270" s="140"/>
      <c r="C1270" s="141"/>
      <c r="F1270" s="54"/>
      <c r="G1270" s="54"/>
    </row>
    <row r="1271" ht="14.25" customHeight="1">
      <c r="B1271" s="140"/>
      <c r="C1271" s="141"/>
      <c r="F1271" s="54"/>
      <c r="G1271" s="54"/>
    </row>
    <row r="1272" ht="14.25" customHeight="1">
      <c r="B1272" s="140"/>
      <c r="C1272" s="141"/>
      <c r="F1272" s="54"/>
      <c r="G1272" s="54"/>
    </row>
    <row r="1273" ht="14.25" customHeight="1">
      <c r="B1273" s="140"/>
      <c r="C1273" s="141"/>
      <c r="F1273" s="54"/>
      <c r="G1273" s="54"/>
    </row>
    <row r="1274" ht="14.25" customHeight="1">
      <c r="B1274" s="140"/>
      <c r="C1274" s="141"/>
      <c r="F1274" s="54"/>
      <c r="G1274" s="54"/>
    </row>
    <row r="1275" ht="14.25" customHeight="1">
      <c r="B1275" s="140"/>
      <c r="C1275" s="141"/>
      <c r="F1275" s="54"/>
      <c r="G1275" s="54"/>
    </row>
    <row r="1276" ht="14.25" customHeight="1">
      <c r="B1276" s="140"/>
      <c r="C1276" s="141"/>
      <c r="F1276" s="54"/>
      <c r="G1276" s="54"/>
    </row>
    <row r="1277" ht="14.25" customHeight="1">
      <c r="B1277" s="140"/>
      <c r="C1277" s="141"/>
      <c r="F1277" s="54"/>
      <c r="G1277" s="54"/>
    </row>
    <row r="1278" ht="14.25" customHeight="1">
      <c r="B1278" s="140"/>
      <c r="C1278" s="141"/>
      <c r="F1278" s="54"/>
      <c r="G1278" s="54"/>
    </row>
    <row r="1279" ht="14.25" customHeight="1">
      <c r="B1279" s="140"/>
      <c r="C1279" s="141"/>
      <c r="F1279" s="54"/>
      <c r="G1279" s="54"/>
    </row>
    <row r="1280" ht="14.25" customHeight="1">
      <c r="B1280" s="140"/>
      <c r="C1280" s="141"/>
      <c r="F1280" s="54"/>
      <c r="G1280" s="54"/>
    </row>
    <row r="1281" ht="14.25" customHeight="1">
      <c r="B1281" s="140"/>
      <c r="C1281" s="141"/>
      <c r="F1281" s="54"/>
      <c r="G1281" s="54"/>
    </row>
    <row r="1282" ht="14.25" customHeight="1">
      <c r="B1282" s="140"/>
      <c r="C1282" s="141"/>
      <c r="F1282" s="54"/>
      <c r="G1282" s="54"/>
    </row>
    <row r="1283" ht="14.25" customHeight="1">
      <c r="B1283" s="140"/>
      <c r="C1283" s="141"/>
      <c r="F1283" s="54"/>
      <c r="G1283" s="54"/>
    </row>
    <row r="1284" ht="14.25" customHeight="1">
      <c r="B1284" s="140"/>
      <c r="C1284" s="141"/>
      <c r="F1284" s="54"/>
      <c r="G1284" s="54"/>
    </row>
    <row r="1285" ht="14.25" customHeight="1">
      <c r="B1285" s="140"/>
      <c r="C1285" s="141"/>
      <c r="F1285" s="54"/>
      <c r="G1285" s="54"/>
    </row>
    <row r="1286" ht="14.25" customHeight="1">
      <c r="B1286" s="140"/>
      <c r="C1286" s="141"/>
      <c r="F1286" s="54"/>
      <c r="G1286" s="54"/>
    </row>
    <row r="1287" ht="14.25" customHeight="1">
      <c r="B1287" s="140"/>
      <c r="C1287" s="141"/>
      <c r="F1287" s="54"/>
      <c r="G1287" s="54"/>
    </row>
    <row r="1288" ht="14.25" customHeight="1">
      <c r="B1288" s="140"/>
      <c r="C1288" s="141"/>
      <c r="F1288" s="54"/>
      <c r="G1288" s="54"/>
    </row>
    <row r="1289" ht="14.25" customHeight="1">
      <c r="B1289" s="140"/>
      <c r="C1289" s="141"/>
      <c r="F1289" s="54"/>
      <c r="G1289" s="54"/>
    </row>
    <row r="1290" ht="14.25" customHeight="1">
      <c r="B1290" s="140"/>
      <c r="C1290" s="141"/>
      <c r="F1290" s="54"/>
      <c r="G1290" s="54"/>
    </row>
    <row r="1291" ht="14.25" customHeight="1">
      <c r="B1291" s="140"/>
      <c r="C1291" s="141"/>
      <c r="F1291" s="54"/>
      <c r="G1291" s="54"/>
    </row>
    <row r="1292" ht="14.25" customHeight="1">
      <c r="B1292" s="140"/>
      <c r="C1292" s="141"/>
      <c r="F1292" s="54"/>
      <c r="G1292" s="54"/>
    </row>
    <row r="1293" ht="14.25" customHeight="1">
      <c r="B1293" s="140"/>
      <c r="C1293" s="141"/>
      <c r="F1293" s="54"/>
      <c r="G1293" s="54"/>
    </row>
    <row r="1294" ht="14.25" customHeight="1">
      <c r="B1294" s="140"/>
      <c r="C1294" s="141"/>
      <c r="F1294" s="54"/>
      <c r="G1294" s="54"/>
    </row>
    <row r="1295" ht="14.25" customHeight="1">
      <c r="B1295" s="140"/>
      <c r="C1295" s="141"/>
      <c r="F1295" s="54"/>
      <c r="G1295" s="54"/>
    </row>
    <row r="1296" ht="14.25" customHeight="1">
      <c r="B1296" s="140"/>
      <c r="C1296" s="141"/>
      <c r="F1296" s="54"/>
      <c r="G1296" s="54"/>
    </row>
    <row r="1297" ht="14.25" customHeight="1">
      <c r="B1297" s="140"/>
      <c r="C1297" s="141"/>
      <c r="F1297" s="54"/>
      <c r="G1297" s="54"/>
    </row>
    <row r="1298" ht="14.25" customHeight="1">
      <c r="B1298" s="140"/>
      <c r="C1298" s="141"/>
      <c r="F1298" s="54"/>
      <c r="G1298" s="54"/>
    </row>
    <row r="1299" ht="14.25" customHeight="1">
      <c r="B1299" s="140"/>
      <c r="C1299" s="141"/>
      <c r="F1299" s="54"/>
      <c r="G1299" s="54"/>
    </row>
    <row r="1300" ht="14.25" customHeight="1">
      <c r="B1300" s="140"/>
      <c r="C1300" s="141"/>
      <c r="F1300" s="54"/>
      <c r="G1300" s="54"/>
    </row>
    <row r="1301" ht="14.25" customHeight="1">
      <c r="B1301" s="140"/>
      <c r="C1301" s="141"/>
      <c r="F1301" s="54"/>
      <c r="G1301" s="54"/>
    </row>
    <row r="1302" ht="14.25" customHeight="1">
      <c r="B1302" s="140"/>
      <c r="C1302" s="141"/>
      <c r="F1302" s="54"/>
      <c r="G1302" s="54"/>
    </row>
    <row r="1303" ht="14.25" customHeight="1">
      <c r="B1303" s="140"/>
      <c r="C1303" s="141"/>
      <c r="F1303" s="54"/>
      <c r="G1303" s="54"/>
    </row>
    <row r="1304" ht="14.25" customHeight="1">
      <c r="B1304" s="140"/>
      <c r="C1304" s="141"/>
      <c r="F1304" s="54"/>
      <c r="G1304" s="54"/>
    </row>
    <row r="1305" ht="14.25" customHeight="1">
      <c r="B1305" s="140"/>
      <c r="C1305" s="141"/>
      <c r="F1305" s="54"/>
      <c r="G1305" s="54"/>
    </row>
    <row r="1306" ht="14.25" customHeight="1">
      <c r="B1306" s="140"/>
      <c r="C1306" s="141"/>
      <c r="F1306" s="54"/>
      <c r="G1306" s="54"/>
    </row>
    <row r="1307" ht="14.25" customHeight="1">
      <c r="B1307" s="140"/>
      <c r="C1307" s="141"/>
      <c r="F1307" s="54"/>
      <c r="G1307" s="54"/>
    </row>
    <row r="1308" ht="14.25" customHeight="1">
      <c r="B1308" s="140"/>
      <c r="C1308" s="141"/>
      <c r="F1308" s="54"/>
      <c r="G1308" s="54"/>
    </row>
    <row r="1309" ht="14.25" customHeight="1">
      <c r="B1309" s="140"/>
      <c r="C1309" s="141"/>
      <c r="F1309" s="54"/>
      <c r="G1309" s="54"/>
    </row>
    <row r="1310" ht="14.25" customHeight="1">
      <c r="B1310" s="140"/>
      <c r="C1310" s="141"/>
      <c r="F1310" s="54"/>
      <c r="G1310" s="54"/>
    </row>
    <row r="1311" ht="14.25" customHeight="1">
      <c r="B1311" s="140"/>
      <c r="C1311" s="141"/>
      <c r="F1311" s="54"/>
      <c r="G1311" s="54"/>
    </row>
    <row r="1312" ht="14.25" customHeight="1">
      <c r="B1312" s="140"/>
      <c r="C1312" s="141"/>
      <c r="F1312" s="54"/>
      <c r="G1312" s="54"/>
    </row>
    <row r="1313" ht="14.25" customHeight="1">
      <c r="B1313" s="140"/>
      <c r="C1313" s="141"/>
      <c r="F1313" s="54"/>
      <c r="G1313" s="54"/>
    </row>
    <row r="1314" ht="14.25" customHeight="1">
      <c r="B1314" s="140"/>
      <c r="C1314" s="141"/>
      <c r="F1314" s="54"/>
      <c r="G1314" s="54"/>
    </row>
    <row r="1315" ht="14.25" customHeight="1">
      <c r="B1315" s="140"/>
      <c r="C1315" s="141"/>
      <c r="F1315" s="54"/>
      <c r="G1315" s="54"/>
    </row>
    <row r="1316" ht="14.25" customHeight="1">
      <c r="B1316" s="140"/>
      <c r="C1316" s="141"/>
      <c r="F1316" s="54"/>
      <c r="G1316" s="54"/>
    </row>
    <row r="1317" ht="14.25" customHeight="1">
      <c r="B1317" s="140"/>
      <c r="C1317" s="141"/>
      <c r="F1317" s="54"/>
      <c r="G1317" s="54"/>
    </row>
    <row r="1318" ht="14.25" customHeight="1">
      <c r="B1318" s="140"/>
      <c r="C1318" s="141"/>
      <c r="F1318" s="54"/>
      <c r="G1318" s="54"/>
    </row>
    <row r="1319" ht="14.25" customHeight="1">
      <c r="B1319" s="140"/>
      <c r="C1319" s="141"/>
      <c r="F1319" s="54"/>
      <c r="G1319" s="54"/>
    </row>
    <row r="1320" ht="14.25" customHeight="1">
      <c r="B1320" s="140"/>
      <c r="C1320" s="141"/>
      <c r="F1320" s="54"/>
      <c r="G1320" s="54"/>
    </row>
    <row r="1321" ht="14.25" customHeight="1">
      <c r="B1321" s="140"/>
      <c r="C1321" s="141"/>
      <c r="F1321" s="54"/>
      <c r="G1321" s="54"/>
    </row>
    <row r="1322" ht="14.25" customHeight="1">
      <c r="B1322" s="140"/>
      <c r="C1322" s="141"/>
      <c r="F1322" s="54"/>
      <c r="G1322" s="54"/>
    </row>
    <row r="1323" ht="14.25" customHeight="1">
      <c r="B1323" s="140"/>
      <c r="C1323" s="141"/>
      <c r="F1323" s="54"/>
      <c r="G1323" s="54"/>
    </row>
    <row r="1324" ht="14.25" customHeight="1">
      <c r="B1324" s="140"/>
      <c r="C1324" s="141"/>
      <c r="F1324" s="54"/>
      <c r="G1324" s="54"/>
    </row>
    <row r="1325" ht="14.25" customHeight="1">
      <c r="B1325" s="140"/>
      <c r="C1325" s="141"/>
      <c r="F1325" s="54"/>
      <c r="G1325" s="54"/>
    </row>
    <row r="1326" ht="14.25" customHeight="1">
      <c r="B1326" s="140"/>
      <c r="C1326" s="141"/>
      <c r="F1326" s="54"/>
      <c r="G1326" s="54"/>
    </row>
    <row r="1327" ht="14.25" customHeight="1">
      <c r="B1327" s="140"/>
      <c r="C1327" s="141"/>
      <c r="F1327" s="54"/>
      <c r="G1327" s="54"/>
    </row>
    <row r="1328" ht="14.25" customHeight="1">
      <c r="B1328" s="140"/>
      <c r="C1328" s="141"/>
      <c r="F1328" s="54"/>
      <c r="G1328" s="54"/>
    </row>
    <row r="1329" ht="14.25" customHeight="1">
      <c r="B1329" s="140"/>
      <c r="C1329" s="141"/>
      <c r="F1329" s="54"/>
      <c r="G1329" s="54"/>
    </row>
    <row r="1330" ht="14.25" customHeight="1">
      <c r="B1330" s="140"/>
      <c r="C1330" s="141"/>
      <c r="F1330" s="54"/>
      <c r="G1330" s="54"/>
    </row>
    <row r="1331" ht="14.25" customHeight="1">
      <c r="B1331" s="140"/>
      <c r="C1331" s="141"/>
      <c r="F1331" s="54"/>
      <c r="G1331" s="54"/>
    </row>
    <row r="1332" ht="14.25" customHeight="1">
      <c r="B1332" s="140"/>
      <c r="C1332" s="141"/>
      <c r="F1332" s="54"/>
      <c r="G1332" s="54"/>
    </row>
    <row r="1333" ht="14.25" customHeight="1">
      <c r="B1333" s="140"/>
      <c r="C1333" s="141"/>
      <c r="F1333" s="54"/>
      <c r="G1333" s="54"/>
    </row>
    <row r="1334" ht="14.25" customHeight="1">
      <c r="B1334" s="140"/>
      <c r="C1334" s="141"/>
      <c r="F1334" s="54"/>
      <c r="G1334" s="54"/>
    </row>
    <row r="1335" ht="14.25" customHeight="1">
      <c r="B1335" s="140"/>
      <c r="C1335" s="141"/>
      <c r="F1335" s="54"/>
      <c r="G1335" s="54"/>
    </row>
    <row r="1336" ht="14.25" customHeight="1">
      <c r="B1336" s="140"/>
      <c r="C1336" s="141"/>
      <c r="F1336" s="54"/>
      <c r="G1336" s="54"/>
    </row>
    <row r="1337" ht="14.25" customHeight="1">
      <c r="B1337" s="140"/>
      <c r="C1337" s="141"/>
      <c r="F1337" s="54"/>
      <c r="G1337" s="54"/>
    </row>
    <row r="1338" ht="14.25" customHeight="1">
      <c r="B1338" s="140"/>
      <c r="C1338" s="141"/>
      <c r="F1338" s="54"/>
      <c r="G1338" s="54"/>
    </row>
    <row r="1339" ht="14.25" customHeight="1">
      <c r="B1339" s="140"/>
      <c r="C1339" s="141"/>
      <c r="F1339" s="54"/>
      <c r="G1339" s="54"/>
    </row>
    <row r="1340" ht="14.25" customHeight="1">
      <c r="B1340" s="140"/>
      <c r="C1340" s="141"/>
      <c r="F1340" s="54"/>
      <c r="G1340" s="54"/>
    </row>
    <row r="1341" ht="14.25" customHeight="1">
      <c r="B1341" s="140"/>
      <c r="C1341" s="141"/>
      <c r="F1341" s="54"/>
      <c r="G1341" s="54"/>
    </row>
    <row r="1342" ht="14.25" customHeight="1">
      <c r="B1342" s="140"/>
      <c r="C1342" s="141"/>
      <c r="F1342" s="54"/>
      <c r="G1342" s="54"/>
    </row>
    <row r="1343" ht="14.25" customHeight="1">
      <c r="B1343" s="140"/>
      <c r="C1343" s="141"/>
      <c r="F1343" s="54"/>
      <c r="G1343" s="54"/>
    </row>
    <row r="1344" ht="14.25" customHeight="1">
      <c r="B1344" s="140"/>
      <c r="C1344" s="141"/>
      <c r="F1344" s="54"/>
      <c r="G1344" s="54"/>
    </row>
    <row r="1345" ht="14.25" customHeight="1">
      <c r="B1345" s="140"/>
      <c r="C1345" s="141"/>
      <c r="F1345" s="54"/>
      <c r="G1345" s="54"/>
    </row>
    <row r="1346" ht="14.25" customHeight="1">
      <c r="B1346" s="140"/>
      <c r="C1346" s="141"/>
      <c r="F1346" s="54"/>
      <c r="G1346" s="54"/>
    </row>
    <row r="1347" ht="14.25" customHeight="1">
      <c r="B1347" s="140"/>
      <c r="C1347" s="141"/>
      <c r="F1347" s="54"/>
      <c r="G1347" s="54"/>
    </row>
    <row r="1348" ht="14.25" customHeight="1">
      <c r="B1348" s="140"/>
      <c r="C1348" s="141"/>
      <c r="F1348" s="54"/>
      <c r="G1348" s="54"/>
    </row>
    <row r="1349" ht="14.25" customHeight="1">
      <c r="B1349" s="140"/>
      <c r="C1349" s="141"/>
      <c r="F1349" s="54"/>
      <c r="G1349" s="54"/>
    </row>
    <row r="1350" ht="14.25" customHeight="1">
      <c r="B1350" s="140"/>
      <c r="C1350" s="141"/>
      <c r="F1350" s="54"/>
      <c r="G1350" s="54"/>
    </row>
    <row r="1351" ht="14.25" customHeight="1">
      <c r="B1351" s="140"/>
      <c r="C1351" s="141"/>
      <c r="F1351" s="54"/>
      <c r="G1351" s="54"/>
    </row>
    <row r="1352" ht="14.25" customHeight="1">
      <c r="B1352" s="140"/>
      <c r="C1352" s="141"/>
      <c r="F1352" s="54"/>
      <c r="G1352" s="54"/>
    </row>
    <row r="1353" ht="14.25" customHeight="1">
      <c r="B1353" s="140"/>
      <c r="C1353" s="141"/>
      <c r="F1353" s="54"/>
      <c r="G1353" s="54"/>
    </row>
    <row r="1354" ht="14.25" customHeight="1">
      <c r="B1354" s="140"/>
      <c r="C1354" s="141"/>
      <c r="F1354" s="54"/>
      <c r="G1354" s="54"/>
    </row>
    <row r="1355" ht="14.25" customHeight="1">
      <c r="B1355" s="140"/>
      <c r="C1355" s="141"/>
      <c r="F1355" s="54"/>
      <c r="G1355" s="54"/>
    </row>
    <row r="1356" ht="14.25" customHeight="1">
      <c r="B1356" s="140"/>
      <c r="C1356" s="141"/>
      <c r="F1356" s="54"/>
      <c r="G1356" s="54"/>
    </row>
    <row r="1357" ht="14.25" customHeight="1">
      <c r="B1357" s="140"/>
      <c r="C1357" s="141"/>
      <c r="F1357" s="54"/>
      <c r="G1357" s="54"/>
    </row>
    <row r="1358" ht="14.25" customHeight="1">
      <c r="B1358" s="140"/>
      <c r="C1358" s="141"/>
      <c r="F1358" s="54"/>
      <c r="G1358" s="54"/>
    </row>
    <row r="1359" ht="14.25" customHeight="1">
      <c r="B1359" s="140"/>
      <c r="C1359" s="141"/>
      <c r="F1359" s="54"/>
      <c r="G1359" s="54"/>
    </row>
    <row r="1360" ht="14.25" customHeight="1">
      <c r="B1360" s="140"/>
      <c r="C1360" s="141"/>
      <c r="F1360" s="54"/>
      <c r="G1360" s="54"/>
    </row>
    <row r="1361" ht="14.25" customHeight="1">
      <c r="B1361" s="140"/>
      <c r="C1361" s="141"/>
      <c r="F1361" s="54"/>
      <c r="G1361" s="54"/>
    </row>
    <row r="1362" ht="14.25" customHeight="1">
      <c r="B1362" s="140"/>
      <c r="C1362" s="141"/>
      <c r="F1362" s="54"/>
      <c r="G1362" s="54"/>
    </row>
    <row r="1363" ht="14.25" customHeight="1">
      <c r="B1363" s="140"/>
      <c r="C1363" s="141"/>
      <c r="F1363" s="54"/>
      <c r="G1363" s="54"/>
    </row>
    <row r="1364" ht="14.25" customHeight="1">
      <c r="B1364" s="140"/>
      <c r="C1364" s="141"/>
      <c r="F1364" s="54"/>
      <c r="G1364" s="54"/>
    </row>
    <row r="1365" ht="14.25" customHeight="1">
      <c r="B1365" s="140"/>
      <c r="C1365" s="141"/>
      <c r="F1365" s="54"/>
      <c r="G1365" s="54"/>
    </row>
    <row r="1366" ht="14.25" customHeight="1">
      <c r="B1366" s="140"/>
      <c r="C1366" s="141"/>
      <c r="F1366" s="54"/>
      <c r="G1366" s="54"/>
    </row>
    <row r="1367" ht="14.25" customHeight="1">
      <c r="B1367" s="140"/>
      <c r="C1367" s="141"/>
      <c r="F1367" s="54"/>
      <c r="G1367" s="54"/>
    </row>
    <row r="1368" ht="14.25" customHeight="1">
      <c r="B1368" s="140"/>
      <c r="C1368" s="141"/>
      <c r="F1368" s="54"/>
      <c r="G1368" s="54"/>
    </row>
    <row r="1369" ht="14.25" customHeight="1">
      <c r="B1369" s="140"/>
      <c r="C1369" s="141"/>
      <c r="F1369" s="54"/>
      <c r="G1369" s="54"/>
    </row>
    <row r="1370" ht="14.25" customHeight="1">
      <c r="B1370" s="140"/>
      <c r="C1370" s="141"/>
      <c r="F1370" s="54"/>
      <c r="G1370" s="54"/>
    </row>
    <row r="1371" ht="14.25" customHeight="1">
      <c r="B1371" s="140"/>
      <c r="C1371" s="141"/>
      <c r="F1371" s="54"/>
      <c r="G1371" s="54"/>
    </row>
    <row r="1372" ht="14.25" customHeight="1">
      <c r="B1372" s="140"/>
      <c r="C1372" s="141"/>
      <c r="F1372" s="54"/>
      <c r="G1372" s="54"/>
    </row>
    <row r="1373" ht="14.25" customHeight="1">
      <c r="B1373" s="140"/>
      <c r="C1373" s="141"/>
      <c r="F1373" s="54"/>
      <c r="G1373" s="54"/>
    </row>
    <row r="1374" ht="14.25" customHeight="1">
      <c r="B1374" s="140"/>
      <c r="C1374" s="141"/>
      <c r="F1374" s="54"/>
      <c r="G1374" s="54"/>
    </row>
    <row r="1375" ht="14.25" customHeight="1">
      <c r="B1375" s="140"/>
      <c r="C1375" s="141"/>
      <c r="F1375" s="54"/>
      <c r="G1375" s="54"/>
    </row>
    <row r="1376" ht="14.25" customHeight="1">
      <c r="B1376" s="140"/>
      <c r="C1376" s="141"/>
      <c r="F1376" s="54"/>
      <c r="G1376" s="54"/>
    </row>
    <row r="1377" ht="14.25" customHeight="1">
      <c r="B1377" s="140"/>
      <c r="C1377" s="141"/>
      <c r="F1377" s="54"/>
      <c r="G1377" s="54"/>
    </row>
    <row r="1378" ht="14.25" customHeight="1">
      <c r="B1378" s="140"/>
      <c r="C1378" s="141"/>
      <c r="F1378" s="54"/>
      <c r="G1378" s="54"/>
    </row>
    <row r="1379" ht="14.25" customHeight="1">
      <c r="B1379" s="140"/>
      <c r="C1379" s="141"/>
      <c r="F1379" s="54"/>
      <c r="G1379" s="54"/>
    </row>
    <row r="1380" ht="14.25" customHeight="1">
      <c r="B1380" s="140"/>
      <c r="C1380" s="141"/>
      <c r="F1380" s="54"/>
      <c r="G1380" s="54"/>
    </row>
    <row r="1381" ht="14.25" customHeight="1">
      <c r="B1381" s="140"/>
      <c r="C1381" s="141"/>
      <c r="F1381" s="54"/>
      <c r="G1381" s="54"/>
    </row>
    <row r="1382" ht="14.25" customHeight="1">
      <c r="B1382" s="140"/>
      <c r="C1382" s="141"/>
      <c r="F1382" s="54"/>
      <c r="G1382" s="54"/>
    </row>
    <row r="1383" ht="14.25" customHeight="1">
      <c r="B1383" s="140"/>
      <c r="C1383" s="141"/>
      <c r="F1383" s="54"/>
      <c r="G1383" s="54"/>
    </row>
    <row r="1384" ht="14.25" customHeight="1">
      <c r="B1384" s="140"/>
      <c r="C1384" s="141"/>
      <c r="F1384" s="54"/>
      <c r="G1384" s="54"/>
    </row>
    <row r="1385" ht="14.25" customHeight="1">
      <c r="B1385" s="140"/>
      <c r="C1385" s="141"/>
      <c r="F1385" s="54"/>
      <c r="G1385" s="54"/>
    </row>
    <row r="1386" ht="14.25" customHeight="1">
      <c r="B1386" s="140"/>
      <c r="C1386" s="141"/>
      <c r="F1386" s="54"/>
      <c r="G1386" s="54"/>
    </row>
    <row r="1387" ht="14.25" customHeight="1">
      <c r="B1387" s="140"/>
      <c r="C1387" s="141"/>
      <c r="F1387" s="54"/>
      <c r="G1387" s="54"/>
    </row>
    <row r="1388" ht="14.25" customHeight="1">
      <c r="B1388" s="140"/>
      <c r="C1388" s="141"/>
      <c r="F1388" s="54"/>
      <c r="G1388" s="54"/>
    </row>
    <row r="1389" ht="14.25" customHeight="1">
      <c r="B1389" s="140"/>
      <c r="C1389" s="141"/>
      <c r="F1389" s="54"/>
      <c r="G1389" s="54"/>
    </row>
    <row r="1390" ht="14.25" customHeight="1">
      <c r="B1390" s="140"/>
      <c r="C1390" s="141"/>
      <c r="F1390" s="54"/>
      <c r="G1390" s="54"/>
    </row>
    <row r="1391" ht="14.25" customHeight="1">
      <c r="B1391" s="140"/>
      <c r="C1391" s="141"/>
      <c r="F1391" s="54"/>
      <c r="G1391" s="54"/>
    </row>
    <row r="1392" ht="14.25" customHeight="1">
      <c r="B1392" s="140"/>
      <c r="C1392" s="141"/>
      <c r="F1392" s="54"/>
      <c r="G1392" s="54"/>
    </row>
    <row r="1393" ht="14.25" customHeight="1">
      <c r="B1393" s="140"/>
      <c r="C1393" s="141"/>
      <c r="F1393" s="54"/>
      <c r="G1393" s="54"/>
    </row>
    <row r="1394" ht="14.25" customHeight="1">
      <c r="B1394" s="140"/>
      <c r="C1394" s="141"/>
      <c r="F1394" s="54"/>
      <c r="G1394" s="54"/>
    </row>
    <row r="1395" ht="14.25" customHeight="1">
      <c r="B1395" s="140"/>
      <c r="C1395" s="141"/>
      <c r="F1395" s="54"/>
      <c r="G1395" s="54"/>
    </row>
    <row r="1396" ht="14.25" customHeight="1">
      <c r="B1396" s="140"/>
      <c r="C1396" s="141"/>
      <c r="F1396" s="54"/>
      <c r="G1396" s="54"/>
    </row>
    <row r="1397" ht="14.25" customHeight="1">
      <c r="B1397" s="140"/>
      <c r="C1397" s="141"/>
      <c r="F1397" s="54"/>
      <c r="G1397" s="54"/>
    </row>
    <row r="1398" ht="14.25" customHeight="1">
      <c r="B1398" s="140"/>
      <c r="C1398" s="141"/>
      <c r="F1398" s="54"/>
      <c r="G1398" s="54"/>
    </row>
    <row r="1399" ht="14.25" customHeight="1">
      <c r="B1399" s="140"/>
      <c r="C1399" s="141"/>
      <c r="F1399" s="54"/>
      <c r="G1399" s="54"/>
    </row>
    <row r="1400" ht="14.25" customHeight="1">
      <c r="B1400" s="140"/>
      <c r="C1400" s="141"/>
      <c r="F1400" s="54"/>
      <c r="G1400" s="54"/>
    </row>
    <row r="1401" ht="14.25" customHeight="1">
      <c r="B1401" s="140"/>
      <c r="C1401" s="141"/>
      <c r="F1401" s="54"/>
      <c r="G1401" s="54"/>
    </row>
    <row r="1402" ht="14.25" customHeight="1">
      <c r="B1402" s="140"/>
      <c r="C1402" s="141"/>
      <c r="F1402" s="54"/>
      <c r="G1402" s="54"/>
    </row>
    <row r="1403" ht="14.25" customHeight="1">
      <c r="B1403" s="140"/>
      <c r="C1403" s="141"/>
      <c r="F1403" s="54"/>
      <c r="G1403" s="54"/>
    </row>
    <row r="1404" ht="14.25" customHeight="1">
      <c r="B1404" s="140"/>
      <c r="C1404" s="141"/>
      <c r="F1404" s="54"/>
      <c r="G1404" s="54"/>
    </row>
    <row r="1405" ht="14.25" customHeight="1">
      <c r="B1405" s="140"/>
      <c r="C1405" s="141"/>
      <c r="F1405" s="54"/>
      <c r="G1405" s="54"/>
    </row>
    <row r="1406" ht="14.25" customHeight="1">
      <c r="B1406" s="140"/>
      <c r="C1406" s="141"/>
      <c r="F1406" s="54"/>
      <c r="G1406" s="54"/>
    </row>
    <row r="1407" ht="14.25" customHeight="1">
      <c r="B1407" s="140"/>
      <c r="C1407" s="141"/>
      <c r="F1407" s="54"/>
      <c r="G1407" s="54"/>
    </row>
    <row r="1408" ht="14.25" customHeight="1">
      <c r="B1408" s="140"/>
      <c r="C1408" s="141"/>
      <c r="F1408" s="54"/>
      <c r="G1408" s="54"/>
    </row>
    <row r="1409" ht="14.25" customHeight="1">
      <c r="B1409" s="140"/>
      <c r="C1409" s="141"/>
      <c r="F1409" s="54"/>
      <c r="G1409" s="54"/>
    </row>
    <row r="1410" ht="14.25" customHeight="1">
      <c r="B1410" s="140"/>
      <c r="C1410" s="141"/>
      <c r="F1410" s="54"/>
      <c r="G1410" s="54"/>
    </row>
    <row r="1411" ht="14.25" customHeight="1">
      <c r="B1411" s="140"/>
      <c r="C1411" s="141"/>
      <c r="F1411" s="54"/>
      <c r="G1411" s="54"/>
    </row>
    <row r="1412" ht="14.25" customHeight="1">
      <c r="B1412" s="140"/>
      <c r="C1412" s="141"/>
      <c r="F1412" s="54"/>
      <c r="G1412" s="54"/>
    </row>
    <row r="1413" ht="14.25" customHeight="1">
      <c r="B1413" s="140"/>
      <c r="C1413" s="141"/>
      <c r="F1413" s="54"/>
      <c r="G1413" s="54"/>
    </row>
    <row r="1414" ht="14.25" customHeight="1">
      <c r="B1414" s="140"/>
      <c r="C1414" s="141"/>
      <c r="F1414" s="54"/>
      <c r="G1414" s="54"/>
    </row>
    <row r="1415" ht="14.25" customHeight="1">
      <c r="B1415" s="140"/>
      <c r="C1415" s="141"/>
      <c r="F1415" s="54"/>
      <c r="G1415" s="54"/>
    </row>
    <row r="1416" ht="14.25" customHeight="1">
      <c r="B1416" s="140"/>
      <c r="C1416" s="141"/>
      <c r="F1416" s="54"/>
      <c r="G1416" s="54"/>
    </row>
    <row r="1417" ht="14.25" customHeight="1">
      <c r="B1417" s="140"/>
      <c r="C1417" s="141"/>
      <c r="F1417" s="54"/>
      <c r="G1417" s="54"/>
    </row>
    <row r="1418" ht="14.25" customHeight="1">
      <c r="B1418" s="140"/>
      <c r="C1418" s="141"/>
      <c r="F1418" s="54"/>
      <c r="G1418" s="54"/>
    </row>
    <row r="1419" ht="14.25" customHeight="1">
      <c r="B1419" s="140"/>
      <c r="C1419" s="141"/>
      <c r="F1419" s="54"/>
      <c r="G1419" s="54"/>
    </row>
    <row r="1420" ht="14.25" customHeight="1">
      <c r="B1420" s="140"/>
      <c r="C1420" s="141"/>
      <c r="F1420" s="54"/>
      <c r="G1420" s="54"/>
    </row>
    <row r="1421" ht="14.25" customHeight="1">
      <c r="B1421" s="140"/>
      <c r="C1421" s="141"/>
      <c r="F1421" s="54"/>
      <c r="G1421" s="54"/>
    </row>
    <row r="1422" ht="14.25" customHeight="1">
      <c r="B1422" s="140"/>
      <c r="C1422" s="141"/>
      <c r="F1422" s="54"/>
      <c r="G1422" s="54"/>
    </row>
    <row r="1423" ht="14.25" customHeight="1">
      <c r="B1423" s="140"/>
      <c r="C1423" s="141"/>
      <c r="F1423" s="54"/>
      <c r="G1423" s="54"/>
    </row>
    <row r="1424" ht="14.25" customHeight="1">
      <c r="B1424" s="140"/>
      <c r="C1424" s="141"/>
      <c r="F1424" s="54"/>
      <c r="G1424" s="54"/>
    </row>
    <row r="1425" ht="14.25" customHeight="1">
      <c r="B1425" s="140"/>
      <c r="C1425" s="141"/>
      <c r="F1425" s="54"/>
      <c r="G1425" s="54"/>
    </row>
    <row r="1426" ht="14.25" customHeight="1">
      <c r="B1426" s="140"/>
      <c r="C1426" s="141"/>
      <c r="F1426" s="54"/>
      <c r="G1426" s="54"/>
    </row>
    <row r="1427" ht="14.25" customHeight="1">
      <c r="B1427" s="140"/>
      <c r="C1427" s="141"/>
      <c r="F1427" s="54"/>
      <c r="G1427" s="54"/>
    </row>
    <row r="1428" ht="14.25" customHeight="1">
      <c r="B1428" s="140"/>
      <c r="C1428" s="141"/>
      <c r="F1428" s="54"/>
      <c r="G1428" s="54"/>
    </row>
    <row r="1429" ht="14.25" customHeight="1">
      <c r="B1429" s="140"/>
      <c r="C1429" s="141"/>
      <c r="F1429" s="54"/>
      <c r="G1429" s="54"/>
    </row>
    <row r="1430" ht="14.25" customHeight="1">
      <c r="B1430" s="140"/>
      <c r="C1430" s="141"/>
      <c r="F1430" s="54"/>
      <c r="G1430" s="54"/>
    </row>
    <row r="1431" ht="14.25" customHeight="1">
      <c r="B1431" s="140"/>
      <c r="C1431" s="141"/>
      <c r="F1431" s="54"/>
      <c r="G1431" s="54"/>
    </row>
    <row r="1432" ht="14.25" customHeight="1">
      <c r="B1432" s="140"/>
      <c r="C1432" s="141"/>
      <c r="F1432" s="54"/>
      <c r="G1432" s="54"/>
    </row>
    <row r="1433" ht="14.25" customHeight="1">
      <c r="B1433" s="140"/>
      <c r="C1433" s="141"/>
      <c r="F1433" s="54"/>
      <c r="G1433" s="54"/>
    </row>
    <row r="1434" ht="14.25" customHeight="1">
      <c r="B1434" s="140"/>
      <c r="C1434" s="141"/>
      <c r="F1434" s="54"/>
      <c r="G1434" s="54"/>
    </row>
    <row r="1435" ht="14.25" customHeight="1">
      <c r="B1435" s="140"/>
      <c r="C1435" s="141"/>
      <c r="F1435" s="54"/>
      <c r="G1435" s="54"/>
    </row>
    <row r="1436" ht="14.25" customHeight="1">
      <c r="B1436" s="140"/>
      <c r="C1436" s="141"/>
      <c r="F1436" s="54"/>
      <c r="G1436" s="54"/>
    </row>
    <row r="1437" ht="14.25" customHeight="1">
      <c r="B1437" s="140"/>
      <c r="C1437" s="141"/>
      <c r="F1437" s="54"/>
      <c r="G1437" s="54"/>
    </row>
    <row r="1438" ht="14.25" customHeight="1">
      <c r="B1438" s="140"/>
      <c r="C1438" s="141"/>
      <c r="F1438" s="54"/>
      <c r="G1438" s="54"/>
    </row>
    <row r="1439" ht="14.25" customHeight="1">
      <c r="B1439" s="140"/>
      <c r="C1439" s="141"/>
      <c r="F1439" s="54"/>
      <c r="G1439" s="54"/>
    </row>
    <row r="1440" ht="14.25" customHeight="1">
      <c r="B1440" s="140"/>
      <c r="C1440" s="141"/>
      <c r="F1440" s="54"/>
      <c r="G1440" s="54"/>
    </row>
    <row r="1441" ht="14.25" customHeight="1">
      <c r="B1441" s="140"/>
      <c r="C1441" s="141"/>
      <c r="F1441" s="54"/>
      <c r="G1441" s="54"/>
    </row>
    <row r="1442" ht="14.25" customHeight="1">
      <c r="B1442" s="140"/>
      <c r="C1442" s="141"/>
      <c r="F1442" s="54"/>
      <c r="G1442" s="54"/>
    </row>
    <row r="1443" ht="14.25" customHeight="1">
      <c r="B1443" s="140"/>
      <c r="C1443" s="141"/>
      <c r="F1443" s="54"/>
      <c r="G1443" s="54"/>
    </row>
    <row r="1444" ht="14.25" customHeight="1">
      <c r="B1444" s="140"/>
      <c r="C1444" s="141"/>
      <c r="F1444" s="54"/>
      <c r="G1444" s="54"/>
    </row>
    <row r="1445" ht="14.25" customHeight="1">
      <c r="B1445" s="140"/>
      <c r="C1445" s="141"/>
      <c r="F1445" s="54"/>
      <c r="G1445" s="54"/>
    </row>
    <row r="1446" ht="14.25" customHeight="1">
      <c r="B1446" s="140"/>
      <c r="C1446" s="141"/>
      <c r="F1446" s="54"/>
      <c r="G1446" s="54"/>
    </row>
    <row r="1447" ht="14.25" customHeight="1">
      <c r="B1447" s="140"/>
      <c r="C1447" s="141"/>
      <c r="F1447" s="54"/>
      <c r="G1447" s="54"/>
    </row>
    <row r="1448" ht="14.25" customHeight="1">
      <c r="B1448" s="140"/>
      <c r="C1448" s="141"/>
      <c r="F1448" s="54"/>
      <c r="G1448" s="54"/>
    </row>
    <row r="1449" ht="14.25" customHeight="1">
      <c r="B1449" s="140"/>
      <c r="C1449" s="141"/>
      <c r="F1449" s="54"/>
      <c r="G1449" s="54"/>
    </row>
    <row r="1450" ht="14.25" customHeight="1">
      <c r="B1450" s="140"/>
      <c r="C1450" s="141"/>
      <c r="F1450" s="54"/>
      <c r="G1450" s="54"/>
    </row>
    <row r="1451" ht="14.25" customHeight="1">
      <c r="B1451" s="140"/>
      <c r="C1451" s="141"/>
      <c r="F1451" s="54"/>
      <c r="G1451" s="54"/>
    </row>
    <row r="1452" ht="14.25" customHeight="1">
      <c r="B1452" s="140"/>
      <c r="C1452" s="141"/>
      <c r="F1452" s="54"/>
      <c r="G1452" s="54"/>
    </row>
    <row r="1453" ht="14.25" customHeight="1">
      <c r="B1453" s="140"/>
      <c r="C1453" s="141"/>
      <c r="F1453" s="54"/>
      <c r="G1453" s="54"/>
    </row>
    <row r="1454" ht="14.25" customHeight="1">
      <c r="B1454" s="140"/>
      <c r="C1454" s="141"/>
      <c r="F1454" s="54"/>
      <c r="G1454" s="54"/>
    </row>
    <row r="1455" ht="14.25" customHeight="1">
      <c r="B1455" s="140"/>
      <c r="C1455" s="141"/>
      <c r="F1455" s="54"/>
      <c r="G1455" s="54"/>
    </row>
    <row r="1456" ht="14.25" customHeight="1">
      <c r="B1456" s="140"/>
      <c r="C1456" s="141"/>
      <c r="F1456" s="54"/>
      <c r="G1456" s="54"/>
    </row>
    <row r="1457" ht="14.25" customHeight="1">
      <c r="B1457" s="140"/>
      <c r="C1457" s="141"/>
      <c r="F1457" s="54"/>
      <c r="G1457" s="54"/>
    </row>
    <row r="1458" ht="14.25" customHeight="1">
      <c r="B1458" s="140"/>
      <c r="C1458" s="141"/>
      <c r="F1458" s="54"/>
      <c r="G1458" s="54"/>
    </row>
    <row r="1459" ht="14.25" customHeight="1">
      <c r="B1459" s="140"/>
      <c r="C1459" s="141"/>
      <c r="F1459" s="54"/>
      <c r="G1459" s="54"/>
    </row>
    <row r="1460" ht="14.25" customHeight="1">
      <c r="B1460" s="140"/>
      <c r="C1460" s="141"/>
      <c r="F1460" s="54"/>
      <c r="G1460" s="54"/>
    </row>
    <row r="1461" ht="14.25" customHeight="1">
      <c r="B1461" s="140"/>
      <c r="C1461" s="141"/>
      <c r="F1461" s="54"/>
      <c r="G1461" s="54"/>
    </row>
    <row r="1462" ht="14.25" customHeight="1">
      <c r="B1462" s="140"/>
      <c r="C1462" s="141"/>
      <c r="F1462" s="54"/>
      <c r="G1462" s="54"/>
    </row>
    <row r="1463" ht="14.25" customHeight="1">
      <c r="B1463" s="140"/>
      <c r="C1463" s="141"/>
      <c r="F1463" s="54"/>
      <c r="G1463" s="54"/>
    </row>
    <row r="1464" ht="14.25" customHeight="1">
      <c r="B1464" s="140"/>
      <c r="C1464" s="141"/>
      <c r="F1464" s="54"/>
      <c r="G1464" s="54"/>
    </row>
    <row r="1465" ht="14.25" customHeight="1">
      <c r="B1465" s="140"/>
      <c r="C1465" s="141"/>
      <c r="F1465" s="54"/>
      <c r="G1465" s="54"/>
    </row>
    <row r="1466" ht="14.25" customHeight="1">
      <c r="B1466" s="140"/>
      <c r="C1466" s="141"/>
      <c r="F1466" s="54"/>
      <c r="G1466" s="54"/>
    </row>
    <row r="1467" ht="14.25" customHeight="1">
      <c r="B1467" s="140"/>
      <c r="C1467" s="141"/>
      <c r="F1467" s="54"/>
      <c r="G1467" s="54"/>
    </row>
    <row r="1468" ht="14.25" customHeight="1">
      <c r="B1468" s="140"/>
      <c r="C1468" s="141"/>
      <c r="F1468" s="54"/>
      <c r="G1468" s="54"/>
    </row>
    <row r="1469" ht="14.25" customHeight="1">
      <c r="B1469" s="140"/>
      <c r="C1469" s="141"/>
      <c r="F1469" s="54"/>
      <c r="G1469" s="54"/>
    </row>
    <row r="1470" ht="14.25" customHeight="1">
      <c r="B1470" s="140"/>
      <c r="C1470" s="141"/>
      <c r="F1470" s="54"/>
      <c r="G1470" s="54"/>
    </row>
    <row r="1471" ht="14.25" customHeight="1">
      <c r="B1471" s="140"/>
      <c r="C1471" s="141"/>
      <c r="F1471" s="54"/>
      <c r="G1471" s="54"/>
    </row>
    <row r="1472" ht="14.25" customHeight="1">
      <c r="B1472" s="140"/>
      <c r="C1472" s="141"/>
      <c r="F1472" s="54"/>
      <c r="G1472" s="54"/>
    </row>
    <row r="1473" ht="14.25" customHeight="1">
      <c r="B1473" s="140"/>
      <c r="C1473" s="141"/>
      <c r="F1473" s="54"/>
      <c r="G1473" s="54"/>
    </row>
    <row r="1474" ht="14.25" customHeight="1">
      <c r="B1474" s="140"/>
      <c r="C1474" s="141"/>
      <c r="F1474" s="54"/>
      <c r="G1474" s="54"/>
    </row>
    <row r="1475" ht="14.25" customHeight="1">
      <c r="B1475" s="140"/>
      <c r="C1475" s="141"/>
      <c r="F1475" s="54"/>
      <c r="G1475" s="54"/>
    </row>
    <row r="1476" ht="14.25" customHeight="1">
      <c r="B1476" s="140"/>
      <c r="C1476" s="141"/>
      <c r="F1476" s="54"/>
      <c r="G1476" s="54"/>
    </row>
    <row r="1477" ht="14.25" customHeight="1">
      <c r="B1477" s="140"/>
      <c r="C1477" s="141"/>
      <c r="F1477" s="54"/>
      <c r="G1477" s="54"/>
    </row>
    <row r="1478" ht="14.25" customHeight="1">
      <c r="B1478" s="140"/>
      <c r="C1478" s="141"/>
      <c r="F1478" s="54"/>
      <c r="G1478" s="54"/>
    </row>
    <row r="1479" ht="14.25" customHeight="1">
      <c r="B1479" s="140"/>
      <c r="C1479" s="141"/>
      <c r="F1479" s="54"/>
      <c r="G1479" s="54"/>
    </row>
    <row r="1480" ht="14.25" customHeight="1">
      <c r="B1480" s="140"/>
      <c r="C1480" s="141"/>
      <c r="F1480" s="54"/>
      <c r="G1480" s="54"/>
    </row>
    <row r="1481" ht="14.25" customHeight="1">
      <c r="B1481" s="140"/>
      <c r="C1481" s="141"/>
      <c r="F1481" s="54"/>
      <c r="G1481" s="54"/>
    </row>
    <row r="1482" ht="14.25" customHeight="1">
      <c r="B1482" s="140"/>
      <c r="C1482" s="141"/>
      <c r="F1482" s="54"/>
      <c r="G1482" s="54"/>
    </row>
    <row r="1483" ht="14.25" customHeight="1">
      <c r="B1483" s="140"/>
      <c r="C1483" s="141"/>
      <c r="F1483" s="54"/>
      <c r="G1483" s="54"/>
    </row>
    <row r="1484" ht="14.25" customHeight="1">
      <c r="B1484" s="140"/>
      <c r="C1484" s="141"/>
      <c r="F1484" s="54"/>
      <c r="G1484" s="54"/>
    </row>
    <row r="1485" ht="14.25" customHeight="1">
      <c r="B1485" s="140"/>
      <c r="C1485" s="141"/>
      <c r="F1485" s="54"/>
      <c r="G1485" s="54"/>
    </row>
    <row r="1486" ht="14.25" customHeight="1">
      <c r="B1486" s="140"/>
      <c r="C1486" s="141"/>
      <c r="F1486" s="54"/>
      <c r="G1486" s="54"/>
    </row>
    <row r="1487" ht="14.25" customHeight="1">
      <c r="B1487" s="140"/>
      <c r="C1487" s="141"/>
      <c r="F1487" s="54"/>
      <c r="G1487" s="54"/>
    </row>
    <row r="1488" ht="14.25" customHeight="1">
      <c r="B1488" s="140"/>
      <c r="C1488" s="141"/>
      <c r="F1488" s="54"/>
      <c r="G1488" s="54"/>
    </row>
    <row r="1489" ht="14.25" customHeight="1">
      <c r="B1489" s="140"/>
      <c r="C1489" s="141"/>
      <c r="F1489" s="54"/>
      <c r="G1489" s="54"/>
    </row>
    <row r="1490" ht="14.25" customHeight="1">
      <c r="B1490" s="140"/>
      <c r="C1490" s="141"/>
      <c r="F1490" s="54"/>
      <c r="G1490" s="54"/>
    </row>
    <row r="1491" ht="14.25" customHeight="1">
      <c r="B1491" s="140"/>
      <c r="C1491" s="141"/>
      <c r="F1491" s="54"/>
      <c r="G1491" s="54"/>
    </row>
    <row r="1492" ht="14.25" customHeight="1">
      <c r="B1492" s="140"/>
      <c r="C1492" s="141"/>
      <c r="F1492" s="54"/>
      <c r="G1492" s="54"/>
    </row>
    <row r="1493" ht="14.25" customHeight="1">
      <c r="B1493" s="140"/>
      <c r="C1493" s="141"/>
      <c r="F1493" s="54"/>
      <c r="G1493" s="54"/>
    </row>
    <row r="1494" ht="14.25" customHeight="1">
      <c r="B1494" s="140"/>
      <c r="C1494" s="141"/>
      <c r="F1494" s="54"/>
      <c r="G1494" s="54"/>
    </row>
    <row r="1495" ht="14.25" customHeight="1">
      <c r="B1495" s="140"/>
      <c r="C1495" s="141"/>
      <c r="F1495" s="54"/>
      <c r="G1495" s="54"/>
    </row>
    <row r="1496" ht="14.25" customHeight="1">
      <c r="B1496" s="140"/>
      <c r="C1496" s="141"/>
      <c r="F1496" s="54"/>
      <c r="G1496" s="54"/>
    </row>
    <row r="1497" ht="14.25" customHeight="1">
      <c r="B1497" s="140"/>
      <c r="C1497" s="141"/>
      <c r="F1497" s="54"/>
      <c r="G1497" s="54"/>
    </row>
    <row r="1498" ht="14.25" customHeight="1">
      <c r="B1498" s="140"/>
      <c r="C1498" s="141"/>
      <c r="F1498" s="54"/>
      <c r="G1498" s="54"/>
    </row>
    <row r="1499" ht="14.25" customHeight="1">
      <c r="B1499" s="140"/>
      <c r="C1499" s="141"/>
      <c r="F1499" s="54"/>
      <c r="G1499" s="54"/>
    </row>
    <row r="1500" ht="14.25" customHeight="1">
      <c r="B1500" s="140"/>
      <c r="C1500" s="141"/>
      <c r="F1500" s="54"/>
      <c r="G1500" s="54"/>
    </row>
    <row r="1501" ht="14.25" customHeight="1">
      <c r="B1501" s="140"/>
      <c r="C1501" s="141"/>
      <c r="F1501" s="54"/>
      <c r="G1501" s="54"/>
    </row>
    <row r="1502" ht="14.25" customHeight="1">
      <c r="B1502" s="140"/>
      <c r="C1502" s="141"/>
      <c r="F1502" s="54"/>
      <c r="G1502" s="54"/>
    </row>
    <row r="1503" ht="14.25" customHeight="1">
      <c r="B1503" s="140"/>
      <c r="C1503" s="141"/>
      <c r="F1503" s="54"/>
      <c r="G1503" s="54"/>
    </row>
    <row r="1504" ht="14.25" customHeight="1">
      <c r="B1504" s="140"/>
      <c r="C1504" s="141"/>
      <c r="F1504" s="54"/>
      <c r="G1504" s="54"/>
    </row>
    <row r="1505" ht="14.25" customHeight="1">
      <c r="B1505" s="140"/>
      <c r="C1505" s="141"/>
      <c r="F1505" s="54"/>
      <c r="G1505" s="54"/>
    </row>
    <row r="1506" ht="14.25" customHeight="1">
      <c r="B1506" s="140"/>
      <c r="C1506" s="141"/>
      <c r="F1506" s="54"/>
      <c r="G1506" s="54"/>
    </row>
    <row r="1507" ht="14.25" customHeight="1">
      <c r="B1507" s="140"/>
      <c r="C1507" s="141"/>
      <c r="F1507" s="54"/>
      <c r="G1507" s="54"/>
    </row>
    <row r="1508" ht="14.25" customHeight="1">
      <c r="B1508" s="140"/>
      <c r="C1508" s="141"/>
      <c r="F1508" s="54"/>
      <c r="G1508" s="54"/>
    </row>
    <row r="1509" ht="14.25" customHeight="1">
      <c r="B1509" s="140"/>
      <c r="C1509" s="141"/>
      <c r="F1509" s="54"/>
      <c r="G1509" s="54"/>
    </row>
    <row r="1510" ht="14.25" customHeight="1">
      <c r="B1510" s="140"/>
      <c r="C1510" s="141"/>
      <c r="F1510" s="54"/>
      <c r="G1510" s="54"/>
    </row>
    <row r="1511" ht="14.25" customHeight="1">
      <c r="B1511" s="140"/>
      <c r="C1511" s="141"/>
      <c r="F1511" s="54"/>
      <c r="G1511" s="54"/>
    </row>
    <row r="1512" ht="14.25" customHeight="1">
      <c r="B1512" s="140"/>
      <c r="C1512" s="141"/>
      <c r="F1512" s="54"/>
      <c r="G1512" s="54"/>
    </row>
    <row r="1513" ht="14.25" customHeight="1">
      <c r="B1513" s="140"/>
      <c r="C1513" s="141"/>
      <c r="F1513" s="54"/>
      <c r="G1513" s="54"/>
    </row>
    <row r="1514" ht="14.25" customHeight="1">
      <c r="B1514" s="140"/>
      <c r="C1514" s="141"/>
      <c r="F1514" s="54"/>
      <c r="G1514" s="54"/>
    </row>
    <row r="1515" ht="14.25" customHeight="1">
      <c r="B1515" s="140"/>
      <c r="C1515" s="141"/>
      <c r="F1515" s="54"/>
      <c r="G1515" s="54"/>
    </row>
    <row r="1516" ht="14.25" customHeight="1">
      <c r="B1516" s="140"/>
      <c r="C1516" s="141"/>
      <c r="F1516" s="54"/>
      <c r="G1516" s="54"/>
    </row>
    <row r="1517" ht="14.25" customHeight="1">
      <c r="B1517" s="140"/>
      <c r="C1517" s="141"/>
      <c r="F1517" s="54"/>
      <c r="G1517" s="54"/>
    </row>
    <row r="1518" ht="14.25" customHeight="1">
      <c r="B1518" s="140"/>
      <c r="C1518" s="141"/>
      <c r="F1518" s="54"/>
      <c r="G1518" s="54"/>
    </row>
    <row r="1519" ht="14.25" customHeight="1">
      <c r="B1519" s="140"/>
      <c r="C1519" s="141"/>
      <c r="F1519" s="54"/>
      <c r="G1519" s="54"/>
    </row>
    <row r="1520" ht="14.25" customHeight="1">
      <c r="B1520" s="140"/>
      <c r="C1520" s="141"/>
      <c r="F1520" s="54"/>
      <c r="G1520" s="54"/>
    </row>
    <row r="1521" ht="14.25" customHeight="1">
      <c r="B1521" s="140"/>
      <c r="C1521" s="141"/>
      <c r="F1521" s="54"/>
      <c r="G1521" s="54"/>
    </row>
    <row r="1522" ht="14.25" customHeight="1">
      <c r="B1522" s="140"/>
      <c r="C1522" s="141"/>
      <c r="F1522" s="54"/>
      <c r="G1522" s="54"/>
    </row>
    <row r="1523" ht="14.25" customHeight="1">
      <c r="B1523" s="140"/>
      <c r="C1523" s="141"/>
      <c r="F1523" s="54"/>
      <c r="G1523" s="54"/>
    </row>
    <row r="1524" ht="14.25" customHeight="1">
      <c r="B1524" s="140"/>
      <c r="C1524" s="141"/>
      <c r="F1524" s="54"/>
      <c r="G1524" s="54"/>
    </row>
    <row r="1525" ht="14.25" customHeight="1">
      <c r="B1525" s="140"/>
      <c r="C1525" s="141"/>
      <c r="F1525" s="54"/>
      <c r="G1525" s="54"/>
    </row>
    <row r="1526" ht="14.25" customHeight="1">
      <c r="B1526" s="140"/>
      <c r="C1526" s="141"/>
      <c r="F1526" s="54"/>
      <c r="G1526" s="54"/>
    </row>
    <row r="1527" ht="14.25" customHeight="1">
      <c r="B1527" s="140"/>
      <c r="C1527" s="141"/>
      <c r="F1527" s="54"/>
      <c r="G1527" s="54"/>
    </row>
    <row r="1528" ht="14.25" customHeight="1">
      <c r="B1528" s="140"/>
      <c r="C1528" s="141"/>
      <c r="F1528" s="54"/>
      <c r="G1528" s="54"/>
    </row>
    <row r="1529" ht="14.25" customHeight="1">
      <c r="B1529" s="140"/>
      <c r="C1529" s="141"/>
      <c r="F1529" s="54"/>
      <c r="G1529" s="54"/>
    </row>
    <row r="1530" ht="14.25" customHeight="1">
      <c r="B1530" s="140"/>
      <c r="C1530" s="141"/>
      <c r="F1530" s="54"/>
      <c r="G1530" s="54"/>
    </row>
    <row r="1531" ht="14.25" customHeight="1">
      <c r="B1531" s="140"/>
      <c r="C1531" s="141"/>
      <c r="F1531" s="54"/>
      <c r="G1531" s="54"/>
    </row>
    <row r="1532" ht="14.25" customHeight="1">
      <c r="B1532" s="140"/>
      <c r="C1532" s="141"/>
      <c r="F1532" s="54"/>
      <c r="G1532" s="54"/>
    </row>
    <row r="1533" ht="14.25" customHeight="1">
      <c r="B1533" s="140"/>
      <c r="C1533" s="141"/>
      <c r="F1533" s="54"/>
      <c r="G1533" s="54"/>
    </row>
    <row r="1534" ht="14.25" customHeight="1">
      <c r="B1534" s="140"/>
      <c r="C1534" s="141"/>
      <c r="F1534" s="54"/>
      <c r="G1534" s="54"/>
    </row>
    <row r="1535" ht="14.25" customHeight="1">
      <c r="B1535" s="140"/>
      <c r="C1535" s="141"/>
      <c r="F1535" s="54"/>
      <c r="G1535" s="54"/>
    </row>
    <row r="1536" ht="14.25" customHeight="1">
      <c r="B1536" s="140"/>
      <c r="C1536" s="141"/>
      <c r="F1536" s="54"/>
      <c r="G1536" s="54"/>
    </row>
    <row r="1537" ht="14.25" customHeight="1">
      <c r="B1537" s="140"/>
      <c r="C1537" s="141"/>
      <c r="F1537" s="54"/>
      <c r="G1537" s="54"/>
    </row>
    <row r="1538" ht="14.25" customHeight="1">
      <c r="B1538" s="140"/>
      <c r="C1538" s="141"/>
      <c r="F1538" s="54"/>
      <c r="G1538" s="54"/>
    </row>
    <row r="1539" ht="14.25" customHeight="1">
      <c r="B1539" s="140"/>
      <c r="C1539" s="141"/>
      <c r="F1539" s="54"/>
      <c r="G1539" s="54"/>
    </row>
    <row r="1540" ht="14.25" customHeight="1">
      <c r="B1540" s="140"/>
      <c r="C1540" s="141"/>
      <c r="F1540" s="54"/>
      <c r="G1540" s="54"/>
    </row>
    <row r="1541" ht="14.25" customHeight="1">
      <c r="B1541" s="140"/>
      <c r="C1541" s="141"/>
      <c r="F1541" s="54"/>
      <c r="G1541" s="54"/>
    </row>
    <row r="1542" ht="14.25" customHeight="1">
      <c r="B1542" s="140"/>
      <c r="C1542" s="141"/>
      <c r="F1542" s="54"/>
      <c r="G1542" s="54"/>
    </row>
    <row r="1543" ht="14.25" customHeight="1">
      <c r="B1543" s="140"/>
      <c r="C1543" s="141"/>
      <c r="F1543" s="54"/>
      <c r="G1543" s="54"/>
    </row>
    <row r="1544" ht="14.25" customHeight="1">
      <c r="B1544" s="140"/>
      <c r="C1544" s="141"/>
      <c r="F1544" s="54"/>
      <c r="G1544" s="54"/>
    </row>
    <row r="1545" ht="14.25" customHeight="1">
      <c r="B1545" s="140"/>
      <c r="C1545" s="141"/>
      <c r="F1545" s="54"/>
      <c r="G1545" s="54"/>
    </row>
    <row r="1546" ht="14.25" customHeight="1">
      <c r="B1546" s="140"/>
      <c r="C1546" s="141"/>
      <c r="F1546" s="54"/>
      <c r="G1546" s="54"/>
    </row>
    <row r="1547" ht="14.25" customHeight="1">
      <c r="B1547" s="140"/>
      <c r="C1547" s="141"/>
      <c r="F1547" s="54"/>
      <c r="G1547" s="54"/>
    </row>
    <row r="1548" ht="14.25" customHeight="1">
      <c r="B1548" s="140"/>
      <c r="C1548" s="141"/>
      <c r="F1548" s="54"/>
      <c r="G1548" s="54"/>
    </row>
    <row r="1549" ht="14.25" customHeight="1">
      <c r="B1549" s="140"/>
      <c r="C1549" s="141"/>
      <c r="F1549" s="54"/>
      <c r="G1549" s="54"/>
    </row>
    <row r="1550" ht="14.25" customHeight="1">
      <c r="B1550" s="140"/>
      <c r="C1550" s="141"/>
      <c r="F1550" s="54"/>
      <c r="G1550" s="54"/>
    </row>
    <row r="1551" ht="14.25" customHeight="1">
      <c r="B1551" s="140"/>
      <c r="C1551" s="141"/>
      <c r="F1551" s="54"/>
      <c r="G1551" s="54"/>
    </row>
    <row r="1552" ht="14.25" customHeight="1">
      <c r="B1552" s="140"/>
      <c r="C1552" s="141"/>
      <c r="F1552" s="54"/>
      <c r="G1552" s="54"/>
    </row>
    <row r="1553" ht="14.25" customHeight="1">
      <c r="B1553" s="140"/>
      <c r="C1553" s="141"/>
      <c r="F1553" s="54"/>
      <c r="G1553" s="54"/>
    </row>
    <row r="1554" ht="14.25" customHeight="1">
      <c r="B1554" s="140"/>
      <c r="C1554" s="141"/>
      <c r="F1554" s="54"/>
      <c r="G1554" s="54"/>
    </row>
    <row r="1555" ht="14.25" customHeight="1">
      <c r="B1555" s="140"/>
      <c r="C1555" s="141"/>
      <c r="F1555" s="54"/>
      <c r="G1555" s="54"/>
    </row>
    <row r="1556" ht="14.25" customHeight="1">
      <c r="B1556" s="140"/>
      <c r="C1556" s="141"/>
      <c r="F1556" s="54"/>
      <c r="G1556" s="54"/>
    </row>
    <row r="1557" ht="14.25" customHeight="1">
      <c r="B1557" s="140"/>
      <c r="C1557" s="141"/>
      <c r="F1557" s="54"/>
      <c r="G1557" s="54"/>
    </row>
    <row r="1558" ht="14.25" customHeight="1">
      <c r="B1558" s="140"/>
      <c r="C1558" s="141"/>
      <c r="F1558" s="54"/>
      <c r="G1558" s="54"/>
    </row>
    <row r="1559" ht="14.25" customHeight="1">
      <c r="B1559" s="140"/>
      <c r="C1559" s="141"/>
      <c r="F1559" s="54"/>
      <c r="G1559" s="54"/>
    </row>
    <row r="1560" ht="14.25" customHeight="1">
      <c r="B1560" s="140"/>
      <c r="C1560" s="141"/>
      <c r="F1560" s="54"/>
      <c r="G1560" s="54"/>
    </row>
    <row r="1561" ht="14.25" customHeight="1">
      <c r="B1561" s="140"/>
      <c r="C1561" s="141"/>
      <c r="F1561" s="54"/>
      <c r="G1561" s="54"/>
    </row>
    <row r="1562" ht="14.25" customHeight="1">
      <c r="B1562" s="140"/>
      <c r="C1562" s="141"/>
      <c r="F1562" s="54"/>
      <c r="G1562" s="54"/>
    </row>
    <row r="1563" ht="14.25" customHeight="1">
      <c r="B1563" s="140"/>
      <c r="C1563" s="141"/>
      <c r="F1563" s="54"/>
      <c r="G1563" s="54"/>
    </row>
    <row r="1564" ht="14.25" customHeight="1">
      <c r="B1564" s="140"/>
      <c r="C1564" s="141"/>
      <c r="F1564" s="54"/>
      <c r="G1564" s="54"/>
    </row>
    <row r="1565" ht="14.25" customHeight="1">
      <c r="B1565" s="140"/>
      <c r="C1565" s="141"/>
      <c r="F1565" s="54"/>
      <c r="G1565" s="54"/>
    </row>
    <row r="1566" ht="14.25" customHeight="1">
      <c r="B1566" s="140"/>
      <c r="C1566" s="141"/>
      <c r="F1566" s="54"/>
      <c r="G1566" s="54"/>
    </row>
    <row r="1567" ht="14.25" customHeight="1">
      <c r="B1567" s="140"/>
      <c r="C1567" s="141"/>
      <c r="F1567" s="54"/>
      <c r="G1567" s="54"/>
    </row>
    <row r="1568" ht="14.25" customHeight="1">
      <c r="B1568" s="140"/>
      <c r="C1568" s="141"/>
      <c r="F1568" s="54"/>
      <c r="G1568" s="54"/>
    </row>
    <row r="1569" ht="14.25" customHeight="1">
      <c r="B1569" s="140"/>
      <c r="C1569" s="141"/>
      <c r="F1569" s="54"/>
      <c r="G1569" s="54"/>
    </row>
    <row r="1570" ht="14.25" customHeight="1">
      <c r="B1570" s="140"/>
      <c r="C1570" s="141"/>
      <c r="F1570" s="54"/>
      <c r="G1570" s="54"/>
    </row>
    <row r="1571" ht="14.25" customHeight="1">
      <c r="B1571" s="140"/>
      <c r="C1571" s="141"/>
      <c r="F1571" s="54"/>
      <c r="G1571" s="54"/>
    </row>
    <row r="1572" ht="14.25" customHeight="1">
      <c r="B1572" s="140"/>
      <c r="C1572" s="141"/>
      <c r="F1572" s="54"/>
      <c r="G1572" s="54"/>
    </row>
    <row r="1573" ht="14.25" customHeight="1">
      <c r="B1573" s="140"/>
      <c r="C1573" s="141"/>
      <c r="F1573" s="54"/>
      <c r="G1573" s="54"/>
    </row>
    <row r="1574" ht="14.25" customHeight="1">
      <c r="B1574" s="140"/>
      <c r="C1574" s="141"/>
      <c r="F1574" s="54"/>
      <c r="G1574" s="54"/>
    </row>
    <row r="1575" ht="14.25" customHeight="1">
      <c r="B1575" s="140"/>
      <c r="C1575" s="141"/>
      <c r="F1575" s="54"/>
      <c r="G1575" s="54"/>
    </row>
    <row r="1576" ht="14.25" customHeight="1">
      <c r="B1576" s="140"/>
      <c r="C1576" s="141"/>
      <c r="F1576" s="54"/>
      <c r="G1576" s="54"/>
    </row>
    <row r="1577" ht="14.25" customHeight="1">
      <c r="B1577" s="140"/>
      <c r="C1577" s="141"/>
      <c r="F1577" s="54"/>
      <c r="G1577" s="54"/>
    </row>
    <row r="1578" ht="14.25" customHeight="1">
      <c r="B1578" s="140"/>
      <c r="C1578" s="141"/>
      <c r="F1578" s="54"/>
      <c r="G1578" s="54"/>
    </row>
    <row r="1579" ht="14.25" customHeight="1">
      <c r="B1579" s="140"/>
      <c r="C1579" s="141"/>
      <c r="F1579" s="54"/>
      <c r="G1579" s="54"/>
    </row>
    <row r="1580" ht="14.25" customHeight="1">
      <c r="B1580" s="140"/>
      <c r="C1580" s="141"/>
      <c r="F1580" s="54"/>
      <c r="G1580" s="54"/>
    </row>
    <row r="1581" ht="14.25" customHeight="1">
      <c r="B1581" s="140"/>
      <c r="C1581" s="141"/>
      <c r="F1581" s="54"/>
      <c r="G1581" s="54"/>
    </row>
    <row r="1582" ht="14.25" customHeight="1">
      <c r="B1582" s="140"/>
      <c r="C1582" s="141"/>
      <c r="F1582" s="54"/>
      <c r="G1582" s="54"/>
    </row>
    <row r="1583" ht="14.25" customHeight="1">
      <c r="B1583" s="140"/>
      <c r="C1583" s="141"/>
      <c r="F1583" s="54"/>
      <c r="G1583" s="54"/>
    </row>
    <row r="1584" ht="14.25" customHeight="1">
      <c r="B1584" s="140"/>
      <c r="C1584" s="141"/>
      <c r="F1584" s="54"/>
      <c r="G1584" s="54"/>
    </row>
    <row r="1585" ht="14.25" customHeight="1">
      <c r="B1585" s="140"/>
      <c r="C1585" s="141"/>
      <c r="F1585" s="54"/>
      <c r="G1585" s="54"/>
    </row>
    <row r="1586" ht="14.25" customHeight="1">
      <c r="B1586" s="140"/>
      <c r="C1586" s="141"/>
      <c r="F1586" s="54"/>
      <c r="G1586" s="54"/>
    </row>
    <row r="1587" ht="14.25" customHeight="1">
      <c r="B1587" s="140"/>
      <c r="C1587" s="141"/>
      <c r="F1587" s="54"/>
      <c r="G1587" s="54"/>
    </row>
    <row r="1588" ht="14.25" customHeight="1">
      <c r="B1588" s="140"/>
      <c r="C1588" s="141"/>
      <c r="F1588" s="54"/>
      <c r="G1588" s="54"/>
    </row>
    <row r="1589" ht="14.25" customHeight="1">
      <c r="B1589" s="140"/>
      <c r="C1589" s="141"/>
      <c r="F1589" s="54"/>
      <c r="G1589" s="54"/>
    </row>
    <row r="1590" ht="14.25" customHeight="1">
      <c r="B1590" s="140"/>
      <c r="C1590" s="141"/>
      <c r="F1590" s="54"/>
      <c r="G1590" s="54"/>
    </row>
    <row r="1591" ht="14.25" customHeight="1">
      <c r="B1591" s="140"/>
      <c r="C1591" s="141"/>
      <c r="F1591" s="54"/>
      <c r="G1591" s="54"/>
    </row>
    <row r="1592" ht="14.25" customHeight="1">
      <c r="B1592" s="140"/>
      <c r="C1592" s="141"/>
      <c r="F1592" s="54"/>
      <c r="G1592" s="54"/>
    </row>
    <row r="1593" ht="14.25" customHeight="1">
      <c r="B1593" s="140"/>
      <c r="C1593" s="141"/>
      <c r="F1593" s="54"/>
      <c r="G1593" s="54"/>
    </row>
    <row r="1594" ht="14.25" customHeight="1">
      <c r="B1594" s="140"/>
      <c r="C1594" s="141"/>
      <c r="F1594" s="54"/>
      <c r="G1594" s="54"/>
    </row>
    <row r="1595" ht="14.25" customHeight="1">
      <c r="B1595" s="140"/>
      <c r="C1595" s="141"/>
      <c r="F1595" s="54"/>
      <c r="G1595" s="54"/>
    </row>
    <row r="1596" ht="14.25" customHeight="1">
      <c r="B1596" s="140"/>
      <c r="C1596" s="141"/>
      <c r="F1596" s="54"/>
      <c r="G1596" s="54"/>
    </row>
    <row r="1597" ht="14.25" customHeight="1">
      <c r="B1597" s="140"/>
      <c r="C1597" s="141"/>
      <c r="F1597" s="54"/>
      <c r="G1597" s="54"/>
    </row>
    <row r="1598" ht="14.25" customHeight="1">
      <c r="B1598" s="140"/>
      <c r="C1598" s="141"/>
      <c r="F1598" s="54"/>
      <c r="G1598" s="54"/>
    </row>
    <row r="1599" ht="14.25" customHeight="1">
      <c r="B1599" s="140"/>
      <c r="C1599" s="141"/>
      <c r="F1599" s="54"/>
      <c r="G1599" s="54"/>
    </row>
    <row r="1600" ht="14.25" customHeight="1">
      <c r="B1600" s="140"/>
      <c r="C1600" s="141"/>
      <c r="F1600" s="54"/>
      <c r="G1600" s="54"/>
    </row>
    <row r="1601" ht="14.25" customHeight="1">
      <c r="B1601" s="140"/>
      <c r="C1601" s="141"/>
      <c r="F1601" s="54"/>
      <c r="G1601" s="54"/>
    </row>
    <row r="1602" ht="14.25" customHeight="1">
      <c r="B1602" s="140"/>
      <c r="C1602" s="141"/>
      <c r="F1602" s="54"/>
      <c r="G1602" s="54"/>
    </row>
    <row r="1603" ht="14.25" customHeight="1">
      <c r="B1603" s="140"/>
      <c r="C1603" s="141"/>
      <c r="F1603" s="54"/>
      <c r="G1603" s="54"/>
    </row>
    <row r="1604" ht="14.25" customHeight="1">
      <c r="B1604" s="140"/>
      <c r="C1604" s="141"/>
      <c r="F1604" s="54"/>
      <c r="G1604" s="54"/>
    </row>
    <row r="1605" ht="14.25" customHeight="1">
      <c r="B1605" s="140"/>
      <c r="C1605" s="141"/>
      <c r="F1605" s="54"/>
      <c r="G1605" s="54"/>
    </row>
    <row r="1606" ht="14.25" customHeight="1">
      <c r="B1606" s="140"/>
      <c r="C1606" s="141"/>
      <c r="F1606" s="54"/>
      <c r="G1606" s="54"/>
    </row>
    <row r="1607" ht="14.25" customHeight="1">
      <c r="B1607" s="140"/>
      <c r="C1607" s="141"/>
      <c r="F1607" s="54"/>
      <c r="G1607" s="54"/>
    </row>
    <row r="1608" ht="14.25" customHeight="1">
      <c r="B1608" s="140"/>
      <c r="C1608" s="141"/>
      <c r="F1608" s="54"/>
      <c r="G1608" s="54"/>
    </row>
    <row r="1609" ht="14.25" customHeight="1">
      <c r="B1609" s="140"/>
      <c r="C1609" s="141"/>
      <c r="F1609" s="54"/>
      <c r="G1609" s="54"/>
    </row>
    <row r="1610" ht="14.25" customHeight="1">
      <c r="B1610" s="140"/>
      <c r="C1610" s="141"/>
      <c r="F1610" s="54"/>
      <c r="G1610" s="54"/>
    </row>
    <row r="1611" ht="14.25" customHeight="1">
      <c r="B1611" s="140"/>
      <c r="C1611" s="141"/>
      <c r="F1611" s="54"/>
      <c r="G1611" s="54"/>
    </row>
    <row r="1612" ht="14.25" customHeight="1">
      <c r="B1612" s="140"/>
      <c r="C1612" s="141"/>
      <c r="F1612" s="54"/>
      <c r="G1612" s="54"/>
    </row>
    <row r="1613" ht="14.25" customHeight="1">
      <c r="B1613" s="140"/>
      <c r="C1613" s="141"/>
      <c r="F1613" s="54"/>
      <c r="G1613" s="54"/>
    </row>
    <row r="1614" ht="14.25" customHeight="1">
      <c r="B1614" s="140"/>
      <c r="C1614" s="141"/>
      <c r="F1614" s="54"/>
      <c r="G1614" s="54"/>
    </row>
    <row r="1615" ht="14.25" customHeight="1">
      <c r="B1615" s="140"/>
      <c r="C1615" s="141"/>
      <c r="F1615" s="54"/>
      <c r="G1615" s="54"/>
    </row>
    <row r="1616" ht="14.25" customHeight="1">
      <c r="B1616" s="140"/>
      <c r="C1616" s="141"/>
      <c r="F1616" s="54"/>
      <c r="G1616" s="54"/>
    </row>
    <row r="1617" ht="14.25" customHeight="1">
      <c r="B1617" s="140"/>
      <c r="C1617" s="141"/>
      <c r="F1617" s="54"/>
      <c r="G1617" s="54"/>
    </row>
    <row r="1618" ht="14.25" customHeight="1">
      <c r="B1618" s="140"/>
      <c r="C1618" s="141"/>
      <c r="F1618" s="54"/>
      <c r="G1618" s="54"/>
    </row>
    <row r="1619" ht="14.25" customHeight="1">
      <c r="B1619" s="140"/>
      <c r="C1619" s="141"/>
      <c r="F1619" s="54"/>
      <c r="G1619" s="54"/>
    </row>
    <row r="1620" ht="14.25" customHeight="1">
      <c r="B1620" s="140"/>
      <c r="C1620" s="141"/>
      <c r="F1620" s="54"/>
      <c r="G1620" s="54"/>
    </row>
    <row r="1621" ht="14.25" customHeight="1">
      <c r="B1621" s="140"/>
      <c r="C1621" s="141"/>
      <c r="F1621" s="54"/>
      <c r="G1621" s="54"/>
    </row>
    <row r="1622" ht="14.25" customHeight="1">
      <c r="B1622" s="140"/>
      <c r="C1622" s="141"/>
      <c r="F1622" s="54"/>
      <c r="G1622" s="54"/>
    </row>
    <row r="1623" ht="14.25" customHeight="1">
      <c r="B1623" s="140"/>
      <c r="C1623" s="141"/>
      <c r="F1623" s="54"/>
      <c r="G1623" s="54"/>
    </row>
    <row r="1624" ht="14.25" customHeight="1">
      <c r="B1624" s="140"/>
      <c r="C1624" s="141"/>
      <c r="F1624" s="54"/>
      <c r="G1624" s="54"/>
    </row>
    <row r="1625" ht="14.25" customHeight="1">
      <c r="B1625" s="140"/>
      <c r="C1625" s="141"/>
      <c r="F1625" s="54"/>
      <c r="G1625" s="54"/>
    </row>
    <row r="1626" ht="14.25" customHeight="1">
      <c r="B1626" s="140"/>
      <c r="C1626" s="141"/>
      <c r="F1626" s="54"/>
      <c r="G1626" s="54"/>
    </row>
    <row r="1627" ht="14.25" customHeight="1">
      <c r="B1627" s="140"/>
      <c r="C1627" s="141"/>
      <c r="F1627" s="54"/>
      <c r="G1627" s="54"/>
    </row>
    <row r="1628" ht="14.25" customHeight="1">
      <c r="B1628" s="140"/>
      <c r="C1628" s="141"/>
      <c r="F1628" s="54"/>
      <c r="G1628" s="54"/>
    </row>
    <row r="1629" ht="14.25" customHeight="1">
      <c r="B1629" s="140"/>
      <c r="C1629" s="141"/>
      <c r="F1629" s="54"/>
      <c r="G1629" s="54"/>
    </row>
    <row r="1630" ht="14.25" customHeight="1">
      <c r="B1630" s="140"/>
      <c r="C1630" s="141"/>
      <c r="F1630" s="54"/>
      <c r="G1630" s="54"/>
    </row>
    <row r="1631" ht="14.25" customHeight="1">
      <c r="B1631" s="140"/>
      <c r="C1631" s="141"/>
      <c r="F1631" s="54"/>
      <c r="G1631" s="54"/>
    </row>
    <row r="1632" ht="14.25" customHeight="1">
      <c r="B1632" s="140"/>
      <c r="C1632" s="141"/>
      <c r="F1632" s="54"/>
      <c r="G1632" s="54"/>
    </row>
    <row r="1633" ht="14.25" customHeight="1">
      <c r="B1633" s="140"/>
      <c r="C1633" s="141"/>
      <c r="F1633" s="54"/>
      <c r="G1633" s="54"/>
    </row>
    <row r="1634" ht="14.25" customHeight="1">
      <c r="B1634" s="140"/>
      <c r="C1634" s="141"/>
      <c r="F1634" s="54"/>
      <c r="G1634" s="54"/>
    </row>
    <row r="1635" ht="14.25" customHeight="1">
      <c r="B1635" s="140"/>
      <c r="C1635" s="141"/>
      <c r="F1635" s="54"/>
      <c r="G1635" s="54"/>
    </row>
    <row r="1636" ht="14.25" customHeight="1">
      <c r="B1636" s="140"/>
      <c r="C1636" s="141"/>
      <c r="F1636" s="54"/>
      <c r="G1636" s="54"/>
    </row>
    <row r="1637" ht="14.25" customHeight="1">
      <c r="B1637" s="140"/>
      <c r="C1637" s="141"/>
      <c r="F1637" s="54"/>
      <c r="G1637" s="54"/>
    </row>
    <row r="1638" ht="14.25" customHeight="1">
      <c r="B1638" s="140"/>
      <c r="C1638" s="141"/>
      <c r="F1638" s="54"/>
      <c r="G1638" s="54"/>
    </row>
    <row r="1639" ht="14.25" customHeight="1">
      <c r="B1639" s="140"/>
      <c r="C1639" s="141"/>
      <c r="F1639" s="54"/>
      <c r="G1639" s="54"/>
    </row>
    <row r="1640" ht="14.25" customHeight="1">
      <c r="B1640" s="140"/>
      <c r="C1640" s="141"/>
      <c r="F1640" s="54"/>
      <c r="G1640" s="54"/>
    </row>
    <row r="1641" ht="14.25" customHeight="1">
      <c r="B1641" s="140"/>
      <c r="C1641" s="141"/>
      <c r="F1641" s="54"/>
      <c r="G1641" s="54"/>
    </row>
    <row r="1642" ht="14.25" customHeight="1">
      <c r="B1642" s="140"/>
      <c r="C1642" s="141"/>
      <c r="F1642" s="54"/>
      <c r="G1642" s="54"/>
    </row>
    <row r="1643" ht="14.25" customHeight="1">
      <c r="B1643" s="140"/>
      <c r="C1643" s="141"/>
      <c r="F1643" s="54"/>
      <c r="G1643" s="54"/>
    </row>
    <row r="1644" ht="14.25" customHeight="1">
      <c r="B1644" s="140"/>
      <c r="C1644" s="141"/>
      <c r="F1644" s="54"/>
      <c r="G1644" s="54"/>
    </row>
    <row r="1645" ht="14.25" customHeight="1">
      <c r="B1645" s="140"/>
      <c r="C1645" s="141"/>
      <c r="F1645" s="54"/>
      <c r="G1645" s="54"/>
    </row>
    <row r="1646" ht="14.25" customHeight="1">
      <c r="B1646" s="140"/>
      <c r="C1646" s="141"/>
      <c r="F1646" s="54"/>
      <c r="G1646" s="54"/>
    </row>
    <row r="1647" ht="14.25" customHeight="1">
      <c r="B1647" s="140"/>
      <c r="C1647" s="141"/>
      <c r="F1647" s="54"/>
      <c r="G1647" s="54"/>
    </row>
    <row r="1648" ht="14.25" customHeight="1">
      <c r="B1648" s="140"/>
      <c r="C1648" s="141"/>
      <c r="F1648" s="54"/>
      <c r="G1648" s="54"/>
    </row>
    <row r="1649" ht="14.25" customHeight="1">
      <c r="B1649" s="140"/>
      <c r="C1649" s="141"/>
      <c r="F1649" s="54"/>
      <c r="G1649" s="54"/>
    </row>
    <row r="1650" ht="14.25" customHeight="1">
      <c r="B1650" s="140"/>
      <c r="C1650" s="141"/>
      <c r="F1650" s="54"/>
      <c r="G1650" s="54"/>
    </row>
    <row r="1651" ht="14.25" customHeight="1">
      <c r="B1651" s="140"/>
      <c r="C1651" s="141"/>
      <c r="F1651" s="54"/>
      <c r="G1651" s="54"/>
    </row>
    <row r="1652" ht="14.25" customHeight="1">
      <c r="B1652" s="140"/>
      <c r="C1652" s="141"/>
      <c r="F1652" s="54"/>
      <c r="G1652" s="54"/>
    </row>
    <row r="1653" ht="14.25" customHeight="1">
      <c r="B1653" s="140"/>
      <c r="C1653" s="141"/>
      <c r="F1653" s="54"/>
      <c r="G1653" s="54"/>
    </row>
    <row r="1654" ht="14.25" customHeight="1">
      <c r="B1654" s="140"/>
      <c r="C1654" s="141"/>
      <c r="F1654" s="54"/>
      <c r="G1654" s="54"/>
    </row>
    <row r="1655" ht="14.25" customHeight="1">
      <c r="B1655" s="140"/>
      <c r="C1655" s="141"/>
      <c r="F1655" s="54"/>
      <c r="G1655" s="54"/>
    </row>
    <row r="1656" ht="14.25" customHeight="1">
      <c r="B1656" s="140"/>
      <c r="C1656" s="141"/>
      <c r="F1656" s="54"/>
      <c r="G1656" s="54"/>
    </row>
    <row r="1657" ht="14.25" customHeight="1">
      <c r="B1657" s="140"/>
      <c r="C1657" s="141"/>
      <c r="F1657" s="54"/>
      <c r="G1657" s="54"/>
    </row>
    <row r="1658" ht="14.25" customHeight="1">
      <c r="B1658" s="140"/>
      <c r="C1658" s="141"/>
      <c r="F1658" s="54"/>
      <c r="G1658" s="54"/>
    </row>
    <row r="1659" ht="14.25" customHeight="1">
      <c r="B1659" s="140"/>
      <c r="C1659" s="141"/>
      <c r="F1659" s="54"/>
      <c r="G1659" s="54"/>
    </row>
    <row r="1660" ht="14.25" customHeight="1">
      <c r="B1660" s="140"/>
      <c r="C1660" s="141"/>
      <c r="F1660" s="54"/>
      <c r="G1660" s="54"/>
    </row>
    <row r="1661" ht="14.25" customHeight="1">
      <c r="B1661" s="140"/>
      <c r="C1661" s="141"/>
      <c r="F1661" s="54"/>
      <c r="G1661" s="54"/>
    </row>
    <row r="1662" ht="14.25" customHeight="1">
      <c r="B1662" s="140"/>
      <c r="C1662" s="141"/>
      <c r="F1662" s="54"/>
      <c r="G1662" s="54"/>
    </row>
    <row r="1663" ht="14.25" customHeight="1">
      <c r="B1663" s="140"/>
      <c r="C1663" s="141"/>
      <c r="F1663" s="54"/>
      <c r="G1663" s="54"/>
    </row>
    <row r="1664" ht="14.25" customHeight="1">
      <c r="B1664" s="140"/>
      <c r="C1664" s="141"/>
      <c r="F1664" s="54"/>
      <c r="G1664" s="54"/>
    </row>
    <row r="1665" ht="14.25" customHeight="1">
      <c r="B1665" s="140"/>
      <c r="C1665" s="141"/>
      <c r="F1665" s="54"/>
      <c r="G1665" s="54"/>
    </row>
    <row r="1666" ht="14.25" customHeight="1">
      <c r="B1666" s="140"/>
      <c r="C1666" s="141"/>
      <c r="F1666" s="54"/>
      <c r="G1666" s="54"/>
    </row>
    <row r="1667" ht="14.25" customHeight="1">
      <c r="B1667" s="140"/>
      <c r="C1667" s="141"/>
      <c r="F1667" s="54"/>
      <c r="G1667" s="54"/>
    </row>
    <row r="1668" ht="14.25" customHeight="1">
      <c r="B1668" s="140"/>
      <c r="C1668" s="141"/>
      <c r="F1668" s="54"/>
      <c r="G1668" s="54"/>
    </row>
    <row r="1669" ht="14.25" customHeight="1">
      <c r="B1669" s="140"/>
      <c r="C1669" s="141"/>
      <c r="F1669" s="54"/>
      <c r="G1669" s="54"/>
    </row>
    <row r="1670" ht="14.25" customHeight="1">
      <c r="B1670" s="140"/>
      <c r="C1670" s="141"/>
      <c r="F1670" s="54"/>
      <c r="G1670" s="54"/>
    </row>
    <row r="1671" ht="14.25" customHeight="1">
      <c r="B1671" s="140"/>
      <c r="C1671" s="141"/>
      <c r="F1671" s="54"/>
      <c r="G1671" s="54"/>
    </row>
    <row r="1672" ht="14.25" customHeight="1">
      <c r="B1672" s="140"/>
      <c r="C1672" s="141"/>
      <c r="F1672" s="54"/>
      <c r="G1672" s="54"/>
    </row>
    <row r="1673" ht="14.25" customHeight="1">
      <c r="B1673" s="140"/>
      <c r="C1673" s="141"/>
      <c r="F1673" s="54"/>
      <c r="G1673" s="54"/>
    </row>
    <row r="1674" ht="14.25" customHeight="1">
      <c r="B1674" s="140"/>
      <c r="C1674" s="141"/>
      <c r="F1674" s="54"/>
      <c r="G1674" s="54"/>
    </row>
    <row r="1675" ht="14.25" customHeight="1">
      <c r="B1675" s="140"/>
      <c r="C1675" s="141"/>
      <c r="F1675" s="54"/>
      <c r="G1675" s="54"/>
    </row>
    <row r="1676" ht="14.25" customHeight="1">
      <c r="B1676" s="140"/>
      <c r="C1676" s="141"/>
      <c r="F1676" s="54"/>
      <c r="G1676" s="54"/>
    </row>
    <row r="1677" ht="14.25" customHeight="1">
      <c r="B1677" s="140"/>
      <c r="C1677" s="141"/>
      <c r="F1677" s="54"/>
      <c r="G1677" s="54"/>
    </row>
    <row r="1678" ht="14.25" customHeight="1">
      <c r="B1678" s="140"/>
      <c r="C1678" s="141"/>
      <c r="F1678" s="54"/>
      <c r="G1678" s="54"/>
    </row>
    <row r="1679" ht="14.25" customHeight="1">
      <c r="B1679" s="140"/>
      <c r="C1679" s="141"/>
      <c r="F1679" s="54"/>
      <c r="G1679" s="54"/>
    </row>
    <row r="1680" ht="14.25" customHeight="1">
      <c r="B1680" s="140"/>
      <c r="C1680" s="141"/>
      <c r="F1680" s="54"/>
      <c r="G1680" s="54"/>
    </row>
    <row r="1681" ht="14.25" customHeight="1">
      <c r="B1681" s="140"/>
      <c r="C1681" s="141"/>
      <c r="F1681" s="54"/>
      <c r="G1681" s="54"/>
    </row>
    <row r="1682" ht="14.25" customHeight="1">
      <c r="B1682" s="140"/>
      <c r="C1682" s="141"/>
      <c r="F1682" s="54"/>
      <c r="G1682" s="54"/>
    </row>
    <row r="1683" ht="14.25" customHeight="1">
      <c r="B1683" s="140"/>
      <c r="C1683" s="141"/>
      <c r="F1683" s="54"/>
      <c r="G1683" s="54"/>
    </row>
    <row r="1684" ht="14.25" customHeight="1">
      <c r="B1684" s="140"/>
      <c r="C1684" s="141"/>
      <c r="F1684" s="54"/>
      <c r="G1684" s="54"/>
    </row>
    <row r="1685" ht="14.25" customHeight="1">
      <c r="B1685" s="140"/>
      <c r="C1685" s="141"/>
      <c r="F1685" s="54"/>
      <c r="G1685" s="54"/>
    </row>
    <row r="1686" ht="14.25" customHeight="1">
      <c r="B1686" s="140"/>
      <c r="C1686" s="141"/>
      <c r="F1686" s="54"/>
      <c r="G1686" s="54"/>
    </row>
    <row r="1687" ht="14.25" customHeight="1">
      <c r="B1687" s="140"/>
      <c r="C1687" s="141"/>
      <c r="F1687" s="54"/>
      <c r="G1687" s="54"/>
    </row>
    <row r="1688" ht="14.25" customHeight="1">
      <c r="B1688" s="140"/>
      <c r="C1688" s="141"/>
      <c r="F1688" s="54"/>
      <c r="G1688" s="54"/>
    </row>
    <row r="1689" ht="14.25" customHeight="1">
      <c r="B1689" s="140"/>
      <c r="C1689" s="141"/>
      <c r="F1689" s="54"/>
      <c r="G1689" s="54"/>
    </row>
    <row r="1690" ht="14.25" customHeight="1">
      <c r="B1690" s="140"/>
      <c r="C1690" s="141"/>
      <c r="F1690" s="54"/>
      <c r="G1690" s="54"/>
    </row>
    <row r="1691" ht="14.25" customHeight="1">
      <c r="B1691" s="140"/>
      <c r="C1691" s="141"/>
      <c r="F1691" s="54"/>
      <c r="G1691" s="54"/>
    </row>
    <row r="1692" ht="14.25" customHeight="1">
      <c r="B1692" s="140"/>
      <c r="C1692" s="141"/>
      <c r="F1692" s="54"/>
      <c r="G1692" s="54"/>
    </row>
    <row r="1693" ht="14.25" customHeight="1">
      <c r="B1693" s="140"/>
      <c r="C1693" s="141"/>
      <c r="F1693" s="54"/>
      <c r="G1693" s="54"/>
    </row>
    <row r="1694" ht="14.25" customHeight="1">
      <c r="B1694" s="140"/>
      <c r="C1694" s="141"/>
      <c r="F1694" s="54"/>
      <c r="G1694" s="54"/>
    </row>
    <row r="1695" ht="14.25" customHeight="1">
      <c r="B1695" s="140"/>
      <c r="C1695" s="141"/>
      <c r="F1695" s="54"/>
      <c r="G1695" s="54"/>
    </row>
    <row r="1696" ht="14.25" customHeight="1">
      <c r="B1696" s="140"/>
      <c r="C1696" s="141"/>
      <c r="F1696" s="54"/>
      <c r="G1696" s="54"/>
    </row>
    <row r="1697" ht="14.25" customHeight="1">
      <c r="B1697" s="140"/>
      <c r="C1697" s="141"/>
      <c r="F1697" s="54"/>
      <c r="G1697" s="54"/>
    </row>
    <row r="1698" ht="14.25" customHeight="1">
      <c r="B1698" s="140"/>
      <c r="C1698" s="141"/>
      <c r="F1698" s="54"/>
      <c r="G1698" s="54"/>
    </row>
    <row r="1699" ht="14.25" customHeight="1">
      <c r="B1699" s="140"/>
      <c r="C1699" s="141"/>
      <c r="F1699" s="54"/>
      <c r="G1699" s="54"/>
    </row>
    <row r="1700" ht="14.25" customHeight="1">
      <c r="B1700" s="140"/>
      <c r="C1700" s="141"/>
      <c r="F1700" s="54"/>
      <c r="G1700" s="54"/>
    </row>
    <row r="1701" ht="14.25" customHeight="1">
      <c r="B1701" s="140"/>
      <c r="C1701" s="141"/>
      <c r="F1701" s="54"/>
      <c r="G1701" s="54"/>
    </row>
    <row r="1702" ht="14.25" customHeight="1">
      <c r="B1702" s="140"/>
      <c r="C1702" s="141"/>
      <c r="F1702" s="54"/>
      <c r="G1702" s="54"/>
    </row>
    <row r="1703" ht="14.25" customHeight="1">
      <c r="B1703" s="140"/>
      <c r="C1703" s="141"/>
      <c r="F1703" s="54"/>
      <c r="G1703" s="54"/>
    </row>
    <row r="1704" ht="14.25" customHeight="1">
      <c r="B1704" s="140"/>
      <c r="C1704" s="141"/>
      <c r="F1704" s="54"/>
      <c r="G1704" s="54"/>
    </row>
    <row r="1705" ht="14.25" customHeight="1">
      <c r="B1705" s="140"/>
      <c r="C1705" s="141"/>
      <c r="F1705" s="54"/>
      <c r="G1705" s="54"/>
    </row>
    <row r="1706" ht="14.25" customHeight="1">
      <c r="B1706" s="140"/>
      <c r="C1706" s="141"/>
      <c r="F1706" s="54"/>
      <c r="G1706" s="54"/>
    </row>
    <row r="1707" ht="14.25" customHeight="1">
      <c r="B1707" s="140"/>
      <c r="C1707" s="141"/>
      <c r="F1707" s="54"/>
      <c r="G1707" s="54"/>
    </row>
    <row r="1708" ht="14.25" customHeight="1">
      <c r="B1708" s="140"/>
      <c r="C1708" s="141"/>
      <c r="F1708" s="54"/>
      <c r="G1708" s="54"/>
    </row>
    <row r="1709" ht="14.25" customHeight="1">
      <c r="B1709" s="140"/>
      <c r="C1709" s="141"/>
      <c r="F1709" s="54"/>
      <c r="G1709" s="54"/>
    </row>
    <row r="1710" ht="14.25" customHeight="1">
      <c r="B1710" s="140"/>
      <c r="C1710" s="141"/>
      <c r="F1710" s="54"/>
      <c r="G1710" s="54"/>
    </row>
    <row r="1711" ht="14.25" customHeight="1">
      <c r="B1711" s="140"/>
      <c r="C1711" s="141"/>
      <c r="F1711" s="54"/>
      <c r="G1711" s="54"/>
    </row>
    <row r="1712" ht="14.25" customHeight="1">
      <c r="B1712" s="140"/>
      <c r="C1712" s="141"/>
      <c r="F1712" s="54"/>
      <c r="G1712" s="54"/>
    </row>
    <row r="1713" ht="14.25" customHeight="1">
      <c r="B1713" s="140"/>
      <c r="C1713" s="141"/>
      <c r="F1713" s="54"/>
      <c r="G1713" s="54"/>
    </row>
    <row r="1714" ht="14.25" customHeight="1">
      <c r="B1714" s="140"/>
      <c r="C1714" s="141"/>
      <c r="F1714" s="54"/>
      <c r="G1714" s="54"/>
    </row>
    <row r="1715" ht="14.25" customHeight="1">
      <c r="B1715" s="140"/>
      <c r="C1715" s="141"/>
      <c r="F1715" s="54"/>
      <c r="G1715" s="54"/>
    </row>
    <row r="1716" ht="14.25" customHeight="1">
      <c r="B1716" s="140"/>
      <c r="C1716" s="141"/>
      <c r="F1716" s="54"/>
      <c r="G1716" s="54"/>
    </row>
    <row r="1717" ht="14.25" customHeight="1">
      <c r="B1717" s="140"/>
      <c r="C1717" s="141"/>
      <c r="F1717" s="54"/>
      <c r="G1717" s="54"/>
    </row>
    <row r="1718" ht="14.25" customHeight="1">
      <c r="B1718" s="140"/>
      <c r="C1718" s="141"/>
      <c r="F1718" s="54"/>
      <c r="G1718" s="54"/>
    </row>
    <row r="1719" ht="14.25" customHeight="1">
      <c r="B1719" s="140"/>
      <c r="C1719" s="141"/>
      <c r="F1719" s="54"/>
      <c r="G1719" s="54"/>
    </row>
    <row r="1720" ht="14.25" customHeight="1">
      <c r="B1720" s="140"/>
      <c r="C1720" s="141"/>
      <c r="F1720" s="54"/>
      <c r="G1720" s="54"/>
    </row>
    <row r="1721" ht="14.25" customHeight="1">
      <c r="B1721" s="140"/>
      <c r="C1721" s="141"/>
      <c r="F1721" s="54"/>
      <c r="G1721" s="54"/>
    </row>
    <row r="1722" ht="14.25" customHeight="1">
      <c r="B1722" s="140"/>
      <c r="C1722" s="141"/>
      <c r="F1722" s="54"/>
      <c r="G1722" s="54"/>
    </row>
    <row r="1723" ht="14.25" customHeight="1">
      <c r="B1723" s="140"/>
      <c r="C1723" s="141"/>
      <c r="F1723" s="54"/>
      <c r="G1723" s="54"/>
    </row>
    <row r="1724" ht="14.25" customHeight="1">
      <c r="B1724" s="140"/>
      <c r="C1724" s="141"/>
      <c r="F1724" s="54"/>
      <c r="G1724" s="54"/>
    </row>
    <row r="1725" ht="14.25" customHeight="1">
      <c r="B1725" s="140"/>
      <c r="C1725" s="141"/>
      <c r="F1725" s="54"/>
      <c r="G1725" s="54"/>
    </row>
    <row r="1726" ht="14.25" customHeight="1">
      <c r="B1726" s="140"/>
      <c r="C1726" s="141"/>
      <c r="F1726" s="54"/>
      <c r="G1726" s="54"/>
    </row>
    <row r="1727" ht="14.25" customHeight="1">
      <c r="B1727" s="140"/>
      <c r="C1727" s="141"/>
      <c r="F1727" s="54"/>
      <c r="G1727" s="54"/>
    </row>
    <row r="1728" ht="14.25" customHeight="1">
      <c r="B1728" s="140"/>
      <c r="C1728" s="141"/>
      <c r="F1728" s="54"/>
      <c r="G1728" s="54"/>
    </row>
    <row r="1729" ht="14.25" customHeight="1">
      <c r="B1729" s="140"/>
      <c r="C1729" s="141"/>
      <c r="F1729" s="54"/>
      <c r="G1729" s="54"/>
    </row>
    <row r="1730" ht="14.25" customHeight="1">
      <c r="B1730" s="140"/>
      <c r="C1730" s="141"/>
      <c r="F1730" s="54"/>
      <c r="G1730" s="54"/>
    </row>
    <row r="1731" ht="14.25" customHeight="1">
      <c r="B1731" s="140"/>
      <c r="C1731" s="141"/>
      <c r="F1731" s="54"/>
      <c r="G1731" s="54"/>
    </row>
    <row r="1732" ht="14.25" customHeight="1">
      <c r="B1732" s="140"/>
      <c r="C1732" s="141"/>
      <c r="F1732" s="54"/>
      <c r="G1732" s="54"/>
    </row>
    <row r="1733" ht="14.25" customHeight="1">
      <c r="B1733" s="140"/>
      <c r="C1733" s="141"/>
      <c r="F1733" s="54"/>
      <c r="G1733" s="54"/>
    </row>
    <row r="1734" ht="14.25" customHeight="1">
      <c r="B1734" s="140"/>
      <c r="C1734" s="141"/>
      <c r="F1734" s="54"/>
      <c r="G1734" s="54"/>
    </row>
    <row r="1735" ht="14.25" customHeight="1">
      <c r="B1735" s="140"/>
      <c r="C1735" s="141"/>
      <c r="F1735" s="54"/>
      <c r="G1735" s="54"/>
    </row>
    <row r="1736" ht="14.25" customHeight="1">
      <c r="B1736" s="140"/>
      <c r="C1736" s="141"/>
      <c r="F1736" s="54"/>
      <c r="G1736" s="54"/>
    </row>
    <row r="1737" ht="14.25" customHeight="1">
      <c r="B1737" s="140"/>
      <c r="C1737" s="141"/>
      <c r="F1737" s="54"/>
      <c r="G1737" s="54"/>
    </row>
    <row r="1738" ht="14.25" customHeight="1">
      <c r="B1738" s="140"/>
      <c r="C1738" s="141"/>
      <c r="F1738" s="54"/>
      <c r="G1738" s="54"/>
    </row>
    <row r="1739" ht="14.25" customHeight="1">
      <c r="B1739" s="140"/>
      <c r="C1739" s="141"/>
      <c r="F1739" s="54"/>
      <c r="G1739" s="54"/>
    </row>
    <row r="1740" ht="14.25" customHeight="1">
      <c r="B1740" s="140"/>
      <c r="C1740" s="141"/>
      <c r="F1740" s="54"/>
      <c r="G1740" s="54"/>
    </row>
    <row r="1741" ht="14.25" customHeight="1">
      <c r="B1741" s="140"/>
      <c r="C1741" s="141"/>
      <c r="F1741" s="54"/>
      <c r="G1741" s="54"/>
    </row>
    <row r="1742" ht="14.25" customHeight="1">
      <c r="B1742" s="140"/>
      <c r="C1742" s="141"/>
      <c r="F1742" s="54"/>
      <c r="G1742" s="54"/>
    </row>
    <row r="1743" ht="14.25" customHeight="1">
      <c r="B1743" s="140"/>
      <c r="C1743" s="141"/>
      <c r="F1743" s="54"/>
      <c r="G1743" s="54"/>
    </row>
    <row r="1744" ht="14.25" customHeight="1">
      <c r="B1744" s="140"/>
      <c r="C1744" s="141"/>
      <c r="F1744" s="54"/>
      <c r="G1744" s="54"/>
    </row>
    <row r="1745" ht="14.25" customHeight="1">
      <c r="B1745" s="140"/>
      <c r="C1745" s="141"/>
      <c r="F1745" s="54"/>
      <c r="G1745" s="54"/>
    </row>
    <row r="1746" ht="14.25" customHeight="1">
      <c r="B1746" s="140"/>
      <c r="C1746" s="141"/>
      <c r="F1746" s="54"/>
      <c r="G1746" s="54"/>
    </row>
    <row r="1747" ht="14.25" customHeight="1">
      <c r="B1747" s="140"/>
      <c r="C1747" s="141"/>
      <c r="F1747" s="54"/>
      <c r="G1747" s="54"/>
    </row>
    <row r="1748" ht="14.25" customHeight="1">
      <c r="B1748" s="140"/>
      <c r="C1748" s="141"/>
      <c r="F1748" s="54"/>
      <c r="G1748" s="54"/>
    </row>
    <row r="1749" ht="14.25" customHeight="1">
      <c r="B1749" s="140"/>
      <c r="C1749" s="141"/>
      <c r="F1749" s="54"/>
      <c r="G1749" s="54"/>
    </row>
    <row r="1750" ht="14.25" customHeight="1">
      <c r="B1750" s="140"/>
      <c r="C1750" s="141"/>
      <c r="F1750" s="54"/>
      <c r="G1750" s="54"/>
    </row>
    <row r="1751" ht="14.25" customHeight="1">
      <c r="B1751" s="140"/>
      <c r="C1751" s="141"/>
      <c r="F1751" s="54"/>
      <c r="G1751" s="54"/>
    </row>
    <row r="1752" ht="14.25" customHeight="1">
      <c r="B1752" s="140"/>
      <c r="C1752" s="141"/>
      <c r="F1752" s="54"/>
      <c r="G1752" s="54"/>
    </row>
    <row r="1753" ht="14.25" customHeight="1">
      <c r="B1753" s="140"/>
      <c r="C1753" s="141"/>
      <c r="F1753" s="54"/>
      <c r="G1753" s="54"/>
    </row>
    <row r="1754" ht="14.25" customHeight="1">
      <c r="B1754" s="140"/>
      <c r="C1754" s="141"/>
      <c r="F1754" s="54"/>
      <c r="G1754" s="54"/>
    </row>
    <row r="1755" ht="14.25" customHeight="1">
      <c r="B1755" s="140"/>
      <c r="C1755" s="141"/>
      <c r="F1755" s="54"/>
      <c r="G1755" s="54"/>
    </row>
    <row r="1756" ht="14.25" customHeight="1">
      <c r="B1756" s="140"/>
      <c r="C1756" s="141"/>
      <c r="F1756" s="54"/>
      <c r="G1756" s="54"/>
    </row>
    <row r="1757" ht="14.25" customHeight="1">
      <c r="B1757" s="140"/>
      <c r="C1757" s="141"/>
      <c r="F1757" s="54"/>
      <c r="G1757" s="54"/>
    </row>
    <row r="1758" ht="14.25" customHeight="1">
      <c r="B1758" s="140"/>
      <c r="C1758" s="141"/>
      <c r="F1758" s="54"/>
      <c r="G1758" s="54"/>
    </row>
    <row r="1759" ht="14.25" customHeight="1">
      <c r="B1759" s="140"/>
      <c r="C1759" s="141"/>
      <c r="F1759" s="54"/>
      <c r="G1759" s="54"/>
    </row>
    <row r="1760" ht="14.25" customHeight="1">
      <c r="B1760" s="140"/>
      <c r="C1760" s="141"/>
      <c r="F1760" s="54"/>
      <c r="G1760" s="54"/>
    </row>
    <row r="1761" ht="14.25" customHeight="1">
      <c r="B1761" s="140"/>
      <c r="C1761" s="141"/>
      <c r="F1761" s="54"/>
      <c r="G1761" s="54"/>
    </row>
    <row r="1762" ht="14.25" customHeight="1">
      <c r="B1762" s="140"/>
      <c r="C1762" s="141"/>
      <c r="F1762" s="54"/>
      <c r="G1762" s="54"/>
    </row>
    <row r="1763" ht="14.25" customHeight="1">
      <c r="B1763" s="140"/>
      <c r="C1763" s="141"/>
      <c r="F1763" s="54"/>
      <c r="G1763" s="54"/>
    </row>
    <row r="1764" ht="14.25" customHeight="1">
      <c r="B1764" s="140"/>
      <c r="C1764" s="141"/>
      <c r="F1764" s="54"/>
      <c r="G1764" s="54"/>
    </row>
    <row r="1765" ht="14.25" customHeight="1">
      <c r="B1765" s="140"/>
      <c r="C1765" s="141"/>
      <c r="F1765" s="54"/>
      <c r="G1765" s="54"/>
    </row>
    <row r="1766" ht="14.25" customHeight="1">
      <c r="B1766" s="140"/>
      <c r="C1766" s="141"/>
      <c r="F1766" s="54"/>
      <c r="G1766" s="54"/>
    </row>
    <row r="1767" ht="14.25" customHeight="1">
      <c r="B1767" s="140"/>
      <c r="C1767" s="141"/>
      <c r="F1767" s="54"/>
      <c r="G1767" s="54"/>
    </row>
    <row r="1768" ht="14.25" customHeight="1">
      <c r="B1768" s="140"/>
      <c r="C1768" s="141"/>
      <c r="F1768" s="54"/>
      <c r="G1768" s="54"/>
    </row>
    <row r="1769" ht="14.25" customHeight="1">
      <c r="B1769" s="140"/>
      <c r="C1769" s="141"/>
      <c r="F1769" s="54"/>
      <c r="G1769" s="54"/>
    </row>
    <row r="1770" ht="14.25" customHeight="1">
      <c r="B1770" s="140"/>
      <c r="C1770" s="141"/>
      <c r="F1770" s="54"/>
      <c r="G1770" s="54"/>
    </row>
    <row r="1771" ht="14.25" customHeight="1">
      <c r="B1771" s="140"/>
      <c r="C1771" s="141"/>
      <c r="F1771" s="54"/>
      <c r="G1771" s="54"/>
    </row>
    <row r="1772" ht="14.25" customHeight="1">
      <c r="B1772" s="140"/>
      <c r="C1772" s="141"/>
      <c r="F1772" s="54"/>
      <c r="G1772" s="54"/>
    </row>
    <row r="1773" ht="14.25" customHeight="1">
      <c r="B1773" s="140"/>
      <c r="C1773" s="141"/>
      <c r="F1773" s="54"/>
      <c r="G1773" s="54"/>
    </row>
    <row r="1774" ht="14.25" customHeight="1">
      <c r="B1774" s="140"/>
      <c r="C1774" s="141"/>
      <c r="F1774" s="54"/>
      <c r="G1774" s="54"/>
    </row>
    <row r="1775" ht="14.25" customHeight="1">
      <c r="B1775" s="140"/>
      <c r="C1775" s="141"/>
      <c r="F1775" s="54"/>
      <c r="G1775" s="54"/>
    </row>
    <row r="1776" ht="14.25" customHeight="1">
      <c r="B1776" s="140"/>
      <c r="C1776" s="141"/>
      <c r="F1776" s="54"/>
      <c r="G1776" s="54"/>
    </row>
    <row r="1777" ht="14.25" customHeight="1">
      <c r="B1777" s="140"/>
      <c r="C1777" s="141"/>
      <c r="F1777" s="54"/>
      <c r="G1777" s="54"/>
    </row>
    <row r="1778" ht="14.25" customHeight="1">
      <c r="B1778" s="140"/>
      <c r="C1778" s="141"/>
      <c r="F1778" s="54"/>
      <c r="G1778" s="54"/>
    </row>
    <row r="1779" ht="14.25" customHeight="1">
      <c r="B1779" s="140"/>
      <c r="C1779" s="141"/>
      <c r="F1779" s="54"/>
      <c r="G1779" s="54"/>
    </row>
    <row r="1780" ht="14.25" customHeight="1">
      <c r="B1780" s="140"/>
      <c r="C1780" s="141"/>
      <c r="F1780" s="54"/>
      <c r="G1780" s="54"/>
    </row>
    <row r="1781" ht="14.25" customHeight="1">
      <c r="B1781" s="140"/>
      <c r="C1781" s="141"/>
      <c r="F1781" s="54"/>
      <c r="G1781" s="54"/>
    </row>
    <row r="1782" ht="14.25" customHeight="1">
      <c r="B1782" s="140"/>
      <c r="C1782" s="141"/>
      <c r="F1782" s="54"/>
      <c r="G1782" s="54"/>
    </row>
    <row r="1783" ht="14.25" customHeight="1">
      <c r="B1783" s="140"/>
      <c r="C1783" s="141"/>
      <c r="F1783" s="54"/>
      <c r="G1783" s="54"/>
    </row>
    <row r="1784" ht="14.25" customHeight="1">
      <c r="B1784" s="140"/>
      <c r="C1784" s="141"/>
      <c r="F1784" s="54"/>
      <c r="G1784" s="54"/>
    </row>
    <row r="1785" ht="14.25" customHeight="1">
      <c r="B1785" s="140"/>
      <c r="C1785" s="141"/>
      <c r="F1785" s="54"/>
      <c r="G1785" s="54"/>
    </row>
    <row r="1786" ht="14.25" customHeight="1">
      <c r="B1786" s="140"/>
      <c r="C1786" s="141"/>
      <c r="F1786" s="54"/>
      <c r="G1786" s="54"/>
    </row>
    <row r="1787" ht="14.25" customHeight="1">
      <c r="B1787" s="140"/>
      <c r="C1787" s="141"/>
      <c r="F1787" s="54"/>
      <c r="G1787" s="54"/>
    </row>
    <row r="1788" ht="14.25" customHeight="1">
      <c r="B1788" s="140"/>
      <c r="C1788" s="141"/>
      <c r="F1788" s="54"/>
      <c r="G1788" s="54"/>
    </row>
    <row r="1789" ht="14.25" customHeight="1">
      <c r="B1789" s="140"/>
      <c r="C1789" s="141"/>
      <c r="F1789" s="54"/>
      <c r="G1789" s="54"/>
    </row>
    <row r="1790" ht="14.25" customHeight="1">
      <c r="B1790" s="140"/>
      <c r="C1790" s="141"/>
      <c r="F1790" s="54"/>
      <c r="G1790" s="54"/>
    </row>
    <row r="1791" ht="14.25" customHeight="1">
      <c r="B1791" s="140"/>
      <c r="C1791" s="141"/>
      <c r="F1791" s="54"/>
      <c r="G1791" s="54"/>
    </row>
    <row r="1792" ht="14.25" customHeight="1">
      <c r="B1792" s="140"/>
      <c r="C1792" s="141"/>
      <c r="F1792" s="54"/>
      <c r="G1792" s="54"/>
    </row>
    <row r="1793" ht="14.25" customHeight="1">
      <c r="B1793" s="140"/>
      <c r="C1793" s="141"/>
      <c r="F1793" s="54"/>
      <c r="G1793" s="54"/>
    </row>
    <row r="1794" ht="14.25" customHeight="1">
      <c r="B1794" s="140"/>
      <c r="C1794" s="141"/>
      <c r="F1794" s="54"/>
      <c r="G1794" s="54"/>
    </row>
    <row r="1795" ht="14.25" customHeight="1">
      <c r="B1795" s="140"/>
      <c r="C1795" s="141"/>
      <c r="F1795" s="54"/>
      <c r="G1795" s="54"/>
    </row>
    <row r="1796" ht="14.25" customHeight="1">
      <c r="B1796" s="140"/>
      <c r="C1796" s="141"/>
      <c r="F1796" s="54"/>
      <c r="G1796" s="54"/>
    </row>
    <row r="1797" ht="14.25" customHeight="1">
      <c r="B1797" s="140"/>
      <c r="C1797" s="141"/>
      <c r="F1797" s="54"/>
      <c r="G1797" s="54"/>
    </row>
    <row r="1798" ht="14.25" customHeight="1">
      <c r="B1798" s="140"/>
      <c r="C1798" s="141"/>
      <c r="F1798" s="54"/>
      <c r="G1798" s="54"/>
    </row>
    <row r="1799" ht="14.25" customHeight="1">
      <c r="B1799" s="140"/>
      <c r="C1799" s="141"/>
      <c r="F1799" s="54"/>
      <c r="G1799" s="54"/>
    </row>
    <row r="1800" ht="14.25" customHeight="1">
      <c r="B1800" s="140"/>
      <c r="C1800" s="141"/>
      <c r="F1800" s="54"/>
      <c r="G1800" s="54"/>
    </row>
    <row r="1801" ht="14.25" customHeight="1">
      <c r="B1801" s="140"/>
      <c r="C1801" s="141"/>
      <c r="F1801" s="54"/>
      <c r="G1801" s="54"/>
    </row>
    <row r="1802" ht="14.25" customHeight="1">
      <c r="B1802" s="140"/>
      <c r="C1802" s="141"/>
      <c r="F1802" s="54"/>
      <c r="G1802" s="54"/>
    </row>
    <row r="1803" ht="14.25" customHeight="1">
      <c r="B1803" s="140"/>
      <c r="C1803" s="141"/>
      <c r="F1803" s="54"/>
      <c r="G1803" s="54"/>
    </row>
    <row r="1804" ht="14.25" customHeight="1">
      <c r="B1804" s="140"/>
      <c r="C1804" s="141"/>
      <c r="F1804" s="54"/>
      <c r="G1804" s="54"/>
    </row>
    <row r="1805" ht="14.25" customHeight="1">
      <c r="B1805" s="140"/>
      <c r="C1805" s="141"/>
      <c r="F1805" s="54"/>
      <c r="G1805" s="54"/>
    </row>
    <row r="1806" ht="14.25" customHeight="1">
      <c r="B1806" s="140"/>
      <c r="C1806" s="141"/>
      <c r="F1806" s="54"/>
      <c r="G1806" s="54"/>
    </row>
    <row r="1807" ht="14.25" customHeight="1">
      <c r="B1807" s="140"/>
      <c r="C1807" s="141"/>
      <c r="F1807" s="54"/>
      <c r="G1807" s="54"/>
    </row>
    <row r="1808" ht="14.25" customHeight="1">
      <c r="B1808" s="140"/>
      <c r="C1808" s="141"/>
      <c r="F1808" s="54"/>
      <c r="G1808" s="54"/>
    </row>
    <row r="1809" ht="14.25" customHeight="1">
      <c r="B1809" s="140"/>
      <c r="C1809" s="141"/>
      <c r="F1809" s="54"/>
      <c r="G1809" s="54"/>
    </row>
    <row r="1810" ht="14.25" customHeight="1">
      <c r="B1810" s="140"/>
      <c r="C1810" s="141"/>
      <c r="F1810" s="54"/>
      <c r="G1810" s="54"/>
    </row>
    <row r="1811" ht="14.25" customHeight="1">
      <c r="B1811" s="140"/>
      <c r="C1811" s="141"/>
      <c r="F1811" s="54"/>
      <c r="G1811" s="54"/>
    </row>
    <row r="1812" ht="14.25" customHeight="1">
      <c r="B1812" s="140"/>
      <c r="C1812" s="141"/>
      <c r="F1812" s="54"/>
      <c r="G1812" s="54"/>
    </row>
    <row r="1813" ht="14.25" customHeight="1">
      <c r="B1813" s="140"/>
      <c r="C1813" s="141"/>
      <c r="F1813" s="54"/>
      <c r="G1813" s="54"/>
    </row>
    <row r="1814" ht="14.25" customHeight="1">
      <c r="B1814" s="140"/>
      <c r="C1814" s="141"/>
      <c r="F1814" s="54"/>
      <c r="G1814" s="54"/>
    </row>
    <row r="1815" ht="14.25" customHeight="1">
      <c r="B1815" s="140"/>
      <c r="C1815" s="141"/>
      <c r="F1815" s="54"/>
      <c r="G1815" s="54"/>
    </row>
    <row r="1816" ht="14.25" customHeight="1">
      <c r="B1816" s="140"/>
      <c r="C1816" s="141"/>
      <c r="F1816" s="54"/>
      <c r="G1816" s="54"/>
    </row>
    <row r="1817" ht="14.25" customHeight="1">
      <c r="B1817" s="140"/>
      <c r="C1817" s="141"/>
      <c r="F1817" s="54"/>
      <c r="G1817" s="54"/>
    </row>
    <row r="1818" ht="14.25" customHeight="1">
      <c r="B1818" s="140"/>
      <c r="C1818" s="141"/>
      <c r="F1818" s="54"/>
      <c r="G1818" s="54"/>
    </row>
    <row r="1819" ht="14.25" customHeight="1">
      <c r="B1819" s="140"/>
      <c r="C1819" s="141"/>
      <c r="F1819" s="54"/>
      <c r="G1819" s="54"/>
    </row>
    <row r="1820" ht="14.25" customHeight="1">
      <c r="B1820" s="140"/>
      <c r="C1820" s="141"/>
      <c r="F1820" s="54"/>
      <c r="G1820" s="54"/>
    </row>
    <row r="1821" ht="14.25" customHeight="1">
      <c r="B1821" s="140"/>
      <c r="C1821" s="141"/>
      <c r="F1821" s="54"/>
      <c r="G1821" s="54"/>
    </row>
    <row r="1822" ht="14.25" customHeight="1">
      <c r="B1822" s="140"/>
      <c r="C1822" s="141"/>
      <c r="F1822" s="54"/>
      <c r="G1822" s="54"/>
    </row>
    <row r="1823" ht="14.25" customHeight="1">
      <c r="B1823" s="140"/>
      <c r="C1823" s="141"/>
      <c r="F1823" s="54"/>
      <c r="G1823" s="54"/>
    </row>
    <row r="1824" ht="14.25" customHeight="1">
      <c r="B1824" s="140"/>
      <c r="C1824" s="141"/>
      <c r="F1824" s="54"/>
      <c r="G1824" s="54"/>
    </row>
    <row r="1825" ht="14.25" customHeight="1">
      <c r="B1825" s="140"/>
      <c r="C1825" s="141"/>
      <c r="F1825" s="54"/>
      <c r="G1825" s="54"/>
    </row>
    <row r="1826" ht="14.25" customHeight="1">
      <c r="B1826" s="140"/>
      <c r="C1826" s="141"/>
      <c r="F1826" s="54"/>
      <c r="G1826" s="54"/>
    </row>
    <row r="1827" ht="14.25" customHeight="1">
      <c r="B1827" s="140"/>
      <c r="C1827" s="141"/>
      <c r="F1827" s="54"/>
      <c r="G1827" s="54"/>
    </row>
    <row r="1828" ht="14.25" customHeight="1">
      <c r="B1828" s="140"/>
      <c r="C1828" s="141"/>
      <c r="F1828" s="54"/>
      <c r="G1828" s="54"/>
    </row>
    <row r="1829" ht="14.25" customHeight="1">
      <c r="B1829" s="140"/>
      <c r="C1829" s="141"/>
      <c r="F1829" s="54"/>
      <c r="G1829" s="54"/>
    </row>
    <row r="1830" ht="14.25" customHeight="1">
      <c r="B1830" s="140"/>
      <c r="C1830" s="141"/>
      <c r="F1830" s="54"/>
      <c r="G1830" s="54"/>
    </row>
    <row r="1831" ht="14.25" customHeight="1">
      <c r="B1831" s="140"/>
      <c r="C1831" s="141"/>
      <c r="F1831" s="54"/>
      <c r="G1831" s="54"/>
    </row>
    <row r="1832" ht="14.25" customHeight="1">
      <c r="B1832" s="140"/>
      <c r="C1832" s="141"/>
      <c r="F1832" s="54"/>
      <c r="G1832" s="54"/>
    </row>
    <row r="1833" ht="14.25" customHeight="1">
      <c r="B1833" s="140"/>
      <c r="C1833" s="141"/>
      <c r="F1833" s="54"/>
      <c r="G1833" s="54"/>
    </row>
    <row r="1834" ht="14.25" customHeight="1">
      <c r="B1834" s="140"/>
      <c r="C1834" s="141"/>
      <c r="F1834" s="54"/>
      <c r="G1834" s="54"/>
    </row>
    <row r="1835" ht="14.25" customHeight="1">
      <c r="B1835" s="140"/>
      <c r="C1835" s="141"/>
      <c r="F1835" s="54"/>
      <c r="G1835" s="54"/>
    </row>
    <row r="1836" ht="14.25" customHeight="1">
      <c r="B1836" s="140"/>
      <c r="C1836" s="141"/>
      <c r="F1836" s="54"/>
      <c r="G1836" s="54"/>
    </row>
    <row r="1837" ht="14.25" customHeight="1">
      <c r="B1837" s="140"/>
      <c r="C1837" s="141"/>
      <c r="F1837" s="54"/>
      <c r="G1837" s="54"/>
    </row>
    <row r="1838" ht="14.25" customHeight="1">
      <c r="B1838" s="140"/>
      <c r="C1838" s="141"/>
      <c r="F1838" s="54"/>
      <c r="G1838" s="54"/>
    </row>
    <row r="1839" ht="14.25" customHeight="1">
      <c r="B1839" s="140"/>
      <c r="C1839" s="141"/>
      <c r="F1839" s="54"/>
      <c r="G1839" s="54"/>
    </row>
    <row r="1840" ht="14.25" customHeight="1">
      <c r="B1840" s="140"/>
      <c r="C1840" s="141"/>
      <c r="F1840" s="54"/>
      <c r="G1840" s="54"/>
    </row>
    <row r="1841" ht="14.25" customHeight="1">
      <c r="B1841" s="140"/>
      <c r="C1841" s="141"/>
      <c r="F1841" s="54"/>
      <c r="G1841" s="54"/>
    </row>
    <row r="1842" ht="14.25" customHeight="1">
      <c r="B1842" s="140"/>
      <c r="C1842" s="141"/>
      <c r="F1842" s="54"/>
      <c r="G1842" s="54"/>
    </row>
    <row r="1843" ht="14.25" customHeight="1">
      <c r="B1843" s="140"/>
      <c r="C1843" s="141"/>
      <c r="F1843" s="54"/>
      <c r="G1843" s="54"/>
    </row>
    <row r="1844" ht="14.25" customHeight="1">
      <c r="B1844" s="140"/>
      <c r="C1844" s="141"/>
      <c r="F1844" s="54"/>
      <c r="G1844" s="54"/>
    </row>
    <row r="1845" ht="14.25" customHeight="1">
      <c r="B1845" s="140"/>
      <c r="C1845" s="141"/>
      <c r="F1845" s="54"/>
      <c r="G1845" s="54"/>
    </row>
    <row r="1846" ht="14.25" customHeight="1">
      <c r="B1846" s="140"/>
      <c r="C1846" s="141"/>
      <c r="F1846" s="54"/>
      <c r="G1846" s="54"/>
    </row>
    <row r="1847" ht="14.25" customHeight="1">
      <c r="B1847" s="140"/>
      <c r="C1847" s="141"/>
      <c r="F1847" s="54"/>
      <c r="G1847" s="54"/>
    </row>
    <row r="1848" ht="14.25" customHeight="1">
      <c r="B1848" s="140"/>
      <c r="C1848" s="141"/>
      <c r="F1848" s="54"/>
      <c r="G1848" s="54"/>
    </row>
    <row r="1849" ht="14.25" customHeight="1">
      <c r="B1849" s="140"/>
      <c r="C1849" s="141"/>
      <c r="F1849" s="54"/>
      <c r="G1849" s="54"/>
    </row>
    <row r="1850" ht="14.25" customHeight="1">
      <c r="B1850" s="140"/>
      <c r="C1850" s="141"/>
      <c r="F1850" s="54"/>
      <c r="G1850" s="54"/>
    </row>
    <row r="1851" ht="14.25" customHeight="1">
      <c r="B1851" s="140"/>
      <c r="C1851" s="141"/>
      <c r="F1851" s="54"/>
      <c r="G1851" s="54"/>
    </row>
    <row r="1852" ht="14.25" customHeight="1">
      <c r="B1852" s="140"/>
      <c r="C1852" s="141"/>
      <c r="F1852" s="54"/>
      <c r="G1852" s="54"/>
    </row>
    <row r="1853" ht="14.25" customHeight="1">
      <c r="B1853" s="140"/>
      <c r="C1853" s="141"/>
      <c r="F1853" s="54"/>
      <c r="G1853" s="54"/>
    </row>
    <row r="1854" ht="14.25" customHeight="1">
      <c r="B1854" s="140"/>
      <c r="C1854" s="141"/>
      <c r="F1854" s="54"/>
      <c r="G1854" s="54"/>
    </row>
    <row r="1855" ht="14.25" customHeight="1">
      <c r="B1855" s="140"/>
      <c r="C1855" s="141"/>
      <c r="F1855" s="54"/>
      <c r="G1855" s="54"/>
    </row>
    <row r="1856" ht="14.25" customHeight="1">
      <c r="B1856" s="140"/>
      <c r="C1856" s="141"/>
      <c r="F1856" s="54"/>
      <c r="G1856" s="54"/>
    </row>
    <row r="1857" ht="14.25" customHeight="1">
      <c r="B1857" s="140"/>
      <c r="C1857" s="141"/>
      <c r="F1857" s="54"/>
      <c r="G1857" s="54"/>
    </row>
    <row r="1858" ht="14.25" customHeight="1">
      <c r="B1858" s="140"/>
      <c r="C1858" s="141"/>
      <c r="F1858" s="54"/>
      <c r="G1858" s="54"/>
    </row>
    <row r="1859" ht="14.25" customHeight="1">
      <c r="B1859" s="140"/>
      <c r="C1859" s="141"/>
      <c r="F1859" s="54"/>
      <c r="G1859" s="54"/>
    </row>
    <row r="1860" ht="14.25" customHeight="1">
      <c r="B1860" s="140"/>
      <c r="C1860" s="141"/>
      <c r="F1860" s="54"/>
      <c r="G1860" s="54"/>
    </row>
    <row r="1861" ht="14.25" customHeight="1">
      <c r="B1861" s="140"/>
      <c r="C1861" s="141"/>
      <c r="F1861" s="54"/>
      <c r="G1861" s="54"/>
    </row>
    <row r="1862" ht="14.25" customHeight="1">
      <c r="B1862" s="140"/>
      <c r="C1862" s="141"/>
      <c r="F1862" s="54"/>
      <c r="G1862" s="54"/>
    </row>
    <row r="1863" ht="14.25" customHeight="1">
      <c r="B1863" s="140"/>
      <c r="C1863" s="141"/>
      <c r="F1863" s="54"/>
      <c r="G1863" s="54"/>
    </row>
    <row r="1864" ht="14.25" customHeight="1">
      <c r="B1864" s="140"/>
      <c r="C1864" s="141"/>
      <c r="F1864" s="54"/>
      <c r="G1864" s="54"/>
    </row>
    <row r="1865" ht="14.25" customHeight="1">
      <c r="B1865" s="140"/>
      <c r="C1865" s="141"/>
      <c r="F1865" s="54"/>
      <c r="G1865" s="54"/>
    </row>
    <row r="1866" ht="14.25" customHeight="1">
      <c r="B1866" s="140"/>
      <c r="C1866" s="141"/>
      <c r="F1866" s="54"/>
      <c r="G1866" s="54"/>
    </row>
    <row r="1867" ht="14.25" customHeight="1">
      <c r="B1867" s="140"/>
      <c r="C1867" s="141"/>
      <c r="F1867" s="54"/>
      <c r="G1867" s="54"/>
    </row>
    <row r="1868" ht="14.25" customHeight="1">
      <c r="B1868" s="140"/>
      <c r="C1868" s="141"/>
      <c r="F1868" s="54"/>
      <c r="G1868" s="54"/>
    </row>
    <row r="1869" ht="14.25" customHeight="1">
      <c r="B1869" s="140"/>
      <c r="C1869" s="141"/>
      <c r="F1869" s="54"/>
      <c r="G1869" s="54"/>
    </row>
    <row r="1870" ht="14.25" customHeight="1">
      <c r="B1870" s="140"/>
      <c r="C1870" s="141"/>
      <c r="F1870" s="54"/>
      <c r="G1870" s="54"/>
    </row>
    <row r="1871" ht="14.25" customHeight="1">
      <c r="B1871" s="140"/>
      <c r="C1871" s="141"/>
      <c r="F1871" s="54"/>
      <c r="G1871" s="54"/>
    </row>
    <row r="1872" ht="14.25" customHeight="1">
      <c r="B1872" s="140"/>
      <c r="C1872" s="141"/>
      <c r="F1872" s="54"/>
      <c r="G1872" s="54"/>
    </row>
    <row r="1873" ht="14.25" customHeight="1">
      <c r="B1873" s="140"/>
      <c r="C1873" s="141"/>
      <c r="F1873" s="54"/>
      <c r="G1873" s="54"/>
    </row>
    <row r="1874" ht="14.25" customHeight="1">
      <c r="B1874" s="140"/>
      <c r="C1874" s="141"/>
      <c r="F1874" s="54"/>
      <c r="G1874" s="54"/>
    </row>
    <row r="1875" ht="14.25" customHeight="1">
      <c r="B1875" s="140"/>
      <c r="C1875" s="141"/>
      <c r="F1875" s="54"/>
      <c r="G1875" s="54"/>
    </row>
    <row r="1876" ht="14.25" customHeight="1">
      <c r="B1876" s="140"/>
      <c r="C1876" s="141"/>
      <c r="F1876" s="54"/>
      <c r="G1876" s="54"/>
    </row>
    <row r="1877" ht="14.25" customHeight="1">
      <c r="B1877" s="140"/>
      <c r="C1877" s="141"/>
      <c r="F1877" s="54"/>
      <c r="G1877" s="54"/>
    </row>
    <row r="1878" ht="14.25" customHeight="1">
      <c r="B1878" s="140"/>
      <c r="C1878" s="141"/>
      <c r="F1878" s="54"/>
      <c r="G1878" s="54"/>
    </row>
    <row r="1879" ht="14.25" customHeight="1">
      <c r="B1879" s="140"/>
      <c r="C1879" s="141"/>
      <c r="F1879" s="54"/>
      <c r="G1879" s="54"/>
    </row>
    <row r="1880" ht="14.25" customHeight="1">
      <c r="B1880" s="140"/>
      <c r="C1880" s="141"/>
      <c r="F1880" s="54"/>
      <c r="G1880" s="54"/>
    </row>
    <row r="1881" ht="14.25" customHeight="1">
      <c r="B1881" s="140"/>
      <c r="C1881" s="141"/>
      <c r="F1881" s="54"/>
      <c r="G1881" s="54"/>
    </row>
    <row r="1882" ht="14.25" customHeight="1">
      <c r="B1882" s="140"/>
      <c r="C1882" s="141"/>
      <c r="F1882" s="54"/>
      <c r="G1882" s="54"/>
    </row>
    <row r="1883" ht="14.25" customHeight="1">
      <c r="B1883" s="140"/>
      <c r="C1883" s="141"/>
      <c r="F1883" s="54"/>
      <c r="G1883" s="54"/>
    </row>
    <row r="1884" ht="14.25" customHeight="1">
      <c r="B1884" s="140"/>
      <c r="C1884" s="141"/>
      <c r="F1884" s="54"/>
      <c r="G1884" s="54"/>
    </row>
    <row r="1885" ht="14.25" customHeight="1">
      <c r="B1885" s="140"/>
      <c r="C1885" s="141"/>
      <c r="F1885" s="54"/>
      <c r="G1885" s="54"/>
    </row>
    <row r="1886" ht="14.25" customHeight="1">
      <c r="B1886" s="140"/>
      <c r="C1886" s="141"/>
      <c r="F1886" s="54"/>
      <c r="G1886" s="54"/>
    </row>
    <row r="1887" ht="14.25" customHeight="1">
      <c r="B1887" s="140"/>
      <c r="C1887" s="141"/>
      <c r="F1887" s="54"/>
      <c r="G1887" s="54"/>
    </row>
    <row r="1888" ht="14.25" customHeight="1">
      <c r="B1888" s="140"/>
      <c r="C1888" s="141"/>
      <c r="F1888" s="54"/>
      <c r="G1888" s="54"/>
    </row>
    <row r="1889" ht="14.25" customHeight="1">
      <c r="B1889" s="140"/>
      <c r="C1889" s="141"/>
      <c r="F1889" s="54"/>
      <c r="G1889" s="54"/>
    </row>
    <row r="1890" ht="14.25" customHeight="1">
      <c r="B1890" s="140"/>
      <c r="C1890" s="141"/>
      <c r="F1890" s="54"/>
      <c r="G1890" s="54"/>
    </row>
    <row r="1891" ht="14.25" customHeight="1">
      <c r="B1891" s="140"/>
      <c r="C1891" s="141"/>
      <c r="F1891" s="54"/>
      <c r="G1891" s="54"/>
    </row>
    <row r="1892" ht="14.25" customHeight="1">
      <c r="B1892" s="140"/>
      <c r="C1892" s="141"/>
      <c r="F1892" s="54"/>
      <c r="G1892" s="54"/>
    </row>
    <row r="1893" ht="14.25" customHeight="1">
      <c r="B1893" s="140"/>
      <c r="C1893" s="141"/>
      <c r="F1893" s="54"/>
      <c r="G1893" s="54"/>
    </row>
    <row r="1894" ht="14.25" customHeight="1">
      <c r="B1894" s="140"/>
      <c r="C1894" s="141"/>
      <c r="F1894" s="54"/>
      <c r="G1894" s="54"/>
    </row>
    <row r="1895" ht="14.25" customHeight="1">
      <c r="B1895" s="140"/>
      <c r="C1895" s="141"/>
      <c r="F1895" s="54"/>
      <c r="G1895" s="54"/>
    </row>
    <row r="1896" ht="14.25" customHeight="1">
      <c r="B1896" s="140"/>
      <c r="C1896" s="141"/>
      <c r="F1896" s="54"/>
      <c r="G1896" s="54"/>
    </row>
    <row r="1897" ht="14.25" customHeight="1">
      <c r="B1897" s="140"/>
      <c r="C1897" s="141"/>
      <c r="F1897" s="54"/>
      <c r="G1897" s="54"/>
    </row>
    <row r="1898" ht="14.25" customHeight="1">
      <c r="B1898" s="140"/>
      <c r="C1898" s="141"/>
      <c r="F1898" s="54"/>
      <c r="G1898" s="54"/>
    </row>
    <row r="1899" ht="14.25" customHeight="1">
      <c r="B1899" s="140"/>
      <c r="C1899" s="141"/>
      <c r="F1899" s="54"/>
      <c r="G1899" s="54"/>
    </row>
    <row r="1900" ht="14.25" customHeight="1">
      <c r="B1900" s="140"/>
      <c r="C1900" s="141"/>
      <c r="F1900" s="54"/>
      <c r="G1900" s="54"/>
    </row>
    <row r="1901" ht="14.25" customHeight="1">
      <c r="B1901" s="140"/>
      <c r="C1901" s="141"/>
      <c r="F1901" s="54"/>
      <c r="G1901" s="54"/>
    </row>
    <row r="1902" ht="14.25" customHeight="1">
      <c r="B1902" s="140"/>
      <c r="C1902" s="141"/>
      <c r="F1902" s="54"/>
      <c r="G1902" s="54"/>
    </row>
    <row r="1903" ht="14.25" customHeight="1">
      <c r="B1903" s="140"/>
      <c r="C1903" s="141"/>
      <c r="F1903" s="54"/>
      <c r="G1903" s="54"/>
    </row>
    <row r="1904" ht="14.25" customHeight="1">
      <c r="B1904" s="140"/>
      <c r="C1904" s="141"/>
      <c r="F1904" s="54"/>
      <c r="G1904" s="54"/>
    </row>
    <row r="1905" ht="14.25" customHeight="1">
      <c r="B1905" s="140"/>
      <c r="C1905" s="141"/>
      <c r="F1905" s="54"/>
      <c r="G1905" s="54"/>
    </row>
    <row r="1906" ht="14.25" customHeight="1">
      <c r="B1906" s="140"/>
      <c r="C1906" s="141"/>
      <c r="F1906" s="54"/>
      <c r="G1906" s="54"/>
    </row>
    <row r="1907" ht="14.25" customHeight="1">
      <c r="B1907" s="140"/>
      <c r="C1907" s="141"/>
      <c r="F1907" s="54"/>
      <c r="G1907" s="54"/>
    </row>
    <row r="1908" ht="14.25" customHeight="1">
      <c r="B1908" s="140"/>
      <c r="C1908" s="141"/>
      <c r="F1908" s="54"/>
      <c r="G1908" s="54"/>
    </row>
    <row r="1909" ht="14.25" customHeight="1">
      <c r="B1909" s="140"/>
      <c r="C1909" s="141"/>
      <c r="F1909" s="54"/>
      <c r="G1909" s="54"/>
    </row>
    <row r="1910" ht="14.25" customHeight="1">
      <c r="B1910" s="140"/>
      <c r="C1910" s="141"/>
      <c r="F1910" s="54"/>
      <c r="G1910" s="54"/>
    </row>
    <row r="1911" ht="14.25" customHeight="1">
      <c r="B1911" s="140"/>
      <c r="C1911" s="141"/>
      <c r="F1911" s="54"/>
      <c r="G1911" s="54"/>
    </row>
    <row r="1912" ht="14.25" customHeight="1">
      <c r="B1912" s="140"/>
      <c r="C1912" s="141"/>
      <c r="F1912" s="54"/>
      <c r="G1912" s="54"/>
    </row>
    <row r="1913" ht="14.25" customHeight="1">
      <c r="B1913" s="140"/>
      <c r="C1913" s="141"/>
      <c r="F1913" s="54"/>
      <c r="G1913" s="54"/>
    </row>
    <row r="1914" ht="14.25" customHeight="1">
      <c r="B1914" s="140"/>
      <c r="C1914" s="141"/>
      <c r="F1914" s="54"/>
      <c r="G1914" s="54"/>
    </row>
    <row r="1915" ht="14.25" customHeight="1">
      <c r="B1915" s="140"/>
      <c r="C1915" s="141"/>
      <c r="F1915" s="54"/>
      <c r="G1915" s="54"/>
    </row>
    <row r="1916" ht="14.25" customHeight="1">
      <c r="B1916" s="140"/>
      <c r="C1916" s="141"/>
      <c r="F1916" s="54"/>
      <c r="G1916" s="54"/>
    </row>
    <row r="1917" ht="14.25" customHeight="1">
      <c r="B1917" s="140"/>
      <c r="C1917" s="141"/>
      <c r="F1917" s="54"/>
      <c r="G1917" s="54"/>
    </row>
    <row r="1918" ht="14.25" customHeight="1">
      <c r="B1918" s="140"/>
      <c r="C1918" s="141"/>
      <c r="F1918" s="54"/>
      <c r="G1918" s="54"/>
    </row>
    <row r="1919" ht="14.25" customHeight="1">
      <c r="B1919" s="140"/>
      <c r="C1919" s="141"/>
      <c r="F1919" s="54"/>
      <c r="G1919" s="54"/>
    </row>
    <row r="1920" ht="14.25" customHeight="1">
      <c r="B1920" s="140"/>
      <c r="C1920" s="141"/>
      <c r="F1920" s="54"/>
      <c r="G1920" s="54"/>
    </row>
    <row r="1921" ht="14.25" customHeight="1">
      <c r="B1921" s="140"/>
      <c r="C1921" s="141"/>
      <c r="F1921" s="54"/>
      <c r="G1921" s="54"/>
    </row>
    <row r="1922" ht="14.25" customHeight="1">
      <c r="B1922" s="140"/>
      <c r="C1922" s="141"/>
      <c r="F1922" s="54"/>
      <c r="G1922" s="54"/>
    </row>
    <row r="1923" ht="14.25" customHeight="1">
      <c r="B1923" s="140"/>
      <c r="C1923" s="141"/>
      <c r="F1923" s="54"/>
      <c r="G1923" s="54"/>
    </row>
    <row r="1924" ht="14.25" customHeight="1">
      <c r="B1924" s="140"/>
      <c r="C1924" s="141"/>
      <c r="F1924" s="54"/>
      <c r="G1924" s="54"/>
    </row>
    <row r="1925" ht="14.25" customHeight="1">
      <c r="B1925" s="140"/>
      <c r="C1925" s="141"/>
      <c r="F1925" s="54"/>
      <c r="G1925" s="54"/>
    </row>
    <row r="1926" ht="14.25" customHeight="1">
      <c r="B1926" s="140"/>
      <c r="C1926" s="141"/>
      <c r="F1926" s="54"/>
      <c r="G1926" s="54"/>
    </row>
    <row r="1927" ht="14.25" customHeight="1">
      <c r="B1927" s="140"/>
      <c r="C1927" s="141"/>
      <c r="F1927" s="54"/>
      <c r="G1927" s="54"/>
    </row>
    <row r="1928" ht="14.25" customHeight="1">
      <c r="B1928" s="140"/>
      <c r="C1928" s="141"/>
      <c r="F1928" s="54"/>
      <c r="G1928" s="54"/>
    </row>
    <row r="1929" ht="14.25" customHeight="1">
      <c r="B1929" s="140"/>
      <c r="C1929" s="141"/>
      <c r="F1929" s="54"/>
      <c r="G1929" s="54"/>
    </row>
    <row r="1930" ht="14.25" customHeight="1">
      <c r="B1930" s="140"/>
      <c r="C1930" s="141"/>
      <c r="F1930" s="54"/>
      <c r="G1930" s="54"/>
    </row>
    <row r="1931" ht="14.25" customHeight="1">
      <c r="B1931" s="140"/>
      <c r="C1931" s="141"/>
      <c r="F1931" s="54"/>
      <c r="G1931" s="54"/>
    </row>
    <row r="1932" ht="14.25" customHeight="1">
      <c r="B1932" s="140"/>
      <c r="C1932" s="141"/>
      <c r="F1932" s="54"/>
      <c r="G1932" s="54"/>
    </row>
    <row r="1933" ht="14.25" customHeight="1">
      <c r="B1933" s="140"/>
      <c r="C1933" s="141"/>
      <c r="F1933" s="54"/>
      <c r="G1933" s="54"/>
    </row>
    <row r="1934" ht="14.25" customHeight="1">
      <c r="B1934" s="140"/>
      <c r="C1934" s="141"/>
      <c r="F1934" s="54"/>
      <c r="G1934" s="54"/>
    </row>
    <row r="1935" ht="14.25" customHeight="1">
      <c r="B1935" s="140"/>
      <c r="C1935" s="141"/>
      <c r="F1935" s="54"/>
      <c r="G1935" s="54"/>
    </row>
    <row r="1936" ht="14.25" customHeight="1">
      <c r="B1936" s="140"/>
      <c r="C1936" s="141"/>
      <c r="F1936" s="54"/>
      <c r="G1936" s="54"/>
    </row>
    <row r="1937" ht="14.25" customHeight="1">
      <c r="B1937" s="140"/>
      <c r="C1937" s="141"/>
      <c r="F1937" s="54"/>
      <c r="G1937" s="54"/>
    </row>
    <row r="1938" ht="14.25" customHeight="1">
      <c r="B1938" s="140"/>
      <c r="C1938" s="141"/>
      <c r="F1938" s="54"/>
      <c r="G1938" s="54"/>
    </row>
    <row r="1939" ht="14.25" customHeight="1">
      <c r="B1939" s="140"/>
      <c r="C1939" s="141"/>
      <c r="F1939" s="54"/>
      <c r="G1939" s="54"/>
    </row>
    <row r="1940" ht="14.25" customHeight="1">
      <c r="B1940" s="140"/>
      <c r="C1940" s="141"/>
      <c r="F1940" s="54"/>
      <c r="G1940" s="54"/>
    </row>
    <row r="1941" ht="14.25" customHeight="1">
      <c r="B1941" s="140"/>
      <c r="C1941" s="141"/>
      <c r="F1941" s="54"/>
      <c r="G1941" s="54"/>
    </row>
    <row r="1942" ht="14.25" customHeight="1">
      <c r="B1942" s="140"/>
      <c r="C1942" s="141"/>
      <c r="F1942" s="54"/>
      <c r="G1942" s="54"/>
    </row>
    <row r="1943" ht="14.25" customHeight="1">
      <c r="B1943" s="140"/>
      <c r="C1943" s="141"/>
      <c r="F1943" s="54"/>
      <c r="G1943" s="54"/>
    </row>
    <row r="1944" ht="14.25" customHeight="1">
      <c r="B1944" s="140"/>
      <c r="C1944" s="141"/>
      <c r="F1944" s="54"/>
      <c r="G1944" s="54"/>
    </row>
    <row r="1945" ht="14.25" customHeight="1">
      <c r="B1945" s="140"/>
      <c r="C1945" s="141"/>
      <c r="F1945" s="54"/>
      <c r="G1945" s="54"/>
    </row>
    <row r="1946" ht="14.25" customHeight="1">
      <c r="B1946" s="140"/>
      <c r="C1946" s="141"/>
      <c r="F1946" s="54"/>
      <c r="G1946" s="54"/>
    </row>
    <row r="1947" ht="14.25" customHeight="1">
      <c r="B1947" s="140"/>
      <c r="C1947" s="141"/>
      <c r="F1947" s="54"/>
      <c r="G1947" s="54"/>
    </row>
    <row r="1948" ht="14.25" customHeight="1">
      <c r="B1948" s="140"/>
      <c r="C1948" s="141"/>
      <c r="F1948" s="54"/>
      <c r="G1948" s="54"/>
    </row>
    <row r="1949" ht="14.25" customHeight="1">
      <c r="B1949" s="140"/>
      <c r="C1949" s="141"/>
      <c r="F1949" s="54"/>
      <c r="G1949" s="54"/>
    </row>
    <row r="1950" ht="14.25" customHeight="1">
      <c r="B1950" s="140"/>
      <c r="C1950" s="141"/>
      <c r="F1950" s="54"/>
      <c r="G1950" s="54"/>
    </row>
    <row r="1951" ht="14.25" customHeight="1">
      <c r="B1951" s="140"/>
      <c r="C1951" s="141"/>
      <c r="F1951" s="54"/>
      <c r="G1951" s="54"/>
    </row>
    <row r="1952" ht="14.25" customHeight="1">
      <c r="B1952" s="140"/>
      <c r="C1952" s="141"/>
      <c r="F1952" s="54"/>
      <c r="G1952" s="54"/>
    </row>
    <row r="1953" ht="14.25" customHeight="1">
      <c r="B1953" s="140"/>
      <c r="C1953" s="141"/>
      <c r="F1953" s="54"/>
      <c r="G1953" s="54"/>
    </row>
    <row r="1954" ht="14.25" customHeight="1">
      <c r="B1954" s="140"/>
      <c r="C1954" s="141"/>
      <c r="F1954" s="54"/>
      <c r="G1954" s="54"/>
    </row>
    <row r="1955" ht="14.25" customHeight="1">
      <c r="B1955" s="140"/>
      <c r="C1955" s="141"/>
      <c r="F1955" s="54"/>
      <c r="G1955" s="54"/>
    </row>
    <row r="1956" ht="14.25" customHeight="1">
      <c r="B1956" s="140"/>
      <c r="C1956" s="141"/>
      <c r="F1956" s="54"/>
      <c r="G1956" s="54"/>
    </row>
    <row r="1957" ht="14.25" customHeight="1">
      <c r="B1957" s="140"/>
      <c r="C1957" s="141"/>
      <c r="F1957" s="54"/>
      <c r="G1957" s="54"/>
    </row>
    <row r="1958" ht="14.25" customHeight="1">
      <c r="B1958" s="140"/>
      <c r="C1958" s="141"/>
      <c r="F1958" s="54"/>
      <c r="G1958" s="54"/>
    </row>
    <row r="1959" ht="14.25" customHeight="1">
      <c r="B1959" s="140"/>
      <c r="C1959" s="141"/>
      <c r="F1959" s="54"/>
      <c r="G1959" s="54"/>
    </row>
    <row r="1960" ht="14.25" customHeight="1">
      <c r="B1960" s="140"/>
      <c r="C1960" s="141"/>
      <c r="F1960" s="54"/>
      <c r="G1960" s="54"/>
    </row>
    <row r="1961" ht="14.25" customHeight="1">
      <c r="B1961" s="140"/>
      <c r="C1961" s="141"/>
      <c r="F1961" s="54"/>
      <c r="G1961" s="54"/>
    </row>
    <row r="1962" ht="14.25" customHeight="1">
      <c r="B1962" s="140"/>
      <c r="C1962" s="141"/>
      <c r="F1962" s="54"/>
      <c r="G1962" s="54"/>
    </row>
    <row r="1963" ht="14.25" customHeight="1">
      <c r="B1963" s="140"/>
      <c r="C1963" s="141"/>
      <c r="F1963" s="54"/>
      <c r="G1963" s="54"/>
    </row>
    <row r="1964" ht="14.25" customHeight="1">
      <c r="B1964" s="140"/>
      <c r="C1964" s="141"/>
      <c r="F1964" s="54"/>
      <c r="G1964" s="54"/>
    </row>
    <row r="1965" ht="14.25" customHeight="1">
      <c r="B1965" s="140"/>
      <c r="C1965" s="141"/>
      <c r="F1965" s="54"/>
      <c r="G1965" s="54"/>
    </row>
    <row r="1966" ht="14.25" customHeight="1">
      <c r="B1966" s="140"/>
      <c r="C1966" s="141"/>
      <c r="F1966" s="54"/>
      <c r="G1966" s="54"/>
    </row>
    <row r="1967" ht="14.25" customHeight="1">
      <c r="B1967" s="140"/>
      <c r="C1967" s="141"/>
      <c r="F1967" s="54"/>
      <c r="G1967" s="54"/>
    </row>
    <row r="1968" ht="14.25" customHeight="1">
      <c r="B1968" s="140"/>
      <c r="C1968" s="141"/>
      <c r="F1968" s="54"/>
      <c r="G1968" s="54"/>
    </row>
    <row r="1969" ht="14.25" customHeight="1">
      <c r="B1969" s="140"/>
      <c r="C1969" s="141"/>
      <c r="F1969" s="54"/>
      <c r="G1969" s="54"/>
    </row>
    <row r="1970" ht="14.25" customHeight="1">
      <c r="B1970" s="140"/>
      <c r="C1970" s="141"/>
      <c r="F1970" s="54"/>
      <c r="G1970" s="54"/>
    </row>
    <row r="1971" ht="14.25" customHeight="1">
      <c r="B1971" s="140"/>
      <c r="C1971" s="141"/>
      <c r="F1971" s="54"/>
      <c r="G1971" s="54"/>
    </row>
    <row r="1972" ht="14.25" customHeight="1">
      <c r="B1972" s="140"/>
      <c r="C1972" s="141"/>
      <c r="F1972" s="54"/>
      <c r="G1972" s="54"/>
    </row>
    <row r="1973" ht="14.25" customHeight="1">
      <c r="B1973" s="140"/>
      <c r="C1973" s="141"/>
      <c r="F1973" s="54"/>
      <c r="G1973" s="54"/>
    </row>
    <row r="1974" ht="14.25" customHeight="1">
      <c r="B1974" s="140"/>
      <c r="C1974" s="141"/>
      <c r="F1974" s="54"/>
      <c r="G1974" s="54"/>
    </row>
    <row r="1975" ht="14.25" customHeight="1">
      <c r="B1975" s="140"/>
      <c r="C1975" s="141"/>
      <c r="F1975" s="54"/>
      <c r="G1975" s="54"/>
    </row>
    <row r="1976" ht="14.25" customHeight="1">
      <c r="B1976" s="140"/>
      <c r="C1976" s="141"/>
      <c r="F1976" s="54"/>
      <c r="G1976" s="54"/>
    </row>
    <row r="1977" ht="14.25" customHeight="1">
      <c r="B1977" s="140"/>
      <c r="C1977" s="141"/>
      <c r="F1977" s="54"/>
      <c r="G1977" s="54"/>
    </row>
    <row r="1978" ht="14.25" customHeight="1">
      <c r="B1978" s="140"/>
      <c r="C1978" s="141"/>
      <c r="F1978" s="54"/>
      <c r="G1978" s="54"/>
    </row>
    <row r="1979" ht="14.25" customHeight="1">
      <c r="B1979" s="140"/>
      <c r="C1979" s="141"/>
      <c r="F1979" s="54"/>
      <c r="G1979" s="54"/>
    </row>
    <row r="1980" ht="14.25" customHeight="1">
      <c r="B1980" s="140"/>
      <c r="C1980" s="141"/>
      <c r="F1980" s="54"/>
      <c r="G1980" s="54"/>
    </row>
    <row r="1981" ht="14.25" customHeight="1">
      <c r="B1981" s="140"/>
      <c r="C1981" s="141"/>
      <c r="F1981" s="54"/>
      <c r="G1981" s="54"/>
    </row>
    <row r="1982" ht="14.25" customHeight="1">
      <c r="B1982" s="140"/>
      <c r="C1982" s="141"/>
      <c r="F1982" s="54"/>
      <c r="G1982" s="54"/>
    </row>
    <row r="1983" ht="14.25" customHeight="1">
      <c r="B1983" s="140"/>
      <c r="C1983" s="141"/>
      <c r="F1983" s="54"/>
      <c r="G1983" s="54"/>
    </row>
    <row r="1984" ht="14.25" customHeight="1">
      <c r="B1984" s="140"/>
      <c r="C1984" s="141"/>
      <c r="F1984" s="54"/>
      <c r="G1984" s="54"/>
    </row>
    <row r="1985" ht="14.25" customHeight="1">
      <c r="B1985" s="140"/>
      <c r="C1985" s="141"/>
      <c r="F1985" s="54"/>
      <c r="G1985" s="54"/>
    </row>
    <row r="1986" ht="14.25" customHeight="1">
      <c r="B1986" s="140"/>
      <c r="C1986" s="141"/>
      <c r="F1986" s="54"/>
      <c r="G1986" s="54"/>
    </row>
    <row r="1987" ht="14.25" customHeight="1">
      <c r="B1987" s="140"/>
      <c r="C1987" s="141"/>
      <c r="F1987" s="54"/>
      <c r="G1987" s="54"/>
    </row>
    <row r="1988" ht="14.25" customHeight="1">
      <c r="B1988" s="140"/>
      <c r="C1988" s="141"/>
      <c r="F1988" s="54"/>
      <c r="G1988" s="54"/>
    </row>
    <row r="1989" ht="14.25" customHeight="1">
      <c r="B1989" s="140"/>
      <c r="C1989" s="141"/>
      <c r="F1989" s="54"/>
      <c r="G1989" s="54"/>
    </row>
    <row r="1990" ht="14.25" customHeight="1">
      <c r="B1990" s="140"/>
      <c r="C1990" s="141"/>
      <c r="F1990" s="54"/>
      <c r="G1990" s="54"/>
    </row>
    <row r="1991" ht="14.25" customHeight="1">
      <c r="B1991" s="140"/>
      <c r="C1991" s="141"/>
      <c r="F1991" s="54"/>
      <c r="G1991" s="54"/>
    </row>
    <row r="1992" ht="14.25" customHeight="1">
      <c r="B1992" s="140"/>
      <c r="C1992" s="141"/>
      <c r="F1992" s="54"/>
      <c r="G1992" s="54"/>
    </row>
    <row r="1993" ht="14.25" customHeight="1">
      <c r="B1993" s="140"/>
      <c r="C1993" s="141"/>
      <c r="F1993" s="54"/>
      <c r="G1993" s="54"/>
    </row>
    <row r="1994" ht="14.25" customHeight="1">
      <c r="B1994" s="140"/>
      <c r="C1994" s="141"/>
      <c r="F1994" s="54"/>
      <c r="G1994" s="54"/>
    </row>
    <row r="1995" ht="14.25" customHeight="1">
      <c r="B1995" s="140"/>
      <c r="C1995" s="141"/>
      <c r="F1995" s="54"/>
      <c r="G1995" s="54"/>
    </row>
    <row r="1996" ht="14.25" customHeight="1">
      <c r="B1996" s="140"/>
      <c r="C1996" s="141"/>
      <c r="F1996" s="54"/>
      <c r="G1996" s="54"/>
    </row>
    <row r="1997" ht="14.25" customHeight="1">
      <c r="B1997" s="140"/>
      <c r="C1997" s="141"/>
      <c r="F1997" s="54"/>
      <c r="G1997" s="54"/>
    </row>
    <row r="1998" ht="14.25" customHeight="1">
      <c r="B1998" s="140"/>
      <c r="C1998" s="141"/>
      <c r="F1998" s="54"/>
      <c r="G1998" s="54"/>
    </row>
    <row r="1999" ht="14.25" customHeight="1">
      <c r="B1999" s="140"/>
      <c r="C1999" s="141"/>
      <c r="F1999" s="54"/>
      <c r="G1999" s="54"/>
    </row>
    <row r="2000" ht="14.25" customHeight="1">
      <c r="B2000" s="140"/>
      <c r="C2000" s="141"/>
      <c r="F2000" s="54"/>
      <c r="G2000" s="54"/>
    </row>
  </sheetData>
  <mergeCells count="1">
    <mergeCell ref="B1:D2"/>
  </mergeCells>
  <printOptions/>
  <pageMargins bottom="0.787401575" footer="0.0" header="0.0" left="0.511811024" right="0.511811024" top="0.787401575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14"/>
    <col customWidth="1" min="3" max="3" width="8.86"/>
    <col customWidth="1" min="4" max="4" width="9.29"/>
    <col customWidth="1" min="5" max="5" width="10.29"/>
    <col customWidth="1" min="6" max="6" width="8.57"/>
    <col customWidth="1" min="7" max="7" width="9.0"/>
    <col customWidth="1" min="8" max="8" width="22.43"/>
    <col customWidth="1" min="9" max="9" width="12.43"/>
    <col customWidth="1" min="10" max="14" width="9.57"/>
    <col customWidth="1" min="15" max="15" width="8.29"/>
    <col customWidth="1" min="16" max="16" width="8.71"/>
    <col customWidth="1" min="17" max="17" width="24.29"/>
    <col customWidth="1" min="18" max="18" width="26.71"/>
  </cols>
  <sheetData>
    <row r="1" ht="14.25" customHeight="1">
      <c r="B1" s="129" t="s">
        <v>135</v>
      </c>
    </row>
    <row r="2" ht="14.25" customHeight="1"/>
    <row r="3" ht="14.25" customHeight="1">
      <c r="B3" s="135" t="s">
        <v>136</v>
      </c>
      <c r="C3" s="135" t="s">
        <v>137</v>
      </c>
      <c r="D3" s="135" t="s">
        <v>138</v>
      </c>
      <c r="E3" s="135" t="s">
        <v>110</v>
      </c>
      <c r="F3" s="135" t="s">
        <v>139</v>
      </c>
      <c r="G3" s="135" t="s">
        <v>140</v>
      </c>
      <c r="H3" s="135" t="s">
        <v>141</v>
      </c>
      <c r="I3" s="135" t="s">
        <v>129</v>
      </c>
      <c r="J3" s="135"/>
      <c r="K3" s="135"/>
      <c r="L3" s="135"/>
      <c r="M3" s="135"/>
      <c r="N3" s="135"/>
      <c r="O3" s="135"/>
      <c r="P3" s="135"/>
      <c r="Q3" s="135"/>
      <c r="R3" s="135"/>
    </row>
    <row r="4" ht="14.25" customHeight="1">
      <c r="B4" s="160">
        <v>45231.0</v>
      </c>
      <c r="C4" s="141" t="str">
        <f t="shared" ref="C4:C1311" si="1">MONTH(B4)&amp; "-" &amp;YEAR(B4)</f>
        <v>11-2023</v>
      </c>
      <c r="D4" s="54"/>
      <c r="E4" s="54"/>
      <c r="F4" s="54">
        <f>Sanny!$E4-Sanny!$D4</f>
        <v>0</v>
      </c>
      <c r="G4" s="54">
        <f>Sanny!$F4-10</f>
        <v>-10</v>
      </c>
      <c r="H4" s="54" t="s">
        <v>119</v>
      </c>
      <c r="I4" s="54"/>
      <c r="J4" s="54"/>
      <c r="K4" s="54"/>
      <c r="L4" s="54"/>
      <c r="M4" s="54"/>
      <c r="N4" s="54"/>
      <c r="O4" s="174"/>
      <c r="P4" s="174"/>
      <c r="Q4" s="174"/>
      <c r="R4" s="174"/>
    </row>
    <row r="5" ht="14.25" customHeight="1">
      <c r="B5" s="160">
        <v>45232.0</v>
      </c>
      <c r="C5" s="141" t="str">
        <f t="shared" si="1"/>
        <v>11-2023</v>
      </c>
      <c r="D5" s="54"/>
      <c r="E5" s="54"/>
      <c r="F5" s="54">
        <f>Sanny!$E5-Sanny!$D5</f>
        <v>0</v>
      </c>
      <c r="G5" s="54">
        <f>Sanny!$F5-10</f>
        <v>-10</v>
      </c>
      <c r="H5" s="54" t="s">
        <v>119</v>
      </c>
      <c r="I5" s="54"/>
      <c r="J5" s="54"/>
      <c r="K5" s="54"/>
      <c r="L5" s="54"/>
      <c r="M5" s="54"/>
      <c r="N5" s="54"/>
      <c r="O5" s="174"/>
      <c r="P5" s="174"/>
      <c r="Q5" s="174"/>
      <c r="R5" s="174"/>
    </row>
    <row r="6" ht="14.25" customHeight="1">
      <c r="B6" s="160">
        <v>45233.0</v>
      </c>
      <c r="C6" s="141" t="str">
        <f t="shared" si="1"/>
        <v>11-2023</v>
      </c>
      <c r="D6" s="54">
        <v>2065.9</v>
      </c>
      <c r="E6" s="54">
        <v>2074.2</v>
      </c>
      <c r="F6" s="54">
        <f>Sanny!$E6-Sanny!$D6</f>
        <v>8.3</v>
      </c>
      <c r="G6" s="54">
        <f>Sanny!$F6-10</f>
        <v>-1.7</v>
      </c>
      <c r="H6" s="54" t="s">
        <v>53</v>
      </c>
      <c r="I6" s="54"/>
      <c r="J6" s="54"/>
      <c r="K6" s="54"/>
      <c r="L6" s="54"/>
      <c r="M6" s="54"/>
      <c r="N6" s="54"/>
      <c r="O6" s="174"/>
      <c r="P6" s="174"/>
      <c r="Q6" s="174"/>
      <c r="R6" s="174"/>
    </row>
    <row r="7" ht="14.25" customHeight="1">
      <c r="B7" s="160">
        <v>45234.0</v>
      </c>
      <c r="C7" s="141" t="str">
        <f t="shared" si="1"/>
        <v>11-2023</v>
      </c>
      <c r="D7" s="54">
        <v>2074.2</v>
      </c>
      <c r="E7" s="54">
        <v>2084.1</v>
      </c>
      <c r="F7" s="54">
        <f>Sanny!$E7-Sanny!$D7</f>
        <v>9.9</v>
      </c>
      <c r="G7" s="54">
        <f>Sanny!$F7-10</f>
        <v>-0.1</v>
      </c>
      <c r="H7" s="54" t="s">
        <v>53</v>
      </c>
      <c r="I7" s="54"/>
      <c r="J7" s="54"/>
      <c r="K7" s="54"/>
      <c r="L7" s="54"/>
      <c r="M7" s="54"/>
      <c r="N7" s="54"/>
      <c r="O7" s="174"/>
      <c r="P7" s="174"/>
      <c r="Q7" s="174"/>
      <c r="R7" s="174"/>
    </row>
    <row r="8" ht="14.25" customHeight="1">
      <c r="B8" s="160">
        <v>45235.0</v>
      </c>
      <c r="C8" s="141" t="str">
        <f t="shared" si="1"/>
        <v>11-2023</v>
      </c>
      <c r="D8" s="54">
        <v>2084.1</v>
      </c>
      <c r="E8" s="54">
        <v>2091.3</v>
      </c>
      <c r="F8" s="54">
        <f>Sanny!$E8-Sanny!$D8</f>
        <v>7.2</v>
      </c>
      <c r="G8" s="54">
        <f>Sanny!$F8-10</f>
        <v>-2.8</v>
      </c>
      <c r="H8" s="54" t="s">
        <v>142</v>
      </c>
      <c r="I8" s="54"/>
      <c r="J8" s="54"/>
      <c r="K8" s="54"/>
      <c r="L8" s="54"/>
      <c r="M8" s="54"/>
      <c r="N8" s="54"/>
      <c r="O8" s="174"/>
      <c r="P8" s="174"/>
      <c r="Q8" s="174"/>
      <c r="R8" s="174"/>
    </row>
    <row r="9" ht="14.25" customHeight="1">
      <c r="B9" s="160">
        <v>45236.0</v>
      </c>
      <c r="C9" s="141" t="str">
        <f t="shared" si="1"/>
        <v>11-2023</v>
      </c>
      <c r="D9" s="54">
        <v>2091.3</v>
      </c>
      <c r="E9" s="54">
        <v>2094.2</v>
      </c>
      <c r="F9" s="54">
        <f>Sanny!$E9-Sanny!$D9</f>
        <v>2.9</v>
      </c>
      <c r="G9" s="54">
        <f>Sanny!$F9-10</f>
        <v>-7.1</v>
      </c>
      <c r="H9" s="54" t="s">
        <v>143</v>
      </c>
      <c r="I9" s="54"/>
      <c r="J9" s="54"/>
      <c r="K9" s="54"/>
      <c r="L9" s="54"/>
      <c r="M9" s="54"/>
      <c r="N9" s="54"/>
      <c r="O9" s="174"/>
      <c r="P9" s="174"/>
      <c r="Q9" s="174"/>
      <c r="R9" s="174"/>
    </row>
    <row r="10" ht="14.25" customHeight="1">
      <c r="B10" s="160">
        <v>45237.0</v>
      </c>
      <c r="C10" s="141" t="str">
        <f t="shared" si="1"/>
        <v>11-2023</v>
      </c>
      <c r="D10" s="54">
        <v>2094.2</v>
      </c>
      <c r="E10" s="54">
        <v>2105.1</v>
      </c>
      <c r="F10" s="54">
        <f>Sanny!$E10-Sanny!$D10</f>
        <v>10.9</v>
      </c>
      <c r="G10" s="54">
        <f>Sanny!$F10-10</f>
        <v>0.9</v>
      </c>
      <c r="H10" s="54" t="s">
        <v>143</v>
      </c>
      <c r="I10" s="54"/>
      <c r="J10" s="54"/>
      <c r="K10" s="54"/>
      <c r="L10" s="54"/>
      <c r="M10" s="54"/>
      <c r="N10" s="54"/>
      <c r="O10" s="174"/>
      <c r="P10" s="174"/>
      <c r="Q10" s="174"/>
      <c r="R10" s="174"/>
    </row>
    <row r="11" ht="14.25" customHeight="1">
      <c r="B11" s="160">
        <v>45238.0</v>
      </c>
      <c r="C11" s="141" t="str">
        <f t="shared" si="1"/>
        <v>11-2023</v>
      </c>
      <c r="D11" s="54">
        <v>2105.1</v>
      </c>
      <c r="E11" s="54">
        <v>2113.4</v>
      </c>
      <c r="F11" s="54">
        <f>Sanny!$E11-Sanny!$D11</f>
        <v>8.3</v>
      </c>
      <c r="G11" s="54">
        <f>Sanny!$F11-10</f>
        <v>-1.7</v>
      </c>
      <c r="H11" s="54" t="s">
        <v>143</v>
      </c>
      <c r="I11" s="54"/>
      <c r="J11" s="54"/>
      <c r="K11" s="54"/>
      <c r="L11" s="54"/>
      <c r="M11" s="54"/>
      <c r="N11" s="54"/>
      <c r="O11" s="174"/>
      <c r="P11" s="174"/>
      <c r="Q11" s="174"/>
      <c r="R11" s="174"/>
    </row>
    <row r="12" ht="14.25" customHeight="1">
      <c r="B12" s="160">
        <v>45239.0</v>
      </c>
      <c r="C12" s="141" t="str">
        <f t="shared" si="1"/>
        <v>11-2023</v>
      </c>
      <c r="D12" s="54">
        <v>2113.4</v>
      </c>
      <c r="E12" s="54">
        <v>2115.8</v>
      </c>
      <c r="F12" s="54">
        <f>Sanny!$E12-Sanny!$D12</f>
        <v>2.4</v>
      </c>
      <c r="G12" s="54">
        <f>Sanny!$F12-10</f>
        <v>-7.6</v>
      </c>
      <c r="H12" s="54" t="s">
        <v>143</v>
      </c>
      <c r="I12" s="54"/>
      <c r="J12" s="54"/>
      <c r="K12" s="54"/>
      <c r="L12" s="54"/>
      <c r="M12" s="54"/>
      <c r="N12" s="54"/>
      <c r="O12" s="174"/>
      <c r="P12" s="174"/>
      <c r="Q12" s="174"/>
      <c r="R12" s="174"/>
    </row>
    <row r="13" ht="14.25" customHeight="1">
      <c r="B13" s="160">
        <v>45240.0</v>
      </c>
      <c r="C13" s="141" t="str">
        <f t="shared" si="1"/>
        <v>11-2023</v>
      </c>
      <c r="D13" s="54">
        <v>2115.8</v>
      </c>
      <c r="E13" s="54">
        <v>2125.1</v>
      </c>
      <c r="F13" s="54">
        <f>Sanny!$E13-Sanny!$D13</f>
        <v>9.3</v>
      </c>
      <c r="G13" s="54">
        <f>Sanny!$F13-10</f>
        <v>-0.7</v>
      </c>
      <c r="H13" s="54" t="s">
        <v>144</v>
      </c>
      <c r="I13" s="54"/>
      <c r="J13" s="54"/>
      <c r="K13" s="54"/>
      <c r="L13" s="54"/>
      <c r="M13" s="54"/>
      <c r="N13" s="54"/>
      <c r="O13" s="174"/>
      <c r="P13" s="174"/>
      <c r="Q13" s="174"/>
      <c r="R13" s="174"/>
    </row>
    <row r="14" ht="14.25" customHeight="1">
      <c r="B14" s="160">
        <v>45241.0</v>
      </c>
      <c r="C14" s="141" t="str">
        <f t="shared" si="1"/>
        <v>11-2023</v>
      </c>
      <c r="D14" s="54">
        <v>2125.1</v>
      </c>
      <c r="E14" s="54">
        <v>2132.4</v>
      </c>
      <c r="F14" s="54">
        <f>Sanny!$E14-Sanny!$D14</f>
        <v>7.3</v>
      </c>
      <c r="G14" s="54">
        <f>Sanny!$F14-10</f>
        <v>-2.7</v>
      </c>
      <c r="H14" s="54" t="s">
        <v>143</v>
      </c>
      <c r="I14" s="54"/>
      <c r="J14" s="54"/>
      <c r="K14" s="54"/>
      <c r="L14" s="54"/>
      <c r="M14" s="54"/>
      <c r="N14" s="54"/>
      <c r="O14" s="174"/>
      <c r="P14" s="174"/>
      <c r="Q14" s="174"/>
      <c r="R14" s="174"/>
    </row>
    <row r="15" ht="14.25" customHeight="1">
      <c r="B15" s="160">
        <v>45242.0</v>
      </c>
      <c r="C15" s="141" t="str">
        <f t="shared" si="1"/>
        <v>11-2023</v>
      </c>
      <c r="D15" s="54"/>
      <c r="E15" s="54"/>
      <c r="F15" s="54">
        <f>Sanny!$E15-Sanny!$D15</f>
        <v>0</v>
      </c>
      <c r="G15" s="54">
        <f>Sanny!$F15-10</f>
        <v>-10</v>
      </c>
      <c r="H15" s="54"/>
      <c r="I15" s="54"/>
      <c r="J15" s="54"/>
      <c r="K15" s="54"/>
      <c r="L15" s="54"/>
      <c r="M15" s="54"/>
      <c r="N15" s="54"/>
      <c r="O15" s="174"/>
      <c r="P15" s="174"/>
      <c r="Q15" s="174"/>
      <c r="R15" s="174"/>
    </row>
    <row r="16" ht="14.25" customHeight="1">
      <c r="B16" s="160">
        <v>45243.0</v>
      </c>
      <c r="C16" s="141" t="str">
        <f t="shared" si="1"/>
        <v>11-2023</v>
      </c>
      <c r="D16" s="54"/>
      <c r="E16" s="54"/>
      <c r="F16" s="54">
        <f>Sanny!$E16-Sanny!$D16</f>
        <v>0</v>
      </c>
      <c r="G16" s="54">
        <f>Sanny!$F16-10</f>
        <v>-10</v>
      </c>
      <c r="H16" s="54"/>
      <c r="I16" s="54"/>
      <c r="J16" s="54"/>
      <c r="K16" s="54"/>
      <c r="L16" s="54"/>
      <c r="M16" s="54"/>
      <c r="N16" s="54"/>
      <c r="O16" s="174"/>
      <c r="P16" s="174"/>
      <c r="Q16" s="174"/>
      <c r="R16" s="174"/>
    </row>
    <row r="17" ht="14.25" customHeight="1">
      <c r="B17" s="160">
        <v>45244.0</v>
      </c>
      <c r="C17" s="141" t="str">
        <f t="shared" si="1"/>
        <v>11-2023</v>
      </c>
      <c r="D17" s="54">
        <v>2132.4</v>
      </c>
      <c r="E17" s="54">
        <v>2136.4</v>
      </c>
      <c r="F17" s="54">
        <f>Sanny!$E17-Sanny!$D17</f>
        <v>4</v>
      </c>
      <c r="G17" s="54">
        <f>Sanny!$F17-10</f>
        <v>-6</v>
      </c>
      <c r="H17" s="54" t="s">
        <v>143</v>
      </c>
      <c r="I17" s="54"/>
      <c r="J17" s="54"/>
      <c r="K17" s="54"/>
      <c r="L17" s="54"/>
      <c r="M17" s="54"/>
      <c r="N17" s="54"/>
      <c r="O17" s="174"/>
      <c r="P17" s="174"/>
      <c r="Q17" s="174"/>
      <c r="R17" s="174"/>
    </row>
    <row r="18" ht="14.25" customHeight="1">
      <c r="B18" s="160">
        <v>45245.0</v>
      </c>
      <c r="C18" s="141" t="str">
        <f t="shared" si="1"/>
        <v>11-2023</v>
      </c>
      <c r="D18" s="54">
        <v>2136.4</v>
      </c>
      <c r="E18" s="54">
        <v>2143.5</v>
      </c>
      <c r="F18" s="54">
        <f>Sanny!$E18-Sanny!$D18</f>
        <v>7.1</v>
      </c>
      <c r="G18" s="54">
        <f>Sanny!$F18-10</f>
        <v>-2.9</v>
      </c>
      <c r="H18" s="54" t="s">
        <v>143</v>
      </c>
      <c r="I18" s="54"/>
      <c r="J18" s="54"/>
      <c r="K18" s="54"/>
      <c r="L18" s="54"/>
      <c r="M18" s="54"/>
      <c r="N18" s="54"/>
      <c r="O18" s="174"/>
      <c r="P18" s="174"/>
      <c r="Q18" s="174"/>
      <c r="R18" s="174"/>
    </row>
    <row r="19" ht="14.25" customHeight="1">
      <c r="B19" s="160">
        <v>45246.0</v>
      </c>
      <c r="C19" s="141" t="str">
        <f t="shared" si="1"/>
        <v>11-2023</v>
      </c>
      <c r="D19" s="54">
        <v>2143.5</v>
      </c>
      <c r="E19" s="54">
        <v>2152.1</v>
      </c>
      <c r="F19" s="54">
        <f>Sanny!$E19-Sanny!$D19</f>
        <v>8.6</v>
      </c>
      <c r="G19" s="54">
        <f>Sanny!$F19-10</f>
        <v>-1.4</v>
      </c>
      <c r="H19" s="54" t="s">
        <v>143</v>
      </c>
      <c r="I19" s="54"/>
      <c r="J19" s="54"/>
      <c r="K19" s="54"/>
      <c r="L19" s="54"/>
      <c r="M19" s="54"/>
      <c r="N19" s="54"/>
      <c r="O19" s="174"/>
      <c r="P19" s="174"/>
      <c r="Q19" s="174"/>
      <c r="R19" s="174"/>
    </row>
    <row r="20" ht="14.25" customHeight="1">
      <c r="B20" s="160">
        <v>45247.0</v>
      </c>
      <c r="C20" s="141" t="str">
        <f t="shared" si="1"/>
        <v>11-2023</v>
      </c>
      <c r="D20" s="54">
        <v>2152.1</v>
      </c>
      <c r="E20" s="54">
        <v>2161.3</v>
      </c>
      <c r="F20" s="54">
        <f>Sanny!$E20-Sanny!$D20</f>
        <v>9.2</v>
      </c>
      <c r="G20" s="54">
        <f>Sanny!$F20-10</f>
        <v>-0.8</v>
      </c>
      <c r="H20" s="54" t="s">
        <v>143</v>
      </c>
      <c r="I20" s="54"/>
      <c r="J20" s="54"/>
      <c r="K20" s="54"/>
      <c r="L20" s="54"/>
      <c r="M20" s="54"/>
      <c r="N20" s="54"/>
      <c r="O20" s="174"/>
      <c r="P20" s="174"/>
      <c r="Q20" s="174"/>
      <c r="R20" s="174"/>
    </row>
    <row r="21" ht="14.25" customHeight="1">
      <c r="B21" s="160">
        <v>45248.0</v>
      </c>
      <c r="C21" s="141" t="str">
        <f t="shared" si="1"/>
        <v>11-2023</v>
      </c>
      <c r="D21" s="54"/>
      <c r="E21" s="54"/>
      <c r="F21" s="54">
        <f t="shared" ref="F21:F36" si="2">E18-D18</f>
        <v>7.1</v>
      </c>
      <c r="G21" s="54">
        <f t="shared" ref="G21:G36" si="3">F20-10</f>
        <v>-0.8</v>
      </c>
      <c r="H21" s="54"/>
      <c r="I21" s="54"/>
      <c r="J21" s="54"/>
      <c r="K21" s="54"/>
      <c r="L21" s="54"/>
      <c r="M21" s="54"/>
      <c r="N21" s="54"/>
      <c r="O21" s="174"/>
      <c r="P21" s="174"/>
      <c r="Q21" s="174"/>
      <c r="R21" s="174"/>
    </row>
    <row r="22" ht="14.25" customHeight="1">
      <c r="B22" s="160">
        <v>45249.0</v>
      </c>
      <c r="C22" s="141" t="str">
        <f t="shared" si="1"/>
        <v>11-2023</v>
      </c>
      <c r="D22" s="54"/>
      <c r="E22" s="54"/>
      <c r="F22" s="54">
        <f t="shared" si="2"/>
        <v>8.6</v>
      </c>
      <c r="G22" s="54">
        <f t="shared" si="3"/>
        <v>-2.9</v>
      </c>
      <c r="H22" s="54"/>
      <c r="I22" s="54"/>
      <c r="J22" s="54"/>
      <c r="K22" s="54"/>
      <c r="L22" s="54"/>
      <c r="M22" s="54"/>
      <c r="N22" s="54"/>
      <c r="O22" s="174"/>
      <c r="P22" s="174"/>
      <c r="Q22" s="174"/>
      <c r="R22" s="174"/>
    </row>
    <row r="23" ht="14.25" customHeight="1">
      <c r="B23" s="160">
        <v>45250.0</v>
      </c>
      <c r="C23" s="141" t="str">
        <f t="shared" si="1"/>
        <v>11-2023</v>
      </c>
      <c r="D23" s="54"/>
      <c r="E23" s="54"/>
      <c r="F23" s="54">
        <f t="shared" si="2"/>
        <v>9.2</v>
      </c>
      <c r="G23" s="54">
        <f t="shared" si="3"/>
        <v>-1.4</v>
      </c>
      <c r="H23" s="54"/>
      <c r="I23" s="54"/>
      <c r="J23" s="54"/>
      <c r="K23" s="54"/>
      <c r="L23" s="54"/>
      <c r="M23" s="54"/>
      <c r="N23" s="54"/>
      <c r="O23" s="174"/>
      <c r="P23" s="174"/>
      <c r="Q23" s="174"/>
      <c r="R23" s="174"/>
    </row>
    <row r="24" ht="14.25" customHeight="1">
      <c r="B24" s="160">
        <v>45251.0</v>
      </c>
      <c r="C24" s="141" t="str">
        <f t="shared" si="1"/>
        <v>11-2023</v>
      </c>
      <c r="D24" s="54"/>
      <c r="E24" s="54"/>
      <c r="F24" s="54">
        <f t="shared" si="2"/>
        <v>0</v>
      </c>
      <c r="G24" s="54">
        <f t="shared" si="3"/>
        <v>-0.8</v>
      </c>
      <c r="H24" s="54"/>
      <c r="I24" s="54"/>
      <c r="J24" s="54"/>
      <c r="K24" s="54"/>
      <c r="L24" s="54"/>
      <c r="M24" s="54"/>
      <c r="N24" s="54"/>
      <c r="O24" s="174"/>
      <c r="P24" s="174"/>
      <c r="Q24" s="174"/>
      <c r="R24" s="174"/>
    </row>
    <row r="25" ht="14.25" customHeight="1">
      <c r="B25" s="160">
        <v>45252.0</v>
      </c>
      <c r="C25" s="141" t="str">
        <f t="shared" si="1"/>
        <v>11-2023</v>
      </c>
      <c r="D25" s="54"/>
      <c r="E25" s="54"/>
      <c r="F25" s="54">
        <f t="shared" si="2"/>
        <v>0</v>
      </c>
      <c r="G25" s="54">
        <f t="shared" si="3"/>
        <v>-10</v>
      </c>
      <c r="H25" s="54"/>
      <c r="I25" s="54"/>
      <c r="J25" s="54"/>
      <c r="K25" s="54"/>
      <c r="L25" s="54"/>
      <c r="M25" s="54"/>
      <c r="N25" s="54"/>
      <c r="O25" s="174"/>
      <c r="P25" s="174"/>
      <c r="Q25" s="174"/>
      <c r="R25" s="174"/>
    </row>
    <row r="26" ht="14.25" customHeight="1">
      <c r="B26" s="160">
        <v>45253.0</v>
      </c>
      <c r="C26" s="141" t="str">
        <f t="shared" si="1"/>
        <v>11-2023</v>
      </c>
      <c r="D26" s="54"/>
      <c r="E26" s="54"/>
      <c r="F26" s="54">
        <f t="shared" si="2"/>
        <v>0</v>
      </c>
      <c r="G26" s="54">
        <f t="shared" si="3"/>
        <v>-10</v>
      </c>
      <c r="H26" s="54"/>
      <c r="I26" s="54"/>
      <c r="J26" s="54"/>
      <c r="K26" s="54"/>
      <c r="L26" s="54"/>
      <c r="M26" s="54"/>
      <c r="N26" s="54"/>
      <c r="O26" s="174"/>
      <c r="P26" s="174"/>
      <c r="Q26" s="174"/>
      <c r="R26" s="174"/>
    </row>
    <row r="27" ht="14.25" customHeight="1">
      <c r="B27" s="160">
        <v>45254.0</v>
      </c>
      <c r="C27" s="141" t="str">
        <f t="shared" si="1"/>
        <v>11-2023</v>
      </c>
      <c r="D27" s="54"/>
      <c r="E27" s="54"/>
      <c r="F27" s="54">
        <f t="shared" si="2"/>
        <v>0</v>
      </c>
      <c r="G27" s="54">
        <f t="shared" si="3"/>
        <v>-10</v>
      </c>
      <c r="H27" s="54"/>
      <c r="I27" s="54"/>
      <c r="J27" s="54"/>
      <c r="K27" s="54"/>
      <c r="L27" s="54"/>
      <c r="M27" s="54"/>
      <c r="N27" s="54"/>
      <c r="O27" s="174"/>
      <c r="P27" s="174"/>
      <c r="Q27" s="174"/>
      <c r="R27" s="174"/>
    </row>
    <row r="28" ht="14.25" customHeight="1">
      <c r="B28" s="160">
        <v>45255.0</v>
      </c>
      <c r="C28" s="141" t="str">
        <f t="shared" si="1"/>
        <v>11-2023</v>
      </c>
      <c r="D28" s="54"/>
      <c r="E28" s="54"/>
      <c r="F28" s="54">
        <f t="shared" si="2"/>
        <v>0</v>
      </c>
      <c r="G28" s="54">
        <f t="shared" si="3"/>
        <v>-10</v>
      </c>
      <c r="H28" s="54"/>
      <c r="I28" s="54"/>
      <c r="J28" s="54"/>
      <c r="K28" s="54"/>
      <c r="L28" s="54"/>
      <c r="M28" s="54"/>
      <c r="N28" s="54"/>
      <c r="O28" s="174"/>
      <c r="P28" s="174"/>
      <c r="Q28" s="174"/>
      <c r="R28" s="174"/>
    </row>
    <row r="29" ht="14.25" customHeight="1">
      <c r="B29" s="160">
        <v>45256.0</v>
      </c>
      <c r="C29" s="141" t="str">
        <f t="shared" si="1"/>
        <v>11-2023</v>
      </c>
      <c r="D29" s="54"/>
      <c r="E29" s="54"/>
      <c r="F29" s="54">
        <f t="shared" si="2"/>
        <v>0</v>
      </c>
      <c r="G29" s="54">
        <f t="shared" si="3"/>
        <v>-10</v>
      </c>
      <c r="H29" s="54"/>
      <c r="I29" s="54"/>
      <c r="J29" s="54"/>
      <c r="K29" s="54"/>
      <c r="L29" s="54"/>
      <c r="M29" s="54"/>
      <c r="N29" s="54"/>
      <c r="O29" s="174"/>
      <c r="P29" s="174"/>
      <c r="Q29" s="174"/>
      <c r="R29" s="174"/>
    </row>
    <row r="30" ht="14.25" customHeight="1">
      <c r="B30" s="160">
        <v>45257.0</v>
      </c>
      <c r="C30" s="141" t="str">
        <f t="shared" si="1"/>
        <v>11-2023</v>
      </c>
      <c r="D30" s="54"/>
      <c r="E30" s="54"/>
      <c r="F30" s="54">
        <f t="shared" si="2"/>
        <v>0</v>
      </c>
      <c r="G30" s="54">
        <f t="shared" si="3"/>
        <v>-10</v>
      </c>
      <c r="H30" s="54"/>
      <c r="I30" s="54"/>
      <c r="J30" s="54"/>
      <c r="K30" s="54"/>
      <c r="L30" s="54"/>
      <c r="M30" s="54"/>
      <c r="N30" s="54"/>
      <c r="O30" s="174"/>
      <c r="P30" s="174"/>
      <c r="Q30" s="174"/>
      <c r="R30" s="174"/>
    </row>
    <row r="31" ht="14.25" customHeight="1">
      <c r="B31" s="160">
        <v>45258.0</v>
      </c>
      <c r="C31" s="141" t="str">
        <f t="shared" si="1"/>
        <v>11-2023</v>
      </c>
      <c r="D31" s="54"/>
      <c r="E31" s="54"/>
      <c r="F31" s="54">
        <f t="shared" si="2"/>
        <v>0</v>
      </c>
      <c r="G31" s="54">
        <f t="shared" si="3"/>
        <v>-10</v>
      </c>
      <c r="H31" s="54"/>
      <c r="I31" s="54"/>
      <c r="J31" s="54"/>
      <c r="K31" s="54"/>
      <c r="L31" s="54"/>
      <c r="M31" s="54"/>
      <c r="N31" s="54"/>
      <c r="O31" s="174"/>
      <c r="P31" s="174"/>
      <c r="Q31" s="174"/>
      <c r="R31" s="174"/>
    </row>
    <row r="32" ht="14.25" customHeight="1">
      <c r="B32" s="160">
        <v>45259.0</v>
      </c>
      <c r="C32" s="141" t="str">
        <f t="shared" si="1"/>
        <v>11-2023</v>
      </c>
      <c r="D32" s="54"/>
      <c r="E32" s="54"/>
      <c r="F32" s="54">
        <f t="shared" si="2"/>
        <v>0</v>
      </c>
      <c r="G32" s="54">
        <f t="shared" si="3"/>
        <v>-10</v>
      </c>
      <c r="H32" s="54"/>
      <c r="I32" s="54"/>
      <c r="J32" s="54"/>
      <c r="K32" s="54"/>
      <c r="L32" s="54"/>
      <c r="M32" s="54"/>
      <c r="N32" s="54"/>
      <c r="O32" s="174"/>
      <c r="P32" s="174"/>
      <c r="Q32" s="174"/>
      <c r="R32" s="174"/>
    </row>
    <row r="33" ht="14.25" customHeight="1">
      <c r="B33" s="160">
        <v>45260.0</v>
      </c>
      <c r="C33" s="141" t="str">
        <f t="shared" si="1"/>
        <v>11-2023</v>
      </c>
      <c r="D33" s="54"/>
      <c r="E33" s="54"/>
      <c r="F33" s="54">
        <f t="shared" si="2"/>
        <v>0</v>
      </c>
      <c r="G33" s="54">
        <f t="shared" si="3"/>
        <v>-10</v>
      </c>
      <c r="H33" s="54"/>
      <c r="I33" s="54"/>
      <c r="J33" s="54"/>
      <c r="K33" s="54"/>
      <c r="L33" s="54"/>
      <c r="M33" s="54"/>
      <c r="N33" s="54"/>
      <c r="O33" s="174"/>
      <c r="P33" s="174"/>
      <c r="Q33" s="174"/>
      <c r="R33" s="174"/>
    </row>
    <row r="34" ht="14.25" customHeight="1">
      <c r="B34" s="160">
        <v>45261.0</v>
      </c>
      <c r="C34" s="141" t="str">
        <f t="shared" si="1"/>
        <v>12-2023</v>
      </c>
      <c r="D34" s="54"/>
      <c r="E34" s="54"/>
      <c r="F34" s="54">
        <f t="shared" si="2"/>
        <v>0</v>
      </c>
      <c r="G34" s="54">
        <f t="shared" si="3"/>
        <v>-10</v>
      </c>
      <c r="H34" s="54"/>
      <c r="I34" s="54"/>
      <c r="J34" s="54"/>
      <c r="K34" s="54"/>
      <c r="L34" s="54"/>
      <c r="M34" s="54"/>
      <c r="N34" s="54"/>
      <c r="O34" s="174"/>
      <c r="P34" s="174"/>
      <c r="Q34" s="174"/>
      <c r="R34" s="174"/>
    </row>
    <row r="35" ht="14.25" customHeight="1">
      <c r="B35" s="160">
        <v>45262.0</v>
      </c>
      <c r="C35" s="141" t="str">
        <f t="shared" si="1"/>
        <v>12-2023</v>
      </c>
      <c r="D35" s="54"/>
      <c r="E35" s="54"/>
      <c r="F35" s="54">
        <f t="shared" si="2"/>
        <v>0</v>
      </c>
      <c r="G35" s="54">
        <f t="shared" si="3"/>
        <v>-10</v>
      </c>
      <c r="H35" s="54"/>
      <c r="I35" s="54"/>
      <c r="J35" s="54"/>
      <c r="K35" s="54"/>
      <c r="L35" s="54"/>
      <c r="M35" s="54"/>
      <c r="N35" s="54"/>
      <c r="O35" s="174"/>
      <c r="P35" s="174"/>
      <c r="Q35" s="174"/>
      <c r="R35" s="174"/>
    </row>
    <row r="36" ht="14.25" customHeight="1">
      <c r="B36" s="160">
        <v>45263.0</v>
      </c>
      <c r="C36" s="141" t="str">
        <f t="shared" si="1"/>
        <v>12-2023</v>
      </c>
      <c r="D36" s="54"/>
      <c r="E36" s="54"/>
      <c r="F36" s="54">
        <f t="shared" si="2"/>
        <v>0</v>
      </c>
      <c r="G36" s="54">
        <f t="shared" si="3"/>
        <v>-10</v>
      </c>
      <c r="H36" s="54"/>
      <c r="I36" s="54"/>
      <c r="J36" s="54"/>
      <c r="K36" s="54"/>
      <c r="L36" s="54"/>
      <c r="M36" s="54"/>
      <c r="N36" s="54"/>
      <c r="O36" s="174"/>
      <c r="P36" s="174"/>
      <c r="Q36" s="174"/>
      <c r="R36" s="174"/>
    </row>
    <row r="37" ht="14.25" customHeight="1">
      <c r="B37" s="160">
        <v>45264.0</v>
      </c>
      <c r="C37" s="141" t="str">
        <f t="shared" si="1"/>
        <v>12-2023</v>
      </c>
      <c r="D37" s="54">
        <v>2226.3</v>
      </c>
      <c r="E37" s="54">
        <v>2235.0</v>
      </c>
      <c r="F37" s="54">
        <f>Sanny!$E37-Sanny!$D37</f>
        <v>8.7</v>
      </c>
      <c r="G37" s="54">
        <f>Sanny!$F37-10</f>
        <v>-1.3</v>
      </c>
      <c r="H37" s="54" t="s">
        <v>54</v>
      </c>
      <c r="I37" s="54">
        <v>150.0</v>
      </c>
      <c r="J37" s="54"/>
      <c r="K37" s="54"/>
      <c r="L37" s="54"/>
      <c r="M37" s="54"/>
      <c r="N37" s="54"/>
      <c r="O37" s="174"/>
      <c r="P37" s="174"/>
      <c r="Q37" s="174"/>
      <c r="R37" s="174"/>
    </row>
    <row r="38" ht="14.25" customHeight="1">
      <c r="B38" s="160">
        <v>45265.0</v>
      </c>
      <c r="C38" s="141" t="str">
        <f t="shared" si="1"/>
        <v>12-2023</v>
      </c>
      <c r="D38" s="54">
        <f>E37</f>
        <v>2235</v>
      </c>
      <c r="E38" s="54">
        <v>2245.2</v>
      </c>
      <c r="F38" s="54">
        <f>Sanny!$E38-Sanny!$D38</f>
        <v>10.2</v>
      </c>
      <c r="G38" s="54">
        <f>Sanny!$F38-10</f>
        <v>0.2</v>
      </c>
      <c r="H38" s="54" t="s">
        <v>54</v>
      </c>
      <c r="I38" s="54"/>
      <c r="J38" s="54"/>
      <c r="K38" s="54"/>
      <c r="L38" s="54"/>
      <c r="M38" s="54"/>
      <c r="N38" s="54"/>
      <c r="O38" s="174"/>
      <c r="P38" s="174"/>
      <c r="Q38" s="174"/>
      <c r="R38" s="174"/>
    </row>
    <row r="39" ht="14.25" customHeight="1">
      <c r="B39" s="160">
        <v>45266.0</v>
      </c>
      <c r="C39" s="141" t="str">
        <f t="shared" si="1"/>
        <v>12-2023</v>
      </c>
      <c r="D39" s="54"/>
      <c r="E39" s="54"/>
      <c r="F39" s="54">
        <f>Sanny!$E39-Sanny!$D39</f>
        <v>0</v>
      </c>
      <c r="G39" s="54">
        <f>Sanny!$F39-10</f>
        <v>-10</v>
      </c>
      <c r="H39" s="54"/>
      <c r="I39" s="54"/>
      <c r="J39" s="54"/>
      <c r="K39" s="54"/>
      <c r="L39" s="54"/>
      <c r="M39" s="54"/>
      <c r="N39" s="54"/>
      <c r="O39" s="174"/>
      <c r="P39" s="174"/>
      <c r="Q39" s="174"/>
      <c r="R39" s="174"/>
    </row>
    <row r="40" ht="14.25" customHeight="1">
      <c r="B40" s="160">
        <v>45267.0</v>
      </c>
      <c r="C40" s="141" t="str">
        <f t="shared" si="1"/>
        <v>12-2023</v>
      </c>
      <c r="D40" s="54" t="str">
        <f t="shared" ref="D40:D43" si="4">E39</f>
        <v/>
      </c>
      <c r="E40" s="54"/>
      <c r="F40" s="54">
        <f>Sanny!$E40-Sanny!$D40</f>
        <v>0</v>
      </c>
      <c r="G40" s="54">
        <f>Sanny!$F40-10</f>
        <v>-10</v>
      </c>
      <c r="H40" s="54"/>
      <c r="I40" s="54"/>
      <c r="J40" s="54"/>
      <c r="K40" s="54"/>
      <c r="L40" s="54"/>
      <c r="M40" s="54"/>
      <c r="N40" s="54"/>
      <c r="O40" s="174"/>
      <c r="P40" s="174"/>
      <c r="Q40" s="174"/>
      <c r="R40" s="174"/>
    </row>
    <row r="41" ht="14.25" customHeight="1">
      <c r="B41" s="160">
        <v>45268.0</v>
      </c>
      <c r="C41" s="141" t="str">
        <f t="shared" si="1"/>
        <v>12-2023</v>
      </c>
      <c r="D41" s="54" t="str">
        <f t="shared" si="4"/>
        <v/>
      </c>
      <c r="E41" s="54"/>
      <c r="F41" s="54">
        <f>Sanny!$E41-Sanny!$D41</f>
        <v>0</v>
      </c>
      <c r="G41" s="54">
        <f>Sanny!$F41-10</f>
        <v>-10</v>
      </c>
      <c r="H41" s="54"/>
      <c r="I41" s="54"/>
      <c r="J41" s="54"/>
      <c r="K41" s="54"/>
      <c r="L41" s="54"/>
      <c r="M41" s="54"/>
      <c r="N41" s="54"/>
      <c r="O41" s="174"/>
      <c r="P41" s="174"/>
      <c r="Q41" s="174"/>
      <c r="R41" s="174"/>
    </row>
    <row r="42" ht="14.25" customHeight="1">
      <c r="B42" s="160">
        <v>45269.0</v>
      </c>
      <c r="C42" s="141" t="str">
        <f t="shared" si="1"/>
        <v>12-2023</v>
      </c>
      <c r="D42" s="54" t="str">
        <f t="shared" si="4"/>
        <v/>
      </c>
      <c r="E42" s="54"/>
      <c r="F42" s="54">
        <f>Sanny!$E42-Sanny!$D42</f>
        <v>0</v>
      </c>
      <c r="G42" s="54">
        <f>Sanny!$F42-10</f>
        <v>-10</v>
      </c>
      <c r="H42" s="54"/>
      <c r="I42" s="54"/>
      <c r="J42" s="54"/>
      <c r="K42" s="54"/>
      <c r="L42" s="54"/>
      <c r="M42" s="54"/>
      <c r="N42" s="54"/>
      <c r="O42" s="174"/>
      <c r="P42" s="174"/>
      <c r="Q42" s="174"/>
      <c r="R42" s="174"/>
    </row>
    <row r="43" ht="14.25" customHeight="1">
      <c r="B43" s="160">
        <v>45270.0</v>
      </c>
      <c r="C43" s="141" t="str">
        <f t="shared" si="1"/>
        <v>12-2023</v>
      </c>
      <c r="D43" s="54" t="str">
        <f t="shared" si="4"/>
        <v/>
      </c>
      <c r="E43" s="54"/>
      <c r="F43" s="54">
        <f>Sanny!$E43-Sanny!$D43</f>
        <v>0</v>
      </c>
      <c r="G43" s="54">
        <f>Sanny!$F43-10</f>
        <v>-10</v>
      </c>
      <c r="H43" s="54"/>
      <c r="I43" s="54"/>
      <c r="J43" s="54"/>
      <c r="K43" s="54"/>
      <c r="L43" s="54"/>
      <c r="M43" s="54"/>
      <c r="N43" s="54"/>
      <c r="O43" s="174"/>
      <c r="P43" s="174"/>
      <c r="Q43" s="174"/>
      <c r="R43" s="174"/>
    </row>
    <row r="44" ht="14.25" customHeight="1">
      <c r="B44" s="160">
        <v>45271.0</v>
      </c>
      <c r="C44" s="141" t="str">
        <f t="shared" si="1"/>
        <v>12-2023</v>
      </c>
      <c r="D44" s="54">
        <v>2245.2</v>
      </c>
      <c r="E44" s="54">
        <v>2251.1</v>
      </c>
      <c r="F44" s="54">
        <f>Sanny!$E44-Sanny!$D44</f>
        <v>5.9</v>
      </c>
      <c r="G44" s="54">
        <f>Sanny!$F44-10</f>
        <v>-4.1</v>
      </c>
      <c r="H44" s="54" t="s">
        <v>54</v>
      </c>
      <c r="I44" s="54"/>
      <c r="J44" s="54"/>
      <c r="K44" s="54"/>
      <c r="L44" s="54"/>
      <c r="M44" s="54"/>
      <c r="N44" s="54"/>
      <c r="O44" s="174"/>
      <c r="P44" s="174"/>
      <c r="Q44" s="174"/>
      <c r="R44" s="174"/>
    </row>
    <row r="45" ht="14.25" customHeight="1">
      <c r="B45" s="160">
        <v>45272.0</v>
      </c>
      <c r="C45" s="141" t="str">
        <f t="shared" si="1"/>
        <v>12-2023</v>
      </c>
      <c r="D45" s="54">
        <v>2251.1</v>
      </c>
      <c r="E45" s="54">
        <v>2260.5</v>
      </c>
      <c r="F45" s="54">
        <f>Sanny!$E45-Sanny!$D45</f>
        <v>9.4</v>
      </c>
      <c r="G45" s="54">
        <f>Sanny!$F45-10</f>
        <v>-0.6</v>
      </c>
      <c r="H45" s="54" t="s">
        <v>54</v>
      </c>
      <c r="I45" s="54">
        <v>215.0</v>
      </c>
      <c r="J45" s="54"/>
      <c r="K45" s="54"/>
      <c r="L45" s="54"/>
      <c r="M45" s="54"/>
      <c r="N45" s="54"/>
      <c r="O45" s="174"/>
      <c r="P45" s="174"/>
      <c r="Q45" s="174"/>
      <c r="R45" s="174"/>
    </row>
    <row r="46" ht="14.25" customHeight="1">
      <c r="B46" s="160">
        <v>45273.0</v>
      </c>
      <c r="C46" s="141" t="str">
        <f t="shared" si="1"/>
        <v>12-2023</v>
      </c>
      <c r="D46" s="54">
        <f>E45</f>
        <v>2260.5</v>
      </c>
      <c r="E46" s="54">
        <v>2263.8</v>
      </c>
      <c r="F46" s="54">
        <f>Sanny!$E46-Sanny!$D46</f>
        <v>3.3</v>
      </c>
      <c r="G46" s="54">
        <f>Sanny!$F46-10</f>
        <v>-6.7</v>
      </c>
      <c r="H46" s="54" t="s">
        <v>54</v>
      </c>
      <c r="I46" s="54"/>
      <c r="J46" s="54"/>
      <c r="K46" s="54"/>
      <c r="L46" s="54"/>
      <c r="M46" s="54"/>
      <c r="N46" s="54"/>
      <c r="O46" s="174"/>
      <c r="P46" s="174"/>
      <c r="Q46" s="174"/>
      <c r="R46" s="174"/>
    </row>
    <row r="47" ht="14.25" customHeight="1">
      <c r="B47" s="160">
        <v>45274.0</v>
      </c>
      <c r="C47" s="141" t="str">
        <f t="shared" si="1"/>
        <v>12-2023</v>
      </c>
      <c r="D47" s="54"/>
      <c r="E47" s="54"/>
      <c r="F47" s="54">
        <f>Sanny!$E47-Sanny!$D47</f>
        <v>0</v>
      </c>
      <c r="G47" s="54">
        <f>Sanny!$F47-10</f>
        <v>-10</v>
      </c>
      <c r="H47" s="54"/>
      <c r="I47" s="54"/>
      <c r="J47" s="54"/>
      <c r="K47" s="54"/>
      <c r="L47" s="54"/>
      <c r="M47" s="54"/>
      <c r="N47" s="54"/>
      <c r="O47" s="174"/>
      <c r="P47" s="174"/>
      <c r="Q47" s="174"/>
      <c r="R47" s="174"/>
    </row>
    <row r="48" ht="14.25" customHeight="1">
      <c r="B48" s="160">
        <v>45275.0</v>
      </c>
      <c r="C48" s="141" t="str">
        <f t="shared" si="1"/>
        <v>12-2023</v>
      </c>
      <c r="D48" s="54">
        <v>2263.8</v>
      </c>
      <c r="E48" s="54">
        <v>2273.8</v>
      </c>
      <c r="F48" s="54">
        <f>Sanny!$E48-Sanny!$D48</f>
        <v>10</v>
      </c>
      <c r="G48" s="54">
        <f>Sanny!$F48-10</f>
        <v>0</v>
      </c>
      <c r="H48" s="54" t="s">
        <v>54</v>
      </c>
      <c r="I48" s="54"/>
      <c r="J48" s="54"/>
      <c r="K48" s="54"/>
      <c r="L48" s="54"/>
      <c r="M48" s="54"/>
      <c r="N48" s="54"/>
      <c r="O48" s="174"/>
      <c r="P48" s="174"/>
      <c r="Q48" s="174"/>
      <c r="R48" s="174"/>
    </row>
    <row r="49" ht="14.25" customHeight="1">
      <c r="B49" s="160">
        <v>45276.0</v>
      </c>
      <c r="C49" s="141" t="str">
        <f t="shared" si="1"/>
        <v>12-2023</v>
      </c>
      <c r="D49" s="54">
        <f>E48</f>
        <v>2273.8</v>
      </c>
      <c r="E49" s="54">
        <v>2277.6</v>
      </c>
      <c r="F49" s="54">
        <f>Sanny!$E49-Sanny!$D49</f>
        <v>3.8</v>
      </c>
      <c r="G49" s="54">
        <f>Sanny!$F49-10</f>
        <v>-6.2</v>
      </c>
      <c r="H49" s="54" t="s">
        <v>54</v>
      </c>
      <c r="I49" s="54"/>
      <c r="J49" s="54"/>
      <c r="K49" s="54"/>
      <c r="L49" s="54"/>
      <c r="M49" s="54"/>
      <c r="N49" s="54"/>
      <c r="O49" s="174"/>
      <c r="P49" s="174"/>
      <c r="Q49" s="174"/>
      <c r="R49" s="174"/>
    </row>
    <row r="50" ht="14.25" customHeight="1">
      <c r="B50" s="160">
        <v>45277.0</v>
      </c>
      <c r="C50" s="141" t="str">
        <f t="shared" si="1"/>
        <v>12-2023</v>
      </c>
      <c r="D50" s="54"/>
      <c r="E50" s="54"/>
      <c r="F50" s="54">
        <f>Sanny!$E50-Sanny!$D50</f>
        <v>0</v>
      </c>
      <c r="G50" s="54">
        <f>Sanny!$F50-10</f>
        <v>-10</v>
      </c>
      <c r="H50" s="54"/>
      <c r="I50" s="54"/>
      <c r="J50" s="54"/>
      <c r="K50" s="54"/>
      <c r="L50" s="54"/>
      <c r="M50" s="54"/>
      <c r="N50" s="54"/>
      <c r="O50" s="174"/>
      <c r="P50" s="174"/>
      <c r="Q50" s="174"/>
      <c r="R50" s="174"/>
    </row>
    <row r="51" ht="14.25" customHeight="1">
      <c r="B51" s="160">
        <v>45278.0</v>
      </c>
      <c r="C51" s="141" t="str">
        <f t="shared" si="1"/>
        <v>12-2023</v>
      </c>
      <c r="D51" s="54">
        <v>2277.6</v>
      </c>
      <c r="E51" s="54">
        <v>2287.0</v>
      </c>
      <c r="F51" s="54">
        <f>Sanny!$E51-Sanny!$D51</f>
        <v>9.4</v>
      </c>
      <c r="G51" s="54">
        <f>Sanny!$F51-10</f>
        <v>-0.6</v>
      </c>
      <c r="H51" s="54" t="s">
        <v>54</v>
      </c>
      <c r="I51" s="54">
        <v>150.0</v>
      </c>
      <c r="J51" s="54"/>
      <c r="K51" s="54"/>
      <c r="L51" s="54"/>
      <c r="M51" s="54"/>
      <c r="N51" s="54"/>
      <c r="O51" s="174"/>
      <c r="P51" s="174"/>
      <c r="Q51" s="174"/>
      <c r="R51" s="174"/>
    </row>
    <row r="52" ht="14.25" customHeight="1">
      <c r="B52" s="160">
        <v>45279.0</v>
      </c>
      <c r="C52" s="141" t="str">
        <f t="shared" si="1"/>
        <v>12-2023</v>
      </c>
      <c r="D52" s="54">
        <f t="shared" ref="D52:D55" si="5">E51</f>
        <v>2287</v>
      </c>
      <c r="E52" s="54">
        <v>2296.6</v>
      </c>
      <c r="F52" s="54">
        <f>Sanny!$E52-Sanny!$D52</f>
        <v>9.6</v>
      </c>
      <c r="G52" s="54">
        <f>Sanny!$F52-10</f>
        <v>-0.4</v>
      </c>
      <c r="H52" s="54" t="s">
        <v>54</v>
      </c>
      <c r="I52" s="54"/>
      <c r="J52" s="54"/>
      <c r="K52" s="54"/>
      <c r="L52" s="54"/>
      <c r="M52" s="54"/>
      <c r="N52" s="54"/>
      <c r="O52" s="174"/>
      <c r="P52" s="174"/>
      <c r="Q52" s="174"/>
      <c r="R52" s="174"/>
    </row>
    <row r="53" ht="14.25" customHeight="1">
      <c r="B53" s="160">
        <v>45280.0</v>
      </c>
      <c r="C53" s="141" t="str">
        <f t="shared" si="1"/>
        <v>12-2023</v>
      </c>
      <c r="D53" s="54">
        <f t="shared" si="5"/>
        <v>2296.6</v>
      </c>
      <c r="E53" s="54">
        <v>2306.6</v>
      </c>
      <c r="F53" s="54">
        <f>Sanny!$E53-Sanny!$D53</f>
        <v>10</v>
      </c>
      <c r="G53" s="54">
        <f>Sanny!$F53-10</f>
        <v>0</v>
      </c>
      <c r="H53" s="54" t="s">
        <v>54</v>
      </c>
      <c r="I53" s="54">
        <v>220.0</v>
      </c>
      <c r="J53" s="54"/>
      <c r="K53" s="54"/>
      <c r="L53" s="54"/>
      <c r="M53" s="54"/>
      <c r="N53" s="54"/>
      <c r="O53" s="174"/>
      <c r="P53" s="174"/>
      <c r="Q53" s="174"/>
      <c r="R53" s="174"/>
    </row>
    <row r="54" ht="14.25" customHeight="1">
      <c r="B54" s="160">
        <v>45281.0</v>
      </c>
      <c r="C54" s="141" t="str">
        <f t="shared" si="1"/>
        <v>12-2023</v>
      </c>
      <c r="D54" s="54">
        <f t="shared" si="5"/>
        <v>2306.6</v>
      </c>
      <c r="E54" s="54">
        <v>2316.6</v>
      </c>
      <c r="F54" s="54">
        <f>Sanny!$E54-Sanny!$D54</f>
        <v>10</v>
      </c>
      <c r="G54" s="54">
        <f>Sanny!$F54-10</f>
        <v>0</v>
      </c>
      <c r="H54" s="54" t="s">
        <v>54</v>
      </c>
      <c r="I54" s="54"/>
      <c r="J54" s="54"/>
      <c r="K54" s="54"/>
      <c r="L54" s="54"/>
      <c r="M54" s="54"/>
      <c r="N54" s="54"/>
      <c r="O54" s="174"/>
      <c r="P54" s="174"/>
      <c r="Q54" s="174"/>
      <c r="R54" s="174"/>
    </row>
    <row r="55" ht="14.25" customHeight="1">
      <c r="B55" s="160">
        <v>45282.0</v>
      </c>
      <c r="C55" s="141" t="str">
        <f t="shared" si="1"/>
        <v>12-2023</v>
      </c>
      <c r="D55" s="54">
        <f t="shared" si="5"/>
        <v>2316.6</v>
      </c>
      <c r="E55" s="54">
        <v>2327.6</v>
      </c>
      <c r="F55" s="54">
        <f>Sanny!$E55-Sanny!$D55</f>
        <v>11</v>
      </c>
      <c r="G55" s="54">
        <f>Sanny!$F55-10</f>
        <v>1</v>
      </c>
      <c r="H55" s="54" t="s">
        <v>54</v>
      </c>
      <c r="I55" s="54"/>
      <c r="J55" s="54"/>
      <c r="K55" s="54"/>
      <c r="L55" s="54"/>
      <c r="M55" s="54"/>
      <c r="N55" s="54"/>
      <c r="O55" s="174"/>
      <c r="P55" s="174"/>
      <c r="Q55" s="174"/>
      <c r="R55" s="174"/>
    </row>
    <row r="56" ht="14.25" customHeight="1">
      <c r="B56" s="160">
        <v>45283.0</v>
      </c>
      <c r="C56" s="141" t="str">
        <f t="shared" si="1"/>
        <v>12-2023</v>
      </c>
      <c r="D56" s="54"/>
      <c r="E56" s="54"/>
      <c r="F56" s="54">
        <f>Sanny!$E56-Sanny!$D56</f>
        <v>0</v>
      </c>
      <c r="G56" s="54">
        <f>Sanny!$F56-10</f>
        <v>-10</v>
      </c>
      <c r="H56" s="54"/>
      <c r="I56" s="54"/>
      <c r="J56" s="54"/>
      <c r="K56" s="54"/>
      <c r="L56" s="54"/>
      <c r="M56" s="54"/>
      <c r="N56" s="54"/>
      <c r="O56" s="174"/>
      <c r="P56" s="174"/>
      <c r="Q56" s="174"/>
      <c r="R56" s="174"/>
    </row>
    <row r="57" ht="14.25" customHeight="1">
      <c r="B57" s="160">
        <v>45284.0</v>
      </c>
      <c r="C57" s="141" t="str">
        <f t="shared" si="1"/>
        <v>12-2023</v>
      </c>
      <c r="D57" s="54" t="str">
        <f t="shared" ref="D57:D58" si="6">E56</f>
        <v/>
      </c>
      <c r="E57" s="54"/>
      <c r="F57" s="54">
        <f>Sanny!$E57-Sanny!$D57</f>
        <v>0</v>
      </c>
      <c r="G57" s="54">
        <f>Sanny!$F57-10</f>
        <v>-10</v>
      </c>
      <c r="H57" s="54"/>
      <c r="I57" s="54"/>
      <c r="J57" s="54"/>
      <c r="K57" s="54"/>
      <c r="L57" s="54"/>
      <c r="M57" s="54"/>
      <c r="N57" s="54"/>
      <c r="O57" s="174"/>
      <c r="P57" s="174"/>
      <c r="Q57" s="174"/>
      <c r="R57" s="174"/>
    </row>
    <row r="58" ht="14.25" customHeight="1">
      <c r="B58" s="160">
        <v>45285.0</v>
      </c>
      <c r="C58" s="141" t="str">
        <f t="shared" si="1"/>
        <v>12-2023</v>
      </c>
      <c r="D58" s="54" t="str">
        <f t="shared" si="6"/>
        <v/>
      </c>
      <c r="E58" s="54"/>
      <c r="F58" s="54">
        <f>Sanny!$E58-Sanny!$D58</f>
        <v>0</v>
      </c>
      <c r="G58" s="54">
        <f>Sanny!$F58-10</f>
        <v>-10</v>
      </c>
      <c r="H58" s="54"/>
      <c r="I58" s="54"/>
      <c r="J58" s="54"/>
      <c r="K58" s="54"/>
      <c r="L58" s="54"/>
      <c r="M58" s="54"/>
      <c r="N58" s="54"/>
      <c r="O58" s="174"/>
      <c r="P58" s="174"/>
      <c r="Q58" s="174"/>
      <c r="R58" s="174"/>
    </row>
    <row r="59" ht="14.25" customHeight="1">
      <c r="B59" s="160">
        <v>45286.0</v>
      </c>
      <c r="C59" s="141" t="str">
        <f t="shared" si="1"/>
        <v>12-2023</v>
      </c>
      <c r="D59" s="54">
        <v>2327.6</v>
      </c>
      <c r="E59" s="54">
        <v>2334.8</v>
      </c>
      <c r="F59" s="54">
        <f>Sanny!$E59-Sanny!$D59</f>
        <v>7.2</v>
      </c>
      <c r="G59" s="54">
        <f>Sanny!$F59-10</f>
        <v>-2.8</v>
      </c>
      <c r="H59" s="54" t="s">
        <v>54</v>
      </c>
      <c r="I59" s="54"/>
      <c r="J59" s="54"/>
      <c r="K59" s="54"/>
      <c r="L59" s="54"/>
      <c r="M59" s="54"/>
      <c r="N59" s="54"/>
      <c r="O59" s="174"/>
      <c r="P59" s="174"/>
      <c r="Q59" s="174"/>
      <c r="R59" s="174"/>
    </row>
    <row r="60" ht="14.25" customHeight="1">
      <c r="B60" s="160">
        <v>45287.0</v>
      </c>
      <c r="C60" s="141" t="str">
        <f t="shared" si="1"/>
        <v>12-2023</v>
      </c>
      <c r="D60" s="54">
        <f t="shared" ref="D60:D61" si="7">E59</f>
        <v>2334.8</v>
      </c>
      <c r="E60" s="54">
        <v>2343.4</v>
      </c>
      <c r="F60" s="54">
        <f>Sanny!$E60-Sanny!$D60</f>
        <v>8.6</v>
      </c>
      <c r="G60" s="54">
        <f>Sanny!$F60-10</f>
        <v>-1.4</v>
      </c>
      <c r="H60" s="54" t="s">
        <v>54</v>
      </c>
      <c r="I60" s="54">
        <v>150.0</v>
      </c>
      <c r="J60" s="54"/>
      <c r="K60" s="54"/>
      <c r="L60" s="54"/>
      <c r="M60" s="54"/>
      <c r="N60" s="54"/>
      <c r="O60" s="174"/>
      <c r="P60" s="174"/>
      <c r="Q60" s="174"/>
      <c r="R60" s="174"/>
    </row>
    <row r="61" ht="14.25" customHeight="1">
      <c r="B61" s="160">
        <v>45288.0</v>
      </c>
      <c r="C61" s="141" t="str">
        <f t="shared" si="1"/>
        <v>12-2023</v>
      </c>
      <c r="D61" s="54">
        <f t="shared" si="7"/>
        <v>2343.4</v>
      </c>
      <c r="E61" s="54">
        <v>2353.4</v>
      </c>
      <c r="F61" s="54">
        <f>Sanny!$E61-Sanny!$D61</f>
        <v>10</v>
      </c>
      <c r="G61" s="54">
        <f>Sanny!$F61-10</f>
        <v>0</v>
      </c>
      <c r="H61" s="54" t="s">
        <v>54</v>
      </c>
      <c r="I61" s="54"/>
      <c r="J61" s="54"/>
      <c r="K61" s="54"/>
      <c r="L61" s="54"/>
      <c r="M61" s="54"/>
      <c r="N61" s="54"/>
      <c r="O61" s="174"/>
      <c r="P61" s="174"/>
      <c r="Q61" s="174"/>
      <c r="R61" s="174"/>
    </row>
    <row r="62" ht="14.25" customHeight="1">
      <c r="B62" s="160">
        <v>45289.0</v>
      </c>
      <c r="C62" s="141" t="str">
        <f t="shared" si="1"/>
        <v>12-2023</v>
      </c>
      <c r="D62" s="54"/>
      <c r="E62" s="54"/>
      <c r="F62" s="54">
        <f>Sanny!$E62-Sanny!$D62</f>
        <v>0</v>
      </c>
      <c r="G62" s="54">
        <f>Sanny!$F62-10</f>
        <v>-10</v>
      </c>
      <c r="H62" s="54"/>
      <c r="I62" s="54"/>
      <c r="J62" s="54"/>
      <c r="K62" s="54"/>
      <c r="L62" s="54"/>
      <c r="M62" s="54"/>
      <c r="N62" s="54"/>
      <c r="O62" s="174"/>
      <c r="P62" s="174"/>
      <c r="Q62" s="174"/>
      <c r="R62" s="174"/>
    </row>
    <row r="63" ht="14.25" customHeight="1">
      <c r="B63" s="160">
        <v>45290.0</v>
      </c>
      <c r="C63" s="141" t="str">
        <f t="shared" si="1"/>
        <v>12-2023</v>
      </c>
      <c r="D63" s="54" t="str">
        <f t="shared" ref="D63:D64" si="8">E62</f>
        <v/>
      </c>
      <c r="E63" s="54"/>
      <c r="F63" s="54">
        <f>Sanny!$E63-Sanny!$D63</f>
        <v>0</v>
      </c>
      <c r="G63" s="54">
        <f>'7D1'!$F63-10</f>
        <v>-10</v>
      </c>
      <c r="H63" s="54"/>
      <c r="I63" s="54"/>
      <c r="J63" s="54"/>
      <c r="K63" s="54"/>
      <c r="L63" s="54"/>
      <c r="M63" s="54"/>
      <c r="N63" s="54"/>
      <c r="O63" s="174"/>
      <c r="P63" s="174"/>
      <c r="Q63" s="174"/>
      <c r="R63" s="174"/>
    </row>
    <row r="64" ht="14.25" customHeight="1">
      <c r="B64" s="160">
        <v>45291.0</v>
      </c>
      <c r="C64" s="141" t="str">
        <f t="shared" si="1"/>
        <v>12-2023</v>
      </c>
      <c r="D64" s="54" t="str">
        <f t="shared" si="8"/>
        <v/>
      </c>
      <c r="E64" s="54"/>
      <c r="F64" s="54">
        <f>Sanny!$E64-Sanny!$D64</f>
        <v>0</v>
      </c>
      <c r="G64" s="54">
        <f>'7D1'!$F64-10</f>
        <v>-10</v>
      </c>
      <c r="H64" s="54"/>
      <c r="I64" s="54"/>
      <c r="J64" s="54"/>
      <c r="K64" s="54"/>
      <c r="L64" s="54"/>
      <c r="M64" s="54"/>
      <c r="N64" s="54"/>
      <c r="O64" s="174"/>
      <c r="P64" s="174"/>
      <c r="Q64" s="174"/>
      <c r="R64" s="174"/>
    </row>
    <row r="65" ht="14.25" customHeight="1">
      <c r="B65" s="160">
        <v>45292.0</v>
      </c>
      <c r="C65" s="141" t="str">
        <f t="shared" si="1"/>
        <v>1-2024</v>
      </c>
      <c r="D65" s="54"/>
      <c r="E65" s="54"/>
      <c r="F65" s="54">
        <f>Sanny!$E65-Sanny!$D65</f>
        <v>0</v>
      </c>
      <c r="G65" s="54">
        <f t="shared" ref="G65:G155" si="9">F64-10</f>
        <v>-10</v>
      </c>
      <c r="H65" s="54"/>
      <c r="I65" s="54"/>
      <c r="J65" s="54"/>
      <c r="K65" s="54"/>
      <c r="L65" s="54"/>
      <c r="M65" s="54"/>
      <c r="N65" s="54"/>
      <c r="O65" s="174"/>
      <c r="P65" s="174"/>
      <c r="Q65" s="174"/>
      <c r="R65" s="174"/>
    </row>
    <row r="66" ht="14.25" customHeight="1">
      <c r="B66" s="160">
        <v>45293.0</v>
      </c>
      <c r="C66" s="141" t="str">
        <f t="shared" si="1"/>
        <v>1-2024</v>
      </c>
      <c r="D66" s="54"/>
      <c r="E66" s="54"/>
      <c r="F66" s="54">
        <f>Sanny!$E66-Sanny!$D66</f>
        <v>0</v>
      </c>
      <c r="G66" s="54">
        <f t="shared" si="9"/>
        <v>-10</v>
      </c>
      <c r="H66" s="54"/>
      <c r="I66" s="54"/>
      <c r="J66" s="54"/>
      <c r="K66" s="54"/>
      <c r="L66" s="54"/>
      <c r="M66" s="54"/>
      <c r="N66" s="54"/>
      <c r="O66" s="174"/>
      <c r="P66" s="174"/>
      <c r="Q66" s="174"/>
      <c r="R66" s="174"/>
    </row>
    <row r="67" ht="14.25" customHeight="1">
      <c r="B67" s="160">
        <v>45294.0</v>
      </c>
      <c r="C67" s="141" t="str">
        <f t="shared" si="1"/>
        <v>1-2024</v>
      </c>
      <c r="D67" s="54"/>
      <c r="E67" s="54"/>
      <c r="F67" s="54">
        <f>Sanny!$E67-Sanny!$D67</f>
        <v>0</v>
      </c>
      <c r="G67" s="54">
        <f t="shared" si="9"/>
        <v>-10</v>
      </c>
      <c r="H67" s="54"/>
      <c r="I67" s="54"/>
      <c r="J67" s="54"/>
      <c r="K67" s="54"/>
      <c r="L67" s="54"/>
      <c r="M67" s="54"/>
      <c r="N67" s="54"/>
      <c r="O67" s="174"/>
      <c r="P67" s="174"/>
      <c r="Q67" s="174"/>
      <c r="R67" s="174"/>
    </row>
    <row r="68" ht="14.25" customHeight="1">
      <c r="B68" s="160">
        <v>45295.0</v>
      </c>
      <c r="C68" s="141" t="str">
        <f t="shared" si="1"/>
        <v>1-2024</v>
      </c>
      <c r="D68" s="54"/>
      <c r="E68" s="54"/>
      <c r="F68" s="54">
        <f>Sanny!$E68-Sanny!$D68</f>
        <v>0</v>
      </c>
      <c r="G68" s="54">
        <f t="shared" si="9"/>
        <v>-10</v>
      </c>
      <c r="H68" s="54"/>
      <c r="I68" s="54"/>
      <c r="J68" s="54"/>
      <c r="K68" s="54"/>
      <c r="L68" s="54"/>
      <c r="M68" s="54"/>
      <c r="N68" s="54"/>
      <c r="O68" s="174"/>
      <c r="P68" s="174"/>
      <c r="Q68" s="174"/>
      <c r="R68" s="174"/>
    </row>
    <row r="69" ht="14.25" customHeight="1">
      <c r="B69" s="160">
        <v>45296.0</v>
      </c>
      <c r="C69" s="141" t="str">
        <f t="shared" si="1"/>
        <v>1-2024</v>
      </c>
      <c r="D69" s="54"/>
      <c r="E69" s="54"/>
      <c r="F69" s="54">
        <f>Sanny!$E69-Sanny!$D69</f>
        <v>0</v>
      </c>
      <c r="G69" s="54">
        <f t="shared" si="9"/>
        <v>-10</v>
      </c>
      <c r="H69" s="54"/>
      <c r="I69" s="54"/>
      <c r="J69" s="54"/>
      <c r="K69" s="54"/>
      <c r="L69" s="54"/>
      <c r="M69" s="54"/>
      <c r="N69" s="54"/>
      <c r="O69" s="174"/>
      <c r="P69" s="174"/>
      <c r="Q69" s="174"/>
      <c r="R69" s="174"/>
    </row>
    <row r="70" ht="14.25" customHeight="1">
      <c r="B70" s="160">
        <v>45297.0</v>
      </c>
      <c r="C70" s="141" t="str">
        <f t="shared" si="1"/>
        <v>1-2024</v>
      </c>
      <c r="D70" s="54"/>
      <c r="E70" s="54"/>
      <c r="F70" s="54">
        <f>Sanny!$E70-Sanny!$D70</f>
        <v>0</v>
      </c>
      <c r="G70" s="54">
        <f t="shared" si="9"/>
        <v>-10</v>
      </c>
      <c r="H70" s="54"/>
      <c r="I70" s="54"/>
      <c r="J70" s="54"/>
      <c r="K70" s="54"/>
      <c r="L70" s="54"/>
      <c r="M70" s="54"/>
      <c r="N70" s="54"/>
      <c r="O70" s="174"/>
      <c r="P70" s="174"/>
      <c r="Q70" s="174"/>
      <c r="R70" s="174"/>
    </row>
    <row r="71" ht="14.25" customHeight="1">
      <c r="B71" s="160">
        <v>45298.0</v>
      </c>
      <c r="C71" s="141" t="str">
        <f t="shared" si="1"/>
        <v>1-2024</v>
      </c>
      <c r="D71" s="54"/>
      <c r="E71" s="54"/>
      <c r="F71" s="54">
        <f>Sanny!$E71-Sanny!$D71</f>
        <v>0</v>
      </c>
      <c r="G71" s="54">
        <f t="shared" si="9"/>
        <v>-10</v>
      </c>
      <c r="H71" s="54"/>
      <c r="I71" s="54"/>
      <c r="J71" s="54"/>
      <c r="K71" s="54"/>
      <c r="L71" s="54"/>
      <c r="M71" s="54"/>
      <c r="N71" s="54"/>
      <c r="O71" s="174"/>
      <c r="P71" s="174"/>
      <c r="Q71" s="174"/>
      <c r="R71" s="174"/>
    </row>
    <row r="72" ht="14.25" customHeight="1">
      <c r="B72" s="160">
        <v>45299.0</v>
      </c>
      <c r="C72" s="141" t="str">
        <f t="shared" si="1"/>
        <v>1-2024</v>
      </c>
      <c r="D72" s="54"/>
      <c r="E72" s="54"/>
      <c r="F72" s="54">
        <f>Sanny!$E72-Sanny!$D72</f>
        <v>0</v>
      </c>
      <c r="G72" s="54">
        <f t="shared" si="9"/>
        <v>-10</v>
      </c>
      <c r="H72" s="54"/>
      <c r="I72" s="54"/>
      <c r="J72" s="54"/>
      <c r="K72" s="54"/>
      <c r="L72" s="54"/>
      <c r="M72" s="54"/>
      <c r="N72" s="54"/>
      <c r="O72" s="174"/>
      <c r="P72" s="174"/>
      <c r="Q72" s="174"/>
      <c r="R72" s="174"/>
    </row>
    <row r="73" ht="14.25" customHeight="1">
      <c r="B73" s="160">
        <v>45300.0</v>
      </c>
      <c r="C73" s="141" t="str">
        <f t="shared" si="1"/>
        <v>1-2024</v>
      </c>
      <c r="D73" s="54"/>
      <c r="E73" s="54"/>
      <c r="F73" s="54">
        <f>Sanny!$E73-Sanny!$D73</f>
        <v>0</v>
      </c>
      <c r="G73" s="54">
        <f t="shared" si="9"/>
        <v>-10</v>
      </c>
      <c r="H73" s="54"/>
      <c r="I73" s="54"/>
      <c r="J73" s="54"/>
      <c r="K73" s="54"/>
      <c r="L73" s="54"/>
      <c r="M73" s="54"/>
      <c r="N73" s="54"/>
      <c r="O73" s="174"/>
      <c r="P73" s="174"/>
      <c r="Q73" s="174"/>
      <c r="R73" s="174"/>
    </row>
    <row r="74" ht="14.25" customHeight="1">
      <c r="B74" s="160">
        <v>45301.0</v>
      </c>
      <c r="C74" s="141" t="str">
        <f t="shared" si="1"/>
        <v>1-2024</v>
      </c>
      <c r="D74" s="54"/>
      <c r="E74" s="54"/>
      <c r="F74" s="54">
        <f>Sanny!$E74-Sanny!$D74</f>
        <v>0</v>
      </c>
      <c r="G74" s="54">
        <f t="shared" si="9"/>
        <v>-10</v>
      </c>
      <c r="H74" s="54"/>
      <c r="I74" s="54"/>
      <c r="J74" s="54"/>
      <c r="K74" s="54"/>
      <c r="L74" s="54"/>
      <c r="M74" s="54"/>
      <c r="N74" s="54"/>
      <c r="O74" s="174"/>
      <c r="P74" s="174"/>
      <c r="Q74" s="174"/>
      <c r="R74" s="174"/>
    </row>
    <row r="75" ht="14.25" customHeight="1">
      <c r="B75" s="160">
        <v>45302.0</v>
      </c>
      <c r="C75" s="141" t="str">
        <f t="shared" si="1"/>
        <v>1-2024</v>
      </c>
      <c r="D75" s="54"/>
      <c r="E75" s="54"/>
      <c r="F75" s="54">
        <f>Sanny!$E75-Sanny!$D75</f>
        <v>0</v>
      </c>
      <c r="G75" s="54">
        <f t="shared" si="9"/>
        <v>-10</v>
      </c>
      <c r="H75" s="54"/>
      <c r="I75" s="54"/>
      <c r="J75" s="54"/>
      <c r="K75" s="54"/>
      <c r="L75" s="54"/>
      <c r="M75" s="54"/>
      <c r="N75" s="54"/>
      <c r="O75" s="174"/>
      <c r="P75" s="174"/>
      <c r="Q75" s="174"/>
      <c r="R75" s="174"/>
    </row>
    <row r="76" ht="14.25" customHeight="1">
      <c r="B76" s="160">
        <v>45303.0</v>
      </c>
      <c r="C76" s="141" t="str">
        <f t="shared" si="1"/>
        <v>1-2024</v>
      </c>
      <c r="D76" s="54"/>
      <c r="E76" s="54"/>
      <c r="F76" s="54">
        <f>Sanny!$E76-Sanny!$D76</f>
        <v>0</v>
      </c>
      <c r="G76" s="54">
        <f t="shared" si="9"/>
        <v>-10</v>
      </c>
      <c r="H76" s="54"/>
      <c r="I76" s="54"/>
      <c r="J76" s="54"/>
      <c r="K76" s="54"/>
      <c r="L76" s="54"/>
      <c r="M76" s="54"/>
      <c r="N76" s="54"/>
      <c r="O76" s="174"/>
      <c r="P76" s="174"/>
      <c r="Q76" s="174"/>
      <c r="R76" s="174"/>
    </row>
    <row r="77" ht="14.25" customHeight="1">
      <c r="B77" s="160">
        <v>45304.0</v>
      </c>
      <c r="C77" s="141" t="str">
        <f t="shared" si="1"/>
        <v>1-2024</v>
      </c>
      <c r="D77" s="54"/>
      <c r="E77" s="54"/>
      <c r="F77" s="54">
        <f>Sanny!$E77-Sanny!$D77</f>
        <v>0</v>
      </c>
      <c r="G77" s="54">
        <f t="shared" si="9"/>
        <v>-10</v>
      </c>
      <c r="H77" s="54"/>
      <c r="I77" s="54"/>
      <c r="J77" s="54"/>
      <c r="K77" s="54"/>
      <c r="L77" s="54"/>
      <c r="M77" s="54"/>
      <c r="N77" s="54"/>
      <c r="O77" s="174"/>
      <c r="P77" s="174"/>
      <c r="Q77" s="174"/>
      <c r="R77" s="174"/>
    </row>
    <row r="78" ht="14.25" customHeight="1">
      <c r="B78" s="160">
        <v>45305.0</v>
      </c>
      <c r="C78" s="141" t="str">
        <f t="shared" si="1"/>
        <v>1-2024</v>
      </c>
      <c r="D78" s="54"/>
      <c r="E78" s="54"/>
      <c r="F78" s="54">
        <f>Sanny!$E78-Sanny!$D78</f>
        <v>0</v>
      </c>
      <c r="G78" s="54">
        <f t="shared" si="9"/>
        <v>-10</v>
      </c>
      <c r="H78" s="54"/>
      <c r="I78" s="54"/>
      <c r="J78" s="54"/>
      <c r="K78" s="54"/>
      <c r="L78" s="54"/>
      <c r="M78" s="54"/>
      <c r="N78" s="54"/>
      <c r="O78" s="174"/>
      <c r="P78" s="174"/>
      <c r="Q78" s="174"/>
      <c r="R78" s="174"/>
    </row>
    <row r="79" ht="14.25" customHeight="1">
      <c r="B79" s="160">
        <v>45306.0</v>
      </c>
      <c r="C79" s="141" t="str">
        <f t="shared" si="1"/>
        <v>1-2024</v>
      </c>
      <c r="D79" s="54"/>
      <c r="E79" s="54"/>
      <c r="F79" s="54">
        <f>Sanny!$E79-Sanny!$D79</f>
        <v>0</v>
      </c>
      <c r="G79" s="54">
        <f t="shared" si="9"/>
        <v>-10</v>
      </c>
      <c r="H79" s="54"/>
      <c r="I79" s="54"/>
      <c r="J79" s="54"/>
      <c r="K79" s="54"/>
      <c r="L79" s="54"/>
      <c r="M79" s="54"/>
      <c r="N79" s="54"/>
      <c r="O79" s="174"/>
      <c r="P79" s="174"/>
      <c r="Q79" s="174"/>
      <c r="R79" s="174"/>
    </row>
    <row r="80" ht="14.25" customHeight="1">
      <c r="B80" s="160">
        <v>45307.0</v>
      </c>
      <c r="C80" s="141" t="str">
        <f t="shared" si="1"/>
        <v>1-2024</v>
      </c>
      <c r="D80" s="54"/>
      <c r="E80" s="54"/>
      <c r="F80" s="54">
        <f>Sanny!$E80-Sanny!$D80</f>
        <v>0</v>
      </c>
      <c r="G80" s="54">
        <f t="shared" si="9"/>
        <v>-10</v>
      </c>
      <c r="H80" s="54"/>
      <c r="I80" s="54"/>
      <c r="J80" s="54"/>
      <c r="K80" s="54"/>
      <c r="L80" s="54"/>
      <c r="M80" s="54"/>
      <c r="N80" s="54"/>
      <c r="O80" s="174"/>
      <c r="P80" s="174"/>
      <c r="Q80" s="174"/>
      <c r="R80" s="174"/>
    </row>
    <row r="81" ht="14.25" customHeight="1">
      <c r="B81" s="160">
        <v>45308.0</v>
      </c>
      <c r="C81" s="141" t="str">
        <f t="shared" si="1"/>
        <v>1-2024</v>
      </c>
      <c r="D81" s="54"/>
      <c r="E81" s="54"/>
      <c r="F81" s="54">
        <f>Sanny!$E81-Sanny!$D81</f>
        <v>0</v>
      </c>
      <c r="G81" s="54">
        <f t="shared" si="9"/>
        <v>-10</v>
      </c>
      <c r="H81" s="54"/>
      <c r="I81" s="54"/>
      <c r="J81" s="54"/>
      <c r="K81" s="54"/>
      <c r="L81" s="54"/>
      <c r="M81" s="54"/>
      <c r="N81" s="54"/>
      <c r="O81" s="174"/>
      <c r="P81" s="174"/>
      <c r="Q81" s="174"/>
      <c r="R81" s="174"/>
    </row>
    <row r="82" ht="14.25" customHeight="1">
      <c r="B82" s="160">
        <v>45309.0</v>
      </c>
      <c r="C82" s="141" t="str">
        <f t="shared" si="1"/>
        <v>1-2024</v>
      </c>
      <c r="D82" s="54"/>
      <c r="E82" s="54"/>
      <c r="F82" s="54">
        <f>Sanny!$E82-Sanny!$D82</f>
        <v>0</v>
      </c>
      <c r="G82" s="54">
        <f t="shared" si="9"/>
        <v>-10</v>
      </c>
      <c r="H82" s="54"/>
      <c r="I82" s="54"/>
      <c r="J82" s="54"/>
      <c r="K82" s="54"/>
      <c r="L82" s="54"/>
      <c r="M82" s="54"/>
      <c r="N82" s="54"/>
      <c r="O82" s="174"/>
      <c r="P82" s="174"/>
      <c r="Q82" s="174"/>
      <c r="R82" s="174"/>
    </row>
    <row r="83" ht="14.25" customHeight="1">
      <c r="B83" s="160">
        <v>45310.0</v>
      </c>
      <c r="C83" s="141" t="str">
        <f t="shared" si="1"/>
        <v>1-2024</v>
      </c>
      <c r="D83" s="54"/>
      <c r="E83" s="54"/>
      <c r="F83" s="54">
        <f>Sanny!$E83-Sanny!$D83</f>
        <v>0</v>
      </c>
      <c r="G83" s="54">
        <f t="shared" si="9"/>
        <v>-10</v>
      </c>
      <c r="H83" s="54"/>
      <c r="I83" s="54"/>
      <c r="J83" s="54"/>
      <c r="K83" s="54"/>
      <c r="L83" s="54"/>
      <c r="M83" s="54"/>
      <c r="N83" s="54"/>
      <c r="O83" s="174"/>
      <c r="P83" s="174"/>
      <c r="Q83" s="174"/>
      <c r="R83" s="174"/>
    </row>
    <row r="84" ht="14.25" customHeight="1">
      <c r="B84" s="160">
        <v>45311.0</v>
      </c>
      <c r="C84" s="141" t="str">
        <f t="shared" si="1"/>
        <v>1-2024</v>
      </c>
      <c r="D84" s="54"/>
      <c r="E84" s="54"/>
      <c r="F84" s="54">
        <f>Sanny!$E84-Sanny!$D84</f>
        <v>0</v>
      </c>
      <c r="G84" s="54">
        <f t="shared" si="9"/>
        <v>-10</v>
      </c>
      <c r="H84" s="54"/>
      <c r="I84" s="54"/>
      <c r="J84" s="54"/>
      <c r="K84" s="54"/>
      <c r="L84" s="54"/>
      <c r="M84" s="54"/>
      <c r="N84" s="54"/>
      <c r="O84" s="174"/>
      <c r="P84" s="174"/>
      <c r="Q84" s="174"/>
      <c r="R84" s="174"/>
    </row>
    <row r="85" ht="14.25" customHeight="1">
      <c r="B85" s="160">
        <v>45312.0</v>
      </c>
      <c r="C85" s="141" t="str">
        <f t="shared" si="1"/>
        <v>1-2024</v>
      </c>
      <c r="D85" s="54"/>
      <c r="E85" s="54"/>
      <c r="F85" s="54">
        <f>Sanny!$E85-Sanny!$D85</f>
        <v>0</v>
      </c>
      <c r="G85" s="54">
        <f t="shared" si="9"/>
        <v>-10</v>
      </c>
      <c r="H85" s="54"/>
      <c r="I85" s="54"/>
      <c r="J85" s="54"/>
      <c r="K85" s="54"/>
      <c r="L85" s="54"/>
      <c r="M85" s="54"/>
      <c r="N85" s="54"/>
      <c r="O85" s="174"/>
      <c r="P85" s="174"/>
      <c r="Q85" s="174"/>
      <c r="R85" s="174"/>
    </row>
    <row r="86" ht="14.25" customHeight="1">
      <c r="B86" s="160">
        <v>45313.0</v>
      </c>
      <c r="C86" s="141" t="str">
        <f t="shared" si="1"/>
        <v>1-2024</v>
      </c>
      <c r="D86" s="54"/>
      <c r="E86" s="54"/>
      <c r="F86" s="54">
        <f>Sanny!$E86-Sanny!$D86</f>
        <v>0</v>
      </c>
      <c r="G86" s="54">
        <f t="shared" si="9"/>
        <v>-10</v>
      </c>
      <c r="H86" s="54"/>
      <c r="I86" s="54"/>
      <c r="J86" s="54"/>
      <c r="K86" s="54"/>
      <c r="L86" s="54"/>
      <c r="M86" s="54"/>
      <c r="N86" s="54"/>
      <c r="O86" s="174"/>
      <c r="P86" s="174"/>
      <c r="Q86" s="174"/>
      <c r="R86" s="174"/>
    </row>
    <row r="87" ht="14.25" customHeight="1">
      <c r="B87" s="160">
        <v>45314.0</v>
      </c>
      <c r="C87" s="141" t="str">
        <f t="shared" si="1"/>
        <v>1-2024</v>
      </c>
      <c r="D87" s="54"/>
      <c r="E87" s="54"/>
      <c r="F87" s="54">
        <f>Sanny!$E87-Sanny!$D87</f>
        <v>0</v>
      </c>
      <c r="G87" s="54">
        <f t="shared" si="9"/>
        <v>-10</v>
      </c>
      <c r="H87" s="54"/>
      <c r="I87" s="54"/>
      <c r="J87" s="54"/>
      <c r="K87" s="54"/>
      <c r="L87" s="54"/>
      <c r="M87" s="54"/>
      <c r="N87" s="54"/>
      <c r="O87" s="174"/>
      <c r="P87" s="174"/>
      <c r="Q87" s="174"/>
      <c r="R87" s="174"/>
    </row>
    <row r="88" ht="14.25" customHeight="1">
      <c r="B88" s="160">
        <v>45315.0</v>
      </c>
      <c r="C88" s="141" t="str">
        <f t="shared" si="1"/>
        <v>1-2024</v>
      </c>
      <c r="D88" s="54"/>
      <c r="E88" s="54"/>
      <c r="F88" s="54">
        <f>Sanny!$E88-Sanny!$D88</f>
        <v>0</v>
      </c>
      <c r="G88" s="54">
        <f t="shared" si="9"/>
        <v>-10</v>
      </c>
      <c r="H88" s="54"/>
      <c r="I88" s="54"/>
      <c r="J88" s="54"/>
      <c r="K88" s="54"/>
      <c r="L88" s="54"/>
      <c r="M88" s="54"/>
      <c r="N88" s="54"/>
      <c r="O88" s="174"/>
      <c r="P88" s="174"/>
      <c r="Q88" s="174"/>
      <c r="R88" s="174"/>
    </row>
    <row r="89" ht="14.25" customHeight="1">
      <c r="B89" s="160">
        <v>45316.0</v>
      </c>
      <c r="C89" s="141" t="str">
        <f t="shared" si="1"/>
        <v>1-2024</v>
      </c>
      <c r="D89" s="54"/>
      <c r="E89" s="54"/>
      <c r="F89" s="54">
        <f>Sanny!$E89-Sanny!$D89</f>
        <v>0</v>
      </c>
      <c r="G89" s="54">
        <f t="shared" si="9"/>
        <v>-10</v>
      </c>
      <c r="H89" s="54"/>
      <c r="I89" s="54"/>
      <c r="J89" s="54"/>
      <c r="K89" s="54"/>
      <c r="L89" s="54"/>
      <c r="M89" s="54"/>
      <c r="N89" s="54"/>
      <c r="O89" s="174"/>
      <c r="P89" s="174"/>
      <c r="Q89" s="174"/>
      <c r="R89" s="174"/>
    </row>
    <row r="90" ht="14.25" customHeight="1">
      <c r="B90" s="160">
        <v>45317.0</v>
      </c>
      <c r="C90" s="141" t="str">
        <f t="shared" si="1"/>
        <v>1-2024</v>
      </c>
      <c r="D90" s="54"/>
      <c r="E90" s="54"/>
      <c r="F90" s="54">
        <f>Sanny!$E90-Sanny!$D90</f>
        <v>0</v>
      </c>
      <c r="G90" s="54">
        <f t="shared" si="9"/>
        <v>-10</v>
      </c>
      <c r="H90" s="54"/>
      <c r="I90" s="54"/>
      <c r="J90" s="54"/>
      <c r="K90" s="54"/>
      <c r="L90" s="54"/>
      <c r="M90" s="54"/>
      <c r="N90" s="54"/>
      <c r="O90" s="174"/>
      <c r="P90" s="174"/>
      <c r="Q90" s="174"/>
      <c r="R90" s="174"/>
    </row>
    <row r="91" ht="14.25" customHeight="1">
      <c r="B91" s="160">
        <v>45318.0</v>
      </c>
      <c r="C91" s="141" t="str">
        <f t="shared" si="1"/>
        <v>1-2024</v>
      </c>
      <c r="D91" s="54"/>
      <c r="E91" s="54"/>
      <c r="F91" s="54">
        <f>Sanny!$E91-Sanny!$D91</f>
        <v>0</v>
      </c>
      <c r="G91" s="54">
        <f t="shared" si="9"/>
        <v>-10</v>
      </c>
      <c r="H91" s="54"/>
      <c r="I91" s="54"/>
      <c r="J91" s="54"/>
      <c r="K91" s="54"/>
      <c r="L91" s="54"/>
      <c r="M91" s="54"/>
      <c r="N91" s="54"/>
      <c r="O91" s="174"/>
      <c r="P91" s="174"/>
      <c r="Q91" s="174"/>
      <c r="R91" s="174"/>
    </row>
    <row r="92" ht="14.25" customHeight="1">
      <c r="B92" s="160">
        <v>45319.0</v>
      </c>
      <c r="C92" s="141" t="str">
        <f t="shared" si="1"/>
        <v>1-2024</v>
      </c>
      <c r="D92" s="54"/>
      <c r="E92" s="54"/>
      <c r="F92" s="54">
        <f>Sanny!$E92-Sanny!$D92</f>
        <v>0</v>
      </c>
      <c r="G92" s="54">
        <f t="shared" si="9"/>
        <v>-10</v>
      </c>
      <c r="H92" s="54"/>
      <c r="I92" s="54"/>
      <c r="J92" s="54"/>
      <c r="K92" s="54"/>
      <c r="L92" s="54"/>
      <c r="M92" s="54"/>
      <c r="N92" s="54"/>
      <c r="O92" s="174"/>
      <c r="P92" s="174"/>
      <c r="Q92" s="174"/>
      <c r="R92" s="174"/>
    </row>
    <row r="93" ht="14.25" customHeight="1">
      <c r="B93" s="160">
        <v>45320.0</v>
      </c>
      <c r="C93" s="141" t="str">
        <f t="shared" si="1"/>
        <v>1-2024</v>
      </c>
      <c r="D93" s="54"/>
      <c r="E93" s="54"/>
      <c r="F93" s="54">
        <f>Sanny!$E93-Sanny!$D93</f>
        <v>0</v>
      </c>
      <c r="G93" s="54">
        <f t="shared" si="9"/>
        <v>-10</v>
      </c>
      <c r="H93" s="54"/>
      <c r="I93" s="54"/>
      <c r="J93" s="54"/>
      <c r="K93" s="54"/>
      <c r="L93" s="54"/>
      <c r="M93" s="54"/>
      <c r="N93" s="54"/>
      <c r="O93" s="174"/>
      <c r="P93" s="174"/>
      <c r="Q93" s="174"/>
      <c r="R93" s="174"/>
    </row>
    <row r="94" ht="14.25" customHeight="1">
      <c r="B94" s="160">
        <v>45321.0</v>
      </c>
      <c r="C94" s="141" t="str">
        <f t="shared" si="1"/>
        <v>1-2024</v>
      </c>
      <c r="D94" s="54"/>
      <c r="E94" s="54"/>
      <c r="F94" s="54">
        <f>Sanny!$E94-Sanny!$D94</f>
        <v>0</v>
      </c>
      <c r="G94" s="54">
        <f t="shared" si="9"/>
        <v>-10</v>
      </c>
      <c r="H94" s="54"/>
      <c r="I94" s="54"/>
      <c r="J94" s="54"/>
      <c r="K94" s="54"/>
      <c r="L94" s="54"/>
      <c r="M94" s="54"/>
      <c r="N94" s="54"/>
      <c r="O94" s="174"/>
      <c r="P94" s="174"/>
      <c r="Q94" s="174"/>
      <c r="R94" s="174"/>
    </row>
    <row r="95" ht="14.25" customHeight="1">
      <c r="B95" s="160">
        <v>45322.0</v>
      </c>
      <c r="C95" s="141" t="str">
        <f t="shared" si="1"/>
        <v>1-2024</v>
      </c>
      <c r="D95" s="54"/>
      <c r="E95" s="54"/>
      <c r="F95" s="54">
        <f>Sanny!$E95-Sanny!$D95</f>
        <v>0</v>
      </c>
      <c r="G95" s="54">
        <f t="shared" si="9"/>
        <v>-10</v>
      </c>
      <c r="H95" s="54"/>
      <c r="I95" s="54"/>
      <c r="J95" s="54"/>
      <c r="K95" s="54"/>
      <c r="L95" s="54"/>
      <c r="M95" s="54"/>
      <c r="N95" s="54"/>
      <c r="O95" s="174"/>
      <c r="P95" s="174"/>
      <c r="Q95" s="174"/>
      <c r="R95" s="174"/>
    </row>
    <row r="96" ht="14.25" customHeight="1">
      <c r="B96" s="160">
        <v>45323.0</v>
      </c>
      <c r="C96" s="141" t="str">
        <f t="shared" si="1"/>
        <v>2-2024</v>
      </c>
      <c r="D96" s="54"/>
      <c r="E96" s="54"/>
      <c r="F96" s="54">
        <f>Sanny!$E96-Sanny!$D96</f>
        <v>0</v>
      </c>
      <c r="G96" s="54">
        <f t="shared" si="9"/>
        <v>-10</v>
      </c>
      <c r="H96" s="54"/>
      <c r="I96" s="54"/>
      <c r="J96" s="54"/>
      <c r="K96" s="54"/>
      <c r="L96" s="54"/>
      <c r="M96" s="54"/>
      <c r="N96" s="54"/>
      <c r="O96" s="174"/>
      <c r="P96" s="174"/>
      <c r="Q96" s="174"/>
      <c r="R96" s="174"/>
    </row>
    <row r="97" ht="14.25" customHeight="1">
      <c r="B97" s="160">
        <v>45324.0</v>
      </c>
      <c r="C97" s="141" t="str">
        <f t="shared" si="1"/>
        <v>2-2024</v>
      </c>
      <c r="D97" s="54"/>
      <c r="E97" s="54"/>
      <c r="F97" s="54">
        <f>Sanny!$E97-Sanny!$D97</f>
        <v>0</v>
      </c>
      <c r="G97" s="54">
        <f t="shared" si="9"/>
        <v>-10</v>
      </c>
      <c r="H97" s="54"/>
      <c r="I97" s="54"/>
      <c r="J97" s="54"/>
      <c r="K97" s="54"/>
      <c r="L97" s="54"/>
      <c r="M97" s="54"/>
      <c r="N97" s="54"/>
      <c r="O97" s="174"/>
      <c r="P97" s="174"/>
      <c r="Q97" s="174"/>
      <c r="R97" s="174"/>
    </row>
    <row r="98" ht="14.25" customHeight="1">
      <c r="B98" s="160">
        <v>45325.0</v>
      </c>
      <c r="C98" s="141" t="str">
        <f t="shared" si="1"/>
        <v>2-2024</v>
      </c>
      <c r="D98" s="54"/>
      <c r="E98" s="54"/>
      <c r="F98" s="54">
        <f>Sanny!$E98-Sanny!$D98</f>
        <v>0</v>
      </c>
      <c r="G98" s="54">
        <f t="shared" si="9"/>
        <v>-10</v>
      </c>
      <c r="H98" s="54"/>
      <c r="I98" s="54"/>
      <c r="J98" s="54"/>
      <c r="K98" s="54"/>
      <c r="L98" s="54"/>
      <c r="M98" s="54"/>
      <c r="N98" s="54"/>
      <c r="O98" s="174"/>
      <c r="P98" s="174"/>
      <c r="Q98" s="174"/>
      <c r="R98" s="174"/>
    </row>
    <row r="99" ht="14.25" customHeight="1">
      <c r="B99" s="160">
        <v>45326.0</v>
      </c>
      <c r="C99" s="141" t="str">
        <f t="shared" si="1"/>
        <v>2-2024</v>
      </c>
      <c r="D99" s="54"/>
      <c r="E99" s="54"/>
      <c r="F99" s="54">
        <f>Sanny!$E99-Sanny!$D99</f>
        <v>0</v>
      </c>
      <c r="G99" s="54">
        <f t="shared" si="9"/>
        <v>-10</v>
      </c>
      <c r="H99" s="54"/>
      <c r="I99" s="54"/>
      <c r="J99" s="54"/>
      <c r="K99" s="54"/>
      <c r="L99" s="54"/>
      <c r="M99" s="54"/>
      <c r="N99" s="54"/>
      <c r="O99" s="174"/>
      <c r="P99" s="174"/>
      <c r="Q99" s="174"/>
      <c r="R99" s="174"/>
    </row>
    <row r="100" ht="14.25" customHeight="1">
      <c r="B100" s="160">
        <v>45327.0</v>
      </c>
      <c r="C100" s="141" t="str">
        <f t="shared" si="1"/>
        <v>2-2024</v>
      </c>
      <c r="D100" s="54"/>
      <c r="E100" s="54"/>
      <c r="F100" s="54">
        <f>Sanny!$E100-Sanny!$D100</f>
        <v>0</v>
      </c>
      <c r="G100" s="54">
        <f t="shared" si="9"/>
        <v>-10</v>
      </c>
      <c r="H100" s="54"/>
      <c r="I100" s="54"/>
      <c r="J100" s="54"/>
      <c r="K100" s="54"/>
      <c r="L100" s="54"/>
      <c r="M100" s="54"/>
      <c r="N100" s="54"/>
      <c r="O100" s="174"/>
      <c r="P100" s="174"/>
      <c r="Q100" s="174"/>
      <c r="R100" s="174"/>
    </row>
    <row r="101" ht="14.25" customHeight="1">
      <c r="B101" s="160">
        <v>45328.0</v>
      </c>
      <c r="C101" s="141" t="str">
        <f t="shared" si="1"/>
        <v>2-2024</v>
      </c>
      <c r="D101" s="54"/>
      <c r="E101" s="54"/>
      <c r="F101" s="54">
        <f>Sanny!$E101-Sanny!$D101</f>
        <v>0</v>
      </c>
      <c r="G101" s="54">
        <f t="shared" si="9"/>
        <v>-10</v>
      </c>
      <c r="H101" s="54"/>
      <c r="I101" s="54"/>
      <c r="J101" s="54"/>
      <c r="K101" s="54"/>
      <c r="L101" s="54"/>
      <c r="M101" s="54"/>
      <c r="N101" s="54"/>
      <c r="O101" s="174"/>
      <c r="P101" s="174"/>
      <c r="Q101" s="174"/>
      <c r="R101" s="174"/>
    </row>
    <row r="102" ht="14.25" customHeight="1">
      <c r="B102" s="160">
        <v>45329.0</v>
      </c>
      <c r="C102" s="141" t="str">
        <f t="shared" si="1"/>
        <v>2-2024</v>
      </c>
      <c r="D102" s="54"/>
      <c r="E102" s="54"/>
      <c r="F102" s="54">
        <f>Sanny!$E102-Sanny!$D102</f>
        <v>0</v>
      </c>
      <c r="G102" s="54">
        <f t="shared" si="9"/>
        <v>-10</v>
      </c>
      <c r="H102" s="54"/>
      <c r="I102" s="54"/>
      <c r="J102" s="54"/>
      <c r="K102" s="54"/>
      <c r="L102" s="54"/>
      <c r="M102" s="54"/>
      <c r="N102" s="54"/>
      <c r="O102" s="174"/>
      <c r="P102" s="174"/>
      <c r="Q102" s="174"/>
      <c r="R102" s="174"/>
    </row>
    <row r="103" ht="14.25" customHeight="1">
      <c r="B103" s="160">
        <v>45330.0</v>
      </c>
      <c r="C103" s="141" t="str">
        <f t="shared" si="1"/>
        <v>2-2024</v>
      </c>
      <c r="D103" s="54"/>
      <c r="E103" s="54"/>
      <c r="F103" s="54">
        <f>Sanny!$E103-Sanny!$D103</f>
        <v>0</v>
      </c>
      <c r="G103" s="54">
        <f t="shared" si="9"/>
        <v>-10</v>
      </c>
      <c r="H103" s="54"/>
      <c r="I103" s="54"/>
      <c r="J103" s="54"/>
      <c r="K103" s="54"/>
      <c r="L103" s="54"/>
      <c r="M103" s="54"/>
      <c r="N103" s="54"/>
      <c r="O103" s="174"/>
      <c r="P103" s="174"/>
      <c r="Q103" s="174"/>
      <c r="R103" s="174"/>
    </row>
    <row r="104" ht="14.25" customHeight="1">
      <c r="B104" s="160">
        <v>45331.0</v>
      </c>
      <c r="C104" s="141" t="str">
        <f t="shared" si="1"/>
        <v>2-2024</v>
      </c>
      <c r="D104" s="54"/>
      <c r="E104" s="54"/>
      <c r="F104" s="54">
        <f>Sanny!$E104-Sanny!$D104</f>
        <v>0</v>
      </c>
      <c r="G104" s="54">
        <f t="shared" si="9"/>
        <v>-10</v>
      </c>
      <c r="H104" s="54"/>
      <c r="I104" s="54"/>
      <c r="J104" s="54"/>
      <c r="K104" s="54"/>
      <c r="L104" s="54"/>
      <c r="M104" s="54"/>
      <c r="N104" s="54"/>
      <c r="O104" s="174"/>
      <c r="P104" s="174"/>
      <c r="Q104" s="174"/>
      <c r="R104" s="174"/>
    </row>
    <row r="105" ht="14.25" customHeight="1">
      <c r="B105" s="160">
        <v>45332.0</v>
      </c>
      <c r="C105" s="141" t="str">
        <f t="shared" si="1"/>
        <v>2-2024</v>
      </c>
      <c r="D105" s="54"/>
      <c r="E105" s="54"/>
      <c r="F105" s="54">
        <f>Sanny!$E105-Sanny!$D105</f>
        <v>0</v>
      </c>
      <c r="G105" s="54">
        <f t="shared" si="9"/>
        <v>-10</v>
      </c>
      <c r="H105" s="54"/>
      <c r="I105" s="54"/>
      <c r="J105" s="54"/>
      <c r="K105" s="54"/>
      <c r="L105" s="54"/>
      <c r="M105" s="54"/>
      <c r="N105" s="54"/>
      <c r="O105" s="174"/>
      <c r="P105" s="174"/>
      <c r="Q105" s="174"/>
      <c r="R105" s="174"/>
    </row>
    <row r="106" ht="14.25" customHeight="1">
      <c r="B106" s="160">
        <v>45333.0</v>
      </c>
      <c r="C106" s="141" t="str">
        <f t="shared" si="1"/>
        <v>2-2024</v>
      </c>
      <c r="D106" s="54"/>
      <c r="E106" s="54"/>
      <c r="F106" s="54">
        <f>Sanny!$E106-Sanny!$D106</f>
        <v>0</v>
      </c>
      <c r="G106" s="54">
        <f t="shared" si="9"/>
        <v>-10</v>
      </c>
      <c r="H106" s="54"/>
      <c r="I106" s="54"/>
      <c r="J106" s="54"/>
      <c r="K106" s="54"/>
      <c r="L106" s="54"/>
      <c r="M106" s="54"/>
      <c r="N106" s="54"/>
      <c r="O106" s="174"/>
      <c r="P106" s="174"/>
      <c r="Q106" s="174"/>
      <c r="R106" s="174"/>
    </row>
    <row r="107" ht="14.25" customHeight="1">
      <c r="B107" s="160">
        <v>45334.0</v>
      </c>
      <c r="C107" s="141" t="str">
        <f t="shared" si="1"/>
        <v>2-2024</v>
      </c>
      <c r="D107" s="54"/>
      <c r="E107" s="54"/>
      <c r="F107" s="54">
        <f>Sanny!$E107-Sanny!$D107</f>
        <v>0</v>
      </c>
      <c r="G107" s="54">
        <f t="shared" si="9"/>
        <v>-10</v>
      </c>
      <c r="H107" s="54"/>
      <c r="I107" s="54"/>
      <c r="J107" s="54"/>
      <c r="K107" s="54"/>
      <c r="L107" s="54"/>
      <c r="M107" s="54"/>
      <c r="N107" s="54"/>
      <c r="O107" s="174"/>
      <c r="P107" s="174"/>
      <c r="Q107" s="174"/>
      <c r="R107" s="174"/>
    </row>
    <row r="108" ht="14.25" customHeight="1">
      <c r="B108" s="160">
        <v>45335.0</v>
      </c>
      <c r="C108" s="141" t="str">
        <f t="shared" si="1"/>
        <v>2-2024</v>
      </c>
      <c r="D108" s="54"/>
      <c r="E108" s="54"/>
      <c r="F108" s="54">
        <f>Sanny!$E108-Sanny!$D108</f>
        <v>0</v>
      </c>
      <c r="G108" s="54">
        <f t="shared" si="9"/>
        <v>-10</v>
      </c>
      <c r="H108" s="54"/>
      <c r="I108" s="54"/>
      <c r="J108" s="54"/>
      <c r="K108" s="54"/>
      <c r="L108" s="54"/>
      <c r="M108" s="54"/>
      <c r="N108" s="54"/>
      <c r="O108" s="174"/>
      <c r="P108" s="174"/>
      <c r="Q108" s="174"/>
      <c r="R108" s="174"/>
    </row>
    <row r="109" ht="14.25" customHeight="1">
      <c r="B109" s="160">
        <v>45336.0</v>
      </c>
      <c r="C109" s="141" t="str">
        <f t="shared" si="1"/>
        <v>2-2024</v>
      </c>
      <c r="D109" s="54"/>
      <c r="E109" s="54"/>
      <c r="F109" s="54">
        <f>Sanny!$E109-Sanny!$D109</f>
        <v>0</v>
      </c>
      <c r="G109" s="54">
        <f t="shared" si="9"/>
        <v>-10</v>
      </c>
      <c r="H109" s="54"/>
      <c r="I109" s="54"/>
      <c r="J109" s="54"/>
      <c r="K109" s="54"/>
      <c r="L109" s="54"/>
      <c r="M109" s="54"/>
      <c r="N109" s="54"/>
      <c r="O109" s="174"/>
      <c r="P109" s="174"/>
      <c r="Q109" s="174"/>
      <c r="R109" s="174"/>
    </row>
    <row r="110" ht="14.25" customHeight="1">
      <c r="B110" s="160">
        <v>45337.0</v>
      </c>
      <c r="C110" s="141" t="str">
        <f t="shared" si="1"/>
        <v>2-2024</v>
      </c>
      <c r="D110" s="54"/>
      <c r="E110" s="54"/>
      <c r="F110" s="54">
        <f>Sanny!$E110-Sanny!$D110</f>
        <v>0</v>
      </c>
      <c r="G110" s="54">
        <f t="shared" si="9"/>
        <v>-10</v>
      </c>
      <c r="H110" s="54"/>
      <c r="I110" s="54"/>
      <c r="J110" s="54"/>
      <c r="K110" s="54"/>
      <c r="L110" s="54"/>
      <c r="M110" s="54"/>
      <c r="N110" s="54"/>
      <c r="O110" s="174"/>
      <c r="P110" s="174"/>
      <c r="Q110" s="174"/>
      <c r="R110" s="174"/>
    </row>
    <row r="111" ht="14.25" customHeight="1">
      <c r="B111" s="160">
        <v>45338.0</v>
      </c>
      <c r="C111" s="141" t="str">
        <f t="shared" si="1"/>
        <v>2-2024</v>
      </c>
      <c r="D111" s="54"/>
      <c r="E111" s="54"/>
      <c r="F111" s="54">
        <f>Sanny!$E111-Sanny!$D111</f>
        <v>0</v>
      </c>
      <c r="G111" s="54">
        <f t="shared" si="9"/>
        <v>-10</v>
      </c>
      <c r="H111" s="54"/>
      <c r="I111" s="54"/>
      <c r="J111" s="54"/>
      <c r="K111" s="54"/>
      <c r="L111" s="54"/>
      <c r="M111" s="54"/>
      <c r="N111" s="54"/>
      <c r="O111" s="174"/>
      <c r="P111" s="174"/>
      <c r="Q111" s="174"/>
      <c r="R111" s="174"/>
    </row>
    <row r="112" ht="14.25" customHeight="1">
      <c r="B112" s="160">
        <v>45339.0</v>
      </c>
      <c r="C112" s="141" t="str">
        <f t="shared" si="1"/>
        <v>2-2024</v>
      </c>
      <c r="D112" s="54"/>
      <c r="E112" s="54"/>
      <c r="F112" s="54">
        <f>Sanny!$E112-Sanny!$D112</f>
        <v>0</v>
      </c>
      <c r="G112" s="54">
        <f t="shared" si="9"/>
        <v>-10</v>
      </c>
      <c r="H112" s="54"/>
      <c r="I112" s="54"/>
      <c r="J112" s="54"/>
      <c r="K112" s="54"/>
      <c r="L112" s="54"/>
      <c r="M112" s="54"/>
      <c r="N112" s="54"/>
      <c r="O112" s="174"/>
      <c r="P112" s="174"/>
      <c r="Q112" s="174"/>
      <c r="R112" s="174"/>
    </row>
    <row r="113" ht="14.25" customHeight="1">
      <c r="B113" s="160">
        <v>45340.0</v>
      </c>
      <c r="C113" s="141" t="str">
        <f t="shared" si="1"/>
        <v>2-2024</v>
      </c>
      <c r="D113" s="54"/>
      <c r="E113" s="54"/>
      <c r="F113" s="54">
        <f>Sanny!$E113-Sanny!$D113</f>
        <v>0</v>
      </c>
      <c r="G113" s="54">
        <f t="shared" si="9"/>
        <v>-10</v>
      </c>
      <c r="H113" s="54"/>
      <c r="I113" s="54"/>
      <c r="J113" s="54"/>
      <c r="K113" s="54"/>
      <c r="L113" s="54"/>
      <c r="M113" s="54"/>
      <c r="N113" s="54"/>
      <c r="O113" s="174"/>
      <c r="P113" s="174"/>
      <c r="Q113" s="174"/>
      <c r="R113" s="174"/>
    </row>
    <row r="114" ht="14.25" customHeight="1">
      <c r="B114" s="160">
        <v>45341.0</v>
      </c>
      <c r="C114" s="141" t="str">
        <f t="shared" si="1"/>
        <v>2-2024</v>
      </c>
      <c r="D114" s="54"/>
      <c r="E114" s="54"/>
      <c r="F114" s="54">
        <f>Sanny!$E114-Sanny!$D114</f>
        <v>0</v>
      </c>
      <c r="G114" s="54">
        <f t="shared" si="9"/>
        <v>-10</v>
      </c>
      <c r="H114" s="54"/>
      <c r="I114" s="54"/>
      <c r="J114" s="54"/>
      <c r="K114" s="54"/>
      <c r="L114" s="54"/>
      <c r="M114" s="54"/>
      <c r="N114" s="54"/>
      <c r="O114" s="174"/>
      <c r="P114" s="174"/>
      <c r="Q114" s="174"/>
      <c r="R114" s="174"/>
    </row>
    <row r="115" ht="14.25" customHeight="1">
      <c r="B115" s="160">
        <v>45342.0</v>
      </c>
      <c r="C115" s="141" t="str">
        <f t="shared" si="1"/>
        <v>2-2024</v>
      </c>
      <c r="D115" s="54"/>
      <c r="E115" s="54"/>
      <c r="F115" s="54">
        <f>Sanny!$E115-Sanny!$D115</f>
        <v>0</v>
      </c>
      <c r="G115" s="54">
        <f t="shared" si="9"/>
        <v>-10</v>
      </c>
      <c r="H115" s="54"/>
      <c r="I115" s="54"/>
      <c r="J115" s="54"/>
      <c r="K115" s="54"/>
      <c r="L115" s="54"/>
      <c r="M115" s="54"/>
      <c r="N115" s="54"/>
      <c r="O115" s="174"/>
      <c r="P115" s="174"/>
      <c r="Q115" s="174"/>
      <c r="R115" s="174"/>
    </row>
    <row r="116" ht="14.25" customHeight="1">
      <c r="B116" s="160">
        <v>45343.0</v>
      </c>
      <c r="C116" s="141" t="str">
        <f t="shared" si="1"/>
        <v>2-2024</v>
      </c>
      <c r="D116" s="54"/>
      <c r="E116" s="54"/>
      <c r="F116" s="54">
        <f>Sanny!$E116-Sanny!$D116</f>
        <v>0</v>
      </c>
      <c r="G116" s="54">
        <f t="shared" si="9"/>
        <v>-10</v>
      </c>
      <c r="H116" s="54"/>
      <c r="I116" s="54"/>
      <c r="J116" s="54"/>
      <c r="K116" s="54"/>
      <c r="L116" s="54"/>
      <c r="M116" s="54"/>
      <c r="N116" s="54"/>
      <c r="O116" s="174"/>
      <c r="P116" s="174"/>
      <c r="Q116" s="174"/>
      <c r="R116" s="174"/>
    </row>
    <row r="117" ht="14.25" customHeight="1">
      <c r="B117" s="160">
        <v>45344.0</v>
      </c>
      <c r="C117" s="141" t="str">
        <f t="shared" si="1"/>
        <v>2-2024</v>
      </c>
      <c r="D117" s="54"/>
      <c r="E117" s="54"/>
      <c r="F117" s="54">
        <f>Sanny!$E117-Sanny!$D117</f>
        <v>0</v>
      </c>
      <c r="G117" s="54">
        <f t="shared" si="9"/>
        <v>-10</v>
      </c>
      <c r="H117" s="54"/>
      <c r="I117" s="54"/>
      <c r="J117" s="54"/>
      <c r="K117" s="54"/>
      <c r="L117" s="54"/>
      <c r="M117" s="54"/>
      <c r="N117" s="54"/>
      <c r="O117" s="174"/>
      <c r="P117" s="174"/>
      <c r="Q117" s="174"/>
      <c r="R117" s="174"/>
    </row>
    <row r="118" ht="14.25" customHeight="1">
      <c r="B118" s="160">
        <v>45345.0</v>
      </c>
      <c r="C118" s="141" t="str">
        <f t="shared" si="1"/>
        <v>2-2024</v>
      </c>
      <c r="D118" s="54"/>
      <c r="E118" s="54"/>
      <c r="F118" s="54">
        <f>Sanny!$E118-Sanny!$D118</f>
        <v>0</v>
      </c>
      <c r="G118" s="54">
        <f t="shared" si="9"/>
        <v>-10</v>
      </c>
      <c r="H118" s="54"/>
      <c r="I118" s="54"/>
      <c r="J118" s="54"/>
      <c r="K118" s="54"/>
      <c r="L118" s="54"/>
      <c r="M118" s="54"/>
      <c r="N118" s="54"/>
      <c r="O118" s="174"/>
      <c r="P118" s="174"/>
      <c r="Q118" s="174"/>
      <c r="R118" s="174"/>
    </row>
    <row r="119" ht="14.25" customHeight="1">
      <c r="B119" s="160">
        <v>45346.0</v>
      </c>
      <c r="C119" s="141" t="str">
        <f t="shared" si="1"/>
        <v>2-2024</v>
      </c>
      <c r="D119" s="54"/>
      <c r="E119" s="54"/>
      <c r="F119" s="54">
        <f>Sanny!$E119-Sanny!$D119</f>
        <v>0</v>
      </c>
      <c r="G119" s="54">
        <f t="shared" si="9"/>
        <v>-10</v>
      </c>
      <c r="H119" s="54"/>
      <c r="I119" s="54"/>
      <c r="J119" s="54"/>
      <c r="K119" s="54"/>
      <c r="L119" s="54"/>
      <c r="M119" s="54"/>
      <c r="N119" s="54"/>
      <c r="O119" s="174"/>
      <c r="P119" s="174"/>
      <c r="Q119" s="174"/>
      <c r="R119" s="174"/>
    </row>
    <row r="120" ht="14.25" customHeight="1">
      <c r="B120" s="160">
        <v>45347.0</v>
      </c>
      <c r="C120" s="141" t="str">
        <f t="shared" si="1"/>
        <v>2-2024</v>
      </c>
      <c r="D120" s="54"/>
      <c r="E120" s="54"/>
      <c r="F120" s="54">
        <f>Sanny!$E120-Sanny!$D120</f>
        <v>0</v>
      </c>
      <c r="G120" s="54">
        <f t="shared" si="9"/>
        <v>-10</v>
      </c>
      <c r="H120" s="54"/>
      <c r="I120" s="54"/>
      <c r="J120" s="54"/>
      <c r="K120" s="54"/>
      <c r="L120" s="54"/>
      <c r="M120" s="54"/>
      <c r="N120" s="54"/>
      <c r="O120" s="174"/>
      <c r="P120" s="174"/>
      <c r="Q120" s="174"/>
      <c r="R120" s="174"/>
    </row>
    <row r="121" ht="14.25" customHeight="1">
      <c r="B121" s="160">
        <v>45348.0</v>
      </c>
      <c r="C121" s="141" t="str">
        <f t="shared" si="1"/>
        <v>2-2024</v>
      </c>
      <c r="D121" s="54"/>
      <c r="E121" s="54"/>
      <c r="F121" s="54">
        <f>Sanny!$E121-Sanny!$D121</f>
        <v>0</v>
      </c>
      <c r="G121" s="54">
        <f t="shared" si="9"/>
        <v>-10</v>
      </c>
      <c r="H121" s="54"/>
      <c r="I121" s="54"/>
      <c r="J121" s="54"/>
      <c r="K121" s="54"/>
      <c r="L121" s="54"/>
      <c r="M121" s="54"/>
      <c r="N121" s="54"/>
      <c r="O121" s="174"/>
      <c r="P121" s="174"/>
      <c r="Q121" s="174"/>
      <c r="R121" s="174"/>
    </row>
    <row r="122" ht="14.25" customHeight="1">
      <c r="B122" s="160">
        <v>45349.0</v>
      </c>
      <c r="C122" s="141" t="str">
        <f t="shared" si="1"/>
        <v>2-2024</v>
      </c>
      <c r="D122" s="54"/>
      <c r="E122" s="54"/>
      <c r="F122" s="54">
        <f>Sanny!$E122-Sanny!$D122</f>
        <v>0</v>
      </c>
      <c r="G122" s="54">
        <f t="shared" si="9"/>
        <v>-10</v>
      </c>
      <c r="H122" s="54"/>
      <c r="I122" s="54"/>
      <c r="J122" s="54"/>
      <c r="K122" s="54"/>
      <c r="L122" s="54"/>
      <c r="M122" s="54"/>
      <c r="N122" s="54"/>
      <c r="O122" s="174"/>
      <c r="P122" s="174"/>
      <c r="Q122" s="174"/>
      <c r="R122" s="174"/>
    </row>
    <row r="123" ht="14.25" customHeight="1">
      <c r="B123" s="160">
        <v>45350.0</v>
      </c>
      <c r="C123" s="141" t="str">
        <f t="shared" si="1"/>
        <v>2-2024</v>
      </c>
      <c r="D123" s="54"/>
      <c r="E123" s="54"/>
      <c r="F123" s="54">
        <f>Sanny!$E123-Sanny!$D123</f>
        <v>0</v>
      </c>
      <c r="G123" s="54">
        <f t="shared" si="9"/>
        <v>-10</v>
      </c>
      <c r="H123" s="54"/>
      <c r="I123" s="54"/>
      <c r="J123" s="54"/>
      <c r="K123" s="54"/>
      <c r="L123" s="54"/>
      <c r="M123" s="54"/>
      <c r="N123" s="54"/>
      <c r="O123" s="174"/>
      <c r="P123" s="174"/>
      <c r="Q123" s="174"/>
      <c r="R123" s="174"/>
    </row>
    <row r="124" ht="14.25" customHeight="1">
      <c r="B124" s="160">
        <v>45351.0</v>
      </c>
      <c r="C124" s="141" t="str">
        <f t="shared" si="1"/>
        <v>2-2024</v>
      </c>
      <c r="D124" s="54"/>
      <c r="E124" s="54"/>
      <c r="F124" s="54">
        <f>Sanny!$E124-Sanny!$D124</f>
        <v>0</v>
      </c>
      <c r="G124" s="54">
        <f t="shared" si="9"/>
        <v>-10</v>
      </c>
      <c r="H124" s="54"/>
      <c r="I124" s="54"/>
      <c r="J124" s="54"/>
      <c r="K124" s="54"/>
      <c r="L124" s="54"/>
      <c r="M124" s="54"/>
      <c r="N124" s="54"/>
      <c r="O124" s="174"/>
      <c r="P124" s="174"/>
      <c r="Q124" s="174"/>
      <c r="R124" s="174"/>
    </row>
    <row r="125" ht="14.25" customHeight="1">
      <c r="B125" s="160">
        <v>45352.0</v>
      </c>
      <c r="C125" s="141" t="str">
        <f t="shared" si="1"/>
        <v>3-2024</v>
      </c>
      <c r="D125" s="54"/>
      <c r="E125" s="54"/>
      <c r="F125" s="54">
        <f>Sanny!$E125-Sanny!$D125</f>
        <v>0</v>
      </c>
      <c r="G125" s="54">
        <f t="shared" si="9"/>
        <v>-10</v>
      </c>
      <c r="H125" s="54"/>
      <c r="I125" s="54"/>
      <c r="J125" s="54"/>
      <c r="K125" s="54"/>
      <c r="L125" s="54"/>
      <c r="M125" s="54"/>
      <c r="N125" s="54"/>
      <c r="O125" s="174"/>
      <c r="P125" s="174"/>
      <c r="Q125" s="174"/>
      <c r="R125" s="174"/>
    </row>
    <row r="126" ht="14.25" customHeight="1">
      <c r="B126" s="160">
        <v>45353.0</v>
      </c>
      <c r="C126" s="141" t="str">
        <f t="shared" si="1"/>
        <v>3-2024</v>
      </c>
      <c r="D126" s="54"/>
      <c r="E126" s="54"/>
      <c r="F126" s="54">
        <f>Sanny!$E126-Sanny!$D126</f>
        <v>0</v>
      </c>
      <c r="G126" s="54">
        <f t="shared" si="9"/>
        <v>-10</v>
      </c>
      <c r="H126" s="54"/>
      <c r="I126" s="54"/>
      <c r="J126" s="54"/>
      <c r="K126" s="54"/>
      <c r="L126" s="54"/>
      <c r="M126" s="54"/>
      <c r="N126" s="54"/>
      <c r="O126" s="174"/>
      <c r="P126" s="174"/>
      <c r="Q126" s="174"/>
      <c r="R126" s="174"/>
    </row>
    <row r="127" ht="14.25" customHeight="1">
      <c r="B127" s="160">
        <v>45354.0</v>
      </c>
      <c r="C127" s="141" t="str">
        <f t="shared" si="1"/>
        <v>3-2024</v>
      </c>
      <c r="D127" s="54"/>
      <c r="E127" s="54"/>
      <c r="F127" s="54">
        <f>Sanny!$E127-Sanny!$D127</f>
        <v>0</v>
      </c>
      <c r="G127" s="54">
        <f t="shared" si="9"/>
        <v>-10</v>
      </c>
      <c r="H127" s="54"/>
      <c r="I127" s="54"/>
      <c r="J127" s="54"/>
      <c r="K127" s="54"/>
      <c r="L127" s="54"/>
      <c r="M127" s="54"/>
      <c r="N127" s="54"/>
      <c r="O127" s="174"/>
      <c r="P127" s="174"/>
      <c r="Q127" s="174"/>
      <c r="R127" s="174"/>
    </row>
    <row r="128" ht="14.25" customHeight="1">
      <c r="B128" s="160">
        <v>45355.0</v>
      </c>
      <c r="C128" s="141" t="str">
        <f t="shared" si="1"/>
        <v>3-2024</v>
      </c>
      <c r="D128" s="54"/>
      <c r="E128" s="54"/>
      <c r="F128" s="54">
        <f>Sanny!$E128-Sanny!$D128</f>
        <v>0</v>
      </c>
      <c r="G128" s="54">
        <f t="shared" si="9"/>
        <v>-10</v>
      </c>
      <c r="H128" s="54"/>
      <c r="I128" s="54"/>
      <c r="J128" s="54"/>
      <c r="K128" s="54"/>
      <c r="L128" s="54"/>
      <c r="M128" s="54"/>
      <c r="N128" s="54"/>
      <c r="O128" s="174"/>
      <c r="P128" s="174"/>
      <c r="Q128" s="174"/>
      <c r="R128" s="174"/>
    </row>
    <row r="129" ht="14.25" customHeight="1">
      <c r="B129" s="160">
        <v>45356.0</v>
      </c>
      <c r="C129" s="141" t="str">
        <f t="shared" si="1"/>
        <v>3-2024</v>
      </c>
      <c r="D129" s="54"/>
      <c r="E129" s="54"/>
      <c r="F129" s="54">
        <f>Sanny!$E129-Sanny!$D129</f>
        <v>0</v>
      </c>
      <c r="G129" s="54">
        <f t="shared" si="9"/>
        <v>-10</v>
      </c>
      <c r="H129" s="54"/>
      <c r="I129" s="54"/>
      <c r="J129" s="54"/>
      <c r="K129" s="54"/>
      <c r="L129" s="54"/>
      <c r="M129" s="54"/>
      <c r="N129" s="54"/>
      <c r="O129" s="174"/>
      <c r="P129" s="174"/>
      <c r="Q129" s="174"/>
      <c r="R129" s="174"/>
    </row>
    <row r="130" ht="14.25" customHeight="1">
      <c r="B130" s="160">
        <v>45357.0</v>
      </c>
      <c r="C130" s="141" t="str">
        <f t="shared" si="1"/>
        <v>3-2024</v>
      </c>
      <c r="D130" s="54"/>
      <c r="E130" s="54"/>
      <c r="F130" s="54">
        <f>Sanny!$E130-Sanny!$D130</f>
        <v>0</v>
      </c>
      <c r="G130" s="54">
        <f t="shared" si="9"/>
        <v>-10</v>
      </c>
      <c r="H130" s="54"/>
      <c r="I130" s="54"/>
      <c r="J130" s="54"/>
      <c r="K130" s="54"/>
      <c r="L130" s="54"/>
      <c r="M130" s="54"/>
      <c r="N130" s="54"/>
      <c r="O130" s="174"/>
      <c r="P130" s="174"/>
      <c r="Q130" s="174"/>
      <c r="R130" s="174"/>
    </row>
    <row r="131" ht="14.25" customHeight="1">
      <c r="B131" s="160">
        <v>45358.0</v>
      </c>
      <c r="C131" s="141" t="str">
        <f t="shared" si="1"/>
        <v>3-2024</v>
      </c>
      <c r="D131" s="54"/>
      <c r="E131" s="54"/>
      <c r="F131" s="54">
        <f>Sanny!$E131-Sanny!$D131</f>
        <v>0</v>
      </c>
      <c r="G131" s="54">
        <f t="shared" si="9"/>
        <v>-10</v>
      </c>
      <c r="H131" s="54"/>
      <c r="I131" s="54"/>
      <c r="J131" s="54"/>
      <c r="K131" s="54"/>
      <c r="L131" s="54"/>
      <c r="M131" s="54"/>
      <c r="N131" s="54"/>
      <c r="O131" s="174"/>
      <c r="P131" s="174"/>
      <c r="Q131" s="174"/>
      <c r="R131" s="174"/>
    </row>
    <row r="132" ht="14.25" customHeight="1">
      <c r="B132" s="160">
        <v>45359.0</v>
      </c>
      <c r="C132" s="141" t="str">
        <f t="shared" si="1"/>
        <v>3-2024</v>
      </c>
      <c r="D132" s="54"/>
      <c r="E132" s="54"/>
      <c r="F132" s="54">
        <f>Sanny!$E132-Sanny!$D132</f>
        <v>0</v>
      </c>
      <c r="G132" s="54">
        <f t="shared" si="9"/>
        <v>-10</v>
      </c>
      <c r="H132" s="54"/>
      <c r="I132" s="54"/>
      <c r="J132" s="54"/>
      <c r="K132" s="54"/>
      <c r="L132" s="54"/>
      <c r="M132" s="54"/>
      <c r="N132" s="54"/>
      <c r="O132" s="174"/>
      <c r="P132" s="174"/>
      <c r="Q132" s="174"/>
      <c r="R132" s="174"/>
    </row>
    <row r="133" ht="14.25" customHeight="1">
      <c r="B133" s="160">
        <v>45360.0</v>
      </c>
      <c r="C133" s="141" t="str">
        <f t="shared" si="1"/>
        <v>3-2024</v>
      </c>
      <c r="D133" s="54"/>
      <c r="E133" s="54"/>
      <c r="F133" s="54">
        <f>Sanny!$E133-Sanny!$D133</f>
        <v>0</v>
      </c>
      <c r="G133" s="54">
        <f t="shared" si="9"/>
        <v>-10</v>
      </c>
      <c r="H133" s="54"/>
      <c r="I133" s="54"/>
      <c r="J133" s="54"/>
      <c r="K133" s="54"/>
      <c r="L133" s="54"/>
      <c r="M133" s="54"/>
      <c r="N133" s="54"/>
      <c r="O133" s="174"/>
      <c r="P133" s="174"/>
      <c r="Q133" s="174"/>
      <c r="R133" s="174"/>
    </row>
    <row r="134" ht="14.25" customHeight="1">
      <c r="B134" s="160">
        <v>45361.0</v>
      </c>
      <c r="C134" s="141" t="str">
        <f t="shared" si="1"/>
        <v>3-2024</v>
      </c>
      <c r="D134" s="54"/>
      <c r="E134" s="54"/>
      <c r="F134" s="54">
        <f>Sanny!$E134-Sanny!$D134</f>
        <v>0</v>
      </c>
      <c r="G134" s="54">
        <f t="shared" si="9"/>
        <v>-10</v>
      </c>
      <c r="H134" s="54"/>
      <c r="I134" s="54"/>
      <c r="J134" s="54"/>
      <c r="K134" s="54"/>
      <c r="L134" s="54"/>
      <c r="M134" s="54"/>
      <c r="N134" s="54"/>
      <c r="O134" s="174"/>
      <c r="P134" s="174"/>
      <c r="Q134" s="174"/>
      <c r="R134" s="174"/>
    </row>
    <row r="135" ht="14.25" customHeight="1">
      <c r="B135" s="160">
        <v>45362.0</v>
      </c>
      <c r="C135" s="141" t="str">
        <f t="shared" si="1"/>
        <v>3-2024</v>
      </c>
      <c r="D135" s="138"/>
      <c r="E135" s="138"/>
      <c r="F135" s="54">
        <f>Sanny!$E135-Sanny!$D135</f>
        <v>0</v>
      </c>
      <c r="G135" s="54">
        <f t="shared" si="9"/>
        <v>-10</v>
      </c>
      <c r="H135" s="54"/>
      <c r="I135" s="54"/>
      <c r="J135" s="54"/>
      <c r="K135" s="54"/>
      <c r="L135" s="54"/>
      <c r="M135" s="54"/>
      <c r="N135" s="54"/>
      <c r="O135" s="174"/>
      <c r="P135" s="174"/>
      <c r="Q135" s="174"/>
      <c r="R135" s="174"/>
    </row>
    <row r="136" ht="14.25" customHeight="1">
      <c r="B136" s="160">
        <v>45363.0</v>
      </c>
      <c r="C136" s="141" t="str">
        <f t="shared" si="1"/>
        <v>3-2024</v>
      </c>
      <c r="D136" s="138"/>
      <c r="E136" s="138"/>
      <c r="F136" s="54">
        <f>Sanny!$E136-Sanny!$D136</f>
        <v>0</v>
      </c>
      <c r="G136" s="54">
        <f t="shared" si="9"/>
        <v>-10</v>
      </c>
      <c r="H136" s="54"/>
      <c r="I136" s="54"/>
      <c r="J136" s="54"/>
      <c r="K136" s="54"/>
      <c r="L136" s="54"/>
      <c r="M136" s="54"/>
      <c r="N136" s="54"/>
      <c r="O136" s="174"/>
      <c r="P136" s="174"/>
      <c r="Q136" s="174"/>
      <c r="R136" s="174"/>
    </row>
    <row r="137" ht="14.25" customHeight="1">
      <c r="B137" s="160">
        <v>45364.0</v>
      </c>
      <c r="C137" s="141" t="str">
        <f t="shared" si="1"/>
        <v>3-2024</v>
      </c>
      <c r="D137" s="54"/>
      <c r="E137" s="54"/>
      <c r="F137" s="54">
        <f>Sanny!$E137-Sanny!$D137</f>
        <v>0</v>
      </c>
      <c r="G137" s="54">
        <f t="shared" si="9"/>
        <v>-10</v>
      </c>
      <c r="H137" s="54"/>
      <c r="I137" s="54"/>
      <c r="J137" s="54"/>
      <c r="K137" s="54"/>
      <c r="L137" s="54"/>
      <c r="M137" s="54"/>
      <c r="N137" s="54"/>
      <c r="O137" s="174"/>
      <c r="P137" s="174"/>
      <c r="Q137" s="174"/>
      <c r="R137" s="174"/>
    </row>
    <row r="138" ht="14.25" customHeight="1">
      <c r="B138" s="160">
        <v>45365.0</v>
      </c>
      <c r="C138" s="141" t="str">
        <f t="shared" si="1"/>
        <v>3-2024</v>
      </c>
      <c r="D138" s="138"/>
      <c r="E138" s="138"/>
      <c r="F138" s="54">
        <f>Sanny!$E138-Sanny!$D138</f>
        <v>0</v>
      </c>
      <c r="G138" s="54">
        <f t="shared" si="9"/>
        <v>-10</v>
      </c>
      <c r="H138" s="54"/>
      <c r="I138" s="54"/>
      <c r="J138" s="54"/>
      <c r="K138" s="54"/>
      <c r="L138" s="54"/>
      <c r="M138" s="54"/>
      <c r="N138" s="54"/>
      <c r="O138" s="174"/>
      <c r="P138" s="174"/>
      <c r="Q138" s="174"/>
      <c r="R138" s="174"/>
    </row>
    <row r="139" ht="14.25" customHeight="1">
      <c r="B139" s="160">
        <v>45366.0</v>
      </c>
      <c r="C139" s="141" t="str">
        <f t="shared" si="1"/>
        <v>3-2024</v>
      </c>
      <c r="D139" s="138"/>
      <c r="E139" s="138"/>
      <c r="F139" s="54">
        <f>Sanny!$E139-Sanny!$D139</f>
        <v>0</v>
      </c>
      <c r="G139" s="54">
        <f t="shared" si="9"/>
        <v>-10</v>
      </c>
      <c r="H139" s="54"/>
      <c r="I139" s="54"/>
      <c r="J139" s="54"/>
      <c r="K139" s="54"/>
      <c r="L139" s="54"/>
      <c r="M139" s="54"/>
      <c r="N139" s="54"/>
      <c r="O139" s="174"/>
      <c r="P139" s="174"/>
      <c r="Q139" s="174"/>
      <c r="R139" s="174"/>
    </row>
    <row r="140" ht="14.25" customHeight="1">
      <c r="B140" s="160">
        <v>45367.0</v>
      </c>
      <c r="C140" s="141" t="str">
        <f t="shared" si="1"/>
        <v>3-2024</v>
      </c>
      <c r="D140" s="54"/>
      <c r="E140" s="54"/>
      <c r="F140" s="54">
        <f>Sanny!$E140-Sanny!$D140</f>
        <v>0</v>
      </c>
      <c r="G140" s="54">
        <f t="shared" si="9"/>
        <v>-10</v>
      </c>
      <c r="H140" s="54"/>
      <c r="I140" s="54"/>
      <c r="J140" s="54"/>
      <c r="K140" s="54"/>
      <c r="L140" s="54"/>
      <c r="M140" s="54"/>
      <c r="N140" s="54"/>
      <c r="O140" s="174"/>
      <c r="P140" s="174"/>
      <c r="Q140" s="174"/>
      <c r="R140" s="174"/>
    </row>
    <row r="141" ht="14.25" customHeight="1">
      <c r="B141" s="160">
        <v>45368.0</v>
      </c>
      <c r="C141" s="141" t="str">
        <f t="shared" si="1"/>
        <v>3-2024</v>
      </c>
      <c r="D141" s="54"/>
      <c r="E141" s="54"/>
      <c r="F141" s="54">
        <f>Sanny!$E141-Sanny!$D141</f>
        <v>0</v>
      </c>
      <c r="G141" s="54">
        <f t="shared" si="9"/>
        <v>-10</v>
      </c>
      <c r="H141" s="54"/>
      <c r="I141" s="54"/>
      <c r="J141" s="54"/>
      <c r="K141" s="54"/>
      <c r="L141" s="54"/>
      <c r="M141" s="54"/>
      <c r="N141" s="54"/>
      <c r="O141" s="174"/>
      <c r="P141" s="174"/>
      <c r="Q141" s="174"/>
      <c r="R141" s="174"/>
    </row>
    <row r="142" ht="14.25" customHeight="1">
      <c r="B142" s="160">
        <v>45369.0</v>
      </c>
      <c r="C142" s="141" t="str">
        <f t="shared" si="1"/>
        <v>3-2024</v>
      </c>
      <c r="D142" s="138"/>
      <c r="E142" s="54"/>
      <c r="F142" s="54">
        <f>Sanny!$E142-Sanny!$D142</f>
        <v>0</v>
      </c>
      <c r="G142" s="54">
        <f t="shared" si="9"/>
        <v>-10</v>
      </c>
      <c r="H142" s="54"/>
      <c r="I142" s="54"/>
      <c r="J142" s="54"/>
      <c r="K142" s="54"/>
      <c r="L142" s="54"/>
      <c r="M142" s="54"/>
      <c r="N142" s="54"/>
      <c r="O142" s="174"/>
      <c r="P142" s="174"/>
      <c r="Q142" s="174"/>
      <c r="R142" s="174"/>
    </row>
    <row r="143" ht="14.25" customHeight="1">
      <c r="B143" s="160">
        <v>45370.0</v>
      </c>
      <c r="C143" s="141" t="str">
        <f t="shared" si="1"/>
        <v>3-2024</v>
      </c>
      <c r="D143" s="54"/>
      <c r="E143" s="54"/>
      <c r="F143" s="54">
        <f>Sanny!$E143-Sanny!$D143</f>
        <v>0</v>
      </c>
      <c r="G143" s="54">
        <f t="shared" si="9"/>
        <v>-10</v>
      </c>
      <c r="H143" s="54"/>
      <c r="I143" s="54"/>
      <c r="J143" s="54"/>
      <c r="K143" s="54"/>
      <c r="L143" s="54"/>
      <c r="M143" s="54"/>
      <c r="N143" s="54"/>
      <c r="O143" s="174"/>
      <c r="P143" s="174"/>
      <c r="Q143" s="174"/>
      <c r="R143" s="174"/>
    </row>
    <row r="144" ht="14.25" customHeight="1">
      <c r="B144" s="160">
        <v>45371.0</v>
      </c>
      <c r="C144" s="141" t="str">
        <f t="shared" si="1"/>
        <v>3-2024</v>
      </c>
      <c r="D144" s="54"/>
      <c r="E144" s="54"/>
      <c r="F144" s="54">
        <f>Sanny!$E144-Sanny!$D144</f>
        <v>0</v>
      </c>
      <c r="G144" s="54">
        <f t="shared" si="9"/>
        <v>-10</v>
      </c>
      <c r="H144" s="54"/>
      <c r="I144" s="54"/>
      <c r="J144" s="54"/>
      <c r="K144" s="54"/>
      <c r="L144" s="54"/>
      <c r="M144" s="54"/>
      <c r="N144" s="54"/>
      <c r="O144" s="174"/>
      <c r="P144" s="174"/>
      <c r="Q144" s="174"/>
      <c r="R144" s="174"/>
    </row>
    <row r="145" ht="14.25" customHeight="1">
      <c r="B145" s="160">
        <v>45372.0</v>
      </c>
      <c r="C145" s="141" t="str">
        <f t="shared" si="1"/>
        <v>3-2024</v>
      </c>
      <c r="D145" s="54"/>
      <c r="E145" s="54"/>
      <c r="F145" s="54">
        <f>Sanny!$E145-Sanny!$D145</f>
        <v>0</v>
      </c>
      <c r="G145" s="54">
        <f t="shared" si="9"/>
        <v>-10</v>
      </c>
      <c r="H145" s="54"/>
      <c r="I145" s="54"/>
      <c r="J145" s="54"/>
      <c r="K145" s="54"/>
      <c r="L145" s="54"/>
      <c r="M145" s="54"/>
      <c r="N145" s="54"/>
      <c r="O145" s="174"/>
      <c r="P145" s="174"/>
      <c r="Q145" s="174"/>
      <c r="R145" s="174"/>
    </row>
    <row r="146" ht="14.25" customHeight="1">
      <c r="B146" s="160">
        <v>45373.0</v>
      </c>
      <c r="C146" s="141" t="str">
        <f t="shared" si="1"/>
        <v>3-2024</v>
      </c>
      <c r="D146" s="54"/>
      <c r="E146" s="54"/>
      <c r="F146" s="54">
        <f>Sanny!$E146-Sanny!$D146</f>
        <v>0</v>
      </c>
      <c r="G146" s="54">
        <f t="shared" si="9"/>
        <v>-10</v>
      </c>
      <c r="H146" s="54"/>
      <c r="I146" s="54"/>
      <c r="J146" s="54"/>
      <c r="K146" s="54"/>
      <c r="L146" s="54"/>
      <c r="M146" s="54"/>
      <c r="N146" s="54"/>
      <c r="O146" s="174"/>
      <c r="P146" s="174"/>
      <c r="Q146" s="174"/>
      <c r="R146" s="174"/>
    </row>
    <row r="147" ht="14.25" customHeight="1">
      <c r="B147" s="160">
        <v>45374.0</v>
      </c>
      <c r="C147" s="141" t="str">
        <f t="shared" si="1"/>
        <v>3-2024</v>
      </c>
      <c r="D147" s="54"/>
      <c r="E147" s="54"/>
      <c r="F147" s="54">
        <f>Sanny!$E147-Sanny!$D147</f>
        <v>0</v>
      </c>
      <c r="G147" s="54">
        <f t="shared" si="9"/>
        <v>-10</v>
      </c>
      <c r="H147" s="54"/>
      <c r="I147" s="54"/>
      <c r="J147" s="54"/>
      <c r="K147" s="54"/>
      <c r="L147" s="54"/>
      <c r="M147" s="54"/>
      <c r="N147" s="54"/>
      <c r="O147" s="174"/>
      <c r="P147" s="174"/>
      <c r="Q147" s="174"/>
      <c r="R147" s="174"/>
    </row>
    <row r="148" ht="14.25" customHeight="1">
      <c r="B148" s="160">
        <v>45375.0</v>
      </c>
      <c r="C148" s="141" t="str">
        <f t="shared" si="1"/>
        <v>3-2024</v>
      </c>
      <c r="D148" s="54"/>
      <c r="E148" s="54"/>
      <c r="F148" s="54">
        <f>Sanny!$E148-Sanny!$D148</f>
        <v>0</v>
      </c>
      <c r="G148" s="54">
        <f t="shared" si="9"/>
        <v>-10</v>
      </c>
      <c r="H148" s="54"/>
      <c r="I148" s="54"/>
      <c r="J148" s="54"/>
      <c r="K148" s="54"/>
      <c r="L148" s="54"/>
      <c r="M148" s="54"/>
      <c r="N148" s="54"/>
      <c r="O148" s="174"/>
      <c r="P148" s="174"/>
      <c r="Q148" s="174"/>
      <c r="R148" s="174"/>
    </row>
    <row r="149" ht="14.25" customHeight="1">
      <c r="B149" s="160">
        <v>45376.0</v>
      </c>
      <c r="C149" s="141" t="str">
        <f t="shared" si="1"/>
        <v>3-2024</v>
      </c>
      <c r="D149" s="54"/>
      <c r="E149" s="54"/>
      <c r="F149" s="54">
        <f>Sanny!$E149-Sanny!$D149</f>
        <v>0</v>
      </c>
      <c r="G149" s="54">
        <f t="shared" si="9"/>
        <v>-10</v>
      </c>
      <c r="H149" s="54"/>
      <c r="I149" s="54"/>
      <c r="J149" s="54"/>
      <c r="K149" s="54"/>
      <c r="L149" s="54"/>
      <c r="M149" s="54"/>
      <c r="N149" s="54"/>
      <c r="O149" s="174"/>
      <c r="P149" s="174"/>
      <c r="Q149" s="174"/>
      <c r="R149" s="174"/>
    </row>
    <row r="150" ht="14.25" customHeight="1">
      <c r="B150" s="160">
        <v>45377.0</v>
      </c>
      <c r="C150" s="141" t="str">
        <f t="shared" si="1"/>
        <v>3-2024</v>
      </c>
      <c r="D150" s="54"/>
      <c r="E150" s="54"/>
      <c r="F150" s="54">
        <f>Sanny!$E150-Sanny!$D150</f>
        <v>0</v>
      </c>
      <c r="G150" s="54">
        <f t="shared" si="9"/>
        <v>-10</v>
      </c>
      <c r="H150" s="54"/>
      <c r="I150" s="54"/>
      <c r="J150" s="54"/>
      <c r="K150" s="54"/>
      <c r="L150" s="54"/>
      <c r="M150" s="54"/>
      <c r="N150" s="54"/>
      <c r="O150" s="174"/>
      <c r="P150" s="174"/>
      <c r="Q150" s="174"/>
      <c r="R150" s="174"/>
    </row>
    <row r="151" ht="14.25" customHeight="1">
      <c r="B151" s="160">
        <v>45378.0</v>
      </c>
      <c r="C151" s="141" t="str">
        <f t="shared" si="1"/>
        <v>3-2024</v>
      </c>
      <c r="D151" s="54"/>
      <c r="E151" s="54"/>
      <c r="F151" s="54">
        <f>Sanny!$E151-Sanny!$D151</f>
        <v>0</v>
      </c>
      <c r="G151" s="54">
        <f t="shared" si="9"/>
        <v>-10</v>
      </c>
      <c r="H151" s="54"/>
      <c r="I151" s="54"/>
      <c r="J151" s="54"/>
      <c r="K151" s="54"/>
      <c r="L151" s="54"/>
      <c r="M151" s="54"/>
      <c r="N151" s="54"/>
      <c r="O151" s="174"/>
      <c r="P151" s="174"/>
      <c r="Q151" s="174"/>
      <c r="R151" s="174"/>
    </row>
    <row r="152" ht="14.25" customHeight="1">
      <c r="B152" s="160">
        <v>45379.0</v>
      </c>
      <c r="C152" s="141" t="str">
        <f t="shared" si="1"/>
        <v>3-2024</v>
      </c>
      <c r="D152" s="54"/>
      <c r="E152" s="54"/>
      <c r="F152" s="54">
        <f>Sanny!$E152-Sanny!$D152</f>
        <v>0</v>
      </c>
      <c r="G152" s="54">
        <f t="shared" si="9"/>
        <v>-10</v>
      </c>
      <c r="H152" s="54"/>
      <c r="I152" s="54"/>
      <c r="J152" s="54"/>
      <c r="K152" s="54"/>
      <c r="L152" s="54"/>
      <c r="M152" s="54"/>
      <c r="N152" s="54"/>
      <c r="O152" s="174"/>
      <c r="P152" s="174"/>
      <c r="Q152" s="174"/>
      <c r="R152" s="174"/>
    </row>
    <row r="153" ht="14.25" customHeight="1">
      <c r="B153" s="160">
        <v>45380.0</v>
      </c>
      <c r="C153" s="141" t="str">
        <f t="shared" si="1"/>
        <v>3-2024</v>
      </c>
      <c r="D153" s="54"/>
      <c r="E153" s="54"/>
      <c r="F153" s="54">
        <f>Sanny!$E153-Sanny!$D153</f>
        <v>0</v>
      </c>
      <c r="G153" s="54">
        <f t="shared" si="9"/>
        <v>-10</v>
      </c>
      <c r="H153" s="54"/>
      <c r="I153" s="54"/>
      <c r="J153" s="54"/>
      <c r="K153" s="54"/>
      <c r="L153" s="54"/>
      <c r="M153" s="54"/>
      <c r="N153" s="54"/>
      <c r="O153" s="174"/>
      <c r="P153" s="174"/>
      <c r="Q153" s="174"/>
      <c r="R153" s="174"/>
    </row>
    <row r="154" ht="14.25" customHeight="1">
      <c r="B154" s="160">
        <v>45381.0</v>
      </c>
      <c r="C154" s="141" t="str">
        <f t="shared" si="1"/>
        <v>3-2024</v>
      </c>
      <c r="D154" s="54"/>
      <c r="E154" s="54"/>
      <c r="F154" s="54">
        <f>Sanny!$E154-Sanny!$D154</f>
        <v>0</v>
      </c>
      <c r="G154" s="54">
        <f t="shared" si="9"/>
        <v>-10</v>
      </c>
      <c r="H154" s="54"/>
      <c r="I154" s="54"/>
      <c r="J154" s="54"/>
      <c r="K154" s="54"/>
      <c r="L154" s="54"/>
      <c r="M154" s="54"/>
      <c r="N154" s="54"/>
      <c r="O154" s="174"/>
      <c r="P154" s="174"/>
      <c r="Q154" s="174"/>
      <c r="R154" s="174"/>
    </row>
    <row r="155" ht="14.25" customHeight="1">
      <c r="B155" s="160">
        <v>45382.0</v>
      </c>
      <c r="C155" s="141" t="str">
        <f t="shared" si="1"/>
        <v>3-2024</v>
      </c>
      <c r="D155" s="54"/>
      <c r="E155" s="54"/>
      <c r="F155" s="54">
        <f>Sanny!$E155-Sanny!$D155</f>
        <v>0</v>
      </c>
      <c r="G155" s="54">
        <f t="shared" si="9"/>
        <v>-10</v>
      </c>
      <c r="H155" s="54"/>
      <c r="I155" s="54"/>
      <c r="J155" s="54"/>
      <c r="K155" s="54"/>
      <c r="L155" s="54"/>
      <c r="M155" s="54"/>
      <c r="N155" s="54"/>
      <c r="O155" s="174"/>
      <c r="P155" s="174"/>
      <c r="Q155" s="174"/>
      <c r="R155" s="174"/>
    </row>
    <row r="156" ht="14.25" customHeight="1">
      <c r="B156" s="140">
        <v>45383.0</v>
      </c>
      <c r="C156" s="141" t="str">
        <f t="shared" si="1"/>
        <v>4-2024</v>
      </c>
      <c r="D156" s="138">
        <v>2607.0</v>
      </c>
      <c r="E156" s="138">
        <v>2615.0</v>
      </c>
      <c r="F156" s="54">
        <f>Sanny!$E156-Sanny!$D156</f>
        <v>8</v>
      </c>
      <c r="G156" s="54">
        <f t="shared" ref="G156:G271" si="10">F156-10</f>
        <v>-2</v>
      </c>
      <c r="H156" s="54"/>
      <c r="I156" s="54"/>
      <c r="J156" s="54"/>
      <c r="K156" s="54"/>
      <c r="L156" s="54"/>
      <c r="M156" s="54"/>
      <c r="N156" s="54"/>
      <c r="O156" s="174"/>
      <c r="P156" s="174"/>
      <c r="Q156" s="174"/>
      <c r="R156" s="174"/>
    </row>
    <row r="157" ht="14.25" customHeight="1">
      <c r="B157" s="140">
        <v>45384.0</v>
      </c>
      <c r="C157" s="141" t="str">
        <f t="shared" si="1"/>
        <v>4-2024</v>
      </c>
      <c r="D157" s="54">
        <f t="shared" ref="D157:D161" si="11">E156</f>
        <v>2615</v>
      </c>
      <c r="E157" s="138">
        <v>2624.0</v>
      </c>
      <c r="F157" s="54">
        <f>Sanny!$E157-Sanny!$D157</f>
        <v>9</v>
      </c>
      <c r="G157" s="54">
        <f t="shared" si="10"/>
        <v>-1</v>
      </c>
      <c r="H157" s="54"/>
      <c r="I157" s="54"/>
      <c r="J157" s="54"/>
      <c r="K157" s="54"/>
      <c r="L157" s="54"/>
      <c r="M157" s="54"/>
      <c r="N157" s="54"/>
      <c r="O157" s="174"/>
      <c r="P157" s="174"/>
      <c r="Q157" s="174"/>
      <c r="R157" s="174"/>
    </row>
    <row r="158" ht="14.25" customHeight="1">
      <c r="B158" s="140">
        <v>45385.0</v>
      </c>
      <c r="C158" s="141" t="str">
        <f t="shared" si="1"/>
        <v>4-2024</v>
      </c>
      <c r="D158" s="54">
        <f t="shared" si="11"/>
        <v>2624</v>
      </c>
      <c r="E158" s="138">
        <v>2634.0</v>
      </c>
      <c r="F158" s="54">
        <f>Sanny!$E158-Sanny!$D158</f>
        <v>10</v>
      </c>
      <c r="G158" s="54">
        <f t="shared" si="10"/>
        <v>0</v>
      </c>
      <c r="H158" s="54"/>
      <c r="I158" s="54"/>
      <c r="J158" s="54"/>
      <c r="K158" s="54"/>
      <c r="L158" s="54"/>
      <c r="M158" s="54"/>
      <c r="N158" s="54"/>
      <c r="O158" s="174"/>
      <c r="P158" s="174"/>
      <c r="Q158" s="174"/>
      <c r="R158" s="174"/>
    </row>
    <row r="159" ht="14.25" customHeight="1">
      <c r="B159" s="140">
        <v>45386.0</v>
      </c>
      <c r="C159" s="141" t="str">
        <f t="shared" si="1"/>
        <v>4-2024</v>
      </c>
      <c r="D159" s="54">
        <f t="shared" si="11"/>
        <v>2634</v>
      </c>
      <c r="E159" s="138">
        <v>2643.0</v>
      </c>
      <c r="F159" s="54">
        <f>Sanny!$E159-Sanny!$D159</f>
        <v>9</v>
      </c>
      <c r="G159" s="54">
        <f t="shared" si="10"/>
        <v>-1</v>
      </c>
      <c r="H159" s="54"/>
      <c r="I159" s="54"/>
      <c r="J159" s="54"/>
      <c r="K159" s="54"/>
      <c r="L159" s="54"/>
      <c r="M159" s="54"/>
      <c r="N159" s="54"/>
      <c r="O159" s="174"/>
      <c r="P159" s="174"/>
      <c r="Q159" s="174"/>
      <c r="R159" s="174"/>
    </row>
    <row r="160" ht="14.25" customHeight="1">
      <c r="B160" s="140">
        <v>45387.0</v>
      </c>
      <c r="C160" s="141" t="str">
        <f t="shared" si="1"/>
        <v>4-2024</v>
      </c>
      <c r="D160" s="54">
        <f t="shared" si="11"/>
        <v>2643</v>
      </c>
      <c r="E160" s="138">
        <v>2652.0</v>
      </c>
      <c r="F160" s="54">
        <f>Sanny!$E160-Sanny!$D160</f>
        <v>9</v>
      </c>
      <c r="G160" s="54">
        <f t="shared" si="10"/>
        <v>-1</v>
      </c>
      <c r="H160" s="54"/>
      <c r="I160" s="54"/>
      <c r="J160" s="54"/>
      <c r="K160" s="54"/>
      <c r="L160" s="54"/>
      <c r="M160" s="54"/>
      <c r="N160" s="54"/>
      <c r="O160" s="174"/>
      <c r="P160" s="174"/>
      <c r="Q160" s="174"/>
      <c r="R160" s="174"/>
    </row>
    <row r="161" ht="14.25" customHeight="1">
      <c r="B161" s="140">
        <v>45388.0</v>
      </c>
      <c r="C161" s="141" t="str">
        <f t="shared" si="1"/>
        <v>4-2024</v>
      </c>
      <c r="D161" s="54">
        <f t="shared" si="11"/>
        <v>2652</v>
      </c>
      <c r="E161" s="138">
        <v>2657.0</v>
      </c>
      <c r="F161" s="54">
        <f>Sanny!$E161-Sanny!$D161</f>
        <v>5</v>
      </c>
      <c r="G161" s="54">
        <f t="shared" si="10"/>
        <v>-5</v>
      </c>
      <c r="H161" s="54"/>
      <c r="I161" s="54"/>
      <c r="J161" s="54"/>
      <c r="K161" s="54"/>
      <c r="L161" s="54"/>
      <c r="M161" s="54"/>
      <c r="N161" s="54"/>
      <c r="O161" s="174"/>
      <c r="P161" s="174"/>
      <c r="Q161" s="174"/>
      <c r="R161" s="174"/>
    </row>
    <row r="162" ht="14.25" customHeight="1">
      <c r="B162" s="140">
        <v>45389.0</v>
      </c>
      <c r="C162" s="141" t="str">
        <f t="shared" si="1"/>
        <v>4-2024</v>
      </c>
      <c r="D162" s="54"/>
      <c r="E162" s="54"/>
      <c r="F162" s="54">
        <f>Sanny!$E162-Sanny!$D162</f>
        <v>0</v>
      </c>
      <c r="G162" s="54">
        <f t="shared" si="10"/>
        <v>-10</v>
      </c>
      <c r="H162" s="54"/>
      <c r="I162" s="54"/>
      <c r="J162" s="54"/>
      <c r="K162" s="54"/>
      <c r="L162" s="54"/>
      <c r="M162" s="54"/>
      <c r="N162" s="54"/>
      <c r="O162" s="174"/>
      <c r="P162" s="174"/>
      <c r="Q162" s="174"/>
      <c r="R162" s="174"/>
    </row>
    <row r="163" ht="14.25" customHeight="1">
      <c r="B163" s="140">
        <v>45390.0</v>
      </c>
      <c r="C163" s="141" t="str">
        <f t="shared" si="1"/>
        <v>4-2024</v>
      </c>
      <c r="D163" s="138">
        <v>2657.0</v>
      </c>
      <c r="E163" s="138">
        <v>2666.0</v>
      </c>
      <c r="F163" s="54">
        <f>Sanny!$E163-Sanny!$D163</f>
        <v>9</v>
      </c>
      <c r="G163" s="54">
        <f t="shared" si="10"/>
        <v>-1</v>
      </c>
      <c r="H163" s="54"/>
      <c r="I163" s="54"/>
      <c r="J163" s="54"/>
      <c r="K163" s="54"/>
      <c r="L163" s="54"/>
      <c r="M163" s="54"/>
      <c r="N163" s="54"/>
      <c r="O163" s="174"/>
      <c r="P163" s="174"/>
      <c r="Q163" s="174"/>
      <c r="R163" s="174"/>
    </row>
    <row r="164" ht="14.25" customHeight="1">
      <c r="B164" s="140">
        <v>45391.0</v>
      </c>
      <c r="C164" s="141" t="str">
        <f t="shared" si="1"/>
        <v>4-2024</v>
      </c>
      <c r="D164" s="54">
        <f t="shared" ref="D164:D168" si="12">E163</f>
        <v>2666</v>
      </c>
      <c r="E164" s="138">
        <v>2671.8</v>
      </c>
      <c r="F164" s="54">
        <f>Sanny!$E164-Sanny!$D164</f>
        <v>5.8</v>
      </c>
      <c r="G164" s="54">
        <f t="shared" si="10"/>
        <v>-4.2</v>
      </c>
      <c r="H164" s="54"/>
      <c r="I164" s="54"/>
      <c r="J164" s="54"/>
      <c r="K164" s="54"/>
      <c r="L164" s="54"/>
      <c r="M164" s="54"/>
      <c r="N164" s="54"/>
      <c r="O164" s="174"/>
      <c r="P164" s="174"/>
      <c r="Q164" s="174"/>
      <c r="R164" s="174"/>
    </row>
    <row r="165" ht="14.25" customHeight="1">
      <c r="B165" s="140">
        <v>45392.0</v>
      </c>
      <c r="C165" s="141" t="str">
        <f t="shared" si="1"/>
        <v>4-2024</v>
      </c>
      <c r="D165" s="54">
        <f t="shared" si="12"/>
        <v>2671.8</v>
      </c>
      <c r="E165" s="138">
        <v>2674.0</v>
      </c>
      <c r="F165" s="54">
        <f>Sanny!$E165-Sanny!$D165</f>
        <v>2.2</v>
      </c>
      <c r="G165" s="54">
        <f t="shared" si="10"/>
        <v>-7.8</v>
      </c>
      <c r="H165" s="54"/>
      <c r="I165" s="54"/>
      <c r="J165" s="54"/>
      <c r="K165" s="54"/>
      <c r="L165" s="54"/>
      <c r="M165" s="54"/>
      <c r="N165" s="54"/>
      <c r="O165" s="174"/>
      <c r="P165" s="174"/>
      <c r="Q165" s="174"/>
      <c r="R165" s="174"/>
    </row>
    <row r="166" ht="14.25" customHeight="1">
      <c r="B166" s="140">
        <v>45393.0</v>
      </c>
      <c r="C166" s="141" t="str">
        <f t="shared" si="1"/>
        <v>4-2024</v>
      </c>
      <c r="D166" s="54">
        <f t="shared" si="12"/>
        <v>2674</v>
      </c>
      <c r="E166" s="138">
        <v>2683.0</v>
      </c>
      <c r="F166" s="54">
        <f>Sanny!$E166-Sanny!$D166</f>
        <v>9</v>
      </c>
      <c r="G166" s="54">
        <f t="shared" si="10"/>
        <v>-1</v>
      </c>
      <c r="H166" s="54"/>
      <c r="I166" s="54"/>
      <c r="J166" s="54"/>
      <c r="K166" s="54"/>
      <c r="L166" s="54"/>
      <c r="M166" s="54"/>
      <c r="N166" s="54"/>
      <c r="O166" s="174"/>
      <c r="P166" s="174"/>
      <c r="Q166" s="174"/>
      <c r="R166" s="174"/>
    </row>
    <row r="167" ht="14.25" customHeight="1">
      <c r="B167" s="140">
        <v>45394.0</v>
      </c>
      <c r="C167" s="141" t="str">
        <f t="shared" si="1"/>
        <v>4-2024</v>
      </c>
      <c r="D167" s="54">
        <f t="shared" si="12"/>
        <v>2683</v>
      </c>
      <c r="E167" s="138">
        <v>2692.8</v>
      </c>
      <c r="F167" s="54">
        <f>Sanny!$E167-Sanny!$D167</f>
        <v>9.8</v>
      </c>
      <c r="G167" s="54">
        <f t="shared" si="10"/>
        <v>-0.2</v>
      </c>
      <c r="H167" s="54"/>
      <c r="I167" s="54"/>
      <c r="J167" s="54"/>
      <c r="K167" s="54"/>
      <c r="L167" s="54"/>
      <c r="M167" s="54"/>
      <c r="N167" s="54"/>
      <c r="O167" s="174"/>
      <c r="P167" s="174"/>
      <c r="Q167" s="174"/>
      <c r="R167" s="174"/>
    </row>
    <row r="168" ht="14.25" customHeight="1">
      <c r="B168" s="140">
        <v>45395.0</v>
      </c>
      <c r="C168" s="141" t="str">
        <f t="shared" si="1"/>
        <v>4-2024</v>
      </c>
      <c r="D168" s="54">
        <f t="shared" si="12"/>
        <v>2692.8</v>
      </c>
      <c r="E168" s="138">
        <v>2702.8</v>
      </c>
      <c r="F168" s="54">
        <f>Sanny!$E168-Sanny!$D168</f>
        <v>10</v>
      </c>
      <c r="G168" s="54">
        <f t="shared" si="10"/>
        <v>0</v>
      </c>
      <c r="H168" s="54"/>
      <c r="I168" s="54"/>
      <c r="J168" s="54"/>
      <c r="K168" s="54"/>
      <c r="L168" s="54"/>
      <c r="M168" s="54"/>
      <c r="N168" s="54"/>
      <c r="O168" s="174"/>
      <c r="P168" s="174"/>
      <c r="Q168" s="174"/>
      <c r="R168" s="174"/>
    </row>
    <row r="169" ht="14.25" customHeight="1">
      <c r="B169" s="140">
        <v>45396.0</v>
      </c>
      <c r="C169" s="141" t="str">
        <f t="shared" si="1"/>
        <v>4-2024</v>
      </c>
      <c r="D169" s="54"/>
      <c r="E169" s="54"/>
      <c r="F169" s="54">
        <f>Sanny!$E169-Sanny!$D169</f>
        <v>0</v>
      </c>
      <c r="G169" s="54">
        <f t="shared" si="10"/>
        <v>-10</v>
      </c>
      <c r="H169" s="54"/>
      <c r="I169" s="54"/>
      <c r="J169" s="54"/>
      <c r="K169" s="54"/>
      <c r="L169" s="54"/>
      <c r="M169" s="54"/>
      <c r="N169" s="54"/>
      <c r="O169" s="174"/>
      <c r="P169" s="174"/>
      <c r="Q169" s="174"/>
      <c r="R169" s="174"/>
    </row>
    <row r="170" ht="14.25" customHeight="1">
      <c r="B170" s="140">
        <v>45397.0</v>
      </c>
      <c r="C170" s="141" t="str">
        <f t="shared" si="1"/>
        <v>4-2024</v>
      </c>
      <c r="D170" s="138">
        <v>2702.8</v>
      </c>
      <c r="E170" s="138">
        <v>2711.0</v>
      </c>
      <c r="F170" s="54">
        <f>Sanny!$E170-Sanny!$D170</f>
        <v>8.2</v>
      </c>
      <c r="G170" s="54">
        <f t="shared" si="10"/>
        <v>-1.8</v>
      </c>
      <c r="H170" s="54"/>
      <c r="I170" s="54"/>
      <c r="J170" s="54"/>
      <c r="K170" s="54"/>
      <c r="L170" s="54"/>
      <c r="M170" s="54"/>
      <c r="N170" s="54"/>
      <c r="O170" s="174"/>
      <c r="P170" s="174"/>
      <c r="Q170" s="174"/>
      <c r="R170" s="174"/>
    </row>
    <row r="171" ht="14.25" customHeight="1">
      <c r="B171" s="140">
        <v>45398.0</v>
      </c>
      <c r="C171" s="141" t="str">
        <f t="shared" si="1"/>
        <v>4-2024</v>
      </c>
      <c r="D171" s="54">
        <f t="shared" ref="D171:D173" si="13">E170</f>
        <v>2711</v>
      </c>
      <c r="E171" s="138">
        <v>2721.0</v>
      </c>
      <c r="F171" s="54">
        <f>Sanny!$E171-Sanny!$D171</f>
        <v>10</v>
      </c>
      <c r="G171" s="54">
        <f t="shared" si="10"/>
        <v>0</v>
      </c>
      <c r="H171" s="54"/>
      <c r="I171" s="54"/>
      <c r="J171" s="54"/>
      <c r="K171" s="54"/>
      <c r="L171" s="54"/>
      <c r="M171" s="54"/>
      <c r="N171" s="54"/>
      <c r="O171" s="174"/>
      <c r="P171" s="174"/>
      <c r="Q171" s="174"/>
      <c r="R171" s="174"/>
    </row>
    <row r="172" ht="14.25" customHeight="1">
      <c r="B172" s="140">
        <v>45399.0</v>
      </c>
      <c r="C172" s="141" t="str">
        <f t="shared" si="1"/>
        <v>4-2024</v>
      </c>
      <c r="D172" s="54">
        <f t="shared" si="13"/>
        <v>2721</v>
      </c>
      <c r="E172" s="138">
        <v>2731.0</v>
      </c>
      <c r="F172" s="54">
        <f>Sanny!$E172-Sanny!$D172</f>
        <v>10</v>
      </c>
      <c r="G172" s="54">
        <f t="shared" si="10"/>
        <v>0</v>
      </c>
      <c r="H172" s="54"/>
      <c r="I172" s="54"/>
      <c r="J172" s="54"/>
      <c r="K172" s="54"/>
      <c r="L172" s="54"/>
      <c r="M172" s="54"/>
      <c r="N172" s="54"/>
      <c r="O172" s="174"/>
      <c r="P172" s="174"/>
      <c r="Q172" s="174"/>
      <c r="R172" s="174"/>
    </row>
    <row r="173" ht="14.25" customHeight="1">
      <c r="B173" s="140">
        <v>45400.0</v>
      </c>
      <c r="C173" s="141" t="str">
        <f t="shared" si="1"/>
        <v>4-2024</v>
      </c>
      <c r="D173" s="54">
        <f t="shared" si="13"/>
        <v>2731</v>
      </c>
      <c r="E173" s="138">
        <v>2738.3</v>
      </c>
      <c r="F173" s="54">
        <f>Sanny!$E173-Sanny!$D173</f>
        <v>7.3</v>
      </c>
      <c r="G173" s="54">
        <f t="shared" si="10"/>
        <v>-2.7</v>
      </c>
      <c r="H173" s="54"/>
      <c r="I173" s="54"/>
      <c r="J173" s="54"/>
      <c r="K173" s="54"/>
      <c r="L173" s="54"/>
      <c r="M173" s="54"/>
      <c r="N173" s="54"/>
      <c r="O173" s="174"/>
      <c r="P173" s="174"/>
      <c r="Q173" s="174"/>
      <c r="R173" s="174"/>
    </row>
    <row r="174" ht="14.25" customHeight="1">
      <c r="B174" s="140">
        <v>45401.0</v>
      </c>
      <c r="C174" s="141" t="str">
        <f t="shared" si="1"/>
        <v>4-2024</v>
      </c>
      <c r="D174" s="54"/>
      <c r="E174" s="54"/>
      <c r="F174" s="54">
        <f>Sanny!$E174-Sanny!$D174</f>
        <v>0</v>
      </c>
      <c r="G174" s="54">
        <f t="shared" si="10"/>
        <v>-10</v>
      </c>
      <c r="H174" s="54"/>
      <c r="I174" s="54"/>
      <c r="J174" s="54"/>
      <c r="K174" s="54"/>
      <c r="L174" s="54"/>
      <c r="M174" s="54"/>
      <c r="N174" s="54"/>
      <c r="O174" s="174"/>
      <c r="P174" s="174"/>
      <c r="Q174" s="174"/>
      <c r="R174" s="174"/>
    </row>
    <row r="175" ht="14.25" customHeight="1">
      <c r="B175" s="140">
        <v>45402.0</v>
      </c>
      <c r="C175" s="141" t="str">
        <f t="shared" si="1"/>
        <v>4-2024</v>
      </c>
      <c r="D175" s="138">
        <v>2738.3</v>
      </c>
      <c r="E175" s="138">
        <v>2743.2</v>
      </c>
      <c r="F175" s="54">
        <f>Sanny!$E175-Sanny!$D175</f>
        <v>4.9</v>
      </c>
      <c r="G175" s="54">
        <f t="shared" si="10"/>
        <v>-5.1</v>
      </c>
      <c r="H175" s="54"/>
      <c r="I175" s="54"/>
      <c r="J175" s="54"/>
      <c r="K175" s="54"/>
      <c r="L175" s="54"/>
      <c r="M175" s="54"/>
      <c r="N175" s="54"/>
      <c r="O175" s="174"/>
      <c r="P175" s="174"/>
      <c r="Q175" s="174"/>
      <c r="R175" s="174"/>
    </row>
    <row r="176" ht="14.25" customHeight="1">
      <c r="B176" s="140">
        <v>45403.0</v>
      </c>
      <c r="C176" s="141" t="str">
        <f t="shared" si="1"/>
        <v>4-2024</v>
      </c>
      <c r="D176" s="54"/>
      <c r="E176" s="54"/>
      <c r="F176" s="54">
        <f>Sanny!$E176-Sanny!$D176</f>
        <v>0</v>
      </c>
      <c r="G176" s="54">
        <f t="shared" si="10"/>
        <v>-10</v>
      </c>
      <c r="H176" s="54"/>
      <c r="I176" s="54"/>
      <c r="J176" s="54"/>
      <c r="K176" s="54"/>
      <c r="L176" s="54"/>
      <c r="M176" s="54"/>
      <c r="N176" s="54"/>
      <c r="O176" s="174"/>
      <c r="P176" s="174"/>
      <c r="Q176" s="174"/>
      <c r="R176" s="174"/>
    </row>
    <row r="177" ht="14.25" customHeight="1">
      <c r="B177" s="140">
        <v>45404.0</v>
      </c>
      <c r="C177" s="141" t="str">
        <f t="shared" si="1"/>
        <v>4-2024</v>
      </c>
      <c r="D177" s="138">
        <v>2743.2</v>
      </c>
      <c r="E177" s="138">
        <v>2753.2</v>
      </c>
      <c r="F177" s="54">
        <f>Sanny!$E177-Sanny!$D177</f>
        <v>10</v>
      </c>
      <c r="G177" s="54">
        <f t="shared" si="10"/>
        <v>0</v>
      </c>
      <c r="H177" s="54"/>
      <c r="I177" s="54"/>
      <c r="J177" s="54"/>
      <c r="K177" s="54"/>
      <c r="L177" s="54"/>
      <c r="M177" s="54"/>
      <c r="N177" s="54"/>
      <c r="O177" s="174"/>
      <c r="P177" s="174"/>
      <c r="Q177" s="174"/>
      <c r="R177" s="174"/>
    </row>
    <row r="178" ht="14.25" customHeight="1">
      <c r="B178" s="140">
        <v>45405.0</v>
      </c>
      <c r="C178" s="141" t="str">
        <f t="shared" si="1"/>
        <v>4-2024</v>
      </c>
      <c r="D178" s="54">
        <f t="shared" ref="D178:D182" si="14">E177</f>
        <v>2753.2</v>
      </c>
      <c r="E178" s="138">
        <v>2763.2</v>
      </c>
      <c r="F178" s="54">
        <f>Sanny!$E178-Sanny!$D178</f>
        <v>10</v>
      </c>
      <c r="G178" s="54">
        <f t="shared" si="10"/>
        <v>0</v>
      </c>
      <c r="H178" s="54"/>
      <c r="I178" s="54"/>
      <c r="J178" s="54"/>
      <c r="K178" s="54"/>
      <c r="L178" s="54"/>
      <c r="M178" s="54"/>
      <c r="N178" s="54"/>
      <c r="O178" s="174"/>
      <c r="P178" s="174"/>
      <c r="Q178" s="174"/>
      <c r="R178" s="174"/>
    </row>
    <row r="179" ht="14.25" customHeight="1">
      <c r="B179" s="140">
        <v>45406.0</v>
      </c>
      <c r="C179" s="141" t="str">
        <f t="shared" si="1"/>
        <v>4-2024</v>
      </c>
      <c r="D179" s="54">
        <f t="shared" si="14"/>
        <v>2763.2</v>
      </c>
      <c r="E179" s="138">
        <v>2773.2</v>
      </c>
      <c r="F179" s="54">
        <f>Sanny!$E179-Sanny!$D179</f>
        <v>10</v>
      </c>
      <c r="G179" s="54">
        <f t="shared" si="10"/>
        <v>0</v>
      </c>
      <c r="H179" s="54"/>
      <c r="I179" s="54"/>
      <c r="J179" s="54"/>
      <c r="K179" s="54"/>
      <c r="L179" s="54"/>
      <c r="M179" s="54"/>
      <c r="N179" s="54"/>
      <c r="O179" s="174"/>
      <c r="P179" s="174"/>
      <c r="Q179" s="174"/>
      <c r="R179" s="174"/>
    </row>
    <row r="180" ht="14.25" customHeight="1">
      <c r="B180" s="140">
        <v>45407.0</v>
      </c>
      <c r="C180" s="141" t="str">
        <f t="shared" si="1"/>
        <v>4-2024</v>
      </c>
      <c r="D180" s="54">
        <f t="shared" si="14"/>
        <v>2773.2</v>
      </c>
      <c r="E180" s="138">
        <v>2780.0</v>
      </c>
      <c r="F180" s="54">
        <f>Sanny!$E180-Sanny!$D180</f>
        <v>6.8</v>
      </c>
      <c r="G180" s="54">
        <f t="shared" si="10"/>
        <v>-3.2</v>
      </c>
      <c r="H180" s="54"/>
      <c r="I180" s="54"/>
      <c r="J180" s="54"/>
      <c r="K180" s="54"/>
      <c r="L180" s="54"/>
      <c r="M180" s="54"/>
      <c r="N180" s="54"/>
      <c r="O180" s="174"/>
      <c r="P180" s="174"/>
      <c r="Q180" s="174"/>
      <c r="R180" s="174"/>
    </row>
    <row r="181" ht="14.25" customHeight="1">
      <c r="B181" s="140">
        <v>45408.0</v>
      </c>
      <c r="C181" s="141" t="str">
        <f t="shared" si="1"/>
        <v>4-2024</v>
      </c>
      <c r="D181" s="54">
        <f t="shared" si="14"/>
        <v>2780</v>
      </c>
      <c r="E181" s="138">
        <v>2790.0</v>
      </c>
      <c r="F181" s="54">
        <f>Sanny!$E181-Sanny!$D181</f>
        <v>10</v>
      </c>
      <c r="G181" s="54">
        <f t="shared" si="10"/>
        <v>0</v>
      </c>
      <c r="H181" s="54"/>
      <c r="I181" s="54"/>
      <c r="J181" s="54"/>
      <c r="K181" s="54"/>
      <c r="L181" s="54"/>
      <c r="M181" s="54"/>
      <c r="N181" s="54"/>
      <c r="O181" s="174"/>
      <c r="P181" s="174"/>
      <c r="Q181" s="174"/>
      <c r="R181" s="174"/>
    </row>
    <row r="182" ht="14.25" customHeight="1">
      <c r="B182" s="140">
        <v>45409.0</v>
      </c>
      <c r="C182" s="141" t="str">
        <f t="shared" si="1"/>
        <v>4-2024</v>
      </c>
      <c r="D182" s="54">
        <f t="shared" si="14"/>
        <v>2790</v>
      </c>
      <c r="E182" s="138">
        <v>2799.0</v>
      </c>
      <c r="F182" s="54">
        <f>Sanny!$E182-Sanny!$D182</f>
        <v>9</v>
      </c>
      <c r="G182" s="54">
        <f t="shared" si="10"/>
        <v>-1</v>
      </c>
      <c r="H182" s="54"/>
      <c r="I182" s="54"/>
      <c r="J182" s="54"/>
      <c r="K182" s="54"/>
      <c r="L182" s="54"/>
      <c r="M182" s="54"/>
      <c r="N182" s="54"/>
      <c r="O182" s="174"/>
      <c r="P182" s="174"/>
      <c r="Q182" s="174"/>
      <c r="R182" s="174"/>
    </row>
    <row r="183" ht="14.25" customHeight="1">
      <c r="B183" s="140">
        <v>45410.0</v>
      </c>
      <c r="C183" s="141" t="str">
        <f t="shared" si="1"/>
        <v>4-2024</v>
      </c>
      <c r="D183" s="54"/>
      <c r="E183" s="54"/>
      <c r="F183" s="54">
        <f>Sanny!$E183-Sanny!$D183</f>
        <v>0</v>
      </c>
      <c r="G183" s="54">
        <f t="shared" si="10"/>
        <v>-10</v>
      </c>
      <c r="H183" s="54"/>
      <c r="I183" s="54"/>
      <c r="J183" s="54"/>
      <c r="K183" s="54"/>
      <c r="L183" s="54"/>
      <c r="M183" s="54"/>
      <c r="N183" s="54"/>
      <c r="O183" s="174"/>
      <c r="P183" s="174"/>
      <c r="Q183" s="174"/>
      <c r="R183" s="174"/>
    </row>
    <row r="184" ht="14.25" customHeight="1">
      <c r="B184" s="140">
        <v>45411.0</v>
      </c>
      <c r="C184" s="141" t="str">
        <f t="shared" si="1"/>
        <v>4-2024</v>
      </c>
      <c r="D184" s="138">
        <v>2799.0</v>
      </c>
      <c r="E184" s="138">
        <v>2800.2</v>
      </c>
      <c r="F184" s="54">
        <f>Sanny!$E184-Sanny!$D184</f>
        <v>1.2</v>
      </c>
      <c r="G184" s="54">
        <f t="shared" si="10"/>
        <v>-8.8</v>
      </c>
      <c r="H184" s="54"/>
      <c r="I184" s="54"/>
      <c r="J184" s="54"/>
      <c r="K184" s="54"/>
      <c r="L184" s="54"/>
      <c r="M184" s="54"/>
      <c r="N184" s="54"/>
      <c r="O184" s="174"/>
      <c r="P184" s="174"/>
      <c r="Q184" s="174"/>
      <c r="R184" s="174"/>
    </row>
    <row r="185" ht="14.25" customHeight="1">
      <c r="B185" s="140">
        <v>45412.0</v>
      </c>
      <c r="C185" s="141" t="str">
        <f t="shared" si="1"/>
        <v>4-2024</v>
      </c>
      <c r="D185" s="54">
        <f>E184</f>
        <v>2800.2</v>
      </c>
      <c r="E185" s="138">
        <v>2800.8</v>
      </c>
      <c r="F185" s="54">
        <f>Sanny!$E185-Sanny!$D185</f>
        <v>0.6</v>
      </c>
      <c r="G185" s="54">
        <f t="shared" si="10"/>
        <v>-9.4</v>
      </c>
      <c r="H185" s="54"/>
      <c r="I185" s="54"/>
      <c r="J185" s="54"/>
      <c r="K185" s="54"/>
      <c r="L185" s="54"/>
      <c r="M185" s="54"/>
      <c r="N185" s="54"/>
      <c r="O185" s="174"/>
      <c r="P185" s="174"/>
      <c r="Q185" s="174"/>
      <c r="R185" s="174"/>
    </row>
    <row r="186" ht="14.25" customHeight="1">
      <c r="B186" s="142">
        <v>45413.0</v>
      </c>
      <c r="C186" s="143" t="str">
        <f t="shared" si="1"/>
        <v>5-2024</v>
      </c>
      <c r="D186" s="144">
        <v>2800.8</v>
      </c>
      <c r="E186" s="144">
        <v>2809.8</v>
      </c>
      <c r="F186" s="92">
        <f t="shared" ref="F186:F867" si="15">E186-D186</f>
        <v>9</v>
      </c>
      <c r="G186" s="92">
        <f t="shared" si="10"/>
        <v>-1</v>
      </c>
      <c r="H186" s="54"/>
      <c r="I186" s="54"/>
      <c r="J186" s="54"/>
      <c r="K186" s="54"/>
      <c r="L186" s="54"/>
      <c r="M186" s="54"/>
      <c r="N186" s="54"/>
      <c r="O186" s="174"/>
      <c r="P186" s="174"/>
      <c r="Q186" s="174"/>
      <c r="R186" s="174"/>
    </row>
    <row r="187" ht="14.25" customHeight="1">
      <c r="B187" s="140">
        <v>45414.0</v>
      </c>
      <c r="C187" s="141" t="str">
        <f t="shared" si="1"/>
        <v>5-2024</v>
      </c>
      <c r="D187" s="54">
        <f t="shared" ref="D187:D188" si="16">E186</f>
        <v>2809.8</v>
      </c>
      <c r="E187" s="138">
        <v>2818.8</v>
      </c>
      <c r="F187" s="54">
        <f t="shared" si="15"/>
        <v>9</v>
      </c>
      <c r="G187" s="54">
        <f t="shared" si="10"/>
        <v>-1</v>
      </c>
      <c r="H187" s="54"/>
      <c r="I187" s="54"/>
      <c r="J187" s="54"/>
      <c r="K187" s="54"/>
      <c r="L187" s="54"/>
      <c r="M187" s="54"/>
      <c r="N187" s="54"/>
      <c r="O187" s="174"/>
      <c r="P187" s="174"/>
      <c r="Q187" s="174"/>
      <c r="R187" s="174"/>
    </row>
    <row r="188" ht="14.25" customHeight="1">
      <c r="B188" s="140">
        <v>45415.0</v>
      </c>
      <c r="C188" s="141" t="str">
        <f t="shared" si="1"/>
        <v>5-2024</v>
      </c>
      <c r="D188" s="54">
        <f t="shared" si="16"/>
        <v>2818.8</v>
      </c>
      <c r="E188" s="138">
        <v>2826.8</v>
      </c>
      <c r="F188" s="54">
        <f t="shared" si="15"/>
        <v>8</v>
      </c>
      <c r="G188" s="54">
        <f t="shared" si="10"/>
        <v>-2</v>
      </c>
      <c r="H188" s="54"/>
      <c r="I188" s="54"/>
      <c r="J188" s="54"/>
      <c r="K188" s="54"/>
      <c r="L188" s="54"/>
      <c r="M188" s="54"/>
      <c r="N188" s="54"/>
      <c r="O188" s="174"/>
      <c r="P188" s="174"/>
      <c r="Q188" s="174"/>
      <c r="R188" s="174"/>
    </row>
    <row r="189" ht="14.25" customHeight="1">
      <c r="B189" s="145">
        <v>45416.0</v>
      </c>
      <c r="C189" s="166" t="str">
        <f t="shared" si="1"/>
        <v>5-2024</v>
      </c>
      <c r="D189" s="167"/>
      <c r="E189" s="167"/>
      <c r="F189" s="167">
        <f t="shared" si="15"/>
        <v>0</v>
      </c>
      <c r="G189" s="167">
        <f t="shared" si="10"/>
        <v>-10</v>
      </c>
      <c r="H189" s="54"/>
      <c r="I189" s="54"/>
      <c r="J189" s="54"/>
      <c r="K189" s="54"/>
      <c r="L189" s="54"/>
      <c r="M189" s="54"/>
      <c r="N189" s="54"/>
      <c r="O189" s="174"/>
      <c r="P189" s="174"/>
      <c r="Q189" s="174"/>
      <c r="R189" s="174"/>
    </row>
    <row r="190" ht="14.25" customHeight="1">
      <c r="B190" s="145">
        <v>45417.0</v>
      </c>
      <c r="C190" s="166" t="str">
        <f t="shared" si="1"/>
        <v>5-2024</v>
      </c>
      <c r="D190" s="167" t="str">
        <f>E189</f>
        <v/>
      </c>
      <c r="E190" s="167"/>
      <c r="F190" s="167">
        <f t="shared" si="15"/>
        <v>0</v>
      </c>
      <c r="G190" s="167">
        <f t="shared" si="10"/>
        <v>-10</v>
      </c>
      <c r="H190" s="54"/>
      <c r="I190" s="54"/>
      <c r="J190" s="54"/>
      <c r="K190" s="54"/>
      <c r="L190" s="54"/>
      <c r="M190" s="54"/>
      <c r="N190" s="54"/>
      <c r="O190" s="174"/>
      <c r="P190" s="174"/>
      <c r="Q190" s="174"/>
      <c r="R190" s="174"/>
    </row>
    <row r="191" ht="14.25" customHeight="1">
      <c r="B191" s="140">
        <v>45418.0</v>
      </c>
      <c r="C191" s="141" t="str">
        <f t="shared" si="1"/>
        <v>5-2024</v>
      </c>
      <c r="D191" s="138">
        <v>2826.8</v>
      </c>
      <c r="E191" s="138">
        <v>2835.8</v>
      </c>
      <c r="F191" s="54">
        <f t="shared" si="15"/>
        <v>9</v>
      </c>
      <c r="G191" s="54">
        <f t="shared" si="10"/>
        <v>-1</v>
      </c>
      <c r="H191" s="54"/>
      <c r="I191" s="54"/>
      <c r="J191" s="54"/>
      <c r="K191" s="54"/>
      <c r="L191" s="54"/>
      <c r="M191" s="54"/>
      <c r="N191" s="54"/>
      <c r="O191" s="174"/>
      <c r="P191" s="174"/>
      <c r="Q191" s="174"/>
      <c r="R191" s="174"/>
    </row>
    <row r="192" ht="14.25" customHeight="1">
      <c r="B192" s="140">
        <v>45419.0</v>
      </c>
      <c r="C192" s="141" t="str">
        <f t="shared" si="1"/>
        <v>5-2024</v>
      </c>
      <c r="D192" s="54">
        <f t="shared" ref="D192:D195" si="17">E191</f>
        <v>2835.8</v>
      </c>
      <c r="E192" s="138">
        <v>2845.8</v>
      </c>
      <c r="F192" s="54">
        <f t="shared" si="15"/>
        <v>10</v>
      </c>
      <c r="G192" s="54">
        <f t="shared" si="10"/>
        <v>0</v>
      </c>
      <c r="H192" s="54"/>
      <c r="I192" s="54"/>
      <c r="J192" s="54"/>
      <c r="K192" s="54"/>
      <c r="L192" s="54"/>
      <c r="M192" s="54"/>
      <c r="N192" s="54"/>
      <c r="O192" s="174"/>
      <c r="P192" s="174"/>
      <c r="Q192" s="174"/>
      <c r="R192" s="174"/>
    </row>
    <row r="193" ht="14.25" customHeight="1">
      <c r="B193" s="140">
        <v>45420.0</v>
      </c>
      <c r="C193" s="141" t="str">
        <f t="shared" si="1"/>
        <v>5-2024</v>
      </c>
      <c r="D193" s="54">
        <f t="shared" si="17"/>
        <v>2845.8</v>
      </c>
      <c r="E193" s="138">
        <v>2855.8</v>
      </c>
      <c r="F193" s="54">
        <f t="shared" si="15"/>
        <v>10</v>
      </c>
      <c r="G193" s="54">
        <f t="shared" si="10"/>
        <v>0</v>
      </c>
      <c r="H193" s="54"/>
      <c r="I193" s="54"/>
      <c r="J193" s="54"/>
      <c r="K193" s="54"/>
      <c r="L193" s="54"/>
      <c r="M193" s="54"/>
      <c r="N193" s="54"/>
      <c r="O193" s="174"/>
      <c r="P193" s="174"/>
      <c r="Q193" s="174"/>
      <c r="R193" s="174"/>
    </row>
    <row r="194" ht="14.25" customHeight="1">
      <c r="B194" s="140">
        <v>45421.0</v>
      </c>
      <c r="C194" s="141" t="str">
        <f t="shared" si="1"/>
        <v>5-2024</v>
      </c>
      <c r="D194" s="54">
        <f t="shared" si="17"/>
        <v>2855.8</v>
      </c>
      <c r="E194" s="138">
        <v>2865.8</v>
      </c>
      <c r="F194" s="54">
        <f t="shared" si="15"/>
        <v>10</v>
      </c>
      <c r="G194" s="54">
        <f t="shared" si="10"/>
        <v>0</v>
      </c>
      <c r="H194" s="54"/>
      <c r="I194" s="54"/>
      <c r="J194" s="54"/>
      <c r="K194" s="54"/>
      <c r="L194" s="54"/>
      <c r="M194" s="54"/>
      <c r="N194" s="54"/>
      <c r="O194" s="174"/>
      <c r="P194" s="174"/>
      <c r="Q194" s="174"/>
      <c r="R194" s="174"/>
    </row>
    <row r="195" ht="14.25" customHeight="1">
      <c r="B195" s="140">
        <v>45422.0</v>
      </c>
      <c r="C195" s="141" t="str">
        <f t="shared" si="1"/>
        <v>5-2024</v>
      </c>
      <c r="D195" s="54">
        <f t="shared" si="17"/>
        <v>2865.8</v>
      </c>
      <c r="E195" s="138">
        <v>2875.8</v>
      </c>
      <c r="F195" s="54">
        <f t="shared" si="15"/>
        <v>10</v>
      </c>
      <c r="G195" s="54">
        <f t="shared" si="10"/>
        <v>0</v>
      </c>
      <c r="H195" s="54"/>
      <c r="I195" s="54"/>
      <c r="J195" s="54"/>
      <c r="K195" s="54"/>
      <c r="L195" s="54"/>
      <c r="M195" s="54"/>
      <c r="N195" s="54"/>
      <c r="O195" s="174"/>
      <c r="P195" s="174"/>
      <c r="Q195" s="174"/>
      <c r="R195" s="174"/>
    </row>
    <row r="196" ht="14.25" customHeight="1">
      <c r="B196" s="145">
        <v>45423.0</v>
      </c>
      <c r="C196" s="166" t="str">
        <f t="shared" si="1"/>
        <v>5-2024</v>
      </c>
      <c r="D196" s="167"/>
      <c r="E196" s="167"/>
      <c r="F196" s="167">
        <f t="shared" si="15"/>
        <v>0</v>
      </c>
      <c r="G196" s="167">
        <f t="shared" si="10"/>
        <v>-10</v>
      </c>
      <c r="H196" s="54"/>
      <c r="I196" s="54"/>
      <c r="J196" s="54"/>
      <c r="K196" s="54"/>
      <c r="L196" s="54"/>
      <c r="M196" s="54"/>
      <c r="N196" s="54"/>
      <c r="O196" s="174"/>
      <c r="P196" s="174"/>
      <c r="Q196" s="174"/>
      <c r="R196" s="174"/>
    </row>
    <row r="197" ht="14.25" customHeight="1">
      <c r="B197" s="145">
        <v>45424.0</v>
      </c>
      <c r="C197" s="166" t="str">
        <f t="shared" si="1"/>
        <v>5-2024</v>
      </c>
      <c r="D197" s="167" t="str">
        <f>E196</f>
        <v/>
      </c>
      <c r="E197" s="167"/>
      <c r="F197" s="167">
        <f t="shared" si="15"/>
        <v>0</v>
      </c>
      <c r="G197" s="167">
        <f t="shared" si="10"/>
        <v>-10</v>
      </c>
      <c r="H197" s="54"/>
      <c r="I197" s="54"/>
      <c r="J197" s="54"/>
      <c r="K197" s="54"/>
      <c r="L197" s="54"/>
      <c r="M197" s="54"/>
      <c r="N197" s="54"/>
      <c r="O197" s="174"/>
      <c r="P197" s="174"/>
      <c r="Q197" s="174"/>
      <c r="R197" s="174"/>
    </row>
    <row r="198" ht="14.25" customHeight="1">
      <c r="B198" s="140">
        <v>45425.0</v>
      </c>
      <c r="C198" s="141" t="str">
        <f t="shared" si="1"/>
        <v>5-2024</v>
      </c>
      <c r="D198" s="138">
        <v>2875.8</v>
      </c>
      <c r="E198" s="138">
        <v>2883.8</v>
      </c>
      <c r="F198" s="54">
        <f t="shared" si="15"/>
        <v>8</v>
      </c>
      <c r="G198" s="54">
        <f t="shared" si="10"/>
        <v>-2</v>
      </c>
      <c r="H198" s="54"/>
      <c r="I198" s="54"/>
      <c r="J198" s="54"/>
      <c r="K198" s="54"/>
      <c r="L198" s="54"/>
      <c r="M198" s="54"/>
      <c r="N198" s="54"/>
      <c r="O198" s="174"/>
      <c r="P198" s="174"/>
      <c r="Q198" s="174"/>
      <c r="R198" s="174"/>
    </row>
    <row r="199" ht="14.25" customHeight="1">
      <c r="B199" s="140">
        <v>45426.0</v>
      </c>
      <c r="C199" s="141" t="str">
        <f t="shared" si="1"/>
        <v>5-2024</v>
      </c>
      <c r="D199" s="54">
        <f>E198</f>
        <v>2883.8</v>
      </c>
      <c r="E199" s="138">
        <v>2889.6</v>
      </c>
      <c r="F199" s="54">
        <f t="shared" si="15"/>
        <v>5.8</v>
      </c>
      <c r="G199" s="54">
        <f t="shared" si="10"/>
        <v>-4.2</v>
      </c>
      <c r="H199" s="54"/>
      <c r="I199" s="54"/>
      <c r="J199" s="54"/>
      <c r="K199" s="54"/>
      <c r="L199" s="54"/>
      <c r="M199" s="54"/>
      <c r="N199" s="54"/>
      <c r="O199" s="174"/>
      <c r="P199" s="174"/>
      <c r="Q199" s="174"/>
      <c r="R199" s="174"/>
    </row>
    <row r="200" ht="14.25" customHeight="1">
      <c r="B200" s="140">
        <v>45427.0</v>
      </c>
      <c r="C200" s="141" t="str">
        <f t="shared" si="1"/>
        <v>5-2024</v>
      </c>
      <c r="D200" s="54"/>
      <c r="E200" s="54"/>
      <c r="F200" s="54">
        <f t="shared" si="15"/>
        <v>0</v>
      </c>
      <c r="G200" s="54">
        <f t="shared" si="10"/>
        <v>-10</v>
      </c>
      <c r="H200" s="54"/>
      <c r="I200" s="54"/>
      <c r="J200" s="54"/>
      <c r="K200" s="54"/>
      <c r="L200" s="54"/>
      <c r="M200" s="54"/>
      <c r="N200" s="54"/>
      <c r="O200" s="174"/>
      <c r="P200" s="174"/>
      <c r="Q200" s="174"/>
      <c r="R200" s="174"/>
    </row>
    <row r="201" ht="14.25" customHeight="1">
      <c r="B201" s="140">
        <v>45428.0</v>
      </c>
      <c r="C201" s="141" t="str">
        <f t="shared" si="1"/>
        <v>5-2024</v>
      </c>
      <c r="D201" s="138">
        <v>692.9</v>
      </c>
      <c r="E201" s="138">
        <v>700.7</v>
      </c>
      <c r="F201" s="54">
        <f t="shared" si="15"/>
        <v>7.8</v>
      </c>
      <c r="G201" s="54">
        <f t="shared" si="10"/>
        <v>-2.2</v>
      </c>
      <c r="H201" s="138" t="s">
        <v>145</v>
      </c>
      <c r="I201" s="54"/>
      <c r="J201" s="54"/>
      <c r="K201" s="54"/>
      <c r="L201" s="54"/>
      <c r="M201" s="54"/>
      <c r="N201" s="54"/>
      <c r="O201" s="174"/>
      <c r="P201" s="174"/>
      <c r="Q201" s="174"/>
      <c r="R201" s="174"/>
    </row>
    <row r="202" ht="14.25" customHeight="1">
      <c r="B202" s="140">
        <v>45429.0</v>
      </c>
      <c r="C202" s="141" t="str">
        <f t="shared" si="1"/>
        <v>5-2024</v>
      </c>
      <c r="D202" s="54"/>
      <c r="E202" s="54"/>
      <c r="F202" s="54">
        <f t="shared" si="15"/>
        <v>0</v>
      </c>
      <c r="G202" s="54">
        <f t="shared" si="10"/>
        <v>-10</v>
      </c>
      <c r="H202" s="54"/>
      <c r="I202" s="54"/>
      <c r="J202" s="54"/>
      <c r="K202" s="54"/>
      <c r="L202" s="54"/>
      <c r="M202" s="54"/>
      <c r="N202" s="54"/>
      <c r="O202" s="174"/>
      <c r="P202" s="174"/>
      <c r="Q202" s="174"/>
      <c r="R202" s="174"/>
    </row>
    <row r="203" ht="14.25" customHeight="1">
      <c r="B203" s="145">
        <v>45430.0</v>
      </c>
      <c r="C203" s="166" t="str">
        <f t="shared" si="1"/>
        <v>5-2024</v>
      </c>
      <c r="D203" s="167" t="str">
        <f t="shared" ref="D203:D209" si="18">E202</f>
        <v/>
      </c>
      <c r="E203" s="167"/>
      <c r="F203" s="167">
        <f t="shared" si="15"/>
        <v>0</v>
      </c>
      <c r="G203" s="167">
        <f t="shared" si="10"/>
        <v>-10</v>
      </c>
      <c r="H203" s="54"/>
      <c r="I203" s="54"/>
      <c r="J203" s="54"/>
      <c r="K203" s="54"/>
      <c r="L203" s="54"/>
      <c r="M203" s="54"/>
      <c r="N203" s="54"/>
      <c r="O203" s="174"/>
      <c r="P203" s="174"/>
      <c r="Q203" s="174"/>
      <c r="R203" s="174"/>
    </row>
    <row r="204" ht="14.25" customHeight="1">
      <c r="B204" s="145">
        <v>45431.0</v>
      </c>
      <c r="C204" s="166" t="str">
        <f t="shared" si="1"/>
        <v>5-2024</v>
      </c>
      <c r="D204" s="167" t="str">
        <f t="shared" si="18"/>
        <v/>
      </c>
      <c r="E204" s="167"/>
      <c r="F204" s="167">
        <f t="shared" si="15"/>
        <v>0</v>
      </c>
      <c r="G204" s="167">
        <f t="shared" si="10"/>
        <v>-10</v>
      </c>
      <c r="H204" s="54"/>
      <c r="I204" s="54"/>
      <c r="J204" s="54"/>
      <c r="K204" s="54"/>
      <c r="L204" s="54"/>
      <c r="M204" s="54"/>
      <c r="N204" s="54"/>
      <c r="O204" s="174"/>
      <c r="P204" s="174"/>
      <c r="Q204" s="174"/>
      <c r="R204" s="174"/>
    </row>
    <row r="205" ht="14.25" customHeight="1">
      <c r="B205" s="140">
        <v>45432.0</v>
      </c>
      <c r="C205" s="141" t="str">
        <f t="shared" si="1"/>
        <v>5-2024</v>
      </c>
      <c r="D205" s="54" t="str">
        <f t="shared" si="18"/>
        <v/>
      </c>
      <c r="E205" s="54"/>
      <c r="F205" s="54">
        <f t="shared" si="15"/>
        <v>0</v>
      </c>
      <c r="G205" s="54">
        <f t="shared" si="10"/>
        <v>-10</v>
      </c>
      <c r="H205" s="54"/>
      <c r="I205" s="54"/>
      <c r="J205" s="54"/>
      <c r="K205" s="54"/>
      <c r="L205" s="54"/>
      <c r="M205" s="54"/>
      <c r="N205" s="54"/>
      <c r="O205" s="174"/>
      <c r="P205" s="174"/>
      <c r="Q205" s="174"/>
      <c r="R205" s="174"/>
    </row>
    <row r="206" ht="14.25" customHeight="1">
      <c r="B206" s="140">
        <v>45433.0</v>
      </c>
      <c r="C206" s="141" t="str">
        <f t="shared" si="1"/>
        <v>5-2024</v>
      </c>
      <c r="D206" s="54" t="str">
        <f t="shared" si="18"/>
        <v/>
      </c>
      <c r="E206" s="54"/>
      <c r="F206" s="54">
        <f t="shared" si="15"/>
        <v>0</v>
      </c>
      <c r="G206" s="54">
        <f t="shared" si="10"/>
        <v>-10</v>
      </c>
      <c r="H206" s="54"/>
      <c r="I206" s="54"/>
      <c r="J206" s="54"/>
      <c r="K206" s="54"/>
      <c r="L206" s="54"/>
      <c r="M206" s="54"/>
      <c r="N206" s="54"/>
      <c r="O206" s="174"/>
      <c r="P206" s="174"/>
      <c r="Q206" s="174"/>
      <c r="R206" s="174"/>
    </row>
    <row r="207" ht="14.25" customHeight="1">
      <c r="B207" s="140">
        <v>45434.0</v>
      </c>
      <c r="C207" s="141" t="str">
        <f t="shared" si="1"/>
        <v>5-2024</v>
      </c>
      <c r="D207" s="54" t="str">
        <f t="shared" si="18"/>
        <v/>
      </c>
      <c r="E207" s="54"/>
      <c r="F207" s="54">
        <f t="shared" si="15"/>
        <v>0</v>
      </c>
      <c r="G207" s="54">
        <f t="shared" si="10"/>
        <v>-10</v>
      </c>
      <c r="H207" s="54"/>
      <c r="I207" s="54"/>
      <c r="J207" s="54"/>
      <c r="K207" s="54"/>
      <c r="L207" s="54"/>
      <c r="M207" s="54"/>
      <c r="N207" s="54"/>
      <c r="O207" s="174"/>
      <c r="P207" s="174"/>
      <c r="Q207" s="174"/>
      <c r="R207" s="174"/>
    </row>
    <row r="208" ht="14.25" customHeight="1">
      <c r="B208" s="140">
        <v>45435.0</v>
      </c>
      <c r="C208" s="141" t="str">
        <f t="shared" si="1"/>
        <v>5-2024</v>
      </c>
      <c r="D208" s="54" t="str">
        <f t="shared" si="18"/>
        <v/>
      </c>
      <c r="E208" s="54"/>
      <c r="F208" s="54">
        <f t="shared" si="15"/>
        <v>0</v>
      </c>
      <c r="G208" s="54">
        <f t="shared" si="10"/>
        <v>-10</v>
      </c>
      <c r="H208" s="54"/>
      <c r="I208" s="54"/>
      <c r="J208" s="54"/>
      <c r="K208" s="54"/>
      <c r="L208" s="54"/>
      <c r="M208" s="54"/>
      <c r="N208" s="54"/>
      <c r="O208" s="174"/>
      <c r="P208" s="174"/>
      <c r="Q208" s="174"/>
      <c r="R208" s="174"/>
    </row>
    <row r="209" ht="14.25" customHeight="1">
      <c r="B209" s="140">
        <v>45436.0</v>
      </c>
      <c r="C209" s="141" t="str">
        <f t="shared" si="1"/>
        <v>5-2024</v>
      </c>
      <c r="D209" s="54" t="str">
        <f t="shared" si="18"/>
        <v/>
      </c>
      <c r="E209" s="54"/>
      <c r="F209" s="54">
        <f t="shared" si="15"/>
        <v>0</v>
      </c>
      <c r="G209" s="54">
        <f t="shared" si="10"/>
        <v>-10</v>
      </c>
      <c r="H209" s="54"/>
      <c r="I209" s="54"/>
      <c r="J209" s="54"/>
      <c r="K209" s="54"/>
      <c r="L209" s="54"/>
      <c r="M209" s="54"/>
      <c r="N209" s="54"/>
      <c r="O209" s="174"/>
      <c r="P209" s="174"/>
      <c r="Q209" s="174"/>
      <c r="R209" s="174"/>
    </row>
    <row r="210" ht="14.25" customHeight="1">
      <c r="B210" s="145">
        <v>45437.0</v>
      </c>
      <c r="C210" s="166" t="str">
        <f t="shared" si="1"/>
        <v>5-2024</v>
      </c>
      <c r="D210" s="168">
        <v>7053.8</v>
      </c>
      <c r="E210" s="168">
        <v>7062.5</v>
      </c>
      <c r="F210" s="167">
        <f t="shared" si="15"/>
        <v>8.7</v>
      </c>
      <c r="G210" s="167">
        <f t="shared" si="10"/>
        <v>-1.3</v>
      </c>
      <c r="H210" s="138" t="s">
        <v>146</v>
      </c>
      <c r="I210" s="54"/>
      <c r="J210" s="54"/>
      <c r="K210" s="54"/>
      <c r="L210" s="54"/>
      <c r="M210" s="54"/>
      <c r="N210" s="54"/>
      <c r="O210" s="174"/>
      <c r="P210" s="174"/>
      <c r="Q210" s="174"/>
      <c r="R210" s="174"/>
    </row>
    <row r="211" ht="14.25" customHeight="1">
      <c r="B211" s="145">
        <v>45438.0</v>
      </c>
      <c r="C211" s="166" t="str">
        <f t="shared" si="1"/>
        <v>5-2024</v>
      </c>
      <c r="D211" s="167"/>
      <c r="E211" s="167"/>
      <c r="F211" s="167">
        <f t="shared" si="15"/>
        <v>0</v>
      </c>
      <c r="G211" s="167">
        <f t="shared" si="10"/>
        <v>-10</v>
      </c>
      <c r="H211" s="54"/>
      <c r="I211" s="54"/>
      <c r="J211" s="54"/>
      <c r="K211" s="54"/>
      <c r="L211" s="54"/>
      <c r="M211" s="54"/>
      <c r="N211" s="54"/>
      <c r="O211" s="174"/>
      <c r="P211" s="174"/>
      <c r="Q211" s="174"/>
      <c r="R211" s="174"/>
    </row>
    <row r="212" ht="14.25" customHeight="1">
      <c r="B212" s="140">
        <v>45439.0</v>
      </c>
      <c r="C212" s="141" t="str">
        <f t="shared" si="1"/>
        <v>5-2024</v>
      </c>
      <c r="D212" s="54" t="str">
        <f t="shared" ref="D212:D215" si="19">E211</f>
        <v/>
      </c>
      <c r="E212" s="54"/>
      <c r="F212" s="54">
        <f t="shared" si="15"/>
        <v>0</v>
      </c>
      <c r="G212" s="54">
        <f t="shared" si="10"/>
        <v>-10</v>
      </c>
      <c r="H212" s="54"/>
      <c r="I212" s="54"/>
      <c r="J212" s="54"/>
      <c r="K212" s="54"/>
      <c r="L212" s="54"/>
      <c r="M212" s="54"/>
      <c r="N212" s="54"/>
      <c r="O212" s="174"/>
      <c r="P212" s="174"/>
      <c r="Q212" s="174"/>
      <c r="R212" s="174"/>
    </row>
    <row r="213" ht="14.25" customHeight="1">
      <c r="B213" s="140">
        <v>45440.0</v>
      </c>
      <c r="C213" s="141" t="str">
        <f t="shared" si="1"/>
        <v>5-2024</v>
      </c>
      <c r="D213" s="54" t="str">
        <f t="shared" si="19"/>
        <v/>
      </c>
      <c r="E213" s="54"/>
      <c r="F213" s="54">
        <f t="shared" si="15"/>
        <v>0</v>
      </c>
      <c r="G213" s="54">
        <f t="shared" si="10"/>
        <v>-10</v>
      </c>
      <c r="H213" s="54"/>
      <c r="I213" s="54"/>
      <c r="J213" s="54"/>
      <c r="K213" s="54"/>
      <c r="L213" s="54"/>
      <c r="M213" s="54"/>
      <c r="N213" s="54"/>
      <c r="O213" s="174"/>
      <c r="P213" s="174"/>
      <c r="Q213" s="174"/>
      <c r="R213" s="174"/>
    </row>
    <row r="214" ht="14.25" customHeight="1">
      <c r="B214" s="140">
        <v>45441.0</v>
      </c>
      <c r="C214" s="141" t="str">
        <f t="shared" si="1"/>
        <v>5-2024</v>
      </c>
      <c r="D214" s="54" t="str">
        <f t="shared" si="19"/>
        <v/>
      </c>
      <c r="E214" s="54"/>
      <c r="F214" s="54">
        <f t="shared" si="15"/>
        <v>0</v>
      </c>
      <c r="G214" s="54">
        <f t="shared" si="10"/>
        <v>-10</v>
      </c>
      <c r="H214" s="54"/>
      <c r="I214" s="54"/>
      <c r="J214" s="54"/>
      <c r="K214" s="54"/>
      <c r="L214" s="54"/>
      <c r="M214" s="54"/>
      <c r="N214" s="54"/>
      <c r="O214" s="174"/>
      <c r="P214" s="174"/>
      <c r="Q214" s="174"/>
      <c r="R214" s="174"/>
    </row>
    <row r="215" ht="14.25" customHeight="1">
      <c r="B215" s="142">
        <v>45442.0</v>
      </c>
      <c r="C215" s="143" t="str">
        <f t="shared" si="1"/>
        <v>5-2024</v>
      </c>
      <c r="D215" s="92" t="str">
        <f t="shared" si="19"/>
        <v/>
      </c>
      <c r="E215" s="92"/>
      <c r="F215" s="92">
        <f t="shared" si="15"/>
        <v>0</v>
      </c>
      <c r="G215" s="92">
        <f t="shared" si="10"/>
        <v>-10</v>
      </c>
      <c r="H215" s="54"/>
      <c r="I215" s="54"/>
      <c r="J215" s="54"/>
      <c r="K215" s="54"/>
      <c r="L215" s="54"/>
      <c r="M215" s="54"/>
      <c r="N215" s="54"/>
      <c r="O215" s="174"/>
      <c r="P215" s="174"/>
      <c r="Q215" s="174"/>
      <c r="R215" s="174"/>
    </row>
    <row r="216" ht="14.25" customHeight="1">
      <c r="B216" s="140">
        <v>45443.0</v>
      </c>
      <c r="C216" s="141" t="str">
        <f t="shared" si="1"/>
        <v>5-2024</v>
      </c>
      <c r="D216" s="138">
        <v>2889.6</v>
      </c>
      <c r="E216" s="138">
        <v>2898.4</v>
      </c>
      <c r="F216" s="54">
        <f t="shared" si="15"/>
        <v>8.8</v>
      </c>
      <c r="G216" s="54">
        <f t="shared" si="10"/>
        <v>-1.2</v>
      </c>
      <c r="H216" s="54"/>
      <c r="I216" s="54"/>
      <c r="J216" s="54"/>
      <c r="K216" s="54"/>
      <c r="L216" s="54"/>
      <c r="M216" s="54"/>
      <c r="N216" s="54"/>
      <c r="O216" s="174"/>
      <c r="P216" s="174"/>
      <c r="Q216" s="174"/>
      <c r="R216" s="174"/>
    </row>
    <row r="217" ht="14.25" customHeight="1">
      <c r="B217" s="145">
        <v>45444.0</v>
      </c>
      <c r="C217" s="166" t="str">
        <f t="shared" si="1"/>
        <v>6-2024</v>
      </c>
      <c r="D217" s="138">
        <v>2898.4</v>
      </c>
      <c r="E217" s="138">
        <v>2905.4</v>
      </c>
      <c r="F217" s="54">
        <f t="shared" si="15"/>
        <v>7</v>
      </c>
      <c r="G217" s="54">
        <f t="shared" si="10"/>
        <v>-3</v>
      </c>
      <c r="H217" s="54"/>
      <c r="I217" s="54"/>
      <c r="J217" s="54"/>
      <c r="K217" s="54"/>
      <c r="L217" s="54"/>
      <c r="M217" s="54"/>
      <c r="N217" s="54"/>
      <c r="O217" s="174"/>
      <c r="P217" s="174"/>
      <c r="Q217" s="174"/>
      <c r="R217" s="174"/>
    </row>
    <row r="218" ht="14.25" customHeight="1">
      <c r="B218" s="145">
        <v>45445.0</v>
      </c>
      <c r="C218" s="166" t="str">
        <f t="shared" si="1"/>
        <v>6-2024</v>
      </c>
      <c r="D218" s="54"/>
      <c r="E218" s="54"/>
      <c r="F218" s="54">
        <f t="shared" si="15"/>
        <v>0</v>
      </c>
      <c r="G218" s="54">
        <f t="shared" si="10"/>
        <v>-10</v>
      </c>
      <c r="H218" s="54"/>
      <c r="I218" s="54"/>
      <c r="J218" s="54"/>
      <c r="K218" s="54"/>
      <c r="L218" s="54"/>
      <c r="M218" s="54"/>
      <c r="N218" s="54"/>
      <c r="O218" s="174"/>
      <c r="P218" s="174"/>
      <c r="Q218" s="174"/>
      <c r="R218" s="174"/>
    </row>
    <row r="219" ht="14.25" customHeight="1">
      <c r="B219" s="164">
        <v>45446.0</v>
      </c>
      <c r="C219" s="141" t="str">
        <f t="shared" si="1"/>
        <v>6-2024</v>
      </c>
      <c r="D219" s="138">
        <v>2905.4</v>
      </c>
      <c r="E219" s="138">
        <v>2914.0</v>
      </c>
      <c r="F219" s="54">
        <f t="shared" si="15"/>
        <v>8.6</v>
      </c>
      <c r="G219" s="54">
        <f t="shared" si="10"/>
        <v>-1.4</v>
      </c>
      <c r="H219" s="54"/>
      <c r="I219" s="54"/>
      <c r="J219" s="54"/>
      <c r="K219" s="54"/>
      <c r="L219" s="54"/>
      <c r="M219" s="54"/>
      <c r="N219" s="54"/>
      <c r="O219" s="174"/>
      <c r="P219" s="174"/>
      <c r="Q219" s="174"/>
      <c r="R219" s="174"/>
    </row>
    <row r="220" ht="14.25" customHeight="1">
      <c r="B220" s="164">
        <v>45447.0</v>
      </c>
      <c r="C220" s="141" t="str">
        <f t="shared" si="1"/>
        <v>6-2024</v>
      </c>
      <c r="D220" s="138">
        <v>2914.0</v>
      </c>
      <c r="E220" s="138">
        <v>2921.0</v>
      </c>
      <c r="F220" s="54">
        <f t="shared" si="15"/>
        <v>7</v>
      </c>
      <c r="G220" s="54">
        <f t="shared" si="10"/>
        <v>-3</v>
      </c>
      <c r="H220" s="54"/>
      <c r="I220" s="54"/>
      <c r="J220" s="54"/>
      <c r="K220" s="54"/>
      <c r="L220" s="54"/>
      <c r="M220" s="54"/>
      <c r="N220" s="54"/>
      <c r="O220" s="174"/>
      <c r="P220" s="174"/>
      <c r="Q220" s="174"/>
      <c r="R220" s="174"/>
    </row>
    <row r="221" ht="14.25" customHeight="1">
      <c r="B221" s="164">
        <v>45448.0</v>
      </c>
      <c r="C221" s="141" t="str">
        <f t="shared" si="1"/>
        <v>6-2024</v>
      </c>
      <c r="D221" s="138">
        <v>2921.0</v>
      </c>
      <c r="E221" s="138">
        <v>2931.0</v>
      </c>
      <c r="F221" s="54">
        <f t="shared" si="15"/>
        <v>10</v>
      </c>
      <c r="G221" s="54">
        <f t="shared" si="10"/>
        <v>0</v>
      </c>
      <c r="H221" s="54"/>
      <c r="I221" s="54"/>
      <c r="J221" s="54"/>
      <c r="K221" s="54"/>
      <c r="L221" s="54"/>
      <c r="M221" s="54"/>
      <c r="N221" s="54"/>
      <c r="O221" s="174"/>
      <c r="P221" s="174"/>
      <c r="Q221" s="174"/>
      <c r="R221" s="174"/>
    </row>
    <row r="222" ht="14.25" customHeight="1">
      <c r="B222" s="164">
        <v>45449.0</v>
      </c>
      <c r="C222" s="141" t="str">
        <f t="shared" si="1"/>
        <v>6-2024</v>
      </c>
      <c r="D222" s="138">
        <v>2931.0</v>
      </c>
      <c r="E222" s="138">
        <v>2934.0</v>
      </c>
      <c r="F222" s="54">
        <f t="shared" si="15"/>
        <v>3</v>
      </c>
      <c r="G222" s="54">
        <f t="shared" si="10"/>
        <v>-7</v>
      </c>
      <c r="H222" s="54"/>
      <c r="I222" s="54"/>
      <c r="J222" s="54"/>
      <c r="K222" s="54"/>
      <c r="L222" s="54"/>
      <c r="M222" s="54"/>
      <c r="N222" s="54"/>
      <c r="O222" s="174"/>
      <c r="P222" s="174"/>
      <c r="Q222" s="174"/>
      <c r="R222" s="174"/>
    </row>
    <row r="223" ht="14.25" customHeight="1">
      <c r="B223" s="164">
        <v>45450.0</v>
      </c>
      <c r="C223" s="141" t="str">
        <f t="shared" si="1"/>
        <v>6-2024</v>
      </c>
      <c r="D223" s="54"/>
      <c r="E223" s="54"/>
      <c r="F223" s="54">
        <f t="shared" si="15"/>
        <v>0</v>
      </c>
      <c r="G223" s="54">
        <f t="shared" si="10"/>
        <v>-10</v>
      </c>
      <c r="H223" s="54"/>
      <c r="I223" s="54"/>
      <c r="J223" s="54"/>
      <c r="K223" s="54"/>
      <c r="L223" s="54"/>
      <c r="M223" s="54"/>
      <c r="N223" s="54"/>
      <c r="O223" s="174"/>
      <c r="P223" s="174"/>
      <c r="Q223" s="174"/>
      <c r="R223" s="174"/>
    </row>
    <row r="224" ht="14.25" customHeight="1">
      <c r="B224" s="145">
        <v>45451.0</v>
      </c>
      <c r="C224" s="166" t="str">
        <f t="shared" si="1"/>
        <v>6-2024</v>
      </c>
      <c r="D224" s="54"/>
      <c r="E224" s="54"/>
      <c r="F224" s="54">
        <f t="shared" si="15"/>
        <v>0</v>
      </c>
      <c r="G224" s="54">
        <f t="shared" si="10"/>
        <v>-10</v>
      </c>
      <c r="H224" s="54"/>
      <c r="I224" s="54"/>
      <c r="J224" s="54"/>
      <c r="K224" s="54"/>
      <c r="L224" s="54"/>
      <c r="M224" s="54"/>
      <c r="N224" s="54"/>
      <c r="O224" s="174"/>
      <c r="P224" s="174"/>
      <c r="Q224" s="174"/>
      <c r="R224" s="174"/>
    </row>
    <row r="225" ht="14.25" customHeight="1">
      <c r="B225" s="145">
        <v>45452.0</v>
      </c>
      <c r="C225" s="166" t="str">
        <f t="shared" si="1"/>
        <v>6-2024</v>
      </c>
      <c r="D225" s="54"/>
      <c r="E225" s="54"/>
      <c r="F225" s="54">
        <f t="shared" si="15"/>
        <v>0</v>
      </c>
      <c r="G225" s="54">
        <f t="shared" si="10"/>
        <v>-10</v>
      </c>
      <c r="H225" s="54"/>
      <c r="I225" s="54"/>
      <c r="J225" s="54"/>
      <c r="K225" s="54"/>
      <c r="L225" s="54"/>
      <c r="M225" s="54"/>
      <c r="N225" s="54"/>
      <c r="O225" s="174"/>
      <c r="P225" s="174"/>
      <c r="Q225" s="174"/>
      <c r="R225" s="174"/>
    </row>
    <row r="226" ht="14.25" customHeight="1">
      <c r="B226" s="164">
        <v>45453.0</v>
      </c>
      <c r="C226" s="141" t="str">
        <f t="shared" si="1"/>
        <v>6-2024</v>
      </c>
      <c r="D226" s="138">
        <v>2934.0</v>
      </c>
      <c r="E226" s="138">
        <v>2935.0</v>
      </c>
      <c r="F226" s="54">
        <f t="shared" si="15"/>
        <v>1</v>
      </c>
      <c r="G226" s="54">
        <f t="shared" si="10"/>
        <v>-9</v>
      </c>
      <c r="H226" s="54"/>
      <c r="I226" s="54"/>
      <c r="J226" s="54"/>
      <c r="K226" s="54"/>
      <c r="L226" s="54"/>
      <c r="M226" s="54"/>
      <c r="N226" s="54"/>
      <c r="O226" s="174"/>
      <c r="P226" s="174"/>
      <c r="Q226" s="174"/>
      <c r="R226" s="174"/>
    </row>
    <row r="227" ht="14.25" customHeight="1">
      <c r="B227" s="164">
        <v>45454.0</v>
      </c>
      <c r="C227" s="141" t="str">
        <f t="shared" si="1"/>
        <v>6-2024</v>
      </c>
      <c r="D227" s="138">
        <v>2935.0</v>
      </c>
      <c r="E227" s="138">
        <v>2945.6</v>
      </c>
      <c r="F227" s="54">
        <f t="shared" si="15"/>
        <v>10.6</v>
      </c>
      <c r="G227" s="54">
        <f t="shared" si="10"/>
        <v>0.6</v>
      </c>
      <c r="H227" s="54"/>
      <c r="I227" s="54"/>
      <c r="J227" s="54"/>
      <c r="K227" s="54"/>
      <c r="L227" s="54"/>
      <c r="M227" s="54"/>
      <c r="N227" s="54"/>
      <c r="O227" s="174"/>
      <c r="P227" s="174"/>
      <c r="Q227" s="174"/>
      <c r="R227" s="174"/>
    </row>
    <row r="228" ht="14.25" customHeight="1">
      <c r="B228" s="164">
        <v>45455.0</v>
      </c>
      <c r="C228" s="141" t="str">
        <f t="shared" si="1"/>
        <v>6-2024</v>
      </c>
      <c r="D228" s="54">
        <f t="shared" ref="D228:D231" si="20">E227</f>
        <v>2945.6</v>
      </c>
      <c r="E228" s="138">
        <v>2955.0</v>
      </c>
      <c r="F228" s="54">
        <f t="shared" si="15"/>
        <v>9.4</v>
      </c>
      <c r="G228" s="54">
        <f t="shared" si="10"/>
        <v>-0.6</v>
      </c>
      <c r="H228" s="54"/>
      <c r="I228" s="54"/>
      <c r="J228" s="54"/>
      <c r="K228" s="54"/>
      <c r="L228" s="54"/>
      <c r="M228" s="54"/>
      <c r="N228" s="54"/>
      <c r="O228" s="174"/>
      <c r="P228" s="174"/>
      <c r="Q228" s="174"/>
      <c r="R228" s="174"/>
    </row>
    <row r="229" ht="14.25" customHeight="1">
      <c r="B229" s="164">
        <v>45456.0</v>
      </c>
      <c r="C229" s="141" t="str">
        <f t="shared" si="1"/>
        <v>6-2024</v>
      </c>
      <c r="D229" s="54">
        <f t="shared" si="20"/>
        <v>2955</v>
      </c>
      <c r="E229" s="138">
        <v>2963.0</v>
      </c>
      <c r="F229" s="54">
        <f t="shared" si="15"/>
        <v>8</v>
      </c>
      <c r="G229" s="54">
        <f t="shared" si="10"/>
        <v>-2</v>
      </c>
      <c r="H229" s="54"/>
      <c r="I229" s="54"/>
      <c r="J229" s="54"/>
      <c r="K229" s="54"/>
      <c r="L229" s="54"/>
      <c r="M229" s="54"/>
      <c r="N229" s="54"/>
      <c r="O229" s="174"/>
      <c r="P229" s="174"/>
      <c r="Q229" s="174"/>
      <c r="R229" s="174"/>
    </row>
    <row r="230" ht="14.25" customHeight="1">
      <c r="B230" s="164">
        <v>45457.0</v>
      </c>
      <c r="C230" s="141" t="str">
        <f t="shared" si="1"/>
        <v>6-2024</v>
      </c>
      <c r="D230" s="54">
        <f t="shared" si="20"/>
        <v>2963</v>
      </c>
      <c r="E230" s="138">
        <v>2973.0</v>
      </c>
      <c r="F230" s="54">
        <f t="shared" si="15"/>
        <v>10</v>
      </c>
      <c r="G230" s="54">
        <f t="shared" si="10"/>
        <v>0</v>
      </c>
      <c r="H230" s="54"/>
      <c r="I230" s="54"/>
      <c r="J230" s="54"/>
      <c r="K230" s="54"/>
      <c r="L230" s="54"/>
      <c r="M230" s="54"/>
      <c r="N230" s="54"/>
      <c r="O230" s="174"/>
      <c r="P230" s="174"/>
      <c r="Q230" s="174"/>
      <c r="R230" s="174"/>
    </row>
    <row r="231" ht="14.25" customHeight="1">
      <c r="B231" s="145">
        <v>45458.0</v>
      </c>
      <c r="C231" s="166" t="str">
        <f t="shared" si="1"/>
        <v>6-2024</v>
      </c>
      <c r="D231" s="54">
        <f t="shared" si="20"/>
        <v>2973</v>
      </c>
      <c r="E231" s="138">
        <v>2976.0</v>
      </c>
      <c r="F231" s="54">
        <f t="shared" si="15"/>
        <v>3</v>
      </c>
      <c r="G231" s="54">
        <f t="shared" si="10"/>
        <v>-7</v>
      </c>
      <c r="H231" s="54"/>
      <c r="I231" s="54"/>
      <c r="J231" s="54"/>
      <c r="K231" s="54"/>
      <c r="L231" s="54"/>
      <c r="M231" s="54"/>
      <c r="N231" s="54"/>
      <c r="O231" s="174"/>
      <c r="P231" s="174"/>
      <c r="Q231" s="174"/>
      <c r="R231" s="174"/>
    </row>
    <row r="232" ht="14.25" customHeight="1">
      <c r="B232" s="145">
        <v>45459.0</v>
      </c>
      <c r="C232" s="166" t="str">
        <f t="shared" si="1"/>
        <v>6-2024</v>
      </c>
      <c r="D232" s="54"/>
      <c r="E232" s="54"/>
      <c r="F232" s="54">
        <f t="shared" si="15"/>
        <v>0</v>
      </c>
      <c r="G232" s="54">
        <f t="shared" si="10"/>
        <v>-10</v>
      </c>
      <c r="H232" s="54"/>
      <c r="I232" s="54"/>
      <c r="J232" s="54"/>
      <c r="K232" s="54"/>
      <c r="L232" s="54"/>
      <c r="M232" s="54"/>
      <c r="N232" s="54"/>
      <c r="O232" s="174"/>
      <c r="P232" s="174"/>
      <c r="Q232" s="174"/>
      <c r="R232" s="174"/>
    </row>
    <row r="233" ht="14.25" customHeight="1">
      <c r="B233" s="164">
        <v>45460.0</v>
      </c>
      <c r="C233" s="141" t="str">
        <f t="shared" si="1"/>
        <v>6-2024</v>
      </c>
      <c r="D233" s="138">
        <v>2976.5</v>
      </c>
      <c r="E233" s="138">
        <v>2985.5</v>
      </c>
      <c r="F233" s="54">
        <f t="shared" si="15"/>
        <v>9</v>
      </c>
      <c r="G233" s="54">
        <f t="shared" si="10"/>
        <v>-1</v>
      </c>
      <c r="H233" s="54"/>
      <c r="I233" s="54"/>
      <c r="J233" s="54"/>
      <c r="K233" s="54"/>
      <c r="L233" s="54"/>
      <c r="M233" s="54"/>
      <c r="N233" s="54"/>
      <c r="O233" s="174"/>
      <c r="P233" s="174"/>
      <c r="Q233" s="174"/>
      <c r="R233" s="174"/>
    </row>
    <row r="234" ht="14.25" customHeight="1">
      <c r="B234" s="164">
        <v>45461.0</v>
      </c>
      <c r="C234" s="141" t="str">
        <f t="shared" si="1"/>
        <v>6-2024</v>
      </c>
      <c r="D234" s="54">
        <f t="shared" ref="D234:D237" si="21">E233</f>
        <v>2985.5</v>
      </c>
      <c r="E234" s="138">
        <v>2995.5</v>
      </c>
      <c r="F234" s="54">
        <f t="shared" si="15"/>
        <v>10</v>
      </c>
      <c r="G234" s="54">
        <f t="shared" si="10"/>
        <v>0</v>
      </c>
      <c r="H234" s="54"/>
      <c r="I234" s="54"/>
      <c r="J234" s="54"/>
      <c r="K234" s="54"/>
      <c r="L234" s="54"/>
      <c r="M234" s="54"/>
      <c r="N234" s="54"/>
      <c r="O234" s="174"/>
      <c r="P234" s="174"/>
      <c r="Q234" s="174"/>
      <c r="R234" s="174"/>
    </row>
    <row r="235" ht="14.25" customHeight="1">
      <c r="B235" s="164">
        <v>45462.0</v>
      </c>
      <c r="C235" s="141" t="str">
        <f t="shared" si="1"/>
        <v>6-2024</v>
      </c>
      <c r="D235" s="54">
        <f t="shared" si="21"/>
        <v>2995.5</v>
      </c>
      <c r="E235" s="138">
        <v>3005.5</v>
      </c>
      <c r="F235" s="54">
        <f t="shared" si="15"/>
        <v>10</v>
      </c>
      <c r="G235" s="54">
        <f t="shared" si="10"/>
        <v>0</v>
      </c>
      <c r="H235" s="54"/>
      <c r="I235" s="54"/>
      <c r="J235" s="54"/>
      <c r="K235" s="54"/>
      <c r="L235" s="54"/>
      <c r="M235" s="54"/>
      <c r="N235" s="54"/>
      <c r="O235" s="174"/>
      <c r="P235" s="174"/>
      <c r="Q235" s="174"/>
      <c r="R235" s="174"/>
    </row>
    <row r="236" ht="14.25" customHeight="1">
      <c r="B236" s="164">
        <v>45463.0</v>
      </c>
      <c r="C236" s="141" t="str">
        <f t="shared" si="1"/>
        <v>6-2024</v>
      </c>
      <c r="D236" s="54">
        <f t="shared" si="21"/>
        <v>3005.5</v>
      </c>
      <c r="E236" s="138">
        <v>3013.5</v>
      </c>
      <c r="F236" s="54">
        <f t="shared" si="15"/>
        <v>8</v>
      </c>
      <c r="G236" s="54">
        <f t="shared" si="10"/>
        <v>-2</v>
      </c>
      <c r="H236" s="54"/>
      <c r="I236" s="54"/>
      <c r="J236" s="54"/>
      <c r="K236" s="54"/>
      <c r="L236" s="54"/>
      <c r="M236" s="54"/>
      <c r="N236" s="54"/>
      <c r="O236" s="174"/>
      <c r="P236" s="174"/>
      <c r="Q236" s="174"/>
      <c r="R236" s="174"/>
    </row>
    <row r="237" ht="14.25" customHeight="1">
      <c r="B237" s="164">
        <v>45464.0</v>
      </c>
      <c r="C237" s="141" t="str">
        <f t="shared" si="1"/>
        <v>6-2024</v>
      </c>
      <c r="D237" s="54">
        <f t="shared" si="21"/>
        <v>3013.5</v>
      </c>
      <c r="E237" s="138">
        <v>3023.5</v>
      </c>
      <c r="F237" s="54">
        <f t="shared" si="15"/>
        <v>10</v>
      </c>
      <c r="G237" s="54">
        <f t="shared" si="10"/>
        <v>0</v>
      </c>
      <c r="H237" s="54"/>
      <c r="I237" s="54"/>
      <c r="J237" s="54"/>
      <c r="K237" s="54"/>
      <c r="L237" s="54"/>
      <c r="M237" s="54"/>
      <c r="N237" s="54"/>
      <c r="O237" s="174"/>
      <c r="P237" s="174"/>
      <c r="Q237" s="174"/>
      <c r="R237" s="174"/>
    </row>
    <row r="238" ht="14.25" customHeight="1">
      <c r="B238" s="145">
        <v>45465.0</v>
      </c>
      <c r="C238" s="166" t="str">
        <f t="shared" si="1"/>
        <v>6-2024</v>
      </c>
      <c r="D238" s="54"/>
      <c r="E238" s="54"/>
      <c r="F238" s="54">
        <f t="shared" si="15"/>
        <v>0</v>
      </c>
      <c r="G238" s="54">
        <f t="shared" si="10"/>
        <v>-10</v>
      </c>
      <c r="H238" s="54"/>
      <c r="I238" s="54"/>
      <c r="J238" s="54"/>
      <c r="K238" s="54"/>
      <c r="L238" s="54"/>
      <c r="M238" s="54"/>
      <c r="N238" s="54"/>
      <c r="O238" s="174"/>
      <c r="P238" s="174"/>
      <c r="Q238" s="174"/>
      <c r="R238" s="174"/>
    </row>
    <row r="239" ht="14.25" customHeight="1">
      <c r="B239" s="145">
        <v>45466.0</v>
      </c>
      <c r="C239" s="166" t="str">
        <f t="shared" si="1"/>
        <v>6-2024</v>
      </c>
      <c r="D239" s="54" t="str">
        <f>E238</f>
        <v/>
      </c>
      <c r="E239" s="54"/>
      <c r="F239" s="54">
        <f t="shared" si="15"/>
        <v>0</v>
      </c>
      <c r="G239" s="54">
        <f t="shared" si="10"/>
        <v>-10</v>
      </c>
      <c r="H239" s="54"/>
      <c r="I239" s="54"/>
      <c r="J239" s="54"/>
      <c r="K239" s="54"/>
      <c r="L239" s="54"/>
      <c r="M239" s="54"/>
      <c r="N239" s="54"/>
      <c r="O239" s="174"/>
      <c r="P239" s="174"/>
      <c r="Q239" s="174"/>
      <c r="R239" s="174"/>
    </row>
    <row r="240" ht="14.25" customHeight="1">
      <c r="B240" s="164">
        <v>45467.0</v>
      </c>
      <c r="C240" s="141" t="str">
        <f t="shared" si="1"/>
        <v>6-2024</v>
      </c>
      <c r="D240" s="138">
        <v>3023.5</v>
      </c>
      <c r="E240" s="138">
        <v>3032.5</v>
      </c>
      <c r="F240" s="54">
        <f t="shared" si="15"/>
        <v>9</v>
      </c>
      <c r="G240" s="54">
        <f t="shared" si="10"/>
        <v>-1</v>
      </c>
      <c r="H240" s="54"/>
      <c r="I240" s="54"/>
      <c r="J240" s="54"/>
      <c r="K240" s="54"/>
      <c r="L240" s="54"/>
      <c r="M240" s="54"/>
      <c r="N240" s="54"/>
      <c r="O240" s="174"/>
      <c r="P240" s="174"/>
      <c r="Q240" s="174"/>
      <c r="R240" s="174"/>
    </row>
    <row r="241" ht="14.25" customHeight="1">
      <c r="B241" s="164">
        <v>45468.0</v>
      </c>
      <c r="C241" s="141" t="str">
        <f t="shared" si="1"/>
        <v>6-2024</v>
      </c>
      <c r="D241" s="54">
        <f t="shared" ref="D241:D245" si="22">E240</f>
        <v>3032.5</v>
      </c>
      <c r="E241" s="138">
        <v>3038.0</v>
      </c>
      <c r="F241" s="54">
        <f t="shared" si="15"/>
        <v>5.5</v>
      </c>
      <c r="G241" s="54">
        <f t="shared" si="10"/>
        <v>-4.5</v>
      </c>
      <c r="H241" s="54"/>
      <c r="I241" s="54"/>
      <c r="J241" s="54"/>
      <c r="K241" s="54"/>
      <c r="L241" s="54"/>
      <c r="M241" s="54"/>
      <c r="N241" s="54"/>
      <c r="O241" s="174"/>
      <c r="P241" s="174"/>
      <c r="Q241" s="174"/>
      <c r="R241" s="174"/>
    </row>
    <row r="242" ht="14.25" customHeight="1">
      <c r="B242" s="164">
        <v>45469.0</v>
      </c>
      <c r="C242" s="141" t="str">
        <f t="shared" si="1"/>
        <v>6-2024</v>
      </c>
      <c r="D242" s="54">
        <f t="shared" si="22"/>
        <v>3038</v>
      </c>
      <c r="E242" s="138">
        <v>3047.5</v>
      </c>
      <c r="F242" s="54">
        <f t="shared" si="15"/>
        <v>9.5</v>
      </c>
      <c r="G242" s="54">
        <f t="shared" si="10"/>
        <v>-0.5</v>
      </c>
      <c r="H242" s="54"/>
      <c r="I242" s="54"/>
      <c r="J242" s="54"/>
      <c r="K242" s="54"/>
      <c r="L242" s="54"/>
      <c r="M242" s="54"/>
      <c r="N242" s="54"/>
      <c r="O242" s="174"/>
      <c r="P242" s="174"/>
      <c r="Q242" s="174"/>
      <c r="R242" s="174"/>
    </row>
    <row r="243" ht="14.25" customHeight="1">
      <c r="B243" s="164">
        <v>45470.0</v>
      </c>
      <c r="C243" s="141" t="str">
        <f t="shared" si="1"/>
        <v>6-2024</v>
      </c>
      <c r="D243" s="54">
        <f t="shared" si="22"/>
        <v>3047.5</v>
      </c>
      <c r="E243" s="138">
        <v>3057.5</v>
      </c>
      <c r="F243" s="54">
        <f t="shared" si="15"/>
        <v>10</v>
      </c>
      <c r="G243" s="54">
        <f t="shared" si="10"/>
        <v>0</v>
      </c>
      <c r="H243" s="54"/>
      <c r="I243" s="54"/>
      <c r="J243" s="54"/>
      <c r="K243" s="54"/>
      <c r="L243" s="54"/>
      <c r="M243" s="54"/>
      <c r="N243" s="54"/>
      <c r="O243" s="174"/>
      <c r="P243" s="174"/>
      <c r="Q243" s="174"/>
      <c r="R243" s="174"/>
    </row>
    <row r="244" ht="14.25" customHeight="1">
      <c r="B244" s="164">
        <v>45471.0</v>
      </c>
      <c r="C244" s="141" t="str">
        <f t="shared" si="1"/>
        <v>6-2024</v>
      </c>
      <c r="D244" s="54">
        <f t="shared" si="22"/>
        <v>3057.5</v>
      </c>
      <c r="E244" s="138">
        <v>3067.0</v>
      </c>
      <c r="F244" s="54">
        <f t="shared" si="15"/>
        <v>9.5</v>
      </c>
      <c r="G244" s="54">
        <f t="shared" si="10"/>
        <v>-0.5</v>
      </c>
      <c r="H244" s="54"/>
      <c r="I244" s="54"/>
      <c r="J244" s="54"/>
      <c r="K244" s="54"/>
      <c r="L244" s="54"/>
      <c r="M244" s="54"/>
      <c r="N244" s="54"/>
      <c r="O244" s="174"/>
      <c r="P244" s="174"/>
      <c r="Q244" s="174"/>
      <c r="R244" s="174"/>
    </row>
    <row r="245" ht="14.25" customHeight="1">
      <c r="B245" s="145">
        <v>45472.0</v>
      </c>
      <c r="C245" s="166" t="str">
        <f t="shared" si="1"/>
        <v>6-2024</v>
      </c>
      <c r="D245" s="54">
        <f t="shared" si="22"/>
        <v>3067</v>
      </c>
      <c r="E245" s="138">
        <v>3072.0</v>
      </c>
      <c r="F245" s="54">
        <f t="shared" si="15"/>
        <v>5</v>
      </c>
      <c r="G245" s="54">
        <f t="shared" si="10"/>
        <v>-5</v>
      </c>
      <c r="H245" s="54"/>
      <c r="I245" s="54"/>
      <c r="J245" s="54"/>
      <c r="K245" s="54"/>
      <c r="L245" s="54"/>
      <c r="M245" s="54"/>
      <c r="N245" s="54"/>
      <c r="O245" s="174"/>
      <c r="P245" s="174"/>
      <c r="Q245" s="174"/>
      <c r="R245" s="174"/>
    </row>
    <row r="246" ht="14.25" customHeight="1">
      <c r="B246" s="145">
        <v>45473.0</v>
      </c>
      <c r="C246" s="166" t="str">
        <f t="shared" si="1"/>
        <v>6-2024</v>
      </c>
      <c r="D246" s="54"/>
      <c r="E246" s="54"/>
      <c r="F246" s="54">
        <f t="shared" si="15"/>
        <v>0</v>
      </c>
      <c r="G246" s="54">
        <f t="shared" si="10"/>
        <v>-10</v>
      </c>
      <c r="H246" s="54"/>
      <c r="I246" s="54"/>
      <c r="J246" s="54"/>
      <c r="K246" s="54"/>
      <c r="L246" s="54"/>
      <c r="M246" s="54"/>
      <c r="N246" s="54"/>
      <c r="O246" s="174"/>
      <c r="P246" s="174"/>
      <c r="Q246" s="174"/>
      <c r="R246" s="174"/>
    </row>
    <row r="247" ht="14.25" customHeight="1">
      <c r="B247" s="164">
        <v>45474.0</v>
      </c>
      <c r="C247" s="141" t="str">
        <f t="shared" si="1"/>
        <v>7-2024</v>
      </c>
      <c r="D247" s="138">
        <v>3072.0</v>
      </c>
      <c r="E247" s="138">
        <v>3081.0</v>
      </c>
      <c r="F247" s="54">
        <f t="shared" si="15"/>
        <v>9</v>
      </c>
      <c r="G247" s="54">
        <f t="shared" si="10"/>
        <v>-1</v>
      </c>
      <c r="H247" s="54"/>
      <c r="I247" s="54"/>
      <c r="J247" s="54"/>
      <c r="K247" s="54"/>
      <c r="L247" s="54"/>
      <c r="M247" s="54"/>
      <c r="N247" s="54"/>
      <c r="O247" s="174"/>
      <c r="P247" s="174"/>
      <c r="Q247" s="174"/>
      <c r="R247" s="174"/>
    </row>
    <row r="248" ht="14.25" customHeight="1">
      <c r="B248" s="164">
        <v>45475.0</v>
      </c>
      <c r="C248" s="141" t="str">
        <f t="shared" si="1"/>
        <v>7-2024</v>
      </c>
      <c r="D248" s="54">
        <f t="shared" ref="D248:D251" si="23">E247</f>
        <v>3081</v>
      </c>
      <c r="E248" s="138">
        <v>3091.0</v>
      </c>
      <c r="F248" s="54">
        <f t="shared" si="15"/>
        <v>10</v>
      </c>
      <c r="G248" s="54">
        <f t="shared" si="10"/>
        <v>0</v>
      </c>
      <c r="H248" s="54"/>
      <c r="I248" s="54"/>
      <c r="J248" s="54"/>
      <c r="K248" s="54"/>
      <c r="L248" s="54"/>
      <c r="M248" s="54"/>
      <c r="N248" s="54"/>
      <c r="O248" s="174"/>
      <c r="P248" s="174"/>
      <c r="Q248" s="174"/>
      <c r="R248" s="174"/>
    </row>
    <row r="249" ht="14.25" customHeight="1">
      <c r="B249" s="140">
        <v>45476.0</v>
      </c>
      <c r="C249" s="141" t="str">
        <f t="shared" si="1"/>
        <v>7-2024</v>
      </c>
      <c r="D249" s="54">
        <f t="shared" si="23"/>
        <v>3091</v>
      </c>
      <c r="E249" s="138">
        <v>3101.0</v>
      </c>
      <c r="F249" s="54">
        <f t="shared" si="15"/>
        <v>10</v>
      </c>
      <c r="G249" s="54">
        <f t="shared" si="10"/>
        <v>0</v>
      </c>
      <c r="H249" s="54"/>
      <c r="I249" s="54"/>
      <c r="J249" s="54"/>
      <c r="K249" s="54"/>
      <c r="L249" s="54"/>
      <c r="M249" s="54"/>
      <c r="N249" s="54"/>
      <c r="O249" s="174"/>
      <c r="P249" s="174"/>
      <c r="Q249" s="174"/>
      <c r="R249" s="174"/>
    </row>
    <row r="250" ht="14.25" customHeight="1">
      <c r="B250" s="169">
        <v>45477.0</v>
      </c>
      <c r="C250" s="141" t="str">
        <f t="shared" si="1"/>
        <v>7-2024</v>
      </c>
      <c r="D250" s="54">
        <f t="shared" si="23"/>
        <v>3101</v>
      </c>
      <c r="E250" s="138">
        <v>3105.6</v>
      </c>
      <c r="F250" s="54">
        <f t="shared" si="15"/>
        <v>4.6</v>
      </c>
      <c r="G250" s="54">
        <f t="shared" si="10"/>
        <v>-5.4</v>
      </c>
      <c r="H250" s="54"/>
      <c r="I250" s="54"/>
      <c r="J250" s="54"/>
      <c r="K250" s="54"/>
      <c r="L250" s="54"/>
      <c r="M250" s="54"/>
      <c r="N250" s="54"/>
      <c r="O250" s="174"/>
      <c r="P250" s="174"/>
      <c r="Q250" s="174"/>
      <c r="R250" s="174"/>
    </row>
    <row r="251" ht="14.25" customHeight="1">
      <c r="B251" s="169">
        <v>45478.0</v>
      </c>
      <c r="C251" s="141" t="str">
        <f t="shared" si="1"/>
        <v>7-2024</v>
      </c>
      <c r="D251" s="54">
        <f t="shared" si="23"/>
        <v>3105.6</v>
      </c>
      <c r="E251" s="138">
        <v>3113.5</v>
      </c>
      <c r="F251" s="54">
        <f t="shared" si="15"/>
        <v>7.9</v>
      </c>
      <c r="G251" s="54">
        <f t="shared" si="10"/>
        <v>-2.1</v>
      </c>
      <c r="H251" s="54"/>
      <c r="I251" s="54"/>
      <c r="J251" s="54"/>
      <c r="K251" s="54"/>
      <c r="L251" s="54"/>
      <c r="M251" s="54"/>
      <c r="N251" s="54"/>
      <c r="O251" s="174"/>
      <c r="P251" s="174"/>
      <c r="Q251" s="174"/>
      <c r="R251" s="174"/>
    </row>
    <row r="252" ht="14.25" customHeight="1">
      <c r="B252" s="164">
        <v>45479.0</v>
      </c>
      <c r="C252" s="141" t="str">
        <f t="shared" si="1"/>
        <v>7-2024</v>
      </c>
      <c r="D252" s="54"/>
      <c r="E252" s="54"/>
      <c r="F252" s="54">
        <f t="shared" si="15"/>
        <v>0</v>
      </c>
      <c r="G252" s="54">
        <f t="shared" si="10"/>
        <v>-10</v>
      </c>
      <c r="H252" s="54"/>
      <c r="I252" s="54"/>
      <c r="J252" s="54"/>
      <c r="K252" s="54"/>
      <c r="L252" s="54"/>
      <c r="M252" s="54"/>
      <c r="N252" s="54"/>
      <c r="O252" s="174"/>
      <c r="P252" s="174"/>
      <c r="Q252" s="174"/>
      <c r="R252" s="174"/>
    </row>
    <row r="253" ht="14.25" customHeight="1">
      <c r="B253" s="145">
        <v>45480.0</v>
      </c>
      <c r="C253" s="141" t="str">
        <f t="shared" si="1"/>
        <v>7-2024</v>
      </c>
      <c r="D253" s="54" t="str">
        <f>E252</f>
        <v/>
      </c>
      <c r="E253" s="54"/>
      <c r="F253" s="54">
        <f t="shared" si="15"/>
        <v>0</v>
      </c>
      <c r="G253" s="54">
        <f t="shared" si="10"/>
        <v>-10</v>
      </c>
      <c r="H253" s="54"/>
      <c r="I253" s="54"/>
      <c r="J253" s="54"/>
      <c r="K253" s="54"/>
      <c r="L253" s="54"/>
      <c r="M253" s="54"/>
      <c r="N253" s="54"/>
      <c r="O253" s="174"/>
      <c r="P253" s="174"/>
      <c r="Q253" s="174"/>
      <c r="R253" s="174"/>
    </row>
    <row r="254" ht="14.25" customHeight="1">
      <c r="B254" s="145">
        <v>45481.0</v>
      </c>
      <c r="C254" s="141" t="str">
        <f t="shared" si="1"/>
        <v>7-2024</v>
      </c>
      <c r="D254" s="138">
        <v>3113.5</v>
      </c>
      <c r="E254" s="138">
        <v>3121.5</v>
      </c>
      <c r="F254" s="54">
        <f t="shared" si="15"/>
        <v>8</v>
      </c>
      <c r="G254" s="54">
        <f t="shared" si="10"/>
        <v>-2</v>
      </c>
      <c r="H254" s="54"/>
      <c r="I254" s="54"/>
      <c r="J254" s="54"/>
      <c r="K254" s="54"/>
      <c r="L254" s="54"/>
      <c r="M254" s="54"/>
      <c r="N254" s="54"/>
      <c r="O254" s="174"/>
      <c r="P254" s="174"/>
      <c r="Q254" s="174"/>
      <c r="R254" s="174"/>
    </row>
    <row r="255" ht="14.25" customHeight="1">
      <c r="B255" s="164">
        <v>45482.0</v>
      </c>
      <c r="C255" s="141" t="str">
        <f t="shared" si="1"/>
        <v>7-2024</v>
      </c>
      <c r="D255" s="54">
        <f>E254</f>
        <v>3121.5</v>
      </c>
      <c r="E255" s="138">
        <v>3122.0</v>
      </c>
      <c r="F255" s="54">
        <f t="shared" si="15"/>
        <v>0.5</v>
      </c>
      <c r="G255" s="54">
        <f t="shared" si="10"/>
        <v>-9.5</v>
      </c>
      <c r="H255" s="54"/>
      <c r="I255" s="54"/>
      <c r="J255" s="54"/>
      <c r="K255" s="54"/>
      <c r="L255" s="54"/>
      <c r="M255" s="54"/>
      <c r="N255" s="54"/>
      <c r="O255" s="174"/>
      <c r="P255" s="174"/>
      <c r="Q255" s="174"/>
      <c r="R255" s="174"/>
    </row>
    <row r="256" ht="14.25" customHeight="1">
      <c r="B256" s="164">
        <v>45483.0</v>
      </c>
      <c r="C256" s="141" t="str">
        <f t="shared" si="1"/>
        <v>7-2024</v>
      </c>
      <c r="D256" s="54"/>
      <c r="E256" s="54"/>
      <c r="F256" s="54">
        <f t="shared" si="15"/>
        <v>0</v>
      </c>
      <c r="G256" s="54">
        <f t="shared" si="10"/>
        <v>-10</v>
      </c>
      <c r="H256" s="54"/>
      <c r="I256" s="54"/>
      <c r="J256" s="54"/>
      <c r="K256" s="54"/>
      <c r="L256" s="54"/>
      <c r="M256" s="54"/>
      <c r="N256" s="54"/>
      <c r="O256" s="174"/>
      <c r="P256" s="174"/>
      <c r="Q256" s="174"/>
      <c r="R256" s="174"/>
    </row>
    <row r="257" ht="14.25" customHeight="1">
      <c r="B257" s="164">
        <v>45484.0</v>
      </c>
      <c r="C257" s="141" t="str">
        <f t="shared" si="1"/>
        <v>7-2024</v>
      </c>
      <c r="D257" s="54" t="str">
        <f>E256</f>
        <v/>
      </c>
      <c r="E257" s="54"/>
      <c r="F257" s="54">
        <f t="shared" si="15"/>
        <v>0</v>
      </c>
      <c r="G257" s="54">
        <f t="shared" si="10"/>
        <v>-10</v>
      </c>
      <c r="H257" s="54"/>
      <c r="I257" s="54"/>
      <c r="J257" s="54"/>
      <c r="K257" s="54"/>
      <c r="L257" s="54"/>
      <c r="M257" s="54"/>
      <c r="N257" s="54"/>
      <c r="O257" s="174"/>
      <c r="P257" s="174"/>
      <c r="Q257" s="174"/>
      <c r="R257" s="174"/>
    </row>
    <row r="258" ht="14.25" customHeight="1">
      <c r="B258" s="164">
        <v>45485.0</v>
      </c>
      <c r="C258" s="141" t="str">
        <f t="shared" si="1"/>
        <v>7-2024</v>
      </c>
      <c r="D258" s="138">
        <v>3122.0</v>
      </c>
      <c r="E258" s="138">
        <v>3133.7</v>
      </c>
      <c r="F258" s="54">
        <f t="shared" si="15"/>
        <v>11.7</v>
      </c>
      <c r="G258" s="54">
        <f t="shared" si="10"/>
        <v>1.7</v>
      </c>
      <c r="H258" s="54"/>
      <c r="I258" s="54"/>
      <c r="J258" s="54"/>
      <c r="K258" s="54"/>
      <c r="L258" s="54"/>
      <c r="M258" s="54"/>
      <c r="N258" s="54"/>
      <c r="O258" s="174"/>
      <c r="P258" s="174"/>
      <c r="Q258" s="174"/>
      <c r="R258" s="174"/>
    </row>
    <row r="259" ht="14.25" customHeight="1">
      <c r="B259" s="145">
        <v>45486.0</v>
      </c>
      <c r="C259" s="141" t="str">
        <f t="shared" si="1"/>
        <v>7-2024</v>
      </c>
      <c r="D259" s="54"/>
      <c r="E259" s="54"/>
      <c r="F259" s="54">
        <f t="shared" si="15"/>
        <v>0</v>
      </c>
      <c r="G259" s="54">
        <f t="shared" si="10"/>
        <v>-10</v>
      </c>
      <c r="H259" s="54"/>
      <c r="I259" s="54"/>
      <c r="J259" s="54"/>
      <c r="K259" s="54"/>
      <c r="L259" s="54"/>
      <c r="M259" s="54"/>
      <c r="N259" s="54"/>
      <c r="O259" s="174"/>
      <c r="P259" s="174"/>
      <c r="Q259" s="174"/>
      <c r="R259" s="174"/>
    </row>
    <row r="260" ht="14.25" customHeight="1">
      <c r="B260" s="145">
        <v>45487.0</v>
      </c>
      <c r="C260" s="141" t="str">
        <f t="shared" si="1"/>
        <v>7-2024</v>
      </c>
      <c r="D260" s="54" t="str">
        <f>E259</f>
        <v/>
      </c>
      <c r="E260" s="54"/>
      <c r="F260" s="54">
        <f t="shared" si="15"/>
        <v>0</v>
      </c>
      <c r="G260" s="54">
        <f t="shared" si="10"/>
        <v>-10</v>
      </c>
      <c r="H260" s="54"/>
      <c r="I260" s="54"/>
      <c r="J260" s="54"/>
      <c r="K260" s="54"/>
      <c r="L260" s="54"/>
      <c r="M260" s="54"/>
      <c r="N260" s="54"/>
      <c r="O260" s="174"/>
      <c r="P260" s="174"/>
      <c r="Q260" s="174"/>
      <c r="R260" s="174"/>
    </row>
    <row r="261" ht="14.25" customHeight="1">
      <c r="B261" s="164">
        <v>45488.0</v>
      </c>
      <c r="C261" s="141" t="str">
        <f t="shared" si="1"/>
        <v>7-2024</v>
      </c>
      <c r="D261" s="138">
        <v>3133.7</v>
      </c>
      <c r="E261" s="138">
        <v>3143.0</v>
      </c>
      <c r="F261" s="54">
        <f t="shared" si="15"/>
        <v>9.3</v>
      </c>
      <c r="G261" s="54">
        <f t="shared" si="10"/>
        <v>-0.7</v>
      </c>
      <c r="H261" s="54"/>
      <c r="I261" s="54"/>
      <c r="J261" s="54"/>
      <c r="K261" s="54"/>
      <c r="L261" s="54"/>
      <c r="M261" s="54"/>
      <c r="N261" s="54"/>
      <c r="O261" s="174"/>
      <c r="P261" s="174"/>
      <c r="Q261" s="174"/>
      <c r="R261" s="174"/>
    </row>
    <row r="262" ht="14.25" customHeight="1">
      <c r="B262" s="164">
        <v>45489.0</v>
      </c>
      <c r="C262" s="141" t="str">
        <f t="shared" si="1"/>
        <v>7-2024</v>
      </c>
      <c r="D262" s="54">
        <f t="shared" ref="D262:D265" si="24">E261</f>
        <v>3143</v>
      </c>
      <c r="E262" s="138">
        <v>3150.6</v>
      </c>
      <c r="F262" s="54">
        <f t="shared" si="15"/>
        <v>7.6</v>
      </c>
      <c r="G262" s="54">
        <f t="shared" si="10"/>
        <v>-2.4</v>
      </c>
      <c r="H262" s="54"/>
      <c r="I262" s="54"/>
      <c r="J262" s="54"/>
      <c r="K262" s="54"/>
      <c r="L262" s="54"/>
      <c r="M262" s="54"/>
      <c r="N262" s="54"/>
      <c r="O262" s="174"/>
      <c r="P262" s="174"/>
      <c r="Q262" s="174"/>
      <c r="R262" s="174"/>
    </row>
    <row r="263" ht="14.25" customHeight="1">
      <c r="B263" s="164">
        <v>45490.0</v>
      </c>
      <c r="C263" s="141" t="str">
        <f t="shared" si="1"/>
        <v>7-2024</v>
      </c>
      <c r="D263" s="54">
        <f t="shared" si="24"/>
        <v>3150.6</v>
      </c>
      <c r="E263" s="138">
        <v>3158.6</v>
      </c>
      <c r="F263" s="54">
        <f t="shared" si="15"/>
        <v>8</v>
      </c>
      <c r="G263" s="54">
        <f t="shared" si="10"/>
        <v>-2</v>
      </c>
      <c r="H263" s="54"/>
      <c r="I263" s="54"/>
      <c r="J263" s="54"/>
      <c r="K263" s="54"/>
      <c r="L263" s="54"/>
      <c r="M263" s="54"/>
      <c r="N263" s="54"/>
      <c r="O263" s="174"/>
      <c r="P263" s="174"/>
      <c r="Q263" s="174"/>
      <c r="R263" s="174"/>
    </row>
    <row r="264" ht="14.25" customHeight="1">
      <c r="B264" s="164">
        <v>45491.0</v>
      </c>
      <c r="C264" s="141" t="str">
        <f t="shared" si="1"/>
        <v>7-2024</v>
      </c>
      <c r="D264" s="54">
        <f t="shared" si="24"/>
        <v>3158.6</v>
      </c>
      <c r="E264" s="138">
        <v>3168.6</v>
      </c>
      <c r="F264" s="54">
        <f t="shared" si="15"/>
        <v>10</v>
      </c>
      <c r="G264" s="54">
        <f t="shared" si="10"/>
        <v>0</v>
      </c>
      <c r="H264" s="54"/>
      <c r="I264" s="54"/>
      <c r="J264" s="54"/>
      <c r="K264" s="54"/>
      <c r="L264" s="54"/>
      <c r="M264" s="54"/>
      <c r="N264" s="54"/>
      <c r="O264" s="174"/>
      <c r="P264" s="174"/>
      <c r="Q264" s="174"/>
      <c r="R264" s="174"/>
    </row>
    <row r="265" ht="14.25" customHeight="1">
      <c r="B265" s="164">
        <v>45492.0</v>
      </c>
      <c r="C265" s="141" t="str">
        <f t="shared" si="1"/>
        <v>7-2024</v>
      </c>
      <c r="D265" s="54">
        <f t="shared" si="24"/>
        <v>3168.6</v>
      </c>
      <c r="E265" s="138">
        <v>3178.6</v>
      </c>
      <c r="F265" s="54">
        <f t="shared" si="15"/>
        <v>10</v>
      </c>
      <c r="G265" s="54">
        <f t="shared" si="10"/>
        <v>0</v>
      </c>
      <c r="H265" s="54"/>
      <c r="I265" s="54"/>
      <c r="J265" s="54"/>
      <c r="K265" s="54"/>
      <c r="L265" s="54"/>
      <c r="M265" s="54"/>
      <c r="N265" s="54"/>
      <c r="O265" s="174"/>
      <c r="P265" s="174"/>
      <c r="Q265" s="174"/>
      <c r="R265" s="174"/>
    </row>
    <row r="266" ht="14.25" customHeight="1">
      <c r="B266" s="145">
        <v>45493.0</v>
      </c>
      <c r="C266" s="141" t="str">
        <f t="shared" si="1"/>
        <v>7-2024</v>
      </c>
      <c r="D266" s="54"/>
      <c r="E266" s="54"/>
      <c r="F266" s="54">
        <f t="shared" si="15"/>
        <v>0</v>
      </c>
      <c r="G266" s="54">
        <f t="shared" si="10"/>
        <v>-10</v>
      </c>
      <c r="H266" s="54"/>
      <c r="I266" s="54"/>
      <c r="J266" s="54"/>
      <c r="K266" s="54"/>
      <c r="L266" s="54"/>
      <c r="M266" s="54"/>
      <c r="N266" s="54"/>
      <c r="O266" s="174"/>
      <c r="P266" s="174"/>
      <c r="Q266" s="174"/>
      <c r="R266" s="174"/>
    </row>
    <row r="267" ht="14.25" customHeight="1">
      <c r="B267" s="145">
        <v>45494.0</v>
      </c>
      <c r="C267" s="141" t="str">
        <f t="shared" si="1"/>
        <v>7-2024</v>
      </c>
      <c r="D267" s="54" t="str">
        <f>E266</f>
        <v/>
      </c>
      <c r="E267" s="54"/>
      <c r="F267" s="54">
        <f t="shared" si="15"/>
        <v>0</v>
      </c>
      <c r="G267" s="54">
        <f t="shared" si="10"/>
        <v>-10</v>
      </c>
      <c r="H267" s="54"/>
      <c r="I267" s="54"/>
      <c r="J267" s="54"/>
      <c r="K267" s="54"/>
      <c r="L267" s="54"/>
      <c r="M267" s="54"/>
      <c r="N267" s="54"/>
      <c r="O267" s="174"/>
      <c r="P267" s="174"/>
      <c r="Q267" s="174"/>
      <c r="R267" s="174"/>
    </row>
    <row r="268" ht="14.25" customHeight="1">
      <c r="B268" s="164">
        <v>45495.0</v>
      </c>
      <c r="C268" s="141" t="str">
        <f t="shared" si="1"/>
        <v>7-2024</v>
      </c>
      <c r="D268" s="138">
        <v>3178.6</v>
      </c>
      <c r="E268" s="138">
        <v>3187.6</v>
      </c>
      <c r="F268" s="54">
        <f t="shared" si="15"/>
        <v>9</v>
      </c>
      <c r="G268" s="54">
        <f t="shared" si="10"/>
        <v>-1</v>
      </c>
      <c r="H268" s="54"/>
      <c r="I268" s="54"/>
      <c r="J268" s="54"/>
      <c r="K268" s="54"/>
      <c r="L268" s="54"/>
      <c r="M268" s="54"/>
      <c r="N268" s="54"/>
      <c r="O268" s="174"/>
      <c r="P268" s="174"/>
      <c r="Q268" s="174"/>
      <c r="R268" s="174"/>
    </row>
    <row r="269" ht="14.25" customHeight="1">
      <c r="B269" s="164">
        <v>45496.0</v>
      </c>
      <c r="C269" s="141" t="str">
        <f t="shared" si="1"/>
        <v>7-2024</v>
      </c>
      <c r="D269" s="54">
        <f t="shared" ref="D269:D273" si="25">E268</f>
        <v>3187.6</v>
      </c>
      <c r="E269" s="138">
        <v>3197.6</v>
      </c>
      <c r="F269" s="54">
        <f t="shared" si="15"/>
        <v>10</v>
      </c>
      <c r="G269" s="54">
        <f t="shared" si="10"/>
        <v>0</v>
      </c>
      <c r="H269" s="54"/>
      <c r="I269" s="54"/>
      <c r="J269" s="54"/>
      <c r="K269" s="54"/>
      <c r="L269" s="54"/>
      <c r="M269" s="54"/>
      <c r="N269" s="54"/>
      <c r="O269" s="174"/>
      <c r="P269" s="174"/>
      <c r="Q269" s="174"/>
      <c r="R269" s="174"/>
    </row>
    <row r="270" ht="14.25" customHeight="1">
      <c r="B270" s="164">
        <v>45497.0</v>
      </c>
      <c r="C270" s="141" t="str">
        <f t="shared" si="1"/>
        <v>7-2024</v>
      </c>
      <c r="D270" s="54">
        <f t="shared" si="25"/>
        <v>3197.6</v>
      </c>
      <c r="E270" s="138">
        <v>3206.6</v>
      </c>
      <c r="F270" s="54">
        <f t="shared" si="15"/>
        <v>9</v>
      </c>
      <c r="G270" s="54">
        <f t="shared" si="10"/>
        <v>-1</v>
      </c>
      <c r="H270" s="54"/>
      <c r="I270" s="54"/>
      <c r="J270" s="54"/>
      <c r="K270" s="54"/>
      <c r="L270" s="54"/>
      <c r="M270" s="54"/>
      <c r="N270" s="54"/>
      <c r="O270" s="174"/>
      <c r="P270" s="174"/>
      <c r="Q270" s="174"/>
      <c r="R270" s="174"/>
    </row>
    <row r="271" ht="14.25" customHeight="1">
      <c r="B271" s="164">
        <v>45498.0</v>
      </c>
      <c r="C271" s="141" t="str">
        <f t="shared" si="1"/>
        <v>7-2024</v>
      </c>
      <c r="D271" s="54">
        <f t="shared" si="25"/>
        <v>3206.6</v>
      </c>
      <c r="E271" s="138">
        <v>3214.6</v>
      </c>
      <c r="F271" s="54">
        <f t="shared" si="15"/>
        <v>8</v>
      </c>
      <c r="G271" s="54">
        <f t="shared" si="10"/>
        <v>-2</v>
      </c>
      <c r="H271" s="54"/>
      <c r="I271" s="54"/>
      <c r="J271" s="54"/>
      <c r="K271" s="54"/>
      <c r="L271" s="54"/>
      <c r="M271" s="54"/>
      <c r="N271" s="54"/>
      <c r="O271" s="174"/>
      <c r="P271" s="174"/>
      <c r="Q271" s="174"/>
      <c r="R271" s="174"/>
    </row>
    <row r="272" ht="14.25" customHeight="1">
      <c r="B272" s="164">
        <v>45499.0</v>
      </c>
      <c r="C272" s="141" t="str">
        <f t="shared" si="1"/>
        <v>7-2024</v>
      </c>
      <c r="D272" s="54">
        <f t="shared" si="25"/>
        <v>3214.6</v>
      </c>
      <c r="E272" s="138">
        <v>3223.0</v>
      </c>
      <c r="F272" s="54">
        <f t="shared" si="15"/>
        <v>8.4</v>
      </c>
      <c r="G272" s="54">
        <f t="shared" ref="G272:G278" si="26">F271-10</f>
        <v>-2</v>
      </c>
      <c r="H272" s="54"/>
      <c r="I272" s="54"/>
      <c r="J272" s="54"/>
      <c r="K272" s="54"/>
      <c r="L272" s="54"/>
      <c r="M272" s="54"/>
      <c r="N272" s="54"/>
      <c r="O272" s="174"/>
      <c r="P272" s="174"/>
      <c r="Q272" s="174"/>
      <c r="R272" s="174"/>
    </row>
    <row r="273" ht="14.25" customHeight="1">
      <c r="B273" s="145">
        <v>45500.0</v>
      </c>
      <c r="C273" s="141" t="str">
        <f t="shared" si="1"/>
        <v>7-2024</v>
      </c>
      <c r="D273" s="54">
        <f t="shared" si="25"/>
        <v>3223</v>
      </c>
      <c r="E273" s="138">
        <v>3226.7</v>
      </c>
      <c r="F273" s="54">
        <f t="shared" si="15"/>
        <v>3.7</v>
      </c>
      <c r="G273" s="54">
        <f t="shared" si="26"/>
        <v>-1.6</v>
      </c>
      <c r="H273" s="54"/>
      <c r="I273" s="54"/>
      <c r="J273" s="54"/>
      <c r="K273" s="54"/>
      <c r="L273" s="54"/>
      <c r="M273" s="54"/>
      <c r="N273" s="54"/>
      <c r="O273" s="174"/>
      <c r="P273" s="174"/>
      <c r="Q273" s="174"/>
      <c r="R273" s="174"/>
    </row>
    <row r="274" ht="14.25" customHeight="1">
      <c r="B274" s="145">
        <v>45501.0</v>
      </c>
      <c r="C274" s="141" t="str">
        <f t="shared" si="1"/>
        <v>7-2024</v>
      </c>
      <c r="D274" s="54"/>
      <c r="E274" s="54"/>
      <c r="F274" s="54">
        <f t="shared" si="15"/>
        <v>0</v>
      </c>
      <c r="G274" s="54">
        <f t="shared" si="26"/>
        <v>-6.3</v>
      </c>
      <c r="H274" s="54"/>
      <c r="I274" s="54"/>
      <c r="J274" s="54"/>
      <c r="K274" s="54"/>
      <c r="L274" s="54"/>
      <c r="M274" s="54"/>
      <c r="N274" s="54"/>
      <c r="O274" s="174"/>
      <c r="P274" s="174"/>
      <c r="Q274" s="174"/>
      <c r="R274" s="174"/>
    </row>
    <row r="275" ht="14.25" customHeight="1">
      <c r="B275" s="164">
        <v>45502.0</v>
      </c>
      <c r="C275" s="141" t="str">
        <f t="shared" si="1"/>
        <v>7-2024</v>
      </c>
      <c r="D275" s="138">
        <v>3226.7</v>
      </c>
      <c r="E275" s="138">
        <v>3235.3</v>
      </c>
      <c r="F275" s="54">
        <f t="shared" si="15"/>
        <v>8.6</v>
      </c>
      <c r="G275" s="54">
        <f t="shared" si="26"/>
        <v>-10</v>
      </c>
      <c r="H275" s="54"/>
      <c r="I275" s="54"/>
      <c r="J275" s="54"/>
      <c r="K275" s="54"/>
      <c r="L275" s="54"/>
      <c r="M275" s="54"/>
      <c r="N275" s="54"/>
      <c r="O275" s="174"/>
      <c r="P275" s="174"/>
      <c r="Q275" s="174"/>
      <c r="R275" s="174"/>
    </row>
    <row r="276" ht="14.25" customHeight="1">
      <c r="B276" s="164">
        <v>45503.0</v>
      </c>
      <c r="C276" s="141" t="str">
        <f t="shared" si="1"/>
        <v>7-2024</v>
      </c>
      <c r="D276" s="54">
        <f t="shared" ref="D276:D277" si="27">E275</f>
        <v>3235.3</v>
      </c>
      <c r="E276" s="138">
        <v>3237.6</v>
      </c>
      <c r="F276" s="54">
        <f t="shared" si="15"/>
        <v>2.3</v>
      </c>
      <c r="G276" s="54">
        <f t="shared" si="26"/>
        <v>-1.4</v>
      </c>
      <c r="H276" s="54"/>
      <c r="I276" s="54"/>
      <c r="J276" s="54"/>
      <c r="K276" s="54"/>
      <c r="L276" s="54"/>
      <c r="M276" s="54"/>
      <c r="N276" s="54"/>
      <c r="O276" s="174"/>
      <c r="P276" s="174"/>
      <c r="Q276" s="174"/>
      <c r="R276" s="174"/>
    </row>
    <row r="277" ht="14.25" customHeight="1">
      <c r="B277" s="164">
        <v>45504.0</v>
      </c>
      <c r="C277" s="141" t="str">
        <f t="shared" si="1"/>
        <v>7-2024</v>
      </c>
      <c r="D277" s="54">
        <f t="shared" si="27"/>
        <v>3237.6</v>
      </c>
      <c r="E277" s="138">
        <v>3245.7</v>
      </c>
      <c r="F277" s="54">
        <f t="shared" si="15"/>
        <v>8.1</v>
      </c>
      <c r="G277" s="54">
        <f t="shared" si="26"/>
        <v>-7.7</v>
      </c>
      <c r="H277" s="175"/>
      <c r="I277" s="175"/>
      <c r="J277" s="54"/>
      <c r="K277" s="54"/>
      <c r="L277" s="54"/>
      <c r="M277" s="54"/>
      <c r="N277" s="54"/>
      <c r="O277" s="174"/>
      <c r="P277" s="174"/>
      <c r="Q277" s="174"/>
      <c r="R277" s="174"/>
    </row>
    <row r="278" ht="14.25" customHeight="1">
      <c r="B278" s="164">
        <v>45505.0</v>
      </c>
      <c r="C278" s="141" t="str">
        <f t="shared" si="1"/>
        <v>8-2024</v>
      </c>
      <c r="D278" s="138">
        <v>3245.7</v>
      </c>
      <c r="E278" s="138">
        <v>3249.3</v>
      </c>
      <c r="F278" s="54">
        <f t="shared" si="15"/>
        <v>3.6</v>
      </c>
      <c r="G278" s="54">
        <f t="shared" si="26"/>
        <v>-1.9</v>
      </c>
      <c r="H278" s="175"/>
      <c r="I278" s="176">
        <v>210.0</v>
      </c>
      <c r="J278" s="54"/>
      <c r="K278" s="54"/>
      <c r="L278" s="54"/>
      <c r="M278" s="54"/>
      <c r="N278" s="54"/>
      <c r="O278" s="174"/>
      <c r="P278" s="174"/>
      <c r="Q278" s="174"/>
      <c r="R278" s="174"/>
    </row>
    <row r="279" ht="14.25" customHeight="1">
      <c r="B279" s="164">
        <v>45506.0</v>
      </c>
      <c r="C279" s="141" t="str">
        <f t="shared" si="1"/>
        <v>8-2024</v>
      </c>
      <c r="D279" s="54">
        <f>E278</f>
        <v>3249.3</v>
      </c>
      <c r="E279" s="138">
        <v>3257.6</v>
      </c>
      <c r="F279" s="54">
        <f t="shared" si="15"/>
        <v>8.3</v>
      </c>
      <c r="G279" s="54">
        <f t="shared" ref="G279:G694" si="28">F279-10</f>
        <v>-1.7</v>
      </c>
      <c r="H279" s="176">
        <v>240.0</v>
      </c>
      <c r="I279" s="176">
        <v>210.0</v>
      </c>
      <c r="J279" s="54"/>
      <c r="K279" s="54"/>
      <c r="L279" s="54"/>
      <c r="M279" s="54"/>
      <c r="N279" s="54"/>
      <c r="O279" s="174"/>
      <c r="P279" s="174"/>
      <c r="Q279" s="174"/>
      <c r="R279" s="174"/>
    </row>
    <row r="280" ht="14.25" customHeight="1">
      <c r="B280" s="145">
        <v>45507.0</v>
      </c>
      <c r="C280" s="141" t="str">
        <f t="shared" si="1"/>
        <v>8-2024</v>
      </c>
      <c r="D280" s="54"/>
      <c r="E280" s="54"/>
      <c r="F280" s="54">
        <f t="shared" si="15"/>
        <v>0</v>
      </c>
      <c r="G280" s="54">
        <f t="shared" si="28"/>
        <v>-10</v>
      </c>
      <c r="H280" s="175"/>
      <c r="I280" s="175"/>
      <c r="J280" s="54"/>
      <c r="K280" s="54"/>
      <c r="L280" s="54"/>
      <c r="M280" s="54"/>
      <c r="N280" s="54"/>
      <c r="O280" s="174"/>
      <c r="P280" s="174"/>
      <c r="Q280" s="174"/>
      <c r="R280" s="174"/>
    </row>
    <row r="281" ht="14.25" customHeight="1">
      <c r="B281" s="145">
        <v>45508.0</v>
      </c>
      <c r="C281" s="141" t="str">
        <f t="shared" si="1"/>
        <v>8-2024</v>
      </c>
      <c r="D281" s="54" t="str">
        <f>E280</f>
        <v/>
      </c>
      <c r="E281" s="54"/>
      <c r="F281" s="54">
        <f t="shared" si="15"/>
        <v>0</v>
      </c>
      <c r="G281" s="54">
        <f t="shared" si="28"/>
        <v>-10</v>
      </c>
      <c r="H281" s="175"/>
      <c r="I281" s="175"/>
      <c r="J281" s="54"/>
      <c r="K281" s="54"/>
      <c r="L281" s="54"/>
      <c r="M281" s="54"/>
      <c r="N281" s="54"/>
      <c r="O281" s="174"/>
      <c r="P281" s="174"/>
      <c r="Q281" s="174"/>
      <c r="R281" s="174"/>
    </row>
    <row r="282" ht="14.25" customHeight="1">
      <c r="B282" s="164">
        <v>45509.0</v>
      </c>
      <c r="C282" s="141" t="str">
        <f t="shared" si="1"/>
        <v>8-2024</v>
      </c>
      <c r="D282" s="138">
        <v>3257.6</v>
      </c>
      <c r="E282" s="138">
        <v>3268.6</v>
      </c>
      <c r="F282" s="54">
        <f t="shared" si="15"/>
        <v>11</v>
      </c>
      <c r="G282" s="54">
        <f t="shared" si="28"/>
        <v>1</v>
      </c>
      <c r="H282" s="175"/>
      <c r="I282" s="176">
        <v>210.0</v>
      </c>
      <c r="J282" s="54"/>
      <c r="K282" s="54"/>
      <c r="L282" s="54"/>
      <c r="M282" s="54"/>
      <c r="N282" s="54"/>
      <c r="O282" s="174"/>
      <c r="P282" s="174"/>
      <c r="Q282" s="174"/>
      <c r="R282" s="174"/>
    </row>
    <row r="283" ht="14.25" customHeight="1">
      <c r="B283" s="164">
        <v>45510.0</v>
      </c>
      <c r="C283" s="141" t="str">
        <f t="shared" si="1"/>
        <v>8-2024</v>
      </c>
      <c r="D283" s="54">
        <f t="shared" ref="D283:D285" si="29">E282</f>
        <v>3268.6</v>
      </c>
      <c r="E283" s="138">
        <v>3276.6</v>
      </c>
      <c r="F283" s="54">
        <f t="shared" si="15"/>
        <v>8</v>
      </c>
      <c r="G283" s="54">
        <f t="shared" si="28"/>
        <v>-2</v>
      </c>
      <c r="H283" s="175"/>
      <c r="I283" s="176">
        <v>210.0</v>
      </c>
      <c r="J283" s="54"/>
      <c r="K283" s="54"/>
      <c r="L283" s="54"/>
      <c r="M283" s="54"/>
      <c r="N283" s="54"/>
      <c r="O283" s="174"/>
      <c r="P283" s="174"/>
      <c r="Q283" s="174"/>
      <c r="R283" s="174"/>
    </row>
    <row r="284" ht="14.25" customHeight="1">
      <c r="B284" s="164">
        <v>45511.0</v>
      </c>
      <c r="C284" s="141" t="str">
        <f t="shared" si="1"/>
        <v>8-2024</v>
      </c>
      <c r="D284" s="54">
        <f t="shared" si="29"/>
        <v>3276.6</v>
      </c>
      <c r="E284" s="138">
        <v>3286.6</v>
      </c>
      <c r="F284" s="54">
        <f t="shared" si="15"/>
        <v>10</v>
      </c>
      <c r="G284" s="54">
        <f t="shared" si="28"/>
        <v>0</v>
      </c>
      <c r="H284" s="176">
        <v>201.0</v>
      </c>
      <c r="I284" s="176">
        <v>210.0</v>
      </c>
      <c r="J284" s="54"/>
      <c r="K284" s="54"/>
      <c r="L284" s="54"/>
      <c r="M284" s="54"/>
      <c r="N284" s="54"/>
      <c r="O284" s="174"/>
      <c r="P284" s="174"/>
      <c r="Q284" s="174"/>
      <c r="R284" s="174"/>
    </row>
    <row r="285" ht="14.25" customHeight="1">
      <c r="B285" s="164">
        <v>45512.0</v>
      </c>
      <c r="C285" s="141" t="str">
        <f t="shared" si="1"/>
        <v>8-2024</v>
      </c>
      <c r="D285" s="54">
        <f t="shared" si="29"/>
        <v>3286.6</v>
      </c>
      <c r="E285" s="138">
        <v>3296.6</v>
      </c>
      <c r="F285" s="54">
        <f t="shared" si="15"/>
        <v>10</v>
      </c>
      <c r="G285" s="54">
        <f t="shared" si="28"/>
        <v>0</v>
      </c>
      <c r="H285" s="175"/>
      <c r="I285" s="176">
        <v>210.0</v>
      </c>
      <c r="J285" s="54"/>
      <c r="K285" s="54"/>
      <c r="L285" s="54"/>
      <c r="M285" s="54"/>
      <c r="N285" s="54"/>
      <c r="O285" s="174"/>
      <c r="P285" s="174"/>
      <c r="Q285" s="174"/>
      <c r="R285" s="174"/>
    </row>
    <row r="286" ht="14.25" customHeight="1">
      <c r="B286" s="164">
        <v>45513.0</v>
      </c>
      <c r="C286" s="141" t="str">
        <f t="shared" si="1"/>
        <v>8-2024</v>
      </c>
      <c r="D286" s="138">
        <v>5047.2</v>
      </c>
      <c r="E286" s="138">
        <v>5057.2</v>
      </c>
      <c r="F286" s="54">
        <f t="shared" si="15"/>
        <v>10</v>
      </c>
      <c r="G286" s="54">
        <f t="shared" si="28"/>
        <v>0</v>
      </c>
      <c r="H286" s="176">
        <v>85.0</v>
      </c>
      <c r="I286" s="176" t="s">
        <v>131</v>
      </c>
      <c r="J286" s="54"/>
      <c r="K286" s="54"/>
      <c r="L286" s="54"/>
      <c r="M286" s="54"/>
      <c r="N286" s="54"/>
      <c r="O286" s="174"/>
      <c r="P286" s="174"/>
      <c r="Q286" s="174"/>
      <c r="R286" s="174"/>
    </row>
    <row r="287" ht="14.25" customHeight="1">
      <c r="B287" s="145">
        <v>45514.0</v>
      </c>
      <c r="C287" s="141" t="str">
        <f t="shared" si="1"/>
        <v>8-2024</v>
      </c>
      <c r="D287" s="54">
        <f>E286</f>
        <v>5057.2</v>
      </c>
      <c r="E287" s="138">
        <v>5062.8</v>
      </c>
      <c r="F287" s="54">
        <f t="shared" si="15"/>
        <v>5.6</v>
      </c>
      <c r="G287" s="54">
        <f t="shared" si="28"/>
        <v>-4.4</v>
      </c>
      <c r="H287" s="176">
        <v>200.0</v>
      </c>
      <c r="I287" s="176" t="s">
        <v>131</v>
      </c>
      <c r="J287" s="54"/>
      <c r="K287" s="54"/>
      <c r="L287" s="54"/>
      <c r="M287" s="54"/>
      <c r="N287" s="54"/>
      <c r="O287" s="174"/>
      <c r="P287" s="174"/>
      <c r="Q287" s="174"/>
      <c r="R287" s="174"/>
    </row>
    <row r="288" ht="14.25" customHeight="1">
      <c r="B288" s="145">
        <v>45515.0</v>
      </c>
      <c r="C288" s="141" t="str">
        <f t="shared" si="1"/>
        <v>8-2024</v>
      </c>
      <c r="D288" s="54"/>
      <c r="E288" s="54"/>
      <c r="F288" s="54">
        <f t="shared" si="15"/>
        <v>0</v>
      </c>
      <c r="G288" s="54">
        <f t="shared" si="28"/>
        <v>-10</v>
      </c>
      <c r="H288" s="175"/>
      <c r="I288" s="176"/>
      <c r="J288" s="54"/>
      <c r="K288" s="54"/>
      <c r="L288" s="54"/>
      <c r="M288" s="54"/>
      <c r="N288" s="54"/>
      <c r="O288" s="174"/>
      <c r="P288" s="174"/>
      <c r="Q288" s="174"/>
      <c r="R288" s="174"/>
    </row>
    <row r="289" ht="14.25" customHeight="1">
      <c r="B289" s="164">
        <v>45516.0</v>
      </c>
      <c r="C289" s="141" t="str">
        <f t="shared" si="1"/>
        <v>8-2024</v>
      </c>
      <c r="D289" s="54" t="str">
        <f>E288</f>
        <v/>
      </c>
      <c r="E289" s="54"/>
      <c r="F289" s="54">
        <f t="shared" si="15"/>
        <v>0</v>
      </c>
      <c r="G289" s="54">
        <f t="shared" si="28"/>
        <v>-10</v>
      </c>
      <c r="H289" s="176">
        <v>177.0</v>
      </c>
      <c r="I289" s="176"/>
      <c r="J289" s="54"/>
      <c r="K289" s="54"/>
      <c r="L289" s="54"/>
      <c r="M289" s="54"/>
      <c r="N289" s="54"/>
      <c r="O289" s="174"/>
      <c r="P289" s="174"/>
      <c r="Q289" s="174"/>
      <c r="R289" s="174"/>
    </row>
    <row r="290" ht="14.25" customHeight="1">
      <c r="B290" s="164">
        <v>45517.0</v>
      </c>
      <c r="C290" s="141" t="str">
        <f t="shared" si="1"/>
        <v>8-2024</v>
      </c>
      <c r="D290" s="138">
        <v>5070.8</v>
      </c>
      <c r="E290" s="138">
        <v>5078.0</v>
      </c>
      <c r="F290" s="54">
        <f t="shared" si="15"/>
        <v>7.2</v>
      </c>
      <c r="G290" s="54">
        <f t="shared" si="28"/>
        <v>-2.8</v>
      </c>
      <c r="H290" s="175"/>
      <c r="I290" s="176" t="s">
        <v>131</v>
      </c>
      <c r="J290" s="54"/>
      <c r="K290" s="54"/>
      <c r="L290" s="54"/>
      <c r="M290" s="54"/>
      <c r="N290" s="54"/>
      <c r="O290" s="174"/>
      <c r="P290" s="174"/>
      <c r="Q290" s="174"/>
      <c r="R290" s="174"/>
    </row>
    <row r="291" ht="14.25" customHeight="1">
      <c r="B291" s="164">
        <v>45518.0</v>
      </c>
      <c r="C291" s="141" t="str">
        <f t="shared" si="1"/>
        <v>8-2024</v>
      </c>
      <c r="D291" s="54">
        <f t="shared" ref="D291:D293" si="30">E290</f>
        <v>5078</v>
      </c>
      <c r="E291" s="138">
        <v>5082.0</v>
      </c>
      <c r="F291" s="54">
        <f t="shared" si="15"/>
        <v>4</v>
      </c>
      <c r="G291" s="54">
        <f t="shared" si="28"/>
        <v>-6</v>
      </c>
      <c r="H291" s="176">
        <v>100.0</v>
      </c>
      <c r="I291" s="176" t="s">
        <v>131</v>
      </c>
      <c r="J291" s="54"/>
      <c r="K291" s="54"/>
      <c r="L291" s="54"/>
      <c r="M291" s="54"/>
      <c r="N291" s="54"/>
      <c r="O291" s="174"/>
      <c r="P291" s="174"/>
      <c r="Q291" s="174"/>
      <c r="R291" s="174"/>
    </row>
    <row r="292" ht="14.25" customHeight="1">
      <c r="B292" s="164">
        <v>45519.0</v>
      </c>
      <c r="C292" s="141" t="str">
        <f t="shared" si="1"/>
        <v>8-2024</v>
      </c>
      <c r="D292" s="54">
        <f t="shared" si="30"/>
        <v>5082</v>
      </c>
      <c r="E292" s="138">
        <v>5099.0</v>
      </c>
      <c r="F292" s="54">
        <f t="shared" si="15"/>
        <v>17</v>
      </c>
      <c r="G292" s="54">
        <f t="shared" si="28"/>
        <v>7</v>
      </c>
      <c r="H292" s="176">
        <v>211.0</v>
      </c>
      <c r="I292" s="176" t="s">
        <v>131</v>
      </c>
      <c r="J292" s="54"/>
      <c r="K292" s="54"/>
      <c r="L292" s="54"/>
      <c r="M292" s="54"/>
      <c r="N292" s="54"/>
      <c r="O292" s="174"/>
      <c r="P292" s="174"/>
      <c r="Q292" s="174"/>
      <c r="R292" s="174"/>
    </row>
    <row r="293" ht="14.25" customHeight="1">
      <c r="B293" s="164">
        <v>45520.0</v>
      </c>
      <c r="C293" s="141" t="str">
        <f t="shared" si="1"/>
        <v>8-2024</v>
      </c>
      <c r="D293" s="54">
        <f t="shared" si="30"/>
        <v>5099</v>
      </c>
      <c r="E293" s="138">
        <v>5109.0</v>
      </c>
      <c r="F293" s="54">
        <f t="shared" si="15"/>
        <v>10</v>
      </c>
      <c r="G293" s="54">
        <f t="shared" si="28"/>
        <v>0</v>
      </c>
      <c r="H293" s="176">
        <v>100.0</v>
      </c>
      <c r="I293" s="176" t="s">
        <v>131</v>
      </c>
      <c r="J293" s="54"/>
      <c r="K293" s="54"/>
      <c r="L293" s="54"/>
      <c r="M293" s="54"/>
      <c r="N293" s="54"/>
      <c r="O293" s="174"/>
      <c r="P293" s="174"/>
      <c r="Q293" s="174"/>
      <c r="R293" s="174"/>
    </row>
    <row r="294" ht="14.25" customHeight="1">
      <c r="B294" s="145">
        <v>45521.0</v>
      </c>
      <c r="C294" s="141" t="str">
        <f t="shared" si="1"/>
        <v>8-2024</v>
      </c>
      <c r="D294" s="54"/>
      <c r="E294" s="54"/>
      <c r="F294" s="54">
        <f t="shared" si="15"/>
        <v>0</v>
      </c>
      <c r="G294" s="54">
        <f t="shared" si="28"/>
        <v>-10</v>
      </c>
      <c r="H294" s="175"/>
      <c r="I294" s="175"/>
      <c r="J294" s="54"/>
      <c r="K294" s="54"/>
      <c r="L294" s="54"/>
      <c r="M294" s="54"/>
      <c r="N294" s="54"/>
      <c r="O294" s="174"/>
      <c r="P294" s="174"/>
      <c r="Q294" s="174"/>
      <c r="R294" s="174"/>
    </row>
    <row r="295" ht="14.25" customHeight="1">
      <c r="B295" s="145">
        <v>45522.0</v>
      </c>
      <c r="C295" s="141" t="str">
        <f t="shared" si="1"/>
        <v>8-2024</v>
      </c>
      <c r="D295" s="54" t="str">
        <f t="shared" ref="D295:D296" si="31">E294</f>
        <v/>
      </c>
      <c r="E295" s="54"/>
      <c r="F295" s="54">
        <f t="shared" si="15"/>
        <v>0</v>
      </c>
      <c r="G295" s="54">
        <f t="shared" si="28"/>
        <v>-10</v>
      </c>
      <c r="H295" s="175"/>
      <c r="I295" s="175"/>
      <c r="J295" s="54"/>
      <c r="K295" s="54"/>
      <c r="L295" s="54"/>
      <c r="M295" s="54"/>
      <c r="N295" s="54"/>
      <c r="O295" s="174"/>
      <c r="P295" s="174"/>
      <c r="Q295" s="174"/>
      <c r="R295" s="174"/>
    </row>
    <row r="296" ht="14.25" customHeight="1">
      <c r="B296" s="164">
        <v>45523.0</v>
      </c>
      <c r="C296" s="141" t="str">
        <f t="shared" si="1"/>
        <v>8-2024</v>
      </c>
      <c r="D296" s="54" t="str">
        <f t="shared" si="31"/>
        <v/>
      </c>
      <c r="E296" s="54"/>
      <c r="F296" s="54">
        <f t="shared" si="15"/>
        <v>0</v>
      </c>
      <c r="G296" s="54">
        <f t="shared" si="28"/>
        <v>-10</v>
      </c>
      <c r="H296" s="175"/>
      <c r="I296" s="175"/>
      <c r="J296" s="54"/>
      <c r="K296" s="54"/>
      <c r="L296" s="54"/>
      <c r="M296" s="54"/>
      <c r="N296" s="54"/>
      <c r="O296" s="174"/>
      <c r="P296" s="174"/>
      <c r="Q296" s="174"/>
      <c r="R296" s="174"/>
    </row>
    <row r="297" ht="14.25" customHeight="1">
      <c r="B297" s="164">
        <v>45524.0</v>
      </c>
      <c r="C297" s="141" t="str">
        <f t="shared" si="1"/>
        <v>8-2024</v>
      </c>
      <c r="D297" s="138">
        <v>5139.0</v>
      </c>
      <c r="E297" s="138">
        <v>5149.0</v>
      </c>
      <c r="F297" s="54">
        <f t="shared" si="15"/>
        <v>10</v>
      </c>
      <c r="G297" s="54">
        <f t="shared" si="28"/>
        <v>0</v>
      </c>
      <c r="H297" s="175"/>
      <c r="I297" s="176" t="s">
        <v>131</v>
      </c>
      <c r="J297" s="54"/>
      <c r="K297" s="54"/>
      <c r="L297" s="54"/>
      <c r="M297" s="54"/>
      <c r="N297" s="54"/>
      <c r="O297" s="174"/>
      <c r="P297" s="174"/>
      <c r="Q297" s="174"/>
      <c r="R297" s="174"/>
    </row>
    <row r="298" ht="14.25" customHeight="1">
      <c r="B298" s="164">
        <v>45525.0</v>
      </c>
      <c r="C298" s="141" t="str">
        <f t="shared" si="1"/>
        <v>8-2024</v>
      </c>
      <c r="D298" s="54">
        <f t="shared" ref="D298:D300" si="32">E297</f>
        <v>5149</v>
      </c>
      <c r="E298" s="138">
        <v>5159.0</v>
      </c>
      <c r="F298" s="54">
        <f t="shared" si="15"/>
        <v>10</v>
      </c>
      <c r="G298" s="54">
        <f t="shared" si="28"/>
        <v>0</v>
      </c>
      <c r="H298" s="176">
        <v>200.0</v>
      </c>
      <c r="I298" s="176" t="s">
        <v>131</v>
      </c>
      <c r="J298" s="54"/>
      <c r="K298" s="54"/>
      <c r="L298" s="54"/>
      <c r="M298" s="54"/>
      <c r="N298" s="54"/>
      <c r="O298" s="174"/>
      <c r="P298" s="174"/>
      <c r="Q298" s="174"/>
      <c r="R298" s="174"/>
    </row>
    <row r="299" ht="14.25" customHeight="1">
      <c r="B299" s="164">
        <v>45526.0</v>
      </c>
      <c r="C299" s="141" t="str">
        <f t="shared" si="1"/>
        <v>8-2024</v>
      </c>
      <c r="D299" s="54">
        <f t="shared" si="32"/>
        <v>5159</v>
      </c>
      <c r="E299" s="138">
        <v>5169.0</v>
      </c>
      <c r="F299" s="54">
        <f t="shared" si="15"/>
        <v>10</v>
      </c>
      <c r="G299" s="54">
        <f t="shared" si="28"/>
        <v>0</v>
      </c>
      <c r="H299" s="176">
        <v>180.0</v>
      </c>
      <c r="I299" s="176" t="s">
        <v>131</v>
      </c>
      <c r="J299" s="54"/>
      <c r="K299" s="54"/>
      <c r="L299" s="54"/>
      <c r="M299" s="54"/>
      <c r="N299" s="54"/>
      <c r="O299" s="174"/>
      <c r="P299" s="174"/>
      <c r="Q299" s="174"/>
      <c r="R299" s="174"/>
    </row>
    <row r="300" ht="14.25" customHeight="1">
      <c r="B300" s="164">
        <v>45527.0</v>
      </c>
      <c r="C300" s="141" t="str">
        <f t="shared" si="1"/>
        <v>8-2024</v>
      </c>
      <c r="D300" s="54">
        <f t="shared" si="32"/>
        <v>5169</v>
      </c>
      <c r="E300" s="138">
        <v>5178.1</v>
      </c>
      <c r="F300" s="54">
        <f t="shared" si="15"/>
        <v>9.1</v>
      </c>
      <c r="G300" s="54">
        <f t="shared" si="28"/>
        <v>-0.9</v>
      </c>
      <c r="H300" s="176">
        <v>100.0</v>
      </c>
      <c r="I300" s="176" t="s">
        <v>131</v>
      </c>
      <c r="J300" s="54"/>
      <c r="K300" s="54"/>
      <c r="L300" s="54"/>
      <c r="M300" s="54"/>
      <c r="N300" s="54"/>
      <c r="O300" s="174"/>
      <c r="P300" s="174"/>
      <c r="Q300" s="174"/>
      <c r="R300" s="174"/>
    </row>
    <row r="301" ht="14.25" customHeight="1">
      <c r="B301" s="145">
        <v>45528.0</v>
      </c>
      <c r="C301" s="141" t="str">
        <f t="shared" si="1"/>
        <v>8-2024</v>
      </c>
      <c r="D301" s="54"/>
      <c r="E301" s="54"/>
      <c r="F301" s="54">
        <f t="shared" si="15"/>
        <v>0</v>
      </c>
      <c r="G301" s="54">
        <f t="shared" si="28"/>
        <v>-10</v>
      </c>
      <c r="H301" s="175"/>
      <c r="I301" s="176"/>
      <c r="J301" s="54"/>
      <c r="K301" s="54"/>
      <c r="L301" s="54"/>
      <c r="M301" s="54"/>
      <c r="N301" s="54"/>
      <c r="O301" s="174"/>
      <c r="P301" s="174"/>
      <c r="Q301" s="174"/>
      <c r="R301" s="174"/>
    </row>
    <row r="302" ht="14.25" customHeight="1">
      <c r="B302" s="145">
        <v>45529.0</v>
      </c>
      <c r="C302" s="141" t="str">
        <f t="shared" si="1"/>
        <v>8-2024</v>
      </c>
      <c r="D302" s="54" t="str">
        <f>E301</f>
        <v/>
      </c>
      <c r="E302" s="54"/>
      <c r="F302" s="54">
        <f t="shared" si="15"/>
        <v>0</v>
      </c>
      <c r="G302" s="54">
        <f t="shared" si="28"/>
        <v>-10</v>
      </c>
      <c r="H302" s="175"/>
      <c r="I302" s="176"/>
      <c r="J302" s="54"/>
      <c r="K302" s="54"/>
      <c r="L302" s="54"/>
      <c r="M302" s="54"/>
      <c r="N302" s="54"/>
      <c r="O302" s="174"/>
      <c r="P302" s="174"/>
      <c r="Q302" s="174"/>
      <c r="R302" s="174"/>
    </row>
    <row r="303" ht="14.25" customHeight="1">
      <c r="B303" s="164">
        <v>45530.0</v>
      </c>
      <c r="C303" s="141" t="str">
        <f t="shared" si="1"/>
        <v>8-2024</v>
      </c>
      <c r="D303" s="138">
        <v>5200.3</v>
      </c>
      <c r="E303" s="138">
        <v>5208.3</v>
      </c>
      <c r="F303" s="54">
        <f t="shared" si="15"/>
        <v>8</v>
      </c>
      <c r="G303" s="54">
        <f t="shared" si="28"/>
        <v>-2</v>
      </c>
      <c r="H303" s="176">
        <v>180.0</v>
      </c>
      <c r="I303" s="176" t="s">
        <v>131</v>
      </c>
      <c r="J303" s="54"/>
      <c r="K303" s="54"/>
      <c r="L303" s="54"/>
      <c r="M303" s="54"/>
      <c r="N303" s="54"/>
      <c r="O303" s="174"/>
      <c r="P303" s="174"/>
      <c r="Q303" s="174"/>
      <c r="R303" s="174"/>
    </row>
    <row r="304" ht="14.25" customHeight="1">
      <c r="B304" s="164">
        <v>45531.0</v>
      </c>
      <c r="C304" s="141" t="str">
        <f t="shared" si="1"/>
        <v>8-2024</v>
      </c>
      <c r="D304" s="54">
        <f t="shared" ref="D304:D308" si="33">E303</f>
        <v>5208.3</v>
      </c>
      <c r="E304" s="138">
        <v>5217.3</v>
      </c>
      <c r="F304" s="54">
        <f t="shared" si="15"/>
        <v>9</v>
      </c>
      <c r="G304" s="54">
        <f t="shared" si="28"/>
        <v>-1</v>
      </c>
      <c r="H304" s="176">
        <v>170.0</v>
      </c>
      <c r="I304" s="176" t="s">
        <v>131</v>
      </c>
      <c r="J304" s="54"/>
      <c r="K304" s="54"/>
      <c r="L304" s="54"/>
      <c r="M304" s="54"/>
      <c r="N304" s="54"/>
      <c r="O304" s="174"/>
      <c r="P304" s="174"/>
      <c r="Q304" s="174"/>
      <c r="R304" s="174"/>
    </row>
    <row r="305" ht="14.25" customHeight="1">
      <c r="B305" s="164">
        <v>45532.0</v>
      </c>
      <c r="C305" s="141" t="str">
        <f t="shared" si="1"/>
        <v>8-2024</v>
      </c>
      <c r="D305" s="54">
        <f t="shared" si="33"/>
        <v>5217.3</v>
      </c>
      <c r="E305" s="138">
        <v>5223.3</v>
      </c>
      <c r="F305" s="54">
        <f t="shared" si="15"/>
        <v>6</v>
      </c>
      <c r="G305" s="54">
        <f t="shared" si="28"/>
        <v>-4</v>
      </c>
      <c r="H305" s="175"/>
      <c r="I305" s="176" t="s">
        <v>131</v>
      </c>
      <c r="J305" s="54"/>
      <c r="K305" s="54"/>
      <c r="L305" s="54"/>
      <c r="M305" s="54"/>
      <c r="N305" s="54"/>
      <c r="O305" s="174"/>
      <c r="P305" s="174"/>
      <c r="Q305" s="174"/>
      <c r="R305" s="174"/>
    </row>
    <row r="306" ht="14.25" customHeight="1">
      <c r="B306" s="164">
        <v>45533.0</v>
      </c>
      <c r="C306" s="141" t="str">
        <f t="shared" si="1"/>
        <v>8-2024</v>
      </c>
      <c r="D306" s="54">
        <f t="shared" si="33"/>
        <v>5223.3</v>
      </c>
      <c r="E306" s="138">
        <v>5232.6</v>
      </c>
      <c r="F306" s="54">
        <f t="shared" si="15"/>
        <v>9.3</v>
      </c>
      <c r="G306" s="54">
        <f t="shared" si="28"/>
        <v>-0.7</v>
      </c>
      <c r="H306" s="176">
        <v>200.0</v>
      </c>
      <c r="I306" s="176" t="s">
        <v>131</v>
      </c>
      <c r="J306" s="54"/>
      <c r="K306" s="54"/>
      <c r="L306" s="54"/>
      <c r="M306" s="54"/>
      <c r="N306" s="54"/>
      <c r="O306" s="174"/>
      <c r="P306" s="174"/>
      <c r="Q306" s="174"/>
      <c r="R306" s="174"/>
    </row>
    <row r="307" ht="14.25" customHeight="1">
      <c r="B307" s="164">
        <v>45534.0</v>
      </c>
      <c r="C307" s="141" t="str">
        <f t="shared" si="1"/>
        <v>8-2024</v>
      </c>
      <c r="D307" s="54">
        <f t="shared" si="33"/>
        <v>5232.6</v>
      </c>
      <c r="E307" s="138">
        <v>5240.2</v>
      </c>
      <c r="F307" s="54">
        <f t="shared" si="15"/>
        <v>7.6</v>
      </c>
      <c r="G307" s="54">
        <f t="shared" si="28"/>
        <v>-2.4</v>
      </c>
      <c r="H307" s="175"/>
      <c r="I307" s="176" t="s">
        <v>131</v>
      </c>
      <c r="J307" s="54"/>
      <c r="K307" s="54"/>
      <c r="L307" s="54"/>
      <c r="M307" s="54"/>
      <c r="N307" s="54"/>
      <c r="O307" s="174"/>
      <c r="P307" s="174"/>
      <c r="Q307" s="174"/>
      <c r="R307" s="174"/>
    </row>
    <row r="308" ht="14.25" customHeight="1">
      <c r="B308" s="145">
        <v>45535.0</v>
      </c>
      <c r="C308" s="141" t="str">
        <f t="shared" si="1"/>
        <v>8-2024</v>
      </c>
      <c r="D308" s="54">
        <f t="shared" si="33"/>
        <v>5240.2</v>
      </c>
      <c r="E308" s="138">
        <v>5244.9</v>
      </c>
      <c r="F308" s="54">
        <f t="shared" si="15"/>
        <v>4.7</v>
      </c>
      <c r="G308" s="54">
        <f t="shared" si="28"/>
        <v>-5.3</v>
      </c>
      <c r="H308" s="176">
        <v>200.0</v>
      </c>
      <c r="I308" s="176" t="s">
        <v>131</v>
      </c>
      <c r="J308" s="54"/>
      <c r="K308" s="54"/>
      <c r="L308" s="54"/>
      <c r="M308" s="54"/>
      <c r="N308" s="54"/>
      <c r="O308" s="174"/>
      <c r="P308" s="174"/>
      <c r="Q308" s="174"/>
      <c r="R308" s="174"/>
    </row>
    <row r="309" ht="14.25" customHeight="1">
      <c r="B309" s="145">
        <v>45536.0</v>
      </c>
      <c r="C309" s="141" t="str">
        <f t="shared" si="1"/>
        <v>9-2024</v>
      </c>
      <c r="D309" s="54"/>
      <c r="E309" s="54"/>
      <c r="F309" s="54">
        <f t="shared" si="15"/>
        <v>0</v>
      </c>
      <c r="G309" s="54">
        <f t="shared" si="28"/>
        <v>-10</v>
      </c>
      <c r="H309" s="175"/>
      <c r="I309" s="175"/>
      <c r="J309" s="54"/>
      <c r="K309" s="54"/>
      <c r="L309" s="54"/>
      <c r="M309" s="54"/>
      <c r="N309" s="54"/>
      <c r="O309" s="174"/>
      <c r="P309" s="174"/>
      <c r="Q309" s="174"/>
      <c r="R309" s="174"/>
    </row>
    <row r="310" ht="14.25" customHeight="1">
      <c r="B310" s="140">
        <v>45537.0</v>
      </c>
      <c r="C310" s="141" t="str">
        <f t="shared" si="1"/>
        <v>9-2024</v>
      </c>
      <c r="D310" s="54" t="str">
        <f>E309</f>
        <v/>
      </c>
      <c r="E310" s="54"/>
      <c r="F310" s="54">
        <f t="shared" si="15"/>
        <v>0</v>
      </c>
      <c r="G310" s="54">
        <f t="shared" si="28"/>
        <v>-10</v>
      </c>
      <c r="H310" s="175"/>
      <c r="I310" s="175"/>
      <c r="J310" s="54"/>
      <c r="K310" s="54"/>
      <c r="L310" s="54"/>
      <c r="M310" s="54"/>
      <c r="N310" s="54"/>
      <c r="O310" s="174"/>
      <c r="P310" s="174"/>
      <c r="Q310" s="174"/>
      <c r="R310" s="174"/>
    </row>
    <row r="311" ht="14.25" customHeight="1">
      <c r="B311" s="140">
        <v>45538.0</v>
      </c>
      <c r="C311" s="141" t="str">
        <f t="shared" si="1"/>
        <v>9-2024</v>
      </c>
      <c r="D311" s="138">
        <v>3380.0</v>
      </c>
      <c r="E311" s="138">
        <v>3390.0</v>
      </c>
      <c r="F311" s="54">
        <f t="shared" si="15"/>
        <v>10</v>
      </c>
      <c r="G311" s="54">
        <f t="shared" si="28"/>
        <v>0</v>
      </c>
      <c r="H311" s="176"/>
      <c r="I311" s="176">
        <v>210.0</v>
      </c>
      <c r="J311" s="54"/>
      <c r="K311" s="54"/>
      <c r="L311" s="54"/>
      <c r="M311" s="54"/>
      <c r="N311" s="54"/>
      <c r="O311" s="174"/>
      <c r="P311" s="174"/>
      <c r="Q311" s="174"/>
      <c r="R311" s="174"/>
    </row>
    <row r="312" ht="14.25" customHeight="1">
      <c r="B312" s="140">
        <v>45539.0</v>
      </c>
      <c r="C312" s="141" t="str">
        <f t="shared" si="1"/>
        <v>9-2024</v>
      </c>
      <c r="D312" s="54">
        <f t="shared" ref="D312:D314" si="34">E311</f>
        <v>3390</v>
      </c>
      <c r="E312" s="138">
        <v>3400.0</v>
      </c>
      <c r="F312" s="54">
        <f t="shared" si="15"/>
        <v>10</v>
      </c>
      <c r="G312" s="54">
        <f t="shared" si="28"/>
        <v>0</v>
      </c>
      <c r="H312" s="175"/>
      <c r="I312" s="175"/>
      <c r="J312" s="54"/>
      <c r="K312" s="54"/>
      <c r="L312" s="54"/>
      <c r="M312" s="54"/>
      <c r="N312" s="54"/>
      <c r="O312" s="174"/>
      <c r="P312" s="174"/>
      <c r="Q312" s="174"/>
      <c r="R312" s="174"/>
    </row>
    <row r="313" ht="14.25" customHeight="1">
      <c r="B313" s="140">
        <v>45540.0</v>
      </c>
      <c r="C313" s="141" t="str">
        <f t="shared" si="1"/>
        <v>9-2024</v>
      </c>
      <c r="D313" s="54">
        <f t="shared" si="34"/>
        <v>3400</v>
      </c>
      <c r="E313" s="138">
        <v>3410.0</v>
      </c>
      <c r="F313" s="54">
        <f t="shared" si="15"/>
        <v>10</v>
      </c>
      <c r="G313" s="54">
        <f t="shared" si="28"/>
        <v>0</v>
      </c>
      <c r="H313" s="175"/>
      <c r="I313" s="175"/>
      <c r="J313" s="54"/>
      <c r="K313" s="54"/>
      <c r="L313" s="54"/>
      <c r="M313" s="54"/>
      <c r="N313" s="54"/>
      <c r="O313" s="174"/>
      <c r="P313" s="174"/>
      <c r="Q313" s="174"/>
      <c r="R313" s="174"/>
    </row>
    <row r="314" ht="14.25" customHeight="1">
      <c r="B314" s="140">
        <v>45541.0</v>
      </c>
      <c r="C314" s="141" t="str">
        <f t="shared" si="1"/>
        <v>9-2024</v>
      </c>
      <c r="D314" s="54">
        <f t="shared" si="34"/>
        <v>3410</v>
      </c>
      <c r="E314" s="138">
        <v>3419.0</v>
      </c>
      <c r="F314" s="54">
        <f t="shared" si="15"/>
        <v>9</v>
      </c>
      <c r="G314" s="54">
        <f t="shared" si="28"/>
        <v>-1</v>
      </c>
      <c r="H314" s="176">
        <v>334.0</v>
      </c>
      <c r="I314" s="176"/>
      <c r="J314" s="54"/>
      <c r="K314" s="54"/>
      <c r="L314" s="54"/>
      <c r="M314" s="54"/>
      <c r="N314" s="54"/>
      <c r="O314" s="174"/>
      <c r="P314" s="174"/>
      <c r="Q314" s="174"/>
      <c r="R314" s="174"/>
    </row>
    <row r="315" ht="14.25" customHeight="1">
      <c r="B315" s="145">
        <v>45542.0</v>
      </c>
      <c r="C315" s="141" t="str">
        <f t="shared" si="1"/>
        <v>9-2024</v>
      </c>
      <c r="D315" s="138">
        <v>2660.6</v>
      </c>
      <c r="E315" s="138">
        <v>2664.3</v>
      </c>
      <c r="F315" s="54">
        <f t="shared" si="15"/>
        <v>3.7</v>
      </c>
      <c r="G315" s="54">
        <f t="shared" si="28"/>
        <v>-6.3</v>
      </c>
      <c r="H315" s="176"/>
      <c r="I315" s="176" t="s">
        <v>147</v>
      </c>
      <c r="J315" s="54"/>
      <c r="K315" s="54"/>
      <c r="L315" s="54"/>
      <c r="M315" s="54"/>
      <c r="N315" s="54"/>
      <c r="O315" s="174"/>
      <c r="P315" s="174"/>
      <c r="Q315" s="174"/>
      <c r="R315" s="174"/>
    </row>
    <row r="316" ht="14.25" customHeight="1">
      <c r="B316" s="145">
        <v>45543.0</v>
      </c>
      <c r="C316" s="141" t="str">
        <f t="shared" si="1"/>
        <v>9-2024</v>
      </c>
      <c r="D316" s="54"/>
      <c r="E316" s="54"/>
      <c r="F316" s="54">
        <f t="shared" si="15"/>
        <v>0</v>
      </c>
      <c r="G316" s="54">
        <f t="shared" si="28"/>
        <v>-10</v>
      </c>
      <c r="H316" s="175"/>
      <c r="I316" s="175"/>
      <c r="J316" s="54"/>
      <c r="K316" s="54"/>
      <c r="L316" s="54"/>
      <c r="M316" s="54"/>
      <c r="N316" s="54"/>
      <c r="O316" s="174"/>
      <c r="P316" s="174"/>
      <c r="Q316" s="174"/>
      <c r="R316" s="174"/>
    </row>
    <row r="317" ht="14.25" customHeight="1">
      <c r="B317" s="140">
        <v>45544.0</v>
      </c>
      <c r="C317" s="141" t="str">
        <f t="shared" si="1"/>
        <v>9-2024</v>
      </c>
      <c r="D317" s="138">
        <v>3419.0</v>
      </c>
      <c r="E317" s="138">
        <v>3428.0</v>
      </c>
      <c r="F317" s="54">
        <f t="shared" si="15"/>
        <v>9</v>
      </c>
      <c r="G317" s="54">
        <f t="shared" si="28"/>
        <v>-1</v>
      </c>
      <c r="H317" s="175"/>
      <c r="I317" s="175"/>
      <c r="J317" s="54"/>
      <c r="K317" s="54"/>
      <c r="L317" s="54"/>
      <c r="M317" s="54"/>
      <c r="N317" s="54"/>
      <c r="O317" s="174"/>
      <c r="P317" s="174"/>
      <c r="Q317" s="174"/>
      <c r="R317" s="174"/>
    </row>
    <row r="318" ht="14.25" customHeight="1">
      <c r="B318" s="140">
        <v>45545.0</v>
      </c>
      <c r="C318" s="141" t="str">
        <f t="shared" si="1"/>
        <v>9-2024</v>
      </c>
      <c r="D318" s="54">
        <f t="shared" ref="D318:D321" si="35">E317</f>
        <v>3428</v>
      </c>
      <c r="E318" s="138">
        <v>3438.0</v>
      </c>
      <c r="F318" s="54">
        <f t="shared" si="15"/>
        <v>10</v>
      </c>
      <c r="G318" s="54">
        <f t="shared" si="28"/>
        <v>0</v>
      </c>
      <c r="H318" s="176">
        <v>420.0</v>
      </c>
      <c r="I318" s="175"/>
      <c r="J318" s="54"/>
      <c r="K318" s="54"/>
      <c r="L318" s="54"/>
      <c r="M318" s="54"/>
      <c r="N318" s="54"/>
      <c r="O318" s="174"/>
      <c r="P318" s="174"/>
      <c r="Q318" s="174"/>
      <c r="R318" s="174"/>
    </row>
    <row r="319" ht="14.25" customHeight="1">
      <c r="B319" s="140">
        <v>45546.0</v>
      </c>
      <c r="C319" s="141" t="str">
        <f t="shared" si="1"/>
        <v>9-2024</v>
      </c>
      <c r="D319" s="54">
        <f t="shared" si="35"/>
        <v>3438</v>
      </c>
      <c r="E319" s="138">
        <v>3447.0</v>
      </c>
      <c r="F319" s="54">
        <f t="shared" si="15"/>
        <v>9</v>
      </c>
      <c r="G319" s="54">
        <f t="shared" si="28"/>
        <v>-1</v>
      </c>
      <c r="H319" s="175"/>
      <c r="I319" s="175"/>
      <c r="J319" s="54"/>
      <c r="K319" s="54"/>
      <c r="L319" s="54"/>
      <c r="M319" s="54"/>
      <c r="N319" s="54"/>
      <c r="O319" s="174"/>
      <c r="P319" s="174"/>
      <c r="Q319" s="174"/>
      <c r="R319" s="174"/>
    </row>
    <row r="320" ht="14.25" customHeight="1">
      <c r="B320" s="140">
        <v>45547.0</v>
      </c>
      <c r="C320" s="141" t="str">
        <f t="shared" si="1"/>
        <v>9-2024</v>
      </c>
      <c r="D320" s="54">
        <f t="shared" si="35"/>
        <v>3447</v>
      </c>
      <c r="E320" s="138">
        <v>3455.0</v>
      </c>
      <c r="F320" s="54">
        <f t="shared" si="15"/>
        <v>8</v>
      </c>
      <c r="G320" s="54">
        <f t="shared" si="28"/>
        <v>-2</v>
      </c>
      <c r="H320" s="175"/>
      <c r="I320" s="175"/>
      <c r="J320" s="54"/>
      <c r="K320" s="54"/>
      <c r="L320" s="54"/>
      <c r="M320" s="54"/>
      <c r="N320" s="54"/>
      <c r="O320" s="174"/>
      <c r="P320" s="174"/>
      <c r="Q320" s="174"/>
      <c r="R320" s="174"/>
    </row>
    <row r="321" ht="14.25" customHeight="1">
      <c r="B321" s="140">
        <v>45548.0</v>
      </c>
      <c r="C321" s="141" t="str">
        <f t="shared" si="1"/>
        <v>9-2024</v>
      </c>
      <c r="D321" s="54">
        <f t="shared" si="35"/>
        <v>3455</v>
      </c>
      <c r="E321" s="138">
        <v>3460.0</v>
      </c>
      <c r="F321" s="54">
        <f t="shared" si="15"/>
        <v>5</v>
      </c>
      <c r="G321" s="54">
        <f t="shared" si="28"/>
        <v>-5</v>
      </c>
      <c r="H321" s="175"/>
      <c r="I321" s="175"/>
      <c r="J321" s="54"/>
      <c r="K321" s="54"/>
      <c r="L321" s="54"/>
      <c r="M321" s="54"/>
      <c r="N321" s="54"/>
      <c r="O321" s="174"/>
      <c r="P321" s="174"/>
      <c r="Q321" s="174"/>
      <c r="R321" s="174"/>
    </row>
    <row r="322" ht="14.25" customHeight="1">
      <c r="B322" s="145">
        <v>45549.0</v>
      </c>
      <c r="C322" s="141" t="str">
        <f t="shared" si="1"/>
        <v>9-2024</v>
      </c>
      <c r="D322" s="54"/>
      <c r="E322" s="54"/>
      <c r="F322" s="54">
        <f t="shared" si="15"/>
        <v>0</v>
      </c>
      <c r="G322" s="54">
        <f t="shared" si="28"/>
        <v>-10</v>
      </c>
      <c r="H322" s="175"/>
      <c r="I322" s="175"/>
      <c r="J322" s="54"/>
      <c r="K322" s="54"/>
      <c r="L322" s="54"/>
      <c r="M322" s="54"/>
      <c r="N322" s="54"/>
      <c r="O322" s="174"/>
      <c r="P322" s="174"/>
      <c r="Q322" s="174"/>
      <c r="R322" s="174"/>
    </row>
    <row r="323" ht="14.25" customHeight="1">
      <c r="B323" s="145">
        <v>45550.0</v>
      </c>
      <c r="C323" s="141" t="str">
        <f t="shared" si="1"/>
        <v>9-2024</v>
      </c>
      <c r="D323" s="54" t="str">
        <f>E322</f>
        <v/>
      </c>
      <c r="E323" s="54"/>
      <c r="F323" s="54">
        <f t="shared" si="15"/>
        <v>0</v>
      </c>
      <c r="G323" s="54">
        <f t="shared" si="28"/>
        <v>-10</v>
      </c>
      <c r="H323" s="175"/>
      <c r="I323" s="175"/>
      <c r="J323" s="54"/>
      <c r="K323" s="54"/>
      <c r="L323" s="54"/>
      <c r="M323" s="54"/>
      <c r="N323" s="54"/>
      <c r="O323" s="174"/>
      <c r="P323" s="174"/>
      <c r="Q323" s="174"/>
      <c r="R323" s="174"/>
    </row>
    <row r="324" ht="14.25" customHeight="1">
      <c r="B324" s="140">
        <v>45551.0</v>
      </c>
      <c r="C324" s="141" t="str">
        <f t="shared" si="1"/>
        <v>9-2024</v>
      </c>
      <c r="D324" s="138">
        <v>3460.0</v>
      </c>
      <c r="E324" s="138">
        <v>3467.0</v>
      </c>
      <c r="F324" s="54">
        <f t="shared" si="15"/>
        <v>7</v>
      </c>
      <c r="G324" s="54">
        <f t="shared" si="28"/>
        <v>-3</v>
      </c>
      <c r="H324" s="175"/>
      <c r="I324" s="175"/>
      <c r="J324" s="54"/>
      <c r="K324" s="54"/>
      <c r="L324" s="54"/>
      <c r="M324" s="54"/>
      <c r="N324" s="54"/>
      <c r="O324" s="174"/>
      <c r="P324" s="174"/>
      <c r="Q324" s="174"/>
      <c r="R324" s="174"/>
    </row>
    <row r="325" ht="14.25" customHeight="1">
      <c r="B325" s="140">
        <v>45552.0</v>
      </c>
      <c r="C325" s="141" t="str">
        <f t="shared" si="1"/>
        <v>9-2024</v>
      </c>
      <c r="D325" s="54">
        <f t="shared" ref="D325:D329" si="36">E324</f>
        <v>3467</v>
      </c>
      <c r="E325" s="138">
        <v>3477.0</v>
      </c>
      <c r="F325" s="54">
        <f t="shared" si="15"/>
        <v>10</v>
      </c>
      <c r="G325" s="54">
        <f t="shared" si="28"/>
        <v>0</v>
      </c>
      <c r="H325" s="175"/>
      <c r="I325" s="175"/>
      <c r="J325" s="54"/>
      <c r="K325" s="54"/>
      <c r="L325" s="54"/>
      <c r="M325" s="54"/>
      <c r="N325" s="54"/>
      <c r="O325" s="174"/>
      <c r="P325" s="174"/>
      <c r="Q325" s="174"/>
      <c r="R325" s="174"/>
    </row>
    <row r="326" ht="14.25" customHeight="1">
      <c r="B326" s="140">
        <v>45553.0</v>
      </c>
      <c r="C326" s="141" t="str">
        <f t="shared" si="1"/>
        <v>9-2024</v>
      </c>
      <c r="D326" s="54">
        <f t="shared" si="36"/>
        <v>3477</v>
      </c>
      <c r="E326" s="138">
        <v>3487.0</v>
      </c>
      <c r="F326" s="54">
        <f t="shared" si="15"/>
        <v>10</v>
      </c>
      <c r="G326" s="54">
        <f t="shared" si="28"/>
        <v>0</v>
      </c>
      <c r="H326" s="176">
        <v>421.0</v>
      </c>
      <c r="I326" s="175"/>
      <c r="J326" s="54"/>
      <c r="K326" s="54"/>
      <c r="L326" s="54"/>
      <c r="M326" s="54"/>
      <c r="N326" s="54"/>
      <c r="O326" s="174"/>
      <c r="P326" s="174"/>
      <c r="Q326" s="174"/>
      <c r="R326" s="174"/>
    </row>
    <row r="327" ht="14.25" customHeight="1">
      <c r="B327" s="140">
        <v>45554.0</v>
      </c>
      <c r="C327" s="141" t="str">
        <f t="shared" si="1"/>
        <v>9-2024</v>
      </c>
      <c r="D327" s="54">
        <f t="shared" si="36"/>
        <v>3487</v>
      </c>
      <c r="E327" s="138">
        <v>3489.9</v>
      </c>
      <c r="F327" s="54">
        <f t="shared" si="15"/>
        <v>2.9</v>
      </c>
      <c r="G327" s="54">
        <f t="shared" si="28"/>
        <v>-7.1</v>
      </c>
      <c r="H327" s="175"/>
      <c r="I327" s="175"/>
      <c r="J327" s="54"/>
      <c r="K327" s="54"/>
      <c r="L327" s="54"/>
      <c r="M327" s="54"/>
      <c r="N327" s="54"/>
      <c r="O327" s="174"/>
      <c r="P327" s="174"/>
      <c r="Q327" s="174"/>
      <c r="R327" s="174"/>
    </row>
    <row r="328" ht="14.25" customHeight="1">
      <c r="B328" s="140">
        <v>45555.0</v>
      </c>
      <c r="C328" s="141" t="str">
        <f t="shared" si="1"/>
        <v>9-2024</v>
      </c>
      <c r="D328" s="54">
        <f t="shared" si="36"/>
        <v>3489.9</v>
      </c>
      <c r="E328" s="138">
        <v>3501.0</v>
      </c>
      <c r="F328" s="54">
        <f t="shared" si="15"/>
        <v>11.1</v>
      </c>
      <c r="G328" s="54">
        <f t="shared" si="28"/>
        <v>1.1</v>
      </c>
      <c r="H328" s="175"/>
      <c r="I328" s="175"/>
      <c r="J328" s="54"/>
      <c r="K328" s="54"/>
      <c r="L328" s="54"/>
      <c r="M328" s="54"/>
      <c r="N328" s="54"/>
      <c r="O328" s="174"/>
      <c r="P328" s="174"/>
      <c r="Q328" s="174"/>
      <c r="R328" s="174"/>
    </row>
    <row r="329" ht="14.25" customHeight="1">
      <c r="B329" s="145">
        <v>45556.0</v>
      </c>
      <c r="C329" s="141" t="str">
        <f t="shared" si="1"/>
        <v>9-2024</v>
      </c>
      <c r="D329" s="54">
        <f t="shared" si="36"/>
        <v>3501</v>
      </c>
      <c r="E329" s="138">
        <v>3511.0</v>
      </c>
      <c r="F329" s="54">
        <f t="shared" si="15"/>
        <v>10</v>
      </c>
      <c r="G329" s="54">
        <f t="shared" si="28"/>
        <v>0</v>
      </c>
      <c r="H329" s="175"/>
      <c r="I329" s="175"/>
      <c r="J329" s="54"/>
      <c r="K329" s="54"/>
      <c r="L329" s="54"/>
      <c r="M329" s="54"/>
      <c r="N329" s="54"/>
      <c r="O329" s="174"/>
      <c r="P329" s="174"/>
      <c r="Q329" s="174"/>
      <c r="R329" s="174"/>
    </row>
    <row r="330" ht="14.25" customHeight="1">
      <c r="B330" s="145">
        <v>45557.0</v>
      </c>
      <c r="C330" s="141" t="str">
        <f t="shared" si="1"/>
        <v>9-2024</v>
      </c>
      <c r="D330" s="54"/>
      <c r="E330" s="54"/>
      <c r="F330" s="54">
        <f t="shared" si="15"/>
        <v>0</v>
      </c>
      <c r="G330" s="54">
        <f t="shared" si="28"/>
        <v>-10</v>
      </c>
      <c r="H330" s="175"/>
      <c r="I330" s="175"/>
      <c r="J330" s="54"/>
      <c r="K330" s="54"/>
      <c r="L330" s="54"/>
      <c r="M330" s="54"/>
      <c r="N330" s="54"/>
      <c r="O330" s="174"/>
      <c r="P330" s="174"/>
      <c r="Q330" s="174"/>
      <c r="R330" s="174"/>
    </row>
    <row r="331" ht="14.25" customHeight="1">
      <c r="B331" s="140">
        <v>45558.0</v>
      </c>
      <c r="C331" s="141" t="str">
        <f t="shared" si="1"/>
        <v>9-2024</v>
      </c>
      <c r="D331" s="138">
        <v>3511.0</v>
      </c>
      <c r="E331" s="138">
        <v>3521.0</v>
      </c>
      <c r="F331" s="54">
        <f t="shared" si="15"/>
        <v>10</v>
      </c>
      <c r="G331" s="54">
        <f t="shared" si="28"/>
        <v>0</v>
      </c>
      <c r="H331" s="176">
        <v>248.0</v>
      </c>
      <c r="I331" s="175"/>
      <c r="J331" s="54"/>
      <c r="K331" s="54"/>
      <c r="L331" s="54"/>
      <c r="M331" s="54"/>
      <c r="N331" s="54"/>
      <c r="O331" s="174"/>
      <c r="P331" s="174"/>
      <c r="Q331" s="174"/>
      <c r="R331" s="174"/>
    </row>
    <row r="332" ht="14.25" customHeight="1">
      <c r="B332" s="140">
        <v>45559.0</v>
      </c>
      <c r="C332" s="141" t="str">
        <f t="shared" si="1"/>
        <v>9-2024</v>
      </c>
      <c r="D332" s="54">
        <f t="shared" ref="D332:D335" si="37">E331</f>
        <v>3521</v>
      </c>
      <c r="E332" s="138">
        <v>3531.0</v>
      </c>
      <c r="F332" s="54">
        <f t="shared" si="15"/>
        <v>10</v>
      </c>
      <c r="G332" s="54">
        <f t="shared" si="28"/>
        <v>0</v>
      </c>
      <c r="H332" s="175"/>
      <c r="I332" s="175"/>
      <c r="J332" s="54"/>
      <c r="K332" s="54"/>
      <c r="L332" s="54"/>
      <c r="M332" s="54"/>
      <c r="N332" s="54"/>
      <c r="O332" s="174"/>
      <c r="P332" s="174"/>
      <c r="Q332" s="174"/>
      <c r="R332" s="174"/>
    </row>
    <row r="333" ht="14.25" customHeight="1">
      <c r="B333" s="140">
        <v>45560.0</v>
      </c>
      <c r="C333" s="141" t="str">
        <f t="shared" si="1"/>
        <v>9-2024</v>
      </c>
      <c r="D333" s="54">
        <f t="shared" si="37"/>
        <v>3531</v>
      </c>
      <c r="E333" s="138">
        <v>3541.0</v>
      </c>
      <c r="F333" s="54">
        <f t="shared" si="15"/>
        <v>10</v>
      </c>
      <c r="G333" s="54">
        <f t="shared" si="28"/>
        <v>0</v>
      </c>
      <c r="H333" s="176">
        <v>200.0</v>
      </c>
      <c r="I333" s="175"/>
      <c r="J333" s="54"/>
      <c r="K333" s="54"/>
      <c r="L333" s="54"/>
      <c r="M333" s="54"/>
      <c r="N333" s="54"/>
      <c r="O333" s="174"/>
      <c r="P333" s="174"/>
      <c r="Q333" s="174"/>
      <c r="R333" s="174"/>
    </row>
    <row r="334" ht="14.25" customHeight="1">
      <c r="B334" s="140">
        <v>45561.0</v>
      </c>
      <c r="C334" s="141" t="str">
        <f t="shared" si="1"/>
        <v>9-2024</v>
      </c>
      <c r="D334" s="54">
        <f t="shared" si="37"/>
        <v>3541</v>
      </c>
      <c r="E334" s="138">
        <v>3551.0</v>
      </c>
      <c r="F334" s="54">
        <f t="shared" si="15"/>
        <v>10</v>
      </c>
      <c r="G334" s="54">
        <f t="shared" si="28"/>
        <v>0</v>
      </c>
      <c r="H334" s="175"/>
      <c r="I334" s="175"/>
      <c r="J334" s="54"/>
      <c r="K334" s="54"/>
      <c r="L334" s="54"/>
      <c r="M334" s="54"/>
      <c r="N334" s="54"/>
      <c r="O334" s="174"/>
      <c r="P334" s="174"/>
      <c r="Q334" s="174"/>
      <c r="R334" s="174"/>
    </row>
    <row r="335" ht="14.25" customHeight="1">
      <c r="B335" s="140">
        <v>45562.0</v>
      </c>
      <c r="C335" s="141" t="str">
        <f t="shared" si="1"/>
        <v>9-2024</v>
      </c>
      <c r="D335" s="54">
        <f t="shared" si="37"/>
        <v>3551</v>
      </c>
      <c r="E335" s="138">
        <v>3558.0</v>
      </c>
      <c r="F335" s="54">
        <f t="shared" si="15"/>
        <v>7</v>
      </c>
      <c r="G335" s="54">
        <f t="shared" si="28"/>
        <v>-3</v>
      </c>
      <c r="H335" s="176">
        <v>185.0</v>
      </c>
      <c r="I335" s="175"/>
      <c r="J335" s="54"/>
      <c r="K335" s="54"/>
      <c r="L335" s="54"/>
      <c r="M335" s="54"/>
      <c r="N335" s="54"/>
      <c r="O335" s="174"/>
      <c r="P335" s="174"/>
      <c r="Q335" s="174"/>
      <c r="R335" s="174"/>
    </row>
    <row r="336" ht="14.25" customHeight="1">
      <c r="B336" s="145">
        <v>45563.0</v>
      </c>
      <c r="C336" s="141" t="str">
        <f t="shared" si="1"/>
        <v>9-2024</v>
      </c>
      <c r="D336" s="54"/>
      <c r="E336" s="54"/>
      <c r="F336" s="54">
        <f t="shared" si="15"/>
        <v>0</v>
      </c>
      <c r="G336" s="54">
        <f t="shared" si="28"/>
        <v>-10</v>
      </c>
      <c r="H336" s="175"/>
      <c r="I336" s="175"/>
      <c r="J336" s="54"/>
      <c r="K336" s="54"/>
      <c r="L336" s="54"/>
      <c r="M336" s="54"/>
      <c r="N336" s="54"/>
      <c r="O336" s="174"/>
      <c r="P336" s="174"/>
      <c r="Q336" s="174"/>
      <c r="R336" s="174"/>
    </row>
    <row r="337" ht="14.25" customHeight="1">
      <c r="B337" s="145">
        <v>45564.0</v>
      </c>
      <c r="C337" s="141" t="str">
        <f t="shared" si="1"/>
        <v>9-2024</v>
      </c>
      <c r="D337" s="54" t="str">
        <f>E336</f>
        <v/>
      </c>
      <c r="E337" s="54"/>
      <c r="F337" s="54">
        <f t="shared" si="15"/>
        <v>0</v>
      </c>
      <c r="G337" s="54">
        <f t="shared" si="28"/>
        <v>-10</v>
      </c>
      <c r="H337" s="175"/>
      <c r="I337" s="175"/>
      <c r="J337" s="54"/>
      <c r="K337" s="54"/>
      <c r="L337" s="54"/>
      <c r="M337" s="54"/>
      <c r="N337" s="54"/>
      <c r="O337" s="174"/>
      <c r="P337" s="174"/>
      <c r="Q337" s="174"/>
      <c r="R337" s="174"/>
    </row>
    <row r="338" ht="14.25" customHeight="1">
      <c r="B338" s="140">
        <v>45565.0</v>
      </c>
      <c r="C338" s="141" t="str">
        <f t="shared" si="1"/>
        <v>9-2024</v>
      </c>
      <c r="D338" s="138">
        <v>3558.0</v>
      </c>
      <c r="E338" s="138">
        <v>3567.0</v>
      </c>
      <c r="F338" s="54">
        <f t="shared" si="15"/>
        <v>9</v>
      </c>
      <c r="G338" s="54">
        <f t="shared" si="28"/>
        <v>-1</v>
      </c>
      <c r="H338" s="175"/>
      <c r="I338" s="175"/>
      <c r="J338" s="54"/>
      <c r="K338" s="54"/>
      <c r="L338" s="54"/>
      <c r="M338" s="54"/>
      <c r="N338" s="54"/>
      <c r="O338" s="174"/>
      <c r="P338" s="174"/>
      <c r="Q338" s="174"/>
      <c r="R338" s="174"/>
    </row>
    <row r="339" ht="14.25" customHeight="1">
      <c r="B339" s="140">
        <v>45566.0</v>
      </c>
      <c r="C339" s="141" t="str">
        <f t="shared" si="1"/>
        <v>10-2024</v>
      </c>
      <c r="D339" s="138">
        <v>3568.0</v>
      </c>
      <c r="E339" s="138">
        <v>3575.0</v>
      </c>
      <c r="F339" s="54">
        <f t="shared" si="15"/>
        <v>7</v>
      </c>
      <c r="G339" s="54">
        <f t="shared" si="28"/>
        <v>-3</v>
      </c>
      <c r="H339" s="176">
        <v>120.0</v>
      </c>
      <c r="I339" s="175"/>
      <c r="J339" s="54"/>
      <c r="K339" s="54"/>
      <c r="L339" s="54"/>
      <c r="M339" s="54"/>
      <c r="N339" s="54"/>
      <c r="O339" s="174"/>
      <c r="P339" s="174"/>
      <c r="Q339" s="174"/>
      <c r="R339" s="174"/>
    </row>
    <row r="340" ht="14.25" customHeight="1">
      <c r="B340" s="140">
        <v>45567.0</v>
      </c>
      <c r="C340" s="141" t="str">
        <f t="shared" si="1"/>
        <v>10-2024</v>
      </c>
      <c r="D340" s="54">
        <f>E339</f>
        <v>3575</v>
      </c>
      <c r="E340" s="138">
        <v>3585.0</v>
      </c>
      <c r="F340" s="54">
        <f t="shared" si="15"/>
        <v>10</v>
      </c>
      <c r="G340" s="54">
        <f t="shared" si="28"/>
        <v>0</v>
      </c>
      <c r="H340" s="175"/>
      <c r="I340" s="175"/>
      <c r="J340" s="54"/>
      <c r="K340" s="54"/>
      <c r="L340" s="54"/>
      <c r="M340" s="54"/>
      <c r="N340" s="54"/>
      <c r="O340" s="174"/>
      <c r="P340" s="174"/>
      <c r="Q340" s="174"/>
      <c r="R340" s="174"/>
    </row>
    <row r="341" ht="14.25" customHeight="1">
      <c r="B341" s="140">
        <v>45568.0</v>
      </c>
      <c r="C341" s="141" t="str">
        <f t="shared" si="1"/>
        <v>10-2024</v>
      </c>
      <c r="D341" s="54"/>
      <c r="E341" s="54"/>
      <c r="F341" s="54">
        <f t="shared" si="15"/>
        <v>0</v>
      </c>
      <c r="G341" s="54">
        <f t="shared" si="28"/>
        <v>-10</v>
      </c>
      <c r="H341" s="175"/>
      <c r="I341" s="175"/>
      <c r="J341" s="54"/>
      <c r="K341" s="54"/>
      <c r="L341" s="54"/>
      <c r="M341" s="54"/>
      <c r="N341" s="54"/>
      <c r="O341" s="174"/>
      <c r="P341" s="174"/>
      <c r="Q341" s="174"/>
      <c r="R341" s="174"/>
    </row>
    <row r="342" ht="14.25" customHeight="1">
      <c r="B342" s="140">
        <v>45569.0</v>
      </c>
      <c r="C342" s="141" t="str">
        <f t="shared" si="1"/>
        <v>10-2024</v>
      </c>
      <c r="D342" s="54" t="str">
        <f t="shared" ref="D342:D353" si="38">E341</f>
        <v/>
      </c>
      <c r="E342" s="54"/>
      <c r="F342" s="54">
        <f t="shared" si="15"/>
        <v>0</v>
      </c>
      <c r="G342" s="54">
        <f t="shared" si="28"/>
        <v>-10</v>
      </c>
      <c r="H342" s="175"/>
      <c r="I342" s="175"/>
      <c r="J342" s="54"/>
      <c r="K342" s="54"/>
      <c r="L342" s="54"/>
      <c r="M342" s="54"/>
      <c r="N342" s="54"/>
      <c r="O342" s="174"/>
      <c r="P342" s="174"/>
      <c r="Q342" s="174"/>
      <c r="R342" s="174"/>
    </row>
    <row r="343" ht="14.25" customHeight="1">
      <c r="B343" s="145">
        <v>45570.0</v>
      </c>
      <c r="C343" s="141" t="str">
        <f t="shared" si="1"/>
        <v>10-2024</v>
      </c>
      <c r="D343" s="54" t="str">
        <f t="shared" si="38"/>
        <v/>
      </c>
      <c r="E343" s="54"/>
      <c r="F343" s="54">
        <f t="shared" si="15"/>
        <v>0</v>
      </c>
      <c r="G343" s="54">
        <f t="shared" si="28"/>
        <v>-10</v>
      </c>
      <c r="H343" s="175"/>
      <c r="I343" s="175"/>
      <c r="J343" s="54"/>
      <c r="K343" s="54"/>
      <c r="L343" s="54"/>
      <c r="M343" s="54"/>
      <c r="N343" s="54"/>
      <c r="O343" s="174"/>
      <c r="P343" s="174"/>
      <c r="Q343" s="174"/>
      <c r="R343" s="174"/>
    </row>
    <row r="344" ht="14.25" customHeight="1">
      <c r="B344" s="145">
        <v>45571.0</v>
      </c>
      <c r="C344" s="141" t="str">
        <f t="shared" si="1"/>
        <v>10-2024</v>
      </c>
      <c r="D344" s="54" t="str">
        <f t="shared" si="38"/>
        <v/>
      </c>
      <c r="E344" s="54"/>
      <c r="F344" s="54">
        <f t="shared" si="15"/>
        <v>0</v>
      </c>
      <c r="G344" s="54">
        <f t="shared" si="28"/>
        <v>-10</v>
      </c>
      <c r="H344" s="175"/>
      <c r="I344" s="175"/>
      <c r="J344" s="54"/>
      <c r="K344" s="54"/>
      <c r="L344" s="54"/>
      <c r="M344" s="54"/>
      <c r="N344" s="54"/>
      <c r="O344" s="174"/>
      <c r="P344" s="174"/>
      <c r="Q344" s="174"/>
      <c r="R344" s="174"/>
    </row>
    <row r="345" ht="14.25" customHeight="1">
      <c r="B345" s="140">
        <v>45572.0</v>
      </c>
      <c r="C345" s="141" t="str">
        <f t="shared" si="1"/>
        <v>10-2024</v>
      </c>
      <c r="D345" s="54" t="str">
        <f t="shared" si="38"/>
        <v/>
      </c>
      <c r="E345" s="54"/>
      <c r="F345" s="54">
        <f t="shared" si="15"/>
        <v>0</v>
      </c>
      <c r="G345" s="54">
        <f t="shared" si="28"/>
        <v>-10</v>
      </c>
      <c r="H345" s="175"/>
      <c r="I345" s="175"/>
      <c r="J345" s="54"/>
      <c r="K345" s="54"/>
      <c r="L345" s="54"/>
      <c r="M345" s="54"/>
      <c r="N345" s="54"/>
      <c r="O345" s="174"/>
      <c r="P345" s="174"/>
      <c r="Q345" s="174"/>
      <c r="R345" s="174"/>
    </row>
    <row r="346" ht="14.25" customHeight="1">
      <c r="B346" s="140">
        <v>45573.0</v>
      </c>
      <c r="C346" s="141" t="str">
        <f t="shared" si="1"/>
        <v>10-2024</v>
      </c>
      <c r="D346" s="54" t="str">
        <f t="shared" si="38"/>
        <v/>
      </c>
      <c r="E346" s="54"/>
      <c r="F346" s="54">
        <f t="shared" si="15"/>
        <v>0</v>
      </c>
      <c r="G346" s="54">
        <f t="shared" si="28"/>
        <v>-10</v>
      </c>
      <c r="H346" s="175"/>
      <c r="I346" s="175"/>
      <c r="J346" s="54"/>
      <c r="K346" s="54"/>
      <c r="L346" s="54"/>
      <c r="M346" s="54"/>
      <c r="N346" s="54"/>
      <c r="O346" s="174"/>
      <c r="P346" s="174"/>
      <c r="Q346" s="174"/>
      <c r="R346" s="174"/>
    </row>
    <row r="347" ht="14.25" customHeight="1">
      <c r="B347" s="140">
        <v>45574.0</v>
      </c>
      <c r="C347" s="141" t="str">
        <f t="shared" si="1"/>
        <v>10-2024</v>
      </c>
      <c r="D347" s="54" t="str">
        <f t="shared" si="38"/>
        <v/>
      </c>
      <c r="E347" s="54"/>
      <c r="F347" s="54">
        <f t="shared" si="15"/>
        <v>0</v>
      </c>
      <c r="G347" s="54">
        <f t="shared" si="28"/>
        <v>-10</v>
      </c>
      <c r="H347" s="175"/>
      <c r="I347" s="175"/>
      <c r="J347" s="54"/>
      <c r="K347" s="54"/>
      <c r="L347" s="54"/>
      <c r="M347" s="54"/>
      <c r="N347" s="54"/>
      <c r="O347" s="174"/>
      <c r="P347" s="174"/>
      <c r="Q347" s="174"/>
      <c r="R347" s="174"/>
    </row>
    <row r="348" ht="14.25" customHeight="1">
      <c r="B348" s="140">
        <v>45575.0</v>
      </c>
      <c r="C348" s="141" t="str">
        <f t="shared" si="1"/>
        <v>10-2024</v>
      </c>
      <c r="D348" s="54" t="str">
        <f t="shared" si="38"/>
        <v/>
      </c>
      <c r="E348" s="54"/>
      <c r="F348" s="54">
        <f t="shared" si="15"/>
        <v>0</v>
      </c>
      <c r="G348" s="54">
        <f t="shared" si="28"/>
        <v>-10</v>
      </c>
      <c r="H348" s="175"/>
      <c r="I348" s="175"/>
      <c r="J348" s="54"/>
      <c r="K348" s="54"/>
      <c r="L348" s="54"/>
      <c r="M348" s="54"/>
      <c r="N348" s="54"/>
      <c r="O348" s="174"/>
      <c r="P348" s="174"/>
      <c r="Q348" s="174"/>
      <c r="R348" s="174"/>
    </row>
    <row r="349" ht="14.25" customHeight="1">
      <c r="B349" s="140">
        <v>45576.0</v>
      </c>
      <c r="C349" s="141" t="str">
        <f t="shared" si="1"/>
        <v>10-2024</v>
      </c>
      <c r="D349" s="54" t="str">
        <f t="shared" si="38"/>
        <v/>
      </c>
      <c r="E349" s="54"/>
      <c r="F349" s="54">
        <f t="shared" si="15"/>
        <v>0</v>
      </c>
      <c r="G349" s="54">
        <f t="shared" si="28"/>
        <v>-10</v>
      </c>
      <c r="H349" s="175"/>
      <c r="I349" s="175"/>
      <c r="J349" s="54"/>
      <c r="K349" s="54"/>
      <c r="L349" s="54"/>
      <c r="M349" s="54"/>
      <c r="N349" s="54"/>
      <c r="O349" s="174"/>
      <c r="P349" s="174"/>
      <c r="Q349" s="174"/>
      <c r="R349" s="174"/>
    </row>
    <row r="350" ht="14.25" customHeight="1">
      <c r="B350" s="145">
        <v>45577.0</v>
      </c>
      <c r="C350" s="141" t="str">
        <f t="shared" si="1"/>
        <v>10-2024</v>
      </c>
      <c r="D350" s="54" t="str">
        <f t="shared" si="38"/>
        <v/>
      </c>
      <c r="E350" s="54"/>
      <c r="F350" s="54">
        <f t="shared" si="15"/>
        <v>0</v>
      </c>
      <c r="G350" s="54">
        <f t="shared" si="28"/>
        <v>-10</v>
      </c>
      <c r="H350" s="175"/>
      <c r="I350" s="175"/>
      <c r="J350" s="54"/>
      <c r="K350" s="54"/>
      <c r="L350" s="54"/>
      <c r="M350" s="54"/>
      <c r="N350" s="54"/>
      <c r="O350" s="174"/>
      <c r="P350" s="174"/>
      <c r="Q350" s="174"/>
      <c r="R350" s="174"/>
    </row>
    <row r="351" ht="14.25" customHeight="1">
      <c r="B351" s="145">
        <v>45578.0</v>
      </c>
      <c r="C351" s="141" t="str">
        <f t="shared" si="1"/>
        <v>10-2024</v>
      </c>
      <c r="D351" s="54" t="str">
        <f t="shared" si="38"/>
        <v/>
      </c>
      <c r="E351" s="54"/>
      <c r="F351" s="54">
        <f t="shared" si="15"/>
        <v>0</v>
      </c>
      <c r="G351" s="54">
        <f t="shared" si="28"/>
        <v>-10</v>
      </c>
      <c r="H351" s="54"/>
      <c r="I351" s="54"/>
      <c r="J351" s="54"/>
      <c r="K351" s="54"/>
      <c r="L351" s="54"/>
      <c r="M351" s="54"/>
      <c r="N351" s="54"/>
      <c r="O351" s="174"/>
      <c r="P351" s="174"/>
      <c r="Q351" s="174"/>
      <c r="R351" s="174"/>
    </row>
    <row r="352" ht="14.25" customHeight="1">
      <c r="B352" s="140">
        <v>45579.0</v>
      </c>
      <c r="C352" s="141" t="str">
        <f t="shared" si="1"/>
        <v>10-2024</v>
      </c>
      <c r="D352" s="54" t="str">
        <f t="shared" si="38"/>
        <v/>
      </c>
      <c r="E352" s="54"/>
      <c r="F352" s="54">
        <f t="shared" si="15"/>
        <v>0</v>
      </c>
      <c r="G352" s="54">
        <f t="shared" si="28"/>
        <v>-10</v>
      </c>
      <c r="H352" s="54"/>
      <c r="I352" s="54"/>
      <c r="J352" s="54"/>
      <c r="K352" s="54"/>
      <c r="L352" s="54"/>
      <c r="M352" s="54"/>
      <c r="N352" s="54"/>
      <c r="O352" s="174"/>
      <c r="P352" s="174"/>
      <c r="Q352" s="174"/>
      <c r="R352" s="174"/>
    </row>
    <row r="353" ht="14.25" customHeight="1">
      <c r="B353" s="140">
        <v>45580.0</v>
      </c>
      <c r="C353" s="141" t="str">
        <f t="shared" si="1"/>
        <v>10-2024</v>
      </c>
      <c r="D353" s="54" t="str">
        <f t="shared" si="38"/>
        <v/>
      </c>
      <c r="E353" s="54"/>
      <c r="F353" s="54">
        <f t="shared" si="15"/>
        <v>0</v>
      </c>
      <c r="G353" s="54">
        <f t="shared" si="28"/>
        <v>-10</v>
      </c>
      <c r="H353" s="54"/>
      <c r="I353" s="54"/>
      <c r="J353" s="54"/>
      <c r="K353" s="54"/>
      <c r="L353" s="54"/>
      <c r="M353" s="54"/>
      <c r="N353" s="54"/>
      <c r="O353" s="174"/>
      <c r="P353" s="174"/>
      <c r="Q353" s="174"/>
      <c r="R353" s="174"/>
    </row>
    <row r="354" ht="14.25" customHeight="1">
      <c r="B354" s="140">
        <v>45581.0</v>
      </c>
      <c r="C354" s="141" t="str">
        <f t="shared" si="1"/>
        <v>10-2024</v>
      </c>
      <c r="D354" s="138">
        <v>3591.0</v>
      </c>
      <c r="E354" s="138">
        <v>3601.5</v>
      </c>
      <c r="F354" s="54">
        <f t="shared" si="15"/>
        <v>10.5</v>
      </c>
      <c r="G354" s="54">
        <f t="shared" si="28"/>
        <v>0.5</v>
      </c>
      <c r="H354" s="138">
        <v>220.0</v>
      </c>
      <c r="I354" s="54"/>
      <c r="J354" s="54"/>
      <c r="K354" s="54"/>
      <c r="L354" s="54"/>
      <c r="M354" s="54"/>
      <c r="N354" s="54"/>
      <c r="O354" s="174"/>
      <c r="P354" s="174"/>
      <c r="Q354" s="174"/>
      <c r="R354" s="174"/>
    </row>
    <row r="355" ht="14.25" customHeight="1">
      <c r="B355" s="140">
        <v>45582.0</v>
      </c>
      <c r="C355" s="141" t="str">
        <f t="shared" si="1"/>
        <v>10-2024</v>
      </c>
      <c r="D355" s="54">
        <f t="shared" ref="D355:D357" si="39">E354</f>
        <v>3601.5</v>
      </c>
      <c r="E355" s="138">
        <v>3609.0</v>
      </c>
      <c r="F355" s="54">
        <f t="shared" si="15"/>
        <v>7.5</v>
      </c>
      <c r="G355" s="54">
        <f t="shared" si="28"/>
        <v>-2.5</v>
      </c>
      <c r="H355" s="138">
        <v>230.0</v>
      </c>
      <c r="I355" s="54"/>
      <c r="J355" s="54"/>
      <c r="K355" s="54"/>
      <c r="L355" s="54"/>
      <c r="M355" s="54"/>
      <c r="N355" s="54"/>
      <c r="O355" s="174"/>
      <c r="P355" s="174"/>
      <c r="Q355" s="174"/>
      <c r="R355" s="174"/>
    </row>
    <row r="356" ht="14.25" customHeight="1">
      <c r="B356" s="140">
        <v>45583.0</v>
      </c>
      <c r="C356" s="141" t="str">
        <f t="shared" si="1"/>
        <v>10-2024</v>
      </c>
      <c r="D356" s="54">
        <f t="shared" si="39"/>
        <v>3609</v>
      </c>
      <c r="E356" s="138">
        <v>3612.0</v>
      </c>
      <c r="F356" s="54">
        <f t="shared" si="15"/>
        <v>3</v>
      </c>
      <c r="G356" s="54">
        <f t="shared" si="28"/>
        <v>-7</v>
      </c>
      <c r="H356" s="138">
        <v>235.0</v>
      </c>
      <c r="I356" s="54"/>
      <c r="J356" s="54"/>
      <c r="K356" s="54"/>
      <c r="L356" s="54"/>
      <c r="M356" s="54"/>
      <c r="N356" s="54"/>
      <c r="O356" s="174"/>
      <c r="P356" s="174"/>
      <c r="Q356" s="174"/>
      <c r="R356" s="174"/>
    </row>
    <row r="357" ht="14.25" customHeight="1">
      <c r="B357" s="140">
        <v>45584.0</v>
      </c>
      <c r="C357" s="141" t="str">
        <f t="shared" si="1"/>
        <v>10-2024</v>
      </c>
      <c r="D357" s="54">
        <f t="shared" si="39"/>
        <v>3612</v>
      </c>
      <c r="E357" s="138">
        <v>3623.0</v>
      </c>
      <c r="F357" s="54">
        <f t="shared" si="15"/>
        <v>11</v>
      </c>
      <c r="G357" s="54">
        <f t="shared" si="28"/>
        <v>1</v>
      </c>
      <c r="H357" s="54"/>
      <c r="I357" s="54"/>
      <c r="J357" s="54"/>
      <c r="K357" s="54"/>
      <c r="L357" s="54"/>
      <c r="M357" s="54"/>
      <c r="N357" s="54"/>
      <c r="O357" s="174"/>
      <c r="P357" s="174"/>
      <c r="Q357" s="174"/>
      <c r="R357" s="174"/>
    </row>
    <row r="358" ht="14.25" customHeight="1">
      <c r="B358" s="140">
        <v>45585.0</v>
      </c>
      <c r="C358" s="141" t="str">
        <f t="shared" si="1"/>
        <v>10-2024</v>
      </c>
      <c r="D358" s="54"/>
      <c r="E358" s="54"/>
      <c r="F358" s="54">
        <f t="shared" si="15"/>
        <v>0</v>
      </c>
      <c r="G358" s="54">
        <f t="shared" si="28"/>
        <v>-10</v>
      </c>
      <c r="H358" s="54"/>
      <c r="I358" s="54"/>
      <c r="J358" s="54"/>
      <c r="K358" s="54"/>
      <c r="L358" s="54"/>
      <c r="M358" s="54"/>
      <c r="N358" s="54"/>
      <c r="O358" s="174"/>
      <c r="P358" s="174"/>
      <c r="Q358" s="174"/>
      <c r="R358" s="174"/>
    </row>
    <row r="359" ht="14.25" customHeight="1">
      <c r="B359" s="140">
        <v>45586.0</v>
      </c>
      <c r="C359" s="141" t="str">
        <f t="shared" si="1"/>
        <v>10-2024</v>
      </c>
      <c r="D359" s="138">
        <v>3623.0</v>
      </c>
      <c r="E359" s="138">
        <v>3627.1</v>
      </c>
      <c r="F359" s="54">
        <f t="shared" si="15"/>
        <v>4.1</v>
      </c>
      <c r="G359" s="54">
        <f t="shared" si="28"/>
        <v>-5.9</v>
      </c>
      <c r="H359" s="138">
        <v>230.0</v>
      </c>
      <c r="I359" s="54"/>
      <c r="J359" s="54"/>
      <c r="K359" s="54"/>
      <c r="L359" s="54"/>
      <c r="M359" s="54"/>
      <c r="N359" s="54"/>
      <c r="O359" s="174"/>
      <c r="P359" s="174"/>
      <c r="Q359" s="174"/>
      <c r="R359" s="174"/>
    </row>
    <row r="360" ht="14.25" customHeight="1">
      <c r="B360" s="140">
        <v>45587.0</v>
      </c>
      <c r="C360" s="141" t="str">
        <f t="shared" si="1"/>
        <v>10-2024</v>
      </c>
      <c r="D360" s="54">
        <f t="shared" ref="D360:D363" si="40">E359</f>
        <v>3627.1</v>
      </c>
      <c r="E360" s="138">
        <v>3632.6</v>
      </c>
      <c r="F360" s="54">
        <f t="shared" si="15"/>
        <v>5.5</v>
      </c>
      <c r="G360" s="54">
        <f t="shared" si="28"/>
        <v>-4.5</v>
      </c>
      <c r="H360" s="54"/>
      <c r="I360" s="54"/>
      <c r="J360" s="54"/>
      <c r="K360" s="54"/>
      <c r="L360" s="54"/>
      <c r="M360" s="54"/>
      <c r="N360" s="54"/>
      <c r="O360" s="174"/>
      <c r="P360" s="174"/>
      <c r="Q360" s="174"/>
      <c r="R360" s="174"/>
    </row>
    <row r="361" ht="14.25" customHeight="1">
      <c r="B361" s="140">
        <v>45588.0</v>
      </c>
      <c r="C361" s="141" t="str">
        <f t="shared" si="1"/>
        <v>10-2024</v>
      </c>
      <c r="D361" s="54">
        <f t="shared" si="40"/>
        <v>3632.6</v>
      </c>
      <c r="E361" s="138">
        <v>3642.6</v>
      </c>
      <c r="F361" s="54">
        <f t="shared" si="15"/>
        <v>10</v>
      </c>
      <c r="G361" s="54">
        <f t="shared" si="28"/>
        <v>0</v>
      </c>
      <c r="H361" s="138">
        <v>201.0</v>
      </c>
      <c r="I361" s="54"/>
      <c r="J361" s="54"/>
      <c r="K361" s="54"/>
      <c r="L361" s="54"/>
      <c r="M361" s="54"/>
      <c r="N361" s="54"/>
      <c r="O361" s="174"/>
      <c r="P361" s="174"/>
      <c r="Q361" s="174"/>
      <c r="R361" s="174"/>
    </row>
    <row r="362" ht="14.25" customHeight="1">
      <c r="B362" s="140">
        <v>45589.0</v>
      </c>
      <c r="C362" s="141" t="str">
        <f t="shared" si="1"/>
        <v>10-2024</v>
      </c>
      <c r="D362" s="54">
        <f t="shared" si="40"/>
        <v>3642.6</v>
      </c>
      <c r="E362" s="138">
        <v>3650.6</v>
      </c>
      <c r="F362" s="54">
        <f t="shared" si="15"/>
        <v>8</v>
      </c>
      <c r="G362" s="54">
        <f t="shared" si="28"/>
        <v>-2</v>
      </c>
      <c r="H362" s="138">
        <v>230.0</v>
      </c>
      <c r="I362" s="54"/>
      <c r="J362" s="54"/>
      <c r="K362" s="54"/>
      <c r="L362" s="54"/>
      <c r="M362" s="54"/>
      <c r="N362" s="54"/>
      <c r="O362" s="174"/>
      <c r="P362" s="174"/>
      <c r="Q362" s="174"/>
      <c r="R362" s="174"/>
    </row>
    <row r="363" ht="14.25" customHeight="1">
      <c r="B363" s="140">
        <v>45590.0</v>
      </c>
      <c r="C363" s="141" t="str">
        <f t="shared" si="1"/>
        <v>10-2024</v>
      </c>
      <c r="D363" s="54">
        <f t="shared" si="40"/>
        <v>3650.6</v>
      </c>
      <c r="E363" s="138">
        <v>3659.4</v>
      </c>
      <c r="F363" s="54">
        <f t="shared" si="15"/>
        <v>8.8</v>
      </c>
      <c r="G363" s="54">
        <f t="shared" si="28"/>
        <v>-1.2</v>
      </c>
      <c r="H363" s="54"/>
      <c r="I363" s="54"/>
      <c r="J363" s="54"/>
      <c r="K363" s="54"/>
      <c r="L363" s="54"/>
      <c r="M363" s="54"/>
      <c r="N363" s="54"/>
      <c r="O363" s="174"/>
      <c r="P363" s="174"/>
      <c r="Q363" s="174"/>
      <c r="R363" s="174"/>
    </row>
    <row r="364" ht="14.25" customHeight="1">
      <c r="B364" s="140">
        <v>45591.0</v>
      </c>
      <c r="C364" s="141" t="str">
        <f t="shared" si="1"/>
        <v>10-2024</v>
      </c>
      <c r="D364" s="54"/>
      <c r="E364" s="54"/>
      <c r="F364" s="54">
        <f t="shared" si="15"/>
        <v>0</v>
      </c>
      <c r="G364" s="54">
        <f t="shared" si="28"/>
        <v>-10</v>
      </c>
      <c r="H364" s="54"/>
      <c r="I364" s="54"/>
      <c r="J364" s="54"/>
      <c r="K364" s="54"/>
      <c r="L364" s="54"/>
      <c r="M364" s="54"/>
      <c r="N364" s="54"/>
      <c r="O364" s="174"/>
      <c r="P364" s="174"/>
      <c r="Q364" s="174"/>
      <c r="R364" s="174"/>
    </row>
    <row r="365" ht="14.25" customHeight="1">
      <c r="B365" s="140">
        <v>45592.0</v>
      </c>
      <c r="C365" s="141" t="str">
        <f t="shared" si="1"/>
        <v>10-2024</v>
      </c>
      <c r="D365" s="54" t="str">
        <f>E364</f>
        <v/>
      </c>
      <c r="E365" s="54"/>
      <c r="F365" s="54">
        <f t="shared" si="15"/>
        <v>0</v>
      </c>
      <c r="G365" s="54">
        <f t="shared" si="28"/>
        <v>-10</v>
      </c>
      <c r="H365" s="54"/>
      <c r="I365" s="54"/>
      <c r="J365" s="54"/>
      <c r="K365" s="54"/>
      <c r="L365" s="54"/>
      <c r="M365" s="54"/>
      <c r="N365" s="54"/>
      <c r="O365" s="174"/>
      <c r="P365" s="174"/>
      <c r="Q365" s="174"/>
      <c r="R365" s="174"/>
    </row>
    <row r="366" ht="14.25" customHeight="1">
      <c r="B366" s="140">
        <v>45593.0</v>
      </c>
      <c r="C366" s="141" t="str">
        <f t="shared" si="1"/>
        <v>10-2024</v>
      </c>
      <c r="D366" s="138">
        <v>3659.4</v>
      </c>
      <c r="E366" s="138">
        <v>3668.8</v>
      </c>
      <c r="F366" s="54">
        <f t="shared" si="15"/>
        <v>9.4</v>
      </c>
      <c r="G366" s="54">
        <f t="shared" si="28"/>
        <v>-0.6</v>
      </c>
      <c r="H366" s="138">
        <v>110.0</v>
      </c>
      <c r="I366" s="54"/>
      <c r="J366" s="54"/>
      <c r="K366" s="54"/>
      <c r="L366" s="54"/>
      <c r="M366" s="54"/>
      <c r="N366" s="54"/>
      <c r="O366" s="174"/>
      <c r="P366" s="174"/>
      <c r="Q366" s="174"/>
      <c r="R366" s="174"/>
    </row>
    <row r="367" ht="14.25" customHeight="1">
      <c r="B367" s="140">
        <v>45594.0</v>
      </c>
      <c r="C367" s="141" t="str">
        <f t="shared" si="1"/>
        <v>10-2024</v>
      </c>
      <c r="D367" s="54">
        <f t="shared" ref="D367:D369" si="41">E366</f>
        <v>3668.8</v>
      </c>
      <c r="E367" s="138">
        <v>3676.6</v>
      </c>
      <c r="F367" s="54">
        <f t="shared" si="15"/>
        <v>7.8</v>
      </c>
      <c r="G367" s="54">
        <f t="shared" si="28"/>
        <v>-2.2</v>
      </c>
      <c r="H367" s="54"/>
      <c r="I367" s="54"/>
      <c r="J367" s="54"/>
      <c r="K367" s="54"/>
      <c r="L367" s="54"/>
      <c r="M367" s="54"/>
      <c r="N367" s="54"/>
      <c r="O367" s="174"/>
      <c r="P367" s="174"/>
      <c r="Q367" s="174"/>
      <c r="R367" s="174"/>
    </row>
    <row r="368" ht="14.25" customHeight="1">
      <c r="B368" s="140">
        <v>45595.0</v>
      </c>
      <c r="C368" s="141" t="str">
        <f t="shared" si="1"/>
        <v>10-2024</v>
      </c>
      <c r="D368" s="54">
        <f t="shared" si="41"/>
        <v>3676.6</v>
      </c>
      <c r="E368" s="138">
        <v>3683.0</v>
      </c>
      <c r="F368" s="54">
        <f t="shared" si="15"/>
        <v>6.4</v>
      </c>
      <c r="G368" s="54">
        <f t="shared" si="28"/>
        <v>-3.6</v>
      </c>
      <c r="H368" s="138">
        <v>230.0</v>
      </c>
      <c r="I368" s="54"/>
      <c r="J368" s="54"/>
      <c r="K368" s="54"/>
      <c r="L368" s="54"/>
      <c r="M368" s="54"/>
      <c r="N368" s="54"/>
      <c r="O368" s="174"/>
      <c r="P368" s="174"/>
      <c r="Q368" s="174"/>
      <c r="R368" s="174"/>
    </row>
    <row r="369" ht="14.25" customHeight="1">
      <c r="B369" s="140">
        <v>45596.0</v>
      </c>
      <c r="C369" s="141" t="str">
        <f t="shared" si="1"/>
        <v>10-2024</v>
      </c>
      <c r="D369" s="54">
        <f t="shared" si="41"/>
        <v>3683</v>
      </c>
      <c r="E369" s="138">
        <v>3692.0</v>
      </c>
      <c r="F369" s="54">
        <f t="shared" si="15"/>
        <v>9</v>
      </c>
      <c r="G369" s="54">
        <f t="shared" si="28"/>
        <v>-1</v>
      </c>
      <c r="H369" s="138">
        <v>200.0</v>
      </c>
      <c r="I369" s="54"/>
      <c r="J369" s="54"/>
      <c r="K369" s="54"/>
      <c r="L369" s="54"/>
      <c r="M369" s="54"/>
      <c r="N369" s="54"/>
      <c r="O369" s="174"/>
      <c r="P369" s="174"/>
      <c r="Q369" s="174"/>
      <c r="R369" s="174"/>
    </row>
    <row r="370" ht="14.25" customHeight="1">
      <c r="B370" s="140">
        <v>45597.0</v>
      </c>
      <c r="C370" s="141" t="str">
        <f t="shared" si="1"/>
        <v>11-2024</v>
      </c>
      <c r="D370" s="138">
        <v>3692.0</v>
      </c>
      <c r="E370" s="138">
        <v>3700.2</v>
      </c>
      <c r="F370" s="54">
        <f t="shared" si="15"/>
        <v>8.2</v>
      </c>
      <c r="G370" s="54">
        <f t="shared" si="28"/>
        <v>-1.8</v>
      </c>
      <c r="H370" s="138">
        <v>400.0</v>
      </c>
      <c r="I370" s="54"/>
      <c r="J370" s="54"/>
      <c r="K370" s="54"/>
      <c r="L370" s="54"/>
      <c r="M370" s="54"/>
      <c r="N370" s="54"/>
      <c r="O370" s="174"/>
      <c r="P370" s="174"/>
      <c r="Q370" s="174"/>
      <c r="R370" s="174"/>
    </row>
    <row r="371" ht="14.25" customHeight="1">
      <c r="B371" s="145">
        <v>45598.0</v>
      </c>
      <c r="C371" s="148" t="str">
        <f t="shared" si="1"/>
        <v>11-2024</v>
      </c>
      <c r="D371" s="54">
        <f>E370</f>
        <v>3700.2</v>
      </c>
      <c r="E371" s="138">
        <v>3704.0</v>
      </c>
      <c r="F371" s="54">
        <f t="shared" si="15"/>
        <v>3.8</v>
      </c>
      <c r="G371" s="54">
        <f t="shared" si="28"/>
        <v>-6.2</v>
      </c>
      <c r="H371" s="54"/>
      <c r="I371" s="54"/>
      <c r="J371" s="54"/>
      <c r="K371" s="54"/>
      <c r="L371" s="54"/>
      <c r="M371" s="54"/>
      <c r="N371" s="54"/>
      <c r="O371" s="174"/>
      <c r="P371" s="174"/>
      <c r="Q371" s="174"/>
      <c r="R371" s="174"/>
    </row>
    <row r="372" ht="14.25" customHeight="1">
      <c r="B372" s="145">
        <v>45599.0</v>
      </c>
      <c r="C372" s="141" t="str">
        <f t="shared" si="1"/>
        <v>11-2024</v>
      </c>
      <c r="D372" s="54"/>
      <c r="E372" s="54"/>
      <c r="F372" s="54">
        <f t="shared" si="15"/>
        <v>0</v>
      </c>
      <c r="G372" s="54">
        <f t="shared" si="28"/>
        <v>-10</v>
      </c>
      <c r="H372" s="54"/>
      <c r="I372" s="54"/>
      <c r="J372" s="54"/>
      <c r="K372" s="54"/>
      <c r="L372" s="54"/>
      <c r="M372" s="54"/>
      <c r="N372" s="54"/>
      <c r="O372" s="174"/>
      <c r="P372" s="174"/>
      <c r="Q372" s="174"/>
      <c r="R372" s="174"/>
    </row>
    <row r="373" ht="14.25" customHeight="1">
      <c r="B373" s="140">
        <v>45600.0</v>
      </c>
      <c r="C373" s="141" t="str">
        <f t="shared" si="1"/>
        <v>11-2024</v>
      </c>
      <c r="D373" s="138">
        <v>3704.0</v>
      </c>
      <c r="E373" s="138">
        <v>3708.0</v>
      </c>
      <c r="F373" s="54">
        <f t="shared" si="15"/>
        <v>4</v>
      </c>
      <c r="G373" s="54">
        <f t="shared" si="28"/>
        <v>-6</v>
      </c>
      <c r="H373" s="54"/>
      <c r="I373" s="54"/>
      <c r="J373" s="54"/>
      <c r="K373" s="54"/>
      <c r="L373" s="54"/>
      <c r="M373" s="54"/>
      <c r="N373" s="54"/>
      <c r="O373" s="174"/>
      <c r="P373" s="174"/>
      <c r="Q373" s="174"/>
      <c r="R373" s="174"/>
    </row>
    <row r="374" ht="14.25" customHeight="1">
      <c r="B374" s="142">
        <v>45601.0</v>
      </c>
      <c r="C374" s="143" t="str">
        <f t="shared" si="1"/>
        <v>11-2024</v>
      </c>
      <c r="D374" s="144">
        <v>3708.0</v>
      </c>
      <c r="E374" s="144">
        <v>3713.4</v>
      </c>
      <c r="F374" s="92">
        <f t="shared" si="15"/>
        <v>5.4</v>
      </c>
      <c r="G374" s="92">
        <f t="shared" si="28"/>
        <v>-4.6</v>
      </c>
      <c r="H374" s="92"/>
      <c r="I374" s="144" t="s">
        <v>55</v>
      </c>
      <c r="J374" s="54"/>
      <c r="K374" s="54"/>
      <c r="L374" s="54"/>
      <c r="M374" s="54"/>
      <c r="N374" s="54"/>
      <c r="O374" s="174"/>
      <c r="P374" s="174"/>
      <c r="Q374" s="174"/>
      <c r="R374" s="174"/>
    </row>
    <row r="375" ht="14.25" customHeight="1">
      <c r="B375" s="140">
        <v>45602.0</v>
      </c>
      <c r="C375" s="141" t="str">
        <f t="shared" si="1"/>
        <v>11-2024</v>
      </c>
      <c r="D375" s="138">
        <f t="shared" ref="D375:D378" si="42">E374</f>
        <v>3713.4</v>
      </c>
      <c r="E375" s="138">
        <v>3722.0</v>
      </c>
      <c r="F375" s="54">
        <f t="shared" si="15"/>
        <v>8.6</v>
      </c>
      <c r="G375" s="54">
        <f t="shared" si="28"/>
        <v>-1.4</v>
      </c>
      <c r="H375" s="138"/>
      <c r="I375" s="138" t="s">
        <v>55</v>
      </c>
      <c r="J375" s="54"/>
      <c r="K375" s="140">
        <v>45602.0</v>
      </c>
      <c r="L375" s="141" t="str">
        <f t="shared" ref="L375:L399" si="43">MONTH(K375)&amp; "-" &amp;YEAR(K375)</f>
        <v>11-2024</v>
      </c>
      <c r="M375" s="138">
        <v>1948.3</v>
      </c>
      <c r="N375" s="138">
        <v>1953.0</v>
      </c>
      <c r="O375" s="54">
        <f t="shared" ref="O375:O399" si="44">N375-M375</f>
        <v>4.7</v>
      </c>
      <c r="P375" s="54">
        <f t="shared" ref="P375:P380" si="45">O375-10</f>
        <v>-5.3</v>
      </c>
      <c r="Q375" s="138">
        <v>232.0</v>
      </c>
      <c r="R375" s="138" t="s">
        <v>148</v>
      </c>
    </row>
    <row r="376" ht="14.25" customHeight="1">
      <c r="B376" s="140">
        <v>45603.0</v>
      </c>
      <c r="C376" s="141" t="str">
        <f t="shared" si="1"/>
        <v>11-2024</v>
      </c>
      <c r="D376" s="54">
        <f t="shared" si="42"/>
        <v>3722</v>
      </c>
      <c r="E376" s="138">
        <v>3723.1</v>
      </c>
      <c r="F376" s="54">
        <f t="shared" si="15"/>
        <v>1.1</v>
      </c>
      <c r="G376" s="54">
        <f t="shared" si="28"/>
        <v>-8.9</v>
      </c>
      <c r="H376" s="54"/>
      <c r="I376" s="54"/>
      <c r="J376" s="54"/>
      <c r="K376" s="140">
        <v>45603.0</v>
      </c>
      <c r="L376" s="141" t="str">
        <f t="shared" si="43"/>
        <v>11-2024</v>
      </c>
      <c r="M376" s="54">
        <f t="shared" ref="M376:M377" si="46">N375</f>
        <v>1953</v>
      </c>
      <c r="N376" s="138">
        <v>1958.7</v>
      </c>
      <c r="O376" s="54">
        <f t="shared" si="44"/>
        <v>5.7</v>
      </c>
      <c r="P376" s="54">
        <f t="shared" si="45"/>
        <v>-4.3</v>
      </c>
      <c r="Q376" s="54"/>
      <c r="R376" s="54"/>
    </row>
    <row r="377" ht="14.25" customHeight="1">
      <c r="B377" s="140">
        <v>45604.0</v>
      </c>
      <c r="C377" s="141" t="str">
        <f t="shared" si="1"/>
        <v>11-2024</v>
      </c>
      <c r="D377" s="54">
        <f t="shared" si="42"/>
        <v>3723.1</v>
      </c>
      <c r="E377" s="138">
        <v>3732.3</v>
      </c>
      <c r="F377" s="54">
        <f t="shared" si="15"/>
        <v>9.2</v>
      </c>
      <c r="G377" s="54">
        <f t="shared" si="28"/>
        <v>-0.8</v>
      </c>
      <c r="H377" s="54"/>
      <c r="I377" s="54"/>
      <c r="J377" s="54"/>
      <c r="K377" s="140">
        <v>45604.0</v>
      </c>
      <c r="L377" s="141" t="str">
        <f t="shared" si="43"/>
        <v>11-2024</v>
      </c>
      <c r="M377" s="54">
        <f t="shared" si="46"/>
        <v>1958.7</v>
      </c>
      <c r="N377" s="138">
        <v>1961.1</v>
      </c>
      <c r="O377" s="54">
        <f t="shared" si="44"/>
        <v>2.4</v>
      </c>
      <c r="P377" s="54">
        <f t="shared" si="45"/>
        <v>-7.6</v>
      </c>
      <c r="Q377" s="54"/>
      <c r="R377" s="54"/>
    </row>
    <row r="378" ht="14.25" customHeight="1">
      <c r="B378" s="145">
        <v>45605.0</v>
      </c>
      <c r="C378" s="141" t="str">
        <f t="shared" si="1"/>
        <v>11-2024</v>
      </c>
      <c r="D378" s="54">
        <f t="shared" si="42"/>
        <v>3732.3</v>
      </c>
      <c r="E378" s="138">
        <v>3736.7</v>
      </c>
      <c r="F378" s="54">
        <f t="shared" si="15"/>
        <v>4.4</v>
      </c>
      <c r="G378" s="54">
        <f t="shared" si="28"/>
        <v>-5.6</v>
      </c>
      <c r="H378" s="54"/>
      <c r="I378" s="54"/>
      <c r="J378" s="54"/>
      <c r="K378" s="145">
        <v>45605.0</v>
      </c>
      <c r="L378" s="141" t="str">
        <f t="shared" si="43"/>
        <v>11-2024</v>
      </c>
      <c r="M378" s="54"/>
      <c r="N378" s="54"/>
      <c r="O378" s="54">
        <f t="shared" si="44"/>
        <v>0</v>
      </c>
      <c r="P378" s="54">
        <f t="shared" si="45"/>
        <v>-10</v>
      </c>
      <c r="Q378" s="54"/>
      <c r="R378" s="54"/>
    </row>
    <row r="379" ht="14.25" customHeight="1">
      <c r="B379" s="145">
        <v>45606.0</v>
      </c>
      <c r="C379" s="141" t="str">
        <f t="shared" si="1"/>
        <v>11-2024</v>
      </c>
      <c r="D379" s="54"/>
      <c r="E379" s="138"/>
      <c r="F379" s="54">
        <f t="shared" si="15"/>
        <v>0</v>
      </c>
      <c r="G379" s="54">
        <f t="shared" si="28"/>
        <v>-10</v>
      </c>
      <c r="H379" s="54"/>
      <c r="I379" s="54"/>
      <c r="J379" s="54"/>
      <c r="K379" s="145">
        <v>45606.0</v>
      </c>
      <c r="L379" s="141" t="str">
        <f t="shared" si="43"/>
        <v>11-2024</v>
      </c>
      <c r="M379" s="54" t="str">
        <f>N378</f>
        <v/>
      </c>
      <c r="N379" s="54"/>
      <c r="O379" s="54">
        <f t="shared" si="44"/>
        <v>0</v>
      </c>
      <c r="P379" s="54">
        <f t="shared" si="45"/>
        <v>-10</v>
      </c>
      <c r="Q379" s="54"/>
      <c r="R379" s="54"/>
    </row>
    <row r="380" ht="14.25" customHeight="1">
      <c r="B380" s="140">
        <v>45607.0</v>
      </c>
      <c r="C380" s="141" t="str">
        <f t="shared" si="1"/>
        <v>11-2024</v>
      </c>
      <c r="D380" s="138">
        <v>3736.7</v>
      </c>
      <c r="E380" s="138">
        <v>3746.7</v>
      </c>
      <c r="F380" s="54">
        <f t="shared" si="15"/>
        <v>10</v>
      </c>
      <c r="G380" s="54">
        <f t="shared" si="28"/>
        <v>0</v>
      </c>
      <c r="H380" s="138">
        <v>200.0</v>
      </c>
      <c r="I380" s="54"/>
      <c r="J380" s="54"/>
      <c r="K380" s="140">
        <v>45607.0</v>
      </c>
      <c r="L380" s="141" t="str">
        <f t="shared" si="43"/>
        <v>11-2024</v>
      </c>
      <c r="M380" s="138">
        <v>1961.1</v>
      </c>
      <c r="N380" s="138">
        <v>1970.1</v>
      </c>
      <c r="O380" s="54">
        <f t="shared" si="44"/>
        <v>9</v>
      </c>
      <c r="P380" s="54">
        <f t="shared" si="45"/>
        <v>-1</v>
      </c>
      <c r="Q380" s="54"/>
      <c r="R380" s="54"/>
    </row>
    <row r="381" ht="14.25" customHeight="1">
      <c r="B381" s="140">
        <v>45608.0</v>
      </c>
      <c r="C381" s="141" t="str">
        <f t="shared" si="1"/>
        <v>11-2024</v>
      </c>
      <c r="D381" s="54">
        <f t="shared" ref="D381:D384" si="47">E380</f>
        <v>3746.7</v>
      </c>
      <c r="E381" s="138">
        <v>3757.7</v>
      </c>
      <c r="F381" s="54">
        <f t="shared" si="15"/>
        <v>11</v>
      </c>
      <c r="G381" s="54">
        <f t="shared" si="28"/>
        <v>1</v>
      </c>
      <c r="H381" s="138">
        <v>220.0</v>
      </c>
      <c r="I381" s="138"/>
      <c r="J381" s="54"/>
      <c r="K381" s="140">
        <v>45608.0</v>
      </c>
      <c r="L381" s="141" t="str">
        <f t="shared" si="43"/>
        <v>11-2024</v>
      </c>
      <c r="M381" s="54">
        <f>N380</f>
        <v>1970.1</v>
      </c>
      <c r="N381" s="138">
        <v>1976.8</v>
      </c>
      <c r="O381" s="54">
        <f t="shared" si="44"/>
        <v>6.7</v>
      </c>
      <c r="P381" s="54">
        <f t="shared" ref="P381:P399" si="48">O380-10</f>
        <v>-1</v>
      </c>
      <c r="Q381" s="138">
        <v>190.0</v>
      </c>
      <c r="R381" s="138" t="s">
        <v>148</v>
      </c>
    </row>
    <row r="382" ht="14.25" customHeight="1">
      <c r="B382" s="140">
        <v>45609.0</v>
      </c>
      <c r="C382" s="141" t="str">
        <f t="shared" si="1"/>
        <v>11-2024</v>
      </c>
      <c r="D382" s="54">
        <f t="shared" si="47"/>
        <v>3757.7</v>
      </c>
      <c r="E382" s="138">
        <v>3768.9</v>
      </c>
      <c r="F382" s="54">
        <f t="shared" si="15"/>
        <v>11.2</v>
      </c>
      <c r="G382" s="54">
        <f t="shared" si="28"/>
        <v>1.2</v>
      </c>
      <c r="H382" s="138">
        <v>200.0</v>
      </c>
      <c r="I382" s="54"/>
      <c r="J382" s="54"/>
      <c r="K382" s="140">
        <v>45609.0</v>
      </c>
      <c r="L382" s="141" t="str">
        <f t="shared" si="43"/>
        <v>11-2024</v>
      </c>
      <c r="M382" s="54"/>
      <c r="N382" s="54"/>
      <c r="O382" s="54">
        <f t="shared" si="44"/>
        <v>0</v>
      </c>
      <c r="P382" s="54">
        <f t="shared" si="48"/>
        <v>-3.3</v>
      </c>
      <c r="Q382" s="54"/>
      <c r="R382" s="54"/>
    </row>
    <row r="383" ht="14.25" customHeight="1">
      <c r="B383" s="140">
        <v>45610.0</v>
      </c>
      <c r="C383" s="141" t="str">
        <f t="shared" si="1"/>
        <v>11-2024</v>
      </c>
      <c r="D383" s="54">
        <f t="shared" si="47"/>
        <v>3768.9</v>
      </c>
      <c r="E383" s="138">
        <v>3780.3</v>
      </c>
      <c r="F383" s="54">
        <f t="shared" si="15"/>
        <v>11.4</v>
      </c>
      <c r="G383" s="54">
        <f t="shared" si="28"/>
        <v>1.4</v>
      </c>
      <c r="H383" s="54"/>
      <c r="I383" s="54"/>
      <c r="J383" s="54"/>
      <c r="K383" s="140">
        <v>45610.0</v>
      </c>
      <c r="L383" s="141" t="str">
        <f t="shared" si="43"/>
        <v>11-2024</v>
      </c>
      <c r="M383" s="138">
        <v>1976.8</v>
      </c>
      <c r="N383" s="138">
        <v>1980.0</v>
      </c>
      <c r="O383" s="54">
        <f t="shared" si="44"/>
        <v>3.2</v>
      </c>
      <c r="P383" s="54">
        <f t="shared" si="48"/>
        <v>-10</v>
      </c>
      <c r="Q383" s="54"/>
      <c r="R383" s="54"/>
    </row>
    <row r="384" ht="14.25" customHeight="1">
      <c r="B384" s="140">
        <v>45611.0</v>
      </c>
      <c r="C384" s="148" t="str">
        <f t="shared" si="1"/>
        <v>11-2024</v>
      </c>
      <c r="D384" s="54">
        <f t="shared" si="47"/>
        <v>3780.3</v>
      </c>
      <c r="E384" s="138">
        <v>3789.8</v>
      </c>
      <c r="F384" s="54">
        <f t="shared" si="15"/>
        <v>9.5</v>
      </c>
      <c r="G384" s="54">
        <f t="shared" si="28"/>
        <v>-0.5</v>
      </c>
      <c r="H384" s="138">
        <v>250.0</v>
      </c>
      <c r="I384" s="54"/>
      <c r="J384" s="54"/>
      <c r="K384" s="140">
        <v>45611.0</v>
      </c>
      <c r="L384" s="148" t="str">
        <f t="shared" si="43"/>
        <v>11-2024</v>
      </c>
      <c r="M384" s="54">
        <f>N383</f>
        <v>1980</v>
      </c>
      <c r="N384" s="138">
        <v>1989.5</v>
      </c>
      <c r="O384" s="54">
        <f t="shared" si="44"/>
        <v>9.5</v>
      </c>
      <c r="P384" s="54">
        <f t="shared" si="48"/>
        <v>-6.8</v>
      </c>
      <c r="Q384" s="54"/>
      <c r="R384" s="54"/>
    </row>
    <row r="385" ht="14.25" customHeight="1">
      <c r="B385" s="145">
        <v>45612.0</v>
      </c>
      <c r="C385" s="141" t="str">
        <f t="shared" si="1"/>
        <v>11-2024</v>
      </c>
      <c r="D385" s="54"/>
      <c r="E385" s="54"/>
      <c r="F385" s="54">
        <f t="shared" si="15"/>
        <v>0</v>
      </c>
      <c r="G385" s="54">
        <f t="shared" si="28"/>
        <v>-10</v>
      </c>
      <c r="H385" s="54"/>
      <c r="I385" s="54"/>
      <c r="J385" s="54"/>
      <c r="K385" s="145">
        <v>45612.0</v>
      </c>
      <c r="L385" s="141" t="str">
        <f t="shared" si="43"/>
        <v>11-2024</v>
      </c>
      <c r="M385" s="54"/>
      <c r="N385" s="54"/>
      <c r="O385" s="54">
        <f t="shared" si="44"/>
        <v>0</v>
      </c>
      <c r="P385" s="54">
        <f t="shared" si="48"/>
        <v>-0.5</v>
      </c>
      <c r="Q385" s="54"/>
      <c r="R385" s="54"/>
    </row>
    <row r="386" ht="14.25" customHeight="1">
      <c r="B386" s="145">
        <v>45613.0</v>
      </c>
      <c r="C386" s="141" t="str">
        <f t="shared" si="1"/>
        <v>11-2024</v>
      </c>
      <c r="D386" s="54" t="str">
        <f>E385</f>
        <v/>
      </c>
      <c r="E386" s="54"/>
      <c r="F386" s="54">
        <f t="shared" si="15"/>
        <v>0</v>
      </c>
      <c r="G386" s="54">
        <f t="shared" si="28"/>
        <v>-10</v>
      </c>
      <c r="H386" s="54"/>
      <c r="I386" s="54"/>
      <c r="J386" s="54"/>
      <c r="K386" s="145">
        <v>45613.0</v>
      </c>
      <c r="L386" s="141" t="str">
        <f t="shared" si="43"/>
        <v>11-2024</v>
      </c>
      <c r="M386" s="54" t="str">
        <f>N385</f>
        <v/>
      </c>
      <c r="N386" s="54"/>
      <c r="O386" s="54">
        <f t="shared" si="44"/>
        <v>0</v>
      </c>
      <c r="P386" s="54">
        <f t="shared" si="48"/>
        <v>-10</v>
      </c>
      <c r="Q386" s="54"/>
      <c r="R386" s="54"/>
    </row>
    <row r="387" ht="14.25" customHeight="1">
      <c r="B387" s="140">
        <v>45614.0</v>
      </c>
      <c r="C387" s="141" t="str">
        <f t="shared" si="1"/>
        <v>11-2024</v>
      </c>
      <c r="D387" s="138">
        <v>3789.8</v>
      </c>
      <c r="E387" s="138">
        <v>3796.9</v>
      </c>
      <c r="F387" s="54">
        <f t="shared" si="15"/>
        <v>7.1</v>
      </c>
      <c r="G387" s="54">
        <f t="shared" si="28"/>
        <v>-2.9</v>
      </c>
      <c r="H387" s="138">
        <v>250.0</v>
      </c>
      <c r="I387" s="54"/>
      <c r="J387" s="54"/>
      <c r="K387" s="140">
        <v>45614.0</v>
      </c>
      <c r="L387" s="141" t="str">
        <f t="shared" si="43"/>
        <v>11-2024</v>
      </c>
      <c r="M387" s="138">
        <v>1989.5</v>
      </c>
      <c r="N387" s="138">
        <v>1998.5</v>
      </c>
      <c r="O387" s="54">
        <f t="shared" si="44"/>
        <v>9</v>
      </c>
      <c r="P387" s="54">
        <f t="shared" si="48"/>
        <v>-10</v>
      </c>
      <c r="Q387" s="54"/>
      <c r="R387" s="54"/>
    </row>
    <row r="388" ht="14.25" customHeight="1">
      <c r="B388" s="140">
        <v>45615.0</v>
      </c>
      <c r="C388" s="141" t="str">
        <f t="shared" si="1"/>
        <v>11-2024</v>
      </c>
      <c r="D388" s="54">
        <f t="shared" ref="D388:D392" si="49">E387</f>
        <v>3796.9</v>
      </c>
      <c r="E388" s="138">
        <v>3808.1</v>
      </c>
      <c r="F388" s="54">
        <f t="shared" si="15"/>
        <v>11.2</v>
      </c>
      <c r="G388" s="54">
        <f t="shared" si="28"/>
        <v>1.2</v>
      </c>
      <c r="H388" s="138">
        <v>100.0</v>
      </c>
      <c r="I388" s="138"/>
      <c r="J388" s="54"/>
      <c r="K388" s="140">
        <v>45615.0</v>
      </c>
      <c r="L388" s="141" t="str">
        <f t="shared" si="43"/>
        <v>11-2024</v>
      </c>
      <c r="M388" s="54">
        <f t="shared" ref="M388:M392" si="50">N387</f>
        <v>1998.5</v>
      </c>
      <c r="N388" s="138">
        <v>2004.2</v>
      </c>
      <c r="O388" s="54">
        <f t="shared" si="44"/>
        <v>5.7</v>
      </c>
      <c r="P388" s="54">
        <f t="shared" si="48"/>
        <v>-1</v>
      </c>
      <c r="Q388" s="138">
        <v>400.0</v>
      </c>
      <c r="R388" s="138" t="s">
        <v>148</v>
      </c>
    </row>
    <row r="389" ht="14.25" customHeight="1">
      <c r="B389" s="140">
        <v>45616.0</v>
      </c>
      <c r="C389" s="148" t="str">
        <f t="shared" si="1"/>
        <v>11-2024</v>
      </c>
      <c r="D389" s="54">
        <f t="shared" si="49"/>
        <v>3808.1</v>
      </c>
      <c r="E389" s="138">
        <v>3819.4</v>
      </c>
      <c r="F389" s="54">
        <f t="shared" si="15"/>
        <v>11.3</v>
      </c>
      <c r="G389" s="54">
        <f t="shared" si="28"/>
        <v>1.3</v>
      </c>
      <c r="H389" s="138">
        <v>225.0</v>
      </c>
      <c r="I389" s="54"/>
      <c r="J389" s="54"/>
      <c r="K389" s="140">
        <v>45616.0</v>
      </c>
      <c r="L389" s="148" t="str">
        <f t="shared" si="43"/>
        <v>11-2024</v>
      </c>
      <c r="M389" s="54">
        <f t="shared" si="50"/>
        <v>2004.2</v>
      </c>
      <c r="N389" s="138">
        <v>2012.8</v>
      </c>
      <c r="O389" s="54">
        <f t="shared" si="44"/>
        <v>8.6</v>
      </c>
      <c r="P389" s="54">
        <f t="shared" si="48"/>
        <v>-4.3</v>
      </c>
      <c r="Q389" s="54"/>
      <c r="R389" s="54"/>
    </row>
    <row r="390" ht="14.25" customHeight="1">
      <c r="B390" s="140">
        <v>45617.0</v>
      </c>
      <c r="C390" s="141" t="str">
        <f t="shared" si="1"/>
        <v>11-2024</v>
      </c>
      <c r="D390" s="54">
        <f t="shared" si="49"/>
        <v>3819.4</v>
      </c>
      <c r="E390" s="138">
        <v>3826.1</v>
      </c>
      <c r="F390" s="54">
        <f t="shared" si="15"/>
        <v>6.7</v>
      </c>
      <c r="G390" s="54">
        <f t="shared" si="28"/>
        <v>-3.3</v>
      </c>
      <c r="H390" s="138">
        <v>225.0</v>
      </c>
      <c r="I390" s="54"/>
      <c r="J390" s="54"/>
      <c r="K390" s="140">
        <v>45617.0</v>
      </c>
      <c r="L390" s="141" t="str">
        <f t="shared" si="43"/>
        <v>11-2024</v>
      </c>
      <c r="M390" s="54">
        <f t="shared" si="50"/>
        <v>2012.8</v>
      </c>
      <c r="N390" s="138">
        <v>2021.5</v>
      </c>
      <c r="O390" s="54">
        <f t="shared" si="44"/>
        <v>8.7</v>
      </c>
      <c r="P390" s="54">
        <f t="shared" si="48"/>
        <v>-1.4</v>
      </c>
      <c r="Q390" s="54"/>
      <c r="R390" s="54"/>
    </row>
    <row r="391" ht="14.25" customHeight="1">
      <c r="B391" s="140">
        <v>45618.0</v>
      </c>
      <c r="C391" s="141" t="str">
        <f t="shared" si="1"/>
        <v>11-2024</v>
      </c>
      <c r="D391" s="54">
        <f t="shared" si="49"/>
        <v>3826.1</v>
      </c>
      <c r="E391" s="138">
        <v>3833.0</v>
      </c>
      <c r="F391" s="54">
        <f t="shared" si="15"/>
        <v>6.9</v>
      </c>
      <c r="G391" s="54">
        <f t="shared" si="28"/>
        <v>-3.1</v>
      </c>
      <c r="H391" s="54"/>
      <c r="I391" s="54"/>
      <c r="J391" s="54"/>
      <c r="K391" s="140">
        <v>45618.0</v>
      </c>
      <c r="L391" s="141" t="str">
        <f t="shared" si="43"/>
        <v>11-2024</v>
      </c>
      <c r="M391" s="54">
        <f t="shared" si="50"/>
        <v>2021.5</v>
      </c>
      <c r="N391" s="138">
        <v>2031.5</v>
      </c>
      <c r="O391" s="54">
        <f t="shared" si="44"/>
        <v>10</v>
      </c>
      <c r="P391" s="54">
        <f t="shared" si="48"/>
        <v>-1.3</v>
      </c>
      <c r="Q391" s="54"/>
      <c r="R391" s="54"/>
    </row>
    <row r="392" ht="14.25" customHeight="1">
      <c r="B392" s="145">
        <v>45619.0</v>
      </c>
      <c r="C392" s="141" t="str">
        <f t="shared" si="1"/>
        <v>11-2024</v>
      </c>
      <c r="D392" s="54">
        <f t="shared" si="49"/>
        <v>3833</v>
      </c>
      <c r="E392" s="138">
        <v>3840.0</v>
      </c>
      <c r="F392" s="54">
        <f t="shared" si="15"/>
        <v>7</v>
      </c>
      <c r="G392" s="54">
        <f t="shared" si="28"/>
        <v>-3</v>
      </c>
      <c r="H392" s="54"/>
      <c r="I392" s="54"/>
      <c r="J392" s="54"/>
      <c r="K392" s="145">
        <v>45619.0</v>
      </c>
      <c r="L392" s="141" t="str">
        <f t="shared" si="43"/>
        <v>11-2024</v>
      </c>
      <c r="M392" s="54">
        <f t="shared" si="50"/>
        <v>2031.5</v>
      </c>
      <c r="N392" s="138">
        <v>2038.7</v>
      </c>
      <c r="O392" s="54">
        <f t="shared" si="44"/>
        <v>7.2</v>
      </c>
      <c r="P392" s="54">
        <f t="shared" si="48"/>
        <v>0</v>
      </c>
      <c r="Q392" s="54"/>
      <c r="R392" s="54"/>
    </row>
    <row r="393" ht="14.25" customHeight="1">
      <c r="B393" s="145">
        <v>45620.0</v>
      </c>
      <c r="C393" s="141" t="str">
        <f t="shared" si="1"/>
        <v>11-2024</v>
      </c>
      <c r="D393" s="54"/>
      <c r="E393" s="54"/>
      <c r="F393" s="54">
        <f t="shared" si="15"/>
        <v>0</v>
      </c>
      <c r="G393" s="54">
        <f t="shared" si="28"/>
        <v>-10</v>
      </c>
      <c r="H393" s="54"/>
      <c r="I393" s="54"/>
      <c r="J393" s="54"/>
      <c r="K393" s="145">
        <v>45620.0</v>
      </c>
      <c r="L393" s="141" t="str">
        <f t="shared" si="43"/>
        <v>11-2024</v>
      </c>
      <c r="M393" s="54"/>
      <c r="N393" s="54"/>
      <c r="O393" s="54">
        <f t="shared" si="44"/>
        <v>0</v>
      </c>
      <c r="P393" s="54">
        <f t="shared" si="48"/>
        <v>-2.8</v>
      </c>
      <c r="Q393" s="54"/>
      <c r="R393" s="54"/>
    </row>
    <row r="394" ht="14.25" customHeight="1">
      <c r="B394" s="140">
        <v>45621.0</v>
      </c>
      <c r="C394" s="141" t="str">
        <f t="shared" si="1"/>
        <v>11-2024</v>
      </c>
      <c r="D394" s="138">
        <v>3840.0</v>
      </c>
      <c r="E394" s="138">
        <v>3848.7</v>
      </c>
      <c r="F394" s="54">
        <f t="shared" si="15"/>
        <v>8.7</v>
      </c>
      <c r="G394" s="54">
        <f t="shared" si="28"/>
        <v>-1.3</v>
      </c>
      <c r="H394" s="138">
        <v>230.0</v>
      </c>
      <c r="I394" s="138"/>
      <c r="J394" s="54"/>
      <c r="K394" s="140">
        <v>45621.0</v>
      </c>
      <c r="L394" s="141" t="str">
        <f t="shared" si="43"/>
        <v>11-2024</v>
      </c>
      <c r="M394" s="138">
        <v>2038.7</v>
      </c>
      <c r="N394" s="138">
        <v>2048.5</v>
      </c>
      <c r="O394" s="54">
        <f t="shared" si="44"/>
        <v>9.8</v>
      </c>
      <c r="P394" s="54">
        <f t="shared" si="48"/>
        <v>-10</v>
      </c>
      <c r="Q394" s="138">
        <v>230.0</v>
      </c>
      <c r="R394" s="138" t="s">
        <v>148</v>
      </c>
    </row>
    <row r="395" ht="14.25" customHeight="1">
      <c r="B395" s="140">
        <v>45622.0</v>
      </c>
      <c r="C395" s="141" t="str">
        <f t="shared" si="1"/>
        <v>11-2024</v>
      </c>
      <c r="D395" s="54">
        <f t="shared" ref="D395:D399" si="51">E394</f>
        <v>3848.7</v>
      </c>
      <c r="E395" s="138">
        <v>3855.2</v>
      </c>
      <c r="F395" s="54">
        <f t="shared" si="15"/>
        <v>6.5</v>
      </c>
      <c r="G395" s="54">
        <f t="shared" si="28"/>
        <v>-3.5</v>
      </c>
      <c r="H395" s="138">
        <v>235.0</v>
      </c>
      <c r="I395" s="54"/>
      <c r="J395" s="54"/>
      <c r="K395" s="140">
        <v>45622.0</v>
      </c>
      <c r="L395" s="141" t="str">
        <f t="shared" si="43"/>
        <v>11-2024</v>
      </c>
      <c r="M395" s="54">
        <f t="shared" ref="M395:M399" si="52">N394</f>
        <v>2048.5</v>
      </c>
      <c r="N395" s="138">
        <v>2057.7</v>
      </c>
      <c r="O395" s="54">
        <f t="shared" si="44"/>
        <v>9.2</v>
      </c>
      <c r="P395" s="54">
        <f t="shared" si="48"/>
        <v>-0.2</v>
      </c>
      <c r="Q395" s="54"/>
      <c r="R395" s="54"/>
    </row>
    <row r="396" ht="14.25" customHeight="1">
      <c r="B396" s="140">
        <v>45623.0</v>
      </c>
      <c r="C396" s="141" t="str">
        <f t="shared" si="1"/>
        <v>11-2024</v>
      </c>
      <c r="D396" s="54">
        <f t="shared" si="51"/>
        <v>3855.2</v>
      </c>
      <c r="E396" s="138">
        <v>3866.3</v>
      </c>
      <c r="F396" s="54">
        <f t="shared" si="15"/>
        <v>11.1</v>
      </c>
      <c r="G396" s="54">
        <f t="shared" si="28"/>
        <v>1.1</v>
      </c>
      <c r="H396" s="138"/>
      <c r="I396" s="54"/>
      <c r="J396" s="54"/>
      <c r="K396" s="140">
        <v>45623.0</v>
      </c>
      <c r="L396" s="141" t="str">
        <f t="shared" si="43"/>
        <v>11-2024</v>
      </c>
      <c r="M396" s="54">
        <f t="shared" si="52"/>
        <v>2057.7</v>
      </c>
      <c r="N396" s="138">
        <v>2066.0</v>
      </c>
      <c r="O396" s="54">
        <f t="shared" si="44"/>
        <v>8.3</v>
      </c>
      <c r="P396" s="54">
        <f t="shared" si="48"/>
        <v>-0.8</v>
      </c>
      <c r="Q396" s="54"/>
      <c r="R396" s="54"/>
    </row>
    <row r="397" ht="14.25" customHeight="1">
      <c r="B397" s="140">
        <v>45624.0</v>
      </c>
      <c r="C397" s="141" t="str">
        <f t="shared" si="1"/>
        <v>11-2024</v>
      </c>
      <c r="D397" s="54">
        <f t="shared" si="51"/>
        <v>3866.3</v>
      </c>
      <c r="E397" s="138">
        <v>3874.8</v>
      </c>
      <c r="F397" s="54">
        <f t="shared" si="15"/>
        <v>8.5</v>
      </c>
      <c r="G397" s="54">
        <f t="shared" si="28"/>
        <v>-1.5</v>
      </c>
      <c r="H397" s="138">
        <v>230.0</v>
      </c>
      <c r="I397" s="138"/>
      <c r="J397" s="54"/>
      <c r="K397" s="140">
        <v>45624.0</v>
      </c>
      <c r="L397" s="141" t="str">
        <f t="shared" si="43"/>
        <v>11-2024</v>
      </c>
      <c r="M397" s="54">
        <f t="shared" si="52"/>
        <v>2066</v>
      </c>
      <c r="N397" s="138">
        <v>2073.6</v>
      </c>
      <c r="O397" s="54">
        <f t="shared" si="44"/>
        <v>7.6</v>
      </c>
      <c r="P397" s="54">
        <f t="shared" si="48"/>
        <v>-1.7</v>
      </c>
      <c r="Q397" s="138">
        <v>230.0</v>
      </c>
      <c r="R397" s="138" t="s">
        <v>148</v>
      </c>
    </row>
    <row r="398" ht="14.25" customHeight="1">
      <c r="B398" s="140">
        <v>45625.0</v>
      </c>
      <c r="C398" s="141" t="str">
        <f t="shared" si="1"/>
        <v>11-2024</v>
      </c>
      <c r="D398" s="54">
        <f t="shared" si="51"/>
        <v>3874.8</v>
      </c>
      <c r="E398" s="138">
        <v>3882.9</v>
      </c>
      <c r="F398" s="54">
        <f t="shared" si="15"/>
        <v>8.1</v>
      </c>
      <c r="G398" s="54">
        <f t="shared" si="28"/>
        <v>-1.9</v>
      </c>
      <c r="H398" s="54"/>
      <c r="I398" s="54"/>
      <c r="J398" s="54"/>
      <c r="K398" s="140">
        <v>45625.0</v>
      </c>
      <c r="L398" s="141" t="str">
        <f t="shared" si="43"/>
        <v>11-2024</v>
      </c>
      <c r="M398" s="54">
        <f t="shared" si="52"/>
        <v>2073.6</v>
      </c>
      <c r="N398" s="138">
        <v>2082.1</v>
      </c>
      <c r="O398" s="54">
        <f t="shared" si="44"/>
        <v>8.5</v>
      </c>
      <c r="P398" s="54">
        <f t="shared" si="48"/>
        <v>-2.4</v>
      </c>
      <c r="Q398" s="54"/>
      <c r="R398" s="54"/>
    </row>
    <row r="399" ht="14.25" customHeight="1">
      <c r="B399" s="145">
        <v>45626.0</v>
      </c>
      <c r="C399" s="141" t="str">
        <f t="shared" si="1"/>
        <v>11-2024</v>
      </c>
      <c r="D399" s="54">
        <f t="shared" si="51"/>
        <v>3882.9</v>
      </c>
      <c r="E399" s="138">
        <v>3888.0</v>
      </c>
      <c r="F399" s="54">
        <f t="shared" si="15"/>
        <v>5.1</v>
      </c>
      <c r="G399" s="54">
        <f t="shared" si="28"/>
        <v>-4.9</v>
      </c>
      <c r="H399" s="138">
        <v>100.0</v>
      </c>
      <c r="I399" s="54"/>
      <c r="J399" s="54"/>
      <c r="K399" s="145">
        <v>45626.0</v>
      </c>
      <c r="L399" s="141" t="str">
        <f t="shared" si="43"/>
        <v>11-2024</v>
      </c>
      <c r="M399" s="54">
        <f t="shared" si="52"/>
        <v>2082.1</v>
      </c>
      <c r="N399" s="138">
        <v>2086.0</v>
      </c>
      <c r="O399" s="54">
        <f t="shared" si="44"/>
        <v>3.9</v>
      </c>
      <c r="P399" s="54">
        <f t="shared" si="48"/>
        <v>-1.5</v>
      </c>
      <c r="Q399" s="54"/>
      <c r="R399" s="54"/>
    </row>
    <row r="400" ht="14.25" customHeight="1">
      <c r="B400" s="145">
        <v>45627.0</v>
      </c>
      <c r="C400" s="141" t="str">
        <f t="shared" si="1"/>
        <v>12-2024</v>
      </c>
      <c r="D400" s="54"/>
      <c r="E400" s="138"/>
      <c r="F400" s="54">
        <f t="shared" si="15"/>
        <v>0</v>
      </c>
      <c r="G400" s="54">
        <f t="shared" si="28"/>
        <v>-10</v>
      </c>
      <c r="H400" s="54"/>
      <c r="I400" s="54"/>
      <c r="J400" s="54"/>
      <c r="K400" s="54"/>
      <c r="L400" s="54"/>
      <c r="M400" s="54"/>
      <c r="N400" s="54"/>
      <c r="O400" s="174"/>
      <c r="P400" s="174"/>
      <c r="Q400" s="174"/>
      <c r="R400" s="174"/>
    </row>
    <row r="401" ht="14.25" customHeight="1">
      <c r="B401" s="140">
        <v>45628.0</v>
      </c>
      <c r="C401" s="141" t="str">
        <f t="shared" si="1"/>
        <v>12-2024</v>
      </c>
      <c r="D401" s="138">
        <v>3888.0</v>
      </c>
      <c r="E401" s="138">
        <v>3897.0</v>
      </c>
      <c r="F401" s="54">
        <f t="shared" si="15"/>
        <v>9</v>
      </c>
      <c r="G401" s="54">
        <f t="shared" si="28"/>
        <v>-1</v>
      </c>
      <c r="H401" s="138">
        <v>230.0</v>
      </c>
      <c r="I401" s="54"/>
      <c r="J401" s="54"/>
      <c r="K401" s="54"/>
      <c r="L401" s="54"/>
      <c r="M401" s="54"/>
      <c r="N401" s="54"/>
      <c r="O401" s="174"/>
      <c r="P401" s="174"/>
      <c r="Q401" s="174"/>
      <c r="R401" s="174"/>
    </row>
    <row r="402" ht="14.25" customHeight="1">
      <c r="B402" s="140">
        <v>45629.0</v>
      </c>
      <c r="C402" s="141" t="str">
        <f t="shared" si="1"/>
        <v>12-2024</v>
      </c>
      <c r="D402" s="54">
        <f t="shared" ref="D402:D405" si="53">E401</f>
        <v>3897</v>
      </c>
      <c r="E402" s="138">
        <v>3905.9</v>
      </c>
      <c r="F402" s="54">
        <f t="shared" si="15"/>
        <v>8.9</v>
      </c>
      <c r="G402" s="54">
        <f t="shared" si="28"/>
        <v>-1.1</v>
      </c>
      <c r="H402" s="54"/>
      <c r="I402" s="138"/>
      <c r="J402" s="54"/>
      <c r="K402" s="54"/>
      <c r="L402" s="54"/>
      <c r="M402" s="54"/>
      <c r="N402" s="54"/>
      <c r="O402" s="174"/>
      <c r="P402" s="174"/>
      <c r="Q402" s="174"/>
      <c r="R402" s="174"/>
    </row>
    <row r="403" ht="14.25" customHeight="1">
      <c r="B403" s="140">
        <v>45630.0</v>
      </c>
      <c r="C403" s="141" t="str">
        <f t="shared" si="1"/>
        <v>12-2024</v>
      </c>
      <c r="D403" s="54">
        <f t="shared" si="53"/>
        <v>3905.9</v>
      </c>
      <c r="E403" s="138">
        <v>3916.4</v>
      </c>
      <c r="F403" s="54">
        <f t="shared" si="15"/>
        <v>10.5</v>
      </c>
      <c r="G403" s="54">
        <f t="shared" si="28"/>
        <v>0.5</v>
      </c>
      <c r="H403" s="138">
        <v>229.8</v>
      </c>
      <c r="I403" s="138"/>
      <c r="J403" s="54"/>
      <c r="K403" s="54"/>
      <c r="L403" s="54"/>
      <c r="M403" s="54"/>
      <c r="N403" s="54"/>
      <c r="O403" s="174"/>
      <c r="P403" s="174"/>
      <c r="Q403" s="174"/>
      <c r="R403" s="174"/>
    </row>
    <row r="404" ht="14.25" customHeight="1">
      <c r="B404" s="140">
        <v>45631.0</v>
      </c>
      <c r="C404" s="141" t="str">
        <f t="shared" si="1"/>
        <v>12-2024</v>
      </c>
      <c r="D404" s="54">
        <f t="shared" si="53"/>
        <v>3916.4</v>
      </c>
      <c r="E404" s="138">
        <v>3926.5</v>
      </c>
      <c r="F404" s="54">
        <f t="shared" si="15"/>
        <v>10.1</v>
      </c>
      <c r="G404" s="54">
        <f t="shared" si="28"/>
        <v>0.1</v>
      </c>
      <c r="H404" s="138">
        <v>231.0</v>
      </c>
      <c r="I404" s="54"/>
      <c r="J404" s="54"/>
      <c r="K404" s="54"/>
      <c r="L404" s="54"/>
      <c r="M404" s="54"/>
      <c r="N404" s="54"/>
      <c r="O404" s="174"/>
      <c r="P404" s="174"/>
      <c r="Q404" s="174"/>
      <c r="R404" s="174"/>
    </row>
    <row r="405" ht="14.25" customHeight="1">
      <c r="B405" s="140">
        <v>45632.0</v>
      </c>
      <c r="C405" s="141" t="str">
        <f t="shared" si="1"/>
        <v>12-2024</v>
      </c>
      <c r="D405" s="54">
        <f t="shared" si="53"/>
        <v>3926.5</v>
      </c>
      <c r="E405" s="138">
        <v>3935.1</v>
      </c>
      <c r="F405" s="54">
        <f t="shared" si="15"/>
        <v>8.6</v>
      </c>
      <c r="G405" s="54">
        <f t="shared" si="28"/>
        <v>-1.4</v>
      </c>
      <c r="H405" s="138">
        <v>230.0</v>
      </c>
      <c r="I405" s="54"/>
      <c r="J405" s="54"/>
      <c r="K405" s="54"/>
      <c r="L405" s="54"/>
      <c r="M405" s="54"/>
      <c r="N405" s="54"/>
      <c r="O405" s="174"/>
      <c r="P405" s="174"/>
      <c r="Q405" s="174"/>
      <c r="R405" s="174"/>
    </row>
    <row r="406" ht="14.25" customHeight="1">
      <c r="B406" s="145">
        <v>45633.0</v>
      </c>
      <c r="C406" s="141" t="str">
        <f t="shared" si="1"/>
        <v>12-2024</v>
      </c>
      <c r="D406" s="54"/>
      <c r="E406" s="138"/>
      <c r="F406" s="54">
        <f t="shared" si="15"/>
        <v>0</v>
      </c>
      <c r="G406" s="54">
        <f t="shared" si="28"/>
        <v>-10</v>
      </c>
      <c r="H406" s="54"/>
      <c r="I406" s="54"/>
      <c r="J406" s="54"/>
      <c r="K406" s="54"/>
      <c r="L406" s="54"/>
      <c r="M406" s="54"/>
      <c r="N406" s="54"/>
      <c r="O406" s="174"/>
      <c r="P406" s="174"/>
      <c r="Q406" s="174"/>
      <c r="R406" s="174"/>
    </row>
    <row r="407" ht="14.25" customHeight="1">
      <c r="B407" s="145">
        <v>45634.0</v>
      </c>
      <c r="C407" s="141" t="str">
        <f t="shared" si="1"/>
        <v>12-2024</v>
      </c>
      <c r="D407" s="54" t="str">
        <f>E406</f>
        <v/>
      </c>
      <c r="E407" s="138"/>
      <c r="F407" s="54">
        <f t="shared" si="15"/>
        <v>0</v>
      </c>
      <c r="G407" s="54">
        <f t="shared" si="28"/>
        <v>-10</v>
      </c>
      <c r="H407" s="54"/>
      <c r="I407" s="54"/>
      <c r="J407" s="54"/>
      <c r="K407" s="54"/>
      <c r="L407" s="54"/>
      <c r="M407" s="54"/>
      <c r="N407" s="54"/>
      <c r="O407" s="174"/>
      <c r="P407" s="174"/>
      <c r="Q407" s="174"/>
      <c r="R407" s="174"/>
    </row>
    <row r="408" ht="14.25" customHeight="1">
      <c r="B408" s="140">
        <v>45635.0</v>
      </c>
      <c r="C408" s="141" t="str">
        <f t="shared" si="1"/>
        <v>12-2024</v>
      </c>
      <c r="D408" s="138">
        <v>3935.1</v>
      </c>
      <c r="E408" s="138">
        <v>3944.9</v>
      </c>
      <c r="F408" s="54">
        <f t="shared" si="15"/>
        <v>9.8</v>
      </c>
      <c r="G408" s="54">
        <f t="shared" si="28"/>
        <v>-0.2</v>
      </c>
      <c r="H408" s="54"/>
      <c r="I408" s="54"/>
      <c r="J408" s="54"/>
      <c r="K408" s="54"/>
      <c r="L408" s="54"/>
      <c r="M408" s="54"/>
      <c r="N408" s="54"/>
      <c r="O408" s="174"/>
      <c r="P408" s="174"/>
      <c r="Q408" s="174"/>
      <c r="R408" s="174"/>
    </row>
    <row r="409" ht="14.25" customHeight="1">
      <c r="B409" s="140">
        <v>45636.0</v>
      </c>
      <c r="C409" s="141" t="str">
        <f t="shared" si="1"/>
        <v>12-2024</v>
      </c>
      <c r="D409" s="54">
        <f t="shared" ref="D409:D411" si="54">E408</f>
        <v>3944.9</v>
      </c>
      <c r="E409" s="138">
        <v>3948.1</v>
      </c>
      <c r="F409" s="54">
        <f t="shared" si="15"/>
        <v>3.2</v>
      </c>
      <c r="G409" s="54">
        <f t="shared" si="28"/>
        <v>-6.8</v>
      </c>
      <c r="H409" s="54"/>
      <c r="I409" s="54"/>
      <c r="J409" s="54"/>
      <c r="K409" s="54"/>
      <c r="L409" s="54"/>
      <c r="M409" s="54"/>
      <c r="N409" s="54"/>
      <c r="O409" s="174"/>
      <c r="P409" s="174"/>
      <c r="Q409" s="174"/>
      <c r="R409" s="174"/>
    </row>
    <row r="410" ht="14.25" customHeight="1">
      <c r="B410" s="140">
        <v>45637.0</v>
      </c>
      <c r="C410" s="141" t="str">
        <f t="shared" si="1"/>
        <v>12-2024</v>
      </c>
      <c r="D410" s="54">
        <f t="shared" si="54"/>
        <v>3948.1</v>
      </c>
      <c r="E410" s="138">
        <v>3958.9</v>
      </c>
      <c r="F410" s="54">
        <f t="shared" si="15"/>
        <v>10.8</v>
      </c>
      <c r="G410" s="54">
        <f t="shared" si="28"/>
        <v>0.8</v>
      </c>
      <c r="H410" s="54"/>
      <c r="I410" s="54"/>
      <c r="J410" s="54"/>
      <c r="K410" s="54"/>
      <c r="L410" s="54"/>
      <c r="M410" s="54"/>
      <c r="N410" s="54"/>
      <c r="O410" s="174"/>
      <c r="P410" s="174"/>
      <c r="Q410" s="174"/>
      <c r="R410" s="174"/>
    </row>
    <row r="411" ht="14.25" customHeight="1">
      <c r="B411" s="140">
        <v>45638.0</v>
      </c>
      <c r="C411" s="141" t="str">
        <f t="shared" si="1"/>
        <v>12-2024</v>
      </c>
      <c r="D411" s="54">
        <f t="shared" si="54"/>
        <v>3958.9</v>
      </c>
      <c r="E411" s="138">
        <v>3968.5</v>
      </c>
      <c r="F411" s="54">
        <f t="shared" si="15"/>
        <v>9.6</v>
      </c>
      <c r="G411" s="54">
        <f t="shared" si="28"/>
        <v>-0.4</v>
      </c>
      <c r="H411" s="138">
        <v>460.0</v>
      </c>
      <c r="I411" s="54"/>
      <c r="J411" s="54"/>
      <c r="K411" s="54"/>
      <c r="L411" s="54"/>
      <c r="M411" s="54"/>
      <c r="N411" s="54"/>
      <c r="O411" s="174"/>
      <c r="P411" s="174"/>
      <c r="Q411" s="174"/>
      <c r="R411" s="174"/>
    </row>
    <row r="412" ht="14.25" customHeight="1">
      <c r="B412" s="140">
        <v>45639.0</v>
      </c>
      <c r="C412" s="141" t="str">
        <f t="shared" si="1"/>
        <v>12-2024</v>
      </c>
      <c r="D412" s="54"/>
      <c r="E412" s="138"/>
      <c r="F412" s="54">
        <f t="shared" si="15"/>
        <v>0</v>
      </c>
      <c r="G412" s="54">
        <f t="shared" si="28"/>
        <v>-10</v>
      </c>
      <c r="H412" s="54"/>
      <c r="I412" s="54"/>
      <c r="J412" s="54"/>
      <c r="K412" s="54"/>
      <c r="L412" s="54"/>
      <c r="M412" s="54"/>
      <c r="N412" s="54"/>
      <c r="O412" s="174"/>
      <c r="P412" s="174"/>
      <c r="Q412" s="174"/>
      <c r="R412" s="174"/>
    </row>
    <row r="413" ht="14.25" customHeight="1">
      <c r="B413" s="145">
        <v>45640.0</v>
      </c>
      <c r="C413" s="141" t="str">
        <f t="shared" si="1"/>
        <v>12-2024</v>
      </c>
      <c r="D413" s="54"/>
      <c r="E413" s="54"/>
      <c r="F413" s="54">
        <f t="shared" si="15"/>
        <v>0</v>
      </c>
      <c r="G413" s="54">
        <f t="shared" si="28"/>
        <v>-10</v>
      </c>
      <c r="H413" s="54"/>
      <c r="I413" s="54"/>
      <c r="J413" s="54"/>
      <c r="K413" s="54"/>
      <c r="L413" s="54"/>
      <c r="M413" s="54"/>
      <c r="N413" s="54"/>
      <c r="O413" s="174"/>
      <c r="P413" s="174"/>
      <c r="Q413" s="174"/>
      <c r="R413" s="174"/>
    </row>
    <row r="414" ht="14.25" customHeight="1">
      <c r="B414" s="145">
        <v>45641.0</v>
      </c>
      <c r="C414" s="141" t="str">
        <f t="shared" si="1"/>
        <v>12-2024</v>
      </c>
      <c r="D414" s="54" t="str">
        <f t="shared" ref="D414:D415" si="55">E413</f>
        <v/>
      </c>
      <c r="E414" s="54"/>
      <c r="F414" s="54">
        <f t="shared" si="15"/>
        <v>0</v>
      </c>
      <c r="G414" s="54">
        <f t="shared" si="28"/>
        <v>-10</v>
      </c>
      <c r="H414" s="54"/>
      <c r="I414" s="54"/>
      <c r="J414" s="54"/>
      <c r="K414" s="54"/>
      <c r="L414" s="54"/>
      <c r="M414" s="54"/>
      <c r="N414" s="54"/>
      <c r="O414" s="174"/>
      <c r="P414" s="174"/>
      <c r="Q414" s="174"/>
      <c r="R414" s="174"/>
    </row>
    <row r="415" ht="14.25" customHeight="1">
      <c r="B415" s="140">
        <v>45642.0</v>
      </c>
      <c r="C415" s="141" t="str">
        <f t="shared" si="1"/>
        <v>12-2024</v>
      </c>
      <c r="D415" s="54" t="str">
        <f t="shared" si="55"/>
        <v/>
      </c>
      <c r="E415" s="54"/>
      <c r="F415" s="54">
        <f t="shared" si="15"/>
        <v>0</v>
      </c>
      <c r="G415" s="54">
        <f t="shared" si="28"/>
        <v>-10</v>
      </c>
      <c r="H415" s="54"/>
      <c r="I415" s="54"/>
      <c r="J415" s="54"/>
      <c r="K415" s="54"/>
      <c r="L415" s="54"/>
      <c r="M415" s="54"/>
      <c r="N415" s="54"/>
      <c r="O415" s="174"/>
      <c r="P415" s="174"/>
      <c r="Q415" s="174"/>
      <c r="R415" s="174"/>
    </row>
    <row r="416" ht="14.25" customHeight="1">
      <c r="B416" s="140">
        <v>45643.0</v>
      </c>
      <c r="C416" s="141" t="str">
        <f t="shared" si="1"/>
        <v>12-2024</v>
      </c>
      <c r="D416" s="138">
        <v>3974.1</v>
      </c>
      <c r="E416" s="138">
        <v>3975.4</v>
      </c>
      <c r="F416" s="54">
        <f t="shared" si="15"/>
        <v>1.3</v>
      </c>
      <c r="G416" s="54">
        <f t="shared" si="28"/>
        <v>-8.7</v>
      </c>
      <c r="H416" s="54"/>
      <c r="I416" s="54"/>
      <c r="J416" s="54"/>
      <c r="K416" s="54"/>
      <c r="L416" s="54"/>
      <c r="M416" s="54"/>
      <c r="N416" s="54"/>
      <c r="O416" s="174"/>
      <c r="P416" s="174"/>
      <c r="Q416" s="174"/>
      <c r="R416" s="174"/>
    </row>
    <row r="417" ht="14.25" customHeight="1">
      <c r="B417" s="140">
        <v>45644.0</v>
      </c>
      <c r="C417" s="141" t="str">
        <f t="shared" si="1"/>
        <v>12-2024</v>
      </c>
      <c r="D417" s="54">
        <f t="shared" ref="D417:D420" si="56">E416</f>
        <v>3975.4</v>
      </c>
      <c r="E417" s="138">
        <v>3985.7</v>
      </c>
      <c r="F417" s="54">
        <f t="shared" si="15"/>
        <v>10.3</v>
      </c>
      <c r="G417" s="54">
        <f t="shared" si="28"/>
        <v>0.3</v>
      </c>
      <c r="H417" s="138">
        <v>236.0</v>
      </c>
      <c r="I417" s="54"/>
      <c r="J417" s="54"/>
      <c r="K417" s="54"/>
      <c r="L417" s="54"/>
      <c r="M417" s="54"/>
      <c r="N417" s="54"/>
      <c r="O417" s="174"/>
      <c r="P417" s="174"/>
      <c r="Q417" s="174"/>
      <c r="R417" s="174"/>
    </row>
    <row r="418" ht="14.25" customHeight="1">
      <c r="B418" s="140">
        <v>45645.0</v>
      </c>
      <c r="C418" s="141" t="str">
        <f t="shared" si="1"/>
        <v>12-2024</v>
      </c>
      <c r="D418" s="54">
        <f t="shared" si="56"/>
        <v>3985.7</v>
      </c>
      <c r="E418" s="138">
        <v>3996.3</v>
      </c>
      <c r="F418" s="54">
        <f t="shared" si="15"/>
        <v>10.6</v>
      </c>
      <c r="G418" s="54">
        <f t="shared" si="28"/>
        <v>0.6</v>
      </c>
      <c r="H418" s="138">
        <v>230.0</v>
      </c>
      <c r="I418" s="54"/>
      <c r="J418" s="54"/>
      <c r="K418" s="54"/>
      <c r="L418" s="54"/>
      <c r="M418" s="54"/>
      <c r="N418" s="54"/>
      <c r="O418" s="174"/>
      <c r="P418" s="174"/>
      <c r="Q418" s="174"/>
      <c r="R418" s="174"/>
    </row>
    <row r="419" ht="14.25" customHeight="1">
      <c r="B419" s="140">
        <v>45646.0</v>
      </c>
      <c r="C419" s="141" t="str">
        <f t="shared" si="1"/>
        <v>12-2024</v>
      </c>
      <c r="D419" s="54">
        <f t="shared" si="56"/>
        <v>3996.3</v>
      </c>
      <c r="E419" s="138">
        <v>4007.5</v>
      </c>
      <c r="F419" s="54">
        <f t="shared" si="15"/>
        <v>11.2</v>
      </c>
      <c r="G419" s="54">
        <f t="shared" si="28"/>
        <v>1.2</v>
      </c>
      <c r="H419" s="54"/>
      <c r="I419" s="54"/>
      <c r="J419" s="54"/>
      <c r="K419" s="54"/>
      <c r="L419" s="54"/>
      <c r="M419" s="54"/>
      <c r="N419" s="54"/>
      <c r="O419" s="174"/>
      <c r="P419" s="174"/>
      <c r="Q419" s="174"/>
      <c r="R419" s="174"/>
    </row>
    <row r="420" ht="14.25" customHeight="1">
      <c r="B420" s="145">
        <v>45647.0</v>
      </c>
      <c r="C420" s="141" t="str">
        <f t="shared" si="1"/>
        <v>12-2024</v>
      </c>
      <c r="D420" s="54">
        <f t="shared" si="56"/>
        <v>4007.5</v>
      </c>
      <c r="E420" s="138">
        <v>4013.2</v>
      </c>
      <c r="F420" s="54">
        <f t="shared" si="15"/>
        <v>5.7</v>
      </c>
      <c r="G420" s="54">
        <f t="shared" si="28"/>
        <v>-4.3</v>
      </c>
      <c r="H420" s="54"/>
      <c r="I420" s="54"/>
      <c r="J420" s="54"/>
      <c r="K420" s="54"/>
      <c r="L420" s="54"/>
      <c r="M420" s="54"/>
      <c r="N420" s="54"/>
      <c r="O420" s="174"/>
      <c r="P420" s="174"/>
      <c r="Q420" s="174"/>
      <c r="R420" s="174"/>
    </row>
    <row r="421" ht="14.25" customHeight="1">
      <c r="B421" s="145">
        <v>45648.0</v>
      </c>
      <c r="C421" s="141" t="str">
        <f t="shared" si="1"/>
        <v>12-2024</v>
      </c>
      <c r="D421" s="54"/>
      <c r="E421" s="138"/>
      <c r="F421" s="54">
        <f t="shared" si="15"/>
        <v>0</v>
      </c>
      <c r="G421" s="54">
        <f t="shared" si="28"/>
        <v>-10</v>
      </c>
      <c r="H421" s="54"/>
      <c r="I421" s="54"/>
      <c r="J421" s="54"/>
      <c r="K421" s="54"/>
      <c r="L421" s="54"/>
      <c r="M421" s="54"/>
      <c r="N421" s="54"/>
      <c r="O421" s="174"/>
      <c r="P421" s="174"/>
      <c r="Q421" s="174"/>
      <c r="R421" s="174"/>
    </row>
    <row r="422" ht="14.25" customHeight="1">
      <c r="B422" s="140">
        <v>45649.0</v>
      </c>
      <c r="C422" s="141" t="str">
        <f t="shared" si="1"/>
        <v>12-2024</v>
      </c>
      <c r="D422" s="54" t="str">
        <f t="shared" ref="D422:D425" si="57">E421</f>
        <v/>
      </c>
      <c r="E422" s="138"/>
      <c r="F422" s="54">
        <f t="shared" si="15"/>
        <v>0</v>
      </c>
      <c r="G422" s="54">
        <f t="shared" si="28"/>
        <v>-10</v>
      </c>
      <c r="H422" s="54"/>
      <c r="I422" s="54"/>
      <c r="J422" s="54"/>
      <c r="K422" s="54"/>
      <c r="L422" s="54"/>
      <c r="M422" s="54"/>
      <c r="N422" s="54"/>
      <c r="O422" s="174"/>
      <c r="P422" s="174"/>
      <c r="Q422" s="174"/>
      <c r="R422" s="174"/>
    </row>
    <row r="423" ht="14.25" customHeight="1">
      <c r="B423" s="140">
        <v>45650.0</v>
      </c>
      <c r="C423" s="141" t="str">
        <f t="shared" si="1"/>
        <v>12-2024</v>
      </c>
      <c r="D423" s="54" t="str">
        <f t="shared" si="57"/>
        <v/>
      </c>
      <c r="E423" s="138"/>
      <c r="F423" s="54">
        <f t="shared" si="15"/>
        <v>0</v>
      </c>
      <c r="G423" s="54">
        <f t="shared" si="28"/>
        <v>-10</v>
      </c>
      <c r="H423" s="54"/>
      <c r="I423" s="54"/>
      <c r="J423" s="54"/>
      <c r="K423" s="54"/>
      <c r="L423" s="54"/>
      <c r="M423" s="54"/>
      <c r="N423" s="54"/>
      <c r="O423" s="174"/>
      <c r="P423" s="174"/>
      <c r="Q423" s="174"/>
      <c r="R423" s="174"/>
    </row>
    <row r="424" ht="14.25" customHeight="1">
      <c r="B424" s="151">
        <v>45651.0</v>
      </c>
      <c r="C424" s="141" t="str">
        <f t="shared" si="1"/>
        <v>12-2024</v>
      </c>
      <c r="D424" s="54" t="str">
        <f t="shared" si="57"/>
        <v/>
      </c>
      <c r="E424" s="138"/>
      <c r="F424" s="54">
        <f t="shared" si="15"/>
        <v>0</v>
      </c>
      <c r="G424" s="54">
        <f t="shared" si="28"/>
        <v>-10</v>
      </c>
      <c r="H424" s="54"/>
      <c r="I424" s="54"/>
      <c r="J424" s="54"/>
      <c r="K424" s="54"/>
      <c r="L424" s="54"/>
      <c r="M424" s="54"/>
      <c r="N424" s="54"/>
      <c r="O424" s="174"/>
      <c r="P424" s="174"/>
      <c r="Q424" s="174"/>
      <c r="R424" s="174"/>
    </row>
    <row r="425" ht="14.25" customHeight="1">
      <c r="B425" s="140">
        <v>45652.0</v>
      </c>
      <c r="C425" s="141" t="str">
        <f t="shared" si="1"/>
        <v>12-2024</v>
      </c>
      <c r="D425" s="54" t="str">
        <f t="shared" si="57"/>
        <v/>
      </c>
      <c r="E425" s="54"/>
      <c r="F425" s="54">
        <f t="shared" si="15"/>
        <v>0</v>
      </c>
      <c r="G425" s="54">
        <f t="shared" si="28"/>
        <v>-10</v>
      </c>
      <c r="H425" s="54"/>
      <c r="I425" s="54"/>
      <c r="J425" s="54"/>
      <c r="K425" s="54"/>
      <c r="L425" s="54"/>
      <c r="M425" s="54"/>
      <c r="N425" s="54"/>
      <c r="O425" s="174"/>
      <c r="P425" s="174"/>
      <c r="Q425" s="174"/>
      <c r="R425" s="174"/>
    </row>
    <row r="426" ht="14.25" customHeight="1">
      <c r="B426" s="140">
        <v>45653.0</v>
      </c>
      <c r="C426" s="141" t="str">
        <f t="shared" si="1"/>
        <v>12-2024</v>
      </c>
      <c r="D426" s="138">
        <v>4013.2</v>
      </c>
      <c r="E426" s="138">
        <v>4024.3</v>
      </c>
      <c r="F426" s="54">
        <f t="shared" si="15"/>
        <v>11.1</v>
      </c>
      <c r="G426" s="54">
        <f t="shared" si="28"/>
        <v>1.1</v>
      </c>
      <c r="H426" s="138">
        <v>235.0</v>
      </c>
      <c r="I426" s="54"/>
      <c r="J426" s="54"/>
      <c r="K426" s="54"/>
      <c r="L426" s="54"/>
      <c r="M426" s="54"/>
      <c r="N426" s="54"/>
      <c r="O426" s="174"/>
      <c r="P426" s="174"/>
      <c r="Q426" s="174"/>
      <c r="R426" s="174"/>
    </row>
    <row r="427" ht="14.25" customHeight="1">
      <c r="B427" s="145">
        <v>45654.0</v>
      </c>
      <c r="C427" s="141" t="str">
        <f t="shared" si="1"/>
        <v>12-2024</v>
      </c>
      <c r="D427" s="54">
        <f>E426</f>
        <v>4024.3</v>
      </c>
      <c r="E427" s="138">
        <v>4029.3</v>
      </c>
      <c r="F427" s="54">
        <f t="shared" si="15"/>
        <v>5</v>
      </c>
      <c r="G427" s="54">
        <f t="shared" si="28"/>
        <v>-5</v>
      </c>
      <c r="H427" s="54"/>
      <c r="I427" s="54"/>
      <c r="J427" s="54"/>
      <c r="K427" s="54"/>
      <c r="L427" s="54"/>
      <c r="M427" s="54"/>
      <c r="N427" s="54"/>
      <c r="O427" s="174"/>
      <c r="P427" s="174"/>
      <c r="Q427" s="174"/>
      <c r="R427" s="174"/>
    </row>
    <row r="428" ht="14.25" customHeight="1">
      <c r="B428" s="145">
        <v>45655.0</v>
      </c>
      <c r="C428" s="141" t="str">
        <f t="shared" si="1"/>
        <v>12-2024</v>
      </c>
      <c r="D428" s="54"/>
      <c r="E428" s="138"/>
      <c r="F428" s="54">
        <f t="shared" si="15"/>
        <v>0</v>
      </c>
      <c r="G428" s="54">
        <f t="shared" si="28"/>
        <v>-10</v>
      </c>
      <c r="H428" s="54"/>
      <c r="I428" s="54"/>
      <c r="J428" s="54"/>
      <c r="K428" s="54"/>
      <c r="L428" s="54"/>
      <c r="M428" s="54"/>
      <c r="N428" s="54"/>
      <c r="O428" s="174"/>
      <c r="P428" s="174"/>
      <c r="Q428" s="174"/>
      <c r="R428" s="174"/>
    </row>
    <row r="429" ht="14.25" customHeight="1">
      <c r="B429" s="140">
        <v>45656.0</v>
      </c>
      <c r="C429" s="141" t="str">
        <f t="shared" si="1"/>
        <v>12-2024</v>
      </c>
      <c r="D429" s="138">
        <v>4029.3</v>
      </c>
      <c r="E429" s="138">
        <v>4032.7</v>
      </c>
      <c r="F429" s="54">
        <f t="shared" si="15"/>
        <v>3.4</v>
      </c>
      <c r="G429" s="54">
        <f t="shared" si="28"/>
        <v>-6.6</v>
      </c>
      <c r="H429" s="54"/>
      <c r="I429" s="54"/>
      <c r="J429" s="54"/>
      <c r="K429" s="54"/>
      <c r="L429" s="54"/>
      <c r="M429" s="54"/>
      <c r="N429" s="54"/>
      <c r="O429" s="174"/>
      <c r="P429" s="174"/>
      <c r="Q429" s="174"/>
      <c r="R429" s="174"/>
    </row>
    <row r="430" ht="14.25" customHeight="1">
      <c r="B430" s="140">
        <v>45657.0</v>
      </c>
      <c r="C430" s="141" t="str">
        <f t="shared" si="1"/>
        <v>12-2024</v>
      </c>
      <c r="D430" s="54">
        <f>E429</f>
        <v>4032.7</v>
      </c>
      <c r="E430" s="138">
        <v>4040.2</v>
      </c>
      <c r="F430" s="54">
        <f t="shared" si="15"/>
        <v>7.5</v>
      </c>
      <c r="G430" s="54">
        <f t="shared" si="28"/>
        <v>-2.5</v>
      </c>
      <c r="H430" s="54"/>
      <c r="I430" s="54"/>
      <c r="J430" s="54"/>
      <c r="K430" s="54"/>
      <c r="L430" s="54"/>
      <c r="M430" s="54"/>
      <c r="N430" s="54"/>
      <c r="O430" s="174"/>
      <c r="P430" s="174"/>
      <c r="Q430" s="174"/>
      <c r="R430" s="174"/>
    </row>
    <row r="431" ht="14.25" customHeight="1">
      <c r="B431" s="152">
        <v>45658.0</v>
      </c>
      <c r="C431" s="141" t="str">
        <f t="shared" si="1"/>
        <v>1-2025</v>
      </c>
      <c r="D431" s="54"/>
      <c r="E431" s="54"/>
      <c r="F431" s="54">
        <f t="shared" si="15"/>
        <v>0</v>
      </c>
      <c r="G431" s="54">
        <f t="shared" si="28"/>
        <v>-10</v>
      </c>
      <c r="H431" s="54"/>
      <c r="I431" s="54"/>
      <c r="J431" s="54"/>
      <c r="K431" s="54"/>
      <c r="L431" s="54"/>
      <c r="M431" s="54"/>
      <c r="N431" s="54"/>
      <c r="O431" s="174"/>
      <c r="P431" s="174"/>
      <c r="Q431" s="174"/>
      <c r="R431" s="174"/>
    </row>
    <row r="432" ht="14.25" customHeight="1">
      <c r="B432" s="140">
        <v>45659.0</v>
      </c>
      <c r="C432" s="141" t="str">
        <f t="shared" si="1"/>
        <v>1-2025</v>
      </c>
      <c r="D432" s="54" t="str">
        <f t="shared" ref="D432:D436" si="58">E431</f>
        <v/>
      </c>
      <c r="E432" s="54"/>
      <c r="F432" s="54">
        <f t="shared" si="15"/>
        <v>0</v>
      </c>
      <c r="G432" s="54">
        <f t="shared" si="28"/>
        <v>-10</v>
      </c>
      <c r="H432" s="54"/>
      <c r="I432" s="54"/>
      <c r="J432" s="54"/>
      <c r="K432" s="54"/>
      <c r="L432" s="54"/>
      <c r="M432" s="54"/>
      <c r="N432" s="54"/>
      <c r="O432" s="174"/>
      <c r="P432" s="174"/>
      <c r="Q432" s="174"/>
      <c r="R432" s="174"/>
    </row>
    <row r="433" ht="14.25" customHeight="1">
      <c r="B433" s="140">
        <v>45660.0</v>
      </c>
      <c r="C433" s="141" t="str">
        <f t="shared" si="1"/>
        <v>1-2025</v>
      </c>
      <c r="D433" s="54" t="str">
        <f t="shared" si="58"/>
        <v/>
      </c>
      <c r="E433" s="54"/>
      <c r="F433" s="54">
        <f t="shared" si="15"/>
        <v>0</v>
      </c>
      <c r="G433" s="54">
        <f t="shared" si="28"/>
        <v>-10</v>
      </c>
      <c r="H433" s="54"/>
      <c r="I433" s="54"/>
      <c r="J433" s="54"/>
      <c r="K433" s="54"/>
      <c r="L433" s="54"/>
      <c r="M433" s="54"/>
      <c r="N433" s="54"/>
      <c r="O433" s="174"/>
      <c r="P433" s="174"/>
      <c r="Q433" s="174"/>
      <c r="R433" s="174"/>
    </row>
    <row r="434" ht="14.25" customHeight="1">
      <c r="B434" s="152">
        <v>45661.0</v>
      </c>
      <c r="C434" s="141" t="str">
        <f t="shared" si="1"/>
        <v>1-2025</v>
      </c>
      <c r="D434" s="54" t="str">
        <f t="shared" si="58"/>
        <v/>
      </c>
      <c r="E434" s="54"/>
      <c r="F434" s="54">
        <f t="shared" si="15"/>
        <v>0</v>
      </c>
      <c r="G434" s="54">
        <f t="shared" si="28"/>
        <v>-10</v>
      </c>
      <c r="H434" s="54"/>
      <c r="I434" s="54"/>
      <c r="J434" s="54"/>
      <c r="K434" s="54"/>
      <c r="L434" s="54"/>
      <c r="M434" s="54"/>
      <c r="N434" s="54"/>
      <c r="O434" s="174"/>
      <c r="P434" s="174"/>
      <c r="Q434" s="174"/>
      <c r="R434" s="174"/>
    </row>
    <row r="435" ht="14.25" customHeight="1">
      <c r="B435" s="152">
        <v>45662.0</v>
      </c>
      <c r="C435" s="141" t="str">
        <f t="shared" si="1"/>
        <v>1-2025</v>
      </c>
      <c r="D435" s="54" t="str">
        <f t="shared" si="58"/>
        <v/>
      </c>
      <c r="E435" s="54"/>
      <c r="F435" s="54">
        <f t="shared" si="15"/>
        <v>0</v>
      </c>
      <c r="G435" s="54">
        <f t="shared" si="28"/>
        <v>-10</v>
      </c>
      <c r="H435" s="54"/>
      <c r="I435" s="54"/>
      <c r="J435" s="54"/>
      <c r="K435" s="54"/>
      <c r="L435" s="54"/>
      <c r="M435" s="54"/>
      <c r="N435" s="54"/>
      <c r="O435" s="174"/>
      <c r="P435" s="174"/>
      <c r="Q435" s="174"/>
      <c r="R435" s="174"/>
    </row>
    <row r="436" ht="14.25" customHeight="1">
      <c r="B436" s="140">
        <v>45663.0</v>
      </c>
      <c r="C436" s="141" t="str">
        <f t="shared" si="1"/>
        <v>1-2025</v>
      </c>
      <c r="D436" s="54" t="str">
        <f t="shared" si="58"/>
        <v/>
      </c>
      <c r="E436" s="54"/>
      <c r="F436" s="54">
        <f t="shared" si="15"/>
        <v>0</v>
      </c>
      <c r="G436" s="54">
        <f t="shared" si="28"/>
        <v>-10</v>
      </c>
      <c r="H436" s="54"/>
      <c r="I436" s="54"/>
      <c r="J436" s="54"/>
      <c r="K436" s="54"/>
      <c r="L436" s="54"/>
      <c r="M436" s="54"/>
      <c r="N436" s="54"/>
      <c r="O436" s="174"/>
      <c r="P436" s="174"/>
      <c r="Q436" s="174"/>
      <c r="R436" s="174"/>
    </row>
    <row r="437" ht="14.25" customHeight="1">
      <c r="B437" s="140">
        <v>45664.0</v>
      </c>
      <c r="C437" s="141" t="str">
        <f t="shared" si="1"/>
        <v>1-2025</v>
      </c>
      <c r="D437" s="138">
        <v>4040.2</v>
      </c>
      <c r="E437" s="138">
        <v>4046.8</v>
      </c>
      <c r="F437" s="54">
        <f t="shared" si="15"/>
        <v>6.6</v>
      </c>
      <c r="G437" s="54">
        <f t="shared" si="28"/>
        <v>-3.4</v>
      </c>
      <c r="H437" s="54"/>
      <c r="I437" s="54"/>
      <c r="J437" s="54"/>
      <c r="K437" s="54"/>
      <c r="L437" s="54"/>
      <c r="M437" s="54"/>
      <c r="N437" s="54"/>
      <c r="O437" s="174"/>
      <c r="P437" s="174"/>
      <c r="Q437" s="174"/>
      <c r="R437" s="174"/>
    </row>
    <row r="438" ht="14.25" customHeight="1">
      <c r="B438" s="140">
        <v>45665.0</v>
      </c>
      <c r="C438" s="141" t="str">
        <f t="shared" si="1"/>
        <v>1-2025</v>
      </c>
      <c r="D438" s="54">
        <f t="shared" ref="D438:D441" si="59">E437</f>
        <v>4046.8</v>
      </c>
      <c r="E438" s="138">
        <v>4056.1</v>
      </c>
      <c r="F438" s="54">
        <f t="shared" si="15"/>
        <v>9.3</v>
      </c>
      <c r="G438" s="54">
        <f t="shared" si="28"/>
        <v>-0.7</v>
      </c>
      <c r="H438" s="138">
        <v>170.0</v>
      </c>
      <c r="I438" s="54"/>
      <c r="J438" s="54"/>
      <c r="K438" s="54"/>
      <c r="L438" s="54"/>
      <c r="M438" s="54"/>
      <c r="N438" s="54"/>
      <c r="O438" s="174"/>
      <c r="P438" s="174"/>
      <c r="Q438" s="174"/>
      <c r="R438" s="174"/>
    </row>
    <row r="439" ht="14.25" customHeight="1">
      <c r="B439" s="140">
        <v>45666.0</v>
      </c>
      <c r="C439" s="141" t="str">
        <f t="shared" si="1"/>
        <v>1-2025</v>
      </c>
      <c r="D439" s="54">
        <f t="shared" si="59"/>
        <v>4056.1</v>
      </c>
      <c r="E439" s="138">
        <v>4066.6</v>
      </c>
      <c r="F439" s="54">
        <f t="shared" si="15"/>
        <v>10.5</v>
      </c>
      <c r="G439" s="54">
        <f t="shared" si="28"/>
        <v>0.5</v>
      </c>
      <c r="H439" s="138">
        <v>200.0</v>
      </c>
      <c r="I439" s="54"/>
      <c r="J439" s="54"/>
      <c r="K439" s="54"/>
      <c r="L439" s="54"/>
      <c r="M439" s="54"/>
      <c r="N439" s="54"/>
      <c r="O439" s="174"/>
      <c r="P439" s="174"/>
      <c r="Q439" s="174"/>
      <c r="R439" s="174"/>
    </row>
    <row r="440" ht="14.25" customHeight="1">
      <c r="B440" s="140">
        <v>45667.0</v>
      </c>
      <c r="C440" s="141" t="str">
        <f t="shared" si="1"/>
        <v>1-2025</v>
      </c>
      <c r="D440" s="54">
        <f t="shared" si="59"/>
        <v>4066.6</v>
      </c>
      <c r="E440" s="138">
        <v>4077.5</v>
      </c>
      <c r="F440" s="54">
        <f t="shared" si="15"/>
        <v>10.9</v>
      </c>
      <c r="G440" s="54">
        <f t="shared" si="28"/>
        <v>0.9</v>
      </c>
      <c r="H440" s="138">
        <v>200.0</v>
      </c>
      <c r="I440" s="54"/>
      <c r="J440" s="54"/>
      <c r="K440" s="54"/>
      <c r="L440" s="54"/>
      <c r="M440" s="54"/>
      <c r="N440" s="54"/>
      <c r="O440" s="174"/>
      <c r="P440" s="174"/>
      <c r="Q440" s="174"/>
      <c r="R440" s="174"/>
    </row>
    <row r="441" ht="14.25" customHeight="1">
      <c r="B441" s="152">
        <v>45668.0</v>
      </c>
      <c r="C441" s="141" t="str">
        <f t="shared" si="1"/>
        <v>1-2025</v>
      </c>
      <c r="D441" s="54">
        <f t="shared" si="59"/>
        <v>4077.5</v>
      </c>
      <c r="E441" s="138">
        <v>4086.5</v>
      </c>
      <c r="F441" s="54">
        <f t="shared" si="15"/>
        <v>9</v>
      </c>
      <c r="G441" s="54">
        <f t="shared" si="28"/>
        <v>-1</v>
      </c>
      <c r="H441" s="138">
        <v>200.0</v>
      </c>
      <c r="I441" s="54"/>
      <c r="J441" s="54"/>
      <c r="K441" s="54"/>
      <c r="L441" s="54"/>
      <c r="M441" s="54"/>
      <c r="N441" s="54"/>
      <c r="O441" s="174"/>
      <c r="P441" s="174"/>
      <c r="Q441" s="174"/>
      <c r="R441" s="174"/>
    </row>
    <row r="442" ht="14.25" customHeight="1">
      <c r="B442" s="152">
        <v>45669.0</v>
      </c>
      <c r="C442" s="141" t="str">
        <f t="shared" si="1"/>
        <v>1-2025</v>
      </c>
      <c r="D442" s="54"/>
      <c r="E442" s="54"/>
      <c r="F442" s="54">
        <f t="shared" si="15"/>
        <v>0</v>
      </c>
      <c r="G442" s="54">
        <f t="shared" si="28"/>
        <v>-10</v>
      </c>
      <c r="H442" s="54"/>
      <c r="I442" s="54"/>
      <c r="J442" s="54"/>
      <c r="K442" s="54"/>
      <c r="L442" s="54"/>
      <c r="M442" s="54"/>
      <c r="N442" s="54"/>
      <c r="O442" s="174"/>
      <c r="P442" s="174"/>
      <c r="Q442" s="174"/>
      <c r="R442" s="174"/>
    </row>
    <row r="443" ht="14.25" customHeight="1">
      <c r="B443" s="140">
        <v>45670.0</v>
      </c>
      <c r="C443" s="141" t="str">
        <f t="shared" si="1"/>
        <v>1-2025</v>
      </c>
      <c r="D443" s="138">
        <v>4086.5</v>
      </c>
      <c r="E443" s="138">
        <v>4091.0</v>
      </c>
      <c r="F443" s="54">
        <f t="shared" si="15"/>
        <v>4.5</v>
      </c>
      <c r="G443" s="54">
        <f t="shared" si="28"/>
        <v>-5.5</v>
      </c>
      <c r="H443" s="138">
        <v>100.0</v>
      </c>
      <c r="I443" s="54"/>
      <c r="J443" s="54"/>
      <c r="K443" s="54"/>
      <c r="L443" s="54"/>
      <c r="M443" s="54"/>
      <c r="N443" s="54"/>
      <c r="O443" s="174"/>
      <c r="P443" s="174"/>
      <c r="Q443" s="174"/>
      <c r="R443" s="174"/>
    </row>
    <row r="444" ht="14.25" customHeight="1">
      <c r="B444" s="140">
        <v>45671.0</v>
      </c>
      <c r="C444" s="141" t="str">
        <f t="shared" si="1"/>
        <v>1-2025</v>
      </c>
      <c r="D444" s="54">
        <f t="shared" ref="D444:D445" si="60">E443</f>
        <v>4091</v>
      </c>
      <c r="E444" s="138">
        <v>4100.5</v>
      </c>
      <c r="F444" s="54">
        <f t="shared" si="15"/>
        <v>9.5</v>
      </c>
      <c r="G444" s="54">
        <f t="shared" si="28"/>
        <v>-0.5</v>
      </c>
      <c r="H444" s="138">
        <v>141.647</v>
      </c>
      <c r="I444" s="138" t="s">
        <v>149</v>
      </c>
      <c r="J444" s="54"/>
      <c r="K444" s="54"/>
      <c r="L444" s="54"/>
      <c r="M444" s="54"/>
      <c r="N444" s="54"/>
      <c r="O444" s="174"/>
      <c r="P444" s="174"/>
      <c r="Q444" s="174"/>
      <c r="R444" s="174"/>
    </row>
    <row r="445" ht="14.25" customHeight="1">
      <c r="B445" s="140">
        <v>45672.0</v>
      </c>
      <c r="C445" s="141" t="str">
        <f t="shared" si="1"/>
        <v>1-2025</v>
      </c>
      <c r="D445" s="54">
        <f t="shared" si="60"/>
        <v>4100.5</v>
      </c>
      <c r="E445" s="138">
        <v>4107.0</v>
      </c>
      <c r="F445" s="54">
        <f t="shared" si="15"/>
        <v>6.5</v>
      </c>
      <c r="G445" s="54">
        <f t="shared" si="28"/>
        <v>-3.5</v>
      </c>
      <c r="H445" s="138">
        <v>300.0</v>
      </c>
      <c r="I445" s="54"/>
      <c r="J445" s="54"/>
      <c r="K445" s="54"/>
      <c r="L445" s="54"/>
      <c r="M445" s="54"/>
      <c r="N445" s="54"/>
      <c r="O445" s="174"/>
      <c r="P445" s="174"/>
      <c r="Q445" s="174"/>
      <c r="R445" s="174"/>
    </row>
    <row r="446" ht="14.25" customHeight="1">
      <c r="B446" s="140">
        <v>45673.0</v>
      </c>
      <c r="C446" s="141" t="str">
        <f t="shared" si="1"/>
        <v>1-2025</v>
      </c>
      <c r="D446" s="54"/>
      <c r="E446" s="54"/>
      <c r="F446" s="54">
        <f t="shared" si="15"/>
        <v>0</v>
      </c>
      <c r="G446" s="54">
        <f t="shared" si="28"/>
        <v>-10</v>
      </c>
      <c r="H446" s="54"/>
      <c r="I446" s="54"/>
      <c r="J446" s="54"/>
      <c r="K446" s="54"/>
      <c r="L446" s="54"/>
      <c r="M446" s="54"/>
      <c r="N446" s="54"/>
      <c r="O446" s="174"/>
      <c r="P446" s="174"/>
      <c r="Q446" s="174"/>
      <c r="R446" s="174"/>
    </row>
    <row r="447" ht="14.25" customHeight="1">
      <c r="B447" s="140">
        <v>45674.0</v>
      </c>
      <c r="C447" s="141" t="str">
        <f t="shared" si="1"/>
        <v>1-2025</v>
      </c>
      <c r="D447" s="54" t="str">
        <f t="shared" ref="D447:D458" si="61">E446</f>
        <v/>
      </c>
      <c r="E447" s="54"/>
      <c r="F447" s="54">
        <f t="shared" si="15"/>
        <v>0</v>
      </c>
      <c r="G447" s="54">
        <f t="shared" si="28"/>
        <v>-10</v>
      </c>
      <c r="H447" s="54"/>
      <c r="I447" s="54"/>
      <c r="J447" s="54"/>
      <c r="K447" s="54"/>
      <c r="L447" s="54"/>
      <c r="M447" s="54"/>
      <c r="N447" s="54"/>
      <c r="O447" s="174"/>
      <c r="P447" s="174"/>
      <c r="Q447" s="174"/>
      <c r="R447" s="174"/>
    </row>
    <row r="448" ht="14.25" customHeight="1">
      <c r="B448" s="152">
        <v>45675.0</v>
      </c>
      <c r="C448" s="141" t="str">
        <f t="shared" si="1"/>
        <v>1-2025</v>
      </c>
      <c r="D448" s="54" t="str">
        <f t="shared" si="61"/>
        <v/>
      </c>
      <c r="E448" s="54"/>
      <c r="F448" s="54">
        <f t="shared" si="15"/>
        <v>0</v>
      </c>
      <c r="G448" s="54">
        <f t="shared" si="28"/>
        <v>-10</v>
      </c>
      <c r="H448" s="54"/>
      <c r="I448" s="54"/>
      <c r="J448" s="54"/>
      <c r="K448" s="54"/>
      <c r="L448" s="54"/>
      <c r="M448" s="54"/>
      <c r="N448" s="54"/>
      <c r="O448" s="174"/>
      <c r="P448" s="174"/>
      <c r="Q448" s="174"/>
      <c r="R448" s="174"/>
    </row>
    <row r="449" ht="14.25" customHeight="1">
      <c r="B449" s="152">
        <v>45676.0</v>
      </c>
      <c r="C449" s="141" t="str">
        <f t="shared" si="1"/>
        <v>1-2025</v>
      </c>
      <c r="D449" s="54" t="str">
        <f t="shared" si="61"/>
        <v/>
      </c>
      <c r="E449" s="54"/>
      <c r="F449" s="54">
        <f t="shared" si="15"/>
        <v>0</v>
      </c>
      <c r="G449" s="54">
        <f t="shared" si="28"/>
        <v>-10</v>
      </c>
      <c r="H449" s="54"/>
      <c r="I449" s="54"/>
      <c r="J449" s="54"/>
      <c r="K449" s="54"/>
      <c r="L449" s="54"/>
      <c r="M449" s="54"/>
      <c r="N449" s="54"/>
      <c r="O449" s="174"/>
      <c r="P449" s="174"/>
      <c r="Q449" s="174"/>
      <c r="R449" s="174"/>
    </row>
    <row r="450" ht="14.25" customHeight="1">
      <c r="B450" s="140">
        <v>45677.0</v>
      </c>
      <c r="C450" s="141" t="str">
        <f t="shared" si="1"/>
        <v>1-2025</v>
      </c>
      <c r="D450" s="54" t="str">
        <f t="shared" si="61"/>
        <v/>
      </c>
      <c r="E450" s="54"/>
      <c r="F450" s="54">
        <f t="shared" si="15"/>
        <v>0</v>
      </c>
      <c r="G450" s="54">
        <f t="shared" si="28"/>
        <v>-10</v>
      </c>
      <c r="H450" s="54"/>
      <c r="I450" s="54"/>
      <c r="J450" s="54"/>
      <c r="K450" s="54"/>
      <c r="L450" s="54"/>
      <c r="M450" s="54"/>
      <c r="N450" s="54"/>
      <c r="O450" s="174"/>
      <c r="P450" s="174"/>
      <c r="Q450" s="174"/>
      <c r="R450" s="174"/>
    </row>
    <row r="451" ht="14.25" customHeight="1">
      <c r="B451" s="140">
        <v>45678.0</v>
      </c>
      <c r="C451" s="141" t="str">
        <f t="shared" si="1"/>
        <v>1-2025</v>
      </c>
      <c r="D451" s="54" t="str">
        <f t="shared" si="61"/>
        <v/>
      </c>
      <c r="E451" s="54"/>
      <c r="F451" s="54">
        <f t="shared" si="15"/>
        <v>0</v>
      </c>
      <c r="G451" s="54">
        <f t="shared" si="28"/>
        <v>-10</v>
      </c>
      <c r="H451" s="54"/>
      <c r="I451" s="54"/>
      <c r="J451" s="54"/>
      <c r="K451" s="54"/>
      <c r="L451" s="54"/>
      <c r="M451" s="54"/>
      <c r="N451" s="54"/>
      <c r="O451" s="174"/>
      <c r="P451" s="174"/>
      <c r="Q451" s="174"/>
      <c r="R451" s="174"/>
    </row>
    <row r="452" ht="14.25" customHeight="1">
      <c r="B452" s="140">
        <v>45679.0</v>
      </c>
      <c r="C452" s="141" t="str">
        <f t="shared" si="1"/>
        <v>1-2025</v>
      </c>
      <c r="D452" s="54" t="str">
        <f t="shared" si="61"/>
        <v/>
      </c>
      <c r="E452" s="54"/>
      <c r="F452" s="54">
        <f t="shared" si="15"/>
        <v>0</v>
      </c>
      <c r="G452" s="54">
        <f t="shared" si="28"/>
        <v>-10</v>
      </c>
      <c r="H452" s="54"/>
      <c r="I452" s="54"/>
      <c r="J452" s="54"/>
      <c r="K452" s="54"/>
      <c r="L452" s="54"/>
      <c r="M452" s="54"/>
      <c r="N452" s="54"/>
      <c r="O452" s="174"/>
      <c r="P452" s="174"/>
      <c r="Q452" s="174"/>
      <c r="R452" s="174"/>
    </row>
    <row r="453" ht="14.25" customHeight="1">
      <c r="B453" s="140">
        <v>45680.0</v>
      </c>
      <c r="C453" s="141" t="str">
        <f t="shared" si="1"/>
        <v>1-2025</v>
      </c>
      <c r="D453" s="54" t="str">
        <f t="shared" si="61"/>
        <v/>
      </c>
      <c r="E453" s="54"/>
      <c r="F453" s="54">
        <f t="shared" si="15"/>
        <v>0</v>
      </c>
      <c r="G453" s="54">
        <f t="shared" si="28"/>
        <v>-10</v>
      </c>
      <c r="H453" s="54"/>
      <c r="I453" s="54"/>
      <c r="J453" s="54"/>
      <c r="K453" s="54"/>
      <c r="L453" s="54"/>
      <c r="M453" s="54"/>
      <c r="N453" s="54"/>
      <c r="O453" s="174"/>
      <c r="P453" s="174"/>
      <c r="Q453" s="174"/>
      <c r="R453" s="174"/>
    </row>
    <row r="454" ht="14.25" customHeight="1">
      <c r="B454" s="140">
        <v>45681.0</v>
      </c>
      <c r="C454" s="141" t="str">
        <f t="shared" si="1"/>
        <v>1-2025</v>
      </c>
      <c r="D454" s="54" t="str">
        <f t="shared" si="61"/>
        <v/>
      </c>
      <c r="E454" s="54"/>
      <c r="F454" s="54">
        <f t="shared" si="15"/>
        <v>0</v>
      </c>
      <c r="G454" s="54">
        <f t="shared" si="28"/>
        <v>-10</v>
      </c>
      <c r="H454" s="54"/>
      <c r="I454" s="54"/>
      <c r="J454" s="54"/>
      <c r="K454" s="54"/>
      <c r="L454" s="54"/>
      <c r="M454" s="54"/>
      <c r="N454" s="54"/>
      <c r="O454" s="174"/>
      <c r="P454" s="174"/>
      <c r="Q454" s="174"/>
      <c r="R454" s="174"/>
    </row>
    <row r="455" ht="14.25" customHeight="1">
      <c r="B455" s="152">
        <v>45682.0</v>
      </c>
      <c r="C455" s="141" t="str">
        <f t="shared" si="1"/>
        <v>1-2025</v>
      </c>
      <c r="D455" s="54" t="str">
        <f t="shared" si="61"/>
        <v/>
      </c>
      <c r="E455" s="54"/>
      <c r="F455" s="54">
        <f t="shared" si="15"/>
        <v>0</v>
      </c>
      <c r="G455" s="54">
        <f t="shared" si="28"/>
        <v>-10</v>
      </c>
      <c r="H455" s="54"/>
      <c r="I455" s="54"/>
      <c r="J455" s="54"/>
      <c r="K455" s="54"/>
      <c r="L455" s="54"/>
      <c r="M455" s="54"/>
      <c r="N455" s="54"/>
      <c r="O455" s="174"/>
      <c r="P455" s="174"/>
      <c r="Q455" s="174"/>
      <c r="R455" s="174"/>
    </row>
    <row r="456" ht="14.25" customHeight="1">
      <c r="B456" s="152">
        <v>45683.0</v>
      </c>
      <c r="C456" s="141" t="str">
        <f t="shared" si="1"/>
        <v>1-2025</v>
      </c>
      <c r="D456" s="54" t="str">
        <f t="shared" si="61"/>
        <v/>
      </c>
      <c r="E456" s="54"/>
      <c r="F456" s="54">
        <f t="shared" si="15"/>
        <v>0</v>
      </c>
      <c r="G456" s="54">
        <f t="shared" si="28"/>
        <v>-10</v>
      </c>
      <c r="H456" s="54"/>
      <c r="I456" s="54"/>
      <c r="J456" s="54"/>
      <c r="K456" s="54"/>
      <c r="L456" s="54"/>
      <c r="M456" s="54"/>
      <c r="N456" s="54"/>
      <c r="O456" s="174"/>
      <c r="P456" s="174"/>
      <c r="Q456" s="174"/>
      <c r="R456" s="174"/>
    </row>
    <row r="457" ht="14.25" customHeight="1">
      <c r="B457" s="140">
        <v>45684.0</v>
      </c>
      <c r="C457" s="141" t="str">
        <f t="shared" si="1"/>
        <v>1-2025</v>
      </c>
      <c r="D457" s="54" t="str">
        <f t="shared" si="61"/>
        <v/>
      </c>
      <c r="E457" s="54"/>
      <c r="F457" s="54">
        <f t="shared" si="15"/>
        <v>0</v>
      </c>
      <c r="G457" s="54">
        <f t="shared" si="28"/>
        <v>-10</v>
      </c>
      <c r="H457" s="54"/>
      <c r="I457" s="54"/>
      <c r="J457" s="54"/>
      <c r="K457" s="54"/>
      <c r="L457" s="54"/>
      <c r="M457" s="54"/>
      <c r="N457" s="54"/>
      <c r="O457" s="174"/>
      <c r="P457" s="174"/>
      <c r="Q457" s="174"/>
      <c r="R457" s="174"/>
    </row>
    <row r="458" ht="14.25" customHeight="1">
      <c r="B458" s="140">
        <v>45685.0</v>
      </c>
      <c r="C458" s="141" t="str">
        <f t="shared" si="1"/>
        <v>1-2025</v>
      </c>
      <c r="D458" s="54" t="str">
        <f t="shared" si="61"/>
        <v/>
      </c>
      <c r="E458" s="54"/>
      <c r="F458" s="54">
        <f t="shared" si="15"/>
        <v>0</v>
      </c>
      <c r="G458" s="54">
        <f t="shared" si="28"/>
        <v>-10</v>
      </c>
      <c r="H458" s="54"/>
      <c r="I458" s="54"/>
      <c r="J458" s="54"/>
      <c r="K458" s="54"/>
      <c r="L458" s="54"/>
      <c r="M458" s="54"/>
      <c r="N458" s="54"/>
      <c r="O458" s="174"/>
      <c r="P458" s="174"/>
      <c r="Q458" s="174"/>
      <c r="R458" s="174"/>
    </row>
    <row r="459" ht="14.25" customHeight="1">
      <c r="B459" s="140">
        <v>45686.0</v>
      </c>
      <c r="C459" s="141" t="str">
        <f t="shared" si="1"/>
        <v>1-2025</v>
      </c>
      <c r="D459" s="138">
        <v>4115.0</v>
      </c>
      <c r="E459" s="138">
        <v>4124.0</v>
      </c>
      <c r="F459" s="54">
        <f t="shared" si="15"/>
        <v>9</v>
      </c>
      <c r="G459" s="54">
        <f t="shared" si="28"/>
        <v>-1</v>
      </c>
      <c r="H459" s="138">
        <v>260.0</v>
      </c>
      <c r="I459" s="54"/>
      <c r="J459" s="54"/>
      <c r="K459" s="54"/>
      <c r="L459" s="54"/>
      <c r="M459" s="54"/>
      <c r="N459" s="54"/>
      <c r="O459" s="174"/>
      <c r="P459" s="174"/>
      <c r="Q459" s="174"/>
      <c r="R459" s="174"/>
    </row>
    <row r="460" ht="14.25" customHeight="1">
      <c r="B460" s="140">
        <v>45687.0</v>
      </c>
      <c r="C460" s="141" t="str">
        <f t="shared" si="1"/>
        <v>1-2025</v>
      </c>
      <c r="D460" s="54">
        <f t="shared" ref="D460:D461" si="62">E459</f>
        <v>4124</v>
      </c>
      <c r="E460" s="138">
        <v>4134.1</v>
      </c>
      <c r="F460" s="54">
        <f t="shared" si="15"/>
        <v>10.1</v>
      </c>
      <c r="G460" s="54">
        <f t="shared" si="28"/>
        <v>0.1</v>
      </c>
      <c r="H460" s="138">
        <v>230.0</v>
      </c>
      <c r="I460" s="54"/>
      <c r="J460" s="54"/>
      <c r="K460" s="54"/>
      <c r="L460" s="54"/>
      <c r="M460" s="54"/>
      <c r="N460" s="54"/>
      <c r="O460" s="174"/>
      <c r="P460" s="174"/>
      <c r="Q460" s="174"/>
      <c r="R460" s="174"/>
    </row>
    <row r="461" ht="14.25" customHeight="1">
      <c r="B461" s="140">
        <v>45688.0</v>
      </c>
      <c r="C461" s="141" t="str">
        <f t="shared" si="1"/>
        <v>1-2025</v>
      </c>
      <c r="D461" s="54">
        <f t="shared" si="62"/>
        <v>4134.1</v>
      </c>
      <c r="E461" s="138">
        <v>4140.3</v>
      </c>
      <c r="F461" s="54">
        <f t="shared" si="15"/>
        <v>6.2</v>
      </c>
      <c r="G461" s="54">
        <f t="shared" si="28"/>
        <v>-3.8</v>
      </c>
      <c r="H461" s="54"/>
      <c r="I461" s="54"/>
      <c r="J461" s="54"/>
      <c r="K461" s="54"/>
      <c r="L461" s="54"/>
      <c r="M461" s="54"/>
      <c r="N461" s="54"/>
      <c r="O461" s="174"/>
      <c r="P461" s="174"/>
      <c r="Q461" s="174"/>
      <c r="R461" s="174"/>
    </row>
    <row r="462" ht="14.25" customHeight="1">
      <c r="B462" s="145">
        <v>45689.0</v>
      </c>
      <c r="C462" s="141" t="str">
        <f t="shared" si="1"/>
        <v>2-2025</v>
      </c>
      <c r="D462" s="54"/>
      <c r="E462" s="54"/>
      <c r="F462" s="54">
        <f t="shared" si="15"/>
        <v>0</v>
      </c>
      <c r="G462" s="54">
        <f t="shared" si="28"/>
        <v>-10</v>
      </c>
      <c r="H462" s="54"/>
      <c r="I462" s="54"/>
      <c r="J462" s="54"/>
      <c r="K462" s="54"/>
      <c r="L462" s="54"/>
      <c r="M462" s="54"/>
      <c r="N462" s="54"/>
      <c r="O462" s="174"/>
      <c r="P462" s="174"/>
      <c r="Q462" s="174"/>
      <c r="R462" s="174"/>
    </row>
    <row r="463" ht="14.25" customHeight="1">
      <c r="B463" s="145">
        <v>45690.0</v>
      </c>
      <c r="C463" s="141" t="str">
        <f t="shared" si="1"/>
        <v>2-2025</v>
      </c>
      <c r="D463" s="54" t="str">
        <f>E462</f>
        <v/>
      </c>
      <c r="E463" s="54"/>
      <c r="F463" s="54">
        <f t="shared" si="15"/>
        <v>0</v>
      </c>
      <c r="G463" s="54">
        <f t="shared" si="28"/>
        <v>-10</v>
      </c>
      <c r="H463" s="54"/>
      <c r="I463" s="54"/>
      <c r="J463" s="54"/>
      <c r="K463" s="54"/>
      <c r="L463" s="54"/>
      <c r="M463" s="54"/>
      <c r="N463" s="54"/>
      <c r="O463" s="174"/>
      <c r="P463" s="174"/>
      <c r="Q463" s="174"/>
      <c r="R463" s="174"/>
    </row>
    <row r="464" ht="14.25" customHeight="1">
      <c r="B464" s="140">
        <v>45691.0</v>
      </c>
      <c r="C464" s="141" t="str">
        <f t="shared" si="1"/>
        <v>2-2025</v>
      </c>
      <c r="D464" s="138">
        <v>4140.3</v>
      </c>
      <c r="E464" s="138">
        <v>4149.2</v>
      </c>
      <c r="F464" s="54">
        <f t="shared" si="15"/>
        <v>8.9</v>
      </c>
      <c r="G464" s="54">
        <f t="shared" si="28"/>
        <v>-1.1</v>
      </c>
      <c r="H464" s="54"/>
      <c r="I464" s="54"/>
      <c r="J464" s="54"/>
      <c r="K464" s="54"/>
      <c r="L464" s="54"/>
      <c r="M464" s="54"/>
      <c r="N464" s="54"/>
      <c r="O464" s="174"/>
      <c r="P464" s="174"/>
      <c r="Q464" s="174"/>
      <c r="R464" s="174"/>
    </row>
    <row r="465" ht="14.25" customHeight="1">
      <c r="B465" s="140">
        <v>45692.0</v>
      </c>
      <c r="C465" s="141" t="str">
        <f t="shared" si="1"/>
        <v>2-2025</v>
      </c>
      <c r="D465" s="54">
        <f t="shared" ref="D465:D469" si="63">E464</f>
        <v>4149.2</v>
      </c>
      <c r="E465" s="138">
        <v>4160.1</v>
      </c>
      <c r="F465" s="54">
        <f t="shared" si="15"/>
        <v>10.9</v>
      </c>
      <c r="G465" s="54">
        <f t="shared" si="28"/>
        <v>0.9</v>
      </c>
      <c r="H465" s="54"/>
      <c r="I465" s="54"/>
      <c r="J465" s="54"/>
      <c r="K465" s="54"/>
      <c r="L465" s="54"/>
      <c r="M465" s="54"/>
      <c r="N465" s="54"/>
      <c r="O465" s="174"/>
      <c r="P465" s="174"/>
      <c r="Q465" s="174"/>
      <c r="R465" s="174"/>
    </row>
    <row r="466" ht="14.25" customHeight="1">
      <c r="B466" s="140">
        <v>45693.0</v>
      </c>
      <c r="C466" s="141" t="str">
        <f t="shared" si="1"/>
        <v>2-2025</v>
      </c>
      <c r="D466" s="54">
        <f t="shared" si="63"/>
        <v>4160.1</v>
      </c>
      <c r="E466" s="138">
        <v>4166.4</v>
      </c>
      <c r="F466" s="54">
        <f t="shared" si="15"/>
        <v>6.3</v>
      </c>
      <c r="G466" s="54">
        <f t="shared" si="28"/>
        <v>-3.7</v>
      </c>
      <c r="H466" s="54"/>
      <c r="I466" s="54"/>
      <c r="J466" s="54"/>
      <c r="K466" s="54"/>
      <c r="L466" s="54"/>
      <c r="M466" s="54"/>
      <c r="N466" s="54"/>
      <c r="O466" s="174"/>
      <c r="P466" s="174"/>
      <c r="Q466" s="174"/>
      <c r="R466" s="174"/>
    </row>
    <row r="467" ht="14.25" customHeight="1">
      <c r="B467" s="140">
        <v>45694.0</v>
      </c>
      <c r="C467" s="141" t="str">
        <f t="shared" si="1"/>
        <v>2-2025</v>
      </c>
      <c r="D467" s="54">
        <f t="shared" si="63"/>
        <v>4166.4</v>
      </c>
      <c r="E467" s="138">
        <v>4176.0</v>
      </c>
      <c r="F467" s="54">
        <f t="shared" si="15"/>
        <v>9.6</v>
      </c>
      <c r="G467" s="54">
        <f t="shared" si="28"/>
        <v>-0.4</v>
      </c>
      <c r="H467" s="54"/>
      <c r="I467" s="54"/>
      <c r="J467" s="54"/>
      <c r="K467" s="54"/>
      <c r="L467" s="54"/>
      <c r="M467" s="54"/>
      <c r="N467" s="54"/>
      <c r="O467" s="174"/>
      <c r="P467" s="174"/>
      <c r="Q467" s="174"/>
      <c r="R467" s="174"/>
    </row>
    <row r="468" ht="14.25" customHeight="1">
      <c r="B468" s="140">
        <v>45695.0</v>
      </c>
      <c r="C468" s="141" t="str">
        <f t="shared" si="1"/>
        <v>2-2025</v>
      </c>
      <c r="D468" s="54">
        <f t="shared" si="63"/>
        <v>4176</v>
      </c>
      <c r="E468" s="138">
        <v>4186.5</v>
      </c>
      <c r="F468" s="54">
        <f t="shared" si="15"/>
        <v>10.5</v>
      </c>
      <c r="G468" s="54">
        <f t="shared" si="28"/>
        <v>0.5</v>
      </c>
      <c r="H468" s="54"/>
      <c r="I468" s="54"/>
      <c r="J468" s="54"/>
      <c r="K468" s="54"/>
      <c r="L468" s="54"/>
      <c r="M468" s="54"/>
      <c r="N468" s="54"/>
      <c r="O468" s="174"/>
      <c r="P468" s="174"/>
      <c r="Q468" s="174"/>
      <c r="R468" s="174"/>
    </row>
    <row r="469" ht="14.25" customHeight="1">
      <c r="B469" s="145">
        <v>45696.0</v>
      </c>
      <c r="C469" s="141" t="str">
        <f t="shared" si="1"/>
        <v>2-2025</v>
      </c>
      <c r="D469" s="54">
        <f t="shared" si="63"/>
        <v>4186.5</v>
      </c>
      <c r="E469" s="138">
        <v>4192.4</v>
      </c>
      <c r="F469" s="54">
        <f t="shared" si="15"/>
        <v>5.9</v>
      </c>
      <c r="G469" s="54">
        <f t="shared" si="28"/>
        <v>-4.1</v>
      </c>
      <c r="H469" s="54"/>
      <c r="I469" s="54"/>
      <c r="J469" s="54"/>
      <c r="K469" s="54"/>
      <c r="L469" s="54"/>
      <c r="M469" s="54"/>
      <c r="N469" s="54"/>
      <c r="O469" s="174"/>
      <c r="P469" s="174"/>
      <c r="Q469" s="174"/>
      <c r="R469" s="174"/>
    </row>
    <row r="470" ht="14.25" customHeight="1">
      <c r="B470" s="145">
        <v>45697.0</v>
      </c>
      <c r="C470" s="141" t="str">
        <f t="shared" si="1"/>
        <v>2-2025</v>
      </c>
      <c r="D470" s="54"/>
      <c r="E470" s="54"/>
      <c r="F470" s="54">
        <f t="shared" si="15"/>
        <v>0</v>
      </c>
      <c r="G470" s="54">
        <f t="shared" si="28"/>
        <v>-10</v>
      </c>
      <c r="H470" s="54"/>
      <c r="I470" s="54"/>
      <c r="J470" s="54"/>
      <c r="K470" s="54"/>
      <c r="L470" s="54"/>
      <c r="M470" s="54"/>
      <c r="N470" s="54"/>
      <c r="O470" s="174"/>
      <c r="P470" s="174"/>
      <c r="Q470" s="174"/>
      <c r="R470" s="174"/>
    </row>
    <row r="471" ht="14.25" customHeight="1">
      <c r="B471" s="140">
        <v>45698.0</v>
      </c>
      <c r="C471" s="141" t="str">
        <f t="shared" si="1"/>
        <v>2-2025</v>
      </c>
      <c r="D471" s="138"/>
      <c r="E471" s="138"/>
      <c r="F471" s="54">
        <f t="shared" si="15"/>
        <v>0</v>
      </c>
      <c r="G471" s="54">
        <f t="shared" si="28"/>
        <v>-10</v>
      </c>
      <c r="H471" s="54"/>
      <c r="I471" s="54"/>
      <c r="J471" s="54"/>
      <c r="K471" s="54"/>
      <c r="L471" s="54"/>
      <c r="M471" s="54"/>
      <c r="N471" s="54"/>
      <c r="O471" s="174"/>
      <c r="P471" s="174"/>
      <c r="Q471" s="174"/>
      <c r="R471" s="174"/>
    </row>
    <row r="472" ht="14.25" customHeight="1">
      <c r="B472" s="140">
        <v>45699.0</v>
      </c>
      <c r="C472" s="141" t="str">
        <f t="shared" si="1"/>
        <v>2-2025</v>
      </c>
      <c r="D472" s="138">
        <v>4192.4</v>
      </c>
      <c r="E472" s="138">
        <v>4203.1</v>
      </c>
      <c r="F472" s="54">
        <f t="shared" si="15"/>
        <v>10.7</v>
      </c>
      <c r="G472" s="54">
        <f t="shared" si="28"/>
        <v>0.7</v>
      </c>
      <c r="H472" s="54"/>
      <c r="I472" s="54"/>
      <c r="J472" s="54"/>
      <c r="K472" s="54"/>
      <c r="L472" s="54"/>
      <c r="M472" s="54"/>
      <c r="N472" s="54"/>
      <c r="O472" s="174"/>
      <c r="P472" s="174"/>
      <c r="Q472" s="174"/>
      <c r="R472" s="174"/>
    </row>
    <row r="473" ht="14.25" customHeight="1">
      <c r="B473" s="140">
        <v>45700.0</v>
      </c>
      <c r="C473" s="141" t="str">
        <f t="shared" si="1"/>
        <v>2-2025</v>
      </c>
      <c r="D473" s="54">
        <f t="shared" ref="D473:D474" si="64">E472</f>
        <v>4203.1</v>
      </c>
      <c r="E473" s="138">
        <v>4212.8</v>
      </c>
      <c r="F473" s="54">
        <f t="shared" si="15"/>
        <v>9.7</v>
      </c>
      <c r="G473" s="54">
        <f t="shared" si="28"/>
        <v>-0.3</v>
      </c>
      <c r="H473" s="54"/>
      <c r="I473" s="54"/>
      <c r="J473" s="54"/>
      <c r="K473" s="54"/>
      <c r="L473" s="54"/>
      <c r="M473" s="54"/>
      <c r="N473" s="54"/>
      <c r="O473" s="174"/>
      <c r="P473" s="174"/>
      <c r="Q473" s="174"/>
      <c r="R473" s="174"/>
    </row>
    <row r="474" ht="14.25" customHeight="1">
      <c r="B474" s="140">
        <v>45701.0</v>
      </c>
      <c r="C474" s="141" t="str">
        <f t="shared" si="1"/>
        <v>2-2025</v>
      </c>
      <c r="D474" s="54">
        <f t="shared" si="64"/>
        <v>4212.8</v>
      </c>
      <c r="E474" s="138">
        <v>4222.5</v>
      </c>
      <c r="F474" s="54">
        <f t="shared" si="15"/>
        <v>9.7</v>
      </c>
      <c r="G474" s="54">
        <f t="shared" si="28"/>
        <v>-0.3</v>
      </c>
      <c r="H474" s="54"/>
      <c r="I474" s="54"/>
      <c r="J474" s="54"/>
      <c r="K474" s="54"/>
      <c r="L474" s="54"/>
      <c r="M474" s="54"/>
      <c r="N474" s="54"/>
      <c r="O474" s="174"/>
      <c r="P474" s="174"/>
      <c r="Q474" s="174"/>
      <c r="R474" s="174"/>
    </row>
    <row r="475" ht="14.25" customHeight="1">
      <c r="B475" s="140">
        <v>45702.0</v>
      </c>
      <c r="C475" s="141" t="str">
        <f t="shared" si="1"/>
        <v>2-2025</v>
      </c>
      <c r="D475" s="138">
        <v>4222.5</v>
      </c>
      <c r="E475" s="138">
        <v>4229.5</v>
      </c>
      <c r="F475" s="54">
        <f t="shared" si="15"/>
        <v>7</v>
      </c>
      <c r="G475" s="54">
        <f t="shared" si="28"/>
        <v>-3</v>
      </c>
      <c r="H475" s="54"/>
      <c r="I475" s="54"/>
      <c r="J475" s="54"/>
      <c r="K475" s="54"/>
      <c r="L475" s="54"/>
      <c r="M475" s="54"/>
      <c r="N475" s="54"/>
      <c r="O475" s="174"/>
      <c r="P475" s="174"/>
      <c r="Q475" s="174"/>
      <c r="R475" s="174"/>
    </row>
    <row r="476" ht="14.25" customHeight="1">
      <c r="B476" s="145">
        <v>45703.0</v>
      </c>
      <c r="C476" s="141" t="str">
        <f t="shared" si="1"/>
        <v>2-2025</v>
      </c>
      <c r="D476" s="54"/>
      <c r="E476" s="54"/>
      <c r="F476" s="54">
        <f t="shared" si="15"/>
        <v>0</v>
      </c>
      <c r="G476" s="54">
        <f t="shared" si="28"/>
        <v>-10</v>
      </c>
      <c r="H476" s="54"/>
      <c r="I476" s="54"/>
      <c r="J476" s="54"/>
      <c r="K476" s="54"/>
      <c r="L476" s="54"/>
      <c r="M476" s="54"/>
      <c r="N476" s="54"/>
      <c r="O476" s="174"/>
      <c r="P476" s="174"/>
      <c r="Q476" s="174"/>
      <c r="R476" s="174"/>
    </row>
    <row r="477" ht="14.25" customHeight="1">
      <c r="B477" s="145">
        <v>45704.0</v>
      </c>
      <c r="C477" s="141" t="str">
        <f t="shared" si="1"/>
        <v>2-2025</v>
      </c>
      <c r="D477" s="54" t="str">
        <f>E476</f>
        <v/>
      </c>
      <c r="E477" s="54"/>
      <c r="F477" s="54">
        <f t="shared" si="15"/>
        <v>0</v>
      </c>
      <c r="G477" s="54">
        <f t="shared" si="28"/>
        <v>-10</v>
      </c>
      <c r="H477" s="54"/>
      <c r="I477" s="54"/>
      <c r="J477" s="54"/>
      <c r="K477" s="54"/>
      <c r="L477" s="54"/>
      <c r="M477" s="54"/>
      <c r="N477" s="54"/>
      <c r="O477" s="174"/>
      <c r="P477" s="174"/>
      <c r="Q477" s="174"/>
      <c r="R477" s="174"/>
    </row>
    <row r="478" ht="14.25" customHeight="1">
      <c r="B478" s="140">
        <v>45705.0</v>
      </c>
      <c r="C478" s="141" t="str">
        <f t="shared" si="1"/>
        <v>2-2025</v>
      </c>
      <c r="D478" s="138">
        <v>4229.5</v>
      </c>
      <c r="E478" s="138">
        <v>4239.4</v>
      </c>
      <c r="F478" s="54">
        <f t="shared" si="15"/>
        <v>9.9</v>
      </c>
      <c r="G478" s="54">
        <f t="shared" si="28"/>
        <v>-0.1</v>
      </c>
      <c r="H478" s="54"/>
      <c r="I478" s="54"/>
      <c r="J478" s="54"/>
      <c r="K478" s="54"/>
      <c r="L478" s="54"/>
      <c r="M478" s="54"/>
      <c r="N478" s="54"/>
      <c r="O478" s="174"/>
      <c r="P478" s="174"/>
      <c r="Q478" s="174"/>
      <c r="R478" s="174"/>
    </row>
    <row r="479" ht="14.25" customHeight="1">
      <c r="B479" s="140">
        <v>45706.0</v>
      </c>
      <c r="C479" s="141" t="str">
        <f t="shared" si="1"/>
        <v>2-2025</v>
      </c>
      <c r="D479" s="54">
        <f t="shared" ref="D479:D482" si="65">E478</f>
        <v>4239.4</v>
      </c>
      <c r="E479" s="138">
        <v>4246.2</v>
      </c>
      <c r="F479" s="54">
        <f t="shared" si="15"/>
        <v>6.8</v>
      </c>
      <c r="G479" s="54">
        <f t="shared" si="28"/>
        <v>-3.2</v>
      </c>
      <c r="H479" s="54"/>
      <c r="I479" s="54"/>
      <c r="J479" s="54"/>
      <c r="K479" s="54"/>
      <c r="L479" s="54"/>
      <c r="M479" s="54"/>
      <c r="N479" s="54"/>
      <c r="O479" s="174"/>
      <c r="P479" s="174"/>
      <c r="Q479" s="174"/>
      <c r="R479" s="174"/>
    </row>
    <row r="480" ht="14.25" customHeight="1">
      <c r="B480" s="140">
        <v>45707.0</v>
      </c>
      <c r="C480" s="141" t="str">
        <f t="shared" si="1"/>
        <v>2-2025</v>
      </c>
      <c r="D480" s="54">
        <f t="shared" si="65"/>
        <v>4246.2</v>
      </c>
      <c r="E480" s="138">
        <v>4257.0</v>
      </c>
      <c r="F480" s="54">
        <f t="shared" si="15"/>
        <v>10.8</v>
      </c>
      <c r="G480" s="54">
        <f t="shared" si="28"/>
        <v>0.8</v>
      </c>
      <c r="H480" s="54"/>
      <c r="I480" s="54"/>
      <c r="J480" s="54"/>
      <c r="K480" s="54"/>
      <c r="L480" s="54"/>
      <c r="M480" s="54"/>
      <c r="N480" s="54"/>
      <c r="O480" s="174"/>
      <c r="P480" s="174"/>
      <c r="Q480" s="174"/>
      <c r="R480" s="174"/>
    </row>
    <row r="481" ht="14.25" customHeight="1">
      <c r="B481" s="140">
        <v>45708.0</v>
      </c>
      <c r="C481" s="141" t="str">
        <f t="shared" si="1"/>
        <v>2-2025</v>
      </c>
      <c r="D481" s="54">
        <f t="shared" si="65"/>
        <v>4257</v>
      </c>
      <c r="E481" s="138">
        <v>4265.9</v>
      </c>
      <c r="F481" s="54">
        <f t="shared" si="15"/>
        <v>8.9</v>
      </c>
      <c r="G481" s="54">
        <f t="shared" si="28"/>
        <v>-1.1</v>
      </c>
      <c r="H481" s="54"/>
      <c r="I481" s="54"/>
      <c r="J481" s="54"/>
      <c r="K481" s="54"/>
      <c r="L481" s="54"/>
      <c r="M481" s="54"/>
      <c r="N481" s="54"/>
      <c r="O481" s="174"/>
      <c r="P481" s="174"/>
      <c r="Q481" s="174"/>
      <c r="R481" s="174"/>
    </row>
    <row r="482" ht="14.25" customHeight="1">
      <c r="B482" s="140">
        <v>45709.0</v>
      </c>
      <c r="C482" s="141" t="str">
        <f t="shared" si="1"/>
        <v>2-2025</v>
      </c>
      <c r="D482" s="54">
        <f t="shared" si="65"/>
        <v>4265.9</v>
      </c>
      <c r="E482" s="138">
        <v>4272.7</v>
      </c>
      <c r="F482" s="54">
        <f t="shared" si="15"/>
        <v>6.8</v>
      </c>
      <c r="G482" s="54">
        <f t="shared" si="28"/>
        <v>-3.2</v>
      </c>
      <c r="H482" s="54"/>
      <c r="I482" s="54"/>
      <c r="J482" s="54"/>
      <c r="K482" s="54"/>
      <c r="L482" s="54"/>
      <c r="M482" s="54"/>
      <c r="N482" s="54"/>
      <c r="O482" s="174"/>
      <c r="P482" s="174"/>
      <c r="Q482" s="174"/>
      <c r="R482" s="174"/>
    </row>
    <row r="483" ht="14.25" customHeight="1">
      <c r="B483" s="145">
        <v>45710.0</v>
      </c>
      <c r="C483" s="141" t="str">
        <f t="shared" si="1"/>
        <v>2-2025</v>
      </c>
      <c r="D483" s="138">
        <v>4272.7</v>
      </c>
      <c r="E483" s="138">
        <v>4283.6</v>
      </c>
      <c r="F483" s="54">
        <f t="shared" si="15"/>
        <v>10.9</v>
      </c>
      <c r="G483" s="54">
        <f t="shared" si="28"/>
        <v>0.9</v>
      </c>
      <c r="H483" s="54"/>
      <c r="I483" s="54"/>
      <c r="J483" s="54"/>
      <c r="K483" s="54"/>
      <c r="L483" s="54"/>
      <c r="M483" s="54"/>
      <c r="N483" s="54"/>
      <c r="O483" s="174"/>
      <c r="P483" s="174"/>
      <c r="Q483" s="174"/>
      <c r="R483" s="174"/>
    </row>
    <row r="484" ht="14.25" customHeight="1">
      <c r="B484" s="145">
        <v>45711.0</v>
      </c>
      <c r="C484" s="141" t="str">
        <f t="shared" si="1"/>
        <v>2-2025</v>
      </c>
      <c r="D484" s="54"/>
      <c r="E484" s="54"/>
      <c r="F484" s="54">
        <f t="shared" si="15"/>
        <v>0</v>
      </c>
      <c r="G484" s="54">
        <f t="shared" si="28"/>
        <v>-10</v>
      </c>
      <c r="H484" s="54"/>
      <c r="I484" s="54"/>
      <c r="J484" s="54"/>
      <c r="K484" s="54"/>
      <c r="L484" s="54"/>
      <c r="M484" s="54"/>
      <c r="N484" s="54"/>
      <c r="O484" s="174"/>
      <c r="P484" s="174"/>
      <c r="Q484" s="174"/>
      <c r="R484" s="174"/>
    </row>
    <row r="485" ht="14.25" customHeight="1">
      <c r="B485" s="140">
        <v>45712.0</v>
      </c>
      <c r="C485" s="141" t="str">
        <f t="shared" si="1"/>
        <v>2-2025</v>
      </c>
      <c r="D485" s="54" t="str">
        <f>E484</f>
        <v/>
      </c>
      <c r="E485" s="54"/>
      <c r="F485" s="54">
        <f t="shared" si="15"/>
        <v>0</v>
      </c>
      <c r="G485" s="54">
        <f t="shared" si="28"/>
        <v>-10</v>
      </c>
      <c r="H485" s="54"/>
      <c r="I485" s="54"/>
      <c r="J485" s="54"/>
      <c r="K485" s="54"/>
      <c r="L485" s="54"/>
      <c r="M485" s="54"/>
      <c r="N485" s="54"/>
      <c r="O485" s="174"/>
      <c r="P485" s="174"/>
      <c r="Q485" s="174"/>
      <c r="R485" s="174"/>
    </row>
    <row r="486" ht="14.25" customHeight="1">
      <c r="B486" s="140">
        <v>45713.0</v>
      </c>
      <c r="C486" s="141" t="str">
        <f t="shared" si="1"/>
        <v>2-2025</v>
      </c>
      <c r="D486" s="138">
        <v>4283.6</v>
      </c>
      <c r="E486" s="138">
        <v>4293.4</v>
      </c>
      <c r="F486" s="54">
        <f t="shared" si="15"/>
        <v>9.8</v>
      </c>
      <c r="G486" s="54">
        <f t="shared" si="28"/>
        <v>-0.2</v>
      </c>
      <c r="H486" s="54"/>
      <c r="I486" s="54"/>
      <c r="J486" s="54"/>
      <c r="K486" s="54"/>
      <c r="L486" s="54"/>
      <c r="M486" s="54"/>
      <c r="N486" s="54"/>
      <c r="O486" s="174"/>
      <c r="P486" s="174"/>
      <c r="Q486" s="174"/>
      <c r="R486" s="174"/>
    </row>
    <row r="487" ht="14.25" customHeight="1">
      <c r="B487" s="140">
        <v>45714.0</v>
      </c>
      <c r="C487" s="141" t="str">
        <f t="shared" si="1"/>
        <v>2-2025</v>
      </c>
      <c r="D487" s="54">
        <f t="shared" ref="D487:D489" si="66">E486</f>
        <v>4293.4</v>
      </c>
      <c r="E487" s="138">
        <v>4300.5</v>
      </c>
      <c r="F487" s="54">
        <f t="shared" si="15"/>
        <v>7.1</v>
      </c>
      <c r="G487" s="54">
        <f t="shared" si="28"/>
        <v>-2.9</v>
      </c>
      <c r="H487" s="54"/>
      <c r="I487" s="54"/>
      <c r="J487" s="54"/>
      <c r="K487" s="54"/>
      <c r="L487" s="54"/>
      <c r="M487" s="54"/>
      <c r="N487" s="54"/>
      <c r="O487" s="174"/>
      <c r="P487" s="174"/>
      <c r="Q487" s="174"/>
      <c r="R487" s="174"/>
    </row>
    <row r="488" ht="14.25" customHeight="1">
      <c r="B488" s="140">
        <v>45715.0</v>
      </c>
      <c r="C488" s="141" t="str">
        <f t="shared" si="1"/>
        <v>2-2025</v>
      </c>
      <c r="D488" s="54">
        <f t="shared" si="66"/>
        <v>4300.5</v>
      </c>
      <c r="E488" s="138">
        <v>4310.1</v>
      </c>
      <c r="F488" s="54">
        <f t="shared" si="15"/>
        <v>9.6</v>
      </c>
      <c r="G488" s="54">
        <f t="shared" si="28"/>
        <v>-0.4</v>
      </c>
      <c r="H488" s="54"/>
      <c r="I488" s="54"/>
      <c r="J488" s="54"/>
      <c r="K488" s="54"/>
      <c r="L488" s="54"/>
      <c r="M488" s="54"/>
      <c r="N488" s="54"/>
      <c r="O488" s="174"/>
      <c r="P488" s="174"/>
      <c r="Q488" s="174"/>
      <c r="R488" s="174"/>
    </row>
    <row r="489" ht="14.25" customHeight="1">
      <c r="B489" s="140">
        <v>45716.0</v>
      </c>
      <c r="C489" s="141" t="str">
        <f t="shared" si="1"/>
        <v>2-2025</v>
      </c>
      <c r="D489" s="54">
        <f t="shared" si="66"/>
        <v>4310.1</v>
      </c>
      <c r="E489" s="138">
        <v>4318.8</v>
      </c>
      <c r="F489" s="54">
        <f t="shared" si="15"/>
        <v>8.7</v>
      </c>
      <c r="G489" s="54">
        <f t="shared" si="28"/>
        <v>-1.3</v>
      </c>
      <c r="H489" s="54"/>
      <c r="I489" s="54"/>
      <c r="J489" s="54"/>
      <c r="K489" s="54"/>
      <c r="L489" s="54"/>
      <c r="M489" s="54"/>
      <c r="N489" s="54"/>
      <c r="O489" s="174"/>
      <c r="P489" s="174"/>
      <c r="Q489" s="174"/>
      <c r="R489" s="174"/>
    </row>
    <row r="490" ht="14.25" customHeight="1">
      <c r="B490" s="145">
        <v>45717.0</v>
      </c>
      <c r="C490" s="141" t="str">
        <f t="shared" si="1"/>
        <v>3-2025</v>
      </c>
      <c r="D490" s="54"/>
      <c r="E490" s="54"/>
      <c r="F490" s="54">
        <f t="shared" si="15"/>
        <v>0</v>
      </c>
      <c r="G490" s="54">
        <f t="shared" si="28"/>
        <v>-10</v>
      </c>
      <c r="H490" s="54"/>
      <c r="I490" s="54"/>
      <c r="J490" s="54"/>
      <c r="K490" s="54"/>
      <c r="L490" s="54"/>
      <c r="M490" s="54"/>
      <c r="N490" s="54"/>
      <c r="O490" s="174"/>
      <c r="P490" s="174"/>
      <c r="Q490" s="174"/>
      <c r="R490" s="174"/>
    </row>
    <row r="491" ht="14.25" customHeight="1">
      <c r="B491" s="145">
        <v>45718.0</v>
      </c>
      <c r="C491" s="141" t="str">
        <f t="shared" si="1"/>
        <v>3-2025</v>
      </c>
      <c r="D491" s="54" t="str">
        <f>E490</f>
        <v/>
      </c>
      <c r="E491" s="54"/>
      <c r="F491" s="54">
        <f t="shared" si="15"/>
        <v>0</v>
      </c>
      <c r="G491" s="54">
        <f t="shared" si="28"/>
        <v>-10</v>
      </c>
      <c r="H491" s="54"/>
      <c r="I491" s="54"/>
      <c r="J491" s="54"/>
      <c r="K491" s="54"/>
      <c r="L491" s="54"/>
      <c r="M491" s="54"/>
      <c r="N491" s="54"/>
      <c r="O491" s="174"/>
      <c r="P491" s="174"/>
      <c r="Q491" s="174"/>
      <c r="R491" s="174"/>
    </row>
    <row r="492" ht="14.25" customHeight="1">
      <c r="B492" s="140">
        <v>45719.0</v>
      </c>
      <c r="C492" s="141" t="str">
        <f t="shared" si="1"/>
        <v>3-2025</v>
      </c>
      <c r="D492" s="138">
        <v>4318.8</v>
      </c>
      <c r="E492" s="138">
        <v>4329.6</v>
      </c>
      <c r="F492" s="54">
        <f t="shared" si="15"/>
        <v>10.8</v>
      </c>
      <c r="G492" s="54">
        <f t="shared" si="28"/>
        <v>0.8</v>
      </c>
      <c r="H492" s="54"/>
      <c r="I492" s="54"/>
      <c r="J492" s="54"/>
      <c r="K492" s="54"/>
      <c r="L492" s="54"/>
      <c r="M492" s="54"/>
      <c r="N492" s="54"/>
      <c r="O492" s="174"/>
      <c r="P492" s="174"/>
      <c r="Q492" s="174"/>
      <c r="R492" s="174"/>
    </row>
    <row r="493" ht="14.25" customHeight="1">
      <c r="B493" s="140">
        <v>45720.0</v>
      </c>
      <c r="C493" s="141" t="str">
        <f t="shared" si="1"/>
        <v>3-2025</v>
      </c>
      <c r="D493" s="54">
        <f t="shared" ref="D493:D496" si="67">E492</f>
        <v>4329.6</v>
      </c>
      <c r="E493" s="138">
        <v>4339.4</v>
      </c>
      <c r="F493" s="54">
        <f t="shared" si="15"/>
        <v>9.8</v>
      </c>
      <c r="G493" s="54">
        <f t="shared" si="28"/>
        <v>-0.2</v>
      </c>
      <c r="H493" s="54"/>
      <c r="I493" s="54"/>
      <c r="J493" s="54"/>
      <c r="K493" s="54"/>
      <c r="L493" s="54"/>
      <c r="M493" s="54"/>
      <c r="N493" s="54"/>
      <c r="O493" s="174"/>
      <c r="P493" s="174"/>
      <c r="Q493" s="174"/>
      <c r="R493" s="174"/>
    </row>
    <row r="494" ht="14.25" customHeight="1">
      <c r="B494" s="140">
        <v>45721.0</v>
      </c>
      <c r="C494" s="141" t="str">
        <f t="shared" si="1"/>
        <v>3-2025</v>
      </c>
      <c r="D494" s="54">
        <f t="shared" si="67"/>
        <v>4339.4</v>
      </c>
      <c r="E494" s="138">
        <v>4349.6</v>
      </c>
      <c r="F494" s="54">
        <f t="shared" si="15"/>
        <v>10.2</v>
      </c>
      <c r="G494" s="54">
        <f t="shared" si="28"/>
        <v>0.2</v>
      </c>
      <c r="H494" s="54"/>
      <c r="I494" s="54"/>
      <c r="J494" s="54"/>
      <c r="K494" s="54"/>
      <c r="L494" s="54"/>
      <c r="M494" s="54"/>
      <c r="N494" s="54"/>
      <c r="O494" s="174"/>
      <c r="P494" s="174"/>
      <c r="Q494" s="174"/>
      <c r="R494" s="174"/>
    </row>
    <row r="495" ht="14.25" customHeight="1">
      <c r="B495" s="140">
        <v>45722.0</v>
      </c>
      <c r="C495" s="141" t="str">
        <f t="shared" si="1"/>
        <v>3-2025</v>
      </c>
      <c r="D495" s="54">
        <f t="shared" si="67"/>
        <v>4349.6</v>
      </c>
      <c r="E495" s="138">
        <v>4360.4</v>
      </c>
      <c r="F495" s="54">
        <f t="shared" si="15"/>
        <v>10.8</v>
      </c>
      <c r="G495" s="54">
        <f t="shared" si="28"/>
        <v>0.8</v>
      </c>
      <c r="H495" s="54"/>
      <c r="I495" s="54"/>
      <c r="J495" s="54"/>
      <c r="K495" s="54"/>
      <c r="L495" s="54"/>
      <c r="M495" s="54"/>
      <c r="N495" s="54"/>
      <c r="O495" s="174"/>
      <c r="P495" s="174"/>
      <c r="Q495" s="174"/>
      <c r="R495" s="174"/>
    </row>
    <row r="496" ht="14.25" customHeight="1">
      <c r="B496" s="140">
        <v>45723.0</v>
      </c>
      <c r="C496" s="141" t="str">
        <f t="shared" si="1"/>
        <v>3-2025</v>
      </c>
      <c r="D496" s="54">
        <f t="shared" si="67"/>
        <v>4360.4</v>
      </c>
      <c r="E496" s="138">
        <v>4368.5</v>
      </c>
      <c r="F496" s="54">
        <f t="shared" si="15"/>
        <v>8.1</v>
      </c>
      <c r="G496" s="54">
        <f t="shared" si="28"/>
        <v>-1.9</v>
      </c>
      <c r="H496" s="54"/>
      <c r="I496" s="54"/>
      <c r="J496" s="54"/>
      <c r="K496" s="54"/>
      <c r="L496" s="54"/>
      <c r="M496" s="54"/>
      <c r="N496" s="54"/>
      <c r="O496" s="174"/>
      <c r="P496" s="174"/>
      <c r="Q496" s="174"/>
      <c r="R496" s="174"/>
    </row>
    <row r="497" ht="14.25" customHeight="1">
      <c r="B497" s="145">
        <v>45724.0</v>
      </c>
      <c r="C497" s="141" t="str">
        <f t="shared" si="1"/>
        <v>3-2025</v>
      </c>
      <c r="D497" s="138"/>
      <c r="E497" s="138"/>
      <c r="F497" s="54">
        <f t="shared" si="15"/>
        <v>0</v>
      </c>
      <c r="G497" s="54">
        <f t="shared" si="28"/>
        <v>-10</v>
      </c>
      <c r="H497" s="54"/>
      <c r="I497" s="54"/>
      <c r="J497" s="54"/>
      <c r="K497" s="54"/>
      <c r="L497" s="54"/>
      <c r="M497" s="54"/>
      <c r="N497" s="54"/>
      <c r="O497" s="174"/>
      <c r="P497" s="174"/>
      <c r="Q497" s="174"/>
      <c r="R497" s="174"/>
    </row>
    <row r="498" ht="14.25" customHeight="1">
      <c r="B498" s="145">
        <v>45725.0</v>
      </c>
      <c r="C498" s="141" t="str">
        <f t="shared" si="1"/>
        <v>3-2025</v>
      </c>
      <c r="D498" s="54" t="str">
        <f>E497</f>
        <v/>
      </c>
      <c r="E498" s="138"/>
      <c r="F498" s="54">
        <f t="shared" si="15"/>
        <v>0</v>
      </c>
      <c r="G498" s="54">
        <f t="shared" si="28"/>
        <v>-10</v>
      </c>
      <c r="H498" s="54"/>
      <c r="I498" s="54"/>
      <c r="J498" s="54"/>
      <c r="K498" s="54"/>
      <c r="L498" s="54"/>
      <c r="M498" s="54"/>
      <c r="N498" s="54"/>
      <c r="O498" s="174"/>
      <c r="P498" s="174"/>
      <c r="Q498" s="174"/>
      <c r="R498" s="174"/>
    </row>
    <row r="499" ht="14.25" customHeight="1">
      <c r="B499" s="140">
        <v>45726.0</v>
      </c>
      <c r="C499" s="141" t="str">
        <f t="shared" si="1"/>
        <v>3-2025</v>
      </c>
      <c r="D499" s="138"/>
      <c r="E499" s="138"/>
      <c r="F499" s="54">
        <f t="shared" si="15"/>
        <v>0</v>
      </c>
      <c r="G499" s="54">
        <f t="shared" si="28"/>
        <v>-10</v>
      </c>
      <c r="H499" s="54"/>
      <c r="I499" s="54"/>
      <c r="J499" s="54"/>
      <c r="K499" s="54"/>
      <c r="L499" s="54"/>
      <c r="M499" s="54"/>
      <c r="N499" s="54"/>
      <c r="O499" s="174"/>
      <c r="P499" s="174"/>
      <c r="Q499" s="174"/>
      <c r="R499" s="174"/>
    </row>
    <row r="500" ht="14.25" customHeight="1">
      <c r="B500" s="140">
        <v>45727.0</v>
      </c>
      <c r="C500" s="141" t="str">
        <f t="shared" si="1"/>
        <v>3-2025</v>
      </c>
      <c r="D500" s="54" t="str">
        <f t="shared" ref="D500:D502" si="68">E499</f>
        <v/>
      </c>
      <c r="E500" s="138"/>
      <c r="F500" s="54">
        <f t="shared" si="15"/>
        <v>0</v>
      </c>
      <c r="G500" s="54">
        <f t="shared" si="28"/>
        <v>-10</v>
      </c>
      <c r="H500" s="54"/>
      <c r="I500" s="54"/>
      <c r="J500" s="54"/>
      <c r="K500" s="54"/>
      <c r="L500" s="54"/>
      <c r="M500" s="54"/>
      <c r="N500" s="54"/>
      <c r="O500" s="174"/>
      <c r="P500" s="174"/>
      <c r="Q500" s="174"/>
      <c r="R500" s="174"/>
    </row>
    <row r="501" ht="14.25" customHeight="1">
      <c r="B501" s="140">
        <v>45728.0</v>
      </c>
      <c r="C501" s="141" t="str">
        <f t="shared" si="1"/>
        <v>3-2025</v>
      </c>
      <c r="D501" s="54" t="str">
        <f t="shared" si="68"/>
        <v/>
      </c>
      <c r="E501" s="138"/>
      <c r="F501" s="54">
        <f t="shared" si="15"/>
        <v>0</v>
      </c>
      <c r="G501" s="54">
        <f t="shared" si="28"/>
        <v>-10</v>
      </c>
      <c r="H501" s="54"/>
      <c r="I501" s="54"/>
      <c r="J501" s="54"/>
      <c r="K501" s="54"/>
      <c r="L501" s="54"/>
      <c r="M501" s="54"/>
      <c r="N501" s="54"/>
      <c r="O501" s="174"/>
      <c r="P501" s="174"/>
      <c r="Q501" s="174"/>
      <c r="R501" s="174"/>
    </row>
    <row r="502" ht="14.25" customHeight="1">
      <c r="B502" s="140">
        <v>45729.0</v>
      </c>
      <c r="C502" s="141" t="str">
        <f t="shared" si="1"/>
        <v>3-2025</v>
      </c>
      <c r="D502" s="54" t="str">
        <f t="shared" si="68"/>
        <v/>
      </c>
      <c r="E502" s="138"/>
      <c r="F502" s="54">
        <f t="shared" si="15"/>
        <v>0</v>
      </c>
      <c r="G502" s="54">
        <f t="shared" si="28"/>
        <v>-10</v>
      </c>
      <c r="H502" s="54"/>
      <c r="I502" s="54"/>
      <c r="J502" s="54"/>
      <c r="K502" s="54"/>
      <c r="L502" s="54"/>
      <c r="M502" s="54"/>
      <c r="N502" s="54"/>
      <c r="O502" s="174"/>
      <c r="P502" s="174"/>
      <c r="Q502" s="174"/>
      <c r="R502" s="174"/>
    </row>
    <row r="503" ht="14.25" customHeight="1">
      <c r="B503" s="140">
        <v>45730.0</v>
      </c>
      <c r="C503" s="141" t="str">
        <f t="shared" si="1"/>
        <v>3-2025</v>
      </c>
      <c r="D503" s="138">
        <v>9308.0</v>
      </c>
      <c r="E503" s="138">
        <v>9319.2</v>
      </c>
      <c r="F503" s="54">
        <f t="shared" si="15"/>
        <v>11.2</v>
      </c>
      <c r="G503" s="54">
        <f t="shared" si="28"/>
        <v>1.2</v>
      </c>
      <c r="H503" s="54"/>
      <c r="I503" s="54"/>
      <c r="J503" s="54"/>
      <c r="K503" s="54"/>
      <c r="L503" s="54"/>
      <c r="M503" s="54"/>
      <c r="N503" s="54"/>
      <c r="O503" s="174"/>
      <c r="P503" s="174"/>
      <c r="Q503" s="174"/>
      <c r="R503" s="174"/>
    </row>
    <row r="504" ht="14.25" customHeight="1">
      <c r="B504" s="145">
        <v>45731.0</v>
      </c>
      <c r="C504" s="141" t="str">
        <f t="shared" si="1"/>
        <v>3-2025</v>
      </c>
      <c r="D504" s="54">
        <f>E503</f>
        <v>9319.2</v>
      </c>
      <c r="E504" s="138">
        <v>9325.9</v>
      </c>
      <c r="F504" s="54">
        <f t="shared" si="15"/>
        <v>6.7</v>
      </c>
      <c r="G504" s="54">
        <f t="shared" si="28"/>
        <v>-3.3</v>
      </c>
      <c r="H504" s="54"/>
      <c r="I504" s="54"/>
      <c r="J504" s="54"/>
      <c r="K504" s="54"/>
      <c r="L504" s="54"/>
      <c r="M504" s="54"/>
      <c r="N504" s="54"/>
      <c r="O504" s="174"/>
      <c r="P504" s="174"/>
      <c r="Q504" s="174"/>
      <c r="R504" s="174"/>
    </row>
    <row r="505" ht="14.25" customHeight="1">
      <c r="B505" s="145">
        <v>45732.0</v>
      </c>
      <c r="C505" s="141" t="str">
        <f t="shared" si="1"/>
        <v>3-2025</v>
      </c>
      <c r="D505" s="54"/>
      <c r="E505" s="54"/>
      <c r="F505" s="54">
        <f t="shared" si="15"/>
        <v>0</v>
      </c>
      <c r="G505" s="54">
        <f t="shared" si="28"/>
        <v>-10</v>
      </c>
      <c r="H505" s="54"/>
      <c r="I505" s="54"/>
      <c r="J505" s="54"/>
      <c r="K505" s="54"/>
      <c r="L505" s="54"/>
      <c r="M505" s="54"/>
      <c r="N505" s="54"/>
      <c r="O505" s="174"/>
      <c r="P505" s="174"/>
      <c r="Q505" s="174"/>
      <c r="R505" s="174"/>
    </row>
    <row r="506" ht="14.25" customHeight="1">
      <c r="B506" s="140">
        <v>45733.0</v>
      </c>
      <c r="C506" s="141" t="str">
        <f t="shared" si="1"/>
        <v>3-2025</v>
      </c>
      <c r="D506" s="54" t="str">
        <f t="shared" ref="D506:D513" si="69">E505</f>
        <v/>
      </c>
      <c r="E506" s="54"/>
      <c r="F506" s="54">
        <f t="shared" si="15"/>
        <v>0</v>
      </c>
      <c r="G506" s="54">
        <f t="shared" si="28"/>
        <v>-10</v>
      </c>
      <c r="H506" s="54"/>
      <c r="I506" s="54"/>
      <c r="J506" s="54"/>
      <c r="K506" s="54"/>
      <c r="L506" s="54"/>
      <c r="M506" s="54"/>
      <c r="N506" s="54"/>
      <c r="O506" s="174"/>
      <c r="P506" s="174"/>
      <c r="Q506" s="174"/>
      <c r="R506" s="174"/>
    </row>
    <row r="507" ht="14.25" customHeight="1">
      <c r="B507" s="140">
        <v>45734.0</v>
      </c>
      <c r="C507" s="141" t="str">
        <f t="shared" si="1"/>
        <v>3-2025</v>
      </c>
      <c r="D507" s="54" t="str">
        <f t="shared" si="69"/>
        <v/>
      </c>
      <c r="E507" s="54"/>
      <c r="F507" s="54">
        <f t="shared" si="15"/>
        <v>0</v>
      </c>
      <c r="G507" s="54">
        <f t="shared" si="28"/>
        <v>-10</v>
      </c>
      <c r="H507" s="54"/>
      <c r="I507" s="54"/>
      <c r="J507" s="54"/>
      <c r="K507" s="54"/>
      <c r="L507" s="54"/>
      <c r="M507" s="54"/>
      <c r="N507" s="54"/>
      <c r="O507" s="174"/>
      <c r="P507" s="174"/>
      <c r="Q507" s="174"/>
      <c r="R507" s="174"/>
    </row>
    <row r="508" ht="14.25" customHeight="1">
      <c r="B508" s="140">
        <v>45735.0</v>
      </c>
      <c r="C508" s="141" t="str">
        <f t="shared" si="1"/>
        <v>3-2025</v>
      </c>
      <c r="D508" s="54" t="str">
        <f t="shared" si="69"/>
        <v/>
      </c>
      <c r="E508" s="54"/>
      <c r="F508" s="54">
        <f t="shared" si="15"/>
        <v>0</v>
      </c>
      <c r="G508" s="54">
        <f t="shared" si="28"/>
        <v>-10</v>
      </c>
      <c r="H508" s="54"/>
      <c r="I508" s="54"/>
      <c r="J508" s="54"/>
      <c r="K508" s="54"/>
      <c r="L508" s="54"/>
      <c r="M508" s="54"/>
      <c r="N508" s="54"/>
      <c r="O508" s="174"/>
      <c r="P508" s="174"/>
      <c r="Q508" s="174"/>
      <c r="R508" s="174"/>
    </row>
    <row r="509" ht="14.25" customHeight="1">
      <c r="B509" s="140">
        <v>45736.0</v>
      </c>
      <c r="C509" s="141" t="str">
        <f t="shared" si="1"/>
        <v>3-2025</v>
      </c>
      <c r="D509" s="54" t="str">
        <f t="shared" si="69"/>
        <v/>
      </c>
      <c r="E509" s="54"/>
      <c r="F509" s="54">
        <f t="shared" si="15"/>
        <v>0</v>
      </c>
      <c r="G509" s="54">
        <f t="shared" si="28"/>
        <v>-10</v>
      </c>
      <c r="H509" s="54"/>
      <c r="I509" s="54"/>
      <c r="J509" s="54"/>
      <c r="K509" s="54"/>
      <c r="L509" s="54"/>
      <c r="M509" s="54"/>
      <c r="N509" s="54"/>
      <c r="O509" s="174"/>
      <c r="P509" s="174"/>
      <c r="Q509" s="174"/>
      <c r="R509" s="174"/>
    </row>
    <row r="510" ht="14.25" customHeight="1">
      <c r="B510" s="140">
        <v>45737.0</v>
      </c>
      <c r="C510" s="141" t="str">
        <f t="shared" si="1"/>
        <v>3-2025</v>
      </c>
      <c r="D510" s="54" t="str">
        <f t="shared" si="69"/>
        <v/>
      </c>
      <c r="E510" s="54"/>
      <c r="F510" s="54">
        <f t="shared" si="15"/>
        <v>0</v>
      </c>
      <c r="G510" s="54">
        <f t="shared" si="28"/>
        <v>-10</v>
      </c>
      <c r="H510" s="54"/>
      <c r="I510" s="54"/>
      <c r="J510" s="54"/>
      <c r="K510" s="54"/>
      <c r="L510" s="54"/>
      <c r="M510" s="54"/>
      <c r="N510" s="54"/>
      <c r="O510" s="174"/>
      <c r="P510" s="174"/>
      <c r="Q510" s="174"/>
      <c r="R510" s="174"/>
    </row>
    <row r="511" ht="14.25" customHeight="1">
      <c r="B511" s="145">
        <v>45738.0</v>
      </c>
      <c r="C511" s="141" t="str">
        <f t="shared" si="1"/>
        <v>3-2025</v>
      </c>
      <c r="D511" s="54" t="str">
        <f t="shared" si="69"/>
        <v/>
      </c>
      <c r="E511" s="54"/>
      <c r="F511" s="54">
        <f t="shared" si="15"/>
        <v>0</v>
      </c>
      <c r="G511" s="54">
        <f t="shared" si="28"/>
        <v>-10</v>
      </c>
      <c r="H511" s="54"/>
      <c r="I511" s="54"/>
      <c r="J511" s="54"/>
      <c r="K511" s="54"/>
      <c r="L511" s="54"/>
      <c r="M511" s="54"/>
      <c r="N511" s="54"/>
      <c r="O511" s="174"/>
      <c r="P511" s="174"/>
      <c r="Q511" s="174"/>
      <c r="R511" s="174"/>
    </row>
    <row r="512" ht="14.25" customHeight="1">
      <c r="B512" s="145">
        <v>45739.0</v>
      </c>
      <c r="C512" s="141" t="str">
        <f t="shared" si="1"/>
        <v>3-2025</v>
      </c>
      <c r="D512" s="54" t="str">
        <f t="shared" si="69"/>
        <v/>
      </c>
      <c r="E512" s="54"/>
      <c r="F512" s="54">
        <f t="shared" si="15"/>
        <v>0</v>
      </c>
      <c r="G512" s="54">
        <f t="shared" si="28"/>
        <v>-10</v>
      </c>
      <c r="H512" s="54"/>
      <c r="I512" s="54"/>
      <c r="J512" s="54"/>
      <c r="K512" s="54"/>
      <c r="L512" s="54"/>
      <c r="M512" s="54"/>
      <c r="N512" s="54"/>
      <c r="O512" s="174"/>
      <c r="P512" s="174"/>
      <c r="Q512" s="174"/>
      <c r="R512" s="174"/>
    </row>
    <row r="513" ht="14.25" customHeight="1">
      <c r="B513" s="140">
        <v>45740.0</v>
      </c>
      <c r="C513" s="141" t="str">
        <f t="shared" si="1"/>
        <v>3-2025</v>
      </c>
      <c r="D513" s="54" t="str">
        <f t="shared" si="69"/>
        <v/>
      </c>
      <c r="E513" s="54"/>
      <c r="F513" s="54">
        <f t="shared" si="15"/>
        <v>0</v>
      </c>
      <c r="G513" s="54">
        <f t="shared" si="28"/>
        <v>-10</v>
      </c>
      <c r="H513" s="54"/>
      <c r="I513" s="54"/>
      <c r="J513" s="54"/>
      <c r="K513" s="54"/>
      <c r="L513" s="54"/>
      <c r="M513" s="54"/>
      <c r="N513" s="54"/>
      <c r="O513" s="174"/>
      <c r="P513" s="174"/>
      <c r="Q513" s="174"/>
      <c r="R513" s="174"/>
    </row>
    <row r="514" ht="14.25" customHeight="1">
      <c r="B514" s="140">
        <v>45741.0</v>
      </c>
      <c r="C514" s="141" t="str">
        <f t="shared" si="1"/>
        <v>3-2025</v>
      </c>
      <c r="D514" s="138">
        <v>4378.2</v>
      </c>
      <c r="E514" s="138">
        <v>4379.2</v>
      </c>
      <c r="F514" s="54">
        <f t="shared" si="15"/>
        <v>1</v>
      </c>
      <c r="G514" s="54">
        <f t="shared" si="28"/>
        <v>-9</v>
      </c>
      <c r="H514" s="54"/>
      <c r="I514" s="54"/>
      <c r="J514" s="54"/>
      <c r="K514" s="54"/>
      <c r="L514" s="54"/>
      <c r="M514" s="54"/>
      <c r="N514" s="54"/>
      <c r="O514" s="174"/>
      <c r="P514" s="174"/>
      <c r="Q514" s="174"/>
      <c r="R514" s="174"/>
    </row>
    <row r="515" ht="14.25" customHeight="1">
      <c r="B515" s="140">
        <v>45742.0</v>
      </c>
      <c r="C515" s="141" t="str">
        <f t="shared" si="1"/>
        <v>3-2025</v>
      </c>
      <c r="D515" s="54">
        <f t="shared" ref="D515:D519" si="70">E514</f>
        <v>4379.2</v>
      </c>
      <c r="E515" s="138">
        <v>4388.4</v>
      </c>
      <c r="F515" s="54">
        <f t="shared" si="15"/>
        <v>9.2</v>
      </c>
      <c r="G515" s="54">
        <f t="shared" si="28"/>
        <v>-0.8</v>
      </c>
      <c r="H515" s="54"/>
      <c r="I515" s="54"/>
      <c r="J515" s="54"/>
      <c r="K515" s="54"/>
      <c r="L515" s="54"/>
      <c r="M515" s="54"/>
      <c r="N515" s="54"/>
      <c r="O515" s="174"/>
      <c r="P515" s="174"/>
      <c r="Q515" s="174"/>
      <c r="R515" s="174"/>
    </row>
    <row r="516" ht="14.25" customHeight="1">
      <c r="B516" s="140">
        <v>45743.0</v>
      </c>
      <c r="C516" s="141" t="str">
        <f t="shared" si="1"/>
        <v>3-2025</v>
      </c>
      <c r="D516" s="54">
        <f t="shared" si="70"/>
        <v>4388.4</v>
      </c>
      <c r="E516" s="138">
        <v>4397.7</v>
      </c>
      <c r="F516" s="54">
        <f t="shared" si="15"/>
        <v>9.3</v>
      </c>
      <c r="G516" s="54">
        <f t="shared" si="28"/>
        <v>-0.7</v>
      </c>
      <c r="H516" s="54"/>
      <c r="I516" s="54"/>
      <c r="J516" s="54"/>
      <c r="K516" s="54"/>
      <c r="L516" s="54"/>
      <c r="M516" s="54"/>
      <c r="N516" s="54"/>
      <c r="O516" s="174"/>
      <c r="P516" s="174"/>
      <c r="Q516" s="174"/>
      <c r="R516" s="174"/>
    </row>
    <row r="517" ht="14.25" customHeight="1">
      <c r="B517" s="140">
        <v>45744.0</v>
      </c>
      <c r="C517" s="141" t="str">
        <f t="shared" si="1"/>
        <v>3-2025</v>
      </c>
      <c r="D517" s="54">
        <f t="shared" si="70"/>
        <v>4397.7</v>
      </c>
      <c r="E517" s="138">
        <v>4407.8</v>
      </c>
      <c r="F517" s="54">
        <f t="shared" si="15"/>
        <v>10.1</v>
      </c>
      <c r="G517" s="54">
        <f t="shared" si="28"/>
        <v>0.1</v>
      </c>
      <c r="H517" s="54"/>
      <c r="I517" s="54"/>
      <c r="J517" s="54"/>
      <c r="K517" s="54"/>
      <c r="L517" s="54"/>
      <c r="M517" s="54"/>
      <c r="N517" s="54"/>
      <c r="O517" s="174"/>
      <c r="P517" s="174"/>
      <c r="Q517" s="174"/>
      <c r="R517" s="174"/>
    </row>
    <row r="518" ht="14.25" customHeight="1">
      <c r="B518" s="145">
        <v>45745.0</v>
      </c>
      <c r="C518" s="141" t="str">
        <f t="shared" si="1"/>
        <v>3-2025</v>
      </c>
      <c r="D518" s="54">
        <f t="shared" si="70"/>
        <v>4407.8</v>
      </c>
      <c r="E518" s="138">
        <v>4415.2</v>
      </c>
      <c r="F518" s="54">
        <f t="shared" si="15"/>
        <v>7.4</v>
      </c>
      <c r="G518" s="54">
        <f t="shared" si="28"/>
        <v>-2.6</v>
      </c>
      <c r="H518" s="54"/>
      <c r="I518" s="54"/>
      <c r="J518" s="54"/>
      <c r="K518" s="54"/>
      <c r="L518" s="54"/>
      <c r="M518" s="54"/>
      <c r="N518" s="54"/>
      <c r="O518" s="174"/>
      <c r="P518" s="174"/>
      <c r="Q518" s="174"/>
      <c r="R518" s="174"/>
    </row>
    <row r="519" ht="14.25" customHeight="1">
      <c r="B519" s="145">
        <v>45746.0</v>
      </c>
      <c r="C519" s="141" t="str">
        <f t="shared" si="1"/>
        <v>3-2025</v>
      </c>
      <c r="D519" s="54">
        <f t="shared" si="70"/>
        <v>4415.2</v>
      </c>
      <c r="E519" s="138">
        <v>4425.6</v>
      </c>
      <c r="F519" s="54">
        <f t="shared" si="15"/>
        <v>10.4</v>
      </c>
      <c r="G519" s="54">
        <f t="shared" si="28"/>
        <v>0.4</v>
      </c>
      <c r="H519" s="54"/>
      <c r="I519" s="54"/>
      <c r="J519" s="54"/>
      <c r="K519" s="54"/>
      <c r="L519" s="54"/>
      <c r="M519" s="54"/>
      <c r="N519" s="54"/>
      <c r="O519" s="174"/>
      <c r="P519" s="174"/>
      <c r="Q519" s="174"/>
      <c r="R519" s="174"/>
    </row>
    <row r="520" ht="14.25" customHeight="1">
      <c r="B520" s="140">
        <v>45747.0</v>
      </c>
      <c r="C520" s="141" t="str">
        <f t="shared" si="1"/>
        <v>3-2025</v>
      </c>
      <c r="D520" s="54"/>
      <c r="E520" s="54"/>
      <c r="F520" s="54">
        <f t="shared" si="15"/>
        <v>0</v>
      </c>
      <c r="G520" s="54">
        <f t="shared" si="28"/>
        <v>-10</v>
      </c>
      <c r="H520" s="54"/>
      <c r="I520" s="54"/>
      <c r="J520" s="54"/>
      <c r="K520" s="54"/>
      <c r="L520" s="54"/>
      <c r="M520" s="54"/>
      <c r="N520" s="54"/>
      <c r="O520" s="174"/>
      <c r="P520" s="174"/>
      <c r="Q520" s="174"/>
      <c r="R520" s="174"/>
    </row>
    <row r="521" ht="14.25" customHeight="1">
      <c r="B521" s="140">
        <v>45748.0</v>
      </c>
      <c r="C521" s="141" t="str">
        <f t="shared" si="1"/>
        <v>4-2025</v>
      </c>
      <c r="D521" s="138">
        <v>4425.6</v>
      </c>
      <c r="E521" s="138">
        <v>4436.2</v>
      </c>
      <c r="F521" s="54">
        <f t="shared" si="15"/>
        <v>10.6</v>
      </c>
      <c r="G521" s="54">
        <f t="shared" si="28"/>
        <v>0.6</v>
      </c>
      <c r="H521" s="138">
        <v>130.0</v>
      </c>
      <c r="I521" s="54"/>
      <c r="J521" s="54"/>
      <c r="K521" s="54"/>
      <c r="L521" s="54"/>
      <c r="M521" s="54"/>
      <c r="N521" s="54"/>
      <c r="O521" s="174"/>
      <c r="P521" s="174"/>
      <c r="Q521" s="174"/>
      <c r="R521" s="174"/>
    </row>
    <row r="522" ht="14.25" customHeight="1">
      <c r="B522" s="140">
        <v>45749.0</v>
      </c>
      <c r="C522" s="141" t="str">
        <f t="shared" si="1"/>
        <v>4-2025</v>
      </c>
      <c r="D522" s="54">
        <f t="shared" ref="D522:D524" si="71">E521</f>
        <v>4436.2</v>
      </c>
      <c r="E522" s="138">
        <v>4442.0</v>
      </c>
      <c r="F522" s="54">
        <f t="shared" si="15"/>
        <v>5.8</v>
      </c>
      <c r="G522" s="54">
        <f t="shared" si="28"/>
        <v>-4.2</v>
      </c>
      <c r="H522" s="138">
        <v>230.0</v>
      </c>
      <c r="I522" s="54"/>
      <c r="J522" s="54"/>
      <c r="K522" s="54"/>
      <c r="L522" s="54"/>
      <c r="M522" s="54"/>
      <c r="N522" s="54"/>
      <c r="O522" s="174"/>
      <c r="P522" s="174"/>
      <c r="Q522" s="174"/>
      <c r="R522" s="174"/>
    </row>
    <row r="523" ht="14.25" customHeight="1">
      <c r="B523" s="140">
        <v>45750.0</v>
      </c>
      <c r="C523" s="141" t="str">
        <f t="shared" si="1"/>
        <v>4-2025</v>
      </c>
      <c r="D523" s="54">
        <f t="shared" si="71"/>
        <v>4442</v>
      </c>
      <c r="E523" s="138">
        <v>4451.5</v>
      </c>
      <c r="F523" s="54">
        <f t="shared" si="15"/>
        <v>9.5</v>
      </c>
      <c r="G523" s="54">
        <f t="shared" si="28"/>
        <v>-0.5</v>
      </c>
      <c r="H523" s="54"/>
      <c r="I523" s="54"/>
      <c r="J523" s="54"/>
      <c r="K523" s="54"/>
      <c r="L523" s="54"/>
      <c r="M523" s="54"/>
      <c r="N523" s="54"/>
      <c r="O523" s="174"/>
      <c r="P523" s="174"/>
      <c r="Q523" s="174"/>
      <c r="R523" s="174"/>
    </row>
    <row r="524" ht="14.25" customHeight="1">
      <c r="B524" s="140">
        <v>45751.0</v>
      </c>
      <c r="C524" s="141" t="str">
        <f t="shared" si="1"/>
        <v>4-2025</v>
      </c>
      <c r="D524" s="54">
        <f t="shared" si="71"/>
        <v>4451.5</v>
      </c>
      <c r="E524" s="138">
        <v>4461.2</v>
      </c>
      <c r="F524" s="54">
        <f t="shared" si="15"/>
        <v>9.7</v>
      </c>
      <c r="G524" s="54">
        <f t="shared" si="28"/>
        <v>-0.3</v>
      </c>
      <c r="H524" s="138">
        <v>200.0</v>
      </c>
      <c r="I524" s="54"/>
      <c r="J524" s="54"/>
      <c r="K524" s="54"/>
      <c r="L524" s="54"/>
      <c r="M524" s="54"/>
      <c r="N524" s="54"/>
      <c r="O524" s="174"/>
      <c r="P524" s="174"/>
      <c r="Q524" s="174"/>
      <c r="R524" s="174"/>
    </row>
    <row r="525" ht="14.25" customHeight="1">
      <c r="B525" s="152">
        <v>45752.0</v>
      </c>
      <c r="C525" s="141" t="str">
        <f t="shared" si="1"/>
        <v>4-2025</v>
      </c>
      <c r="D525" s="54"/>
      <c r="E525" s="54"/>
      <c r="F525" s="54">
        <f t="shared" si="15"/>
        <v>0</v>
      </c>
      <c r="G525" s="54">
        <f t="shared" si="28"/>
        <v>-10</v>
      </c>
      <c r="H525" s="54"/>
      <c r="I525" s="54"/>
      <c r="J525" s="54"/>
      <c r="K525" s="54"/>
      <c r="L525" s="54"/>
      <c r="M525" s="54"/>
      <c r="N525" s="54"/>
      <c r="O525" s="174"/>
      <c r="P525" s="174"/>
      <c r="Q525" s="174"/>
      <c r="R525" s="174"/>
    </row>
    <row r="526" ht="14.25" customHeight="1">
      <c r="B526" s="152">
        <v>45753.0</v>
      </c>
      <c r="C526" s="141" t="str">
        <f t="shared" si="1"/>
        <v>4-2025</v>
      </c>
      <c r="D526" s="54" t="str">
        <f t="shared" ref="D526:D527" si="72">E525</f>
        <v/>
      </c>
      <c r="E526" s="54"/>
      <c r="F526" s="54">
        <f t="shared" si="15"/>
        <v>0</v>
      </c>
      <c r="G526" s="54">
        <f t="shared" si="28"/>
        <v>-10</v>
      </c>
      <c r="H526" s="54"/>
      <c r="I526" s="54"/>
      <c r="J526" s="54"/>
      <c r="K526" s="54"/>
      <c r="L526" s="54"/>
      <c r="M526" s="54"/>
      <c r="N526" s="54"/>
      <c r="O526" s="174"/>
      <c r="P526" s="174"/>
      <c r="Q526" s="174"/>
      <c r="R526" s="174"/>
    </row>
    <row r="527" ht="14.25" customHeight="1">
      <c r="B527" s="140">
        <v>45754.0</v>
      </c>
      <c r="C527" s="141" t="str">
        <f t="shared" si="1"/>
        <v>4-2025</v>
      </c>
      <c r="D527" s="54" t="str">
        <f t="shared" si="72"/>
        <v/>
      </c>
      <c r="E527" s="54"/>
      <c r="F527" s="54">
        <f t="shared" si="15"/>
        <v>0</v>
      </c>
      <c r="G527" s="54">
        <f t="shared" si="28"/>
        <v>-10</v>
      </c>
      <c r="H527" s="54"/>
      <c r="I527" s="54"/>
      <c r="J527" s="54"/>
      <c r="K527" s="54"/>
      <c r="L527" s="54"/>
      <c r="M527" s="54"/>
      <c r="N527" s="54"/>
      <c r="O527" s="174"/>
      <c r="P527" s="174"/>
      <c r="Q527" s="174"/>
      <c r="R527" s="174"/>
    </row>
    <row r="528" ht="14.25" customHeight="1">
      <c r="B528" s="140">
        <v>45755.0</v>
      </c>
      <c r="C528" s="141" t="str">
        <f t="shared" si="1"/>
        <v>4-2025</v>
      </c>
      <c r="D528" s="138">
        <v>3.58</v>
      </c>
      <c r="E528" s="138">
        <v>10.75</v>
      </c>
      <c r="F528" s="54">
        <f t="shared" si="15"/>
        <v>7.17</v>
      </c>
      <c r="G528" s="54">
        <f t="shared" si="28"/>
        <v>-2.83</v>
      </c>
      <c r="H528" s="138">
        <v>400.0</v>
      </c>
      <c r="I528" s="54"/>
      <c r="J528" s="54"/>
      <c r="K528" s="54"/>
      <c r="L528" s="54"/>
      <c r="M528" s="54"/>
      <c r="N528" s="54"/>
      <c r="O528" s="174"/>
      <c r="P528" s="174"/>
      <c r="Q528" s="174"/>
      <c r="R528" s="174"/>
    </row>
    <row r="529" ht="14.25" customHeight="1">
      <c r="B529" s="140">
        <v>45756.0</v>
      </c>
      <c r="C529" s="141" t="str">
        <f t="shared" si="1"/>
        <v>4-2025</v>
      </c>
      <c r="D529" s="138">
        <v>10.75</v>
      </c>
      <c r="E529" s="138">
        <v>21.14</v>
      </c>
      <c r="F529" s="54">
        <f t="shared" si="15"/>
        <v>10.39</v>
      </c>
      <c r="G529" s="54">
        <f t="shared" si="28"/>
        <v>0.39</v>
      </c>
      <c r="H529" s="54"/>
      <c r="I529" s="54"/>
      <c r="J529" s="54"/>
      <c r="K529" s="54"/>
      <c r="L529" s="54"/>
      <c r="M529" s="54"/>
      <c r="N529" s="54"/>
      <c r="O529" s="174"/>
      <c r="P529" s="174"/>
      <c r="Q529" s="174"/>
      <c r="R529" s="174"/>
    </row>
    <row r="530" ht="14.25" customHeight="1">
      <c r="B530" s="140">
        <v>45757.0</v>
      </c>
      <c r="C530" s="141" t="str">
        <f t="shared" si="1"/>
        <v>4-2025</v>
      </c>
      <c r="D530" s="54">
        <f t="shared" ref="D530:D532" si="73">E529</f>
        <v>21.14</v>
      </c>
      <c r="E530" s="138">
        <v>31.42</v>
      </c>
      <c r="F530" s="54">
        <f t="shared" si="15"/>
        <v>10.28</v>
      </c>
      <c r="G530" s="54">
        <f t="shared" si="28"/>
        <v>0.28</v>
      </c>
      <c r="H530" s="54"/>
      <c r="I530" s="54"/>
      <c r="J530" s="54"/>
      <c r="K530" s="54"/>
      <c r="L530" s="54"/>
      <c r="M530" s="54"/>
      <c r="N530" s="54"/>
      <c r="O530" s="174"/>
      <c r="P530" s="174"/>
      <c r="Q530" s="174"/>
      <c r="R530" s="174"/>
    </row>
    <row r="531" ht="14.25" customHeight="1">
      <c r="B531" s="140">
        <v>45758.0</v>
      </c>
      <c r="C531" s="141" t="str">
        <f t="shared" si="1"/>
        <v>4-2025</v>
      </c>
      <c r="D531" s="54">
        <f t="shared" si="73"/>
        <v>31.42</v>
      </c>
      <c r="E531" s="138">
        <v>41.55</v>
      </c>
      <c r="F531" s="54">
        <f t="shared" si="15"/>
        <v>10.13</v>
      </c>
      <c r="G531" s="54">
        <f t="shared" si="28"/>
        <v>0.13</v>
      </c>
      <c r="H531" s="138">
        <v>200.0</v>
      </c>
      <c r="I531" s="54"/>
      <c r="J531" s="54"/>
      <c r="K531" s="54"/>
      <c r="L531" s="54"/>
      <c r="M531" s="54"/>
      <c r="N531" s="54"/>
      <c r="O531" s="174"/>
      <c r="P531" s="174"/>
      <c r="Q531" s="174"/>
      <c r="R531" s="174"/>
    </row>
    <row r="532" ht="14.25" customHeight="1">
      <c r="B532" s="152">
        <v>45759.0</v>
      </c>
      <c r="C532" s="141" t="str">
        <f t="shared" si="1"/>
        <v>4-2025</v>
      </c>
      <c r="D532" s="54">
        <f t="shared" si="73"/>
        <v>41.55</v>
      </c>
      <c r="E532" s="138">
        <v>47.67</v>
      </c>
      <c r="F532" s="54">
        <f t="shared" si="15"/>
        <v>6.12</v>
      </c>
      <c r="G532" s="54">
        <f t="shared" si="28"/>
        <v>-3.88</v>
      </c>
      <c r="H532" s="54"/>
      <c r="I532" s="54"/>
      <c r="J532" s="54"/>
      <c r="K532" s="54"/>
      <c r="L532" s="54"/>
      <c r="M532" s="54"/>
      <c r="N532" s="54"/>
      <c r="O532" s="174"/>
      <c r="P532" s="174"/>
      <c r="Q532" s="174"/>
      <c r="R532" s="174"/>
    </row>
    <row r="533" ht="14.25" customHeight="1">
      <c r="B533" s="152">
        <v>45760.0</v>
      </c>
      <c r="C533" s="141" t="str">
        <f t="shared" si="1"/>
        <v>4-2025</v>
      </c>
      <c r="D533" s="54"/>
      <c r="E533" s="138"/>
      <c r="F533" s="54">
        <f t="shared" si="15"/>
        <v>0</v>
      </c>
      <c r="G533" s="54">
        <f t="shared" si="28"/>
        <v>-10</v>
      </c>
      <c r="H533" s="54"/>
      <c r="I533" s="54"/>
      <c r="J533" s="54"/>
      <c r="K533" s="54"/>
      <c r="L533" s="54"/>
      <c r="M533" s="54"/>
      <c r="N533" s="54"/>
      <c r="O533" s="174"/>
      <c r="P533" s="174"/>
      <c r="Q533" s="174"/>
      <c r="R533" s="174"/>
    </row>
    <row r="534" ht="14.25" customHeight="1">
      <c r="B534" s="140">
        <v>45761.0</v>
      </c>
      <c r="C534" s="141" t="str">
        <f t="shared" si="1"/>
        <v>4-2025</v>
      </c>
      <c r="D534" s="138">
        <v>47.67</v>
      </c>
      <c r="E534" s="138">
        <v>58.36</v>
      </c>
      <c r="F534" s="54">
        <f t="shared" si="15"/>
        <v>10.69</v>
      </c>
      <c r="G534" s="54">
        <f t="shared" si="28"/>
        <v>0.69</v>
      </c>
      <c r="H534" s="54"/>
      <c r="I534" s="54"/>
      <c r="J534" s="54"/>
      <c r="K534" s="54"/>
      <c r="L534" s="54"/>
      <c r="M534" s="54"/>
      <c r="N534" s="54"/>
      <c r="O534" s="174"/>
      <c r="P534" s="174"/>
      <c r="Q534" s="174"/>
      <c r="R534" s="174"/>
    </row>
    <row r="535" ht="14.25" customHeight="1">
      <c r="B535" s="140">
        <v>45762.0</v>
      </c>
      <c r="C535" s="141" t="str">
        <f t="shared" si="1"/>
        <v>4-2025</v>
      </c>
      <c r="D535" s="54">
        <f t="shared" ref="D535:D537" si="74">E534</f>
        <v>58.36</v>
      </c>
      <c r="E535" s="138">
        <v>69.14</v>
      </c>
      <c r="F535" s="54">
        <f t="shared" si="15"/>
        <v>10.78</v>
      </c>
      <c r="G535" s="54">
        <f t="shared" si="28"/>
        <v>0.78</v>
      </c>
      <c r="H535" s="54"/>
      <c r="I535" s="54"/>
      <c r="J535" s="54"/>
      <c r="K535" s="54"/>
      <c r="L535" s="54"/>
      <c r="M535" s="54"/>
      <c r="N535" s="54"/>
      <c r="O535" s="174"/>
      <c r="P535" s="174"/>
      <c r="Q535" s="174"/>
      <c r="R535" s="174"/>
    </row>
    <row r="536" ht="14.25" customHeight="1">
      <c r="B536" s="140">
        <v>45763.0</v>
      </c>
      <c r="C536" s="141" t="str">
        <f t="shared" si="1"/>
        <v>4-2025</v>
      </c>
      <c r="D536" s="54">
        <f t="shared" si="74"/>
        <v>69.14</v>
      </c>
      <c r="E536" s="138">
        <v>78.92</v>
      </c>
      <c r="F536" s="54">
        <f t="shared" si="15"/>
        <v>9.78</v>
      </c>
      <c r="G536" s="54">
        <f t="shared" si="28"/>
        <v>-0.22</v>
      </c>
      <c r="H536" s="138">
        <v>231.0</v>
      </c>
      <c r="I536" s="54"/>
      <c r="J536" s="54"/>
      <c r="K536" s="54"/>
      <c r="L536" s="54"/>
      <c r="M536" s="54"/>
      <c r="N536" s="54"/>
      <c r="O536" s="174"/>
      <c r="P536" s="174"/>
      <c r="Q536" s="174"/>
      <c r="R536" s="174"/>
    </row>
    <row r="537" ht="14.25" customHeight="1">
      <c r="B537" s="140">
        <v>45764.0</v>
      </c>
      <c r="C537" s="141" t="str">
        <f t="shared" si="1"/>
        <v>4-2025</v>
      </c>
      <c r="D537" s="54">
        <f t="shared" si="74"/>
        <v>78.92</v>
      </c>
      <c r="E537" s="138">
        <v>84.76</v>
      </c>
      <c r="F537" s="54">
        <f t="shared" si="15"/>
        <v>5.84</v>
      </c>
      <c r="G537" s="54">
        <f t="shared" si="28"/>
        <v>-4.16</v>
      </c>
      <c r="H537" s="138">
        <v>200.0</v>
      </c>
      <c r="I537" s="54"/>
      <c r="J537" s="54"/>
      <c r="K537" s="54"/>
      <c r="L537" s="54"/>
      <c r="M537" s="54"/>
      <c r="N537" s="54"/>
      <c r="O537" s="174"/>
      <c r="P537" s="174"/>
      <c r="Q537" s="174"/>
      <c r="R537" s="174"/>
    </row>
    <row r="538" ht="14.25" customHeight="1">
      <c r="B538" s="153">
        <v>45765.0</v>
      </c>
      <c r="C538" s="141" t="str">
        <f t="shared" si="1"/>
        <v>4-2025</v>
      </c>
      <c r="D538" s="54"/>
      <c r="E538" s="54"/>
      <c r="F538" s="54">
        <f t="shared" si="15"/>
        <v>0</v>
      </c>
      <c r="G538" s="54">
        <f t="shared" si="28"/>
        <v>-10</v>
      </c>
      <c r="H538" s="54"/>
      <c r="I538" s="54"/>
      <c r="J538" s="54"/>
      <c r="K538" s="54"/>
      <c r="L538" s="54"/>
      <c r="M538" s="54"/>
      <c r="N538" s="54"/>
      <c r="O538" s="174"/>
      <c r="P538" s="174"/>
      <c r="Q538" s="174"/>
      <c r="R538" s="174"/>
    </row>
    <row r="539" ht="14.25" customHeight="1">
      <c r="B539" s="152">
        <v>45766.0</v>
      </c>
      <c r="C539" s="141" t="str">
        <f t="shared" si="1"/>
        <v>4-2025</v>
      </c>
      <c r="D539" s="54" t="str">
        <f t="shared" ref="D539:D540" si="75">E538</f>
        <v/>
      </c>
      <c r="E539" s="54"/>
      <c r="F539" s="54">
        <f t="shared" si="15"/>
        <v>0</v>
      </c>
      <c r="G539" s="54">
        <f t="shared" si="28"/>
        <v>-10</v>
      </c>
      <c r="H539" s="54"/>
      <c r="I539" s="54"/>
      <c r="J539" s="54"/>
      <c r="K539" s="54"/>
      <c r="L539" s="54"/>
      <c r="M539" s="54"/>
      <c r="N539" s="54"/>
      <c r="O539" s="174"/>
      <c r="P539" s="174"/>
      <c r="Q539" s="174"/>
      <c r="R539" s="174"/>
    </row>
    <row r="540" ht="14.25" customHeight="1">
      <c r="B540" s="152">
        <v>45767.0</v>
      </c>
      <c r="C540" s="141" t="str">
        <f t="shared" si="1"/>
        <v>4-2025</v>
      </c>
      <c r="D540" s="54" t="str">
        <f t="shared" si="75"/>
        <v/>
      </c>
      <c r="E540" s="54"/>
      <c r="F540" s="54">
        <f t="shared" si="15"/>
        <v>0</v>
      </c>
      <c r="G540" s="54">
        <f t="shared" si="28"/>
        <v>-10</v>
      </c>
      <c r="H540" s="54"/>
      <c r="I540" s="54"/>
      <c r="J540" s="54"/>
      <c r="K540" s="54"/>
      <c r="L540" s="54"/>
      <c r="M540" s="54"/>
      <c r="N540" s="54"/>
      <c r="O540" s="174"/>
      <c r="P540" s="174"/>
      <c r="Q540" s="174"/>
      <c r="R540" s="174"/>
    </row>
    <row r="541" ht="14.25" customHeight="1">
      <c r="B541" s="153">
        <v>45768.0</v>
      </c>
      <c r="C541" s="141" t="str">
        <f t="shared" si="1"/>
        <v>4-2025</v>
      </c>
      <c r="D541" s="138">
        <v>84.76</v>
      </c>
      <c r="E541" s="138">
        <v>95.26</v>
      </c>
      <c r="F541" s="54">
        <f t="shared" si="15"/>
        <v>10.5</v>
      </c>
      <c r="G541" s="54">
        <f t="shared" si="28"/>
        <v>0.5</v>
      </c>
      <c r="H541" s="54"/>
      <c r="I541" s="54"/>
      <c r="J541" s="54"/>
      <c r="K541" s="54"/>
      <c r="L541" s="54"/>
      <c r="M541" s="54"/>
      <c r="N541" s="54"/>
      <c r="O541" s="174"/>
      <c r="P541" s="174"/>
      <c r="Q541" s="174"/>
      <c r="R541" s="174"/>
    </row>
    <row r="542" ht="14.25" customHeight="1">
      <c r="B542" s="140">
        <v>45769.0</v>
      </c>
      <c r="C542" s="141" t="str">
        <f t="shared" si="1"/>
        <v>4-2025</v>
      </c>
      <c r="D542" s="54">
        <f t="shared" ref="D542:D546" si="76">E541</f>
        <v>95.26</v>
      </c>
      <c r="E542" s="138">
        <v>105.79</v>
      </c>
      <c r="F542" s="54">
        <f t="shared" si="15"/>
        <v>10.53</v>
      </c>
      <c r="G542" s="54">
        <f t="shared" si="28"/>
        <v>0.53</v>
      </c>
      <c r="H542" s="138">
        <v>201.0</v>
      </c>
      <c r="I542" s="54"/>
      <c r="J542" s="54"/>
      <c r="K542" s="54"/>
      <c r="L542" s="54"/>
      <c r="M542" s="54"/>
      <c r="N542" s="54"/>
      <c r="O542" s="174"/>
      <c r="P542" s="174"/>
      <c r="Q542" s="174"/>
      <c r="R542" s="174"/>
    </row>
    <row r="543" ht="14.25" customHeight="1">
      <c r="B543" s="140">
        <v>45770.0</v>
      </c>
      <c r="C543" s="141" t="str">
        <f t="shared" si="1"/>
        <v>4-2025</v>
      </c>
      <c r="D543" s="54">
        <f t="shared" si="76"/>
        <v>105.79</v>
      </c>
      <c r="E543" s="138">
        <v>116.26</v>
      </c>
      <c r="F543" s="54">
        <f t="shared" si="15"/>
        <v>10.47</v>
      </c>
      <c r="G543" s="54">
        <f t="shared" si="28"/>
        <v>0.47</v>
      </c>
      <c r="H543" s="54"/>
      <c r="I543" s="54"/>
      <c r="J543" s="54"/>
      <c r="K543" s="54"/>
      <c r="L543" s="54"/>
      <c r="M543" s="54"/>
      <c r="N543" s="54"/>
      <c r="O543" s="174"/>
      <c r="P543" s="174"/>
      <c r="Q543" s="174"/>
      <c r="R543" s="174"/>
    </row>
    <row r="544" ht="14.25" customHeight="1">
      <c r="B544" s="140">
        <v>45771.0</v>
      </c>
      <c r="C544" s="141" t="str">
        <f t="shared" si="1"/>
        <v>4-2025</v>
      </c>
      <c r="D544" s="54">
        <f t="shared" si="76"/>
        <v>116.26</v>
      </c>
      <c r="E544" s="138">
        <v>123.37</v>
      </c>
      <c r="F544" s="54">
        <f t="shared" si="15"/>
        <v>7.11</v>
      </c>
      <c r="G544" s="54">
        <f t="shared" si="28"/>
        <v>-2.89</v>
      </c>
      <c r="H544" s="138">
        <v>80.0</v>
      </c>
      <c r="I544" s="54"/>
      <c r="J544" s="54"/>
      <c r="K544" s="54"/>
      <c r="L544" s="54"/>
      <c r="M544" s="54"/>
      <c r="N544" s="54"/>
      <c r="O544" s="174"/>
      <c r="P544" s="174"/>
      <c r="Q544" s="174"/>
      <c r="R544" s="174"/>
    </row>
    <row r="545" ht="14.25" customHeight="1">
      <c r="B545" s="140">
        <v>45772.0</v>
      </c>
      <c r="C545" s="141" t="str">
        <f t="shared" si="1"/>
        <v>4-2025</v>
      </c>
      <c r="D545" s="54">
        <f t="shared" si="76"/>
        <v>123.37</v>
      </c>
      <c r="E545" s="138">
        <v>133.62</v>
      </c>
      <c r="F545" s="54">
        <f t="shared" si="15"/>
        <v>10.25</v>
      </c>
      <c r="G545" s="54">
        <f t="shared" si="28"/>
        <v>0.25</v>
      </c>
      <c r="H545" s="138">
        <v>230.0</v>
      </c>
      <c r="I545" s="54"/>
      <c r="J545" s="54"/>
      <c r="K545" s="54"/>
      <c r="L545" s="54"/>
      <c r="M545" s="54"/>
      <c r="N545" s="54"/>
      <c r="O545" s="174"/>
      <c r="P545" s="174"/>
      <c r="Q545" s="174"/>
      <c r="R545" s="174"/>
    </row>
    <row r="546" ht="14.25" customHeight="1">
      <c r="B546" s="152">
        <v>45773.0</v>
      </c>
      <c r="C546" s="141" t="str">
        <f t="shared" si="1"/>
        <v>4-2025</v>
      </c>
      <c r="D546" s="54">
        <f t="shared" si="76"/>
        <v>133.62</v>
      </c>
      <c r="E546" s="138">
        <v>142.2</v>
      </c>
      <c r="F546" s="54">
        <f t="shared" si="15"/>
        <v>8.58</v>
      </c>
      <c r="G546" s="54">
        <f t="shared" si="28"/>
        <v>-1.42</v>
      </c>
      <c r="H546" s="54"/>
      <c r="I546" s="54"/>
      <c r="J546" s="54"/>
      <c r="K546" s="54"/>
      <c r="L546" s="54"/>
      <c r="M546" s="54"/>
      <c r="N546" s="54"/>
      <c r="O546" s="174"/>
      <c r="P546" s="174"/>
      <c r="Q546" s="174"/>
      <c r="R546" s="174"/>
    </row>
    <row r="547" ht="14.25" customHeight="1">
      <c r="B547" s="152">
        <v>45774.0</v>
      </c>
      <c r="C547" s="141" t="str">
        <f t="shared" si="1"/>
        <v>4-2025</v>
      </c>
      <c r="D547" s="54"/>
      <c r="E547" s="54"/>
      <c r="F547" s="54">
        <f t="shared" si="15"/>
        <v>0</v>
      </c>
      <c r="G547" s="54">
        <f t="shared" si="28"/>
        <v>-10</v>
      </c>
      <c r="H547" s="54"/>
      <c r="I547" s="54"/>
      <c r="J547" s="54"/>
      <c r="K547" s="54"/>
      <c r="L547" s="54"/>
      <c r="M547" s="54"/>
      <c r="N547" s="54"/>
      <c r="O547" s="174"/>
      <c r="P547" s="174"/>
      <c r="Q547" s="174"/>
      <c r="R547" s="174"/>
    </row>
    <row r="548" ht="14.25" customHeight="1">
      <c r="B548" s="140">
        <v>45775.0</v>
      </c>
      <c r="C548" s="141" t="str">
        <f t="shared" si="1"/>
        <v>4-2025</v>
      </c>
      <c r="D548" s="138">
        <v>142.2</v>
      </c>
      <c r="E548" s="138">
        <v>146.83</v>
      </c>
      <c r="F548" s="54">
        <f t="shared" si="15"/>
        <v>4.63</v>
      </c>
      <c r="G548" s="54">
        <f t="shared" si="28"/>
        <v>-5.37</v>
      </c>
      <c r="H548" s="138">
        <v>250.0</v>
      </c>
      <c r="I548" s="54"/>
      <c r="J548" s="54"/>
      <c r="K548" s="54"/>
      <c r="L548" s="54"/>
      <c r="M548" s="54"/>
      <c r="N548" s="54"/>
      <c r="O548" s="174"/>
      <c r="P548" s="174"/>
      <c r="Q548" s="174"/>
      <c r="R548" s="174"/>
    </row>
    <row r="549" ht="14.25" customHeight="1">
      <c r="B549" s="140">
        <v>45776.0</v>
      </c>
      <c r="C549" s="141" t="str">
        <f t="shared" si="1"/>
        <v>4-2025</v>
      </c>
      <c r="D549" s="54">
        <f t="shared" ref="D549:D550" si="77">E548</f>
        <v>146.83</v>
      </c>
      <c r="E549" s="138">
        <v>156.6</v>
      </c>
      <c r="F549" s="54">
        <f t="shared" si="15"/>
        <v>9.77</v>
      </c>
      <c r="G549" s="54">
        <f t="shared" si="28"/>
        <v>-0.23</v>
      </c>
      <c r="H549" s="138">
        <v>183.0</v>
      </c>
      <c r="I549" s="54"/>
      <c r="J549" s="54"/>
      <c r="K549" s="54"/>
      <c r="L549" s="54"/>
      <c r="M549" s="54"/>
      <c r="N549" s="54"/>
      <c r="O549" s="174"/>
      <c r="P549" s="174"/>
      <c r="Q549" s="174"/>
      <c r="R549" s="174"/>
    </row>
    <row r="550" ht="14.25" customHeight="1">
      <c r="B550" s="140">
        <v>45777.0</v>
      </c>
      <c r="C550" s="141" t="str">
        <f t="shared" si="1"/>
        <v>4-2025</v>
      </c>
      <c r="D550" s="54">
        <f t="shared" si="77"/>
        <v>156.6</v>
      </c>
      <c r="E550" s="138">
        <v>165.6</v>
      </c>
      <c r="F550" s="54">
        <f t="shared" si="15"/>
        <v>9</v>
      </c>
      <c r="G550" s="54">
        <f t="shared" si="28"/>
        <v>-1</v>
      </c>
      <c r="H550" s="54"/>
      <c r="I550" s="54"/>
      <c r="J550" s="54"/>
      <c r="K550" s="54"/>
      <c r="L550" s="54"/>
      <c r="M550" s="54"/>
      <c r="N550" s="54"/>
      <c r="O550" s="174"/>
      <c r="P550" s="174"/>
      <c r="Q550" s="174"/>
      <c r="R550" s="174"/>
    </row>
    <row r="551" ht="14.25" customHeight="1">
      <c r="B551" s="154">
        <v>45778.0</v>
      </c>
      <c r="C551" s="141" t="str">
        <f t="shared" si="1"/>
        <v>5-2025</v>
      </c>
      <c r="D551" s="138">
        <v>165.6</v>
      </c>
      <c r="E551" s="138">
        <v>176.44</v>
      </c>
      <c r="F551" s="54">
        <f t="shared" si="15"/>
        <v>10.84</v>
      </c>
      <c r="G551" s="54">
        <f t="shared" si="28"/>
        <v>0.84</v>
      </c>
      <c r="H551" s="54"/>
      <c r="I551" s="54"/>
      <c r="J551" s="54"/>
      <c r="K551" s="54"/>
      <c r="L551" s="54"/>
      <c r="M551" s="54"/>
      <c r="N551" s="54"/>
      <c r="O551" s="174"/>
      <c r="P551" s="174"/>
      <c r="Q551" s="174"/>
      <c r="R551" s="174"/>
    </row>
    <row r="552" ht="14.25" customHeight="1">
      <c r="B552" s="140">
        <v>45779.0</v>
      </c>
      <c r="C552" s="141" t="str">
        <f t="shared" si="1"/>
        <v>5-2025</v>
      </c>
      <c r="D552" s="54">
        <f t="shared" ref="D552:D553" si="78">E551</f>
        <v>176.44</v>
      </c>
      <c r="E552" s="138">
        <v>183.93</v>
      </c>
      <c r="F552" s="54">
        <f t="shared" si="15"/>
        <v>7.49</v>
      </c>
      <c r="G552" s="54">
        <f t="shared" si="28"/>
        <v>-2.51</v>
      </c>
      <c r="H552" s="54"/>
      <c r="I552" s="54"/>
      <c r="J552" s="54"/>
      <c r="K552" s="54"/>
      <c r="L552" s="54"/>
      <c r="M552" s="54"/>
      <c r="N552" s="54"/>
      <c r="O552" s="174"/>
      <c r="P552" s="174"/>
      <c r="Q552" s="174"/>
      <c r="R552" s="174"/>
    </row>
    <row r="553" ht="14.25" customHeight="1">
      <c r="B553" s="145">
        <v>45780.0</v>
      </c>
      <c r="C553" s="141" t="str">
        <f t="shared" si="1"/>
        <v>5-2025</v>
      </c>
      <c r="D553" s="54">
        <f t="shared" si="78"/>
        <v>183.93</v>
      </c>
      <c r="E553" s="138">
        <v>191.98</v>
      </c>
      <c r="F553" s="54">
        <f t="shared" si="15"/>
        <v>8.05</v>
      </c>
      <c r="G553" s="54">
        <f t="shared" si="28"/>
        <v>-1.95</v>
      </c>
      <c r="H553" s="54"/>
      <c r="I553" s="54"/>
      <c r="J553" s="54"/>
      <c r="K553" s="54"/>
      <c r="L553" s="54"/>
      <c r="M553" s="54"/>
      <c r="N553" s="54"/>
      <c r="O553" s="174"/>
      <c r="P553" s="174"/>
      <c r="Q553" s="174"/>
      <c r="R553" s="174"/>
    </row>
    <row r="554" ht="14.25" customHeight="1">
      <c r="B554" s="145">
        <v>45781.0</v>
      </c>
      <c r="C554" s="141" t="str">
        <f t="shared" si="1"/>
        <v>5-2025</v>
      </c>
      <c r="D554" s="54"/>
      <c r="E554" s="138"/>
      <c r="F554" s="54">
        <f t="shared" si="15"/>
        <v>0</v>
      </c>
      <c r="G554" s="54">
        <f t="shared" si="28"/>
        <v>-10</v>
      </c>
      <c r="H554" s="54"/>
      <c r="I554" s="54"/>
      <c r="J554" s="54"/>
      <c r="K554" s="54"/>
      <c r="L554" s="54"/>
      <c r="M554" s="54"/>
      <c r="N554" s="54"/>
      <c r="O554" s="174"/>
      <c r="P554" s="174"/>
      <c r="Q554" s="174"/>
      <c r="R554" s="174"/>
    </row>
    <row r="555" ht="14.25" customHeight="1">
      <c r="B555" s="140">
        <v>45782.0</v>
      </c>
      <c r="C555" s="141" t="str">
        <f t="shared" si="1"/>
        <v>5-2025</v>
      </c>
      <c r="D555" s="138">
        <v>191.98</v>
      </c>
      <c r="E555" s="138">
        <v>198.03</v>
      </c>
      <c r="F555" s="54">
        <f t="shared" si="15"/>
        <v>6.05</v>
      </c>
      <c r="G555" s="54">
        <f t="shared" si="28"/>
        <v>-3.95</v>
      </c>
      <c r="H555" s="54"/>
      <c r="I555" s="54"/>
      <c r="J555" s="54"/>
      <c r="K555" s="54"/>
      <c r="L555" s="54"/>
      <c r="M555" s="54"/>
      <c r="N555" s="54"/>
      <c r="O555" s="174"/>
      <c r="P555" s="174"/>
      <c r="Q555" s="174"/>
      <c r="R555" s="174"/>
    </row>
    <row r="556" ht="14.25" customHeight="1">
      <c r="B556" s="140">
        <v>45783.0</v>
      </c>
      <c r="C556" s="141" t="str">
        <f t="shared" si="1"/>
        <v>5-2025</v>
      </c>
      <c r="D556" s="54">
        <f t="shared" ref="D556:D560" si="79">E555</f>
        <v>198.03</v>
      </c>
      <c r="E556" s="138">
        <v>206.68</v>
      </c>
      <c r="F556" s="54">
        <f t="shared" si="15"/>
        <v>8.65</v>
      </c>
      <c r="G556" s="54">
        <f t="shared" si="28"/>
        <v>-1.35</v>
      </c>
      <c r="H556" s="54"/>
      <c r="I556" s="54"/>
      <c r="J556" s="54"/>
      <c r="K556" s="54"/>
      <c r="L556" s="54"/>
      <c r="M556" s="54"/>
      <c r="N556" s="54"/>
      <c r="O556" s="174"/>
      <c r="P556" s="174"/>
      <c r="Q556" s="174"/>
      <c r="R556" s="174"/>
    </row>
    <row r="557" ht="14.25" customHeight="1">
      <c r="B557" s="140">
        <v>45784.0</v>
      </c>
      <c r="C557" s="141" t="str">
        <f t="shared" si="1"/>
        <v>5-2025</v>
      </c>
      <c r="D557" s="54">
        <f t="shared" si="79"/>
        <v>206.68</v>
      </c>
      <c r="E557" s="138">
        <v>215.78</v>
      </c>
      <c r="F557" s="54">
        <f t="shared" si="15"/>
        <v>9.1</v>
      </c>
      <c r="G557" s="54">
        <f t="shared" si="28"/>
        <v>-0.9</v>
      </c>
      <c r="H557" s="54"/>
      <c r="I557" s="54"/>
      <c r="J557" s="54"/>
      <c r="K557" s="54"/>
      <c r="L557" s="54"/>
      <c r="M557" s="54"/>
      <c r="N557" s="54"/>
      <c r="O557" s="174"/>
      <c r="P557" s="174"/>
      <c r="Q557" s="174"/>
      <c r="R557" s="174"/>
    </row>
    <row r="558" ht="14.25" customHeight="1">
      <c r="B558" s="140">
        <v>45785.0</v>
      </c>
      <c r="C558" s="141" t="str">
        <f t="shared" si="1"/>
        <v>5-2025</v>
      </c>
      <c r="D558" s="54">
        <f t="shared" si="79"/>
        <v>215.78</v>
      </c>
      <c r="E558" s="138">
        <v>221.77</v>
      </c>
      <c r="F558" s="54">
        <f t="shared" si="15"/>
        <v>5.99</v>
      </c>
      <c r="G558" s="54">
        <f t="shared" si="28"/>
        <v>-4.01</v>
      </c>
      <c r="H558" s="54"/>
      <c r="I558" s="54"/>
      <c r="J558" s="54"/>
      <c r="K558" s="54"/>
      <c r="L558" s="54"/>
      <c r="M558" s="54"/>
      <c r="N558" s="54"/>
      <c r="O558" s="174"/>
      <c r="P558" s="174"/>
      <c r="Q558" s="174"/>
      <c r="R558" s="174"/>
    </row>
    <row r="559" ht="14.25" customHeight="1">
      <c r="B559" s="140">
        <v>45786.0</v>
      </c>
      <c r="C559" s="141" t="str">
        <f t="shared" si="1"/>
        <v>5-2025</v>
      </c>
      <c r="D559" s="54">
        <f t="shared" si="79"/>
        <v>221.77</v>
      </c>
      <c r="E559" s="138">
        <v>231.67</v>
      </c>
      <c r="F559" s="54">
        <f t="shared" si="15"/>
        <v>9.9</v>
      </c>
      <c r="G559" s="54">
        <f t="shared" si="28"/>
        <v>-0.1</v>
      </c>
      <c r="H559" s="54"/>
      <c r="I559" s="54"/>
      <c r="J559" s="54"/>
      <c r="K559" s="54"/>
      <c r="L559" s="54"/>
      <c r="M559" s="54"/>
      <c r="N559" s="54"/>
      <c r="O559" s="174"/>
      <c r="P559" s="174"/>
      <c r="Q559" s="174"/>
      <c r="R559" s="174"/>
    </row>
    <row r="560" ht="14.25" customHeight="1">
      <c r="B560" s="145">
        <v>45787.0</v>
      </c>
      <c r="C560" s="141" t="str">
        <f t="shared" si="1"/>
        <v>5-2025</v>
      </c>
      <c r="D560" s="54">
        <f t="shared" si="79"/>
        <v>231.67</v>
      </c>
      <c r="E560" s="138">
        <v>237.98</v>
      </c>
      <c r="F560" s="54">
        <f t="shared" si="15"/>
        <v>6.31</v>
      </c>
      <c r="G560" s="54">
        <f t="shared" si="28"/>
        <v>-3.69</v>
      </c>
      <c r="H560" s="54"/>
      <c r="I560" s="54"/>
      <c r="J560" s="54"/>
      <c r="K560" s="54"/>
      <c r="L560" s="54"/>
      <c r="M560" s="54"/>
      <c r="N560" s="54"/>
      <c r="O560" s="174"/>
      <c r="P560" s="174"/>
      <c r="Q560" s="174"/>
      <c r="R560" s="174"/>
    </row>
    <row r="561" ht="14.25" customHeight="1">
      <c r="B561" s="145">
        <v>45788.0</v>
      </c>
      <c r="C561" s="141" t="str">
        <f t="shared" si="1"/>
        <v>5-2025</v>
      </c>
      <c r="D561" s="54"/>
      <c r="E561" s="54"/>
      <c r="F561" s="54">
        <f t="shared" si="15"/>
        <v>0</v>
      </c>
      <c r="G561" s="54">
        <f t="shared" si="28"/>
        <v>-10</v>
      </c>
      <c r="H561" s="54"/>
      <c r="I561" s="54"/>
      <c r="J561" s="54"/>
      <c r="K561" s="54"/>
      <c r="L561" s="54"/>
      <c r="M561" s="54"/>
      <c r="N561" s="54"/>
      <c r="O561" s="174"/>
      <c r="P561" s="174"/>
      <c r="Q561" s="174"/>
      <c r="R561" s="174"/>
    </row>
    <row r="562" ht="14.25" customHeight="1">
      <c r="B562" s="140">
        <v>45789.0</v>
      </c>
      <c r="C562" s="141" t="str">
        <f t="shared" si="1"/>
        <v>5-2025</v>
      </c>
      <c r="D562" s="138">
        <v>237.98</v>
      </c>
      <c r="E562" s="138">
        <v>248.1</v>
      </c>
      <c r="F562" s="54">
        <f t="shared" si="15"/>
        <v>10.12</v>
      </c>
      <c r="G562" s="54">
        <f t="shared" si="28"/>
        <v>0.12</v>
      </c>
      <c r="H562" s="54"/>
      <c r="I562" s="54"/>
      <c r="J562" s="54"/>
      <c r="K562" s="54"/>
      <c r="L562" s="54"/>
      <c r="M562" s="54"/>
      <c r="N562" s="54"/>
      <c r="O562" s="174"/>
      <c r="P562" s="174"/>
      <c r="Q562" s="174"/>
      <c r="R562" s="174"/>
    </row>
    <row r="563" ht="14.25" customHeight="1">
      <c r="B563" s="140">
        <v>45790.0</v>
      </c>
      <c r="C563" s="141" t="str">
        <f t="shared" si="1"/>
        <v>5-2025</v>
      </c>
      <c r="D563" s="54">
        <f t="shared" ref="D563:D567" si="80">E562</f>
        <v>248.1</v>
      </c>
      <c r="E563" s="138">
        <v>258.5</v>
      </c>
      <c r="F563" s="54">
        <f t="shared" si="15"/>
        <v>10.4</v>
      </c>
      <c r="G563" s="54">
        <f t="shared" si="28"/>
        <v>0.4</v>
      </c>
      <c r="H563" s="54"/>
      <c r="I563" s="54"/>
      <c r="J563" s="54"/>
      <c r="K563" s="54"/>
      <c r="L563" s="54"/>
      <c r="M563" s="54"/>
      <c r="N563" s="54"/>
      <c r="O563" s="174"/>
      <c r="P563" s="174"/>
      <c r="Q563" s="174"/>
      <c r="R563" s="174"/>
    </row>
    <row r="564" ht="14.25" customHeight="1">
      <c r="B564" s="140">
        <v>45791.0</v>
      </c>
      <c r="C564" s="141" t="str">
        <f t="shared" si="1"/>
        <v>5-2025</v>
      </c>
      <c r="D564" s="54">
        <f t="shared" si="80"/>
        <v>258.5</v>
      </c>
      <c r="E564" s="138">
        <v>268.9</v>
      </c>
      <c r="F564" s="54">
        <f t="shared" si="15"/>
        <v>10.4</v>
      </c>
      <c r="G564" s="54">
        <f t="shared" si="28"/>
        <v>0.4</v>
      </c>
      <c r="H564" s="54"/>
      <c r="I564" s="54"/>
      <c r="J564" s="54"/>
      <c r="K564" s="54"/>
      <c r="L564" s="54"/>
      <c r="M564" s="54"/>
      <c r="N564" s="54"/>
      <c r="O564" s="174"/>
      <c r="P564" s="174"/>
      <c r="Q564" s="174"/>
      <c r="R564" s="174"/>
    </row>
    <row r="565" ht="14.25" customHeight="1">
      <c r="B565" s="140">
        <v>45792.0</v>
      </c>
      <c r="C565" s="141" t="str">
        <f t="shared" si="1"/>
        <v>5-2025</v>
      </c>
      <c r="D565" s="54">
        <f t="shared" si="80"/>
        <v>268.9</v>
      </c>
      <c r="E565" s="138">
        <v>278.81</v>
      </c>
      <c r="F565" s="54">
        <f t="shared" si="15"/>
        <v>9.91</v>
      </c>
      <c r="G565" s="54">
        <f t="shared" si="28"/>
        <v>-0.09</v>
      </c>
      <c r="H565" s="54"/>
      <c r="I565" s="54"/>
      <c r="J565" s="54"/>
      <c r="K565" s="54"/>
      <c r="L565" s="54"/>
      <c r="M565" s="54"/>
      <c r="N565" s="54"/>
      <c r="O565" s="174"/>
      <c r="P565" s="174"/>
      <c r="Q565" s="174"/>
      <c r="R565" s="174"/>
    </row>
    <row r="566" ht="14.25" customHeight="1">
      <c r="B566" s="140">
        <v>45793.0</v>
      </c>
      <c r="C566" s="141" t="str">
        <f t="shared" si="1"/>
        <v>5-2025</v>
      </c>
      <c r="D566" s="54">
        <f t="shared" si="80"/>
        <v>278.81</v>
      </c>
      <c r="E566" s="138">
        <v>288.54</v>
      </c>
      <c r="F566" s="54">
        <f t="shared" si="15"/>
        <v>9.73</v>
      </c>
      <c r="G566" s="54">
        <f t="shared" si="28"/>
        <v>-0.27</v>
      </c>
      <c r="H566" s="54"/>
      <c r="I566" s="54"/>
      <c r="J566" s="54"/>
      <c r="K566" s="54"/>
      <c r="L566" s="54"/>
      <c r="M566" s="54"/>
      <c r="N566" s="54"/>
      <c r="O566" s="174"/>
      <c r="P566" s="174"/>
      <c r="Q566" s="174"/>
      <c r="R566" s="174"/>
    </row>
    <row r="567" ht="14.25" customHeight="1">
      <c r="B567" s="145">
        <v>45794.0</v>
      </c>
      <c r="C567" s="141" t="str">
        <f t="shared" si="1"/>
        <v>5-2025</v>
      </c>
      <c r="D567" s="54">
        <f t="shared" si="80"/>
        <v>288.54</v>
      </c>
      <c r="E567" s="138">
        <v>294.7</v>
      </c>
      <c r="F567" s="54">
        <f t="shared" si="15"/>
        <v>6.16</v>
      </c>
      <c r="G567" s="54">
        <f t="shared" si="28"/>
        <v>-3.84</v>
      </c>
      <c r="H567" s="54"/>
      <c r="I567" s="54"/>
      <c r="J567" s="54"/>
      <c r="K567" s="54"/>
      <c r="L567" s="54"/>
      <c r="M567" s="54"/>
      <c r="N567" s="54"/>
      <c r="O567" s="174"/>
      <c r="P567" s="174"/>
      <c r="Q567" s="174"/>
      <c r="R567" s="174"/>
    </row>
    <row r="568" ht="14.25" customHeight="1">
      <c r="B568" s="145">
        <v>45795.0</v>
      </c>
      <c r="C568" s="141" t="str">
        <f t="shared" si="1"/>
        <v>5-2025</v>
      </c>
      <c r="D568" s="54"/>
      <c r="E568" s="54"/>
      <c r="F568" s="54">
        <f t="shared" si="15"/>
        <v>0</v>
      </c>
      <c r="G568" s="54">
        <f t="shared" si="28"/>
        <v>-10</v>
      </c>
      <c r="H568" s="54"/>
      <c r="I568" s="54"/>
      <c r="J568" s="54"/>
      <c r="K568" s="54"/>
      <c r="L568" s="54"/>
      <c r="M568" s="54"/>
      <c r="N568" s="54"/>
      <c r="O568" s="174"/>
      <c r="P568" s="174"/>
      <c r="Q568" s="174"/>
      <c r="R568" s="174"/>
    </row>
    <row r="569" ht="14.25" customHeight="1">
      <c r="B569" s="140">
        <v>45796.0</v>
      </c>
      <c r="C569" s="141" t="str">
        <f t="shared" si="1"/>
        <v>5-2025</v>
      </c>
      <c r="D569" s="138">
        <v>294.7</v>
      </c>
      <c r="E569" s="138">
        <v>304.25</v>
      </c>
      <c r="F569" s="54">
        <f t="shared" si="15"/>
        <v>9.55</v>
      </c>
      <c r="G569" s="54">
        <f t="shared" si="28"/>
        <v>-0.45</v>
      </c>
      <c r="H569" s="54"/>
      <c r="I569" s="54"/>
      <c r="J569" s="54"/>
      <c r="K569" s="54"/>
      <c r="L569" s="54"/>
      <c r="M569" s="54"/>
      <c r="N569" s="54"/>
      <c r="O569" s="174"/>
      <c r="P569" s="174"/>
      <c r="Q569" s="174"/>
      <c r="R569" s="174"/>
    </row>
    <row r="570" ht="14.25" customHeight="1">
      <c r="B570" s="140">
        <v>45797.0</v>
      </c>
      <c r="C570" s="141" t="str">
        <f t="shared" si="1"/>
        <v>5-2025</v>
      </c>
      <c r="D570" s="54">
        <f t="shared" ref="D570:D573" si="81">E569</f>
        <v>304.25</v>
      </c>
      <c r="E570" s="138">
        <v>314.27</v>
      </c>
      <c r="F570" s="54">
        <f t="shared" si="15"/>
        <v>10.02</v>
      </c>
      <c r="G570" s="54">
        <f t="shared" si="28"/>
        <v>0.02</v>
      </c>
      <c r="H570" s="54"/>
      <c r="I570" s="54"/>
      <c r="J570" s="54"/>
      <c r="K570" s="54"/>
      <c r="L570" s="54"/>
      <c r="M570" s="54"/>
      <c r="N570" s="54"/>
      <c r="O570" s="174"/>
      <c r="P570" s="174"/>
      <c r="Q570" s="174"/>
      <c r="R570" s="174"/>
    </row>
    <row r="571" ht="14.25" customHeight="1">
      <c r="B571" s="140">
        <v>45798.0</v>
      </c>
      <c r="C571" s="141" t="str">
        <f t="shared" si="1"/>
        <v>5-2025</v>
      </c>
      <c r="D571" s="54">
        <f t="shared" si="81"/>
        <v>314.27</v>
      </c>
      <c r="E571" s="138">
        <v>322.52</v>
      </c>
      <c r="F571" s="54">
        <f t="shared" si="15"/>
        <v>8.25</v>
      </c>
      <c r="G571" s="54">
        <f t="shared" si="28"/>
        <v>-1.75</v>
      </c>
      <c r="H571" s="54"/>
      <c r="I571" s="54"/>
      <c r="J571" s="54"/>
      <c r="K571" s="54"/>
      <c r="L571" s="54"/>
      <c r="M571" s="54"/>
      <c r="N571" s="54"/>
      <c r="O571" s="174"/>
      <c r="P571" s="174"/>
      <c r="Q571" s="174"/>
      <c r="R571" s="174"/>
    </row>
    <row r="572" ht="14.25" customHeight="1">
      <c r="B572" s="140">
        <v>45799.0</v>
      </c>
      <c r="C572" s="141" t="str">
        <f t="shared" si="1"/>
        <v>5-2025</v>
      </c>
      <c r="D572" s="54">
        <f t="shared" si="81"/>
        <v>322.52</v>
      </c>
      <c r="E572" s="138">
        <v>333.35</v>
      </c>
      <c r="F572" s="54">
        <f t="shared" si="15"/>
        <v>10.83</v>
      </c>
      <c r="G572" s="54">
        <f t="shared" si="28"/>
        <v>0.83</v>
      </c>
      <c r="H572" s="54"/>
      <c r="I572" s="54"/>
      <c r="J572" s="138"/>
      <c r="K572" s="138"/>
      <c r="L572" s="54"/>
      <c r="M572" s="54"/>
      <c r="N572" s="54"/>
      <c r="O572" s="174"/>
      <c r="P572" s="174"/>
      <c r="Q572" s="174"/>
      <c r="R572" s="174"/>
    </row>
    <row r="573" ht="14.25" customHeight="1">
      <c r="B573" s="140">
        <v>45800.0</v>
      </c>
      <c r="C573" s="141" t="str">
        <f t="shared" si="1"/>
        <v>5-2025</v>
      </c>
      <c r="D573" s="54">
        <f t="shared" si="81"/>
        <v>333.35</v>
      </c>
      <c r="E573" s="138">
        <v>343.02</v>
      </c>
      <c r="F573" s="54">
        <f t="shared" si="15"/>
        <v>9.67</v>
      </c>
      <c r="G573" s="54">
        <f t="shared" si="28"/>
        <v>-0.33</v>
      </c>
      <c r="H573" s="54"/>
      <c r="I573" s="54"/>
      <c r="J573" s="54"/>
      <c r="K573" s="54"/>
      <c r="L573" s="54"/>
      <c r="M573" s="54"/>
      <c r="N573" s="54"/>
      <c r="O573" s="174"/>
      <c r="P573" s="174"/>
      <c r="Q573" s="174"/>
      <c r="R573" s="174"/>
    </row>
    <row r="574" ht="14.25" customHeight="1">
      <c r="B574" s="145">
        <v>45801.0</v>
      </c>
      <c r="C574" s="141" t="str">
        <f t="shared" si="1"/>
        <v>5-2025</v>
      </c>
      <c r="D574" s="54"/>
      <c r="E574" s="54"/>
      <c r="F574" s="54">
        <f t="shared" si="15"/>
        <v>0</v>
      </c>
      <c r="G574" s="54">
        <f t="shared" si="28"/>
        <v>-10</v>
      </c>
      <c r="H574" s="54"/>
      <c r="I574" s="54"/>
      <c r="J574" s="54"/>
      <c r="K574" s="54"/>
      <c r="L574" s="54"/>
      <c r="M574" s="54"/>
      <c r="N574" s="54"/>
      <c r="O574" s="174"/>
      <c r="P574" s="174"/>
      <c r="Q574" s="174"/>
      <c r="R574" s="174"/>
    </row>
    <row r="575" ht="14.25" customHeight="1">
      <c r="B575" s="145">
        <v>45802.0</v>
      </c>
      <c r="C575" s="141" t="str">
        <f t="shared" si="1"/>
        <v>5-2025</v>
      </c>
      <c r="D575" s="54" t="str">
        <f>E574</f>
        <v/>
      </c>
      <c r="E575" s="54"/>
      <c r="F575" s="54">
        <f t="shared" si="15"/>
        <v>0</v>
      </c>
      <c r="G575" s="54">
        <f t="shared" si="28"/>
        <v>-10</v>
      </c>
      <c r="H575" s="54"/>
      <c r="I575" s="54"/>
      <c r="J575" s="54"/>
      <c r="K575" s="54"/>
      <c r="L575" s="54"/>
      <c r="M575" s="54"/>
      <c r="N575" s="54"/>
      <c r="O575" s="174"/>
      <c r="P575" s="174"/>
      <c r="Q575" s="174"/>
      <c r="R575" s="174"/>
    </row>
    <row r="576" ht="14.25" customHeight="1">
      <c r="B576" s="140">
        <v>45803.0</v>
      </c>
      <c r="C576" s="141" t="str">
        <f t="shared" si="1"/>
        <v>5-2025</v>
      </c>
      <c r="D576" s="138">
        <v>343.02</v>
      </c>
      <c r="E576" s="138">
        <v>352.95</v>
      </c>
      <c r="F576" s="54">
        <f t="shared" si="15"/>
        <v>9.93</v>
      </c>
      <c r="G576" s="54">
        <f t="shared" si="28"/>
        <v>-0.07</v>
      </c>
      <c r="H576" s="54"/>
      <c r="I576" s="54"/>
      <c r="J576" s="54"/>
      <c r="K576" s="54"/>
      <c r="L576" s="54"/>
      <c r="M576" s="54"/>
      <c r="N576" s="54"/>
      <c r="O576" s="174"/>
      <c r="P576" s="174"/>
      <c r="Q576" s="174"/>
      <c r="R576" s="174"/>
    </row>
    <row r="577" ht="14.25" customHeight="1">
      <c r="B577" s="140">
        <v>45804.0</v>
      </c>
      <c r="C577" s="141" t="str">
        <f t="shared" si="1"/>
        <v>5-2025</v>
      </c>
      <c r="D577" s="54">
        <f t="shared" ref="D577:D581" si="82">E576</f>
        <v>352.95</v>
      </c>
      <c r="E577" s="138">
        <v>363.4</v>
      </c>
      <c r="F577" s="54">
        <f t="shared" si="15"/>
        <v>10.45</v>
      </c>
      <c r="G577" s="54">
        <f t="shared" si="28"/>
        <v>0.45</v>
      </c>
      <c r="H577" s="54"/>
      <c r="I577" s="54"/>
      <c r="J577" s="54"/>
      <c r="K577" s="54"/>
      <c r="L577" s="54"/>
      <c r="M577" s="54"/>
      <c r="N577" s="54"/>
      <c r="O577" s="174"/>
      <c r="P577" s="174"/>
      <c r="Q577" s="174"/>
      <c r="R577" s="174"/>
    </row>
    <row r="578" ht="14.25" customHeight="1">
      <c r="B578" s="140">
        <v>45805.0</v>
      </c>
      <c r="C578" s="141" t="str">
        <f t="shared" si="1"/>
        <v>5-2025</v>
      </c>
      <c r="D578" s="54">
        <f t="shared" si="82"/>
        <v>363.4</v>
      </c>
      <c r="E578" s="138">
        <v>373.63</v>
      </c>
      <c r="F578" s="54">
        <f t="shared" si="15"/>
        <v>10.23</v>
      </c>
      <c r="G578" s="54">
        <f t="shared" si="28"/>
        <v>0.23</v>
      </c>
      <c r="H578" s="54"/>
      <c r="I578" s="54"/>
      <c r="J578" s="54"/>
      <c r="K578" s="54"/>
      <c r="L578" s="54"/>
      <c r="M578" s="54"/>
      <c r="N578" s="54"/>
      <c r="O578" s="174"/>
      <c r="P578" s="174"/>
      <c r="Q578" s="174"/>
      <c r="R578" s="174"/>
    </row>
    <row r="579" ht="14.25" customHeight="1">
      <c r="B579" s="140">
        <v>45806.0</v>
      </c>
      <c r="C579" s="141" t="str">
        <f t="shared" si="1"/>
        <v>5-2025</v>
      </c>
      <c r="D579" s="54">
        <f t="shared" si="82"/>
        <v>373.63</v>
      </c>
      <c r="E579" s="138">
        <v>384.49</v>
      </c>
      <c r="F579" s="54">
        <f t="shared" si="15"/>
        <v>10.86</v>
      </c>
      <c r="G579" s="54">
        <f t="shared" si="28"/>
        <v>0.86</v>
      </c>
      <c r="H579" s="54"/>
      <c r="I579" s="54"/>
      <c r="J579" s="54"/>
      <c r="K579" s="54"/>
      <c r="L579" s="54"/>
      <c r="M579" s="54"/>
      <c r="N579" s="54"/>
      <c r="O579" s="174"/>
      <c r="P579" s="174"/>
      <c r="Q579" s="174"/>
      <c r="R579" s="174"/>
    </row>
    <row r="580" ht="14.25" customHeight="1">
      <c r="B580" s="140">
        <v>45807.0</v>
      </c>
      <c r="C580" s="141" t="str">
        <f t="shared" si="1"/>
        <v>5-2025</v>
      </c>
      <c r="D580" s="54">
        <f t="shared" si="82"/>
        <v>384.49</v>
      </c>
      <c r="E580" s="138">
        <v>395.44</v>
      </c>
      <c r="F580" s="54">
        <f t="shared" si="15"/>
        <v>10.95</v>
      </c>
      <c r="G580" s="54">
        <f t="shared" si="28"/>
        <v>0.95</v>
      </c>
      <c r="H580" s="54"/>
      <c r="I580" s="54"/>
      <c r="J580" s="54"/>
      <c r="K580" s="54"/>
      <c r="L580" s="54"/>
      <c r="M580" s="54"/>
      <c r="N580" s="54"/>
      <c r="O580" s="174"/>
      <c r="P580" s="174"/>
      <c r="Q580" s="174"/>
      <c r="R580" s="174"/>
    </row>
    <row r="581" ht="14.25" customHeight="1">
      <c r="B581" s="145">
        <v>45808.0</v>
      </c>
      <c r="C581" s="141" t="str">
        <f t="shared" si="1"/>
        <v>5-2025</v>
      </c>
      <c r="D581" s="54">
        <f t="shared" si="82"/>
        <v>395.44</v>
      </c>
      <c r="E581" s="138">
        <v>404.14</v>
      </c>
      <c r="F581" s="54">
        <f t="shared" si="15"/>
        <v>8.7</v>
      </c>
      <c r="G581" s="54">
        <f t="shared" si="28"/>
        <v>-1.3</v>
      </c>
      <c r="H581" s="138">
        <v>2568.0</v>
      </c>
      <c r="I581" s="54"/>
      <c r="J581" s="54"/>
      <c r="K581" s="54"/>
      <c r="L581" s="54"/>
      <c r="M581" s="54"/>
      <c r="N581" s="54"/>
      <c r="O581" s="174"/>
      <c r="P581" s="174"/>
      <c r="Q581" s="174"/>
      <c r="R581" s="174"/>
    </row>
    <row r="582" ht="14.25" customHeight="1">
      <c r="B582" s="145">
        <v>45809.0</v>
      </c>
      <c r="C582" s="141" t="str">
        <f t="shared" si="1"/>
        <v>6-2025</v>
      </c>
      <c r="D582" s="138"/>
      <c r="E582" s="138"/>
      <c r="F582" s="54">
        <f t="shared" si="15"/>
        <v>0</v>
      </c>
      <c r="G582" s="54">
        <f t="shared" si="28"/>
        <v>-10</v>
      </c>
      <c r="H582" s="54"/>
      <c r="I582" s="54"/>
      <c r="J582" s="54"/>
      <c r="K582" s="54"/>
      <c r="L582" s="54"/>
      <c r="M582" s="54"/>
      <c r="N582" s="54"/>
      <c r="O582" s="174"/>
      <c r="P582" s="174"/>
      <c r="Q582" s="174"/>
      <c r="R582" s="174"/>
    </row>
    <row r="583" ht="14.25" customHeight="1">
      <c r="B583" s="140">
        <v>45810.0</v>
      </c>
      <c r="C583" s="141" t="str">
        <f t="shared" si="1"/>
        <v>6-2025</v>
      </c>
      <c r="D583" s="138">
        <v>404.14</v>
      </c>
      <c r="E583" s="138">
        <v>414.2</v>
      </c>
      <c r="F583" s="54">
        <f t="shared" si="15"/>
        <v>10.06</v>
      </c>
      <c r="G583" s="54">
        <f t="shared" si="28"/>
        <v>0.06</v>
      </c>
      <c r="H583" s="138">
        <v>227.0</v>
      </c>
      <c r="I583" s="54"/>
      <c r="J583" s="54"/>
      <c r="K583" s="54"/>
      <c r="L583" s="54"/>
      <c r="M583" s="54"/>
      <c r="N583" s="54"/>
      <c r="O583" s="174"/>
      <c r="P583" s="174"/>
      <c r="Q583" s="174"/>
      <c r="R583" s="174"/>
    </row>
    <row r="584" ht="14.25" customHeight="1">
      <c r="B584" s="140">
        <v>45811.0</v>
      </c>
      <c r="C584" s="141" t="str">
        <f t="shared" si="1"/>
        <v>6-2025</v>
      </c>
      <c r="D584" s="54">
        <f t="shared" ref="D584:D587" si="83">E583</f>
        <v>414.2</v>
      </c>
      <c r="E584" s="138">
        <v>424.07</v>
      </c>
      <c r="F584" s="54">
        <f t="shared" si="15"/>
        <v>9.87</v>
      </c>
      <c r="G584" s="54">
        <f t="shared" si="28"/>
        <v>-0.13</v>
      </c>
      <c r="H584" s="54"/>
      <c r="I584" s="54"/>
      <c r="J584" s="54"/>
      <c r="K584" s="54"/>
      <c r="L584" s="54"/>
      <c r="M584" s="54"/>
      <c r="N584" s="54"/>
      <c r="O584" s="174"/>
      <c r="P584" s="174"/>
      <c r="Q584" s="174"/>
      <c r="R584" s="174"/>
    </row>
    <row r="585" ht="14.25" customHeight="1">
      <c r="B585" s="140">
        <v>45812.0</v>
      </c>
      <c r="C585" s="141" t="str">
        <f t="shared" si="1"/>
        <v>6-2025</v>
      </c>
      <c r="D585" s="54">
        <f t="shared" si="83"/>
        <v>424.07</v>
      </c>
      <c r="E585" s="138">
        <v>434.34</v>
      </c>
      <c r="F585" s="54">
        <f t="shared" si="15"/>
        <v>10.27</v>
      </c>
      <c r="G585" s="54">
        <f t="shared" si="28"/>
        <v>0.27</v>
      </c>
      <c r="H585" s="54"/>
      <c r="I585" s="54"/>
      <c r="J585" s="54"/>
      <c r="K585" s="54"/>
      <c r="L585" s="54"/>
      <c r="M585" s="54"/>
      <c r="N585" s="54"/>
      <c r="O585" s="174"/>
      <c r="P585" s="174"/>
      <c r="Q585" s="174"/>
      <c r="R585" s="174"/>
    </row>
    <row r="586" ht="14.25" customHeight="1">
      <c r="B586" s="140">
        <v>45813.0</v>
      </c>
      <c r="C586" s="141" t="str">
        <f t="shared" si="1"/>
        <v>6-2025</v>
      </c>
      <c r="D586" s="54">
        <f t="shared" si="83"/>
        <v>434.34</v>
      </c>
      <c r="E586" s="138">
        <v>442.99</v>
      </c>
      <c r="F586" s="54">
        <f t="shared" si="15"/>
        <v>8.65</v>
      </c>
      <c r="G586" s="54">
        <f t="shared" si="28"/>
        <v>-1.35</v>
      </c>
      <c r="H586" s="138">
        <v>231.0</v>
      </c>
      <c r="I586" s="54"/>
      <c r="J586" s="54"/>
      <c r="K586" s="54"/>
      <c r="L586" s="54"/>
      <c r="M586" s="54"/>
      <c r="N586" s="54"/>
      <c r="O586" s="174"/>
      <c r="P586" s="174"/>
      <c r="Q586" s="174"/>
      <c r="R586" s="174"/>
    </row>
    <row r="587" ht="14.25" customHeight="1">
      <c r="B587" s="140">
        <v>45814.0</v>
      </c>
      <c r="C587" s="141" t="str">
        <f t="shared" si="1"/>
        <v>6-2025</v>
      </c>
      <c r="D587" s="54">
        <f t="shared" si="83"/>
        <v>442.99</v>
      </c>
      <c r="E587" s="138">
        <v>453.57</v>
      </c>
      <c r="F587" s="54">
        <f t="shared" si="15"/>
        <v>10.58</v>
      </c>
      <c r="G587" s="54">
        <f t="shared" si="28"/>
        <v>0.58</v>
      </c>
      <c r="H587" s="54"/>
      <c r="I587" s="54"/>
      <c r="J587" s="54"/>
      <c r="K587" s="54"/>
      <c r="L587" s="54"/>
      <c r="M587" s="54"/>
      <c r="N587" s="54"/>
      <c r="O587" s="174"/>
      <c r="P587" s="174"/>
      <c r="Q587" s="174"/>
      <c r="R587" s="174"/>
    </row>
    <row r="588" ht="14.25" customHeight="1">
      <c r="B588" s="145">
        <v>45815.0</v>
      </c>
      <c r="C588" s="141" t="str">
        <f t="shared" si="1"/>
        <v>6-2025</v>
      </c>
      <c r="D588" s="54"/>
      <c r="E588" s="54"/>
      <c r="F588" s="54">
        <f t="shared" si="15"/>
        <v>0</v>
      </c>
      <c r="G588" s="54">
        <f t="shared" si="28"/>
        <v>-10</v>
      </c>
      <c r="H588" s="54"/>
      <c r="I588" s="54"/>
      <c r="J588" s="54"/>
      <c r="K588" s="54"/>
      <c r="L588" s="54"/>
      <c r="M588" s="54"/>
      <c r="N588" s="54"/>
      <c r="O588" s="174"/>
      <c r="P588" s="174"/>
      <c r="Q588" s="174"/>
      <c r="R588" s="174"/>
    </row>
    <row r="589" ht="14.25" customHeight="1">
      <c r="B589" s="145">
        <v>45816.0</v>
      </c>
      <c r="C589" s="141" t="str">
        <f t="shared" si="1"/>
        <v>6-2025</v>
      </c>
      <c r="D589" s="54" t="str">
        <f>E588</f>
        <v/>
      </c>
      <c r="E589" s="54"/>
      <c r="F589" s="54">
        <f t="shared" si="15"/>
        <v>0</v>
      </c>
      <c r="G589" s="54">
        <f t="shared" si="28"/>
        <v>-10</v>
      </c>
      <c r="H589" s="54"/>
      <c r="I589" s="54"/>
      <c r="J589" s="54"/>
      <c r="K589" s="54"/>
      <c r="L589" s="54"/>
      <c r="M589" s="54"/>
      <c r="N589" s="54"/>
      <c r="O589" s="174"/>
      <c r="P589" s="174"/>
      <c r="Q589" s="174"/>
      <c r="R589" s="174"/>
    </row>
    <row r="590" ht="14.25" customHeight="1">
      <c r="B590" s="140">
        <v>45817.0</v>
      </c>
      <c r="C590" s="141" t="str">
        <f t="shared" si="1"/>
        <v>6-2025</v>
      </c>
      <c r="D590" s="138">
        <v>453.57</v>
      </c>
      <c r="E590" s="138">
        <v>464.77</v>
      </c>
      <c r="F590" s="54">
        <f t="shared" si="15"/>
        <v>11.2</v>
      </c>
      <c r="G590" s="54">
        <f t="shared" si="28"/>
        <v>1.2</v>
      </c>
      <c r="H590" s="54"/>
      <c r="I590" s="54"/>
      <c r="J590" s="54"/>
      <c r="K590" s="54"/>
      <c r="L590" s="54"/>
      <c r="M590" s="54"/>
      <c r="N590" s="54"/>
      <c r="O590" s="174"/>
      <c r="P590" s="174"/>
      <c r="Q590" s="174"/>
      <c r="R590" s="174"/>
    </row>
    <row r="591" ht="14.25" customHeight="1">
      <c r="B591" s="140">
        <v>45818.0</v>
      </c>
      <c r="C591" s="141" t="str">
        <f t="shared" si="1"/>
        <v>6-2025</v>
      </c>
      <c r="D591" s="54">
        <f t="shared" ref="D591:D595" si="84">E590</f>
        <v>464.77</v>
      </c>
      <c r="E591" s="138">
        <v>475.24</v>
      </c>
      <c r="F591" s="54">
        <f t="shared" si="15"/>
        <v>10.47</v>
      </c>
      <c r="G591" s="54">
        <f t="shared" si="28"/>
        <v>0.47</v>
      </c>
      <c r="H591" s="54"/>
      <c r="I591" s="54"/>
      <c r="J591" s="54"/>
      <c r="K591" s="54"/>
      <c r="L591" s="54"/>
      <c r="M591" s="54"/>
      <c r="N591" s="54"/>
      <c r="O591" s="174"/>
      <c r="P591" s="174"/>
      <c r="Q591" s="174"/>
      <c r="R591" s="174"/>
    </row>
    <row r="592" ht="14.25" customHeight="1">
      <c r="B592" s="140">
        <v>45819.0</v>
      </c>
      <c r="C592" s="141" t="str">
        <f t="shared" si="1"/>
        <v>6-2025</v>
      </c>
      <c r="D592" s="54">
        <f t="shared" si="84"/>
        <v>475.24</v>
      </c>
      <c r="E592" s="138">
        <v>484.37</v>
      </c>
      <c r="F592" s="54">
        <f t="shared" si="15"/>
        <v>9.13</v>
      </c>
      <c r="G592" s="54">
        <f t="shared" si="28"/>
        <v>-0.87</v>
      </c>
      <c r="H592" s="138">
        <v>233.0</v>
      </c>
      <c r="I592" s="54"/>
      <c r="J592" s="54"/>
      <c r="K592" s="54"/>
      <c r="L592" s="54"/>
      <c r="M592" s="54"/>
      <c r="N592" s="54"/>
      <c r="O592" s="174"/>
      <c r="P592" s="174"/>
      <c r="Q592" s="174"/>
      <c r="R592" s="174"/>
    </row>
    <row r="593" ht="14.25" customHeight="1">
      <c r="B593" s="140">
        <v>45820.0</v>
      </c>
      <c r="C593" s="141" t="str">
        <f t="shared" si="1"/>
        <v>6-2025</v>
      </c>
      <c r="D593" s="54">
        <f t="shared" si="84"/>
        <v>484.37</v>
      </c>
      <c r="E593" s="138">
        <v>494.87</v>
      </c>
      <c r="F593" s="54">
        <f t="shared" si="15"/>
        <v>10.5</v>
      </c>
      <c r="G593" s="54">
        <f t="shared" si="28"/>
        <v>0.5</v>
      </c>
      <c r="H593" s="54"/>
      <c r="I593" s="54"/>
      <c r="J593" s="54"/>
      <c r="K593" s="54"/>
      <c r="L593" s="54"/>
      <c r="M593" s="54"/>
      <c r="N593" s="54"/>
      <c r="O593" s="174"/>
      <c r="P593" s="174"/>
      <c r="Q593" s="174"/>
      <c r="R593" s="174"/>
    </row>
    <row r="594" ht="14.25" customHeight="1">
      <c r="B594" s="140">
        <v>45821.0</v>
      </c>
      <c r="C594" s="141" t="str">
        <f t="shared" si="1"/>
        <v>6-2025</v>
      </c>
      <c r="D594" s="54">
        <f t="shared" si="84"/>
        <v>494.87</v>
      </c>
      <c r="E594" s="138">
        <v>505.07</v>
      </c>
      <c r="F594" s="54">
        <f t="shared" si="15"/>
        <v>10.2</v>
      </c>
      <c r="G594" s="54">
        <f t="shared" si="28"/>
        <v>0.2</v>
      </c>
      <c r="H594" s="138">
        <v>236.0</v>
      </c>
      <c r="I594" s="54"/>
      <c r="J594" s="54"/>
      <c r="K594" s="54"/>
      <c r="L594" s="54"/>
      <c r="M594" s="54"/>
      <c r="N594" s="54"/>
      <c r="O594" s="174"/>
      <c r="P594" s="174"/>
      <c r="Q594" s="174"/>
      <c r="R594" s="174"/>
    </row>
    <row r="595" ht="14.25" customHeight="1">
      <c r="B595" s="145">
        <v>45822.0</v>
      </c>
      <c r="C595" s="141" t="str">
        <f t="shared" si="1"/>
        <v>6-2025</v>
      </c>
      <c r="D595" s="54">
        <f t="shared" si="84"/>
        <v>505.07</v>
      </c>
      <c r="E595" s="138">
        <v>511.44</v>
      </c>
      <c r="F595" s="54">
        <f t="shared" si="15"/>
        <v>6.37</v>
      </c>
      <c r="G595" s="54">
        <f t="shared" si="28"/>
        <v>-3.63</v>
      </c>
      <c r="H595" s="54"/>
      <c r="I595" s="54"/>
      <c r="J595" s="54"/>
      <c r="K595" s="54"/>
      <c r="L595" s="54"/>
      <c r="M595" s="54"/>
      <c r="N595" s="54"/>
      <c r="O595" s="174"/>
      <c r="P595" s="174"/>
      <c r="Q595" s="174"/>
      <c r="R595" s="174"/>
    </row>
    <row r="596" ht="14.25" customHeight="1">
      <c r="B596" s="145">
        <v>45823.0</v>
      </c>
      <c r="C596" s="141" t="str">
        <f t="shared" si="1"/>
        <v>6-2025</v>
      </c>
      <c r="D596" s="54"/>
      <c r="E596" s="138"/>
      <c r="F596" s="54">
        <f t="shared" si="15"/>
        <v>0</v>
      </c>
      <c r="G596" s="54">
        <f t="shared" si="28"/>
        <v>-10</v>
      </c>
      <c r="H596" s="54"/>
      <c r="I596" s="54"/>
      <c r="J596" s="54"/>
      <c r="K596" s="54"/>
      <c r="L596" s="54"/>
      <c r="M596" s="54"/>
      <c r="N596" s="54"/>
      <c r="O596" s="174"/>
      <c r="P596" s="174"/>
      <c r="Q596" s="174"/>
      <c r="R596" s="174"/>
    </row>
    <row r="597" ht="14.25" customHeight="1">
      <c r="B597" s="140">
        <v>45824.0</v>
      </c>
      <c r="C597" s="141" t="str">
        <f t="shared" si="1"/>
        <v>6-2025</v>
      </c>
      <c r="D597" s="138">
        <v>511.44</v>
      </c>
      <c r="E597" s="138">
        <v>521.7</v>
      </c>
      <c r="F597" s="54">
        <f t="shared" si="15"/>
        <v>10.26</v>
      </c>
      <c r="G597" s="54">
        <f t="shared" si="28"/>
        <v>0.26</v>
      </c>
      <c r="H597" s="138">
        <v>235.0</v>
      </c>
      <c r="I597" s="54"/>
      <c r="J597" s="54"/>
      <c r="K597" s="54"/>
      <c r="L597" s="54"/>
      <c r="M597" s="54"/>
      <c r="N597" s="54"/>
      <c r="O597" s="174"/>
      <c r="P597" s="174"/>
      <c r="Q597" s="174"/>
      <c r="R597" s="174"/>
    </row>
    <row r="598" ht="14.25" customHeight="1">
      <c r="B598" s="140">
        <v>45825.0</v>
      </c>
      <c r="C598" s="141" t="str">
        <f t="shared" si="1"/>
        <v>6-2025</v>
      </c>
      <c r="D598" s="54">
        <f t="shared" ref="D598:D602" si="85">E597</f>
        <v>521.7</v>
      </c>
      <c r="E598" s="138">
        <v>532.12</v>
      </c>
      <c r="F598" s="54">
        <f t="shared" si="15"/>
        <v>10.42</v>
      </c>
      <c r="G598" s="54">
        <f t="shared" si="28"/>
        <v>0.42</v>
      </c>
      <c r="H598" s="54"/>
      <c r="I598" s="54"/>
      <c r="J598" s="54"/>
      <c r="K598" s="54"/>
      <c r="L598" s="54"/>
      <c r="M598" s="54"/>
      <c r="N598" s="54"/>
      <c r="O598" s="174"/>
      <c r="P598" s="174"/>
      <c r="Q598" s="174"/>
      <c r="R598" s="174"/>
    </row>
    <row r="599" ht="14.25" customHeight="1">
      <c r="B599" s="140">
        <v>45826.0</v>
      </c>
      <c r="C599" s="141" t="str">
        <f t="shared" si="1"/>
        <v>6-2025</v>
      </c>
      <c r="D599" s="54">
        <f t="shared" si="85"/>
        <v>532.12</v>
      </c>
      <c r="E599" s="138">
        <v>542.25</v>
      </c>
      <c r="F599" s="54">
        <f t="shared" si="15"/>
        <v>10.13</v>
      </c>
      <c r="G599" s="54">
        <f t="shared" si="28"/>
        <v>0.13</v>
      </c>
      <c r="H599" s="54"/>
      <c r="I599" s="54"/>
      <c r="J599" s="54"/>
      <c r="K599" s="54"/>
      <c r="L599" s="54"/>
      <c r="M599" s="54"/>
      <c r="N599" s="54"/>
      <c r="O599" s="174"/>
      <c r="P599" s="174"/>
      <c r="Q599" s="174"/>
      <c r="R599" s="174"/>
    </row>
    <row r="600" ht="14.25" customHeight="1">
      <c r="B600" s="145">
        <v>45827.0</v>
      </c>
      <c r="C600" s="141" t="str">
        <f t="shared" si="1"/>
        <v>6-2025</v>
      </c>
      <c r="D600" s="54">
        <f t="shared" si="85"/>
        <v>542.25</v>
      </c>
      <c r="E600" s="138">
        <v>547.24</v>
      </c>
      <c r="F600" s="54">
        <f t="shared" si="15"/>
        <v>4.99</v>
      </c>
      <c r="G600" s="54">
        <f t="shared" si="28"/>
        <v>-5.01</v>
      </c>
      <c r="H600" s="54"/>
      <c r="I600" s="54"/>
      <c r="J600" s="54"/>
      <c r="K600" s="54"/>
      <c r="L600" s="54"/>
      <c r="M600" s="54"/>
      <c r="N600" s="54"/>
      <c r="O600" s="174"/>
      <c r="P600" s="174"/>
      <c r="Q600" s="174"/>
      <c r="R600" s="174"/>
    </row>
    <row r="601" ht="14.25" customHeight="1">
      <c r="B601" s="140">
        <v>45828.0</v>
      </c>
      <c r="C601" s="141" t="str">
        <f t="shared" si="1"/>
        <v>6-2025</v>
      </c>
      <c r="D601" s="54">
        <f t="shared" si="85"/>
        <v>547.24</v>
      </c>
      <c r="E601" s="138">
        <v>561.25</v>
      </c>
      <c r="F601" s="54">
        <f t="shared" si="15"/>
        <v>14.01</v>
      </c>
      <c r="G601" s="54">
        <f t="shared" si="28"/>
        <v>4.01</v>
      </c>
      <c r="H601" s="138">
        <v>215.0</v>
      </c>
      <c r="I601" s="54"/>
      <c r="J601" s="54"/>
      <c r="K601" s="54"/>
      <c r="L601" s="54"/>
      <c r="M601" s="54"/>
      <c r="N601" s="54"/>
      <c r="O601" s="174"/>
      <c r="P601" s="174"/>
      <c r="Q601" s="174"/>
      <c r="R601" s="174"/>
    </row>
    <row r="602" ht="14.25" customHeight="1">
      <c r="B602" s="145">
        <v>45829.0</v>
      </c>
      <c r="C602" s="141" t="str">
        <f t="shared" si="1"/>
        <v>6-2025</v>
      </c>
      <c r="D602" s="54">
        <f t="shared" si="85"/>
        <v>561.25</v>
      </c>
      <c r="E602" s="138">
        <v>568.64</v>
      </c>
      <c r="F602" s="54">
        <f t="shared" si="15"/>
        <v>7.39</v>
      </c>
      <c r="G602" s="54">
        <f t="shared" si="28"/>
        <v>-2.61</v>
      </c>
      <c r="H602" s="54"/>
      <c r="I602" s="54"/>
      <c r="J602" s="54"/>
      <c r="K602" s="54"/>
      <c r="L602" s="54"/>
      <c r="M602" s="54"/>
      <c r="N602" s="54"/>
      <c r="O602" s="174"/>
      <c r="P602" s="174"/>
      <c r="Q602" s="174"/>
      <c r="R602" s="174"/>
    </row>
    <row r="603" ht="14.25" customHeight="1">
      <c r="B603" s="145">
        <v>45830.0</v>
      </c>
      <c r="C603" s="141" t="str">
        <f t="shared" si="1"/>
        <v>6-2025</v>
      </c>
      <c r="D603" s="54"/>
      <c r="E603" s="54"/>
      <c r="F603" s="54">
        <f t="shared" si="15"/>
        <v>0</v>
      </c>
      <c r="G603" s="54">
        <f t="shared" si="28"/>
        <v>-10</v>
      </c>
      <c r="H603" s="54"/>
      <c r="I603" s="54"/>
      <c r="J603" s="54"/>
      <c r="K603" s="54"/>
      <c r="L603" s="54"/>
      <c r="M603" s="54"/>
      <c r="N603" s="54"/>
      <c r="O603" s="174"/>
      <c r="P603" s="174"/>
      <c r="Q603" s="174"/>
      <c r="R603" s="174"/>
    </row>
    <row r="604" ht="14.25" customHeight="1">
      <c r="B604" s="140">
        <v>45831.0</v>
      </c>
      <c r="C604" s="141" t="str">
        <f t="shared" si="1"/>
        <v>6-2025</v>
      </c>
      <c r="D604" s="138">
        <v>568.64</v>
      </c>
      <c r="E604" s="138">
        <v>578.7</v>
      </c>
      <c r="F604" s="54">
        <f t="shared" si="15"/>
        <v>10.06</v>
      </c>
      <c r="G604" s="54">
        <f t="shared" si="28"/>
        <v>0.06</v>
      </c>
      <c r="H604" s="138">
        <v>464.0</v>
      </c>
      <c r="I604" s="54"/>
      <c r="J604" s="54"/>
      <c r="K604" s="54"/>
      <c r="L604" s="54"/>
      <c r="M604" s="54"/>
      <c r="N604" s="54"/>
      <c r="O604" s="174"/>
      <c r="P604" s="174"/>
      <c r="Q604" s="174"/>
      <c r="R604" s="174"/>
    </row>
    <row r="605" ht="14.25" customHeight="1">
      <c r="B605" s="140">
        <v>45832.0</v>
      </c>
      <c r="C605" s="141" t="str">
        <f t="shared" si="1"/>
        <v>6-2025</v>
      </c>
      <c r="D605" s="54">
        <f t="shared" ref="D605:D608" si="86">E604</f>
        <v>578.7</v>
      </c>
      <c r="E605" s="138">
        <v>588.77</v>
      </c>
      <c r="F605" s="54">
        <f t="shared" si="15"/>
        <v>10.07</v>
      </c>
      <c r="G605" s="54">
        <f t="shared" si="28"/>
        <v>0.07</v>
      </c>
      <c r="H605" s="54"/>
      <c r="I605" s="54"/>
      <c r="J605" s="54"/>
      <c r="K605" s="54"/>
      <c r="L605" s="54"/>
      <c r="M605" s="54"/>
      <c r="N605" s="54"/>
      <c r="O605" s="174"/>
      <c r="P605" s="174"/>
      <c r="Q605" s="174"/>
      <c r="R605" s="174"/>
    </row>
    <row r="606" ht="14.25" customHeight="1">
      <c r="B606" s="140">
        <v>45833.0</v>
      </c>
      <c r="C606" s="141" t="str">
        <f t="shared" si="1"/>
        <v>6-2025</v>
      </c>
      <c r="D606" s="54">
        <f t="shared" si="86"/>
        <v>588.77</v>
      </c>
      <c r="E606" s="138">
        <v>598.9</v>
      </c>
      <c r="F606" s="54">
        <f t="shared" si="15"/>
        <v>10.13</v>
      </c>
      <c r="G606" s="54">
        <f t="shared" si="28"/>
        <v>0.13</v>
      </c>
      <c r="H606" s="54"/>
      <c r="I606" s="54"/>
      <c r="J606" s="54"/>
      <c r="K606" s="54"/>
      <c r="L606" s="54"/>
      <c r="M606" s="54"/>
      <c r="N606" s="54"/>
      <c r="O606" s="174"/>
      <c r="P606" s="174"/>
      <c r="Q606" s="174"/>
      <c r="R606" s="174"/>
    </row>
    <row r="607" ht="14.25" customHeight="1">
      <c r="B607" s="140">
        <v>45834.0</v>
      </c>
      <c r="C607" s="141" t="str">
        <f t="shared" si="1"/>
        <v>6-2025</v>
      </c>
      <c r="D607" s="54">
        <f t="shared" si="86"/>
        <v>598.9</v>
      </c>
      <c r="E607" s="138">
        <v>609.07</v>
      </c>
      <c r="F607" s="54">
        <f t="shared" si="15"/>
        <v>10.17</v>
      </c>
      <c r="G607" s="54">
        <f t="shared" si="28"/>
        <v>0.17</v>
      </c>
      <c r="H607" s="138">
        <v>450.0</v>
      </c>
      <c r="I607" s="54"/>
      <c r="J607" s="54"/>
      <c r="K607" s="54"/>
      <c r="L607" s="54"/>
      <c r="M607" s="54"/>
      <c r="N607" s="54"/>
      <c r="O607" s="174"/>
      <c r="P607" s="174"/>
      <c r="Q607" s="174"/>
      <c r="R607" s="174"/>
    </row>
    <row r="608" ht="14.25" customHeight="1">
      <c r="B608" s="140">
        <v>45835.0</v>
      </c>
      <c r="C608" s="141" t="str">
        <f t="shared" si="1"/>
        <v>6-2025</v>
      </c>
      <c r="D608" s="54">
        <f t="shared" si="86"/>
        <v>609.07</v>
      </c>
      <c r="E608" s="138">
        <v>615.97</v>
      </c>
      <c r="F608" s="54">
        <f t="shared" si="15"/>
        <v>6.9</v>
      </c>
      <c r="G608" s="54">
        <f t="shared" si="28"/>
        <v>-3.1</v>
      </c>
      <c r="H608" s="54"/>
      <c r="I608" s="54"/>
      <c r="J608" s="54"/>
      <c r="K608" s="54"/>
      <c r="L608" s="54"/>
      <c r="M608" s="54"/>
      <c r="N608" s="54"/>
      <c r="O608" s="174"/>
      <c r="P608" s="174"/>
      <c r="Q608" s="174"/>
      <c r="R608" s="174"/>
    </row>
    <row r="609" ht="14.25" customHeight="1">
      <c r="B609" s="145">
        <v>45836.0</v>
      </c>
      <c r="C609" s="141" t="str">
        <f t="shared" si="1"/>
        <v>6-2025</v>
      </c>
      <c r="D609" s="54"/>
      <c r="E609" s="54"/>
      <c r="F609" s="54">
        <f t="shared" si="15"/>
        <v>0</v>
      </c>
      <c r="G609" s="54">
        <f t="shared" si="28"/>
        <v>-10</v>
      </c>
      <c r="H609" s="54"/>
      <c r="I609" s="54"/>
      <c r="J609" s="138" t="s">
        <v>35</v>
      </c>
      <c r="K609" s="54"/>
      <c r="L609" s="54"/>
      <c r="M609" s="54"/>
      <c r="N609" s="54"/>
      <c r="O609" s="174"/>
      <c r="P609" s="174"/>
      <c r="Q609" s="174"/>
      <c r="R609" s="174"/>
    </row>
    <row r="610" ht="14.25" customHeight="1">
      <c r="B610" s="145">
        <v>45837.0</v>
      </c>
      <c r="C610" s="141" t="str">
        <f t="shared" si="1"/>
        <v>6-2025</v>
      </c>
      <c r="D610" s="54" t="str">
        <f>E609</f>
        <v/>
      </c>
      <c r="E610" s="54"/>
      <c r="F610" s="54">
        <f t="shared" si="15"/>
        <v>0</v>
      </c>
      <c r="G610" s="54">
        <f t="shared" si="28"/>
        <v>-10</v>
      </c>
      <c r="H610" s="54"/>
      <c r="I610" s="54"/>
      <c r="J610" s="54"/>
      <c r="K610" s="54"/>
      <c r="L610" s="54"/>
      <c r="M610" s="54"/>
      <c r="N610" s="54"/>
      <c r="O610" s="174"/>
      <c r="P610" s="174"/>
      <c r="Q610" s="174"/>
      <c r="R610" s="174"/>
    </row>
    <row r="611" ht="14.25" customHeight="1">
      <c r="B611" s="140">
        <v>45838.0</v>
      </c>
      <c r="C611" s="141" t="str">
        <f t="shared" si="1"/>
        <v>6-2025</v>
      </c>
      <c r="D611" s="138">
        <v>615.97</v>
      </c>
      <c r="E611" s="138">
        <v>626.07</v>
      </c>
      <c r="F611" s="54">
        <f t="shared" si="15"/>
        <v>10.1</v>
      </c>
      <c r="G611" s="54">
        <f t="shared" si="28"/>
        <v>0.1</v>
      </c>
      <c r="H611" s="54"/>
      <c r="I611" s="54"/>
      <c r="J611" s="54"/>
      <c r="K611" s="54"/>
      <c r="L611" s="54"/>
      <c r="M611" s="54"/>
      <c r="N611" s="54"/>
      <c r="O611" s="174"/>
      <c r="P611" s="174"/>
      <c r="Q611" s="174"/>
      <c r="R611" s="174"/>
    </row>
    <row r="612" ht="14.25" customHeight="1">
      <c r="B612" s="140">
        <v>45839.0</v>
      </c>
      <c r="C612" s="141" t="str">
        <f t="shared" si="1"/>
        <v>7-2025</v>
      </c>
      <c r="D612" s="138">
        <v>626.04</v>
      </c>
      <c r="E612" s="138">
        <v>633.09</v>
      </c>
      <c r="F612" s="54">
        <f t="shared" si="15"/>
        <v>7.05</v>
      </c>
      <c r="G612" s="54">
        <f t="shared" si="28"/>
        <v>-2.95</v>
      </c>
      <c r="H612" s="54"/>
      <c r="I612" s="54"/>
      <c r="J612" s="54"/>
      <c r="K612" s="54"/>
      <c r="L612" s="54"/>
      <c r="M612" s="54"/>
      <c r="N612" s="54"/>
      <c r="O612" s="174"/>
      <c r="P612" s="174"/>
      <c r="Q612" s="174"/>
      <c r="R612" s="174"/>
    </row>
    <row r="613" ht="14.25" customHeight="1">
      <c r="B613" s="140">
        <v>45840.0</v>
      </c>
      <c r="C613" s="141" t="str">
        <f t="shared" si="1"/>
        <v>7-2025</v>
      </c>
      <c r="D613" s="54">
        <f t="shared" ref="D613:D621" si="87">E612</f>
        <v>633.09</v>
      </c>
      <c r="E613" s="138">
        <v>643.0</v>
      </c>
      <c r="F613" s="54">
        <f t="shared" si="15"/>
        <v>9.91</v>
      </c>
      <c r="G613" s="54">
        <f t="shared" si="28"/>
        <v>-0.09</v>
      </c>
      <c r="H613" s="54"/>
      <c r="I613" s="54"/>
      <c r="J613" s="54"/>
      <c r="K613" s="54"/>
      <c r="L613" s="54"/>
      <c r="M613" s="54"/>
      <c r="N613" s="54"/>
      <c r="O613" s="174"/>
      <c r="P613" s="174"/>
      <c r="Q613" s="174"/>
      <c r="R613" s="174"/>
    </row>
    <row r="614" ht="14.25" customHeight="1">
      <c r="B614" s="140">
        <v>45841.0</v>
      </c>
      <c r="C614" s="141" t="str">
        <f t="shared" si="1"/>
        <v>7-2025</v>
      </c>
      <c r="D614" s="54">
        <f t="shared" si="87"/>
        <v>643</v>
      </c>
      <c r="E614" s="138">
        <v>652.04</v>
      </c>
      <c r="F614" s="54">
        <f t="shared" si="15"/>
        <v>9.04</v>
      </c>
      <c r="G614" s="54">
        <f t="shared" si="28"/>
        <v>-0.96</v>
      </c>
      <c r="H614" s="54"/>
      <c r="I614" s="54"/>
      <c r="J614" s="54"/>
      <c r="K614" s="54"/>
      <c r="L614" s="54"/>
      <c r="M614" s="54"/>
      <c r="N614" s="54"/>
      <c r="O614" s="174"/>
      <c r="P614" s="174"/>
      <c r="Q614" s="174"/>
      <c r="R614" s="174"/>
    </row>
    <row r="615" ht="14.25" customHeight="1">
      <c r="B615" s="140">
        <v>45842.0</v>
      </c>
      <c r="C615" s="141" t="str">
        <f t="shared" si="1"/>
        <v>7-2025</v>
      </c>
      <c r="D615" s="54">
        <f t="shared" si="87"/>
        <v>652.04</v>
      </c>
      <c r="E615" s="138">
        <v>662.06</v>
      </c>
      <c r="F615" s="54">
        <f t="shared" si="15"/>
        <v>10.02</v>
      </c>
      <c r="G615" s="54">
        <f t="shared" si="28"/>
        <v>0.02</v>
      </c>
      <c r="H615" s="54"/>
      <c r="I615" s="54"/>
      <c r="J615" s="54"/>
      <c r="K615" s="54"/>
      <c r="L615" s="54"/>
      <c r="M615" s="54"/>
      <c r="N615" s="54"/>
      <c r="O615" s="174"/>
      <c r="P615" s="174"/>
      <c r="Q615" s="174"/>
      <c r="R615" s="174"/>
    </row>
    <row r="616" ht="14.25" customHeight="1">
      <c r="B616" s="145">
        <v>45843.0</v>
      </c>
      <c r="C616" s="141" t="str">
        <f t="shared" si="1"/>
        <v>7-2025</v>
      </c>
      <c r="D616" s="54">
        <f t="shared" si="87"/>
        <v>662.06</v>
      </c>
      <c r="E616" s="138">
        <v>668.52</v>
      </c>
      <c r="F616" s="54">
        <f t="shared" si="15"/>
        <v>6.46</v>
      </c>
      <c r="G616" s="54">
        <f t="shared" si="28"/>
        <v>-3.54</v>
      </c>
      <c r="H616" s="54"/>
      <c r="I616" s="54"/>
      <c r="J616" s="54"/>
      <c r="K616" s="54"/>
      <c r="L616" s="54"/>
      <c r="M616" s="54"/>
      <c r="N616" s="54"/>
      <c r="O616" s="174"/>
      <c r="P616" s="174"/>
      <c r="Q616" s="174"/>
      <c r="R616" s="174"/>
    </row>
    <row r="617" ht="14.25" customHeight="1">
      <c r="B617" s="145">
        <v>45844.0</v>
      </c>
      <c r="C617" s="141" t="str">
        <f t="shared" si="1"/>
        <v>7-2025</v>
      </c>
      <c r="D617" s="54">
        <f t="shared" si="87"/>
        <v>668.52</v>
      </c>
      <c r="E617" s="138">
        <v>679.67</v>
      </c>
      <c r="F617" s="54">
        <f t="shared" si="15"/>
        <v>11.15</v>
      </c>
      <c r="G617" s="54">
        <f t="shared" si="28"/>
        <v>1.15</v>
      </c>
      <c r="H617" s="54"/>
      <c r="I617" s="54"/>
      <c r="J617" s="54"/>
      <c r="K617" s="54"/>
      <c r="L617" s="54"/>
      <c r="M617" s="54"/>
      <c r="N617" s="54"/>
      <c r="O617" s="174"/>
      <c r="P617" s="174"/>
      <c r="Q617" s="174"/>
      <c r="R617" s="174"/>
    </row>
    <row r="618" ht="14.25" customHeight="1">
      <c r="B618" s="140">
        <v>45845.0</v>
      </c>
      <c r="C618" s="141" t="str">
        <f t="shared" si="1"/>
        <v>7-2025</v>
      </c>
      <c r="D618" s="54">
        <f t="shared" si="87"/>
        <v>679.67</v>
      </c>
      <c r="E618" s="138">
        <v>688.74</v>
      </c>
      <c r="F618" s="54">
        <f t="shared" si="15"/>
        <v>9.07</v>
      </c>
      <c r="G618" s="54">
        <f t="shared" si="28"/>
        <v>-0.93</v>
      </c>
      <c r="H618" s="54"/>
      <c r="I618" s="54"/>
      <c r="J618" s="54"/>
      <c r="K618" s="54"/>
      <c r="L618" s="54"/>
      <c r="M618" s="54"/>
      <c r="N618" s="54"/>
      <c r="O618" s="174"/>
      <c r="P618" s="174"/>
      <c r="Q618" s="174"/>
      <c r="R618" s="174"/>
    </row>
    <row r="619" ht="14.25" customHeight="1">
      <c r="B619" s="140">
        <v>45846.0</v>
      </c>
      <c r="C619" s="141" t="str">
        <f t="shared" si="1"/>
        <v>7-2025</v>
      </c>
      <c r="D619" s="54">
        <f t="shared" si="87"/>
        <v>688.74</v>
      </c>
      <c r="E619" s="138">
        <v>698.79</v>
      </c>
      <c r="F619" s="54">
        <f t="shared" si="15"/>
        <v>10.05</v>
      </c>
      <c r="G619" s="54">
        <f t="shared" si="28"/>
        <v>0.05</v>
      </c>
      <c r="H619" s="54"/>
      <c r="I619" s="54"/>
      <c r="J619" s="54"/>
      <c r="K619" s="54"/>
      <c r="L619" s="54"/>
      <c r="M619" s="54"/>
      <c r="N619" s="54"/>
      <c r="O619" s="174"/>
      <c r="P619" s="174"/>
      <c r="Q619" s="174"/>
      <c r="R619" s="174"/>
    </row>
    <row r="620" ht="14.25" customHeight="1">
      <c r="B620" s="140">
        <v>45847.0</v>
      </c>
      <c r="C620" s="141" t="str">
        <f t="shared" si="1"/>
        <v>7-2025</v>
      </c>
      <c r="D620" s="54">
        <f t="shared" si="87"/>
        <v>698.79</v>
      </c>
      <c r="E620" s="138">
        <v>708.83</v>
      </c>
      <c r="F620" s="54">
        <f t="shared" si="15"/>
        <v>10.04</v>
      </c>
      <c r="G620" s="54">
        <f t="shared" si="28"/>
        <v>0.04</v>
      </c>
      <c r="H620" s="54"/>
      <c r="I620" s="54"/>
      <c r="J620" s="54"/>
      <c r="K620" s="54"/>
      <c r="L620" s="54"/>
      <c r="M620" s="54"/>
      <c r="N620" s="54"/>
      <c r="O620" s="174"/>
      <c r="P620" s="174"/>
      <c r="Q620" s="174"/>
      <c r="R620" s="174"/>
    </row>
    <row r="621" ht="14.25" customHeight="1">
      <c r="B621" s="140">
        <v>45848.0</v>
      </c>
      <c r="C621" s="141" t="str">
        <f t="shared" si="1"/>
        <v>7-2025</v>
      </c>
      <c r="D621" s="54">
        <f t="shared" si="87"/>
        <v>708.83</v>
      </c>
      <c r="E621" s="138">
        <v>719.15</v>
      </c>
      <c r="F621" s="54">
        <f t="shared" si="15"/>
        <v>10.32</v>
      </c>
      <c r="G621" s="54">
        <f t="shared" si="28"/>
        <v>0.32</v>
      </c>
      <c r="H621" s="54"/>
      <c r="I621" s="54"/>
      <c r="J621" s="54"/>
      <c r="K621" s="54"/>
      <c r="L621" s="54"/>
      <c r="M621" s="54"/>
      <c r="N621" s="54"/>
      <c r="O621" s="174"/>
      <c r="P621" s="174"/>
      <c r="Q621" s="174"/>
      <c r="R621" s="174"/>
    </row>
    <row r="622" ht="14.25" customHeight="1">
      <c r="B622" s="140">
        <v>45849.0</v>
      </c>
      <c r="C622" s="141" t="str">
        <f t="shared" si="1"/>
        <v>7-2025</v>
      </c>
      <c r="D622" s="54"/>
      <c r="E622" s="54"/>
      <c r="F622" s="54">
        <f t="shared" si="15"/>
        <v>0</v>
      </c>
      <c r="G622" s="54">
        <f t="shared" si="28"/>
        <v>-10</v>
      </c>
      <c r="H622" s="54"/>
      <c r="I622" s="54"/>
      <c r="J622" s="54"/>
      <c r="K622" s="54"/>
      <c r="L622" s="54"/>
      <c r="M622" s="54"/>
      <c r="N622" s="54"/>
      <c r="O622" s="174"/>
      <c r="P622" s="174"/>
      <c r="Q622" s="174"/>
      <c r="R622" s="174"/>
    </row>
    <row r="623" ht="14.25" customHeight="1">
      <c r="B623" s="145">
        <v>45850.0</v>
      </c>
      <c r="C623" s="141" t="str">
        <f t="shared" si="1"/>
        <v>7-2025</v>
      </c>
      <c r="D623" s="54" t="str">
        <f t="shared" ref="D623:D624" si="88">E622</f>
        <v/>
      </c>
      <c r="E623" s="54"/>
      <c r="F623" s="54">
        <f t="shared" si="15"/>
        <v>0</v>
      </c>
      <c r="G623" s="54">
        <f t="shared" si="28"/>
        <v>-10</v>
      </c>
      <c r="H623" s="54"/>
      <c r="I623" s="54"/>
      <c r="J623" s="54"/>
      <c r="K623" s="54"/>
      <c r="L623" s="54"/>
      <c r="M623" s="54"/>
      <c r="N623" s="54"/>
      <c r="O623" s="174"/>
      <c r="P623" s="174"/>
      <c r="Q623" s="174"/>
      <c r="R623" s="174"/>
    </row>
    <row r="624" ht="14.25" customHeight="1">
      <c r="B624" s="145">
        <v>45851.0</v>
      </c>
      <c r="C624" s="141" t="str">
        <f t="shared" si="1"/>
        <v>7-2025</v>
      </c>
      <c r="D624" s="54" t="str">
        <f t="shared" si="88"/>
        <v/>
      </c>
      <c r="E624" s="54"/>
      <c r="F624" s="54">
        <f t="shared" si="15"/>
        <v>0</v>
      </c>
      <c r="G624" s="54">
        <f t="shared" si="28"/>
        <v>-10</v>
      </c>
      <c r="H624" s="54"/>
      <c r="I624" s="54"/>
      <c r="J624" s="54"/>
      <c r="K624" s="54"/>
      <c r="L624" s="54"/>
      <c r="M624" s="54"/>
      <c r="N624" s="54"/>
      <c r="O624" s="174"/>
      <c r="P624" s="174"/>
      <c r="Q624" s="174"/>
      <c r="R624" s="174"/>
    </row>
    <row r="625" ht="14.25" customHeight="1">
      <c r="B625" s="140">
        <v>45852.0</v>
      </c>
      <c r="C625" s="141" t="str">
        <f t="shared" si="1"/>
        <v>7-2025</v>
      </c>
      <c r="D625" s="138">
        <v>719.15</v>
      </c>
      <c r="E625" s="138">
        <v>729.17</v>
      </c>
      <c r="F625" s="54">
        <f t="shared" si="15"/>
        <v>10.02</v>
      </c>
      <c r="G625" s="54">
        <f t="shared" si="28"/>
        <v>0.02</v>
      </c>
      <c r="H625" s="54"/>
      <c r="I625" s="54"/>
      <c r="J625" s="54"/>
      <c r="K625" s="54"/>
      <c r="L625" s="54"/>
      <c r="M625" s="54"/>
      <c r="N625" s="54"/>
      <c r="O625" s="174"/>
      <c r="P625" s="174"/>
      <c r="Q625" s="174"/>
      <c r="R625" s="174"/>
    </row>
    <row r="626" ht="14.25" customHeight="1">
      <c r="B626" s="140">
        <v>45853.0</v>
      </c>
      <c r="C626" s="141" t="str">
        <f t="shared" si="1"/>
        <v>7-2025</v>
      </c>
      <c r="D626" s="138">
        <v>729.17</v>
      </c>
      <c r="E626" s="138">
        <v>739.15</v>
      </c>
      <c r="F626" s="54">
        <f t="shared" si="15"/>
        <v>9.98</v>
      </c>
      <c r="G626" s="54">
        <f t="shared" si="28"/>
        <v>-0.02</v>
      </c>
      <c r="H626" s="54"/>
      <c r="I626" s="54"/>
      <c r="J626" s="54"/>
      <c r="K626" s="54"/>
      <c r="L626" s="54"/>
      <c r="M626" s="54"/>
      <c r="N626" s="54"/>
      <c r="O626" s="174"/>
      <c r="P626" s="174"/>
      <c r="Q626" s="174"/>
      <c r="R626" s="174"/>
    </row>
    <row r="627" ht="14.25" customHeight="1">
      <c r="B627" s="140">
        <v>45854.0</v>
      </c>
      <c r="C627" s="141" t="str">
        <f t="shared" si="1"/>
        <v>7-2025</v>
      </c>
      <c r="D627" s="54">
        <f t="shared" ref="D627:D630" si="89">E626</f>
        <v>739.15</v>
      </c>
      <c r="E627" s="138">
        <v>749.2</v>
      </c>
      <c r="F627" s="54">
        <f t="shared" si="15"/>
        <v>10.05</v>
      </c>
      <c r="G627" s="54">
        <f t="shared" si="28"/>
        <v>0.05</v>
      </c>
      <c r="H627" s="54"/>
      <c r="I627" s="54"/>
      <c r="J627" s="54"/>
      <c r="K627" s="54"/>
      <c r="L627" s="54"/>
      <c r="M627" s="54"/>
      <c r="N627" s="54"/>
      <c r="O627" s="174"/>
      <c r="P627" s="174"/>
      <c r="Q627" s="174"/>
      <c r="R627" s="174"/>
    </row>
    <row r="628" ht="14.25" customHeight="1">
      <c r="B628" s="140">
        <v>45855.0</v>
      </c>
      <c r="C628" s="141" t="str">
        <f t="shared" si="1"/>
        <v>7-2025</v>
      </c>
      <c r="D628" s="54">
        <f t="shared" si="89"/>
        <v>749.2</v>
      </c>
      <c r="E628" s="138">
        <v>759.19</v>
      </c>
      <c r="F628" s="54">
        <f t="shared" si="15"/>
        <v>9.99</v>
      </c>
      <c r="G628" s="54">
        <f t="shared" si="28"/>
        <v>-0.01</v>
      </c>
      <c r="H628" s="54"/>
      <c r="I628" s="54"/>
      <c r="J628" s="54"/>
      <c r="K628" s="54"/>
      <c r="L628" s="54"/>
      <c r="M628" s="54"/>
      <c r="N628" s="54"/>
      <c r="O628" s="174"/>
      <c r="P628" s="174"/>
      <c r="Q628" s="174"/>
      <c r="R628" s="174"/>
    </row>
    <row r="629" ht="14.25" customHeight="1">
      <c r="B629" s="140">
        <v>45856.0</v>
      </c>
      <c r="C629" s="141" t="str">
        <f t="shared" si="1"/>
        <v>7-2025</v>
      </c>
      <c r="D629" s="54">
        <f t="shared" si="89"/>
        <v>759.19</v>
      </c>
      <c r="E629" s="138">
        <v>768.56</v>
      </c>
      <c r="F629" s="54">
        <f t="shared" si="15"/>
        <v>9.37</v>
      </c>
      <c r="G629" s="54">
        <f t="shared" si="28"/>
        <v>-0.63</v>
      </c>
      <c r="H629" s="54"/>
      <c r="I629" s="54"/>
      <c r="J629" s="54"/>
      <c r="K629" s="54"/>
      <c r="L629" s="54"/>
      <c r="M629" s="54"/>
      <c r="N629" s="54"/>
      <c r="O629" s="174"/>
      <c r="P629" s="174"/>
      <c r="Q629" s="174"/>
      <c r="R629" s="174"/>
    </row>
    <row r="630" ht="14.25" customHeight="1">
      <c r="B630" s="145">
        <v>45857.0</v>
      </c>
      <c r="C630" s="141" t="str">
        <f t="shared" si="1"/>
        <v>7-2025</v>
      </c>
      <c r="D630" s="54">
        <f t="shared" si="89"/>
        <v>768.56</v>
      </c>
      <c r="E630" s="138">
        <v>775.55</v>
      </c>
      <c r="F630" s="54">
        <f t="shared" si="15"/>
        <v>6.99</v>
      </c>
      <c r="G630" s="54">
        <f t="shared" si="28"/>
        <v>-3.01</v>
      </c>
      <c r="H630" s="54"/>
      <c r="I630" s="54"/>
      <c r="J630" s="54"/>
      <c r="K630" s="54"/>
      <c r="L630" s="54"/>
      <c r="M630" s="54"/>
      <c r="N630" s="54"/>
      <c r="O630" s="174"/>
      <c r="P630" s="174"/>
      <c r="Q630" s="174"/>
      <c r="R630" s="174"/>
    </row>
    <row r="631" ht="14.25" customHeight="1">
      <c r="B631" s="145">
        <v>45858.0</v>
      </c>
      <c r="C631" s="141" t="str">
        <f t="shared" si="1"/>
        <v>7-2025</v>
      </c>
      <c r="D631" s="54"/>
      <c r="E631" s="54"/>
      <c r="F631" s="54">
        <f t="shared" si="15"/>
        <v>0</v>
      </c>
      <c r="G631" s="54">
        <f t="shared" si="28"/>
        <v>-10</v>
      </c>
      <c r="H631" s="54"/>
      <c r="I631" s="54"/>
      <c r="J631" s="54"/>
      <c r="K631" s="54"/>
      <c r="L631" s="54"/>
      <c r="M631" s="54"/>
      <c r="N631" s="54"/>
      <c r="O631" s="174"/>
      <c r="P631" s="174"/>
      <c r="Q631" s="174"/>
      <c r="R631" s="174"/>
    </row>
    <row r="632" ht="14.25" customHeight="1">
      <c r="B632" s="140">
        <v>45859.0</v>
      </c>
      <c r="C632" s="141" t="str">
        <f t="shared" si="1"/>
        <v>7-2025</v>
      </c>
      <c r="D632" s="138">
        <v>775.55</v>
      </c>
      <c r="E632" s="138">
        <v>785.65</v>
      </c>
      <c r="F632" s="54">
        <f t="shared" si="15"/>
        <v>10.1</v>
      </c>
      <c r="G632" s="54">
        <f t="shared" si="28"/>
        <v>0.1</v>
      </c>
      <c r="H632" s="54"/>
      <c r="I632" s="54"/>
      <c r="J632" s="54"/>
      <c r="K632" s="54"/>
      <c r="L632" s="54"/>
      <c r="M632" s="54"/>
      <c r="N632" s="54"/>
      <c r="O632" s="174"/>
      <c r="P632" s="174"/>
      <c r="Q632" s="174"/>
      <c r="R632" s="174"/>
    </row>
    <row r="633" ht="14.25" customHeight="1">
      <c r="B633" s="140">
        <v>45860.0</v>
      </c>
      <c r="C633" s="141" t="str">
        <f t="shared" si="1"/>
        <v>7-2025</v>
      </c>
      <c r="D633" s="54">
        <f t="shared" ref="D633:D637" si="90">E632</f>
        <v>785.65</v>
      </c>
      <c r="E633" s="138">
        <v>794.9</v>
      </c>
      <c r="F633" s="54">
        <f t="shared" si="15"/>
        <v>9.25</v>
      </c>
      <c r="G633" s="54">
        <f t="shared" si="28"/>
        <v>-0.75</v>
      </c>
      <c r="H633" s="54"/>
      <c r="I633" s="54"/>
      <c r="J633" s="54"/>
      <c r="K633" s="54"/>
      <c r="L633" s="54"/>
      <c r="M633" s="54"/>
      <c r="N633" s="54"/>
      <c r="O633" s="174"/>
      <c r="P633" s="174"/>
      <c r="Q633" s="174"/>
      <c r="R633" s="174"/>
    </row>
    <row r="634" ht="14.25" customHeight="1">
      <c r="B634" s="140">
        <v>45861.0</v>
      </c>
      <c r="C634" s="141" t="str">
        <f t="shared" si="1"/>
        <v>7-2025</v>
      </c>
      <c r="D634" s="54">
        <f t="shared" si="90"/>
        <v>794.9</v>
      </c>
      <c r="E634" s="138">
        <v>804.65</v>
      </c>
      <c r="F634" s="54">
        <f t="shared" si="15"/>
        <v>9.75</v>
      </c>
      <c r="G634" s="54">
        <f t="shared" si="28"/>
        <v>-0.25</v>
      </c>
      <c r="H634" s="54"/>
      <c r="I634" s="54"/>
      <c r="J634" s="54"/>
      <c r="K634" s="54"/>
      <c r="L634" s="54"/>
      <c r="M634" s="54"/>
      <c r="N634" s="54"/>
      <c r="O634" s="174"/>
      <c r="P634" s="174"/>
      <c r="Q634" s="174"/>
      <c r="R634" s="174"/>
    </row>
    <row r="635" ht="14.25" customHeight="1">
      <c r="B635" s="140">
        <v>45862.0</v>
      </c>
      <c r="C635" s="141" t="str">
        <f t="shared" si="1"/>
        <v>7-2025</v>
      </c>
      <c r="D635" s="54">
        <f t="shared" si="90"/>
        <v>804.65</v>
      </c>
      <c r="E635" s="138">
        <v>814.79</v>
      </c>
      <c r="F635" s="54">
        <f t="shared" si="15"/>
        <v>10.14</v>
      </c>
      <c r="G635" s="54">
        <f t="shared" si="28"/>
        <v>0.14</v>
      </c>
      <c r="H635" s="54"/>
      <c r="I635" s="54"/>
      <c r="J635" s="54"/>
      <c r="K635" s="54"/>
      <c r="L635" s="54"/>
      <c r="M635" s="54"/>
      <c r="N635" s="54"/>
      <c r="O635" s="174"/>
      <c r="P635" s="174"/>
      <c r="Q635" s="174"/>
      <c r="R635" s="174"/>
    </row>
    <row r="636" ht="14.25" customHeight="1">
      <c r="B636" s="140">
        <v>45863.0</v>
      </c>
      <c r="C636" s="141" t="str">
        <f t="shared" si="1"/>
        <v>7-2025</v>
      </c>
      <c r="D636" s="54">
        <f t="shared" si="90"/>
        <v>814.79</v>
      </c>
      <c r="E636" s="138">
        <v>824.67</v>
      </c>
      <c r="F636" s="54">
        <f t="shared" si="15"/>
        <v>9.88</v>
      </c>
      <c r="G636" s="54">
        <f t="shared" si="28"/>
        <v>-0.12</v>
      </c>
      <c r="H636" s="54"/>
      <c r="I636" s="54"/>
      <c r="J636" s="54"/>
      <c r="K636" s="54"/>
      <c r="L636" s="54"/>
      <c r="M636" s="54"/>
      <c r="N636" s="54"/>
      <c r="O636" s="174"/>
      <c r="P636" s="174"/>
      <c r="Q636" s="174"/>
      <c r="R636" s="174"/>
    </row>
    <row r="637" ht="14.25" customHeight="1">
      <c r="B637" s="145">
        <v>45864.0</v>
      </c>
      <c r="C637" s="141" t="str">
        <f t="shared" si="1"/>
        <v>7-2025</v>
      </c>
      <c r="D637" s="54">
        <f t="shared" si="90"/>
        <v>824.67</v>
      </c>
      <c r="E637" s="138">
        <v>832.52</v>
      </c>
      <c r="F637" s="54">
        <f t="shared" si="15"/>
        <v>7.85</v>
      </c>
      <c r="G637" s="54">
        <f t="shared" si="28"/>
        <v>-2.15</v>
      </c>
      <c r="H637" s="54"/>
      <c r="I637" s="54"/>
      <c r="J637" s="54"/>
      <c r="K637" s="54"/>
      <c r="L637" s="54"/>
      <c r="M637" s="54"/>
      <c r="N637" s="54"/>
      <c r="O637" s="174"/>
      <c r="P637" s="174"/>
      <c r="Q637" s="174"/>
      <c r="R637" s="174"/>
    </row>
    <row r="638" ht="14.25" customHeight="1">
      <c r="B638" s="145">
        <v>45865.0</v>
      </c>
      <c r="C638" s="141" t="str">
        <f t="shared" si="1"/>
        <v>7-2025</v>
      </c>
      <c r="D638" s="54"/>
      <c r="E638" s="138"/>
      <c r="F638" s="54">
        <f t="shared" si="15"/>
        <v>0</v>
      </c>
      <c r="G638" s="54">
        <f t="shared" si="28"/>
        <v>-10</v>
      </c>
      <c r="H638" s="54"/>
      <c r="I638" s="54"/>
      <c r="J638" s="54"/>
      <c r="K638" s="54"/>
      <c r="L638" s="54"/>
      <c r="M638" s="54"/>
      <c r="N638" s="54"/>
      <c r="O638" s="174"/>
      <c r="P638" s="174"/>
      <c r="Q638" s="174"/>
      <c r="R638" s="174"/>
    </row>
    <row r="639" ht="14.25" customHeight="1">
      <c r="B639" s="140">
        <v>45866.0</v>
      </c>
      <c r="C639" s="141" t="str">
        <f t="shared" si="1"/>
        <v>7-2025</v>
      </c>
      <c r="D639" s="138">
        <v>832.52</v>
      </c>
      <c r="E639" s="138">
        <v>842.15</v>
      </c>
      <c r="F639" s="54">
        <f t="shared" si="15"/>
        <v>9.63</v>
      </c>
      <c r="G639" s="54">
        <f t="shared" si="28"/>
        <v>-0.37</v>
      </c>
      <c r="H639" s="54"/>
      <c r="I639" s="54"/>
      <c r="J639" s="54"/>
      <c r="K639" s="54"/>
      <c r="L639" s="54"/>
      <c r="M639" s="54"/>
      <c r="N639" s="54"/>
      <c r="O639" s="174"/>
      <c r="P639" s="174"/>
      <c r="Q639" s="174"/>
      <c r="R639" s="174"/>
    </row>
    <row r="640" ht="14.25" customHeight="1">
      <c r="B640" s="140">
        <v>45867.0</v>
      </c>
      <c r="C640" s="141" t="str">
        <f t="shared" si="1"/>
        <v>7-2025</v>
      </c>
      <c r="D640" s="54">
        <f>E639</f>
        <v>842.15</v>
      </c>
      <c r="E640" s="138">
        <v>849.0</v>
      </c>
      <c r="F640" s="54">
        <f t="shared" si="15"/>
        <v>6.85</v>
      </c>
      <c r="G640" s="54">
        <f t="shared" si="28"/>
        <v>-3.15</v>
      </c>
      <c r="H640" s="138">
        <v>3382.0</v>
      </c>
      <c r="I640" s="54"/>
      <c r="J640" s="54"/>
      <c r="K640" s="54"/>
      <c r="L640" s="54"/>
      <c r="M640" s="54"/>
      <c r="N640" s="54"/>
      <c r="O640" s="174"/>
      <c r="P640" s="174"/>
      <c r="Q640" s="174"/>
      <c r="R640" s="174"/>
    </row>
    <row r="641" ht="14.25" customHeight="1">
      <c r="B641" s="140">
        <v>45868.0</v>
      </c>
      <c r="C641" s="141" t="str">
        <f t="shared" si="1"/>
        <v>7-2025</v>
      </c>
      <c r="D641" s="54"/>
      <c r="E641" s="54"/>
      <c r="F641" s="54">
        <f t="shared" si="15"/>
        <v>0</v>
      </c>
      <c r="G641" s="54">
        <f t="shared" si="28"/>
        <v>-10</v>
      </c>
      <c r="H641" s="54"/>
      <c r="I641" s="54"/>
      <c r="J641" s="54"/>
      <c r="K641" s="54"/>
      <c r="L641" s="54"/>
      <c r="M641" s="54"/>
      <c r="N641" s="54"/>
      <c r="O641" s="174"/>
      <c r="P641" s="174"/>
      <c r="Q641" s="174"/>
      <c r="R641" s="174"/>
    </row>
    <row r="642" ht="14.25" customHeight="1">
      <c r="B642" s="140">
        <v>45869.0</v>
      </c>
      <c r="C642" s="141" t="str">
        <f t="shared" si="1"/>
        <v>7-2025</v>
      </c>
      <c r="D642" s="54" t="str">
        <f t="shared" ref="D642:D653" si="91">E641</f>
        <v/>
      </c>
      <c r="E642" s="54"/>
      <c r="F642" s="54">
        <f t="shared" si="15"/>
        <v>0</v>
      </c>
      <c r="G642" s="54">
        <f t="shared" si="28"/>
        <v>-10</v>
      </c>
      <c r="H642" s="54"/>
      <c r="I642" s="54"/>
      <c r="J642" s="54"/>
      <c r="K642" s="54"/>
      <c r="L642" s="54"/>
      <c r="M642" s="54"/>
      <c r="N642" s="54"/>
      <c r="O642" s="174"/>
      <c r="P642" s="174"/>
      <c r="Q642" s="174"/>
      <c r="R642" s="174"/>
    </row>
    <row r="643" ht="14.25" customHeight="1">
      <c r="B643" s="140">
        <v>45870.0</v>
      </c>
      <c r="C643" s="141" t="str">
        <f t="shared" si="1"/>
        <v>8-2025</v>
      </c>
      <c r="D643" s="54" t="str">
        <f t="shared" si="91"/>
        <v/>
      </c>
      <c r="E643" s="54"/>
      <c r="F643" s="54">
        <f t="shared" si="15"/>
        <v>0</v>
      </c>
      <c r="G643" s="54">
        <f t="shared" si="28"/>
        <v>-10</v>
      </c>
      <c r="H643" s="54"/>
      <c r="I643" s="54"/>
      <c r="J643" s="140">
        <v>45870.0</v>
      </c>
      <c r="K643" s="141" t="str">
        <f t="shared" ref="K643:K685" si="92">MONTH(J643)&amp; "-" &amp;YEAR(J643)</f>
        <v>8-2025</v>
      </c>
      <c r="L643" s="54" t="str">
        <f t="shared" ref="L643:L654" si="93">M642</f>
        <v/>
      </c>
      <c r="M643" s="54"/>
      <c r="N643" s="54">
        <f t="shared" ref="N643:N685" si="94">M643-L643</f>
        <v>0</v>
      </c>
      <c r="O643" s="54">
        <f t="shared" ref="O643:O685" si="95">N643-10</f>
        <v>-10</v>
      </c>
      <c r="P643" s="174"/>
      <c r="Q643" s="174"/>
      <c r="R643" s="174"/>
    </row>
    <row r="644" ht="14.25" customHeight="1">
      <c r="B644" s="145">
        <v>45871.0</v>
      </c>
      <c r="C644" s="141" t="str">
        <f t="shared" si="1"/>
        <v>8-2025</v>
      </c>
      <c r="D644" s="54" t="str">
        <f t="shared" si="91"/>
        <v/>
      </c>
      <c r="E644" s="54"/>
      <c r="F644" s="54">
        <f t="shared" si="15"/>
        <v>0</v>
      </c>
      <c r="G644" s="54">
        <f t="shared" si="28"/>
        <v>-10</v>
      </c>
      <c r="H644" s="54"/>
      <c r="I644" s="54"/>
      <c r="J644" s="145">
        <v>45871.0</v>
      </c>
      <c r="K644" s="141" t="str">
        <f t="shared" si="92"/>
        <v>8-2025</v>
      </c>
      <c r="L644" s="54" t="str">
        <f t="shared" si="93"/>
        <v/>
      </c>
      <c r="M644" s="54"/>
      <c r="N644" s="54">
        <f t="shared" si="94"/>
        <v>0</v>
      </c>
      <c r="O644" s="54">
        <f t="shared" si="95"/>
        <v>-10</v>
      </c>
      <c r="P644" s="174"/>
      <c r="Q644" s="174"/>
      <c r="R644" s="174"/>
    </row>
    <row r="645" ht="14.25" customHeight="1">
      <c r="B645" s="145">
        <v>45872.0</v>
      </c>
      <c r="C645" s="141" t="str">
        <f t="shared" si="1"/>
        <v>8-2025</v>
      </c>
      <c r="D645" s="54" t="str">
        <f t="shared" si="91"/>
        <v/>
      </c>
      <c r="E645" s="54"/>
      <c r="F645" s="54">
        <f t="shared" si="15"/>
        <v>0</v>
      </c>
      <c r="G645" s="54">
        <f t="shared" si="28"/>
        <v>-10</v>
      </c>
      <c r="H645" s="54"/>
      <c r="I645" s="54"/>
      <c r="J645" s="145">
        <v>45872.0</v>
      </c>
      <c r="K645" s="141" t="str">
        <f t="shared" si="92"/>
        <v>8-2025</v>
      </c>
      <c r="L645" s="54" t="str">
        <f t="shared" si="93"/>
        <v/>
      </c>
      <c r="M645" s="54"/>
      <c r="N645" s="54">
        <f t="shared" si="94"/>
        <v>0</v>
      </c>
      <c r="O645" s="54">
        <f t="shared" si="95"/>
        <v>-10</v>
      </c>
      <c r="P645" s="174"/>
      <c r="Q645" s="174"/>
      <c r="R645" s="174"/>
    </row>
    <row r="646" ht="14.25" customHeight="1">
      <c r="B646" s="140">
        <v>45873.0</v>
      </c>
      <c r="C646" s="141" t="str">
        <f t="shared" si="1"/>
        <v>8-2025</v>
      </c>
      <c r="D646" s="54" t="str">
        <f t="shared" si="91"/>
        <v/>
      </c>
      <c r="E646" s="54"/>
      <c r="F646" s="54">
        <f t="shared" si="15"/>
        <v>0</v>
      </c>
      <c r="G646" s="54">
        <f t="shared" si="28"/>
        <v>-10</v>
      </c>
      <c r="H646" s="54"/>
      <c r="I646" s="54"/>
      <c r="J646" s="140">
        <v>45873.0</v>
      </c>
      <c r="K646" s="141" t="str">
        <f t="shared" si="92"/>
        <v>8-2025</v>
      </c>
      <c r="L646" s="54" t="str">
        <f t="shared" si="93"/>
        <v/>
      </c>
      <c r="M646" s="54"/>
      <c r="N646" s="54">
        <f t="shared" si="94"/>
        <v>0</v>
      </c>
      <c r="O646" s="54">
        <f t="shared" si="95"/>
        <v>-10</v>
      </c>
      <c r="P646" s="174"/>
      <c r="Q646" s="174"/>
      <c r="R646" s="174"/>
    </row>
    <row r="647" ht="14.25" customHeight="1">
      <c r="B647" s="140">
        <v>45874.0</v>
      </c>
      <c r="C647" s="141" t="str">
        <f t="shared" si="1"/>
        <v>8-2025</v>
      </c>
      <c r="D647" s="54" t="str">
        <f t="shared" si="91"/>
        <v/>
      </c>
      <c r="E647" s="54"/>
      <c r="F647" s="54">
        <f t="shared" si="15"/>
        <v>0</v>
      </c>
      <c r="G647" s="54">
        <f t="shared" si="28"/>
        <v>-10</v>
      </c>
      <c r="H647" s="54"/>
      <c r="I647" s="54"/>
      <c r="J647" s="140">
        <v>45874.0</v>
      </c>
      <c r="K647" s="141" t="str">
        <f t="shared" si="92"/>
        <v>8-2025</v>
      </c>
      <c r="L647" s="54" t="str">
        <f t="shared" si="93"/>
        <v/>
      </c>
      <c r="M647" s="54"/>
      <c r="N647" s="54">
        <f t="shared" si="94"/>
        <v>0</v>
      </c>
      <c r="O647" s="54">
        <f t="shared" si="95"/>
        <v>-10</v>
      </c>
      <c r="P647" s="174"/>
      <c r="Q647" s="174"/>
      <c r="R647" s="174"/>
    </row>
    <row r="648" ht="14.25" customHeight="1">
      <c r="B648" s="140">
        <v>45875.0</v>
      </c>
      <c r="C648" s="141" t="str">
        <f t="shared" si="1"/>
        <v>8-2025</v>
      </c>
      <c r="D648" s="54" t="str">
        <f t="shared" si="91"/>
        <v/>
      </c>
      <c r="E648" s="54"/>
      <c r="F648" s="54">
        <f t="shared" si="15"/>
        <v>0</v>
      </c>
      <c r="G648" s="54">
        <f t="shared" si="28"/>
        <v>-10</v>
      </c>
      <c r="H648" s="54"/>
      <c r="I648" s="54"/>
      <c r="J648" s="140">
        <v>45875.0</v>
      </c>
      <c r="K648" s="141" t="str">
        <f t="shared" si="92"/>
        <v>8-2025</v>
      </c>
      <c r="L648" s="54" t="str">
        <f t="shared" si="93"/>
        <v/>
      </c>
      <c r="M648" s="54"/>
      <c r="N648" s="54">
        <f t="shared" si="94"/>
        <v>0</v>
      </c>
      <c r="O648" s="54">
        <f t="shared" si="95"/>
        <v>-10</v>
      </c>
      <c r="P648" s="174"/>
      <c r="Q648" s="174"/>
      <c r="R648" s="174"/>
    </row>
    <row r="649" ht="14.25" customHeight="1">
      <c r="B649" s="140">
        <v>45876.0</v>
      </c>
      <c r="C649" s="141" t="str">
        <f t="shared" si="1"/>
        <v>8-2025</v>
      </c>
      <c r="D649" s="54" t="str">
        <f t="shared" si="91"/>
        <v/>
      </c>
      <c r="E649" s="54"/>
      <c r="F649" s="54">
        <f t="shared" si="15"/>
        <v>0</v>
      </c>
      <c r="G649" s="54">
        <f t="shared" si="28"/>
        <v>-10</v>
      </c>
      <c r="H649" s="54"/>
      <c r="I649" s="54"/>
      <c r="J649" s="140">
        <v>45876.0</v>
      </c>
      <c r="K649" s="141" t="str">
        <f t="shared" si="92"/>
        <v>8-2025</v>
      </c>
      <c r="L649" s="54" t="str">
        <f t="shared" si="93"/>
        <v/>
      </c>
      <c r="M649" s="54"/>
      <c r="N649" s="54">
        <f t="shared" si="94"/>
        <v>0</v>
      </c>
      <c r="O649" s="54">
        <f t="shared" si="95"/>
        <v>-10</v>
      </c>
      <c r="P649" s="174"/>
      <c r="Q649" s="174"/>
      <c r="R649" s="174"/>
    </row>
    <row r="650" ht="14.25" customHeight="1">
      <c r="B650" s="140">
        <v>45877.0</v>
      </c>
      <c r="C650" s="141" t="str">
        <f t="shared" si="1"/>
        <v>8-2025</v>
      </c>
      <c r="D650" s="54" t="str">
        <f t="shared" si="91"/>
        <v/>
      </c>
      <c r="E650" s="54"/>
      <c r="F650" s="54">
        <f t="shared" si="15"/>
        <v>0</v>
      </c>
      <c r="G650" s="54">
        <f t="shared" si="28"/>
        <v>-10</v>
      </c>
      <c r="H650" s="54"/>
      <c r="I650" s="54"/>
      <c r="J650" s="140">
        <v>45877.0</v>
      </c>
      <c r="K650" s="141" t="str">
        <f t="shared" si="92"/>
        <v>8-2025</v>
      </c>
      <c r="L650" s="54" t="str">
        <f t="shared" si="93"/>
        <v/>
      </c>
      <c r="M650" s="54"/>
      <c r="N650" s="54">
        <f t="shared" si="94"/>
        <v>0</v>
      </c>
      <c r="O650" s="54">
        <f t="shared" si="95"/>
        <v>-10</v>
      </c>
      <c r="P650" s="174"/>
      <c r="Q650" s="174"/>
      <c r="R650" s="174"/>
    </row>
    <row r="651" ht="14.25" customHeight="1">
      <c r="B651" s="145">
        <v>45878.0</v>
      </c>
      <c r="C651" s="141" t="str">
        <f t="shared" si="1"/>
        <v>8-2025</v>
      </c>
      <c r="D651" s="54" t="str">
        <f t="shared" si="91"/>
        <v/>
      </c>
      <c r="E651" s="54"/>
      <c r="F651" s="54">
        <f t="shared" si="15"/>
        <v>0</v>
      </c>
      <c r="G651" s="54">
        <f t="shared" si="28"/>
        <v>-10</v>
      </c>
      <c r="H651" s="54"/>
      <c r="I651" s="54"/>
      <c r="J651" s="145">
        <v>45878.0</v>
      </c>
      <c r="K651" s="141" t="str">
        <f t="shared" si="92"/>
        <v>8-2025</v>
      </c>
      <c r="L651" s="54" t="str">
        <f t="shared" si="93"/>
        <v/>
      </c>
      <c r="M651" s="54"/>
      <c r="N651" s="54">
        <f t="shared" si="94"/>
        <v>0</v>
      </c>
      <c r="O651" s="54">
        <f t="shared" si="95"/>
        <v>-10</v>
      </c>
      <c r="P651" s="174"/>
      <c r="Q651" s="174"/>
      <c r="R651" s="174"/>
    </row>
    <row r="652" ht="14.25" customHeight="1">
      <c r="B652" s="145">
        <v>45879.0</v>
      </c>
      <c r="C652" s="141" t="str">
        <f t="shared" si="1"/>
        <v>8-2025</v>
      </c>
      <c r="D652" s="54" t="str">
        <f t="shared" si="91"/>
        <v/>
      </c>
      <c r="E652" s="54"/>
      <c r="F652" s="54">
        <f t="shared" si="15"/>
        <v>0</v>
      </c>
      <c r="G652" s="54">
        <f t="shared" si="28"/>
        <v>-10</v>
      </c>
      <c r="H652" s="54"/>
      <c r="I652" s="54"/>
      <c r="J652" s="145">
        <v>45879.0</v>
      </c>
      <c r="K652" s="141" t="str">
        <f t="shared" si="92"/>
        <v>8-2025</v>
      </c>
      <c r="L652" s="54" t="str">
        <f t="shared" si="93"/>
        <v/>
      </c>
      <c r="M652" s="54"/>
      <c r="N652" s="54">
        <f t="shared" si="94"/>
        <v>0</v>
      </c>
      <c r="O652" s="54">
        <f t="shared" si="95"/>
        <v>-10</v>
      </c>
      <c r="P652" s="174"/>
      <c r="Q652" s="174"/>
      <c r="R652" s="174"/>
    </row>
    <row r="653" ht="14.25" customHeight="1">
      <c r="B653" s="140">
        <v>45880.0</v>
      </c>
      <c r="C653" s="141" t="str">
        <f t="shared" si="1"/>
        <v>8-2025</v>
      </c>
      <c r="D653" s="54" t="str">
        <f t="shared" si="91"/>
        <v/>
      </c>
      <c r="E653" s="54"/>
      <c r="F653" s="54">
        <f t="shared" si="15"/>
        <v>0</v>
      </c>
      <c r="G653" s="54">
        <f t="shared" si="28"/>
        <v>-10</v>
      </c>
      <c r="H653" s="54"/>
      <c r="I653" s="54"/>
      <c r="J653" s="140">
        <v>45880.0</v>
      </c>
      <c r="K653" s="141" t="str">
        <f t="shared" si="92"/>
        <v>8-2025</v>
      </c>
      <c r="L653" s="54" t="str">
        <f t="shared" si="93"/>
        <v/>
      </c>
      <c r="M653" s="54"/>
      <c r="N653" s="54">
        <f t="shared" si="94"/>
        <v>0</v>
      </c>
      <c r="O653" s="54">
        <f t="shared" si="95"/>
        <v>-10</v>
      </c>
      <c r="P653" s="174"/>
      <c r="Q653" s="174"/>
      <c r="R653" s="174"/>
    </row>
    <row r="654" ht="14.25" customHeight="1">
      <c r="B654" s="140">
        <v>45881.0</v>
      </c>
      <c r="C654" s="141" t="str">
        <f t="shared" si="1"/>
        <v>8-2025</v>
      </c>
      <c r="D654" s="138">
        <v>930.5</v>
      </c>
      <c r="E654" s="138">
        <v>940.54</v>
      </c>
      <c r="F654" s="54">
        <f t="shared" si="15"/>
        <v>10.04</v>
      </c>
      <c r="G654" s="54">
        <f t="shared" si="28"/>
        <v>0.04</v>
      </c>
      <c r="H654" s="54"/>
      <c r="I654" s="54"/>
      <c r="J654" s="140">
        <v>45881.0</v>
      </c>
      <c r="K654" s="141" t="str">
        <f t="shared" si="92"/>
        <v>8-2025</v>
      </c>
      <c r="L654" s="54" t="str">
        <f t="shared" si="93"/>
        <v/>
      </c>
      <c r="M654" s="54"/>
      <c r="N654" s="54">
        <f t="shared" si="94"/>
        <v>0</v>
      </c>
      <c r="O654" s="54">
        <f t="shared" si="95"/>
        <v>-10</v>
      </c>
      <c r="P654" s="174"/>
      <c r="Q654" s="174"/>
      <c r="R654" s="174"/>
    </row>
    <row r="655" ht="14.25" customHeight="1">
      <c r="B655" s="140">
        <v>45882.0</v>
      </c>
      <c r="C655" s="141" t="str">
        <f t="shared" si="1"/>
        <v>8-2025</v>
      </c>
      <c r="D655" s="54">
        <f t="shared" ref="D655:D658" si="96">M655</f>
        <v>946.99</v>
      </c>
      <c r="E655" s="138">
        <v>956.57</v>
      </c>
      <c r="F655" s="54">
        <f t="shared" si="15"/>
        <v>9.58</v>
      </c>
      <c r="G655" s="54">
        <f t="shared" si="28"/>
        <v>-0.42</v>
      </c>
      <c r="H655" s="54"/>
      <c r="I655" s="54"/>
      <c r="J655" s="140">
        <v>45882.0</v>
      </c>
      <c r="K655" s="141" t="str">
        <f t="shared" si="92"/>
        <v>8-2025</v>
      </c>
      <c r="L655" s="138">
        <v>940.54</v>
      </c>
      <c r="M655" s="138">
        <v>946.99</v>
      </c>
      <c r="N655" s="54">
        <f t="shared" si="94"/>
        <v>6.45</v>
      </c>
      <c r="O655" s="54">
        <f t="shared" si="95"/>
        <v>-3.55</v>
      </c>
      <c r="P655" s="174"/>
      <c r="Q655" s="174"/>
      <c r="R655" s="174"/>
    </row>
    <row r="656" ht="14.25" customHeight="1">
      <c r="B656" s="140">
        <v>45883.0</v>
      </c>
      <c r="C656" s="141" t="str">
        <f t="shared" si="1"/>
        <v>8-2025</v>
      </c>
      <c r="D656" s="54">
        <f t="shared" si="96"/>
        <v>966.5</v>
      </c>
      <c r="E656" s="138">
        <v>970.83</v>
      </c>
      <c r="F656" s="54">
        <f t="shared" si="15"/>
        <v>4.33</v>
      </c>
      <c r="G656" s="54">
        <f t="shared" si="28"/>
        <v>-5.67</v>
      </c>
      <c r="H656" s="54"/>
      <c r="I656" s="54"/>
      <c r="J656" s="140">
        <v>45883.0</v>
      </c>
      <c r="K656" s="141" t="str">
        <f t="shared" si="92"/>
        <v>8-2025</v>
      </c>
      <c r="L656" s="138">
        <v>956.5</v>
      </c>
      <c r="M656" s="138">
        <v>966.5</v>
      </c>
      <c r="N656" s="54">
        <f t="shared" si="94"/>
        <v>10</v>
      </c>
      <c r="O656" s="54">
        <f t="shared" si="95"/>
        <v>0</v>
      </c>
      <c r="P656" s="174"/>
      <c r="Q656" s="174"/>
      <c r="R656" s="174"/>
    </row>
    <row r="657" ht="14.25" customHeight="1">
      <c r="B657" s="140">
        <v>45884.0</v>
      </c>
      <c r="C657" s="141" t="str">
        <f t="shared" si="1"/>
        <v>8-2025</v>
      </c>
      <c r="D657" s="54">
        <f t="shared" si="96"/>
        <v>981.09</v>
      </c>
      <c r="E657" s="138">
        <v>991.81</v>
      </c>
      <c r="F657" s="54">
        <f t="shared" si="15"/>
        <v>10.72</v>
      </c>
      <c r="G657" s="54">
        <f t="shared" si="28"/>
        <v>0.72</v>
      </c>
      <c r="H657" s="54"/>
      <c r="I657" s="54"/>
      <c r="J657" s="140">
        <v>45884.0</v>
      </c>
      <c r="K657" s="141" t="str">
        <f t="shared" si="92"/>
        <v>8-2025</v>
      </c>
      <c r="L657" s="138">
        <v>970.82</v>
      </c>
      <c r="M657" s="138">
        <v>981.09</v>
      </c>
      <c r="N657" s="54">
        <f t="shared" si="94"/>
        <v>10.27</v>
      </c>
      <c r="O657" s="54">
        <f t="shared" si="95"/>
        <v>0.27</v>
      </c>
      <c r="P657" s="174"/>
      <c r="Q657" s="174"/>
      <c r="R657" s="174"/>
    </row>
    <row r="658" ht="14.25" customHeight="1">
      <c r="B658" s="145">
        <v>45885.0</v>
      </c>
      <c r="C658" s="141" t="str">
        <f t="shared" si="1"/>
        <v>8-2025</v>
      </c>
      <c r="D658" s="54">
        <f t="shared" si="96"/>
        <v>997.94</v>
      </c>
      <c r="E658" s="138">
        <v>1008.35</v>
      </c>
      <c r="F658" s="54">
        <f t="shared" si="15"/>
        <v>10.41</v>
      </c>
      <c r="G658" s="54">
        <f t="shared" si="28"/>
        <v>0.41</v>
      </c>
      <c r="H658" s="54"/>
      <c r="I658" s="54"/>
      <c r="J658" s="145">
        <v>45885.0</v>
      </c>
      <c r="K658" s="141" t="str">
        <f t="shared" si="92"/>
        <v>8-2025</v>
      </c>
      <c r="L658" s="138">
        <v>991.81</v>
      </c>
      <c r="M658" s="138">
        <v>997.94</v>
      </c>
      <c r="N658" s="54">
        <f t="shared" si="94"/>
        <v>6.13</v>
      </c>
      <c r="O658" s="54">
        <f t="shared" si="95"/>
        <v>-3.87</v>
      </c>
      <c r="P658" s="174"/>
      <c r="Q658" s="174"/>
      <c r="R658" s="174"/>
    </row>
    <row r="659" ht="14.25" customHeight="1">
      <c r="B659" s="145">
        <v>45886.0</v>
      </c>
      <c r="C659" s="141" t="str">
        <f t="shared" si="1"/>
        <v>8-2025</v>
      </c>
      <c r="D659" s="54"/>
      <c r="E659" s="54"/>
      <c r="F659" s="54">
        <f t="shared" si="15"/>
        <v>0</v>
      </c>
      <c r="G659" s="54">
        <f t="shared" si="28"/>
        <v>-10</v>
      </c>
      <c r="H659" s="54"/>
      <c r="I659" s="54"/>
      <c r="J659" s="145">
        <v>45886.0</v>
      </c>
      <c r="K659" s="141" t="str">
        <f t="shared" si="92"/>
        <v>8-2025</v>
      </c>
      <c r="L659" s="138">
        <v>1008.35</v>
      </c>
      <c r="M659" s="138">
        <v>1018.25</v>
      </c>
      <c r="N659" s="54">
        <f t="shared" si="94"/>
        <v>9.9</v>
      </c>
      <c r="O659" s="54">
        <f t="shared" si="95"/>
        <v>-0.1</v>
      </c>
      <c r="P659" s="174"/>
      <c r="Q659" s="174"/>
      <c r="R659" s="174"/>
    </row>
    <row r="660" ht="14.25" customHeight="1">
      <c r="B660" s="140">
        <v>45887.0</v>
      </c>
      <c r="C660" s="141" t="str">
        <f t="shared" si="1"/>
        <v>8-2025</v>
      </c>
      <c r="D660" s="54">
        <f>M660</f>
        <v>1025.86</v>
      </c>
      <c r="E660" s="138">
        <v>1035.79</v>
      </c>
      <c r="F660" s="54">
        <f t="shared" si="15"/>
        <v>9.93</v>
      </c>
      <c r="G660" s="54">
        <f t="shared" si="28"/>
        <v>-0.07</v>
      </c>
      <c r="H660" s="54"/>
      <c r="I660" s="54"/>
      <c r="J660" s="140">
        <v>45887.0</v>
      </c>
      <c r="K660" s="141" t="str">
        <f t="shared" si="92"/>
        <v>8-2025</v>
      </c>
      <c r="L660" s="138">
        <v>1018.25</v>
      </c>
      <c r="M660" s="138">
        <v>1025.86</v>
      </c>
      <c r="N660" s="54">
        <f t="shared" si="94"/>
        <v>7.61</v>
      </c>
      <c r="O660" s="54">
        <f t="shared" si="95"/>
        <v>-2.39</v>
      </c>
      <c r="P660" s="174"/>
      <c r="Q660" s="174"/>
      <c r="R660" s="174"/>
    </row>
    <row r="661" ht="14.25" customHeight="1">
      <c r="B661" s="140">
        <v>45888.0</v>
      </c>
      <c r="C661" s="141" t="str">
        <f t="shared" si="1"/>
        <v>8-2025</v>
      </c>
      <c r="D661" s="138">
        <v>1046.51</v>
      </c>
      <c r="E661" s="138">
        <v>1050.14</v>
      </c>
      <c r="F661" s="54">
        <f t="shared" si="15"/>
        <v>3.63</v>
      </c>
      <c r="G661" s="54">
        <f t="shared" si="28"/>
        <v>-6.37</v>
      </c>
      <c r="H661" s="54"/>
      <c r="I661" s="54"/>
      <c r="J661" s="140">
        <v>45888.0</v>
      </c>
      <c r="K661" s="141" t="str">
        <f t="shared" si="92"/>
        <v>8-2025</v>
      </c>
      <c r="L661" s="138">
        <v>1035.79</v>
      </c>
      <c r="M661" s="138">
        <v>1046.51</v>
      </c>
      <c r="N661" s="54">
        <f t="shared" si="94"/>
        <v>10.72</v>
      </c>
      <c r="O661" s="54">
        <f t="shared" si="95"/>
        <v>0.72</v>
      </c>
      <c r="P661" s="174"/>
      <c r="Q661" s="174"/>
      <c r="R661" s="174"/>
    </row>
    <row r="662" ht="14.25" customHeight="1">
      <c r="B662" s="140">
        <v>45889.0</v>
      </c>
      <c r="C662" s="141" t="str">
        <f t="shared" si="1"/>
        <v>8-2025</v>
      </c>
      <c r="D662" s="138">
        <v>1060.2</v>
      </c>
      <c r="E662" s="138">
        <v>1070.42</v>
      </c>
      <c r="F662" s="54">
        <f t="shared" si="15"/>
        <v>10.22</v>
      </c>
      <c r="G662" s="54">
        <f t="shared" si="28"/>
        <v>0.22</v>
      </c>
      <c r="H662" s="54"/>
      <c r="I662" s="54"/>
      <c r="J662" s="140">
        <v>45889.0</v>
      </c>
      <c r="K662" s="141" t="str">
        <f t="shared" si="92"/>
        <v>8-2025</v>
      </c>
      <c r="L662" s="138">
        <v>1050.14</v>
      </c>
      <c r="M662" s="138">
        <v>1060.01</v>
      </c>
      <c r="N662" s="54">
        <f t="shared" si="94"/>
        <v>9.87</v>
      </c>
      <c r="O662" s="54">
        <f t="shared" si="95"/>
        <v>-0.13</v>
      </c>
      <c r="P662" s="174"/>
      <c r="Q662" s="174"/>
      <c r="R662" s="174"/>
    </row>
    <row r="663" ht="14.25" customHeight="1">
      <c r="B663" s="140">
        <v>45890.0</v>
      </c>
      <c r="C663" s="141" t="str">
        <f t="shared" si="1"/>
        <v>8-2025</v>
      </c>
      <c r="D663" s="138">
        <v>1080.53</v>
      </c>
      <c r="E663" s="138">
        <v>1080.06</v>
      </c>
      <c r="F663" s="54">
        <f t="shared" si="15"/>
        <v>-0.47</v>
      </c>
      <c r="G663" s="54">
        <f t="shared" si="28"/>
        <v>-10.47</v>
      </c>
      <c r="H663" s="54"/>
      <c r="I663" s="54"/>
      <c r="J663" s="140">
        <v>45890.0</v>
      </c>
      <c r="K663" s="141" t="str">
        <f t="shared" si="92"/>
        <v>8-2025</v>
      </c>
      <c r="L663" s="138">
        <v>1070.43</v>
      </c>
      <c r="M663" s="138">
        <v>1080.83</v>
      </c>
      <c r="N663" s="54">
        <f t="shared" si="94"/>
        <v>10.4</v>
      </c>
      <c r="O663" s="54">
        <f t="shared" si="95"/>
        <v>0.4</v>
      </c>
      <c r="P663" s="174"/>
      <c r="Q663" s="174"/>
      <c r="R663" s="174"/>
    </row>
    <row r="664" ht="14.25" customHeight="1">
      <c r="B664" s="140">
        <v>45891.0</v>
      </c>
      <c r="C664" s="141" t="str">
        <f t="shared" si="1"/>
        <v>8-2025</v>
      </c>
      <c r="D664" s="138">
        <v>1097.92</v>
      </c>
      <c r="E664" s="138">
        <v>1107.49</v>
      </c>
      <c r="F664" s="54">
        <f t="shared" si="15"/>
        <v>9.57</v>
      </c>
      <c r="G664" s="54">
        <f t="shared" si="28"/>
        <v>-0.43</v>
      </c>
      <c r="H664" s="54"/>
      <c r="I664" s="54"/>
      <c r="J664" s="140">
        <v>45891.0</v>
      </c>
      <c r="K664" s="141" t="str">
        <f t="shared" si="92"/>
        <v>8-2025</v>
      </c>
      <c r="L664" s="138">
        <v>1090.06</v>
      </c>
      <c r="M664" s="138">
        <v>1097.91</v>
      </c>
      <c r="N664" s="54">
        <f t="shared" si="94"/>
        <v>7.85</v>
      </c>
      <c r="O664" s="54">
        <f t="shared" si="95"/>
        <v>-2.15</v>
      </c>
      <c r="P664" s="174"/>
      <c r="Q664" s="174"/>
      <c r="R664" s="174"/>
    </row>
    <row r="665" ht="14.25" customHeight="1">
      <c r="B665" s="145">
        <v>45892.0</v>
      </c>
      <c r="C665" s="141" t="str">
        <f t="shared" si="1"/>
        <v>8-2025</v>
      </c>
      <c r="D665" s="138">
        <v>1107.49</v>
      </c>
      <c r="E665" s="138">
        <v>1112.7</v>
      </c>
      <c r="F665" s="54">
        <f t="shared" si="15"/>
        <v>5.21</v>
      </c>
      <c r="G665" s="54">
        <f t="shared" si="28"/>
        <v>-4.79</v>
      </c>
      <c r="H665" s="54"/>
      <c r="I665" s="54"/>
      <c r="J665" s="145">
        <v>45892.0</v>
      </c>
      <c r="K665" s="141" t="str">
        <f t="shared" si="92"/>
        <v>8-2025</v>
      </c>
      <c r="L665" s="54"/>
      <c r="M665" s="54"/>
      <c r="N665" s="54">
        <f t="shared" si="94"/>
        <v>0</v>
      </c>
      <c r="O665" s="54">
        <f t="shared" si="95"/>
        <v>-10</v>
      </c>
      <c r="P665" s="174"/>
      <c r="Q665" s="174"/>
      <c r="R665" s="174"/>
    </row>
    <row r="666" ht="14.25" customHeight="1">
      <c r="B666" s="145">
        <v>45893.0</v>
      </c>
      <c r="C666" s="141" t="str">
        <f t="shared" si="1"/>
        <v>8-2025</v>
      </c>
      <c r="D666" s="54"/>
      <c r="E666" s="54"/>
      <c r="F666" s="54">
        <f t="shared" si="15"/>
        <v>0</v>
      </c>
      <c r="G666" s="54">
        <f t="shared" si="28"/>
        <v>-10</v>
      </c>
      <c r="H666" s="54"/>
      <c r="I666" s="54"/>
      <c r="J666" s="145">
        <v>45893.0</v>
      </c>
      <c r="K666" s="141" t="str">
        <f t="shared" si="92"/>
        <v>8-2025</v>
      </c>
      <c r="L666" s="138">
        <v>1112.18</v>
      </c>
      <c r="M666" s="138">
        <v>1122.64</v>
      </c>
      <c r="N666" s="54">
        <f t="shared" si="94"/>
        <v>10.46</v>
      </c>
      <c r="O666" s="54">
        <f t="shared" si="95"/>
        <v>0.46</v>
      </c>
      <c r="P666" s="174"/>
      <c r="Q666" s="174"/>
      <c r="R666" s="174"/>
    </row>
    <row r="667" ht="14.25" customHeight="1">
      <c r="B667" s="140">
        <v>45894.0</v>
      </c>
      <c r="C667" s="141" t="str">
        <f t="shared" si="1"/>
        <v>8-2025</v>
      </c>
      <c r="D667" s="138">
        <v>1122.64</v>
      </c>
      <c r="E667" s="138">
        <v>1132.57</v>
      </c>
      <c r="F667" s="54">
        <f t="shared" si="15"/>
        <v>9.93</v>
      </c>
      <c r="G667" s="54">
        <f t="shared" si="28"/>
        <v>-0.07</v>
      </c>
      <c r="H667" s="54"/>
      <c r="I667" s="54"/>
      <c r="J667" s="140">
        <v>45894.0</v>
      </c>
      <c r="K667" s="141" t="str">
        <f t="shared" si="92"/>
        <v>8-2025</v>
      </c>
      <c r="L667" s="138">
        <v>1132.57</v>
      </c>
      <c r="M667" s="138">
        <v>1140.58</v>
      </c>
      <c r="N667" s="54">
        <f t="shared" si="94"/>
        <v>8.01</v>
      </c>
      <c r="O667" s="54">
        <f t="shared" si="95"/>
        <v>-1.99</v>
      </c>
      <c r="P667" s="174"/>
      <c r="Q667" s="174"/>
      <c r="R667" s="174"/>
    </row>
    <row r="668" ht="14.25" customHeight="1">
      <c r="B668" s="140">
        <v>45895.0</v>
      </c>
      <c r="C668" s="141" t="str">
        <f t="shared" si="1"/>
        <v>8-2025</v>
      </c>
      <c r="D668" s="138">
        <v>1140.58</v>
      </c>
      <c r="E668" s="138">
        <v>1150.14</v>
      </c>
      <c r="F668" s="54">
        <f t="shared" si="15"/>
        <v>9.56</v>
      </c>
      <c r="G668" s="54">
        <f t="shared" si="28"/>
        <v>-0.44</v>
      </c>
      <c r="H668" s="54"/>
      <c r="I668" s="54"/>
      <c r="J668" s="140">
        <v>45895.0</v>
      </c>
      <c r="K668" s="141" t="str">
        <f t="shared" si="92"/>
        <v>8-2025</v>
      </c>
      <c r="L668" s="138">
        <v>1150.14</v>
      </c>
      <c r="M668" s="138">
        <v>1161.14</v>
      </c>
      <c r="N668" s="54">
        <f t="shared" si="94"/>
        <v>11</v>
      </c>
      <c r="O668" s="54">
        <f t="shared" si="95"/>
        <v>1</v>
      </c>
      <c r="P668" s="174"/>
      <c r="Q668" s="174"/>
      <c r="R668" s="174"/>
    </row>
    <row r="669" ht="14.25" customHeight="1">
      <c r="B669" s="140">
        <v>45896.0</v>
      </c>
      <c r="C669" s="141" t="str">
        <f t="shared" si="1"/>
        <v>8-2025</v>
      </c>
      <c r="D669" s="138">
        <v>1161.14</v>
      </c>
      <c r="E669" s="138">
        <v>1171.51</v>
      </c>
      <c r="F669" s="54">
        <f t="shared" si="15"/>
        <v>10.37</v>
      </c>
      <c r="G669" s="54">
        <f t="shared" si="28"/>
        <v>0.37</v>
      </c>
      <c r="H669" s="54"/>
      <c r="I669" s="54"/>
      <c r="J669" s="140">
        <v>45896.0</v>
      </c>
      <c r="K669" s="141" t="str">
        <f t="shared" si="92"/>
        <v>8-2025</v>
      </c>
      <c r="L669" s="138">
        <v>1171.31</v>
      </c>
      <c r="M669" s="138">
        <v>1180.55</v>
      </c>
      <c r="N669" s="54">
        <f t="shared" si="94"/>
        <v>9.24</v>
      </c>
      <c r="O669" s="54">
        <f t="shared" si="95"/>
        <v>-0.76</v>
      </c>
      <c r="P669" s="174"/>
      <c r="Q669" s="174"/>
      <c r="R669" s="174"/>
    </row>
    <row r="670" ht="14.25" customHeight="1">
      <c r="B670" s="140">
        <v>45897.0</v>
      </c>
      <c r="C670" s="141" t="str">
        <f t="shared" si="1"/>
        <v>8-2025</v>
      </c>
      <c r="D670" s="138">
        <v>1180.55</v>
      </c>
      <c r="E670" s="138">
        <v>1190.27</v>
      </c>
      <c r="F670" s="54">
        <f t="shared" si="15"/>
        <v>9.72</v>
      </c>
      <c r="G670" s="54">
        <f t="shared" si="28"/>
        <v>-0.28</v>
      </c>
      <c r="H670" s="54"/>
      <c r="I670" s="54"/>
      <c r="J670" s="140">
        <v>45897.0</v>
      </c>
      <c r="K670" s="141" t="str">
        <f t="shared" si="92"/>
        <v>8-2025</v>
      </c>
      <c r="L670" s="138">
        <v>1190.27</v>
      </c>
      <c r="M670" s="138">
        <v>1197.27</v>
      </c>
      <c r="N670" s="54">
        <f t="shared" si="94"/>
        <v>7</v>
      </c>
      <c r="O670" s="54">
        <f t="shared" si="95"/>
        <v>-3</v>
      </c>
      <c r="P670" s="174"/>
      <c r="Q670" s="174"/>
      <c r="R670" s="174"/>
    </row>
    <row r="671" ht="14.25" customHeight="1">
      <c r="B671" s="140">
        <v>45898.0</v>
      </c>
      <c r="C671" s="141" t="str">
        <f t="shared" si="1"/>
        <v>8-2025</v>
      </c>
      <c r="D671" s="138">
        <v>1197.27</v>
      </c>
      <c r="E671" s="138">
        <v>1206.61</v>
      </c>
      <c r="F671" s="54">
        <f t="shared" si="15"/>
        <v>9.34</v>
      </c>
      <c r="G671" s="54">
        <f t="shared" si="28"/>
        <v>-0.66</v>
      </c>
      <c r="H671" s="54"/>
      <c r="I671" s="54"/>
      <c r="J671" s="140">
        <v>45898.0</v>
      </c>
      <c r="K671" s="141" t="str">
        <f t="shared" si="92"/>
        <v>8-2025</v>
      </c>
      <c r="L671" s="138">
        <v>1212.51</v>
      </c>
      <c r="M671" s="138">
        <v>1218.39</v>
      </c>
      <c r="N671" s="54">
        <f t="shared" si="94"/>
        <v>5.88</v>
      </c>
      <c r="O671" s="54">
        <f t="shared" si="95"/>
        <v>-4.12</v>
      </c>
      <c r="P671" s="174"/>
      <c r="Q671" s="174"/>
      <c r="R671" s="174"/>
    </row>
    <row r="672" ht="14.25" customHeight="1">
      <c r="B672" s="145">
        <v>45899.0</v>
      </c>
      <c r="C672" s="141" t="str">
        <f t="shared" si="1"/>
        <v>8-2025</v>
      </c>
      <c r="D672" s="138">
        <v>1206.61</v>
      </c>
      <c r="E672" s="138">
        <v>1212.51</v>
      </c>
      <c r="F672" s="54">
        <f t="shared" si="15"/>
        <v>5.9</v>
      </c>
      <c r="G672" s="54">
        <f t="shared" si="28"/>
        <v>-4.1</v>
      </c>
      <c r="H672" s="54"/>
      <c r="I672" s="54"/>
      <c r="J672" s="145">
        <v>45899.0</v>
      </c>
      <c r="K672" s="141" t="str">
        <f t="shared" si="92"/>
        <v>8-2025</v>
      </c>
      <c r="L672" s="54"/>
      <c r="M672" s="54"/>
      <c r="N672" s="54">
        <f t="shared" si="94"/>
        <v>0</v>
      </c>
      <c r="O672" s="54">
        <f t="shared" si="95"/>
        <v>-10</v>
      </c>
      <c r="P672" s="174"/>
      <c r="Q672" s="174"/>
      <c r="R672" s="174"/>
    </row>
    <row r="673" ht="14.25" customHeight="1">
      <c r="B673" s="145">
        <v>45900.0</v>
      </c>
      <c r="C673" s="141" t="str">
        <f t="shared" si="1"/>
        <v>8-2025</v>
      </c>
      <c r="D673" s="54"/>
      <c r="E673" s="54"/>
      <c r="F673" s="54">
        <f t="shared" si="15"/>
        <v>0</v>
      </c>
      <c r="G673" s="54">
        <f t="shared" si="28"/>
        <v>-10</v>
      </c>
      <c r="H673" s="54"/>
      <c r="I673" s="54"/>
      <c r="J673" s="145">
        <v>45900.0</v>
      </c>
      <c r="K673" s="141" t="str">
        <f t="shared" si="92"/>
        <v>8-2025</v>
      </c>
      <c r="L673" s="54"/>
      <c r="M673" s="54"/>
      <c r="N673" s="54">
        <f t="shared" si="94"/>
        <v>0</v>
      </c>
      <c r="O673" s="54">
        <f t="shared" si="95"/>
        <v>-10</v>
      </c>
      <c r="P673" s="174"/>
      <c r="Q673" s="174"/>
      <c r="R673" s="174"/>
    </row>
    <row r="674" ht="14.25" customHeight="1">
      <c r="B674" s="140">
        <v>45901.0</v>
      </c>
      <c r="C674" s="141" t="str">
        <f t="shared" si="1"/>
        <v>9-2025</v>
      </c>
      <c r="D674" s="138">
        <v>1218.36</v>
      </c>
      <c r="E674" s="138">
        <v>1227.56</v>
      </c>
      <c r="F674" s="54">
        <f t="shared" si="15"/>
        <v>9.2</v>
      </c>
      <c r="G674" s="54">
        <f t="shared" si="28"/>
        <v>-0.8</v>
      </c>
      <c r="H674" s="54"/>
      <c r="I674" s="54"/>
      <c r="J674" s="145">
        <v>45901.0</v>
      </c>
      <c r="K674" s="141" t="str">
        <f t="shared" si="92"/>
        <v>9-2025</v>
      </c>
      <c r="L674" s="54"/>
      <c r="M674" s="54"/>
      <c r="N674" s="54">
        <f t="shared" si="94"/>
        <v>0</v>
      </c>
      <c r="O674" s="54">
        <f t="shared" si="95"/>
        <v>-10</v>
      </c>
      <c r="P674" s="174"/>
      <c r="Q674" s="174"/>
      <c r="R674" s="174"/>
    </row>
    <row r="675" ht="14.25" customHeight="1">
      <c r="B675" s="140">
        <v>45902.0</v>
      </c>
      <c r="C675" s="141" t="str">
        <f t="shared" si="1"/>
        <v>9-2025</v>
      </c>
      <c r="D675" s="138">
        <v>1237.02</v>
      </c>
      <c r="E675" s="138">
        <v>1245.39</v>
      </c>
      <c r="F675" s="54">
        <f t="shared" si="15"/>
        <v>8.37</v>
      </c>
      <c r="G675" s="54">
        <f t="shared" si="28"/>
        <v>-1.63</v>
      </c>
      <c r="H675" s="54"/>
      <c r="I675" s="54"/>
      <c r="J675" s="145">
        <v>45902.0</v>
      </c>
      <c r="K675" s="141" t="str">
        <f t="shared" si="92"/>
        <v>9-2025</v>
      </c>
      <c r="L675" s="54"/>
      <c r="M675" s="54"/>
      <c r="N675" s="54">
        <f t="shared" si="94"/>
        <v>0</v>
      </c>
      <c r="O675" s="54">
        <f t="shared" si="95"/>
        <v>-10</v>
      </c>
      <c r="P675" s="174"/>
      <c r="Q675" s="174"/>
      <c r="R675" s="174"/>
    </row>
    <row r="676" ht="14.25" customHeight="1">
      <c r="B676" s="140">
        <v>45903.0</v>
      </c>
      <c r="C676" s="141" t="str">
        <f t="shared" si="1"/>
        <v>9-2025</v>
      </c>
      <c r="D676" s="138">
        <v>1255.51</v>
      </c>
      <c r="E676" s="138">
        <v>1265.14</v>
      </c>
      <c r="F676" s="54">
        <f t="shared" si="15"/>
        <v>9.63</v>
      </c>
      <c r="G676" s="54">
        <f t="shared" si="28"/>
        <v>-0.37</v>
      </c>
      <c r="H676" s="54"/>
      <c r="I676" s="54"/>
      <c r="J676" s="145">
        <v>45903.0</v>
      </c>
      <c r="K676" s="141" t="str">
        <f t="shared" si="92"/>
        <v>9-2025</v>
      </c>
      <c r="L676" s="54"/>
      <c r="M676" s="54"/>
      <c r="N676" s="54">
        <f t="shared" si="94"/>
        <v>0</v>
      </c>
      <c r="O676" s="54">
        <f t="shared" si="95"/>
        <v>-10</v>
      </c>
      <c r="P676" s="174"/>
      <c r="Q676" s="174"/>
      <c r="R676" s="174"/>
    </row>
    <row r="677" ht="14.25" customHeight="1">
      <c r="B677" s="140">
        <v>45904.0</v>
      </c>
      <c r="C677" s="141" t="str">
        <f t="shared" si="1"/>
        <v>9-2025</v>
      </c>
      <c r="D677" s="54">
        <f t="shared" ref="D677:D679" si="97">E676</f>
        <v>1265.14</v>
      </c>
      <c r="E677" s="138">
        <v>1272.18</v>
      </c>
      <c r="F677" s="54">
        <f t="shared" si="15"/>
        <v>7.04</v>
      </c>
      <c r="G677" s="54">
        <f t="shared" si="28"/>
        <v>-2.96</v>
      </c>
      <c r="H677" s="54"/>
      <c r="I677" s="54"/>
      <c r="J677" s="145">
        <v>45904.0</v>
      </c>
      <c r="K677" s="141" t="str">
        <f t="shared" si="92"/>
        <v>9-2025</v>
      </c>
      <c r="L677" s="54"/>
      <c r="M677" s="54"/>
      <c r="N677" s="54">
        <f t="shared" si="94"/>
        <v>0</v>
      </c>
      <c r="O677" s="54">
        <f t="shared" si="95"/>
        <v>-10</v>
      </c>
      <c r="P677" s="174"/>
      <c r="Q677" s="174"/>
      <c r="R677" s="174"/>
    </row>
    <row r="678" ht="14.25" customHeight="1">
      <c r="B678" s="140">
        <v>45905.0</v>
      </c>
      <c r="C678" s="141" t="str">
        <f t="shared" si="1"/>
        <v>9-2025</v>
      </c>
      <c r="D678" s="54">
        <f t="shared" si="97"/>
        <v>1272.18</v>
      </c>
      <c r="E678" s="138">
        <v>1278.85</v>
      </c>
      <c r="F678" s="54">
        <f t="shared" si="15"/>
        <v>6.67</v>
      </c>
      <c r="G678" s="54">
        <f t="shared" si="28"/>
        <v>-3.33</v>
      </c>
      <c r="H678" s="54"/>
      <c r="I678" s="54"/>
      <c r="J678" s="145">
        <v>45905.0</v>
      </c>
      <c r="K678" s="141" t="str">
        <f t="shared" si="92"/>
        <v>9-2025</v>
      </c>
      <c r="L678" s="54"/>
      <c r="M678" s="54"/>
      <c r="N678" s="54">
        <f t="shared" si="94"/>
        <v>0</v>
      </c>
      <c r="O678" s="54">
        <f t="shared" si="95"/>
        <v>-10</v>
      </c>
      <c r="P678" s="174"/>
      <c r="Q678" s="174"/>
      <c r="R678" s="174"/>
    </row>
    <row r="679" ht="14.25" customHeight="1">
      <c r="B679" s="145">
        <v>45906.0</v>
      </c>
      <c r="C679" s="141" t="str">
        <f t="shared" si="1"/>
        <v>9-2025</v>
      </c>
      <c r="D679" s="54">
        <f t="shared" si="97"/>
        <v>1278.85</v>
      </c>
      <c r="E679" s="138">
        <v>1284.98</v>
      </c>
      <c r="F679" s="54">
        <f t="shared" si="15"/>
        <v>6.13</v>
      </c>
      <c r="G679" s="54">
        <f t="shared" si="28"/>
        <v>-3.87</v>
      </c>
      <c r="H679" s="54"/>
      <c r="I679" s="54"/>
      <c r="J679" s="145">
        <v>45906.0</v>
      </c>
      <c r="K679" s="141" t="str">
        <f t="shared" si="92"/>
        <v>9-2025</v>
      </c>
      <c r="L679" s="54"/>
      <c r="M679" s="54"/>
      <c r="N679" s="54">
        <f t="shared" si="94"/>
        <v>0</v>
      </c>
      <c r="O679" s="54">
        <f t="shared" si="95"/>
        <v>-10</v>
      </c>
      <c r="P679" s="174"/>
      <c r="Q679" s="174"/>
      <c r="R679" s="174"/>
    </row>
    <row r="680" ht="14.25" customHeight="1">
      <c r="B680" s="145">
        <v>45907.0</v>
      </c>
      <c r="C680" s="141" t="str">
        <f t="shared" si="1"/>
        <v>9-2025</v>
      </c>
      <c r="D680" s="54"/>
      <c r="E680" s="54"/>
      <c r="F680" s="54">
        <f t="shared" si="15"/>
        <v>0</v>
      </c>
      <c r="G680" s="54">
        <f t="shared" si="28"/>
        <v>-10</v>
      </c>
      <c r="H680" s="54"/>
      <c r="I680" s="54"/>
      <c r="J680" s="145">
        <v>45907.0</v>
      </c>
      <c r="K680" s="141" t="str">
        <f t="shared" si="92"/>
        <v>9-2025</v>
      </c>
      <c r="L680" s="54"/>
      <c r="M680" s="54"/>
      <c r="N680" s="54">
        <f t="shared" si="94"/>
        <v>0</v>
      </c>
      <c r="O680" s="54">
        <f t="shared" si="95"/>
        <v>-10</v>
      </c>
      <c r="P680" s="174"/>
      <c r="Q680" s="174"/>
      <c r="R680" s="174"/>
    </row>
    <row r="681" ht="14.25" customHeight="1">
      <c r="B681" s="140">
        <v>45908.0</v>
      </c>
      <c r="C681" s="141" t="str">
        <f t="shared" si="1"/>
        <v>9-2025</v>
      </c>
      <c r="D681" s="138">
        <v>1284.98</v>
      </c>
      <c r="E681" s="138">
        <v>1296.01</v>
      </c>
      <c r="F681" s="54">
        <f t="shared" si="15"/>
        <v>11.03</v>
      </c>
      <c r="G681" s="54">
        <f t="shared" si="28"/>
        <v>1.03</v>
      </c>
      <c r="H681" s="54"/>
      <c r="I681" s="54"/>
      <c r="J681" s="145">
        <v>45908.0</v>
      </c>
      <c r="K681" s="141" t="str">
        <f t="shared" si="92"/>
        <v>9-2025</v>
      </c>
      <c r="L681" s="54"/>
      <c r="M681" s="54"/>
      <c r="N681" s="54">
        <f t="shared" si="94"/>
        <v>0</v>
      </c>
      <c r="O681" s="54">
        <f t="shared" si="95"/>
        <v>-10</v>
      </c>
      <c r="P681" s="174"/>
      <c r="Q681" s="174"/>
      <c r="R681" s="174"/>
    </row>
    <row r="682" ht="14.25" customHeight="1">
      <c r="B682" s="140">
        <v>45909.0</v>
      </c>
      <c r="C682" s="141" t="str">
        <f t="shared" si="1"/>
        <v>9-2025</v>
      </c>
      <c r="D682" s="54">
        <f t="shared" ref="D682:D686" si="98">E681</f>
        <v>1296.01</v>
      </c>
      <c r="E682" s="138">
        <v>1300.01</v>
      </c>
      <c r="F682" s="54">
        <f t="shared" si="15"/>
        <v>4</v>
      </c>
      <c r="G682" s="54">
        <f t="shared" si="28"/>
        <v>-6</v>
      </c>
      <c r="H682" s="54"/>
      <c r="I682" s="54"/>
      <c r="J682" s="145">
        <v>45909.0</v>
      </c>
      <c r="K682" s="141" t="str">
        <f t="shared" si="92"/>
        <v>9-2025</v>
      </c>
      <c r="L682" s="54"/>
      <c r="M682" s="54"/>
      <c r="N682" s="54">
        <f t="shared" si="94"/>
        <v>0</v>
      </c>
      <c r="O682" s="54">
        <f t="shared" si="95"/>
        <v>-10</v>
      </c>
      <c r="P682" s="174"/>
      <c r="Q682" s="174"/>
      <c r="R682" s="174"/>
    </row>
    <row r="683" ht="14.25" customHeight="1">
      <c r="B683" s="140">
        <v>45910.0</v>
      </c>
      <c r="C683" s="141" t="str">
        <f t="shared" si="1"/>
        <v>9-2025</v>
      </c>
      <c r="D683" s="54">
        <f t="shared" si="98"/>
        <v>1300.01</v>
      </c>
      <c r="E683" s="138">
        <v>1311.6</v>
      </c>
      <c r="F683" s="54">
        <f t="shared" si="15"/>
        <v>11.59</v>
      </c>
      <c r="G683" s="54">
        <f t="shared" si="28"/>
        <v>1.59</v>
      </c>
      <c r="H683" s="54"/>
      <c r="I683" s="54"/>
      <c r="J683" s="145">
        <v>45910.0</v>
      </c>
      <c r="K683" s="141" t="str">
        <f t="shared" si="92"/>
        <v>9-2025</v>
      </c>
      <c r="L683" s="54"/>
      <c r="M683" s="54"/>
      <c r="N683" s="54">
        <f t="shared" si="94"/>
        <v>0</v>
      </c>
      <c r="O683" s="54">
        <f t="shared" si="95"/>
        <v>-10</v>
      </c>
      <c r="P683" s="174"/>
      <c r="Q683" s="174"/>
      <c r="R683" s="174"/>
    </row>
    <row r="684" ht="14.25" customHeight="1">
      <c r="B684" s="140">
        <v>45911.0</v>
      </c>
      <c r="C684" s="141" t="str">
        <f t="shared" si="1"/>
        <v>9-2025</v>
      </c>
      <c r="D684" s="54">
        <f t="shared" si="98"/>
        <v>1311.6</v>
      </c>
      <c r="E684" s="138">
        <v>1318.6</v>
      </c>
      <c r="F684" s="54">
        <f t="shared" si="15"/>
        <v>7</v>
      </c>
      <c r="G684" s="54">
        <f t="shared" si="28"/>
        <v>-3</v>
      </c>
      <c r="H684" s="54"/>
      <c r="I684" s="54"/>
      <c r="J684" s="145">
        <v>45911.0</v>
      </c>
      <c r="K684" s="141" t="str">
        <f t="shared" si="92"/>
        <v>9-2025</v>
      </c>
      <c r="L684" s="54"/>
      <c r="M684" s="54"/>
      <c r="N684" s="54">
        <f t="shared" si="94"/>
        <v>0</v>
      </c>
      <c r="O684" s="54">
        <f t="shared" si="95"/>
        <v>-10</v>
      </c>
      <c r="P684" s="174"/>
      <c r="Q684" s="174"/>
      <c r="R684" s="174"/>
    </row>
    <row r="685" ht="14.25" customHeight="1">
      <c r="B685" s="140">
        <v>45912.0</v>
      </c>
      <c r="C685" s="141" t="str">
        <f t="shared" si="1"/>
        <v>9-2025</v>
      </c>
      <c r="D685" s="54">
        <f t="shared" si="98"/>
        <v>1318.6</v>
      </c>
      <c r="E685" s="138">
        <v>1322.01</v>
      </c>
      <c r="F685" s="54">
        <f t="shared" si="15"/>
        <v>3.41</v>
      </c>
      <c r="G685" s="54">
        <f t="shared" si="28"/>
        <v>-6.59</v>
      </c>
      <c r="H685" s="54"/>
      <c r="I685" s="54"/>
      <c r="J685" s="145">
        <v>45912.0</v>
      </c>
      <c r="K685" s="141" t="str">
        <f t="shared" si="92"/>
        <v>9-2025</v>
      </c>
      <c r="L685" s="54"/>
      <c r="M685" s="54"/>
      <c r="N685" s="54">
        <f t="shared" si="94"/>
        <v>0</v>
      </c>
      <c r="O685" s="54">
        <f t="shared" si="95"/>
        <v>-10</v>
      </c>
      <c r="P685" s="174"/>
      <c r="Q685" s="174"/>
      <c r="R685" s="174"/>
    </row>
    <row r="686" ht="14.25" customHeight="1">
      <c r="B686" s="145">
        <v>45913.0</v>
      </c>
      <c r="C686" s="141" t="str">
        <f t="shared" si="1"/>
        <v>9-2025</v>
      </c>
      <c r="D686" s="54">
        <f t="shared" si="98"/>
        <v>1322.01</v>
      </c>
      <c r="E686" s="138">
        <v>1333.04</v>
      </c>
      <c r="F686" s="54">
        <f t="shared" si="15"/>
        <v>11.03</v>
      </c>
      <c r="G686" s="54">
        <f t="shared" si="28"/>
        <v>1.03</v>
      </c>
      <c r="H686" s="54"/>
      <c r="I686" s="54"/>
      <c r="J686" s="54"/>
      <c r="K686" s="54"/>
      <c r="L686" s="54"/>
      <c r="M686" s="54"/>
      <c r="N686" s="54"/>
      <c r="O686" s="174"/>
      <c r="P686" s="174"/>
      <c r="Q686" s="174"/>
      <c r="R686" s="174"/>
    </row>
    <row r="687" ht="14.25" customHeight="1">
      <c r="B687" s="145">
        <v>45914.0</v>
      </c>
      <c r="C687" s="141" t="str">
        <f t="shared" si="1"/>
        <v>9-2025</v>
      </c>
      <c r="D687" s="54"/>
      <c r="E687" s="54"/>
      <c r="F687" s="54">
        <f t="shared" si="15"/>
        <v>0</v>
      </c>
      <c r="G687" s="54">
        <f t="shared" si="28"/>
        <v>-10</v>
      </c>
      <c r="H687" s="54"/>
      <c r="I687" s="54"/>
      <c r="J687" s="54"/>
      <c r="K687" s="54"/>
      <c r="L687" s="54"/>
      <c r="M687" s="54"/>
      <c r="N687" s="54"/>
      <c r="O687" s="174"/>
      <c r="P687" s="174"/>
      <c r="Q687" s="174"/>
      <c r="R687" s="174"/>
    </row>
    <row r="688" ht="14.25" customHeight="1">
      <c r="B688" s="140">
        <v>45915.0</v>
      </c>
      <c r="C688" s="141" t="str">
        <f t="shared" si="1"/>
        <v>9-2025</v>
      </c>
      <c r="D688" s="138">
        <v>1333.04</v>
      </c>
      <c r="E688" s="138">
        <v>1346.89</v>
      </c>
      <c r="F688" s="54">
        <f t="shared" si="15"/>
        <v>13.85</v>
      </c>
      <c r="G688" s="54">
        <f t="shared" si="28"/>
        <v>3.85</v>
      </c>
      <c r="H688" s="54"/>
      <c r="I688" s="54"/>
      <c r="J688" s="54"/>
      <c r="K688" s="54"/>
      <c r="L688" s="54"/>
      <c r="M688" s="54"/>
      <c r="N688" s="54"/>
      <c r="O688" s="174"/>
      <c r="P688" s="174"/>
      <c r="Q688" s="174"/>
      <c r="R688" s="174"/>
    </row>
    <row r="689" ht="14.25" customHeight="1">
      <c r="B689" s="140">
        <v>45916.0</v>
      </c>
      <c r="C689" s="141" t="str">
        <f t="shared" si="1"/>
        <v>9-2025</v>
      </c>
      <c r="D689" s="54">
        <f t="shared" ref="D689:D692" si="99">E688</f>
        <v>1346.89</v>
      </c>
      <c r="E689" s="138">
        <v>1354.98</v>
      </c>
      <c r="F689" s="54">
        <f t="shared" si="15"/>
        <v>8.09</v>
      </c>
      <c r="G689" s="54">
        <f t="shared" si="28"/>
        <v>-1.91</v>
      </c>
      <c r="H689" s="54"/>
      <c r="I689" s="54"/>
      <c r="J689" s="54"/>
      <c r="K689" s="54"/>
      <c r="L689" s="54"/>
      <c r="M689" s="54"/>
      <c r="N689" s="54"/>
      <c r="O689" s="174"/>
      <c r="P689" s="174"/>
      <c r="Q689" s="174"/>
      <c r="R689" s="174"/>
    </row>
    <row r="690" ht="14.25" customHeight="1">
      <c r="B690" s="140">
        <v>45917.0</v>
      </c>
      <c r="C690" s="141" t="str">
        <f t="shared" si="1"/>
        <v>9-2025</v>
      </c>
      <c r="D690" s="54">
        <f t="shared" si="99"/>
        <v>1354.98</v>
      </c>
      <c r="E690" s="138">
        <v>1363.9</v>
      </c>
      <c r="F690" s="54">
        <f t="shared" si="15"/>
        <v>8.92</v>
      </c>
      <c r="G690" s="54">
        <f t="shared" si="28"/>
        <v>-1.08</v>
      </c>
      <c r="H690" s="54"/>
      <c r="I690" s="54"/>
      <c r="J690" s="54"/>
      <c r="K690" s="54"/>
      <c r="L690" s="54"/>
      <c r="M690" s="54"/>
      <c r="N690" s="54"/>
      <c r="O690" s="174"/>
      <c r="P690" s="174"/>
      <c r="Q690" s="174"/>
      <c r="R690" s="174"/>
    </row>
    <row r="691" ht="14.25" customHeight="1">
      <c r="B691" s="140">
        <v>45918.0</v>
      </c>
      <c r="C691" s="141" t="str">
        <f t="shared" si="1"/>
        <v>9-2025</v>
      </c>
      <c r="D691" s="54">
        <f t="shared" si="99"/>
        <v>1363.9</v>
      </c>
      <c r="E691" s="138">
        <v>1372.65</v>
      </c>
      <c r="F691" s="54">
        <f t="shared" si="15"/>
        <v>8.75</v>
      </c>
      <c r="G691" s="54">
        <f t="shared" si="28"/>
        <v>-1.25</v>
      </c>
      <c r="H691" s="54"/>
      <c r="I691" s="54"/>
      <c r="J691" s="54"/>
      <c r="K691" s="54"/>
      <c r="L691" s="54"/>
      <c r="M691" s="54"/>
      <c r="N691" s="54"/>
      <c r="O691" s="174"/>
      <c r="P691" s="174"/>
      <c r="Q691" s="174"/>
      <c r="R691" s="174"/>
    </row>
    <row r="692" ht="14.25" customHeight="1">
      <c r="B692" s="140">
        <v>45919.0</v>
      </c>
      <c r="C692" s="141" t="str">
        <f t="shared" si="1"/>
        <v>9-2025</v>
      </c>
      <c r="D692" s="54">
        <f t="shared" si="99"/>
        <v>1372.65</v>
      </c>
      <c r="E692" s="138">
        <v>1384.52</v>
      </c>
      <c r="F692" s="54">
        <f t="shared" si="15"/>
        <v>11.87</v>
      </c>
      <c r="G692" s="54">
        <f t="shared" si="28"/>
        <v>1.87</v>
      </c>
      <c r="H692" s="54"/>
      <c r="I692" s="54"/>
      <c r="J692" s="54"/>
      <c r="K692" s="54"/>
      <c r="L692" s="54"/>
      <c r="M692" s="54"/>
      <c r="N692" s="54"/>
      <c r="O692" s="174"/>
      <c r="P692" s="174"/>
      <c r="Q692" s="174"/>
      <c r="R692" s="174"/>
    </row>
    <row r="693" ht="14.25" customHeight="1">
      <c r="B693" s="145">
        <v>45920.0</v>
      </c>
      <c r="C693" s="141" t="str">
        <f t="shared" si="1"/>
        <v>9-2025</v>
      </c>
      <c r="D693" s="54"/>
      <c r="E693" s="54"/>
      <c r="F693" s="54">
        <f t="shared" si="15"/>
        <v>0</v>
      </c>
      <c r="G693" s="54">
        <f t="shared" si="28"/>
        <v>-10</v>
      </c>
      <c r="H693" s="54"/>
      <c r="I693" s="54"/>
      <c r="J693" s="54"/>
      <c r="K693" s="54"/>
      <c r="L693" s="54"/>
      <c r="M693" s="54"/>
      <c r="N693" s="54"/>
      <c r="O693" s="174"/>
      <c r="P693" s="174"/>
      <c r="Q693" s="174"/>
      <c r="R693" s="174"/>
    </row>
    <row r="694" ht="14.25" customHeight="1">
      <c r="B694" s="145">
        <v>45921.0</v>
      </c>
      <c r="C694" s="141" t="str">
        <f t="shared" si="1"/>
        <v>9-2025</v>
      </c>
      <c r="D694" s="138">
        <v>1384.52</v>
      </c>
      <c r="E694" s="138">
        <v>1394.4</v>
      </c>
      <c r="F694" s="54">
        <f t="shared" si="15"/>
        <v>9.88</v>
      </c>
      <c r="G694" s="54">
        <f t="shared" si="28"/>
        <v>-0.12</v>
      </c>
      <c r="H694" s="54"/>
      <c r="I694" s="54"/>
      <c r="J694" s="54"/>
      <c r="K694" s="54"/>
      <c r="L694" s="54"/>
      <c r="M694" s="54"/>
      <c r="N694" s="54"/>
      <c r="O694" s="174"/>
      <c r="P694" s="174"/>
      <c r="Q694" s="174"/>
      <c r="R694" s="174"/>
    </row>
    <row r="695" ht="14.25" customHeight="1">
      <c r="B695" s="140">
        <v>45922.0</v>
      </c>
      <c r="C695" s="141" t="str">
        <f t="shared" si="1"/>
        <v>9-2025</v>
      </c>
      <c r="D695" s="54"/>
      <c r="E695" s="138"/>
      <c r="F695" s="54">
        <f t="shared" si="15"/>
        <v>0</v>
      </c>
      <c r="G695" s="54">
        <f t="shared" ref="G695:G704" si="100">F694-10</f>
        <v>-0.12</v>
      </c>
      <c r="H695" s="54"/>
      <c r="I695" s="54"/>
      <c r="J695" s="54"/>
      <c r="K695" s="54"/>
      <c r="L695" s="54"/>
      <c r="M695" s="54"/>
      <c r="N695" s="54"/>
      <c r="O695" s="174"/>
      <c r="P695" s="174"/>
      <c r="Q695" s="174"/>
      <c r="R695" s="174"/>
    </row>
    <row r="696" ht="14.25" customHeight="1">
      <c r="B696" s="140">
        <v>45923.0</v>
      </c>
      <c r="C696" s="141" t="str">
        <f t="shared" si="1"/>
        <v>9-2025</v>
      </c>
      <c r="D696" s="138">
        <v>1394.4</v>
      </c>
      <c r="E696" s="138">
        <v>1403.27</v>
      </c>
      <c r="F696" s="54">
        <f t="shared" si="15"/>
        <v>8.87</v>
      </c>
      <c r="G696" s="54">
        <f t="shared" si="100"/>
        <v>-10</v>
      </c>
      <c r="H696" s="54"/>
      <c r="I696" s="54"/>
      <c r="J696" s="54"/>
      <c r="K696" s="54"/>
      <c r="L696" s="54"/>
      <c r="M696" s="54"/>
      <c r="N696" s="54"/>
      <c r="O696" s="174"/>
      <c r="P696" s="174"/>
      <c r="Q696" s="174"/>
      <c r="R696" s="174"/>
    </row>
    <row r="697" ht="14.25" customHeight="1">
      <c r="B697" s="140">
        <v>45924.0</v>
      </c>
      <c r="C697" s="141" t="str">
        <f t="shared" si="1"/>
        <v>9-2025</v>
      </c>
      <c r="D697" s="54"/>
      <c r="E697" s="54"/>
      <c r="F697" s="54">
        <f t="shared" si="15"/>
        <v>0</v>
      </c>
      <c r="G697" s="54">
        <f t="shared" si="100"/>
        <v>-1.13</v>
      </c>
      <c r="H697" s="54"/>
      <c r="I697" s="54"/>
      <c r="J697" s="54"/>
      <c r="K697" s="54"/>
      <c r="L697" s="54"/>
      <c r="M697" s="54"/>
      <c r="N697" s="54"/>
      <c r="O697" s="174"/>
      <c r="P697" s="174"/>
      <c r="Q697" s="174"/>
      <c r="R697" s="174"/>
    </row>
    <row r="698" ht="14.25" customHeight="1">
      <c r="B698" s="140">
        <v>45925.0</v>
      </c>
      <c r="C698" s="141" t="str">
        <f t="shared" si="1"/>
        <v>9-2025</v>
      </c>
      <c r="D698" s="54" t="str">
        <f>E697</f>
        <v/>
      </c>
      <c r="E698" s="54"/>
      <c r="F698" s="54">
        <f t="shared" si="15"/>
        <v>0</v>
      </c>
      <c r="G698" s="54">
        <f t="shared" si="100"/>
        <v>-10</v>
      </c>
      <c r="H698" s="54"/>
      <c r="I698" s="54"/>
      <c r="J698" s="54"/>
      <c r="K698" s="54"/>
      <c r="L698" s="54"/>
      <c r="M698" s="54"/>
      <c r="N698" s="54"/>
      <c r="O698" s="174"/>
      <c r="P698" s="174"/>
      <c r="Q698" s="174"/>
      <c r="R698" s="174"/>
    </row>
    <row r="699" ht="14.25" customHeight="1">
      <c r="B699" s="140">
        <v>45926.0</v>
      </c>
      <c r="C699" s="141" t="str">
        <f t="shared" si="1"/>
        <v>9-2025</v>
      </c>
      <c r="D699" s="138">
        <v>1403.27</v>
      </c>
      <c r="E699" s="138">
        <v>1413.51</v>
      </c>
      <c r="F699" s="54">
        <f t="shared" si="15"/>
        <v>10.24</v>
      </c>
      <c r="G699" s="54">
        <f t="shared" si="100"/>
        <v>-10</v>
      </c>
      <c r="H699" s="54"/>
      <c r="I699" s="54"/>
      <c r="J699" s="54"/>
      <c r="K699" s="54"/>
      <c r="L699" s="54"/>
      <c r="M699" s="54"/>
      <c r="N699" s="54"/>
      <c r="O699" s="174"/>
      <c r="P699" s="174"/>
      <c r="Q699" s="174"/>
      <c r="R699" s="174"/>
    </row>
    <row r="700" ht="14.25" customHeight="1">
      <c r="B700" s="145">
        <v>45927.0</v>
      </c>
      <c r="C700" s="141" t="str">
        <f t="shared" si="1"/>
        <v>9-2025</v>
      </c>
      <c r="D700" s="54"/>
      <c r="E700" s="138"/>
      <c r="F700" s="54">
        <f t="shared" si="15"/>
        <v>0</v>
      </c>
      <c r="G700" s="54">
        <f t="shared" si="100"/>
        <v>0.24</v>
      </c>
      <c r="H700" s="54"/>
      <c r="I700" s="54"/>
      <c r="J700" s="54"/>
      <c r="K700" s="54"/>
      <c r="L700" s="54"/>
      <c r="M700" s="54"/>
      <c r="N700" s="54"/>
      <c r="O700" s="174"/>
      <c r="P700" s="174"/>
      <c r="Q700" s="174"/>
      <c r="R700" s="174"/>
    </row>
    <row r="701" ht="14.25" customHeight="1">
      <c r="B701" s="145">
        <v>45928.0</v>
      </c>
      <c r="C701" s="141" t="str">
        <f t="shared" si="1"/>
        <v>9-2025</v>
      </c>
      <c r="D701" s="54"/>
      <c r="E701" s="54"/>
      <c r="F701" s="54">
        <f t="shared" si="15"/>
        <v>0</v>
      </c>
      <c r="G701" s="54">
        <f t="shared" si="100"/>
        <v>-10</v>
      </c>
      <c r="H701" s="54"/>
      <c r="I701" s="54"/>
      <c r="J701" s="54"/>
      <c r="K701" s="54"/>
      <c r="L701" s="54"/>
      <c r="M701" s="54"/>
      <c r="N701" s="54"/>
      <c r="O701" s="174"/>
      <c r="P701" s="174"/>
      <c r="Q701" s="174"/>
      <c r="R701" s="174"/>
    </row>
    <row r="702" ht="14.25" customHeight="1">
      <c r="B702" s="140">
        <v>45929.0</v>
      </c>
      <c r="C702" s="141" t="str">
        <f t="shared" si="1"/>
        <v>9-2025</v>
      </c>
      <c r="D702" s="138">
        <v>1413.51</v>
      </c>
      <c r="E702" s="138">
        <v>1423.69</v>
      </c>
      <c r="F702" s="54">
        <f t="shared" si="15"/>
        <v>10.18</v>
      </c>
      <c r="G702" s="54">
        <f t="shared" si="100"/>
        <v>-10</v>
      </c>
      <c r="H702" s="54"/>
      <c r="I702" s="54"/>
      <c r="J702" s="54"/>
      <c r="K702" s="54"/>
      <c r="L702" s="54"/>
      <c r="M702" s="54"/>
      <c r="N702" s="54"/>
      <c r="O702" s="174"/>
      <c r="P702" s="174"/>
      <c r="Q702" s="174"/>
      <c r="R702" s="174"/>
    </row>
    <row r="703" ht="14.25" customHeight="1">
      <c r="B703" s="140">
        <v>45930.0</v>
      </c>
      <c r="C703" s="141" t="str">
        <f t="shared" si="1"/>
        <v>9-2025</v>
      </c>
      <c r="D703" s="54">
        <f t="shared" ref="D703:D706" si="101">E702</f>
        <v>1423.69</v>
      </c>
      <c r="E703" s="138">
        <v>1433.98</v>
      </c>
      <c r="F703" s="54">
        <f t="shared" si="15"/>
        <v>10.29</v>
      </c>
      <c r="G703" s="54">
        <f t="shared" si="100"/>
        <v>0.18</v>
      </c>
      <c r="H703" s="138" t="s">
        <v>150</v>
      </c>
      <c r="I703" s="54"/>
      <c r="J703" s="54"/>
      <c r="K703" s="54"/>
      <c r="L703" s="54"/>
      <c r="M703" s="54"/>
      <c r="N703" s="54"/>
      <c r="O703" s="174"/>
      <c r="P703" s="174"/>
      <c r="Q703" s="174"/>
      <c r="R703" s="174"/>
    </row>
    <row r="704" ht="14.25" customHeight="1">
      <c r="B704" s="140">
        <v>45931.0</v>
      </c>
      <c r="C704" s="141" t="str">
        <f t="shared" si="1"/>
        <v>10-2025</v>
      </c>
      <c r="D704" s="54">
        <f t="shared" si="101"/>
        <v>1433.98</v>
      </c>
      <c r="E704" s="138">
        <v>1443.1</v>
      </c>
      <c r="F704" s="54">
        <f t="shared" si="15"/>
        <v>9.12</v>
      </c>
      <c r="G704" s="54">
        <f t="shared" si="100"/>
        <v>0.29</v>
      </c>
      <c r="H704" s="54"/>
      <c r="I704" s="54"/>
      <c r="J704" s="54"/>
      <c r="K704" s="54"/>
      <c r="L704" s="54"/>
      <c r="M704" s="54"/>
      <c r="N704" s="54"/>
      <c r="O704" s="174"/>
      <c r="P704" s="174"/>
      <c r="Q704" s="174"/>
      <c r="R704" s="174"/>
    </row>
    <row r="705" ht="14.25" customHeight="1">
      <c r="B705" s="140">
        <v>45932.0</v>
      </c>
      <c r="C705" s="141" t="str">
        <f t="shared" si="1"/>
        <v>10-2025</v>
      </c>
      <c r="D705" s="54">
        <f t="shared" si="101"/>
        <v>1443.1</v>
      </c>
      <c r="E705" s="138">
        <v>1453.98</v>
      </c>
      <c r="F705" s="54">
        <f t="shared" si="15"/>
        <v>10.88</v>
      </c>
      <c r="G705" s="54">
        <f t="shared" ref="G705:G867" si="102">F705-10</f>
        <v>0.88</v>
      </c>
      <c r="H705" s="54"/>
      <c r="I705" s="54"/>
      <c r="J705" s="54"/>
      <c r="K705" s="54"/>
      <c r="L705" s="54"/>
      <c r="M705" s="54"/>
      <c r="N705" s="54"/>
      <c r="O705" s="174"/>
      <c r="P705" s="174"/>
      <c r="Q705" s="174"/>
      <c r="R705" s="174"/>
    </row>
    <row r="706" ht="14.25" customHeight="1">
      <c r="B706" s="140">
        <v>45933.0</v>
      </c>
      <c r="C706" s="141" t="str">
        <f t="shared" si="1"/>
        <v>10-2025</v>
      </c>
      <c r="D706" s="54">
        <f t="shared" si="101"/>
        <v>1453.98</v>
      </c>
      <c r="E706" s="138">
        <v>1463.68</v>
      </c>
      <c r="F706" s="54">
        <f t="shared" si="15"/>
        <v>9.7</v>
      </c>
      <c r="G706" s="54">
        <f t="shared" si="102"/>
        <v>-0.3</v>
      </c>
      <c r="H706" s="54"/>
      <c r="I706" s="54"/>
      <c r="J706" s="54"/>
      <c r="K706" s="54"/>
      <c r="L706" s="54"/>
      <c r="M706" s="54"/>
      <c r="N706" s="54"/>
      <c r="O706" s="174"/>
      <c r="P706" s="174"/>
      <c r="Q706" s="174"/>
      <c r="R706" s="174"/>
    </row>
    <row r="707" ht="14.25" customHeight="1">
      <c r="B707" s="140">
        <v>45934.0</v>
      </c>
      <c r="C707" s="141" t="str">
        <f t="shared" si="1"/>
        <v>10-2025</v>
      </c>
      <c r="D707" s="54"/>
      <c r="E707" s="54"/>
      <c r="F707" s="54">
        <f t="shared" si="15"/>
        <v>0</v>
      </c>
      <c r="G707" s="54">
        <f t="shared" si="102"/>
        <v>-10</v>
      </c>
      <c r="H707" s="54"/>
      <c r="I707" s="54"/>
      <c r="J707" s="54"/>
      <c r="K707" s="54"/>
      <c r="L707" s="54"/>
      <c r="M707" s="54"/>
      <c r="N707" s="54"/>
      <c r="O707" s="174"/>
      <c r="P707" s="174"/>
      <c r="Q707" s="174"/>
      <c r="R707" s="174"/>
    </row>
    <row r="708" ht="14.25" customHeight="1">
      <c r="B708" s="140">
        <v>45935.0</v>
      </c>
      <c r="C708" s="141" t="str">
        <f t="shared" si="1"/>
        <v>10-2025</v>
      </c>
      <c r="D708" s="54" t="str">
        <f>E707</f>
        <v/>
      </c>
      <c r="E708" s="54"/>
      <c r="F708" s="54">
        <f t="shared" si="15"/>
        <v>0</v>
      </c>
      <c r="G708" s="54">
        <f t="shared" si="102"/>
        <v>-10</v>
      </c>
      <c r="H708" s="54"/>
      <c r="I708" s="54"/>
      <c r="J708" s="54"/>
      <c r="K708" s="54"/>
      <c r="L708" s="54"/>
      <c r="M708" s="54"/>
      <c r="N708" s="54"/>
      <c r="O708" s="174"/>
      <c r="P708" s="174"/>
      <c r="Q708" s="174"/>
      <c r="R708" s="174"/>
    </row>
    <row r="709" ht="14.25" customHeight="1">
      <c r="B709" s="140">
        <v>45936.0</v>
      </c>
      <c r="C709" s="141" t="str">
        <f t="shared" si="1"/>
        <v>10-2025</v>
      </c>
      <c r="D709" s="138">
        <v>1463.68</v>
      </c>
      <c r="E709" s="138">
        <v>1474.58</v>
      </c>
      <c r="F709" s="54">
        <f t="shared" si="15"/>
        <v>10.9</v>
      </c>
      <c r="G709" s="54">
        <f t="shared" si="102"/>
        <v>0.9</v>
      </c>
      <c r="H709" s="54"/>
      <c r="I709" s="54"/>
      <c r="J709" s="54"/>
      <c r="K709" s="54"/>
      <c r="L709" s="54"/>
      <c r="M709" s="54"/>
      <c r="N709" s="54"/>
      <c r="O709" s="174"/>
      <c r="P709" s="174"/>
      <c r="Q709" s="174"/>
      <c r="R709" s="174"/>
    </row>
    <row r="710" ht="14.25" customHeight="1">
      <c r="B710" s="140">
        <v>45937.0</v>
      </c>
      <c r="C710" s="141" t="str">
        <f t="shared" si="1"/>
        <v>10-2025</v>
      </c>
      <c r="D710" s="54">
        <f t="shared" ref="D710:D714" si="103">E709</f>
        <v>1474.58</v>
      </c>
      <c r="E710" s="138">
        <v>1483.15</v>
      </c>
      <c r="F710" s="54">
        <f t="shared" si="15"/>
        <v>8.57</v>
      </c>
      <c r="G710" s="54">
        <f t="shared" si="102"/>
        <v>-1.43</v>
      </c>
      <c r="H710" s="54"/>
      <c r="I710" s="54"/>
      <c r="J710" s="54"/>
      <c r="K710" s="54"/>
      <c r="L710" s="54"/>
      <c r="M710" s="54"/>
      <c r="N710" s="54"/>
      <c r="O710" s="174"/>
      <c r="P710" s="174"/>
      <c r="Q710" s="174"/>
      <c r="R710" s="174"/>
    </row>
    <row r="711" ht="14.25" customHeight="1">
      <c r="B711" s="140">
        <v>45938.0</v>
      </c>
      <c r="C711" s="141" t="str">
        <f t="shared" si="1"/>
        <v>10-2025</v>
      </c>
      <c r="D711" s="54">
        <f t="shared" si="103"/>
        <v>1483.15</v>
      </c>
      <c r="E711" s="138">
        <v>1493.33</v>
      </c>
      <c r="F711" s="54">
        <f t="shared" si="15"/>
        <v>10.18</v>
      </c>
      <c r="G711" s="54">
        <f t="shared" si="102"/>
        <v>0.18</v>
      </c>
      <c r="H711" s="54"/>
      <c r="I711" s="54"/>
      <c r="J711" s="54"/>
      <c r="K711" s="54"/>
      <c r="L711" s="54"/>
      <c r="M711" s="54"/>
      <c r="N711" s="54"/>
      <c r="O711" s="174"/>
      <c r="P711" s="174"/>
      <c r="Q711" s="174"/>
      <c r="R711" s="174"/>
    </row>
    <row r="712" ht="14.25" customHeight="1">
      <c r="B712" s="140">
        <v>45939.0</v>
      </c>
      <c r="C712" s="141" t="str">
        <f t="shared" si="1"/>
        <v>10-2025</v>
      </c>
      <c r="D712" s="54">
        <f t="shared" si="103"/>
        <v>1493.33</v>
      </c>
      <c r="E712" s="138">
        <v>1502.58</v>
      </c>
      <c r="F712" s="54">
        <f t="shared" si="15"/>
        <v>9.25</v>
      </c>
      <c r="G712" s="54">
        <f t="shared" si="102"/>
        <v>-0.75</v>
      </c>
      <c r="H712" s="54"/>
      <c r="I712" s="54"/>
      <c r="J712" s="54"/>
      <c r="K712" s="54"/>
      <c r="L712" s="54"/>
      <c r="M712" s="54"/>
      <c r="N712" s="54"/>
      <c r="O712" s="174"/>
      <c r="P712" s="174"/>
      <c r="Q712" s="174"/>
      <c r="R712" s="174"/>
    </row>
    <row r="713" ht="14.25" customHeight="1">
      <c r="B713" s="140">
        <v>45940.0</v>
      </c>
      <c r="C713" s="141" t="str">
        <f t="shared" si="1"/>
        <v>10-2025</v>
      </c>
      <c r="D713" s="54">
        <f t="shared" si="103"/>
        <v>1502.58</v>
      </c>
      <c r="E713" s="138">
        <v>1512.38</v>
      </c>
      <c r="F713" s="54">
        <f t="shared" si="15"/>
        <v>9.8</v>
      </c>
      <c r="G713" s="54">
        <f t="shared" si="102"/>
        <v>-0.2</v>
      </c>
      <c r="H713" s="54"/>
      <c r="I713" s="54"/>
      <c r="J713" s="54"/>
      <c r="K713" s="54"/>
      <c r="L713" s="54"/>
      <c r="M713" s="54"/>
      <c r="N713" s="54"/>
      <c r="O713" s="174"/>
      <c r="P713" s="174"/>
      <c r="Q713" s="174"/>
      <c r="R713" s="174"/>
    </row>
    <row r="714" ht="14.25" customHeight="1">
      <c r="A714" s="155" t="s">
        <v>151</v>
      </c>
      <c r="B714" s="151">
        <v>45941.0</v>
      </c>
      <c r="C714" s="156" t="str">
        <f t="shared" si="1"/>
        <v>10-2025</v>
      </c>
      <c r="D714" s="150">
        <f t="shared" si="103"/>
        <v>1512.38</v>
      </c>
      <c r="E714" s="155">
        <v>1519.77</v>
      </c>
      <c r="F714" s="150">
        <f t="shared" si="15"/>
        <v>7.39</v>
      </c>
      <c r="G714" s="150">
        <f t="shared" si="102"/>
        <v>-2.61</v>
      </c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</row>
    <row r="715" ht="14.25" customHeight="1">
      <c r="B715" s="140">
        <v>45942.0</v>
      </c>
      <c r="C715" s="141" t="str">
        <f t="shared" si="1"/>
        <v>10-2025</v>
      </c>
      <c r="D715" s="54"/>
      <c r="E715" s="54"/>
      <c r="F715" s="54">
        <f t="shared" si="15"/>
        <v>0</v>
      </c>
      <c r="G715" s="54">
        <f t="shared" si="102"/>
        <v>-10</v>
      </c>
      <c r="H715" s="54"/>
      <c r="I715" s="54"/>
      <c r="J715" s="54"/>
      <c r="K715" s="54"/>
      <c r="L715" s="54"/>
      <c r="M715" s="54"/>
      <c r="N715" s="54"/>
      <c r="O715" s="174"/>
      <c r="P715" s="174"/>
      <c r="Q715" s="174"/>
      <c r="R715" s="174"/>
    </row>
    <row r="716" ht="14.25" customHeight="1">
      <c r="B716" s="140">
        <v>45943.0</v>
      </c>
      <c r="C716" s="141" t="str">
        <f t="shared" si="1"/>
        <v>10-2025</v>
      </c>
      <c r="D716" s="138">
        <v>1519.77</v>
      </c>
      <c r="E716" s="138">
        <v>1529.37</v>
      </c>
      <c r="F716" s="54">
        <f t="shared" si="15"/>
        <v>9.6</v>
      </c>
      <c r="G716" s="54">
        <f t="shared" si="102"/>
        <v>-0.4</v>
      </c>
      <c r="H716" s="54"/>
      <c r="I716" s="54"/>
      <c r="J716" s="54"/>
      <c r="K716" s="54"/>
      <c r="L716" s="54"/>
      <c r="M716" s="54"/>
      <c r="N716" s="54"/>
      <c r="O716" s="174"/>
      <c r="P716" s="174"/>
      <c r="Q716" s="174"/>
      <c r="R716" s="174"/>
    </row>
    <row r="717" ht="14.25" customHeight="1">
      <c r="B717" s="140">
        <v>45944.0</v>
      </c>
      <c r="C717" s="141" t="str">
        <f t="shared" si="1"/>
        <v>10-2025</v>
      </c>
      <c r="D717" s="54">
        <f t="shared" ref="D717:D720" si="104">E716</f>
        <v>1529.37</v>
      </c>
      <c r="E717" s="138">
        <v>1539.19</v>
      </c>
      <c r="F717" s="54">
        <f t="shared" si="15"/>
        <v>9.82</v>
      </c>
      <c r="G717" s="54">
        <f t="shared" si="102"/>
        <v>-0.18</v>
      </c>
      <c r="H717" s="54"/>
      <c r="I717" s="54"/>
      <c r="J717" s="54"/>
      <c r="K717" s="54"/>
      <c r="L717" s="54"/>
      <c r="M717" s="54"/>
      <c r="N717" s="54"/>
      <c r="O717" s="174"/>
      <c r="P717" s="174"/>
      <c r="Q717" s="174"/>
      <c r="R717" s="174"/>
    </row>
    <row r="718" ht="14.25" customHeight="1">
      <c r="B718" s="140">
        <v>45945.0</v>
      </c>
      <c r="C718" s="141" t="str">
        <f t="shared" si="1"/>
        <v>10-2025</v>
      </c>
      <c r="D718" s="54">
        <f t="shared" si="104"/>
        <v>1539.19</v>
      </c>
      <c r="E718" s="138">
        <v>1559.07</v>
      </c>
      <c r="F718" s="54">
        <f t="shared" si="15"/>
        <v>19.88</v>
      </c>
      <c r="G718" s="54">
        <f t="shared" si="102"/>
        <v>9.88</v>
      </c>
      <c r="H718" s="54"/>
      <c r="I718" s="54"/>
      <c r="J718" s="54"/>
      <c r="K718" s="54"/>
      <c r="L718" s="54"/>
      <c r="M718" s="54"/>
      <c r="N718" s="54"/>
      <c r="O718" s="174"/>
      <c r="P718" s="174"/>
      <c r="Q718" s="174"/>
      <c r="R718" s="174"/>
    </row>
    <row r="719" ht="14.25" customHeight="1">
      <c r="B719" s="140">
        <v>45946.0</v>
      </c>
      <c r="C719" s="141" t="str">
        <f t="shared" si="1"/>
        <v>10-2025</v>
      </c>
      <c r="D719" s="54">
        <f t="shared" si="104"/>
        <v>1559.07</v>
      </c>
      <c r="E719" s="138">
        <v>1569.59</v>
      </c>
      <c r="F719" s="54">
        <f t="shared" si="15"/>
        <v>10.52</v>
      </c>
      <c r="G719" s="54">
        <f t="shared" si="102"/>
        <v>0.52</v>
      </c>
      <c r="H719" s="54"/>
      <c r="I719" s="54"/>
      <c r="J719" s="54"/>
      <c r="K719" s="54"/>
      <c r="L719" s="54"/>
      <c r="M719" s="54"/>
      <c r="N719" s="54"/>
      <c r="O719" s="174"/>
      <c r="P719" s="174"/>
      <c r="Q719" s="174"/>
      <c r="R719" s="174"/>
    </row>
    <row r="720" ht="14.25" customHeight="1">
      <c r="B720" s="140">
        <v>45947.0</v>
      </c>
      <c r="C720" s="141" t="str">
        <f t="shared" si="1"/>
        <v>10-2025</v>
      </c>
      <c r="D720" s="54">
        <f t="shared" si="104"/>
        <v>1569.59</v>
      </c>
      <c r="E720" s="138">
        <v>1578.57</v>
      </c>
      <c r="F720" s="54">
        <f t="shared" si="15"/>
        <v>8.98</v>
      </c>
      <c r="G720" s="54">
        <f t="shared" si="102"/>
        <v>-1.02</v>
      </c>
      <c r="H720" s="54"/>
      <c r="I720" s="54"/>
      <c r="J720" s="54"/>
      <c r="K720" s="54"/>
      <c r="L720" s="54"/>
      <c r="M720" s="54"/>
      <c r="N720" s="54"/>
      <c r="O720" s="174"/>
      <c r="P720" s="174"/>
      <c r="Q720" s="174"/>
      <c r="R720" s="174"/>
    </row>
    <row r="721" ht="14.25" customHeight="1">
      <c r="B721" s="140">
        <v>45948.0</v>
      </c>
      <c r="C721" s="141" t="str">
        <f t="shared" si="1"/>
        <v>10-2025</v>
      </c>
      <c r="D721" s="54"/>
      <c r="E721" s="54"/>
      <c r="F721" s="54">
        <f t="shared" si="15"/>
        <v>0</v>
      </c>
      <c r="G721" s="54">
        <f t="shared" si="102"/>
        <v>-10</v>
      </c>
      <c r="H721" s="54"/>
      <c r="I721" s="54"/>
      <c r="J721" s="54"/>
      <c r="K721" s="54"/>
      <c r="L721" s="54"/>
      <c r="M721" s="54"/>
      <c r="N721" s="54"/>
      <c r="O721" s="174"/>
      <c r="P721" s="174"/>
      <c r="Q721" s="174"/>
      <c r="R721" s="174"/>
    </row>
    <row r="722" ht="14.25" customHeight="1">
      <c r="B722" s="140">
        <v>45949.0</v>
      </c>
      <c r="C722" s="141" t="str">
        <f t="shared" si="1"/>
        <v>10-2025</v>
      </c>
      <c r="D722" s="54" t="str">
        <f>E721</f>
        <v/>
      </c>
      <c r="E722" s="54"/>
      <c r="F722" s="54">
        <f t="shared" si="15"/>
        <v>0</v>
      </c>
      <c r="G722" s="54">
        <f t="shared" si="102"/>
        <v>-10</v>
      </c>
      <c r="H722" s="54"/>
      <c r="I722" s="54"/>
      <c r="J722" s="54"/>
      <c r="K722" s="54"/>
      <c r="L722" s="54"/>
      <c r="M722" s="54"/>
      <c r="N722" s="54"/>
      <c r="O722" s="174"/>
      <c r="P722" s="174"/>
      <c r="Q722" s="174"/>
      <c r="R722" s="174"/>
    </row>
    <row r="723" ht="14.25" customHeight="1">
      <c r="B723" s="140">
        <v>45950.0</v>
      </c>
      <c r="C723" s="141" t="str">
        <f t="shared" si="1"/>
        <v>10-2025</v>
      </c>
      <c r="D723" s="138">
        <v>1578.57</v>
      </c>
      <c r="E723" s="138">
        <v>1587.48</v>
      </c>
      <c r="F723" s="54">
        <f t="shared" si="15"/>
        <v>8.91</v>
      </c>
      <c r="G723" s="54">
        <f t="shared" si="102"/>
        <v>-1.09</v>
      </c>
      <c r="H723" s="54"/>
      <c r="I723" s="54"/>
      <c r="J723" s="54"/>
      <c r="K723" s="54"/>
      <c r="L723" s="54"/>
      <c r="M723" s="54"/>
      <c r="N723" s="54"/>
      <c r="O723" s="174"/>
      <c r="P723" s="174"/>
      <c r="Q723" s="174"/>
      <c r="R723" s="174"/>
    </row>
    <row r="724" ht="14.25" customHeight="1">
      <c r="B724" s="140">
        <v>45951.0</v>
      </c>
      <c r="C724" s="141" t="str">
        <f t="shared" si="1"/>
        <v>10-2025</v>
      </c>
      <c r="D724" s="54">
        <f t="shared" ref="D724:D728" si="105">E723</f>
        <v>1587.48</v>
      </c>
      <c r="E724" s="138">
        <v>1596.65</v>
      </c>
      <c r="F724" s="54">
        <f t="shared" si="15"/>
        <v>9.17</v>
      </c>
      <c r="G724" s="54">
        <f t="shared" si="102"/>
        <v>-0.83</v>
      </c>
      <c r="H724" s="54"/>
      <c r="I724" s="54"/>
      <c r="J724" s="54"/>
      <c r="K724" s="54"/>
      <c r="L724" s="54"/>
      <c r="M724" s="54"/>
      <c r="N724" s="54"/>
      <c r="O724" s="174"/>
      <c r="P724" s="174"/>
      <c r="Q724" s="174"/>
      <c r="R724" s="174"/>
    </row>
    <row r="725" ht="14.25" customHeight="1">
      <c r="B725" s="140">
        <v>45952.0</v>
      </c>
      <c r="C725" s="141" t="str">
        <f t="shared" si="1"/>
        <v>10-2025</v>
      </c>
      <c r="D725" s="54">
        <f t="shared" si="105"/>
        <v>1596.65</v>
      </c>
      <c r="E725" s="138">
        <v>1605.04</v>
      </c>
      <c r="F725" s="54">
        <f t="shared" si="15"/>
        <v>8.39</v>
      </c>
      <c r="G725" s="54">
        <f t="shared" si="102"/>
        <v>-1.61</v>
      </c>
      <c r="H725" s="54"/>
      <c r="I725" s="54"/>
      <c r="J725" s="54"/>
      <c r="K725" s="54"/>
      <c r="L725" s="54"/>
      <c r="M725" s="54"/>
      <c r="N725" s="54"/>
      <c r="O725" s="174"/>
      <c r="P725" s="174"/>
      <c r="Q725" s="174"/>
      <c r="R725" s="174"/>
    </row>
    <row r="726" ht="14.25" customHeight="1">
      <c r="B726" s="140">
        <v>45953.0</v>
      </c>
      <c r="C726" s="141" t="str">
        <f t="shared" si="1"/>
        <v>10-2025</v>
      </c>
      <c r="D726" s="54">
        <f t="shared" si="105"/>
        <v>1605.04</v>
      </c>
      <c r="E726" s="138">
        <v>1614.97</v>
      </c>
      <c r="F726" s="54">
        <f t="shared" si="15"/>
        <v>9.93</v>
      </c>
      <c r="G726" s="54">
        <f t="shared" si="102"/>
        <v>-0.07</v>
      </c>
      <c r="H726" s="54"/>
      <c r="I726" s="54"/>
      <c r="J726" s="54"/>
      <c r="K726" s="54"/>
      <c r="L726" s="54"/>
      <c r="M726" s="54"/>
      <c r="N726" s="54"/>
      <c r="O726" s="174"/>
      <c r="P726" s="174"/>
      <c r="Q726" s="174"/>
      <c r="R726" s="174"/>
    </row>
    <row r="727" ht="14.25" customHeight="1">
      <c r="B727" s="140">
        <v>45954.0</v>
      </c>
      <c r="C727" s="141" t="str">
        <f t="shared" si="1"/>
        <v>10-2025</v>
      </c>
      <c r="D727" s="54">
        <f t="shared" si="105"/>
        <v>1614.97</v>
      </c>
      <c r="E727" s="138">
        <v>1623.33</v>
      </c>
      <c r="F727" s="54">
        <f t="shared" si="15"/>
        <v>8.36</v>
      </c>
      <c r="G727" s="54">
        <f t="shared" si="102"/>
        <v>-1.64</v>
      </c>
      <c r="H727" s="54"/>
      <c r="I727" s="54"/>
      <c r="J727" s="54"/>
      <c r="K727" s="54"/>
      <c r="L727" s="54"/>
      <c r="M727" s="54"/>
      <c r="N727" s="54"/>
      <c r="O727" s="174"/>
      <c r="P727" s="174"/>
      <c r="Q727" s="174"/>
      <c r="R727" s="174"/>
    </row>
    <row r="728" ht="14.25" customHeight="1">
      <c r="A728" s="155" t="s">
        <v>121</v>
      </c>
      <c r="B728" s="151">
        <v>45955.0</v>
      </c>
      <c r="C728" s="156" t="str">
        <f t="shared" si="1"/>
        <v>10-2025</v>
      </c>
      <c r="D728" s="150">
        <f t="shared" si="105"/>
        <v>1623.33</v>
      </c>
      <c r="E728" s="155">
        <v>1629.31</v>
      </c>
      <c r="F728" s="150">
        <f t="shared" si="15"/>
        <v>5.98</v>
      </c>
      <c r="G728" s="150">
        <f t="shared" si="102"/>
        <v>-4.02</v>
      </c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</row>
    <row r="729" ht="14.25" customHeight="1">
      <c r="B729" s="140">
        <v>45956.0</v>
      </c>
      <c r="C729" s="141" t="str">
        <f t="shared" si="1"/>
        <v>10-2025</v>
      </c>
      <c r="D729" s="54"/>
      <c r="E729" s="138"/>
      <c r="F729" s="54">
        <f t="shared" si="15"/>
        <v>0</v>
      </c>
      <c r="G729" s="54">
        <f t="shared" si="102"/>
        <v>-10</v>
      </c>
      <c r="H729" s="54"/>
      <c r="I729" s="54"/>
      <c r="J729" s="54"/>
      <c r="K729" s="54"/>
      <c r="L729" s="54"/>
      <c r="M729" s="54"/>
      <c r="N729" s="54"/>
      <c r="O729" s="174"/>
      <c r="P729" s="174"/>
      <c r="Q729" s="174"/>
      <c r="R729" s="174"/>
    </row>
    <row r="730" ht="14.25" customHeight="1">
      <c r="B730" s="140">
        <v>45957.0</v>
      </c>
      <c r="C730" s="141" t="str">
        <f t="shared" si="1"/>
        <v>10-2025</v>
      </c>
      <c r="D730" s="138">
        <v>1629.31</v>
      </c>
      <c r="E730" s="138">
        <v>1636.84</v>
      </c>
      <c r="F730" s="54">
        <f t="shared" si="15"/>
        <v>7.53</v>
      </c>
      <c r="G730" s="54">
        <f t="shared" si="102"/>
        <v>-2.47</v>
      </c>
      <c r="H730" s="54"/>
      <c r="I730" s="54"/>
      <c r="J730" s="54"/>
      <c r="K730" s="54"/>
      <c r="L730" s="54"/>
      <c r="M730" s="54"/>
      <c r="N730" s="54"/>
      <c r="O730" s="54"/>
    </row>
    <row r="731" ht="14.25" customHeight="1">
      <c r="B731" s="140">
        <v>45958.0</v>
      </c>
      <c r="C731" s="141" t="str">
        <f t="shared" si="1"/>
        <v>10-2025</v>
      </c>
      <c r="D731" s="54">
        <f t="shared" ref="D731:D735" si="106">E730</f>
        <v>1636.84</v>
      </c>
      <c r="E731" s="138">
        <v>1645.22</v>
      </c>
      <c r="F731" s="54">
        <f t="shared" si="15"/>
        <v>8.38</v>
      </c>
      <c r="G731" s="54">
        <f t="shared" si="102"/>
        <v>-1.62</v>
      </c>
      <c r="H731" s="54"/>
      <c r="I731" s="54"/>
      <c r="J731" s="54"/>
      <c r="K731" s="54"/>
      <c r="L731" s="54"/>
      <c r="M731" s="54"/>
      <c r="N731" s="54"/>
      <c r="O731" s="54"/>
    </row>
    <row r="732" ht="14.25" customHeight="1">
      <c r="B732" s="140">
        <v>45959.0</v>
      </c>
      <c r="C732" s="141" t="str">
        <f t="shared" si="1"/>
        <v>10-2025</v>
      </c>
      <c r="D732" s="54">
        <f t="shared" si="106"/>
        <v>1645.22</v>
      </c>
      <c r="E732" s="138">
        <v>1653.34</v>
      </c>
      <c r="F732" s="54">
        <f t="shared" si="15"/>
        <v>8.12</v>
      </c>
      <c r="G732" s="54">
        <f t="shared" si="102"/>
        <v>-1.88</v>
      </c>
      <c r="H732" s="54"/>
      <c r="I732" s="54"/>
      <c r="J732" s="54"/>
      <c r="K732" s="54"/>
      <c r="L732" s="54"/>
      <c r="M732" s="54"/>
      <c r="N732" s="54"/>
      <c r="O732" s="54"/>
    </row>
    <row r="733" ht="14.25" customHeight="1">
      <c r="B733" s="140">
        <v>45960.0</v>
      </c>
      <c r="C733" s="141" t="str">
        <f t="shared" si="1"/>
        <v>10-2025</v>
      </c>
      <c r="D733" s="54">
        <f t="shared" si="106"/>
        <v>1653.34</v>
      </c>
      <c r="E733" s="138">
        <v>1661.24</v>
      </c>
      <c r="F733" s="54">
        <f t="shared" si="15"/>
        <v>7.9</v>
      </c>
      <c r="G733" s="54">
        <f t="shared" si="102"/>
        <v>-2.1</v>
      </c>
      <c r="H733" s="54"/>
      <c r="I733" s="54"/>
      <c r="J733" s="54"/>
      <c r="K733" s="54"/>
      <c r="L733" s="54"/>
      <c r="M733" s="54"/>
      <c r="N733" s="54"/>
      <c r="O733" s="54"/>
    </row>
    <row r="734" ht="14.25" customHeight="1">
      <c r="B734" s="140">
        <v>45961.0</v>
      </c>
      <c r="C734" s="141" t="str">
        <f t="shared" si="1"/>
        <v>10-2025</v>
      </c>
      <c r="D734" s="54">
        <f t="shared" si="106"/>
        <v>1661.24</v>
      </c>
      <c r="E734" s="138">
        <v>1668.95</v>
      </c>
      <c r="F734" s="54">
        <f t="shared" si="15"/>
        <v>7.71</v>
      </c>
      <c r="G734" s="54">
        <f t="shared" si="102"/>
        <v>-2.29</v>
      </c>
      <c r="H734" s="138" t="s">
        <v>152</v>
      </c>
      <c r="I734" s="54"/>
      <c r="J734" s="54"/>
      <c r="K734" s="54"/>
      <c r="L734" s="54"/>
      <c r="M734" s="54"/>
      <c r="N734" s="54"/>
      <c r="O734" s="54"/>
    </row>
    <row r="735" ht="14.25" customHeight="1">
      <c r="A735" s="157" t="s">
        <v>123</v>
      </c>
      <c r="B735" s="177">
        <v>45962.0</v>
      </c>
      <c r="C735" s="178" t="str">
        <f t="shared" si="1"/>
        <v>11-2025</v>
      </c>
      <c r="D735" s="179">
        <f t="shared" si="106"/>
        <v>1668.95</v>
      </c>
      <c r="E735" s="157">
        <v>1675.48</v>
      </c>
      <c r="F735" s="179">
        <f t="shared" si="15"/>
        <v>6.53</v>
      </c>
      <c r="G735" s="179">
        <f t="shared" si="102"/>
        <v>-3.47</v>
      </c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</row>
    <row r="736" ht="14.25" customHeight="1">
      <c r="B736" s="140">
        <v>45963.0</v>
      </c>
      <c r="C736" s="141" t="str">
        <f t="shared" si="1"/>
        <v>11-2025</v>
      </c>
      <c r="D736" s="54"/>
      <c r="E736" s="54"/>
      <c r="F736" s="54">
        <f t="shared" si="15"/>
        <v>0</v>
      </c>
      <c r="G736" s="54">
        <f t="shared" si="102"/>
        <v>-10</v>
      </c>
      <c r="H736" s="54"/>
      <c r="I736" s="54"/>
      <c r="J736" s="54"/>
      <c r="K736" s="54"/>
      <c r="L736" s="54"/>
      <c r="M736" s="54"/>
      <c r="N736" s="54"/>
      <c r="O736" s="54"/>
    </row>
    <row r="737" ht="14.25" customHeight="1">
      <c r="B737" s="140">
        <v>45964.0</v>
      </c>
      <c r="C737" s="141" t="str">
        <f t="shared" si="1"/>
        <v>11-2025</v>
      </c>
      <c r="D737" s="138">
        <v>1675.48</v>
      </c>
      <c r="E737" s="138">
        <v>1684.43</v>
      </c>
      <c r="F737" s="54">
        <f t="shared" si="15"/>
        <v>8.95</v>
      </c>
      <c r="G737" s="54">
        <f t="shared" si="102"/>
        <v>-1.05</v>
      </c>
      <c r="H737" s="54"/>
      <c r="I737" s="54"/>
      <c r="J737" s="54"/>
      <c r="K737" s="54"/>
      <c r="L737" s="54"/>
      <c r="M737" s="54"/>
      <c r="N737" s="54"/>
      <c r="O737" s="54"/>
    </row>
    <row r="738" ht="14.25" customHeight="1">
      <c r="B738" s="140">
        <v>45965.0</v>
      </c>
      <c r="C738" s="141" t="str">
        <f t="shared" si="1"/>
        <v>11-2025</v>
      </c>
      <c r="D738" s="54">
        <f t="shared" ref="D738:D741" si="107">E737</f>
        <v>1684.43</v>
      </c>
      <c r="E738" s="138">
        <v>1693.55</v>
      </c>
      <c r="F738" s="54">
        <f t="shared" si="15"/>
        <v>9.12</v>
      </c>
      <c r="G738" s="54">
        <f t="shared" si="102"/>
        <v>-0.88</v>
      </c>
      <c r="H738" s="54"/>
      <c r="I738" s="54"/>
      <c r="J738" s="54"/>
      <c r="K738" s="54"/>
      <c r="L738" s="54"/>
      <c r="M738" s="54"/>
      <c r="N738" s="54"/>
      <c r="O738" s="54"/>
    </row>
    <row r="739" ht="14.25" customHeight="1">
      <c r="B739" s="140">
        <v>45966.0</v>
      </c>
      <c r="C739" s="141" t="str">
        <f t="shared" si="1"/>
        <v>11-2025</v>
      </c>
      <c r="D739" s="54">
        <f t="shared" si="107"/>
        <v>1693.55</v>
      </c>
      <c r="E739" s="138">
        <v>1702.64</v>
      </c>
      <c r="F739" s="54">
        <f t="shared" si="15"/>
        <v>9.09</v>
      </c>
      <c r="G739" s="54">
        <f t="shared" si="102"/>
        <v>-0.91</v>
      </c>
      <c r="H739" s="54"/>
      <c r="I739" s="54"/>
      <c r="J739" s="54"/>
      <c r="K739" s="54"/>
      <c r="L739" s="54"/>
      <c r="M739" s="54"/>
      <c r="N739" s="54"/>
      <c r="O739" s="54"/>
    </row>
    <row r="740" ht="14.25" customHeight="1">
      <c r="B740" s="140">
        <v>45967.0</v>
      </c>
      <c r="C740" s="141" t="str">
        <f t="shared" si="1"/>
        <v>11-2025</v>
      </c>
      <c r="D740" s="54">
        <f t="shared" si="107"/>
        <v>1702.64</v>
      </c>
      <c r="E740" s="138">
        <v>1713.79</v>
      </c>
      <c r="F740" s="54">
        <f t="shared" si="15"/>
        <v>11.15</v>
      </c>
      <c r="G740" s="54">
        <f t="shared" si="102"/>
        <v>1.15</v>
      </c>
      <c r="H740" s="54"/>
      <c r="I740" s="54"/>
      <c r="J740" s="54"/>
      <c r="K740" s="54"/>
      <c r="L740" s="54"/>
      <c r="M740" s="54"/>
      <c r="N740" s="54"/>
      <c r="O740" s="54"/>
    </row>
    <row r="741" ht="14.25" customHeight="1">
      <c r="B741" s="140">
        <v>45968.0</v>
      </c>
      <c r="C741" s="141" t="str">
        <f t="shared" si="1"/>
        <v>11-2025</v>
      </c>
      <c r="D741" s="54">
        <f t="shared" si="107"/>
        <v>1713.79</v>
      </c>
      <c r="E741" s="138">
        <v>1723.99</v>
      </c>
      <c r="F741" s="54">
        <f t="shared" si="15"/>
        <v>10.2</v>
      </c>
      <c r="G741" s="54">
        <f t="shared" si="102"/>
        <v>0.2</v>
      </c>
      <c r="H741" s="54"/>
      <c r="I741" s="54"/>
      <c r="J741" s="54"/>
      <c r="K741" s="54"/>
      <c r="L741" s="54"/>
      <c r="M741" s="54"/>
      <c r="N741" s="54"/>
      <c r="O741" s="54"/>
    </row>
    <row r="742" ht="14.25" customHeight="1">
      <c r="B742" s="140">
        <v>45969.0</v>
      </c>
      <c r="C742" s="141" t="str">
        <f t="shared" si="1"/>
        <v>11-2025</v>
      </c>
      <c r="D742" s="54"/>
      <c r="E742" s="54"/>
      <c r="F742" s="54">
        <f t="shared" si="15"/>
        <v>0</v>
      </c>
      <c r="G742" s="54">
        <f t="shared" si="102"/>
        <v>-10</v>
      </c>
      <c r="H742" s="54"/>
      <c r="I742" s="54"/>
      <c r="J742" s="54"/>
      <c r="K742" s="54"/>
      <c r="L742" s="54"/>
      <c r="M742" s="54"/>
      <c r="N742" s="54"/>
      <c r="O742" s="54"/>
    </row>
    <row r="743" ht="14.25" customHeight="1">
      <c r="B743" s="140">
        <v>45970.0</v>
      </c>
      <c r="C743" s="141" t="str">
        <f t="shared" si="1"/>
        <v>11-2025</v>
      </c>
      <c r="D743" s="54" t="str">
        <f>E742</f>
        <v/>
      </c>
      <c r="E743" s="54"/>
      <c r="F743" s="54">
        <f t="shared" si="15"/>
        <v>0</v>
      </c>
      <c r="G743" s="54">
        <f t="shared" si="102"/>
        <v>-10</v>
      </c>
      <c r="H743" s="54"/>
      <c r="I743" s="54"/>
      <c r="J743" s="54"/>
      <c r="K743" s="54"/>
      <c r="L743" s="54"/>
      <c r="M743" s="54"/>
      <c r="N743" s="54"/>
      <c r="O743" s="54"/>
    </row>
    <row r="744" ht="14.25" customHeight="1">
      <c r="B744" s="140">
        <v>45971.0</v>
      </c>
      <c r="C744" s="141" t="str">
        <f t="shared" si="1"/>
        <v>11-2025</v>
      </c>
      <c r="D744" s="138">
        <v>1723.99</v>
      </c>
      <c r="E744" s="138">
        <v>1734.63</v>
      </c>
      <c r="F744" s="54">
        <f t="shared" si="15"/>
        <v>10.64</v>
      </c>
      <c r="G744" s="54">
        <f t="shared" si="102"/>
        <v>0.64</v>
      </c>
      <c r="H744" s="54"/>
      <c r="I744" s="54"/>
      <c r="J744" s="54"/>
      <c r="K744" s="54"/>
      <c r="L744" s="54"/>
      <c r="M744" s="54"/>
      <c r="N744" s="54"/>
      <c r="O744" s="54"/>
    </row>
    <row r="745" ht="14.25" customHeight="1">
      <c r="B745" s="140">
        <v>45972.0</v>
      </c>
      <c r="C745" s="141" t="str">
        <f t="shared" si="1"/>
        <v>11-2025</v>
      </c>
      <c r="D745" s="54">
        <f t="shared" ref="D745:D749" si="108">E744</f>
        <v>1734.63</v>
      </c>
      <c r="E745" s="138">
        <v>1744.68</v>
      </c>
      <c r="F745" s="54">
        <f t="shared" si="15"/>
        <v>10.05</v>
      </c>
      <c r="G745" s="54">
        <f t="shared" si="102"/>
        <v>0.05</v>
      </c>
      <c r="H745" s="54"/>
      <c r="I745" s="54"/>
      <c r="J745" s="54"/>
      <c r="K745" s="54"/>
      <c r="L745" s="54"/>
      <c r="M745" s="54"/>
      <c r="N745" s="54"/>
      <c r="O745" s="54"/>
    </row>
    <row r="746" ht="14.25" customHeight="1">
      <c r="B746" s="140">
        <v>45973.0</v>
      </c>
      <c r="C746" s="141" t="str">
        <f t="shared" si="1"/>
        <v>11-2025</v>
      </c>
      <c r="D746" s="54">
        <f t="shared" si="108"/>
        <v>1744.68</v>
      </c>
      <c r="E746" s="138">
        <v>1754.71</v>
      </c>
      <c r="F746" s="54">
        <f t="shared" si="15"/>
        <v>10.03</v>
      </c>
      <c r="G746" s="54">
        <f t="shared" si="102"/>
        <v>0.03</v>
      </c>
      <c r="H746" s="54"/>
      <c r="I746" s="54"/>
      <c r="J746" s="54"/>
      <c r="K746" s="54"/>
      <c r="L746" s="54"/>
      <c r="M746" s="54"/>
      <c r="N746" s="54"/>
      <c r="O746" s="54"/>
    </row>
    <row r="747" ht="14.25" customHeight="1">
      <c r="B747" s="140">
        <v>45974.0</v>
      </c>
      <c r="C747" s="141" t="str">
        <f t="shared" si="1"/>
        <v>11-2025</v>
      </c>
      <c r="D747" s="54">
        <f t="shared" si="108"/>
        <v>1754.71</v>
      </c>
      <c r="E747" s="138">
        <v>1765.25</v>
      </c>
      <c r="F747" s="54">
        <f t="shared" si="15"/>
        <v>10.54</v>
      </c>
      <c r="G747" s="54">
        <f t="shared" si="102"/>
        <v>0.54</v>
      </c>
      <c r="H747" s="54"/>
      <c r="I747" s="54"/>
      <c r="J747" s="54"/>
      <c r="K747" s="54"/>
      <c r="L747" s="54"/>
      <c r="M747" s="54"/>
      <c r="N747" s="54"/>
      <c r="O747" s="54"/>
    </row>
    <row r="748" ht="14.25" customHeight="1">
      <c r="B748" s="140">
        <v>45975.0</v>
      </c>
      <c r="C748" s="141" t="str">
        <f t="shared" si="1"/>
        <v>11-2025</v>
      </c>
      <c r="D748" s="54">
        <f t="shared" si="108"/>
        <v>1765.25</v>
      </c>
      <c r="E748" s="28">
        <v>1776.07</v>
      </c>
      <c r="F748" s="54">
        <f t="shared" si="15"/>
        <v>10.82</v>
      </c>
      <c r="G748" s="54">
        <f t="shared" si="102"/>
        <v>0.82</v>
      </c>
    </row>
    <row r="749" ht="14.25" customHeight="1">
      <c r="A749" s="157" t="s">
        <v>123</v>
      </c>
      <c r="B749" s="177">
        <v>45976.0</v>
      </c>
      <c r="C749" s="178" t="str">
        <f t="shared" si="1"/>
        <v>11-2025</v>
      </c>
      <c r="D749" s="179">
        <f t="shared" si="108"/>
        <v>1776.07</v>
      </c>
      <c r="E749" s="157">
        <v>1785.99</v>
      </c>
      <c r="F749" s="179">
        <f t="shared" si="15"/>
        <v>9.92</v>
      </c>
      <c r="G749" s="179">
        <f t="shared" si="102"/>
        <v>-0.08</v>
      </c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</row>
    <row r="750" ht="14.25" customHeight="1">
      <c r="B750" s="140">
        <v>45977.0</v>
      </c>
      <c r="C750" s="141" t="str">
        <f t="shared" si="1"/>
        <v>11-2025</v>
      </c>
      <c r="D750" s="54"/>
      <c r="F750" s="54">
        <f t="shared" si="15"/>
        <v>0</v>
      </c>
      <c r="G750" s="54">
        <f t="shared" si="102"/>
        <v>-10</v>
      </c>
    </row>
    <row r="751" ht="14.25" customHeight="1">
      <c r="B751" s="140">
        <v>45978.0</v>
      </c>
      <c r="C751" s="141" t="str">
        <f t="shared" si="1"/>
        <v>11-2025</v>
      </c>
      <c r="D751" s="138">
        <v>1785.99</v>
      </c>
      <c r="E751" s="28">
        <v>1795.81</v>
      </c>
      <c r="F751" s="54">
        <f t="shared" si="15"/>
        <v>9.82</v>
      </c>
      <c r="G751" s="54">
        <f t="shared" si="102"/>
        <v>-0.18</v>
      </c>
    </row>
    <row r="752" ht="14.25" customHeight="1">
      <c r="B752" s="140">
        <v>45979.0</v>
      </c>
      <c r="C752" s="141" t="str">
        <f t="shared" si="1"/>
        <v>11-2025</v>
      </c>
      <c r="D752" s="54">
        <f t="shared" ref="D752:D756" si="109">E751</f>
        <v>1795.81</v>
      </c>
      <c r="E752" s="28">
        <v>1807.98</v>
      </c>
      <c r="F752" s="54">
        <f t="shared" si="15"/>
        <v>12.17</v>
      </c>
      <c r="G752" s="54">
        <f t="shared" si="102"/>
        <v>2.17</v>
      </c>
    </row>
    <row r="753" ht="14.25" customHeight="1">
      <c r="B753" s="140">
        <v>45980.0</v>
      </c>
      <c r="C753" s="141" t="str">
        <f t="shared" si="1"/>
        <v>11-2025</v>
      </c>
      <c r="D753" s="54">
        <f t="shared" si="109"/>
        <v>1807.98</v>
      </c>
      <c r="E753" s="28">
        <v>1822.69</v>
      </c>
      <c r="F753" s="54">
        <f t="shared" si="15"/>
        <v>14.71</v>
      </c>
      <c r="G753" s="54">
        <f t="shared" si="102"/>
        <v>4.71</v>
      </c>
    </row>
    <row r="754" ht="14.25" customHeight="1">
      <c r="B754" s="140">
        <v>45981.0</v>
      </c>
      <c r="C754" s="141" t="str">
        <f t="shared" si="1"/>
        <v>11-2025</v>
      </c>
      <c r="D754" s="54">
        <f t="shared" si="109"/>
        <v>1822.69</v>
      </c>
      <c r="E754" s="28">
        <v>1833.04</v>
      </c>
      <c r="F754" s="54">
        <f t="shared" si="15"/>
        <v>10.35</v>
      </c>
      <c r="G754" s="54">
        <f t="shared" si="102"/>
        <v>0.35</v>
      </c>
    </row>
    <row r="755" ht="14.25" customHeight="1">
      <c r="B755" s="140">
        <v>45982.0</v>
      </c>
      <c r="C755" s="141" t="str">
        <f t="shared" si="1"/>
        <v>11-2025</v>
      </c>
      <c r="D755" s="54">
        <f t="shared" si="109"/>
        <v>1833.04</v>
      </c>
      <c r="E755" s="28">
        <v>1843.01</v>
      </c>
      <c r="F755" s="54">
        <f t="shared" si="15"/>
        <v>9.97</v>
      </c>
      <c r="G755" s="54">
        <f t="shared" si="102"/>
        <v>-0.03</v>
      </c>
    </row>
    <row r="756" ht="14.25" customHeight="1">
      <c r="A756" s="157" t="s">
        <v>121</v>
      </c>
      <c r="B756" s="177">
        <v>45983.0</v>
      </c>
      <c r="C756" s="178" t="str">
        <f t="shared" si="1"/>
        <v>11-2025</v>
      </c>
      <c r="D756" s="179">
        <f t="shared" si="109"/>
        <v>1843.01</v>
      </c>
      <c r="E756" s="157">
        <v>1850.53</v>
      </c>
      <c r="F756" s="179">
        <f t="shared" si="15"/>
        <v>7.52</v>
      </c>
      <c r="G756" s="179">
        <f t="shared" si="102"/>
        <v>-2.48</v>
      </c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</row>
    <row r="757" ht="14.25" customHeight="1">
      <c r="B757" s="140">
        <v>45984.0</v>
      </c>
      <c r="C757" s="141" t="str">
        <f t="shared" si="1"/>
        <v>11-2025</v>
      </c>
      <c r="D757" s="54"/>
      <c r="F757" s="54">
        <f t="shared" si="15"/>
        <v>0</v>
      </c>
      <c r="G757" s="54">
        <f t="shared" si="102"/>
        <v>-10</v>
      </c>
    </row>
    <row r="758" ht="14.25" customHeight="1">
      <c r="B758" s="140">
        <v>45985.0</v>
      </c>
      <c r="C758" s="141" t="str">
        <f t="shared" si="1"/>
        <v>11-2025</v>
      </c>
      <c r="D758" s="138">
        <v>1850.53</v>
      </c>
      <c r="E758" s="28">
        <v>1860.79</v>
      </c>
      <c r="F758" s="54">
        <f t="shared" si="15"/>
        <v>10.26</v>
      </c>
      <c r="G758" s="54">
        <f t="shared" si="102"/>
        <v>0.26</v>
      </c>
    </row>
    <row r="759" ht="14.25" customHeight="1">
      <c r="B759" s="140">
        <v>45986.0</v>
      </c>
      <c r="C759" s="141" t="str">
        <f t="shared" si="1"/>
        <v>11-2025</v>
      </c>
      <c r="D759" s="54">
        <f t="shared" ref="D759:D762" si="110">E758</f>
        <v>1860.79</v>
      </c>
      <c r="E759" s="28">
        <v>1870.68</v>
      </c>
      <c r="F759" s="54">
        <f t="shared" si="15"/>
        <v>9.89</v>
      </c>
      <c r="G759" s="54">
        <f t="shared" si="102"/>
        <v>-0.11</v>
      </c>
    </row>
    <row r="760" ht="14.25" customHeight="1">
      <c r="B760" s="140">
        <v>45987.0</v>
      </c>
      <c r="C760" s="141" t="str">
        <f t="shared" si="1"/>
        <v>11-2025</v>
      </c>
      <c r="D760" s="54">
        <f t="shared" si="110"/>
        <v>1870.68</v>
      </c>
      <c r="E760" s="28">
        <v>1880.97</v>
      </c>
      <c r="F760" s="54">
        <f t="shared" si="15"/>
        <v>10.29</v>
      </c>
      <c r="G760" s="54">
        <f t="shared" si="102"/>
        <v>0.29</v>
      </c>
    </row>
    <row r="761" ht="14.25" customHeight="1">
      <c r="B761" s="140">
        <v>45988.0</v>
      </c>
      <c r="C761" s="141" t="str">
        <f t="shared" si="1"/>
        <v>11-2025</v>
      </c>
      <c r="D761" s="54">
        <f t="shared" si="110"/>
        <v>1880.97</v>
      </c>
      <c r="E761" s="28">
        <v>1890.17</v>
      </c>
      <c r="F761" s="54">
        <f t="shared" si="15"/>
        <v>9.2</v>
      </c>
      <c r="G761" s="54">
        <f t="shared" si="102"/>
        <v>-0.8</v>
      </c>
    </row>
    <row r="762" ht="14.25" customHeight="1">
      <c r="B762" s="140">
        <v>45989.0</v>
      </c>
      <c r="C762" s="141" t="str">
        <f t="shared" si="1"/>
        <v>11-2025</v>
      </c>
      <c r="D762" s="54">
        <f t="shared" si="110"/>
        <v>1890.17</v>
      </c>
      <c r="E762" s="28">
        <v>1902.42</v>
      </c>
      <c r="F762" s="54">
        <f t="shared" si="15"/>
        <v>12.25</v>
      </c>
      <c r="G762" s="54">
        <f t="shared" si="102"/>
        <v>2.25</v>
      </c>
    </row>
    <row r="763" ht="14.25" customHeight="1">
      <c r="A763" s="157" t="s">
        <v>121</v>
      </c>
      <c r="B763" s="177">
        <v>45990.0</v>
      </c>
      <c r="C763" s="178" t="str">
        <f t="shared" si="1"/>
        <v>11-2025</v>
      </c>
      <c r="D763" s="157">
        <v>1902.42</v>
      </c>
      <c r="E763" s="157">
        <v>1909.96</v>
      </c>
      <c r="F763" s="179">
        <f t="shared" si="15"/>
        <v>7.54</v>
      </c>
      <c r="G763" s="179">
        <f t="shared" si="102"/>
        <v>-2.46</v>
      </c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</row>
    <row r="764" ht="14.25" customHeight="1">
      <c r="B764" s="140">
        <v>45991.0</v>
      </c>
      <c r="C764" s="141" t="str">
        <f t="shared" si="1"/>
        <v>11-2025</v>
      </c>
      <c r="D764" s="54"/>
      <c r="F764" s="54">
        <f t="shared" si="15"/>
        <v>0</v>
      </c>
      <c r="G764" s="54">
        <f t="shared" si="102"/>
        <v>-10</v>
      </c>
      <c r="H764" s="28">
        <v>3015.0</v>
      </c>
    </row>
    <row r="765" ht="14.25" hidden="1" customHeight="1">
      <c r="A765" s="28" t="s">
        <v>82</v>
      </c>
      <c r="B765" s="140">
        <v>45992.0</v>
      </c>
      <c r="C765" s="141" t="str">
        <f t="shared" si="1"/>
        <v>12-2025</v>
      </c>
      <c r="D765" s="138">
        <v>1910.33</v>
      </c>
      <c r="E765" s="28">
        <v>1912.49</v>
      </c>
      <c r="F765" s="54">
        <f t="shared" si="15"/>
        <v>2.16</v>
      </c>
      <c r="G765" s="54">
        <f t="shared" si="102"/>
        <v>-7.84</v>
      </c>
      <c r="H765" s="28" t="s">
        <v>153</v>
      </c>
      <c r="I765" s="28" t="s">
        <v>154</v>
      </c>
      <c r="K765" s="140">
        <v>45992.0</v>
      </c>
      <c r="L765" s="141" t="str">
        <f t="shared" ref="L765:L769" si="111">MONTH(K765)&amp; "-" &amp;YEAR(K765)</f>
        <v>12-2025</v>
      </c>
      <c r="M765" s="138">
        <v>3814.2</v>
      </c>
      <c r="N765" s="28">
        <v>3824.5</v>
      </c>
      <c r="O765" s="54">
        <f t="shared" ref="O765:O769" si="112">N765-M765</f>
        <v>10.3</v>
      </c>
      <c r="P765" s="54">
        <f t="shared" ref="P765:P769" si="113">O765-10</f>
        <v>0.3</v>
      </c>
      <c r="Q765" s="28" t="s">
        <v>155</v>
      </c>
      <c r="R765" s="28" t="s">
        <v>156</v>
      </c>
    </row>
    <row r="766" ht="14.25" hidden="1" customHeight="1">
      <c r="A766" s="28" t="s">
        <v>82</v>
      </c>
      <c r="B766" s="140">
        <v>45993.0</v>
      </c>
      <c r="C766" s="141" t="str">
        <f t="shared" si="1"/>
        <v>12-2025</v>
      </c>
      <c r="D766" s="54">
        <f t="shared" ref="D766:D769" si="114">E765</f>
        <v>1912.49</v>
      </c>
      <c r="E766" s="28">
        <v>1922.89</v>
      </c>
      <c r="F766" s="54">
        <f t="shared" si="15"/>
        <v>10.4</v>
      </c>
      <c r="G766" s="54">
        <f t="shared" si="102"/>
        <v>0.4</v>
      </c>
      <c r="H766" s="28" t="s">
        <v>153</v>
      </c>
      <c r="I766" s="28" t="s">
        <v>154</v>
      </c>
      <c r="K766" s="140">
        <v>45993.0</v>
      </c>
      <c r="L766" s="141" t="str">
        <f t="shared" si="111"/>
        <v>12-2025</v>
      </c>
      <c r="M766" s="54">
        <f t="shared" ref="M766:M769" si="115">N765</f>
        <v>3824.5</v>
      </c>
      <c r="N766" s="28">
        <v>3832.0</v>
      </c>
      <c r="O766" s="54">
        <f t="shared" si="112"/>
        <v>7.5</v>
      </c>
      <c r="P766" s="54">
        <f t="shared" si="113"/>
        <v>-2.5</v>
      </c>
      <c r="Q766" s="28" t="s">
        <v>155</v>
      </c>
      <c r="R766" s="28" t="s">
        <v>156</v>
      </c>
    </row>
    <row r="767" ht="14.25" hidden="1" customHeight="1">
      <c r="A767" s="28" t="s">
        <v>82</v>
      </c>
      <c r="B767" s="140">
        <v>45994.0</v>
      </c>
      <c r="C767" s="141" t="str">
        <f t="shared" si="1"/>
        <v>12-2025</v>
      </c>
      <c r="D767" s="54">
        <f t="shared" si="114"/>
        <v>1922.89</v>
      </c>
      <c r="E767" s="28">
        <v>1933.0</v>
      </c>
      <c r="F767" s="54">
        <f t="shared" si="15"/>
        <v>10.11</v>
      </c>
      <c r="G767" s="54">
        <f t="shared" si="102"/>
        <v>0.11</v>
      </c>
      <c r="H767" s="28" t="s">
        <v>153</v>
      </c>
      <c r="I767" s="28" t="s">
        <v>154</v>
      </c>
      <c r="K767" s="140">
        <v>45994.0</v>
      </c>
      <c r="L767" s="141" t="str">
        <f t="shared" si="111"/>
        <v>12-2025</v>
      </c>
      <c r="M767" s="54">
        <f t="shared" si="115"/>
        <v>3832</v>
      </c>
      <c r="N767" s="28">
        <v>3839.0</v>
      </c>
      <c r="O767" s="54">
        <f t="shared" si="112"/>
        <v>7</v>
      </c>
      <c r="P767" s="54">
        <f t="shared" si="113"/>
        <v>-3</v>
      </c>
      <c r="Q767" s="28" t="s">
        <v>157</v>
      </c>
      <c r="R767" s="28" t="s">
        <v>156</v>
      </c>
    </row>
    <row r="768" ht="14.25" hidden="1" customHeight="1">
      <c r="A768" s="28" t="s">
        <v>82</v>
      </c>
      <c r="B768" s="140">
        <v>45995.0</v>
      </c>
      <c r="C768" s="141" t="str">
        <f t="shared" si="1"/>
        <v>12-2025</v>
      </c>
      <c r="D768" s="54">
        <f t="shared" si="114"/>
        <v>1933</v>
      </c>
      <c r="E768" s="28">
        <v>1942.28</v>
      </c>
      <c r="F768" s="54">
        <f t="shared" si="15"/>
        <v>9.28</v>
      </c>
      <c r="G768" s="54">
        <f t="shared" si="102"/>
        <v>-0.72</v>
      </c>
      <c r="H768" s="28" t="s">
        <v>153</v>
      </c>
      <c r="I768" s="28" t="s">
        <v>154</v>
      </c>
      <c r="K768" s="140">
        <v>45995.0</v>
      </c>
      <c r="L768" s="141" t="str">
        <f t="shared" si="111"/>
        <v>12-2025</v>
      </c>
      <c r="M768" s="54">
        <f t="shared" si="115"/>
        <v>3839</v>
      </c>
      <c r="N768" s="28">
        <v>3846.5</v>
      </c>
      <c r="O768" s="54">
        <f t="shared" si="112"/>
        <v>7.5</v>
      </c>
      <c r="P768" s="54">
        <f t="shared" si="113"/>
        <v>-2.5</v>
      </c>
      <c r="Q768" s="28" t="s">
        <v>157</v>
      </c>
      <c r="R768" s="28" t="s">
        <v>156</v>
      </c>
    </row>
    <row r="769" ht="14.25" hidden="1" customHeight="1">
      <c r="A769" s="28" t="s">
        <v>82</v>
      </c>
      <c r="B769" s="140">
        <v>45996.0</v>
      </c>
      <c r="C769" s="141" t="str">
        <f t="shared" si="1"/>
        <v>12-2025</v>
      </c>
      <c r="D769" s="54">
        <f t="shared" si="114"/>
        <v>1942.28</v>
      </c>
      <c r="E769" s="28">
        <v>1952.72</v>
      </c>
      <c r="F769" s="54">
        <f t="shared" si="15"/>
        <v>10.44</v>
      </c>
      <c r="G769" s="54">
        <f t="shared" si="102"/>
        <v>0.44</v>
      </c>
      <c r="H769" s="28" t="s">
        <v>153</v>
      </c>
      <c r="I769" s="28" t="s">
        <v>154</v>
      </c>
      <c r="K769" s="140">
        <v>45996.0</v>
      </c>
      <c r="L769" s="141" t="str">
        <f t="shared" si="111"/>
        <v>12-2025</v>
      </c>
      <c r="M769" s="54">
        <f t="shared" si="115"/>
        <v>3846.5</v>
      </c>
      <c r="N769" s="28">
        <v>3852.0</v>
      </c>
      <c r="O769" s="54">
        <f t="shared" si="112"/>
        <v>5.5</v>
      </c>
      <c r="P769" s="54">
        <f t="shared" si="113"/>
        <v>-4.5</v>
      </c>
      <c r="Q769" s="28" t="s">
        <v>157</v>
      </c>
      <c r="R769" s="28" t="s">
        <v>156</v>
      </c>
    </row>
    <row r="770" ht="14.25" customHeight="1">
      <c r="B770" s="140">
        <v>45997.0</v>
      </c>
      <c r="C770" s="141" t="str">
        <f t="shared" si="1"/>
        <v>12-2025</v>
      </c>
      <c r="D770" s="54"/>
      <c r="F770" s="54">
        <f t="shared" si="15"/>
        <v>0</v>
      </c>
      <c r="G770" s="54">
        <f t="shared" si="102"/>
        <v>-10</v>
      </c>
      <c r="H770" s="28" t="s">
        <v>153</v>
      </c>
      <c r="I770" s="28" t="s">
        <v>154</v>
      </c>
    </row>
    <row r="771" ht="14.25" customHeight="1">
      <c r="B771" s="140">
        <v>45998.0</v>
      </c>
      <c r="C771" s="141" t="str">
        <f t="shared" si="1"/>
        <v>12-2025</v>
      </c>
      <c r="D771" s="54" t="str">
        <f>E770</f>
        <v/>
      </c>
      <c r="F771" s="54">
        <f t="shared" si="15"/>
        <v>0</v>
      </c>
      <c r="G771" s="54">
        <f t="shared" si="102"/>
        <v>-10</v>
      </c>
      <c r="H771" s="28" t="s">
        <v>153</v>
      </c>
      <c r="I771" s="28" t="s">
        <v>154</v>
      </c>
    </row>
    <row r="772" ht="14.25" hidden="1" customHeight="1">
      <c r="A772" s="28" t="s">
        <v>82</v>
      </c>
      <c r="B772" s="140">
        <v>45999.0</v>
      </c>
      <c r="C772" s="141" t="str">
        <f t="shared" si="1"/>
        <v>12-2025</v>
      </c>
      <c r="D772" s="138">
        <v>1952.72</v>
      </c>
      <c r="E772" s="28">
        <v>1964.97</v>
      </c>
      <c r="F772" s="54">
        <f t="shared" si="15"/>
        <v>12.25</v>
      </c>
      <c r="G772" s="54">
        <f t="shared" si="102"/>
        <v>2.25</v>
      </c>
      <c r="H772" s="28" t="s">
        <v>153</v>
      </c>
      <c r="I772" s="28" t="s">
        <v>154</v>
      </c>
      <c r="K772" s="140">
        <v>45999.0</v>
      </c>
      <c r="L772" s="141" t="str">
        <f t="shared" ref="L772:L773" si="116">MONTH(K772)&amp; "-" &amp;YEAR(K772)</f>
        <v>12-2025</v>
      </c>
      <c r="M772" s="138">
        <v>3852.0</v>
      </c>
      <c r="N772" s="28">
        <v>3860.0</v>
      </c>
      <c r="O772" s="54">
        <f t="shared" ref="O772:O773" si="117">N772-M772</f>
        <v>8</v>
      </c>
      <c r="P772" s="54">
        <f t="shared" ref="P772:P773" si="118">O772-10</f>
        <v>-2</v>
      </c>
      <c r="Q772" s="28" t="s">
        <v>157</v>
      </c>
      <c r="R772" s="28" t="s">
        <v>156</v>
      </c>
    </row>
    <row r="773" ht="14.25" hidden="1" customHeight="1">
      <c r="A773" s="28" t="s">
        <v>82</v>
      </c>
      <c r="B773" s="140">
        <v>46000.0</v>
      </c>
      <c r="C773" s="141" t="str">
        <f t="shared" si="1"/>
        <v>12-2025</v>
      </c>
      <c r="D773" s="54">
        <f t="shared" ref="D773:D775" si="119">E772</f>
        <v>1964.97</v>
      </c>
      <c r="E773" s="28">
        <v>1975.85</v>
      </c>
      <c r="F773" s="54">
        <f t="shared" si="15"/>
        <v>10.88</v>
      </c>
      <c r="G773" s="54">
        <f t="shared" si="102"/>
        <v>0.88</v>
      </c>
      <c r="H773" s="28" t="s">
        <v>153</v>
      </c>
      <c r="I773" s="28" t="s">
        <v>154</v>
      </c>
      <c r="K773" s="140">
        <v>46000.0</v>
      </c>
      <c r="L773" s="141" t="str">
        <f t="shared" si="116"/>
        <v>12-2025</v>
      </c>
      <c r="M773" s="54">
        <f>N772</f>
        <v>3860</v>
      </c>
      <c r="N773" s="28">
        <v>3868.0</v>
      </c>
      <c r="O773" s="54">
        <f t="shared" si="117"/>
        <v>8</v>
      </c>
      <c r="P773" s="54">
        <f t="shared" si="118"/>
        <v>-2</v>
      </c>
      <c r="Q773" s="28" t="s">
        <v>157</v>
      </c>
      <c r="R773" s="28" t="s">
        <v>156</v>
      </c>
    </row>
    <row r="774" ht="14.25" customHeight="1">
      <c r="A774" s="28" t="s">
        <v>82</v>
      </c>
      <c r="B774" s="140">
        <v>46001.0</v>
      </c>
      <c r="C774" s="141" t="str">
        <f t="shared" si="1"/>
        <v>12-2025</v>
      </c>
      <c r="D774" s="54">
        <f t="shared" si="119"/>
        <v>1975.85</v>
      </c>
      <c r="E774" s="28">
        <v>1985.77</v>
      </c>
      <c r="F774" s="54">
        <f t="shared" si="15"/>
        <v>9.92</v>
      </c>
      <c r="G774" s="54">
        <f t="shared" si="102"/>
        <v>-0.08</v>
      </c>
      <c r="H774" s="28" t="s">
        <v>153</v>
      </c>
      <c r="I774" s="28" t="s">
        <v>154</v>
      </c>
    </row>
    <row r="775" ht="14.25" customHeight="1">
      <c r="A775" s="28" t="s">
        <v>82</v>
      </c>
      <c r="B775" s="140">
        <v>46002.0</v>
      </c>
      <c r="C775" s="141" t="str">
        <f t="shared" si="1"/>
        <v>12-2025</v>
      </c>
      <c r="D775" s="54">
        <f t="shared" si="119"/>
        <v>1985.77</v>
      </c>
      <c r="E775" s="28">
        <v>1995.97</v>
      </c>
      <c r="F775" s="54">
        <f t="shared" si="15"/>
        <v>10.2</v>
      </c>
      <c r="G775" s="54">
        <f t="shared" si="102"/>
        <v>0.2</v>
      </c>
      <c r="H775" s="28" t="s">
        <v>153</v>
      </c>
      <c r="I775" s="28" t="s">
        <v>154</v>
      </c>
    </row>
    <row r="776" ht="14.25" customHeight="1">
      <c r="B776" s="140">
        <v>46003.0</v>
      </c>
      <c r="C776" s="141" t="str">
        <f t="shared" si="1"/>
        <v>12-2025</v>
      </c>
      <c r="D776" s="54"/>
      <c r="F776" s="54">
        <f t="shared" si="15"/>
        <v>0</v>
      </c>
      <c r="G776" s="54">
        <f t="shared" si="102"/>
        <v>-10</v>
      </c>
    </row>
    <row r="777" ht="14.25" customHeight="1">
      <c r="B777" s="140">
        <v>46004.0</v>
      </c>
      <c r="C777" s="141" t="str">
        <f t="shared" si="1"/>
        <v>12-2025</v>
      </c>
      <c r="D777" s="54" t="str">
        <f t="shared" ref="D777:D781" si="120">E776</f>
        <v/>
      </c>
      <c r="F777" s="54">
        <f t="shared" si="15"/>
        <v>0</v>
      </c>
      <c r="G777" s="54">
        <f t="shared" si="102"/>
        <v>-10</v>
      </c>
    </row>
    <row r="778" ht="14.25" customHeight="1">
      <c r="B778" s="140">
        <v>46005.0</v>
      </c>
      <c r="C778" s="141" t="str">
        <f t="shared" si="1"/>
        <v>12-2025</v>
      </c>
      <c r="D778" s="54" t="str">
        <f t="shared" si="120"/>
        <v/>
      </c>
      <c r="F778" s="54">
        <f t="shared" si="15"/>
        <v>0</v>
      </c>
      <c r="G778" s="54">
        <f t="shared" si="102"/>
        <v>-10</v>
      </c>
    </row>
    <row r="779" ht="14.25" customHeight="1">
      <c r="B779" s="140">
        <v>46006.0</v>
      </c>
      <c r="C779" s="141" t="str">
        <f t="shared" si="1"/>
        <v>12-2025</v>
      </c>
      <c r="D779" s="54" t="str">
        <f t="shared" si="120"/>
        <v/>
      </c>
      <c r="F779" s="54">
        <f t="shared" si="15"/>
        <v>0</v>
      </c>
      <c r="G779" s="54">
        <f t="shared" si="102"/>
        <v>-10</v>
      </c>
    </row>
    <row r="780" ht="14.25" customHeight="1">
      <c r="B780" s="147">
        <v>46007.0</v>
      </c>
      <c r="C780" s="141" t="str">
        <f t="shared" si="1"/>
        <v>12-2025</v>
      </c>
      <c r="D780" s="54" t="str">
        <f t="shared" si="120"/>
        <v/>
      </c>
      <c r="F780" s="54">
        <f t="shared" si="15"/>
        <v>0</v>
      </c>
      <c r="G780" s="54">
        <f t="shared" si="102"/>
        <v>-10</v>
      </c>
      <c r="J780" s="180" t="s">
        <v>158</v>
      </c>
      <c r="K780" s="147">
        <v>46007.0</v>
      </c>
      <c r="L780" s="181" t="str">
        <f t="shared" ref="L780:L798" si="121">MONTH(K780)&amp; "-" &amp;YEAR(K780)</f>
        <v>12-2025</v>
      </c>
      <c r="M780" s="182">
        <v>1995.97</v>
      </c>
      <c r="N780" s="183">
        <v>2006.06</v>
      </c>
      <c r="O780" s="182">
        <f t="shared" ref="O780:O798" si="122">N780-M780</f>
        <v>10.09</v>
      </c>
      <c r="P780" s="182">
        <f t="shared" ref="P780:P798" si="123">O780-10</f>
        <v>0.09</v>
      </c>
      <c r="Q780" s="180" t="s">
        <v>153</v>
      </c>
      <c r="R780" s="180" t="s">
        <v>154</v>
      </c>
    </row>
    <row r="781" ht="14.25" customHeight="1">
      <c r="B781" s="147">
        <v>46008.0</v>
      </c>
      <c r="C781" s="141" t="str">
        <f t="shared" si="1"/>
        <v>12-2025</v>
      </c>
      <c r="D781" s="54" t="str">
        <f t="shared" si="120"/>
        <v/>
      </c>
      <c r="F781" s="54">
        <f t="shared" si="15"/>
        <v>0</v>
      </c>
      <c r="G781" s="54">
        <f t="shared" si="102"/>
        <v>-10</v>
      </c>
      <c r="J781" s="180" t="s">
        <v>158</v>
      </c>
      <c r="K781" s="147">
        <v>46008.0</v>
      </c>
      <c r="L781" s="181" t="str">
        <f t="shared" si="121"/>
        <v>12-2025</v>
      </c>
      <c r="M781" s="182">
        <f t="shared" ref="M781:M782" si="124">N780</f>
        <v>2006.06</v>
      </c>
      <c r="N781" s="183">
        <v>2016.95</v>
      </c>
      <c r="O781" s="182">
        <f t="shared" si="122"/>
        <v>10.89</v>
      </c>
      <c r="P781" s="182">
        <f t="shared" si="123"/>
        <v>0.89</v>
      </c>
      <c r="Q781" s="180" t="s">
        <v>153</v>
      </c>
      <c r="R781" s="180" t="s">
        <v>154</v>
      </c>
    </row>
    <row r="782" ht="14.25" customHeight="1">
      <c r="B782" s="147">
        <v>46009.0</v>
      </c>
      <c r="C782" s="141" t="str">
        <f t="shared" si="1"/>
        <v>12-2025</v>
      </c>
      <c r="D782" s="138">
        <v>2027.1</v>
      </c>
      <c r="E782" s="28">
        <v>2037.67</v>
      </c>
      <c r="F782" s="54">
        <f t="shared" si="15"/>
        <v>10.57</v>
      </c>
      <c r="G782" s="54">
        <f t="shared" si="102"/>
        <v>0.57</v>
      </c>
      <c r="J782" s="180" t="s">
        <v>158</v>
      </c>
      <c r="K782" s="147">
        <v>46009.0</v>
      </c>
      <c r="L782" s="181" t="str">
        <f t="shared" si="121"/>
        <v>12-2025</v>
      </c>
      <c r="M782" s="182">
        <f t="shared" si="124"/>
        <v>2016.95</v>
      </c>
      <c r="N782" s="183">
        <v>2027.09</v>
      </c>
      <c r="O782" s="182">
        <f t="shared" si="122"/>
        <v>10.14</v>
      </c>
      <c r="P782" s="182">
        <f t="shared" si="123"/>
        <v>0.14</v>
      </c>
      <c r="Q782" s="180" t="s">
        <v>153</v>
      </c>
      <c r="R782" s="180" t="s">
        <v>154</v>
      </c>
    </row>
    <row r="783" ht="14.25" hidden="1" customHeight="1">
      <c r="A783" s="28" t="s">
        <v>55</v>
      </c>
      <c r="B783" s="140">
        <v>46010.0</v>
      </c>
      <c r="C783" s="141" t="str">
        <f t="shared" si="1"/>
        <v>12-2025</v>
      </c>
      <c r="D783" s="138">
        <v>2037.67</v>
      </c>
      <c r="E783" s="28">
        <v>2049.05</v>
      </c>
      <c r="F783" s="54">
        <f t="shared" si="15"/>
        <v>11.38</v>
      </c>
      <c r="G783" s="54">
        <f t="shared" si="102"/>
        <v>1.38</v>
      </c>
      <c r="H783" s="28" t="s">
        <v>153</v>
      </c>
      <c r="I783" s="28" t="s">
        <v>154</v>
      </c>
      <c r="K783" s="140">
        <v>46010.0</v>
      </c>
      <c r="L783" s="141" t="str">
        <f t="shared" si="121"/>
        <v>12-2025</v>
      </c>
      <c r="M783" s="138">
        <v>3868.0</v>
      </c>
      <c r="N783" s="28">
        <v>3875.0</v>
      </c>
      <c r="O783" s="54">
        <f t="shared" si="122"/>
        <v>7</v>
      </c>
      <c r="P783" s="54">
        <f t="shared" si="123"/>
        <v>-3</v>
      </c>
      <c r="Q783" s="28" t="s">
        <v>157</v>
      </c>
      <c r="R783" s="28" t="s">
        <v>156</v>
      </c>
    </row>
    <row r="784" ht="14.25" hidden="1" customHeight="1">
      <c r="B784" s="147">
        <v>46011.0</v>
      </c>
      <c r="C784" s="141" t="str">
        <f t="shared" si="1"/>
        <v>12-2025</v>
      </c>
      <c r="D784" s="138">
        <v>2049.05</v>
      </c>
      <c r="E784" s="28">
        <v>2054.67</v>
      </c>
      <c r="F784" s="54">
        <f t="shared" si="15"/>
        <v>5.62</v>
      </c>
      <c r="G784" s="54">
        <f t="shared" si="102"/>
        <v>-4.38</v>
      </c>
      <c r="J784" s="180" t="s">
        <v>158</v>
      </c>
      <c r="K784" s="147">
        <v>46011.0</v>
      </c>
      <c r="L784" s="181" t="str">
        <f t="shared" si="121"/>
        <v>12-2025</v>
      </c>
      <c r="M784" s="182">
        <v>14133.2</v>
      </c>
      <c r="N784" s="183">
        <v>14135.2</v>
      </c>
      <c r="O784" s="182">
        <f t="shared" si="122"/>
        <v>2</v>
      </c>
      <c r="P784" s="182">
        <f t="shared" si="123"/>
        <v>-8</v>
      </c>
      <c r="Q784" s="180" t="s">
        <v>159</v>
      </c>
      <c r="R784" s="180" t="s">
        <v>160</v>
      </c>
    </row>
    <row r="785" ht="14.25" customHeight="1">
      <c r="B785" s="147">
        <v>46011.0</v>
      </c>
      <c r="C785" s="141" t="str">
        <f t="shared" si="1"/>
        <v>12-2025</v>
      </c>
      <c r="D785" s="54"/>
      <c r="F785" s="54">
        <f t="shared" si="15"/>
        <v>0</v>
      </c>
      <c r="G785" s="54">
        <f t="shared" si="102"/>
        <v>-10</v>
      </c>
      <c r="J785" s="180" t="s">
        <v>158</v>
      </c>
      <c r="K785" s="147">
        <v>46011.0</v>
      </c>
      <c r="L785" s="181" t="str">
        <f t="shared" si="121"/>
        <v>12-2025</v>
      </c>
      <c r="M785" s="182">
        <v>2054.67</v>
      </c>
      <c r="N785" s="183">
        <v>2059.3</v>
      </c>
      <c r="O785" s="182">
        <f t="shared" si="122"/>
        <v>4.63</v>
      </c>
      <c r="P785" s="182">
        <f t="shared" si="123"/>
        <v>-5.37</v>
      </c>
      <c r="Q785" s="180" t="s">
        <v>161</v>
      </c>
      <c r="R785" s="180" t="s">
        <v>154</v>
      </c>
    </row>
    <row r="786" ht="14.25" customHeight="1">
      <c r="B786" s="147">
        <v>46012.0</v>
      </c>
      <c r="C786" s="141" t="str">
        <f t="shared" si="1"/>
        <v>12-2025</v>
      </c>
      <c r="D786" s="54"/>
      <c r="F786" s="54">
        <f t="shared" si="15"/>
        <v>0</v>
      </c>
      <c r="G786" s="54">
        <f t="shared" si="102"/>
        <v>-10</v>
      </c>
      <c r="J786" s="180" t="s">
        <v>158</v>
      </c>
      <c r="K786" s="147">
        <v>46012.0</v>
      </c>
      <c r="L786" s="181" t="str">
        <f t="shared" si="121"/>
        <v>12-2025</v>
      </c>
      <c r="M786" s="182">
        <v>2059.3</v>
      </c>
      <c r="N786" s="183">
        <v>2065.1</v>
      </c>
      <c r="O786" s="182">
        <f t="shared" si="122"/>
        <v>5.8</v>
      </c>
      <c r="P786" s="182">
        <f t="shared" si="123"/>
        <v>-4.2</v>
      </c>
      <c r="Q786" s="180" t="s">
        <v>162</v>
      </c>
      <c r="R786" s="180" t="s">
        <v>154</v>
      </c>
    </row>
    <row r="787" ht="14.25" customHeight="1">
      <c r="B787" s="147">
        <v>46013.0</v>
      </c>
      <c r="C787" s="141" t="str">
        <f t="shared" si="1"/>
        <v>12-2025</v>
      </c>
      <c r="D787" s="54"/>
      <c r="F787" s="54">
        <f t="shared" si="15"/>
        <v>0</v>
      </c>
      <c r="G787" s="54">
        <f t="shared" si="102"/>
        <v>-10</v>
      </c>
      <c r="J787" s="180" t="s">
        <v>158</v>
      </c>
      <c r="K787" s="147">
        <v>46013.0</v>
      </c>
      <c r="L787" s="181" t="str">
        <f t="shared" si="121"/>
        <v>12-2025</v>
      </c>
      <c r="M787" s="182">
        <v>2065.1</v>
      </c>
      <c r="N787" s="183">
        <v>2071.7</v>
      </c>
      <c r="O787" s="182">
        <f t="shared" si="122"/>
        <v>6.6</v>
      </c>
      <c r="P787" s="182">
        <f t="shared" si="123"/>
        <v>-3.4</v>
      </c>
      <c r="Q787" s="180" t="s">
        <v>163</v>
      </c>
      <c r="R787" s="180" t="s">
        <v>154</v>
      </c>
    </row>
    <row r="788" ht="14.25" customHeight="1">
      <c r="B788" s="140">
        <v>46013.0</v>
      </c>
      <c r="C788" s="141" t="str">
        <f t="shared" si="1"/>
        <v>12-2025</v>
      </c>
      <c r="D788" s="54"/>
      <c r="F788" s="54">
        <f t="shared" si="15"/>
        <v>0</v>
      </c>
      <c r="G788" s="54">
        <f t="shared" si="102"/>
        <v>-10</v>
      </c>
      <c r="K788" s="140">
        <v>46013.0</v>
      </c>
      <c r="L788" s="141" t="str">
        <f t="shared" si="121"/>
        <v>12-2025</v>
      </c>
      <c r="M788" s="138">
        <v>3875.0</v>
      </c>
      <c r="N788" s="28">
        <v>3877.0</v>
      </c>
      <c r="O788" s="54">
        <f t="shared" si="122"/>
        <v>2</v>
      </c>
      <c r="P788" s="54">
        <f t="shared" si="123"/>
        <v>-8</v>
      </c>
      <c r="Q788" s="28" t="s">
        <v>164</v>
      </c>
      <c r="R788" s="28"/>
    </row>
    <row r="789" ht="14.25" hidden="1" customHeight="1">
      <c r="B789" s="140">
        <v>46014.0</v>
      </c>
      <c r="C789" s="141" t="str">
        <f t="shared" si="1"/>
        <v>12-2025</v>
      </c>
      <c r="D789" s="54"/>
      <c r="F789" s="54">
        <f t="shared" si="15"/>
        <v>0</v>
      </c>
      <c r="G789" s="54">
        <f t="shared" si="102"/>
        <v>-10</v>
      </c>
      <c r="K789" s="140">
        <v>46014.0</v>
      </c>
      <c r="L789" s="141" t="str">
        <f t="shared" si="121"/>
        <v>12-2025</v>
      </c>
      <c r="M789" s="138">
        <v>3877.0</v>
      </c>
      <c r="N789" s="28">
        <v>3881.2</v>
      </c>
      <c r="O789" s="54">
        <f t="shared" si="122"/>
        <v>4.2</v>
      </c>
      <c r="P789" s="54">
        <f t="shared" si="123"/>
        <v>-5.8</v>
      </c>
      <c r="Q789" s="28" t="s">
        <v>164</v>
      </c>
      <c r="R789" s="28" t="s">
        <v>156</v>
      </c>
    </row>
    <row r="790" ht="14.25" customHeight="1">
      <c r="B790" s="140">
        <v>46014.0</v>
      </c>
      <c r="C790" s="141" t="str">
        <f t="shared" si="1"/>
        <v>12-2025</v>
      </c>
      <c r="D790" s="54"/>
      <c r="F790" s="54">
        <f t="shared" si="15"/>
        <v>0</v>
      </c>
      <c r="G790" s="54">
        <f t="shared" si="102"/>
        <v>-10</v>
      </c>
      <c r="J790" s="28" t="s">
        <v>158</v>
      </c>
      <c r="K790" s="140">
        <v>46014.0</v>
      </c>
      <c r="L790" s="141" t="str">
        <f t="shared" si="121"/>
        <v>12-2025</v>
      </c>
      <c r="M790" s="138">
        <v>2073.46</v>
      </c>
      <c r="N790" s="28">
        <v>2078.0</v>
      </c>
      <c r="O790" s="54">
        <f t="shared" si="122"/>
        <v>4.54</v>
      </c>
      <c r="P790" s="54">
        <f t="shared" si="123"/>
        <v>-5.46</v>
      </c>
      <c r="Q790" s="28" t="s">
        <v>153</v>
      </c>
      <c r="R790" s="28"/>
    </row>
    <row r="791" ht="14.25" customHeight="1">
      <c r="B791" s="140">
        <v>46015.0</v>
      </c>
      <c r="C791" s="141" t="str">
        <f t="shared" si="1"/>
        <v>12-2025</v>
      </c>
      <c r="D791" s="54"/>
      <c r="F791" s="54">
        <f t="shared" si="15"/>
        <v>0</v>
      </c>
      <c r="G791" s="54">
        <f t="shared" si="102"/>
        <v>-10</v>
      </c>
      <c r="J791" s="28" t="s">
        <v>158</v>
      </c>
      <c r="K791" s="140">
        <v>46015.0</v>
      </c>
      <c r="L791" s="141" t="str">
        <f t="shared" si="121"/>
        <v>12-2025</v>
      </c>
      <c r="M791" s="138">
        <v>2078.0</v>
      </c>
      <c r="N791" s="28">
        <v>2088.0</v>
      </c>
      <c r="O791" s="54">
        <f t="shared" si="122"/>
        <v>10</v>
      </c>
      <c r="P791" s="54">
        <f t="shared" si="123"/>
        <v>0</v>
      </c>
      <c r="Q791" s="28" t="s">
        <v>153</v>
      </c>
      <c r="R791" s="28" t="s">
        <v>165</v>
      </c>
    </row>
    <row r="792" ht="14.25" customHeight="1">
      <c r="B792" s="140">
        <v>46016.0</v>
      </c>
      <c r="C792" s="141" t="str">
        <f t="shared" si="1"/>
        <v>12-2025</v>
      </c>
      <c r="D792" s="54"/>
      <c r="F792" s="54">
        <f t="shared" si="15"/>
        <v>0</v>
      </c>
      <c r="G792" s="54">
        <f t="shared" si="102"/>
        <v>-10</v>
      </c>
      <c r="K792" s="140">
        <v>46016.0</v>
      </c>
      <c r="L792" s="141" t="str">
        <f t="shared" si="121"/>
        <v>12-2025</v>
      </c>
      <c r="M792" s="54"/>
      <c r="O792" s="54">
        <f t="shared" si="122"/>
        <v>0</v>
      </c>
      <c r="P792" s="54">
        <f t="shared" si="123"/>
        <v>-10</v>
      </c>
    </row>
    <row r="793" ht="14.25" customHeight="1">
      <c r="B793" s="140">
        <v>46017.0</v>
      </c>
      <c r="C793" s="141" t="str">
        <f t="shared" si="1"/>
        <v>12-2025</v>
      </c>
      <c r="D793" s="54"/>
      <c r="F793" s="54">
        <f t="shared" si="15"/>
        <v>0</v>
      </c>
      <c r="G793" s="54">
        <f t="shared" si="102"/>
        <v>-10</v>
      </c>
      <c r="J793" s="28" t="s">
        <v>158</v>
      </c>
      <c r="K793" s="140">
        <v>46017.0</v>
      </c>
      <c r="L793" s="141" t="str">
        <f t="shared" si="121"/>
        <v>12-2025</v>
      </c>
      <c r="M793" s="138">
        <v>2088.0</v>
      </c>
      <c r="N793" s="28">
        <v>2098.25</v>
      </c>
      <c r="O793" s="54">
        <f t="shared" si="122"/>
        <v>10.25</v>
      </c>
      <c r="P793" s="54">
        <f t="shared" si="123"/>
        <v>0.25</v>
      </c>
      <c r="Q793" s="28" t="s">
        <v>166</v>
      </c>
      <c r="R793" s="28" t="s">
        <v>154</v>
      </c>
    </row>
    <row r="794" ht="14.25" customHeight="1">
      <c r="B794" s="140">
        <v>46018.0</v>
      </c>
      <c r="C794" s="141" t="str">
        <f t="shared" si="1"/>
        <v>12-2025</v>
      </c>
      <c r="D794" s="54"/>
      <c r="F794" s="54">
        <f t="shared" si="15"/>
        <v>0</v>
      </c>
      <c r="G794" s="54">
        <f t="shared" si="102"/>
        <v>-10</v>
      </c>
      <c r="J794" s="28" t="s">
        <v>158</v>
      </c>
      <c r="K794" s="140">
        <v>46018.0</v>
      </c>
      <c r="L794" s="141" t="str">
        <f t="shared" si="121"/>
        <v>12-2025</v>
      </c>
      <c r="M794" s="54">
        <f>N793</f>
        <v>2098.25</v>
      </c>
      <c r="N794" s="28">
        <v>2104.75</v>
      </c>
      <c r="O794" s="54">
        <f t="shared" si="122"/>
        <v>6.5</v>
      </c>
      <c r="P794" s="54">
        <f t="shared" si="123"/>
        <v>-3.5</v>
      </c>
      <c r="Q794" s="28" t="s">
        <v>167</v>
      </c>
      <c r="R794" s="28" t="s">
        <v>154</v>
      </c>
    </row>
    <row r="795" ht="14.25" customHeight="1">
      <c r="B795" s="140">
        <v>46019.0</v>
      </c>
      <c r="C795" s="141" t="str">
        <f t="shared" si="1"/>
        <v>12-2025</v>
      </c>
      <c r="D795" s="54"/>
      <c r="F795" s="54">
        <f t="shared" si="15"/>
        <v>0</v>
      </c>
      <c r="G795" s="54">
        <f t="shared" si="102"/>
        <v>-10</v>
      </c>
      <c r="K795" s="140">
        <v>46019.0</v>
      </c>
      <c r="L795" s="141" t="str">
        <f t="shared" si="121"/>
        <v>12-2025</v>
      </c>
      <c r="O795" s="54">
        <f t="shared" si="122"/>
        <v>0</v>
      </c>
      <c r="P795" s="54">
        <f t="shared" si="123"/>
        <v>-10</v>
      </c>
    </row>
    <row r="796" ht="14.25" customHeight="1">
      <c r="B796" s="140">
        <v>46020.0</v>
      </c>
      <c r="C796" s="141" t="str">
        <f t="shared" si="1"/>
        <v>12-2025</v>
      </c>
      <c r="D796" s="54"/>
      <c r="F796" s="54">
        <f t="shared" si="15"/>
        <v>0</v>
      </c>
      <c r="G796" s="54">
        <f t="shared" si="102"/>
        <v>-10</v>
      </c>
      <c r="J796" s="28" t="s">
        <v>158</v>
      </c>
      <c r="K796" s="140">
        <v>46020.0</v>
      </c>
      <c r="L796" s="141" t="str">
        <f t="shared" si="121"/>
        <v>12-2025</v>
      </c>
      <c r="M796" s="54">
        <f>N794</f>
        <v>2104.75</v>
      </c>
      <c r="N796" s="28">
        <v>2114.2</v>
      </c>
      <c r="O796" s="54">
        <f t="shared" si="122"/>
        <v>9.45</v>
      </c>
      <c r="P796" s="54">
        <f t="shared" si="123"/>
        <v>-0.55</v>
      </c>
      <c r="Q796" s="28" t="s">
        <v>153</v>
      </c>
      <c r="R796" s="28" t="s">
        <v>154</v>
      </c>
    </row>
    <row r="797" ht="14.25" customHeight="1">
      <c r="B797" s="140">
        <v>46021.0</v>
      </c>
      <c r="C797" s="141" t="str">
        <f t="shared" si="1"/>
        <v>12-2025</v>
      </c>
      <c r="D797" s="138">
        <v>14172.1</v>
      </c>
      <c r="E797" s="28">
        <v>14175.4</v>
      </c>
      <c r="F797" s="54">
        <f t="shared" si="15"/>
        <v>3.3</v>
      </c>
      <c r="G797" s="54">
        <f t="shared" si="102"/>
        <v>-6.7</v>
      </c>
      <c r="H797" s="28" t="s">
        <v>168</v>
      </c>
      <c r="J797" s="28" t="s">
        <v>158</v>
      </c>
      <c r="K797" s="140">
        <v>46021.0</v>
      </c>
      <c r="L797" s="141" t="str">
        <f t="shared" si="121"/>
        <v>12-2025</v>
      </c>
      <c r="M797" s="54">
        <f t="shared" ref="M797:M798" si="125">N796</f>
        <v>2114.2</v>
      </c>
      <c r="N797" s="28">
        <v>2125.58</v>
      </c>
      <c r="O797" s="54">
        <f t="shared" si="122"/>
        <v>11.38</v>
      </c>
      <c r="P797" s="54">
        <f t="shared" si="123"/>
        <v>1.38</v>
      </c>
      <c r="Q797" s="28" t="s">
        <v>153</v>
      </c>
      <c r="R797" s="28" t="s">
        <v>154</v>
      </c>
    </row>
    <row r="798" ht="14.25" customHeight="1">
      <c r="B798" s="140">
        <v>46022.0</v>
      </c>
      <c r="C798" s="141" t="str">
        <f t="shared" si="1"/>
        <v>12-2025</v>
      </c>
      <c r="D798" s="54"/>
      <c r="F798" s="54">
        <f t="shared" si="15"/>
        <v>0</v>
      </c>
      <c r="G798" s="54">
        <f t="shared" si="102"/>
        <v>-10</v>
      </c>
      <c r="J798" s="28" t="s">
        <v>158</v>
      </c>
      <c r="K798" s="140">
        <v>46022.0</v>
      </c>
      <c r="L798" s="141" t="str">
        <f t="shared" si="121"/>
        <v>12-2025</v>
      </c>
      <c r="M798" s="54">
        <f t="shared" si="125"/>
        <v>2125.58</v>
      </c>
      <c r="N798" s="28">
        <v>2129.05</v>
      </c>
      <c r="O798" s="54">
        <f t="shared" si="122"/>
        <v>3.47</v>
      </c>
      <c r="P798" s="54">
        <f t="shared" si="123"/>
        <v>-6.53</v>
      </c>
      <c r="Q798" s="28" t="s">
        <v>153</v>
      </c>
      <c r="R798" s="28" t="s">
        <v>154</v>
      </c>
    </row>
    <row r="799" ht="14.25" customHeight="1">
      <c r="B799" s="140">
        <v>46023.0</v>
      </c>
      <c r="C799" s="141" t="str">
        <f t="shared" si="1"/>
        <v>1-2026</v>
      </c>
      <c r="D799" s="138"/>
      <c r="F799" s="54">
        <f t="shared" si="15"/>
        <v>0</v>
      </c>
      <c r="G799" s="54">
        <f t="shared" si="102"/>
        <v>-10</v>
      </c>
    </row>
    <row r="800" ht="14.25" customHeight="1">
      <c r="B800" s="140">
        <v>46024.0</v>
      </c>
      <c r="C800" s="141" t="str">
        <f t="shared" si="1"/>
        <v>1-2026</v>
      </c>
      <c r="D800" s="138">
        <v>14175.4</v>
      </c>
      <c r="E800" s="28">
        <v>14180.3</v>
      </c>
      <c r="F800" s="54">
        <f t="shared" si="15"/>
        <v>4.9</v>
      </c>
      <c r="G800" s="54">
        <f t="shared" si="102"/>
        <v>-5.1</v>
      </c>
      <c r="H800" s="28" t="s">
        <v>169</v>
      </c>
    </row>
    <row r="801" ht="14.25" customHeight="1">
      <c r="B801" s="151">
        <v>46025.0</v>
      </c>
      <c r="C801" s="141" t="str">
        <f t="shared" si="1"/>
        <v>1-2026</v>
      </c>
      <c r="D801" s="138">
        <v>2141.57</v>
      </c>
      <c r="E801" s="28">
        <v>2147.14</v>
      </c>
      <c r="F801" s="54">
        <f t="shared" si="15"/>
        <v>5.57</v>
      </c>
      <c r="G801" s="54">
        <f t="shared" si="102"/>
        <v>-4.43</v>
      </c>
    </row>
    <row r="802" ht="14.25" customHeight="1">
      <c r="B802" s="151">
        <v>46026.0</v>
      </c>
      <c r="C802" s="141" t="str">
        <f t="shared" si="1"/>
        <v>1-2026</v>
      </c>
      <c r="D802" s="54"/>
      <c r="F802" s="54">
        <f t="shared" si="15"/>
        <v>0</v>
      </c>
      <c r="G802" s="54">
        <f t="shared" si="102"/>
        <v>-10</v>
      </c>
    </row>
    <row r="803" ht="14.25" customHeight="1">
      <c r="B803" s="140">
        <v>46027.0</v>
      </c>
      <c r="C803" s="141" t="str">
        <f t="shared" si="1"/>
        <v>1-2026</v>
      </c>
      <c r="D803" s="138">
        <v>2147.14</v>
      </c>
      <c r="E803" s="28">
        <v>2158.38</v>
      </c>
      <c r="F803" s="54">
        <f t="shared" si="15"/>
        <v>11.24</v>
      </c>
      <c r="G803" s="54">
        <f t="shared" si="102"/>
        <v>1.24</v>
      </c>
    </row>
    <row r="804" ht="14.25" customHeight="1">
      <c r="B804" s="140">
        <v>46028.0</v>
      </c>
      <c r="C804" s="141" t="str">
        <f t="shared" si="1"/>
        <v>1-2026</v>
      </c>
      <c r="D804" s="54">
        <f t="shared" ref="D804:D808" si="126">E803</f>
        <v>2158.38</v>
      </c>
      <c r="E804" s="28">
        <v>2169.53</v>
      </c>
      <c r="F804" s="54">
        <f t="shared" si="15"/>
        <v>11.15</v>
      </c>
      <c r="G804" s="54">
        <f t="shared" si="102"/>
        <v>1.15</v>
      </c>
    </row>
    <row r="805" ht="14.25" customHeight="1">
      <c r="B805" s="140">
        <v>46029.0</v>
      </c>
      <c r="C805" s="141" t="str">
        <f t="shared" si="1"/>
        <v>1-2026</v>
      </c>
      <c r="D805" s="54">
        <f t="shared" si="126"/>
        <v>2169.53</v>
      </c>
      <c r="E805" s="28">
        <v>2180.27</v>
      </c>
      <c r="F805" s="54">
        <f t="shared" si="15"/>
        <v>10.74</v>
      </c>
      <c r="G805" s="54">
        <f t="shared" si="102"/>
        <v>0.74</v>
      </c>
    </row>
    <row r="806" ht="14.25" customHeight="1">
      <c r="B806" s="140">
        <v>46030.0</v>
      </c>
      <c r="C806" s="141" t="str">
        <f t="shared" si="1"/>
        <v>1-2026</v>
      </c>
      <c r="D806" s="54">
        <f t="shared" si="126"/>
        <v>2180.27</v>
      </c>
      <c r="E806" s="28">
        <v>2190.57</v>
      </c>
      <c r="F806" s="54">
        <f t="shared" si="15"/>
        <v>10.3</v>
      </c>
      <c r="G806" s="54">
        <f t="shared" si="102"/>
        <v>0.3</v>
      </c>
    </row>
    <row r="807" ht="14.25" customHeight="1">
      <c r="B807" s="140">
        <v>46031.0</v>
      </c>
      <c r="C807" s="141" t="str">
        <f t="shared" si="1"/>
        <v>1-2026</v>
      </c>
      <c r="D807" s="54">
        <f t="shared" si="126"/>
        <v>2190.57</v>
      </c>
      <c r="E807" s="28">
        <v>2200.12</v>
      </c>
      <c r="F807" s="54">
        <f t="shared" si="15"/>
        <v>9.55</v>
      </c>
      <c r="G807" s="54">
        <f t="shared" si="102"/>
        <v>-0.45</v>
      </c>
    </row>
    <row r="808" ht="14.25" customHeight="1">
      <c r="B808" s="151">
        <v>46032.0</v>
      </c>
      <c r="C808" s="141" t="str">
        <f t="shared" si="1"/>
        <v>1-2026</v>
      </c>
      <c r="D808" s="54">
        <f t="shared" si="126"/>
        <v>2200.12</v>
      </c>
      <c r="E808" s="28">
        <v>2206.77</v>
      </c>
      <c r="F808" s="54">
        <f t="shared" si="15"/>
        <v>6.65</v>
      </c>
      <c r="G808" s="54">
        <f t="shared" si="102"/>
        <v>-3.35</v>
      </c>
    </row>
    <row r="809" ht="14.25" customHeight="1">
      <c r="B809" s="151">
        <v>46033.0</v>
      </c>
      <c r="C809" s="141" t="str">
        <f t="shared" si="1"/>
        <v>1-2026</v>
      </c>
      <c r="D809" s="54"/>
      <c r="F809" s="54">
        <f t="shared" si="15"/>
        <v>0</v>
      </c>
      <c r="G809" s="54">
        <f t="shared" si="102"/>
        <v>-10</v>
      </c>
    </row>
    <row r="810" ht="14.25" customHeight="1">
      <c r="B810" s="140">
        <v>46034.0</v>
      </c>
      <c r="C810" s="141" t="str">
        <f t="shared" si="1"/>
        <v>1-2026</v>
      </c>
      <c r="D810" s="138">
        <v>2206.77</v>
      </c>
      <c r="E810" s="28">
        <v>2219.57</v>
      </c>
      <c r="F810" s="54">
        <f t="shared" si="15"/>
        <v>12.8</v>
      </c>
      <c r="G810" s="54">
        <f t="shared" si="102"/>
        <v>2.8</v>
      </c>
    </row>
    <row r="811" ht="14.25" customHeight="1">
      <c r="B811" s="140">
        <v>46035.0</v>
      </c>
      <c r="C811" s="141" t="str">
        <f t="shared" si="1"/>
        <v>1-2026</v>
      </c>
      <c r="D811" s="54">
        <f t="shared" ref="D811:D814" si="127">E810</f>
        <v>2219.57</v>
      </c>
      <c r="E811" s="28">
        <v>2231.07</v>
      </c>
      <c r="F811" s="54">
        <f t="shared" si="15"/>
        <v>11.5</v>
      </c>
      <c r="G811" s="54">
        <f t="shared" si="102"/>
        <v>1.5</v>
      </c>
    </row>
    <row r="812" ht="14.25" customHeight="1">
      <c r="B812" s="140">
        <v>46036.0</v>
      </c>
      <c r="C812" s="141" t="str">
        <f t="shared" si="1"/>
        <v>1-2026</v>
      </c>
      <c r="D812" s="54">
        <f t="shared" si="127"/>
        <v>2231.07</v>
      </c>
      <c r="E812" s="28">
        <v>2243.45</v>
      </c>
      <c r="F812" s="54">
        <f t="shared" si="15"/>
        <v>12.38</v>
      </c>
      <c r="G812" s="54">
        <f t="shared" si="102"/>
        <v>2.38</v>
      </c>
    </row>
    <row r="813" ht="14.25" customHeight="1">
      <c r="B813" s="140">
        <v>46037.0</v>
      </c>
      <c r="C813" s="141" t="str">
        <f t="shared" si="1"/>
        <v>1-2026</v>
      </c>
      <c r="D813" s="54">
        <f t="shared" si="127"/>
        <v>2243.45</v>
      </c>
      <c r="E813" s="28">
        <v>2252.91</v>
      </c>
      <c r="F813" s="54">
        <f t="shared" si="15"/>
        <v>9.46</v>
      </c>
      <c r="G813" s="54">
        <f t="shared" si="102"/>
        <v>-0.54</v>
      </c>
    </row>
    <row r="814" ht="14.25" customHeight="1">
      <c r="B814" s="140">
        <v>46038.0</v>
      </c>
      <c r="C814" s="141" t="str">
        <f t="shared" si="1"/>
        <v>1-2026</v>
      </c>
      <c r="D814" s="54">
        <f t="shared" si="127"/>
        <v>2252.91</v>
      </c>
      <c r="E814" s="28">
        <v>2262.78</v>
      </c>
      <c r="F814" s="54">
        <f t="shared" si="15"/>
        <v>9.87</v>
      </c>
      <c r="G814" s="54">
        <f t="shared" si="102"/>
        <v>-0.13</v>
      </c>
    </row>
    <row r="815" ht="14.25" customHeight="1">
      <c r="B815" s="151">
        <v>46039.0</v>
      </c>
      <c r="C815" s="141" t="str">
        <f t="shared" si="1"/>
        <v>1-2026</v>
      </c>
      <c r="D815" s="54"/>
      <c r="F815" s="54">
        <f t="shared" si="15"/>
        <v>0</v>
      </c>
      <c r="G815" s="54">
        <f t="shared" si="102"/>
        <v>-10</v>
      </c>
    </row>
    <row r="816" ht="14.25" customHeight="1">
      <c r="B816" s="151">
        <v>46040.0</v>
      </c>
      <c r="C816" s="141" t="str">
        <f t="shared" si="1"/>
        <v>1-2026</v>
      </c>
      <c r="D816" s="54" t="str">
        <f>E815</f>
        <v/>
      </c>
      <c r="F816" s="54">
        <f t="shared" si="15"/>
        <v>0</v>
      </c>
      <c r="G816" s="54">
        <f t="shared" si="102"/>
        <v>-10</v>
      </c>
    </row>
    <row r="817" ht="14.25" customHeight="1">
      <c r="B817" s="140">
        <v>46041.0</v>
      </c>
      <c r="C817" s="141" t="str">
        <f t="shared" si="1"/>
        <v>1-2026</v>
      </c>
      <c r="D817" s="138">
        <v>2262.78</v>
      </c>
      <c r="E817" s="28">
        <v>2273.17</v>
      </c>
      <c r="F817" s="54">
        <f t="shared" si="15"/>
        <v>10.39</v>
      </c>
      <c r="G817" s="54">
        <f t="shared" si="102"/>
        <v>0.39</v>
      </c>
    </row>
    <row r="818" ht="14.25" customHeight="1">
      <c r="B818" s="140">
        <v>46042.0</v>
      </c>
      <c r="C818" s="141" t="str">
        <f t="shared" si="1"/>
        <v>1-2026</v>
      </c>
      <c r="D818" s="54">
        <f t="shared" ref="D818:D822" si="128">E817</f>
        <v>2273.17</v>
      </c>
      <c r="E818" s="28">
        <v>2283.65</v>
      </c>
      <c r="F818" s="54">
        <f t="shared" si="15"/>
        <v>10.48</v>
      </c>
      <c r="G818" s="54">
        <f t="shared" si="102"/>
        <v>0.48</v>
      </c>
    </row>
    <row r="819" ht="14.25" customHeight="1">
      <c r="B819" s="140">
        <v>46043.0</v>
      </c>
      <c r="C819" s="141" t="str">
        <f t="shared" si="1"/>
        <v>1-2026</v>
      </c>
      <c r="D819" s="54">
        <f t="shared" si="128"/>
        <v>2283.65</v>
      </c>
      <c r="E819" s="28">
        <v>2294.89</v>
      </c>
      <c r="F819" s="54">
        <f t="shared" si="15"/>
        <v>11.24</v>
      </c>
      <c r="G819" s="54">
        <f t="shared" si="102"/>
        <v>1.24</v>
      </c>
    </row>
    <row r="820" ht="14.25" customHeight="1">
      <c r="B820" s="140">
        <v>46044.0</v>
      </c>
      <c r="C820" s="141" t="str">
        <f t="shared" si="1"/>
        <v>1-2026</v>
      </c>
      <c r="D820" s="54">
        <f t="shared" si="128"/>
        <v>2294.89</v>
      </c>
      <c r="E820" s="28">
        <v>2305.28</v>
      </c>
      <c r="F820" s="54">
        <f t="shared" si="15"/>
        <v>10.39</v>
      </c>
      <c r="G820" s="54">
        <f t="shared" si="102"/>
        <v>0.39</v>
      </c>
    </row>
    <row r="821" ht="14.25" customHeight="1">
      <c r="B821" s="140">
        <v>46045.0</v>
      </c>
      <c r="C821" s="141" t="str">
        <f t="shared" si="1"/>
        <v>1-2026</v>
      </c>
      <c r="D821" s="54">
        <f t="shared" si="128"/>
        <v>2305.28</v>
      </c>
      <c r="E821" s="28">
        <v>2310.41</v>
      </c>
      <c r="F821" s="54">
        <f t="shared" si="15"/>
        <v>5.13</v>
      </c>
      <c r="G821" s="54">
        <f t="shared" si="102"/>
        <v>-4.87</v>
      </c>
    </row>
    <row r="822" ht="14.25" customHeight="1">
      <c r="B822" s="151">
        <v>46046.0</v>
      </c>
      <c r="C822" s="141" t="str">
        <f t="shared" si="1"/>
        <v>1-2026</v>
      </c>
      <c r="D822" s="54">
        <f t="shared" si="128"/>
        <v>2310.41</v>
      </c>
      <c r="E822" s="28">
        <v>2317.61</v>
      </c>
      <c r="F822" s="54">
        <f t="shared" si="15"/>
        <v>7.2</v>
      </c>
      <c r="G822" s="54">
        <f t="shared" si="102"/>
        <v>-2.8</v>
      </c>
    </row>
    <row r="823" ht="14.25" customHeight="1">
      <c r="B823" s="151">
        <v>46047.0</v>
      </c>
      <c r="C823" s="141" t="str">
        <f t="shared" si="1"/>
        <v>1-2026</v>
      </c>
      <c r="D823" s="54"/>
      <c r="F823" s="54">
        <f t="shared" si="15"/>
        <v>0</v>
      </c>
      <c r="G823" s="54">
        <f t="shared" si="102"/>
        <v>-10</v>
      </c>
    </row>
    <row r="824" ht="14.25" customHeight="1">
      <c r="B824" s="140">
        <v>46048.0</v>
      </c>
      <c r="C824" s="141" t="str">
        <f t="shared" si="1"/>
        <v>1-2026</v>
      </c>
      <c r="D824" s="138">
        <v>2317.61</v>
      </c>
      <c r="E824" s="28">
        <v>2324.98</v>
      </c>
      <c r="F824" s="54">
        <f t="shared" si="15"/>
        <v>7.37</v>
      </c>
      <c r="G824" s="54">
        <f t="shared" si="102"/>
        <v>-2.63</v>
      </c>
    </row>
    <row r="825" ht="14.25" customHeight="1">
      <c r="B825" s="140">
        <v>46049.0</v>
      </c>
      <c r="C825" s="141" t="str">
        <f t="shared" si="1"/>
        <v>1-2026</v>
      </c>
      <c r="D825" s="54">
        <f t="shared" ref="D825:D829" si="129">E824</f>
        <v>2324.98</v>
      </c>
      <c r="E825" s="28">
        <v>2335.07</v>
      </c>
      <c r="F825" s="54">
        <f t="shared" si="15"/>
        <v>10.09</v>
      </c>
      <c r="G825" s="54">
        <f t="shared" si="102"/>
        <v>0.09</v>
      </c>
    </row>
    <row r="826" ht="14.25" customHeight="1">
      <c r="B826" s="140">
        <v>46050.0</v>
      </c>
      <c r="C826" s="141" t="str">
        <f t="shared" si="1"/>
        <v>1-2026</v>
      </c>
      <c r="D826" s="54">
        <f t="shared" si="129"/>
        <v>2335.07</v>
      </c>
      <c r="E826" s="28">
        <v>2345.07</v>
      </c>
      <c r="F826" s="54">
        <f t="shared" si="15"/>
        <v>10</v>
      </c>
      <c r="G826" s="54">
        <f t="shared" si="102"/>
        <v>0</v>
      </c>
    </row>
    <row r="827" ht="14.25" customHeight="1">
      <c r="B827" s="140">
        <v>46051.0</v>
      </c>
      <c r="C827" s="141" t="str">
        <f t="shared" si="1"/>
        <v>1-2026</v>
      </c>
      <c r="D827" s="54">
        <f t="shared" si="129"/>
        <v>2345.07</v>
      </c>
      <c r="E827" s="28">
        <v>2355.43</v>
      </c>
      <c r="F827" s="54">
        <f t="shared" si="15"/>
        <v>10.36</v>
      </c>
      <c r="G827" s="54">
        <f t="shared" si="102"/>
        <v>0.36</v>
      </c>
    </row>
    <row r="828" ht="14.25" customHeight="1">
      <c r="B828" s="140">
        <v>46052.0</v>
      </c>
      <c r="C828" s="141" t="str">
        <f t="shared" si="1"/>
        <v>1-2026</v>
      </c>
      <c r="D828" s="54">
        <f t="shared" si="129"/>
        <v>2355.43</v>
      </c>
      <c r="E828" s="28">
        <v>2364.35</v>
      </c>
      <c r="F828" s="54">
        <f t="shared" si="15"/>
        <v>8.92</v>
      </c>
      <c r="G828" s="54">
        <f t="shared" si="102"/>
        <v>-1.08</v>
      </c>
    </row>
    <row r="829" ht="14.25" customHeight="1">
      <c r="B829" s="151">
        <v>46053.0</v>
      </c>
      <c r="C829" s="141" t="str">
        <f t="shared" si="1"/>
        <v>1-2026</v>
      </c>
      <c r="D829" s="54">
        <f t="shared" si="129"/>
        <v>2364.35</v>
      </c>
      <c r="E829" s="28">
        <v>2370.55</v>
      </c>
      <c r="F829" s="54">
        <f t="shared" si="15"/>
        <v>6.2</v>
      </c>
      <c r="G829" s="54">
        <f t="shared" si="102"/>
        <v>-3.8</v>
      </c>
    </row>
    <row r="830" ht="14.25" customHeight="1">
      <c r="B830" s="140">
        <v>46054.0</v>
      </c>
      <c r="C830" s="141" t="str">
        <f t="shared" si="1"/>
        <v>2-2026</v>
      </c>
      <c r="D830" s="54"/>
      <c r="F830" s="54">
        <f t="shared" si="15"/>
        <v>0</v>
      </c>
      <c r="G830" s="54">
        <f t="shared" si="102"/>
        <v>-10</v>
      </c>
    </row>
    <row r="831" ht="14.25" customHeight="1">
      <c r="B831" s="140">
        <v>46055.0</v>
      </c>
      <c r="C831" s="141" t="str">
        <f t="shared" si="1"/>
        <v>2-2026</v>
      </c>
      <c r="D831" s="54" t="str">
        <f t="shared" ref="D831:D1311" si="130">E830</f>
        <v/>
      </c>
      <c r="F831" s="54">
        <f t="shared" si="15"/>
        <v>0</v>
      </c>
      <c r="G831" s="54">
        <f t="shared" si="102"/>
        <v>-10</v>
      </c>
    </row>
    <row r="832" ht="14.25" customHeight="1">
      <c r="B832" s="140">
        <v>46056.0</v>
      </c>
      <c r="C832" s="141" t="str">
        <f t="shared" si="1"/>
        <v>2-2026</v>
      </c>
      <c r="D832" s="54" t="str">
        <f t="shared" si="130"/>
        <v/>
      </c>
      <c r="F832" s="54">
        <f t="shared" si="15"/>
        <v>0</v>
      </c>
      <c r="G832" s="54">
        <f t="shared" si="102"/>
        <v>-10</v>
      </c>
    </row>
    <row r="833" ht="14.25" customHeight="1">
      <c r="B833" s="140">
        <v>46057.0</v>
      </c>
      <c r="C833" s="141" t="str">
        <f t="shared" si="1"/>
        <v>2-2026</v>
      </c>
      <c r="D833" s="54" t="str">
        <f t="shared" si="130"/>
        <v/>
      </c>
      <c r="F833" s="54">
        <f t="shared" si="15"/>
        <v>0</v>
      </c>
      <c r="G833" s="54">
        <f t="shared" si="102"/>
        <v>-10</v>
      </c>
    </row>
    <row r="834" ht="14.25" customHeight="1">
      <c r="B834" s="140">
        <v>46058.0</v>
      </c>
      <c r="C834" s="141" t="str">
        <f t="shared" si="1"/>
        <v>2-2026</v>
      </c>
      <c r="D834" s="54" t="str">
        <f t="shared" si="130"/>
        <v/>
      </c>
      <c r="F834" s="54">
        <f t="shared" si="15"/>
        <v>0</v>
      </c>
      <c r="G834" s="54">
        <f t="shared" si="102"/>
        <v>-10</v>
      </c>
    </row>
    <row r="835" ht="14.25" customHeight="1">
      <c r="B835" s="140">
        <v>46059.0</v>
      </c>
      <c r="C835" s="141" t="str">
        <f t="shared" si="1"/>
        <v>2-2026</v>
      </c>
      <c r="D835" s="54" t="str">
        <f t="shared" si="130"/>
        <v/>
      </c>
      <c r="F835" s="54">
        <f t="shared" si="15"/>
        <v>0</v>
      </c>
      <c r="G835" s="54">
        <f t="shared" si="102"/>
        <v>-10</v>
      </c>
    </row>
    <row r="836" ht="14.25" customHeight="1">
      <c r="B836" s="140">
        <v>46060.0</v>
      </c>
      <c r="C836" s="141" t="str">
        <f t="shared" si="1"/>
        <v>2-2026</v>
      </c>
      <c r="D836" s="54" t="str">
        <f t="shared" si="130"/>
        <v/>
      </c>
      <c r="F836" s="54">
        <f t="shared" si="15"/>
        <v>0</v>
      </c>
      <c r="G836" s="54">
        <f t="shared" si="102"/>
        <v>-10</v>
      </c>
    </row>
    <row r="837" ht="14.25" customHeight="1">
      <c r="B837" s="140">
        <v>46061.0</v>
      </c>
      <c r="C837" s="141" t="str">
        <f t="shared" si="1"/>
        <v>2-2026</v>
      </c>
      <c r="D837" s="54" t="str">
        <f t="shared" si="130"/>
        <v/>
      </c>
      <c r="F837" s="54">
        <f t="shared" si="15"/>
        <v>0</v>
      </c>
      <c r="G837" s="54">
        <f t="shared" si="102"/>
        <v>-10</v>
      </c>
    </row>
    <row r="838" ht="14.25" customHeight="1">
      <c r="B838" s="140">
        <v>46062.0</v>
      </c>
      <c r="C838" s="141" t="str">
        <f t="shared" si="1"/>
        <v>2-2026</v>
      </c>
      <c r="D838" s="54" t="str">
        <f t="shared" si="130"/>
        <v/>
      </c>
      <c r="F838" s="54">
        <f t="shared" si="15"/>
        <v>0</v>
      </c>
      <c r="G838" s="54">
        <f t="shared" si="102"/>
        <v>-10</v>
      </c>
    </row>
    <row r="839" ht="14.25" customHeight="1">
      <c r="B839" s="140">
        <v>46063.0</v>
      </c>
      <c r="C839" s="141" t="str">
        <f t="shared" si="1"/>
        <v>2-2026</v>
      </c>
      <c r="D839" s="54" t="str">
        <f t="shared" si="130"/>
        <v/>
      </c>
      <c r="F839" s="54">
        <f t="shared" si="15"/>
        <v>0</v>
      </c>
      <c r="G839" s="54">
        <f t="shared" si="102"/>
        <v>-10</v>
      </c>
    </row>
    <row r="840" ht="14.25" customHeight="1">
      <c r="B840" s="140">
        <v>46064.0</v>
      </c>
      <c r="C840" s="141" t="str">
        <f t="shared" si="1"/>
        <v>2-2026</v>
      </c>
      <c r="D840" s="54" t="str">
        <f t="shared" si="130"/>
        <v/>
      </c>
      <c r="F840" s="54">
        <f t="shared" si="15"/>
        <v>0</v>
      </c>
      <c r="G840" s="54">
        <f t="shared" si="102"/>
        <v>-10</v>
      </c>
    </row>
    <row r="841" ht="14.25" customHeight="1">
      <c r="B841" s="140">
        <v>46065.0</v>
      </c>
      <c r="C841" s="141" t="str">
        <f t="shared" si="1"/>
        <v>2-2026</v>
      </c>
      <c r="D841" s="54" t="str">
        <f t="shared" si="130"/>
        <v/>
      </c>
      <c r="F841" s="54">
        <f t="shared" si="15"/>
        <v>0</v>
      </c>
      <c r="G841" s="54">
        <f t="shared" si="102"/>
        <v>-10</v>
      </c>
    </row>
    <row r="842" ht="14.25" customHeight="1">
      <c r="B842" s="140">
        <v>46066.0</v>
      </c>
      <c r="C842" s="141" t="str">
        <f t="shared" si="1"/>
        <v>2-2026</v>
      </c>
      <c r="D842" s="54" t="str">
        <f t="shared" si="130"/>
        <v/>
      </c>
      <c r="F842" s="54">
        <f t="shared" si="15"/>
        <v>0</v>
      </c>
      <c r="G842" s="54">
        <f t="shared" si="102"/>
        <v>-10</v>
      </c>
    </row>
    <row r="843" ht="14.25" customHeight="1">
      <c r="B843" s="140">
        <v>46067.0</v>
      </c>
      <c r="C843" s="141" t="str">
        <f t="shared" si="1"/>
        <v>2-2026</v>
      </c>
      <c r="D843" s="54" t="str">
        <f t="shared" si="130"/>
        <v/>
      </c>
      <c r="F843" s="54">
        <f t="shared" si="15"/>
        <v>0</v>
      </c>
      <c r="G843" s="54">
        <f t="shared" si="102"/>
        <v>-10</v>
      </c>
    </row>
    <row r="844" ht="14.25" customHeight="1">
      <c r="B844" s="140">
        <v>46068.0</v>
      </c>
      <c r="C844" s="141" t="str">
        <f t="shared" si="1"/>
        <v>2-2026</v>
      </c>
      <c r="D844" s="54" t="str">
        <f t="shared" si="130"/>
        <v/>
      </c>
      <c r="F844" s="54">
        <f t="shared" si="15"/>
        <v>0</v>
      </c>
      <c r="G844" s="54">
        <f t="shared" si="102"/>
        <v>-10</v>
      </c>
    </row>
    <row r="845" ht="14.25" customHeight="1">
      <c r="B845" s="140">
        <v>46069.0</v>
      </c>
      <c r="C845" s="141" t="str">
        <f t="shared" si="1"/>
        <v>2-2026</v>
      </c>
      <c r="D845" s="54" t="str">
        <f t="shared" si="130"/>
        <v/>
      </c>
      <c r="F845" s="54">
        <f t="shared" si="15"/>
        <v>0</v>
      </c>
      <c r="G845" s="54">
        <f t="shared" si="102"/>
        <v>-10</v>
      </c>
    </row>
    <row r="846" ht="14.25" customHeight="1">
      <c r="B846" s="140">
        <v>46070.0</v>
      </c>
      <c r="C846" s="141" t="str">
        <f t="shared" si="1"/>
        <v>2-2026</v>
      </c>
      <c r="D846" s="54" t="str">
        <f t="shared" si="130"/>
        <v/>
      </c>
      <c r="F846" s="54">
        <f t="shared" si="15"/>
        <v>0</v>
      </c>
      <c r="G846" s="54">
        <f t="shared" si="102"/>
        <v>-10</v>
      </c>
    </row>
    <row r="847" ht="14.25" customHeight="1">
      <c r="B847" s="140">
        <v>46071.0</v>
      </c>
      <c r="C847" s="141" t="str">
        <f t="shared" si="1"/>
        <v>2-2026</v>
      </c>
      <c r="D847" s="54" t="str">
        <f t="shared" si="130"/>
        <v/>
      </c>
      <c r="F847" s="54">
        <f t="shared" si="15"/>
        <v>0</v>
      </c>
      <c r="G847" s="54">
        <f t="shared" si="102"/>
        <v>-10</v>
      </c>
    </row>
    <row r="848" ht="14.25" customHeight="1">
      <c r="B848" s="140">
        <v>46072.0</v>
      </c>
      <c r="C848" s="141" t="str">
        <f t="shared" si="1"/>
        <v>2-2026</v>
      </c>
      <c r="D848" s="54" t="str">
        <f t="shared" si="130"/>
        <v/>
      </c>
      <c r="F848" s="54">
        <f t="shared" si="15"/>
        <v>0</v>
      </c>
      <c r="G848" s="54">
        <f t="shared" si="102"/>
        <v>-10</v>
      </c>
    </row>
    <row r="849" ht="14.25" customHeight="1">
      <c r="B849" s="140">
        <v>46073.0</v>
      </c>
      <c r="C849" s="141" t="str">
        <f t="shared" si="1"/>
        <v>2-2026</v>
      </c>
      <c r="D849" s="54" t="str">
        <f t="shared" si="130"/>
        <v/>
      </c>
      <c r="F849" s="54">
        <f t="shared" si="15"/>
        <v>0</v>
      </c>
      <c r="G849" s="54">
        <f t="shared" si="102"/>
        <v>-10</v>
      </c>
    </row>
    <row r="850" ht="14.25" customHeight="1">
      <c r="B850" s="140">
        <v>46074.0</v>
      </c>
      <c r="C850" s="141" t="str">
        <f t="shared" si="1"/>
        <v>2-2026</v>
      </c>
      <c r="D850" s="54" t="str">
        <f t="shared" si="130"/>
        <v/>
      </c>
      <c r="F850" s="54">
        <f t="shared" si="15"/>
        <v>0</v>
      </c>
      <c r="G850" s="54">
        <f t="shared" si="102"/>
        <v>-10</v>
      </c>
    </row>
    <row r="851" ht="14.25" customHeight="1">
      <c r="B851" s="140">
        <v>46075.0</v>
      </c>
      <c r="C851" s="141" t="str">
        <f t="shared" si="1"/>
        <v>2-2026</v>
      </c>
      <c r="D851" s="54" t="str">
        <f t="shared" si="130"/>
        <v/>
      </c>
      <c r="F851" s="54">
        <f t="shared" si="15"/>
        <v>0</v>
      </c>
      <c r="G851" s="54">
        <f t="shared" si="102"/>
        <v>-10</v>
      </c>
    </row>
    <row r="852" ht="14.25" customHeight="1">
      <c r="B852" s="140">
        <v>46076.0</v>
      </c>
      <c r="C852" s="141" t="str">
        <f t="shared" si="1"/>
        <v>2-2026</v>
      </c>
      <c r="D852" s="54" t="str">
        <f t="shared" si="130"/>
        <v/>
      </c>
      <c r="F852" s="54">
        <f t="shared" si="15"/>
        <v>0</v>
      </c>
      <c r="G852" s="54">
        <f t="shared" si="102"/>
        <v>-10</v>
      </c>
    </row>
    <row r="853" ht="14.25" customHeight="1">
      <c r="B853" s="140">
        <v>46077.0</v>
      </c>
      <c r="C853" s="141" t="str">
        <f t="shared" si="1"/>
        <v>2-2026</v>
      </c>
      <c r="D853" s="54" t="str">
        <f t="shared" si="130"/>
        <v/>
      </c>
      <c r="F853" s="54">
        <f t="shared" si="15"/>
        <v>0</v>
      </c>
      <c r="G853" s="54">
        <f t="shared" si="102"/>
        <v>-10</v>
      </c>
    </row>
    <row r="854" ht="14.25" customHeight="1">
      <c r="B854" s="140">
        <v>46078.0</v>
      </c>
      <c r="C854" s="141" t="str">
        <f t="shared" si="1"/>
        <v>2-2026</v>
      </c>
      <c r="D854" s="54" t="str">
        <f t="shared" si="130"/>
        <v/>
      </c>
      <c r="F854" s="54">
        <f t="shared" si="15"/>
        <v>0</v>
      </c>
      <c r="G854" s="54">
        <f t="shared" si="102"/>
        <v>-10</v>
      </c>
    </row>
    <row r="855" ht="14.25" customHeight="1">
      <c r="B855" s="140">
        <v>46079.0</v>
      </c>
      <c r="C855" s="141" t="str">
        <f t="shared" si="1"/>
        <v>2-2026</v>
      </c>
      <c r="D855" s="54" t="str">
        <f t="shared" si="130"/>
        <v/>
      </c>
      <c r="F855" s="54">
        <f t="shared" si="15"/>
        <v>0</v>
      </c>
      <c r="G855" s="54">
        <f t="shared" si="102"/>
        <v>-10</v>
      </c>
    </row>
    <row r="856" ht="14.25" customHeight="1">
      <c r="B856" s="140">
        <v>46080.0</v>
      </c>
      <c r="C856" s="141" t="str">
        <f t="shared" si="1"/>
        <v>2-2026</v>
      </c>
      <c r="D856" s="54" t="str">
        <f t="shared" si="130"/>
        <v/>
      </c>
      <c r="F856" s="54">
        <f t="shared" si="15"/>
        <v>0</v>
      </c>
      <c r="G856" s="54">
        <f t="shared" si="102"/>
        <v>-10</v>
      </c>
    </row>
    <row r="857" ht="14.25" customHeight="1">
      <c r="B857" s="140">
        <v>46081.0</v>
      </c>
      <c r="C857" s="141" t="str">
        <f t="shared" si="1"/>
        <v>2-2026</v>
      </c>
      <c r="D857" s="54" t="str">
        <f t="shared" si="130"/>
        <v/>
      </c>
      <c r="F857" s="54">
        <f t="shared" si="15"/>
        <v>0</v>
      </c>
      <c r="G857" s="54">
        <f t="shared" si="102"/>
        <v>-10</v>
      </c>
    </row>
    <row r="858" ht="14.25" customHeight="1">
      <c r="B858" s="140">
        <v>46082.0</v>
      </c>
      <c r="C858" s="141" t="str">
        <f t="shared" si="1"/>
        <v>3-2026</v>
      </c>
      <c r="D858" s="54" t="str">
        <f t="shared" si="130"/>
        <v/>
      </c>
      <c r="F858" s="54">
        <f t="shared" si="15"/>
        <v>0</v>
      </c>
      <c r="G858" s="54">
        <f t="shared" si="102"/>
        <v>-10</v>
      </c>
    </row>
    <row r="859" ht="14.25" customHeight="1">
      <c r="B859" s="140">
        <v>46083.0</v>
      </c>
      <c r="C859" s="141" t="str">
        <f t="shared" si="1"/>
        <v>3-2026</v>
      </c>
      <c r="D859" s="54" t="str">
        <f t="shared" si="130"/>
        <v/>
      </c>
      <c r="F859" s="54">
        <f t="shared" si="15"/>
        <v>0</v>
      </c>
      <c r="G859" s="54">
        <f t="shared" si="102"/>
        <v>-10</v>
      </c>
    </row>
    <row r="860" ht="14.25" customHeight="1">
      <c r="B860" s="140">
        <v>46084.0</v>
      </c>
      <c r="C860" s="141" t="str">
        <f t="shared" si="1"/>
        <v>3-2026</v>
      </c>
      <c r="D860" s="54" t="str">
        <f t="shared" si="130"/>
        <v/>
      </c>
      <c r="F860" s="54">
        <f t="shared" si="15"/>
        <v>0</v>
      </c>
      <c r="G860" s="54">
        <f t="shared" si="102"/>
        <v>-10</v>
      </c>
    </row>
    <row r="861" ht="14.25" customHeight="1">
      <c r="B861" s="140">
        <v>46085.0</v>
      </c>
      <c r="C861" s="141" t="str">
        <f t="shared" si="1"/>
        <v>3-2026</v>
      </c>
      <c r="D861" s="54" t="str">
        <f t="shared" si="130"/>
        <v/>
      </c>
      <c r="F861" s="54">
        <f t="shared" si="15"/>
        <v>0</v>
      </c>
      <c r="G861" s="54">
        <f t="shared" si="102"/>
        <v>-10</v>
      </c>
    </row>
    <row r="862" ht="14.25" customHeight="1">
      <c r="B862" s="140">
        <v>46086.0</v>
      </c>
      <c r="C862" s="141" t="str">
        <f t="shared" si="1"/>
        <v>3-2026</v>
      </c>
      <c r="D862" s="54" t="str">
        <f t="shared" si="130"/>
        <v/>
      </c>
      <c r="F862" s="54">
        <f t="shared" si="15"/>
        <v>0</v>
      </c>
      <c r="G862" s="54">
        <f t="shared" si="102"/>
        <v>-10</v>
      </c>
    </row>
    <row r="863" ht="14.25" customHeight="1">
      <c r="B863" s="140">
        <v>46087.0</v>
      </c>
      <c r="C863" s="141" t="str">
        <f t="shared" si="1"/>
        <v>3-2026</v>
      </c>
      <c r="D863" s="54" t="str">
        <f t="shared" si="130"/>
        <v/>
      </c>
      <c r="F863" s="54">
        <f t="shared" si="15"/>
        <v>0</v>
      </c>
      <c r="G863" s="54">
        <f t="shared" si="102"/>
        <v>-10</v>
      </c>
    </row>
    <row r="864" ht="14.25" customHeight="1">
      <c r="B864" s="140">
        <v>46088.0</v>
      </c>
      <c r="C864" s="141" t="str">
        <f t="shared" si="1"/>
        <v>3-2026</v>
      </c>
      <c r="D864" s="54" t="str">
        <f t="shared" si="130"/>
        <v/>
      </c>
      <c r="F864" s="54">
        <f t="shared" si="15"/>
        <v>0</v>
      </c>
      <c r="G864" s="54">
        <f t="shared" si="102"/>
        <v>-10</v>
      </c>
    </row>
    <row r="865" ht="14.25" customHeight="1">
      <c r="B865" s="140">
        <v>46089.0</v>
      </c>
      <c r="C865" s="141" t="str">
        <f t="shared" si="1"/>
        <v>3-2026</v>
      </c>
      <c r="D865" s="54" t="str">
        <f t="shared" si="130"/>
        <v/>
      </c>
      <c r="F865" s="54">
        <f t="shared" si="15"/>
        <v>0</v>
      </c>
      <c r="G865" s="54">
        <f t="shared" si="102"/>
        <v>-10</v>
      </c>
    </row>
    <row r="866" ht="14.25" customHeight="1">
      <c r="B866" s="140">
        <v>46090.0</v>
      </c>
      <c r="C866" s="141" t="str">
        <f t="shared" si="1"/>
        <v>3-2026</v>
      </c>
      <c r="D866" s="54" t="str">
        <f t="shared" si="130"/>
        <v/>
      </c>
      <c r="F866" s="54">
        <f t="shared" si="15"/>
        <v>0</v>
      </c>
      <c r="G866" s="54">
        <f t="shared" si="102"/>
        <v>-10</v>
      </c>
    </row>
    <row r="867" ht="14.25" customHeight="1">
      <c r="B867" s="140">
        <v>46091.0</v>
      </c>
      <c r="C867" s="141" t="str">
        <f t="shared" si="1"/>
        <v>3-2026</v>
      </c>
      <c r="D867" s="54" t="str">
        <f t="shared" si="130"/>
        <v/>
      </c>
      <c r="F867" s="54">
        <f t="shared" si="15"/>
        <v>0</v>
      </c>
      <c r="G867" s="54">
        <f t="shared" si="102"/>
        <v>-10</v>
      </c>
    </row>
    <row r="868" ht="14.25" customHeight="1">
      <c r="C868" s="184" t="str">
        <f t="shared" si="1"/>
        <v>12-1899</v>
      </c>
      <c r="D868" s="54" t="str">
        <f t="shared" si="130"/>
        <v/>
      </c>
    </row>
    <row r="869" ht="14.25" customHeight="1">
      <c r="C869" s="184" t="str">
        <f t="shared" si="1"/>
        <v>12-1899</v>
      </c>
      <c r="D869" s="54" t="str">
        <f t="shared" si="130"/>
        <v/>
      </c>
    </row>
    <row r="870" ht="14.25" customHeight="1">
      <c r="C870" s="184" t="str">
        <f t="shared" si="1"/>
        <v>12-1899</v>
      </c>
      <c r="D870" s="54" t="str">
        <f t="shared" si="130"/>
        <v/>
      </c>
    </row>
    <row r="871" ht="14.25" customHeight="1">
      <c r="C871" s="184" t="str">
        <f t="shared" si="1"/>
        <v>12-1899</v>
      </c>
      <c r="D871" s="54" t="str">
        <f t="shared" si="130"/>
        <v/>
      </c>
    </row>
    <row r="872" ht="14.25" customHeight="1">
      <c r="C872" s="184" t="str">
        <f t="shared" si="1"/>
        <v>12-1899</v>
      </c>
      <c r="D872" s="54" t="str">
        <f t="shared" si="130"/>
        <v/>
      </c>
    </row>
    <row r="873" ht="14.25" customHeight="1">
      <c r="C873" s="184" t="str">
        <f t="shared" si="1"/>
        <v>12-1899</v>
      </c>
      <c r="D873" s="54" t="str">
        <f t="shared" si="130"/>
        <v/>
      </c>
    </row>
    <row r="874" ht="14.25" customHeight="1">
      <c r="C874" s="184" t="str">
        <f t="shared" si="1"/>
        <v>12-1899</v>
      </c>
      <c r="D874" s="54" t="str">
        <f t="shared" si="130"/>
        <v/>
      </c>
    </row>
    <row r="875" ht="14.25" customHeight="1">
      <c r="C875" s="184" t="str">
        <f t="shared" si="1"/>
        <v>12-1899</v>
      </c>
      <c r="D875" s="54" t="str">
        <f t="shared" si="130"/>
        <v/>
      </c>
    </row>
    <row r="876" ht="14.25" customHeight="1">
      <c r="C876" s="184" t="str">
        <f t="shared" si="1"/>
        <v>12-1899</v>
      </c>
      <c r="D876" s="54" t="str">
        <f t="shared" si="130"/>
        <v/>
      </c>
    </row>
    <row r="877" ht="14.25" customHeight="1">
      <c r="C877" s="184" t="str">
        <f t="shared" si="1"/>
        <v>12-1899</v>
      </c>
      <c r="D877" s="54" t="str">
        <f t="shared" si="130"/>
        <v/>
      </c>
    </row>
    <row r="878" ht="14.25" customHeight="1">
      <c r="C878" s="184" t="str">
        <f t="shared" si="1"/>
        <v>12-1899</v>
      </c>
      <c r="D878" s="54" t="str">
        <f t="shared" si="130"/>
        <v/>
      </c>
    </row>
    <row r="879" ht="14.25" customHeight="1">
      <c r="C879" s="184" t="str">
        <f t="shared" si="1"/>
        <v>12-1899</v>
      </c>
      <c r="D879" s="54" t="str">
        <f t="shared" si="130"/>
        <v/>
      </c>
    </row>
    <row r="880" ht="14.25" customHeight="1">
      <c r="C880" s="184" t="str">
        <f t="shared" si="1"/>
        <v>12-1899</v>
      </c>
      <c r="D880" s="54" t="str">
        <f t="shared" si="130"/>
        <v/>
      </c>
    </row>
    <row r="881" ht="14.25" customHeight="1">
      <c r="C881" s="184" t="str">
        <f t="shared" si="1"/>
        <v>12-1899</v>
      </c>
      <c r="D881" s="54" t="str">
        <f t="shared" si="130"/>
        <v/>
      </c>
    </row>
    <row r="882" ht="14.25" customHeight="1">
      <c r="C882" s="184" t="str">
        <f t="shared" si="1"/>
        <v>12-1899</v>
      </c>
      <c r="D882" s="54" t="str">
        <f t="shared" si="130"/>
        <v/>
      </c>
    </row>
    <row r="883" ht="14.25" customHeight="1">
      <c r="C883" s="184" t="str">
        <f t="shared" si="1"/>
        <v>12-1899</v>
      </c>
      <c r="D883" s="54" t="str">
        <f t="shared" si="130"/>
        <v/>
      </c>
    </row>
    <row r="884" ht="14.25" customHeight="1">
      <c r="C884" s="184" t="str">
        <f t="shared" si="1"/>
        <v>12-1899</v>
      </c>
      <c r="D884" s="54" t="str">
        <f t="shared" si="130"/>
        <v/>
      </c>
    </row>
    <row r="885" ht="14.25" customHeight="1">
      <c r="C885" s="184" t="str">
        <f t="shared" si="1"/>
        <v>12-1899</v>
      </c>
      <c r="D885" s="54" t="str">
        <f t="shared" si="130"/>
        <v/>
      </c>
    </row>
    <row r="886" ht="14.25" customHeight="1">
      <c r="C886" s="184" t="str">
        <f t="shared" si="1"/>
        <v>12-1899</v>
      </c>
      <c r="D886" s="54" t="str">
        <f t="shared" si="130"/>
        <v/>
      </c>
    </row>
    <row r="887" ht="14.25" customHeight="1">
      <c r="C887" s="184" t="str">
        <f t="shared" si="1"/>
        <v>12-1899</v>
      </c>
      <c r="D887" s="54" t="str">
        <f t="shared" si="130"/>
        <v/>
      </c>
    </row>
    <row r="888" ht="14.25" customHeight="1">
      <c r="C888" s="184" t="str">
        <f t="shared" si="1"/>
        <v>12-1899</v>
      </c>
      <c r="D888" s="54" t="str">
        <f t="shared" si="130"/>
        <v/>
      </c>
    </row>
    <row r="889" ht="14.25" customHeight="1">
      <c r="C889" s="184" t="str">
        <f t="shared" si="1"/>
        <v>12-1899</v>
      </c>
      <c r="D889" s="54" t="str">
        <f t="shared" si="130"/>
        <v/>
      </c>
    </row>
    <row r="890" ht="14.25" customHeight="1">
      <c r="C890" s="184" t="str">
        <f t="shared" si="1"/>
        <v>12-1899</v>
      </c>
      <c r="D890" s="54" t="str">
        <f t="shared" si="130"/>
        <v/>
      </c>
    </row>
    <row r="891" ht="14.25" customHeight="1">
      <c r="C891" s="184" t="str">
        <f t="shared" si="1"/>
        <v>12-1899</v>
      </c>
      <c r="D891" s="54" t="str">
        <f t="shared" si="130"/>
        <v/>
      </c>
    </row>
    <row r="892" ht="14.25" customHeight="1">
      <c r="C892" s="184" t="str">
        <f t="shared" si="1"/>
        <v>12-1899</v>
      </c>
      <c r="D892" s="54" t="str">
        <f t="shared" si="130"/>
        <v/>
      </c>
    </row>
    <row r="893" ht="14.25" customHeight="1">
      <c r="C893" s="184" t="str">
        <f t="shared" si="1"/>
        <v>12-1899</v>
      </c>
      <c r="D893" s="54" t="str">
        <f t="shared" si="130"/>
        <v/>
      </c>
    </row>
    <row r="894" ht="14.25" customHeight="1">
      <c r="C894" s="184" t="str">
        <f t="shared" si="1"/>
        <v>12-1899</v>
      </c>
      <c r="D894" s="54" t="str">
        <f t="shared" si="130"/>
        <v/>
      </c>
    </row>
    <row r="895" ht="14.25" customHeight="1">
      <c r="C895" s="184" t="str">
        <f t="shared" si="1"/>
        <v>12-1899</v>
      </c>
      <c r="D895" s="54" t="str">
        <f t="shared" si="130"/>
        <v/>
      </c>
    </row>
    <row r="896" ht="14.25" customHeight="1">
      <c r="C896" s="184" t="str">
        <f t="shared" si="1"/>
        <v>12-1899</v>
      </c>
      <c r="D896" s="54" t="str">
        <f t="shared" si="130"/>
        <v/>
      </c>
    </row>
    <row r="897" ht="14.25" customHeight="1">
      <c r="C897" s="184" t="str">
        <f t="shared" si="1"/>
        <v>12-1899</v>
      </c>
      <c r="D897" s="54" t="str">
        <f t="shared" si="130"/>
        <v/>
      </c>
    </row>
    <row r="898" ht="14.25" customHeight="1">
      <c r="C898" s="184" t="str">
        <f t="shared" si="1"/>
        <v>12-1899</v>
      </c>
      <c r="D898" s="54" t="str">
        <f t="shared" si="130"/>
        <v/>
      </c>
    </row>
    <row r="899" ht="14.25" customHeight="1">
      <c r="C899" s="184" t="str">
        <f t="shared" si="1"/>
        <v>12-1899</v>
      </c>
      <c r="D899" s="54" t="str">
        <f t="shared" si="130"/>
        <v/>
      </c>
    </row>
    <row r="900" ht="14.25" customHeight="1">
      <c r="C900" s="184" t="str">
        <f t="shared" si="1"/>
        <v>12-1899</v>
      </c>
      <c r="D900" s="54" t="str">
        <f t="shared" si="130"/>
        <v/>
      </c>
    </row>
    <row r="901" ht="14.25" customHeight="1">
      <c r="C901" s="184" t="str">
        <f t="shared" si="1"/>
        <v>12-1899</v>
      </c>
      <c r="D901" s="54" t="str">
        <f t="shared" si="130"/>
        <v/>
      </c>
    </row>
    <row r="902" ht="14.25" customHeight="1">
      <c r="C902" s="184" t="str">
        <f t="shared" si="1"/>
        <v>12-1899</v>
      </c>
      <c r="D902" s="54" t="str">
        <f t="shared" si="130"/>
        <v/>
      </c>
    </row>
    <row r="903" ht="14.25" customHeight="1">
      <c r="C903" s="184" t="str">
        <f t="shared" si="1"/>
        <v>12-1899</v>
      </c>
      <c r="D903" s="54" t="str">
        <f t="shared" si="130"/>
        <v/>
      </c>
    </row>
    <row r="904" ht="14.25" customHeight="1">
      <c r="C904" s="184" t="str">
        <f t="shared" si="1"/>
        <v>12-1899</v>
      </c>
      <c r="D904" s="54" t="str">
        <f t="shared" si="130"/>
        <v/>
      </c>
    </row>
    <row r="905" ht="14.25" customHeight="1">
      <c r="C905" s="184" t="str">
        <f t="shared" si="1"/>
        <v>12-1899</v>
      </c>
      <c r="D905" s="54" t="str">
        <f t="shared" si="130"/>
        <v/>
      </c>
    </row>
    <row r="906" ht="14.25" customHeight="1">
      <c r="C906" s="184" t="str">
        <f t="shared" si="1"/>
        <v>12-1899</v>
      </c>
      <c r="D906" s="54" t="str">
        <f t="shared" si="130"/>
        <v/>
      </c>
    </row>
    <row r="907" ht="14.25" customHeight="1">
      <c r="C907" s="184" t="str">
        <f t="shared" si="1"/>
        <v>12-1899</v>
      </c>
      <c r="D907" s="54" t="str">
        <f t="shared" si="130"/>
        <v/>
      </c>
    </row>
    <row r="908" ht="14.25" customHeight="1">
      <c r="C908" s="184" t="str">
        <f t="shared" si="1"/>
        <v>12-1899</v>
      </c>
      <c r="D908" s="54" t="str">
        <f t="shared" si="130"/>
        <v/>
      </c>
    </row>
    <row r="909" ht="14.25" customHeight="1">
      <c r="C909" s="184" t="str">
        <f t="shared" si="1"/>
        <v>12-1899</v>
      </c>
      <c r="D909" s="54" t="str">
        <f t="shared" si="130"/>
        <v/>
      </c>
    </row>
    <row r="910" ht="14.25" customHeight="1">
      <c r="C910" s="184" t="str">
        <f t="shared" si="1"/>
        <v>12-1899</v>
      </c>
      <c r="D910" s="54" t="str">
        <f t="shared" si="130"/>
        <v/>
      </c>
    </row>
    <row r="911" ht="14.25" customHeight="1">
      <c r="C911" s="184" t="str">
        <f t="shared" si="1"/>
        <v>12-1899</v>
      </c>
      <c r="D911" s="54" t="str">
        <f t="shared" si="130"/>
        <v/>
      </c>
    </row>
    <row r="912" ht="14.25" customHeight="1">
      <c r="C912" s="184" t="str">
        <f t="shared" si="1"/>
        <v>12-1899</v>
      </c>
      <c r="D912" s="54" t="str">
        <f t="shared" si="130"/>
        <v/>
      </c>
    </row>
    <row r="913" ht="14.25" customHeight="1">
      <c r="C913" s="184" t="str">
        <f t="shared" si="1"/>
        <v>12-1899</v>
      </c>
      <c r="D913" s="54" t="str">
        <f t="shared" si="130"/>
        <v/>
      </c>
    </row>
    <row r="914" ht="14.25" customHeight="1">
      <c r="C914" s="184" t="str">
        <f t="shared" si="1"/>
        <v>12-1899</v>
      </c>
      <c r="D914" s="54" t="str">
        <f t="shared" si="130"/>
        <v/>
      </c>
    </row>
    <row r="915" ht="14.25" customHeight="1">
      <c r="C915" s="184" t="str">
        <f t="shared" si="1"/>
        <v>12-1899</v>
      </c>
      <c r="D915" s="54" t="str">
        <f t="shared" si="130"/>
        <v/>
      </c>
    </row>
    <row r="916" ht="14.25" customHeight="1">
      <c r="C916" s="184" t="str">
        <f t="shared" si="1"/>
        <v>12-1899</v>
      </c>
      <c r="D916" s="54" t="str">
        <f t="shared" si="130"/>
        <v/>
      </c>
    </row>
    <row r="917" ht="14.25" customHeight="1">
      <c r="C917" s="184" t="str">
        <f t="shared" si="1"/>
        <v>12-1899</v>
      </c>
      <c r="D917" s="54" t="str">
        <f t="shared" si="130"/>
        <v/>
      </c>
    </row>
    <row r="918" ht="14.25" customHeight="1">
      <c r="C918" s="184" t="str">
        <f t="shared" si="1"/>
        <v>12-1899</v>
      </c>
      <c r="D918" s="54" t="str">
        <f t="shared" si="130"/>
        <v/>
      </c>
    </row>
    <row r="919" ht="14.25" customHeight="1">
      <c r="C919" s="184" t="str">
        <f t="shared" si="1"/>
        <v>12-1899</v>
      </c>
      <c r="D919" s="54" t="str">
        <f t="shared" si="130"/>
        <v/>
      </c>
    </row>
    <row r="920" ht="14.25" customHeight="1">
      <c r="C920" s="184" t="str">
        <f t="shared" si="1"/>
        <v>12-1899</v>
      </c>
      <c r="D920" s="54" t="str">
        <f t="shared" si="130"/>
        <v/>
      </c>
    </row>
    <row r="921" ht="14.25" customHeight="1">
      <c r="C921" s="184" t="str">
        <f t="shared" si="1"/>
        <v>12-1899</v>
      </c>
      <c r="D921" s="54" t="str">
        <f t="shared" si="130"/>
        <v/>
      </c>
    </row>
    <row r="922" ht="14.25" customHeight="1">
      <c r="C922" s="184" t="str">
        <f t="shared" si="1"/>
        <v>12-1899</v>
      </c>
      <c r="D922" s="54" t="str">
        <f t="shared" si="130"/>
        <v/>
      </c>
    </row>
    <row r="923" ht="14.25" customHeight="1">
      <c r="C923" s="184" t="str">
        <f t="shared" si="1"/>
        <v>12-1899</v>
      </c>
      <c r="D923" s="54" t="str">
        <f t="shared" si="130"/>
        <v/>
      </c>
    </row>
    <row r="924" ht="14.25" customHeight="1">
      <c r="C924" s="184" t="str">
        <f t="shared" si="1"/>
        <v>12-1899</v>
      </c>
      <c r="D924" s="54" t="str">
        <f t="shared" si="130"/>
        <v/>
      </c>
    </row>
    <row r="925" ht="14.25" customHeight="1">
      <c r="C925" s="184" t="str">
        <f t="shared" si="1"/>
        <v>12-1899</v>
      </c>
      <c r="D925" s="54" t="str">
        <f t="shared" si="130"/>
        <v/>
      </c>
    </row>
    <row r="926" ht="14.25" customHeight="1">
      <c r="C926" s="184" t="str">
        <f t="shared" si="1"/>
        <v>12-1899</v>
      </c>
      <c r="D926" s="54" t="str">
        <f t="shared" si="130"/>
        <v/>
      </c>
    </row>
    <row r="927" ht="14.25" customHeight="1">
      <c r="C927" s="184" t="str">
        <f t="shared" si="1"/>
        <v>12-1899</v>
      </c>
      <c r="D927" s="54" t="str">
        <f t="shared" si="130"/>
        <v/>
      </c>
    </row>
    <row r="928" ht="14.25" customHeight="1">
      <c r="C928" s="184" t="str">
        <f t="shared" si="1"/>
        <v>12-1899</v>
      </c>
      <c r="D928" s="54" t="str">
        <f t="shared" si="130"/>
        <v/>
      </c>
    </row>
    <row r="929" ht="14.25" customHeight="1">
      <c r="C929" s="184" t="str">
        <f t="shared" si="1"/>
        <v>12-1899</v>
      </c>
      <c r="D929" s="54" t="str">
        <f t="shared" si="130"/>
        <v/>
      </c>
    </row>
    <row r="930" ht="14.25" customHeight="1">
      <c r="C930" s="184" t="str">
        <f t="shared" si="1"/>
        <v>12-1899</v>
      </c>
      <c r="D930" s="54" t="str">
        <f t="shared" si="130"/>
        <v/>
      </c>
    </row>
    <row r="931" ht="14.25" customHeight="1">
      <c r="C931" s="184" t="str">
        <f t="shared" si="1"/>
        <v>12-1899</v>
      </c>
      <c r="D931" s="54" t="str">
        <f t="shared" si="130"/>
        <v/>
      </c>
    </row>
    <row r="932" ht="14.25" customHeight="1">
      <c r="C932" s="184" t="str">
        <f t="shared" si="1"/>
        <v>12-1899</v>
      </c>
      <c r="D932" s="54" t="str">
        <f t="shared" si="130"/>
        <v/>
      </c>
    </row>
    <row r="933" ht="14.25" customHeight="1">
      <c r="C933" s="184" t="str">
        <f t="shared" si="1"/>
        <v>12-1899</v>
      </c>
      <c r="D933" s="54" t="str">
        <f t="shared" si="130"/>
        <v/>
      </c>
    </row>
    <row r="934" ht="14.25" customHeight="1">
      <c r="C934" s="184" t="str">
        <f t="shared" si="1"/>
        <v>12-1899</v>
      </c>
      <c r="D934" s="54" t="str">
        <f t="shared" si="130"/>
        <v/>
      </c>
    </row>
    <row r="935" ht="14.25" customHeight="1">
      <c r="C935" s="184" t="str">
        <f t="shared" si="1"/>
        <v>12-1899</v>
      </c>
      <c r="D935" s="54" t="str">
        <f t="shared" si="130"/>
        <v/>
      </c>
    </row>
    <row r="936" ht="14.25" customHeight="1">
      <c r="C936" s="184" t="str">
        <f t="shared" si="1"/>
        <v>12-1899</v>
      </c>
      <c r="D936" s="54" t="str">
        <f t="shared" si="130"/>
        <v/>
      </c>
    </row>
    <row r="937" ht="14.25" customHeight="1">
      <c r="C937" s="184" t="str">
        <f t="shared" si="1"/>
        <v>12-1899</v>
      </c>
      <c r="D937" s="54" t="str">
        <f t="shared" si="130"/>
        <v/>
      </c>
    </row>
    <row r="938" ht="14.25" customHeight="1">
      <c r="C938" s="184" t="str">
        <f t="shared" si="1"/>
        <v>12-1899</v>
      </c>
      <c r="D938" s="54" t="str">
        <f t="shared" si="130"/>
        <v/>
      </c>
    </row>
    <row r="939" ht="14.25" customHeight="1">
      <c r="C939" s="184" t="str">
        <f t="shared" si="1"/>
        <v>12-1899</v>
      </c>
      <c r="D939" s="54" t="str">
        <f t="shared" si="130"/>
        <v/>
      </c>
    </row>
    <row r="940" ht="14.25" customHeight="1">
      <c r="C940" s="184" t="str">
        <f t="shared" si="1"/>
        <v>12-1899</v>
      </c>
      <c r="D940" s="54" t="str">
        <f t="shared" si="130"/>
        <v/>
      </c>
    </row>
    <row r="941" ht="14.25" customHeight="1">
      <c r="C941" s="184" t="str">
        <f t="shared" si="1"/>
        <v>12-1899</v>
      </c>
      <c r="D941" s="54" t="str">
        <f t="shared" si="130"/>
        <v/>
      </c>
    </row>
    <row r="942" ht="14.25" customHeight="1">
      <c r="C942" s="184" t="str">
        <f t="shared" si="1"/>
        <v>12-1899</v>
      </c>
      <c r="D942" s="54" t="str">
        <f t="shared" si="130"/>
        <v/>
      </c>
    </row>
    <row r="943" ht="14.25" customHeight="1">
      <c r="C943" s="184" t="str">
        <f t="shared" si="1"/>
        <v>12-1899</v>
      </c>
      <c r="D943" s="54" t="str">
        <f t="shared" si="130"/>
        <v/>
      </c>
    </row>
    <row r="944" ht="14.25" customHeight="1">
      <c r="C944" s="184" t="str">
        <f t="shared" si="1"/>
        <v>12-1899</v>
      </c>
      <c r="D944" s="54" t="str">
        <f t="shared" si="130"/>
        <v/>
      </c>
    </row>
    <row r="945" ht="14.25" customHeight="1">
      <c r="C945" s="184" t="str">
        <f t="shared" si="1"/>
        <v>12-1899</v>
      </c>
      <c r="D945" s="54" t="str">
        <f t="shared" si="130"/>
        <v/>
      </c>
    </row>
    <row r="946" ht="14.25" customHeight="1">
      <c r="C946" s="184" t="str">
        <f t="shared" si="1"/>
        <v>12-1899</v>
      </c>
      <c r="D946" s="54" t="str">
        <f t="shared" si="130"/>
        <v/>
      </c>
    </row>
    <row r="947" ht="14.25" customHeight="1">
      <c r="C947" s="184" t="str">
        <f t="shared" si="1"/>
        <v>12-1899</v>
      </c>
      <c r="D947" s="54" t="str">
        <f t="shared" si="130"/>
        <v/>
      </c>
    </row>
    <row r="948" ht="14.25" customHeight="1">
      <c r="C948" s="184" t="str">
        <f t="shared" si="1"/>
        <v>12-1899</v>
      </c>
      <c r="D948" s="54" t="str">
        <f t="shared" si="130"/>
        <v/>
      </c>
    </row>
    <row r="949" ht="14.25" customHeight="1">
      <c r="C949" s="184" t="str">
        <f t="shared" si="1"/>
        <v>12-1899</v>
      </c>
      <c r="D949" s="54" t="str">
        <f t="shared" si="130"/>
        <v/>
      </c>
    </row>
    <row r="950" ht="14.25" customHeight="1">
      <c r="C950" s="184" t="str">
        <f t="shared" si="1"/>
        <v>12-1899</v>
      </c>
      <c r="D950" s="54" t="str">
        <f t="shared" si="130"/>
        <v/>
      </c>
    </row>
    <row r="951" ht="14.25" customHeight="1">
      <c r="C951" s="184" t="str">
        <f t="shared" si="1"/>
        <v>12-1899</v>
      </c>
      <c r="D951" s="54" t="str">
        <f t="shared" si="130"/>
        <v/>
      </c>
    </row>
    <row r="952" ht="14.25" customHeight="1">
      <c r="C952" s="184" t="str">
        <f t="shared" si="1"/>
        <v>12-1899</v>
      </c>
      <c r="D952" s="54" t="str">
        <f t="shared" si="130"/>
        <v/>
      </c>
    </row>
    <row r="953" ht="14.25" customHeight="1">
      <c r="C953" s="184" t="str">
        <f t="shared" si="1"/>
        <v>12-1899</v>
      </c>
      <c r="D953" s="54" t="str">
        <f t="shared" si="130"/>
        <v/>
      </c>
    </row>
    <row r="954" ht="14.25" customHeight="1">
      <c r="C954" s="184" t="str">
        <f t="shared" si="1"/>
        <v>12-1899</v>
      </c>
      <c r="D954" s="54" t="str">
        <f t="shared" si="130"/>
        <v/>
      </c>
    </row>
    <row r="955" ht="14.25" customHeight="1">
      <c r="C955" s="184" t="str">
        <f t="shared" si="1"/>
        <v>12-1899</v>
      </c>
      <c r="D955" s="54" t="str">
        <f t="shared" si="130"/>
        <v/>
      </c>
    </row>
    <row r="956" ht="14.25" customHeight="1">
      <c r="C956" s="184" t="str">
        <f t="shared" si="1"/>
        <v>12-1899</v>
      </c>
      <c r="D956" s="54" t="str">
        <f t="shared" si="130"/>
        <v/>
      </c>
    </row>
    <row r="957" ht="14.25" customHeight="1">
      <c r="C957" s="184" t="str">
        <f t="shared" si="1"/>
        <v>12-1899</v>
      </c>
      <c r="D957" s="54" t="str">
        <f t="shared" si="130"/>
        <v/>
      </c>
    </row>
    <row r="958" ht="14.25" customHeight="1">
      <c r="C958" s="184" t="str">
        <f t="shared" si="1"/>
        <v>12-1899</v>
      </c>
      <c r="D958" s="54" t="str">
        <f t="shared" si="130"/>
        <v/>
      </c>
    </row>
    <row r="959" ht="14.25" customHeight="1">
      <c r="C959" s="184" t="str">
        <f t="shared" si="1"/>
        <v>12-1899</v>
      </c>
      <c r="D959" s="54" t="str">
        <f t="shared" si="130"/>
        <v/>
      </c>
    </row>
    <row r="960" ht="14.25" customHeight="1">
      <c r="C960" s="184" t="str">
        <f t="shared" si="1"/>
        <v>12-1899</v>
      </c>
      <c r="D960" s="54" t="str">
        <f t="shared" si="130"/>
        <v/>
      </c>
    </row>
    <row r="961" ht="14.25" customHeight="1">
      <c r="C961" s="184" t="str">
        <f t="shared" si="1"/>
        <v>12-1899</v>
      </c>
      <c r="D961" s="54" t="str">
        <f t="shared" si="130"/>
        <v/>
      </c>
    </row>
    <row r="962" ht="14.25" customHeight="1">
      <c r="C962" s="184" t="str">
        <f t="shared" si="1"/>
        <v>12-1899</v>
      </c>
      <c r="D962" s="54" t="str">
        <f t="shared" si="130"/>
        <v/>
      </c>
    </row>
    <row r="963" ht="14.25" customHeight="1">
      <c r="C963" s="184" t="str">
        <f t="shared" si="1"/>
        <v>12-1899</v>
      </c>
      <c r="D963" s="54" t="str">
        <f t="shared" si="130"/>
        <v/>
      </c>
    </row>
    <row r="964" ht="14.25" customHeight="1">
      <c r="C964" s="184" t="str">
        <f t="shared" si="1"/>
        <v>12-1899</v>
      </c>
      <c r="D964" s="54" t="str">
        <f t="shared" si="130"/>
        <v/>
      </c>
    </row>
    <row r="965" ht="14.25" customHeight="1">
      <c r="C965" s="184" t="str">
        <f t="shared" si="1"/>
        <v>12-1899</v>
      </c>
      <c r="D965" s="54" t="str">
        <f t="shared" si="130"/>
        <v/>
      </c>
    </row>
    <row r="966" ht="14.25" customHeight="1">
      <c r="C966" s="184" t="str">
        <f t="shared" si="1"/>
        <v>12-1899</v>
      </c>
      <c r="D966" s="54" t="str">
        <f t="shared" si="130"/>
        <v/>
      </c>
    </row>
    <row r="967" ht="14.25" customHeight="1">
      <c r="C967" s="184" t="str">
        <f t="shared" si="1"/>
        <v>12-1899</v>
      </c>
      <c r="D967" s="54" t="str">
        <f t="shared" si="130"/>
        <v/>
      </c>
    </row>
    <row r="968" ht="14.25" customHeight="1">
      <c r="C968" s="184" t="str">
        <f t="shared" si="1"/>
        <v>12-1899</v>
      </c>
      <c r="D968" s="54" t="str">
        <f t="shared" si="130"/>
        <v/>
      </c>
    </row>
    <row r="969" ht="14.25" customHeight="1">
      <c r="C969" s="184" t="str">
        <f t="shared" si="1"/>
        <v>12-1899</v>
      </c>
      <c r="D969" s="54" t="str">
        <f t="shared" si="130"/>
        <v/>
      </c>
    </row>
    <row r="970" ht="14.25" customHeight="1">
      <c r="C970" s="184" t="str">
        <f t="shared" si="1"/>
        <v>12-1899</v>
      </c>
      <c r="D970" s="54" t="str">
        <f t="shared" si="130"/>
        <v/>
      </c>
    </row>
    <row r="971" ht="14.25" customHeight="1">
      <c r="C971" s="184" t="str">
        <f t="shared" si="1"/>
        <v>12-1899</v>
      </c>
      <c r="D971" s="54" t="str">
        <f t="shared" si="130"/>
        <v/>
      </c>
    </row>
    <row r="972" ht="14.25" customHeight="1">
      <c r="C972" s="184" t="str">
        <f t="shared" si="1"/>
        <v>12-1899</v>
      </c>
      <c r="D972" s="54" t="str">
        <f t="shared" si="130"/>
        <v/>
      </c>
    </row>
    <row r="973" ht="14.25" customHeight="1">
      <c r="C973" s="184" t="str">
        <f t="shared" si="1"/>
        <v>12-1899</v>
      </c>
      <c r="D973" s="54" t="str">
        <f t="shared" si="130"/>
        <v/>
      </c>
    </row>
    <row r="974" ht="14.25" customHeight="1">
      <c r="C974" s="184" t="str">
        <f t="shared" si="1"/>
        <v>12-1899</v>
      </c>
      <c r="D974" s="54" t="str">
        <f t="shared" si="130"/>
        <v/>
      </c>
    </row>
    <row r="975" ht="14.25" customHeight="1">
      <c r="C975" s="184" t="str">
        <f t="shared" si="1"/>
        <v>12-1899</v>
      </c>
      <c r="D975" s="54" t="str">
        <f t="shared" si="130"/>
        <v/>
      </c>
    </row>
    <row r="976" ht="14.25" customHeight="1">
      <c r="C976" s="184" t="str">
        <f t="shared" si="1"/>
        <v>12-1899</v>
      </c>
      <c r="D976" s="54" t="str">
        <f t="shared" si="130"/>
        <v/>
      </c>
    </row>
    <row r="977" ht="14.25" customHeight="1">
      <c r="C977" s="184" t="str">
        <f t="shared" si="1"/>
        <v>12-1899</v>
      </c>
      <c r="D977" s="54" t="str">
        <f t="shared" si="130"/>
        <v/>
      </c>
    </row>
    <row r="978" ht="14.25" customHeight="1">
      <c r="C978" s="184" t="str">
        <f t="shared" si="1"/>
        <v>12-1899</v>
      </c>
      <c r="D978" s="54" t="str">
        <f t="shared" si="130"/>
        <v/>
      </c>
    </row>
    <row r="979" ht="14.25" customHeight="1">
      <c r="C979" s="184" t="str">
        <f t="shared" si="1"/>
        <v>12-1899</v>
      </c>
      <c r="D979" s="54" t="str">
        <f t="shared" si="130"/>
        <v/>
      </c>
    </row>
    <row r="980" ht="14.25" customHeight="1">
      <c r="C980" s="184" t="str">
        <f t="shared" si="1"/>
        <v>12-1899</v>
      </c>
      <c r="D980" s="54" t="str">
        <f t="shared" si="130"/>
        <v/>
      </c>
    </row>
    <row r="981" ht="14.25" customHeight="1">
      <c r="C981" s="184" t="str">
        <f t="shared" si="1"/>
        <v>12-1899</v>
      </c>
      <c r="D981" s="54" t="str">
        <f t="shared" si="130"/>
        <v/>
      </c>
    </row>
    <row r="982" ht="14.25" customHeight="1">
      <c r="C982" s="184" t="str">
        <f t="shared" si="1"/>
        <v>12-1899</v>
      </c>
      <c r="D982" s="54" t="str">
        <f t="shared" si="130"/>
        <v/>
      </c>
    </row>
    <row r="983" ht="14.25" customHeight="1">
      <c r="C983" s="184" t="str">
        <f t="shared" si="1"/>
        <v>12-1899</v>
      </c>
      <c r="D983" s="54" t="str">
        <f t="shared" si="130"/>
        <v/>
      </c>
    </row>
    <row r="984" ht="14.25" customHeight="1">
      <c r="C984" s="184" t="str">
        <f t="shared" si="1"/>
        <v>12-1899</v>
      </c>
      <c r="D984" s="54" t="str">
        <f t="shared" si="130"/>
        <v/>
      </c>
    </row>
    <row r="985" ht="14.25" customHeight="1">
      <c r="C985" s="184" t="str">
        <f t="shared" si="1"/>
        <v>12-1899</v>
      </c>
      <c r="D985" s="54" t="str">
        <f t="shared" si="130"/>
        <v/>
      </c>
    </row>
    <row r="986" ht="14.25" customHeight="1">
      <c r="C986" s="184" t="str">
        <f t="shared" si="1"/>
        <v>12-1899</v>
      </c>
      <c r="D986" s="54" t="str">
        <f t="shared" si="130"/>
        <v/>
      </c>
    </row>
    <row r="987" ht="14.25" customHeight="1">
      <c r="C987" s="184" t="str">
        <f t="shared" si="1"/>
        <v>12-1899</v>
      </c>
      <c r="D987" s="54" t="str">
        <f t="shared" si="130"/>
        <v/>
      </c>
    </row>
    <row r="988" ht="14.25" customHeight="1">
      <c r="C988" s="184" t="str">
        <f t="shared" si="1"/>
        <v>12-1899</v>
      </c>
      <c r="D988" s="54" t="str">
        <f t="shared" si="130"/>
        <v/>
      </c>
    </row>
    <row r="989" ht="14.25" customHeight="1">
      <c r="C989" s="184" t="str">
        <f t="shared" si="1"/>
        <v>12-1899</v>
      </c>
      <c r="D989" s="54" t="str">
        <f t="shared" si="130"/>
        <v/>
      </c>
    </row>
    <row r="990" ht="14.25" customHeight="1">
      <c r="C990" s="184" t="str">
        <f t="shared" si="1"/>
        <v>12-1899</v>
      </c>
      <c r="D990" s="54" t="str">
        <f t="shared" si="130"/>
        <v/>
      </c>
    </row>
    <row r="991" ht="14.25" customHeight="1">
      <c r="C991" s="184" t="str">
        <f t="shared" si="1"/>
        <v>12-1899</v>
      </c>
      <c r="D991" s="54" t="str">
        <f t="shared" si="130"/>
        <v/>
      </c>
    </row>
    <row r="992" ht="14.25" customHeight="1">
      <c r="C992" s="184" t="str">
        <f t="shared" si="1"/>
        <v>12-1899</v>
      </c>
      <c r="D992" s="54" t="str">
        <f t="shared" si="130"/>
        <v/>
      </c>
    </row>
    <row r="993" ht="14.25" customHeight="1">
      <c r="C993" s="184" t="str">
        <f t="shared" si="1"/>
        <v>12-1899</v>
      </c>
      <c r="D993" s="54" t="str">
        <f t="shared" si="130"/>
        <v/>
      </c>
    </row>
    <row r="994" ht="14.25" customHeight="1">
      <c r="C994" s="184" t="str">
        <f t="shared" si="1"/>
        <v>12-1899</v>
      </c>
      <c r="D994" s="54" t="str">
        <f t="shared" si="130"/>
        <v/>
      </c>
    </row>
    <row r="995" ht="14.25" customHeight="1">
      <c r="C995" s="184" t="str">
        <f t="shared" si="1"/>
        <v>12-1899</v>
      </c>
      <c r="D995" s="54" t="str">
        <f t="shared" si="130"/>
        <v/>
      </c>
    </row>
    <row r="996" ht="14.25" customHeight="1">
      <c r="C996" s="184" t="str">
        <f t="shared" si="1"/>
        <v>12-1899</v>
      </c>
      <c r="D996" s="54" t="str">
        <f t="shared" si="130"/>
        <v/>
      </c>
    </row>
    <row r="997" ht="14.25" customHeight="1">
      <c r="C997" s="184" t="str">
        <f t="shared" si="1"/>
        <v>12-1899</v>
      </c>
      <c r="D997" s="54" t="str">
        <f t="shared" si="130"/>
        <v/>
      </c>
    </row>
    <row r="998" ht="14.25" customHeight="1">
      <c r="C998" s="184" t="str">
        <f t="shared" si="1"/>
        <v>12-1899</v>
      </c>
      <c r="D998" s="54" t="str">
        <f t="shared" si="130"/>
        <v/>
      </c>
    </row>
    <row r="999" ht="14.25" customHeight="1">
      <c r="C999" s="184" t="str">
        <f t="shared" si="1"/>
        <v>12-1899</v>
      </c>
      <c r="D999" s="54" t="str">
        <f t="shared" si="130"/>
        <v/>
      </c>
    </row>
    <row r="1000" ht="14.25" customHeight="1">
      <c r="C1000" s="184" t="str">
        <f t="shared" si="1"/>
        <v>12-1899</v>
      </c>
      <c r="D1000" s="54" t="str">
        <f t="shared" si="130"/>
        <v/>
      </c>
    </row>
    <row r="1001" ht="14.25" customHeight="1">
      <c r="C1001" s="184" t="str">
        <f t="shared" si="1"/>
        <v>12-1899</v>
      </c>
      <c r="D1001" s="54" t="str">
        <f t="shared" si="130"/>
        <v/>
      </c>
    </row>
    <row r="1002" ht="14.25" customHeight="1">
      <c r="C1002" s="184" t="str">
        <f t="shared" si="1"/>
        <v>12-1899</v>
      </c>
      <c r="D1002" s="54" t="str">
        <f t="shared" si="130"/>
        <v/>
      </c>
    </row>
    <row r="1003" ht="14.25" customHeight="1">
      <c r="C1003" s="184" t="str">
        <f t="shared" si="1"/>
        <v>12-1899</v>
      </c>
      <c r="D1003" s="54" t="str">
        <f t="shared" si="130"/>
        <v/>
      </c>
    </row>
    <row r="1004" ht="14.25" customHeight="1">
      <c r="C1004" s="184" t="str">
        <f t="shared" si="1"/>
        <v>12-1899</v>
      </c>
      <c r="D1004" s="54" t="str">
        <f t="shared" si="130"/>
        <v/>
      </c>
    </row>
    <row r="1005" ht="14.25" customHeight="1">
      <c r="C1005" s="184" t="str">
        <f t="shared" si="1"/>
        <v>12-1899</v>
      </c>
      <c r="D1005" s="54" t="str">
        <f t="shared" si="130"/>
        <v/>
      </c>
    </row>
    <row r="1006" ht="14.25" customHeight="1">
      <c r="C1006" s="184" t="str">
        <f t="shared" si="1"/>
        <v>12-1899</v>
      </c>
      <c r="D1006" s="54" t="str">
        <f t="shared" si="130"/>
        <v/>
      </c>
    </row>
    <row r="1007" ht="14.25" customHeight="1">
      <c r="C1007" s="184" t="str">
        <f t="shared" si="1"/>
        <v>12-1899</v>
      </c>
      <c r="D1007" s="54" t="str">
        <f t="shared" si="130"/>
        <v/>
      </c>
    </row>
    <row r="1008" ht="14.25" customHeight="1">
      <c r="C1008" s="184" t="str">
        <f t="shared" si="1"/>
        <v>12-1899</v>
      </c>
      <c r="D1008" s="54" t="str">
        <f t="shared" si="130"/>
        <v/>
      </c>
    </row>
    <row r="1009" ht="14.25" customHeight="1">
      <c r="C1009" s="184" t="str">
        <f t="shared" si="1"/>
        <v>12-1899</v>
      </c>
      <c r="D1009" s="54" t="str">
        <f t="shared" si="130"/>
        <v/>
      </c>
    </row>
    <row r="1010" ht="14.25" customHeight="1">
      <c r="C1010" s="184" t="str">
        <f t="shared" si="1"/>
        <v>12-1899</v>
      </c>
      <c r="D1010" s="54" t="str">
        <f t="shared" si="130"/>
        <v/>
      </c>
    </row>
    <row r="1011" ht="14.25" customHeight="1">
      <c r="C1011" s="184" t="str">
        <f t="shared" si="1"/>
        <v>12-1899</v>
      </c>
      <c r="D1011" s="54" t="str">
        <f t="shared" si="130"/>
        <v/>
      </c>
    </row>
    <row r="1012" ht="14.25" customHeight="1">
      <c r="C1012" s="184" t="str">
        <f t="shared" si="1"/>
        <v>12-1899</v>
      </c>
      <c r="D1012" s="54" t="str">
        <f t="shared" si="130"/>
        <v/>
      </c>
    </row>
    <row r="1013" ht="14.25" customHeight="1">
      <c r="C1013" s="184" t="str">
        <f t="shared" si="1"/>
        <v>12-1899</v>
      </c>
      <c r="D1013" s="54" t="str">
        <f t="shared" si="130"/>
        <v/>
      </c>
    </row>
    <row r="1014" ht="14.25" customHeight="1">
      <c r="C1014" s="184" t="str">
        <f t="shared" si="1"/>
        <v>12-1899</v>
      </c>
      <c r="D1014" s="54" t="str">
        <f t="shared" si="130"/>
        <v/>
      </c>
    </row>
    <row r="1015" ht="14.25" customHeight="1">
      <c r="C1015" s="184" t="str">
        <f t="shared" si="1"/>
        <v>12-1899</v>
      </c>
      <c r="D1015" s="54" t="str">
        <f t="shared" si="130"/>
        <v/>
      </c>
    </row>
    <row r="1016" ht="14.25" customHeight="1">
      <c r="C1016" s="184" t="str">
        <f t="shared" si="1"/>
        <v>12-1899</v>
      </c>
      <c r="D1016" s="54" t="str">
        <f t="shared" si="130"/>
        <v/>
      </c>
    </row>
    <row r="1017" ht="14.25" customHeight="1">
      <c r="C1017" s="184" t="str">
        <f t="shared" si="1"/>
        <v>12-1899</v>
      </c>
      <c r="D1017" s="54" t="str">
        <f t="shared" si="130"/>
        <v/>
      </c>
    </row>
    <row r="1018" ht="14.25" customHeight="1">
      <c r="C1018" s="184" t="str">
        <f t="shared" si="1"/>
        <v>12-1899</v>
      </c>
      <c r="D1018" s="54" t="str">
        <f t="shared" si="130"/>
        <v/>
      </c>
    </row>
    <row r="1019" ht="14.25" customHeight="1">
      <c r="C1019" s="184" t="str">
        <f t="shared" si="1"/>
        <v>12-1899</v>
      </c>
      <c r="D1019" s="54" t="str">
        <f t="shared" si="130"/>
        <v/>
      </c>
    </row>
    <row r="1020" ht="14.25" customHeight="1">
      <c r="C1020" s="184" t="str">
        <f t="shared" si="1"/>
        <v>12-1899</v>
      </c>
      <c r="D1020" s="54" t="str">
        <f t="shared" si="130"/>
        <v/>
      </c>
    </row>
    <row r="1021" ht="14.25" customHeight="1">
      <c r="C1021" s="184" t="str">
        <f t="shared" si="1"/>
        <v>12-1899</v>
      </c>
      <c r="D1021" s="54" t="str">
        <f t="shared" si="130"/>
        <v/>
      </c>
    </row>
    <row r="1022" ht="14.25" customHeight="1">
      <c r="C1022" s="184" t="str">
        <f t="shared" si="1"/>
        <v>12-1899</v>
      </c>
      <c r="D1022" s="54" t="str">
        <f t="shared" si="130"/>
        <v/>
      </c>
    </row>
    <row r="1023" ht="14.25" customHeight="1">
      <c r="C1023" s="184" t="str">
        <f t="shared" si="1"/>
        <v>12-1899</v>
      </c>
      <c r="D1023" s="54" t="str">
        <f t="shared" si="130"/>
        <v/>
      </c>
    </row>
    <row r="1024" ht="14.25" customHeight="1">
      <c r="C1024" s="184" t="str">
        <f t="shared" si="1"/>
        <v>12-1899</v>
      </c>
      <c r="D1024" s="54" t="str">
        <f t="shared" si="130"/>
        <v/>
      </c>
    </row>
    <row r="1025" ht="14.25" customHeight="1">
      <c r="C1025" s="184" t="str">
        <f t="shared" si="1"/>
        <v>12-1899</v>
      </c>
      <c r="D1025" s="54" t="str">
        <f t="shared" si="130"/>
        <v/>
      </c>
    </row>
    <row r="1026" ht="14.25" customHeight="1">
      <c r="C1026" s="184" t="str">
        <f t="shared" si="1"/>
        <v>12-1899</v>
      </c>
      <c r="D1026" s="54" t="str">
        <f t="shared" si="130"/>
        <v/>
      </c>
    </row>
    <row r="1027" ht="14.25" customHeight="1">
      <c r="C1027" s="184" t="str">
        <f t="shared" si="1"/>
        <v>12-1899</v>
      </c>
      <c r="D1027" s="54" t="str">
        <f t="shared" si="130"/>
        <v/>
      </c>
    </row>
    <row r="1028" ht="14.25" customHeight="1">
      <c r="C1028" s="184" t="str">
        <f t="shared" si="1"/>
        <v>12-1899</v>
      </c>
      <c r="D1028" s="54" t="str">
        <f t="shared" si="130"/>
        <v/>
      </c>
    </row>
    <row r="1029" ht="14.25" customHeight="1">
      <c r="C1029" s="184" t="str">
        <f t="shared" si="1"/>
        <v>12-1899</v>
      </c>
      <c r="D1029" s="54" t="str">
        <f t="shared" si="130"/>
        <v/>
      </c>
    </row>
    <row r="1030" ht="14.25" customHeight="1">
      <c r="C1030" s="184" t="str">
        <f t="shared" si="1"/>
        <v>12-1899</v>
      </c>
      <c r="D1030" s="54" t="str">
        <f t="shared" si="130"/>
        <v/>
      </c>
    </row>
    <row r="1031" ht="14.25" customHeight="1">
      <c r="C1031" s="184" t="str">
        <f t="shared" si="1"/>
        <v>12-1899</v>
      </c>
      <c r="D1031" s="54" t="str">
        <f t="shared" si="130"/>
        <v/>
      </c>
    </row>
    <row r="1032" ht="14.25" customHeight="1">
      <c r="C1032" s="184" t="str">
        <f t="shared" si="1"/>
        <v>12-1899</v>
      </c>
      <c r="D1032" s="54" t="str">
        <f t="shared" si="130"/>
        <v/>
      </c>
    </row>
    <row r="1033" ht="14.25" customHeight="1">
      <c r="C1033" s="184" t="str">
        <f t="shared" si="1"/>
        <v>12-1899</v>
      </c>
      <c r="D1033" s="54" t="str">
        <f t="shared" si="130"/>
        <v/>
      </c>
    </row>
    <row r="1034" ht="14.25" customHeight="1">
      <c r="C1034" s="184" t="str">
        <f t="shared" si="1"/>
        <v>12-1899</v>
      </c>
      <c r="D1034" s="54" t="str">
        <f t="shared" si="130"/>
        <v/>
      </c>
    </row>
    <row r="1035" ht="14.25" customHeight="1">
      <c r="C1035" s="184" t="str">
        <f t="shared" si="1"/>
        <v>12-1899</v>
      </c>
      <c r="D1035" s="54" t="str">
        <f t="shared" si="130"/>
        <v/>
      </c>
    </row>
    <row r="1036" ht="14.25" customHeight="1">
      <c r="C1036" s="184" t="str">
        <f t="shared" si="1"/>
        <v>12-1899</v>
      </c>
      <c r="D1036" s="54" t="str">
        <f t="shared" si="130"/>
        <v/>
      </c>
    </row>
    <row r="1037" ht="14.25" customHeight="1">
      <c r="C1037" s="184" t="str">
        <f t="shared" si="1"/>
        <v>12-1899</v>
      </c>
      <c r="D1037" s="54" t="str">
        <f t="shared" si="130"/>
        <v/>
      </c>
    </row>
    <row r="1038" ht="14.25" customHeight="1">
      <c r="C1038" s="184" t="str">
        <f t="shared" si="1"/>
        <v>12-1899</v>
      </c>
      <c r="D1038" s="54" t="str">
        <f t="shared" si="130"/>
        <v/>
      </c>
    </row>
    <row r="1039" ht="14.25" customHeight="1">
      <c r="C1039" s="184" t="str">
        <f t="shared" si="1"/>
        <v>12-1899</v>
      </c>
      <c r="D1039" s="54" t="str">
        <f t="shared" si="130"/>
        <v/>
      </c>
    </row>
    <row r="1040" ht="14.25" customHeight="1">
      <c r="C1040" s="184" t="str">
        <f t="shared" si="1"/>
        <v>12-1899</v>
      </c>
      <c r="D1040" s="54" t="str">
        <f t="shared" si="130"/>
        <v/>
      </c>
    </row>
    <row r="1041" ht="14.25" customHeight="1">
      <c r="C1041" s="184" t="str">
        <f t="shared" si="1"/>
        <v>12-1899</v>
      </c>
      <c r="D1041" s="54" t="str">
        <f t="shared" si="130"/>
        <v/>
      </c>
    </row>
    <row r="1042" ht="14.25" customHeight="1">
      <c r="C1042" s="184" t="str">
        <f t="shared" si="1"/>
        <v>12-1899</v>
      </c>
      <c r="D1042" s="54" t="str">
        <f t="shared" si="130"/>
        <v/>
      </c>
    </row>
    <row r="1043" ht="14.25" customHeight="1">
      <c r="C1043" s="184" t="str">
        <f t="shared" si="1"/>
        <v>12-1899</v>
      </c>
      <c r="D1043" s="54" t="str">
        <f t="shared" si="130"/>
        <v/>
      </c>
    </row>
    <row r="1044" ht="14.25" customHeight="1">
      <c r="C1044" s="184" t="str">
        <f t="shared" si="1"/>
        <v>12-1899</v>
      </c>
      <c r="D1044" s="54" t="str">
        <f t="shared" si="130"/>
        <v/>
      </c>
    </row>
    <row r="1045" ht="14.25" customHeight="1">
      <c r="C1045" s="184" t="str">
        <f t="shared" si="1"/>
        <v>12-1899</v>
      </c>
      <c r="D1045" s="54" t="str">
        <f t="shared" si="130"/>
        <v/>
      </c>
    </row>
    <row r="1046" ht="14.25" customHeight="1">
      <c r="C1046" s="184" t="str">
        <f t="shared" si="1"/>
        <v>12-1899</v>
      </c>
      <c r="D1046" s="54" t="str">
        <f t="shared" si="130"/>
        <v/>
      </c>
    </row>
    <row r="1047" ht="14.25" customHeight="1">
      <c r="C1047" s="184" t="str">
        <f t="shared" si="1"/>
        <v>12-1899</v>
      </c>
      <c r="D1047" s="54" t="str">
        <f t="shared" si="130"/>
        <v/>
      </c>
    </row>
    <row r="1048" ht="14.25" customHeight="1">
      <c r="C1048" s="184" t="str">
        <f t="shared" si="1"/>
        <v>12-1899</v>
      </c>
      <c r="D1048" s="54" t="str">
        <f t="shared" si="130"/>
        <v/>
      </c>
    </row>
    <row r="1049" ht="14.25" customHeight="1">
      <c r="C1049" s="184" t="str">
        <f t="shared" si="1"/>
        <v>12-1899</v>
      </c>
      <c r="D1049" s="54" t="str">
        <f t="shared" si="130"/>
        <v/>
      </c>
    </row>
    <row r="1050" ht="14.25" customHeight="1">
      <c r="C1050" s="184" t="str">
        <f t="shared" si="1"/>
        <v>12-1899</v>
      </c>
      <c r="D1050" s="54" t="str">
        <f t="shared" si="130"/>
        <v/>
      </c>
    </row>
    <row r="1051" ht="14.25" customHeight="1">
      <c r="C1051" s="184" t="str">
        <f t="shared" si="1"/>
        <v>12-1899</v>
      </c>
      <c r="D1051" s="54" t="str">
        <f t="shared" si="130"/>
        <v/>
      </c>
    </row>
    <row r="1052" ht="14.25" customHeight="1">
      <c r="C1052" s="184" t="str">
        <f t="shared" si="1"/>
        <v>12-1899</v>
      </c>
      <c r="D1052" s="54" t="str">
        <f t="shared" si="130"/>
        <v/>
      </c>
    </row>
    <row r="1053" ht="14.25" customHeight="1">
      <c r="C1053" s="184" t="str">
        <f t="shared" si="1"/>
        <v>12-1899</v>
      </c>
      <c r="D1053" s="54" t="str">
        <f t="shared" si="130"/>
        <v/>
      </c>
    </row>
    <row r="1054" ht="14.25" customHeight="1">
      <c r="C1054" s="184" t="str">
        <f t="shared" si="1"/>
        <v>12-1899</v>
      </c>
      <c r="D1054" s="54" t="str">
        <f t="shared" si="130"/>
        <v/>
      </c>
    </row>
    <row r="1055" ht="14.25" customHeight="1">
      <c r="C1055" s="184" t="str">
        <f t="shared" si="1"/>
        <v>12-1899</v>
      </c>
      <c r="D1055" s="54" t="str">
        <f t="shared" si="130"/>
        <v/>
      </c>
    </row>
    <row r="1056" ht="14.25" customHeight="1">
      <c r="C1056" s="184" t="str">
        <f t="shared" si="1"/>
        <v>12-1899</v>
      </c>
      <c r="D1056" s="54" t="str">
        <f t="shared" si="130"/>
        <v/>
      </c>
    </row>
    <row r="1057" ht="14.25" customHeight="1">
      <c r="C1057" s="184" t="str">
        <f t="shared" si="1"/>
        <v>12-1899</v>
      </c>
      <c r="D1057" s="54" t="str">
        <f t="shared" si="130"/>
        <v/>
      </c>
    </row>
    <row r="1058" ht="14.25" customHeight="1">
      <c r="C1058" s="184" t="str">
        <f t="shared" si="1"/>
        <v>12-1899</v>
      </c>
      <c r="D1058" s="54" t="str">
        <f t="shared" si="130"/>
        <v/>
      </c>
    </row>
    <row r="1059" ht="14.25" customHeight="1">
      <c r="C1059" s="184" t="str">
        <f t="shared" si="1"/>
        <v>12-1899</v>
      </c>
      <c r="D1059" s="54" t="str">
        <f t="shared" si="130"/>
        <v/>
      </c>
    </row>
    <row r="1060" ht="14.25" customHeight="1">
      <c r="C1060" s="184" t="str">
        <f t="shared" si="1"/>
        <v>12-1899</v>
      </c>
      <c r="D1060" s="54" t="str">
        <f t="shared" si="130"/>
        <v/>
      </c>
    </row>
    <row r="1061" ht="14.25" customHeight="1">
      <c r="C1061" s="184" t="str">
        <f t="shared" si="1"/>
        <v>12-1899</v>
      </c>
      <c r="D1061" s="54" t="str">
        <f t="shared" si="130"/>
        <v/>
      </c>
    </row>
    <row r="1062" ht="14.25" customHeight="1">
      <c r="C1062" s="184" t="str">
        <f t="shared" si="1"/>
        <v>12-1899</v>
      </c>
      <c r="D1062" s="54" t="str">
        <f t="shared" si="130"/>
        <v/>
      </c>
    </row>
    <row r="1063" ht="14.25" customHeight="1">
      <c r="C1063" s="184" t="str">
        <f t="shared" si="1"/>
        <v>12-1899</v>
      </c>
      <c r="D1063" s="54" t="str">
        <f t="shared" si="130"/>
        <v/>
      </c>
    </row>
    <row r="1064" ht="14.25" customHeight="1">
      <c r="C1064" s="184" t="str">
        <f t="shared" si="1"/>
        <v>12-1899</v>
      </c>
      <c r="D1064" s="54" t="str">
        <f t="shared" si="130"/>
        <v/>
      </c>
    </row>
    <row r="1065" ht="14.25" customHeight="1">
      <c r="C1065" s="184" t="str">
        <f t="shared" si="1"/>
        <v>12-1899</v>
      </c>
      <c r="D1065" s="54" t="str">
        <f t="shared" si="130"/>
        <v/>
      </c>
    </row>
    <row r="1066" ht="14.25" customHeight="1">
      <c r="C1066" s="184" t="str">
        <f t="shared" si="1"/>
        <v>12-1899</v>
      </c>
      <c r="D1066" s="54" t="str">
        <f t="shared" si="130"/>
        <v/>
      </c>
    </row>
    <row r="1067" ht="14.25" customHeight="1">
      <c r="C1067" s="184" t="str">
        <f t="shared" si="1"/>
        <v>12-1899</v>
      </c>
      <c r="D1067" s="54" t="str">
        <f t="shared" si="130"/>
        <v/>
      </c>
    </row>
    <row r="1068" ht="14.25" customHeight="1">
      <c r="C1068" s="184" t="str">
        <f t="shared" si="1"/>
        <v>12-1899</v>
      </c>
      <c r="D1068" s="54" t="str">
        <f t="shared" si="130"/>
        <v/>
      </c>
    </row>
    <row r="1069" ht="14.25" customHeight="1">
      <c r="C1069" s="184" t="str">
        <f t="shared" si="1"/>
        <v>12-1899</v>
      </c>
      <c r="D1069" s="54" t="str">
        <f t="shared" si="130"/>
        <v/>
      </c>
    </row>
    <row r="1070" ht="14.25" customHeight="1">
      <c r="C1070" s="184" t="str">
        <f t="shared" si="1"/>
        <v>12-1899</v>
      </c>
      <c r="D1070" s="54" t="str">
        <f t="shared" si="130"/>
        <v/>
      </c>
    </row>
    <row r="1071" ht="14.25" customHeight="1">
      <c r="C1071" s="184" t="str">
        <f t="shared" si="1"/>
        <v>12-1899</v>
      </c>
      <c r="D1071" s="54" t="str">
        <f t="shared" si="130"/>
        <v/>
      </c>
    </row>
    <row r="1072" ht="14.25" customHeight="1">
      <c r="C1072" s="184" t="str">
        <f t="shared" si="1"/>
        <v>12-1899</v>
      </c>
      <c r="D1072" s="54" t="str">
        <f t="shared" si="130"/>
        <v/>
      </c>
    </row>
    <row r="1073" ht="14.25" customHeight="1">
      <c r="C1073" s="184" t="str">
        <f t="shared" si="1"/>
        <v>12-1899</v>
      </c>
      <c r="D1073" s="54" t="str">
        <f t="shared" si="130"/>
        <v/>
      </c>
    </row>
    <row r="1074" ht="14.25" customHeight="1">
      <c r="C1074" s="184" t="str">
        <f t="shared" si="1"/>
        <v>12-1899</v>
      </c>
      <c r="D1074" s="54" t="str">
        <f t="shared" si="130"/>
        <v/>
      </c>
    </row>
    <row r="1075" ht="14.25" customHeight="1">
      <c r="C1075" s="184" t="str">
        <f t="shared" si="1"/>
        <v>12-1899</v>
      </c>
      <c r="D1075" s="54" t="str">
        <f t="shared" si="130"/>
        <v/>
      </c>
    </row>
    <row r="1076" ht="14.25" customHeight="1">
      <c r="C1076" s="184" t="str">
        <f t="shared" si="1"/>
        <v>12-1899</v>
      </c>
      <c r="D1076" s="54" t="str">
        <f t="shared" si="130"/>
        <v/>
      </c>
    </row>
    <row r="1077" ht="14.25" customHeight="1">
      <c r="C1077" s="184" t="str">
        <f t="shared" si="1"/>
        <v>12-1899</v>
      </c>
      <c r="D1077" s="54" t="str">
        <f t="shared" si="130"/>
        <v/>
      </c>
    </row>
    <row r="1078" ht="14.25" customHeight="1">
      <c r="C1078" s="184" t="str">
        <f t="shared" si="1"/>
        <v>12-1899</v>
      </c>
      <c r="D1078" s="54" t="str">
        <f t="shared" si="130"/>
        <v/>
      </c>
    </row>
    <row r="1079" ht="14.25" customHeight="1">
      <c r="C1079" s="184" t="str">
        <f t="shared" si="1"/>
        <v>12-1899</v>
      </c>
      <c r="D1079" s="54" t="str">
        <f t="shared" si="130"/>
        <v/>
      </c>
    </row>
    <row r="1080" ht="14.25" customHeight="1">
      <c r="C1080" s="184" t="str">
        <f t="shared" si="1"/>
        <v>12-1899</v>
      </c>
      <c r="D1080" s="54" t="str">
        <f t="shared" si="130"/>
        <v/>
      </c>
    </row>
    <row r="1081" ht="14.25" customHeight="1">
      <c r="C1081" s="184" t="str">
        <f t="shared" si="1"/>
        <v>12-1899</v>
      </c>
      <c r="D1081" s="54" t="str">
        <f t="shared" si="130"/>
        <v/>
      </c>
    </row>
    <row r="1082" ht="14.25" customHeight="1">
      <c r="C1082" s="184" t="str">
        <f t="shared" si="1"/>
        <v>12-1899</v>
      </c>
      <c r="D1082" s="54" t="str">
        <f t="shared" si="130"/>
        <v/>
      </c>
    </row>
    <row r="1083" ht="14.25" customHeight="1">
      <c r="C1083" s="184" t="str">
        <f t="shared" si="1"/>
        <v>12-1899</v>
      </c>
      <c r="D1083" s="54" t="str">
        <f t="shared" si="130"/>
        <v/>
      </c>
    </row>
    <row r="1084" ht="14.25" customHeight="1">
      <c r="C1084" s="184" t="str">
        <f t="shared" si="1"/>
        <v>12-1899</v>
      </c>
      <c r="D1084" s="54" t="str">
        <f t="shared" si="130"/>
        <v/>
      </c>
    </row>
    <row r="1085" ht="14.25" customHeight="1">
      <c r="C1085" s="184" t="str">
        <f t="shared" si="1"/>
        <v>12-1899</v>
      </c>
      <c r="D1085" s="54" t="str">
        <f t="shared" si="130"/>
        <v/>
      </c>
    </row>
    <row r="1086" ht="14.25" customHeight="1">
      <c r="C1086" s="184" t="str">
        <f t="shared" si="1"/>
        <v>12-1899</v>
      </c>
      <c r="D1086" s="54" t="str">
        <f t="shared" si="130"/>
        <v/>
      </c>
    </row>
    <row r="1087" ht="14.25" customHeight="1">
      <c r="C1087" s="184" t="str">
        <f t="shared" si="1"/>
        <v>12-1899</v>
      </c>
      <c r="D1087" s="54" t="str">
        <f t="shared" si="130"/>
        <v/>
      </c>
    </row>
    <row r="1088" ht="14.25" customHeight="1">
      <c r="C1088" s="184" t="str">
        <f t="shared" si="1"/>
        <v>12-1899</v>
      </c>
      <c r="D1088" s="54" t="str">
        <f t="shared" si="130"/>
        <v/>
      </c>
    </row>
    <row r="1089" ht="14.25" customHeight="1">
      <c r="C1089" s="184" t="str">
        <f t="shared" si="1"/>
        <v>12-1899</v>
      </c>
      <c r="D1089" s="54" t="str">
        <f t="shared" si="130"/>
        <v/>
      </c>
    </row>
    <row r="1090" ht="14.25" customHeight="1">
      <c r="C1090" s="184" t="str">
        <f t="shared" si="1"/>
        <v>12-1899</v>
      </c>
      <c r="D1090" s="54" t="str">
        <f t="shared" si="130"/>
        <v/>
      </c>
    </row>
    <row r="1091" ht="14.25" customHeight="1">
      <c r="C1091" s="184" t="str">
        <f t="shared" si="1"/>
        <v>12-1899</v>
      </c>
      <c r="D1091" s="54" t="str">
        <f t="shared" si="130"/>
        <v/>
      </c>
    </row>
    <row r="1092" ht="14.25" customHeight="1">
      <c r="C1092" s="184" t="str">
        <f t="shared" si="1"/>
        <v>12-1899</v>
      </c>
      <c r="D1092" s="54" t="str">
        <f t="shared" si="130"/>
        <v/>
      </c>
    </row>
    <row r="1093" ht="14.25" customHeight="1">
      <c r="C1093" s="184" t="str">
        <f t="shared" si="1"/>
        <v>12-1899</v>
      </c>
      <c r="D1093" s="54" t="str">
        <f t="shared" si="130"/>
        <v/>
      </c>
    </row>
    <row r="1094" ht="14.25" customHeight="1">
      <c r="C1094" s="184" t="str">
        <f t="shared" si="1"/>
        <v>12-1899</v>
      </c>
      <c r="D1094" s="54" t="str">
        <f t="shared" si="130"/>
        <v/>
      </c>
    </row>
    <row r="1095" ht="14.25" customHeight="1">
      <c r="C1095" s="184" t="str">
        <f t="shared" si="1"/>
        <v>12-1899</v>
      </c>
      <c r="D1095" s="54" t="str">
        <f t="shared" si="130"/>
        <v/>
      </c>
    </row>
    <row r="1096" ht="14.25" customHeight="1">
      <c r="C1096" s="184" t="str">
        <f t="shared" si="1"/>
        <v>12-1899</v>
      </c>
      <c r="D1096" s="54" t="str">
        <f t="shared" si="130"/>
        <v/>
      </c>
    </row>
    <row r="1097" ht="14.25" customHeight="1">
      <c r="C1097" s="184" t="str">
        <f t="shared" si="1"/>
        <v>12-1899</v>
      </c>
      <c r="D1097" s="54" t="str">
        <f t="shared" si="130"/>
        <v/>
      </c>
    </row>
    <row r="1098" ht="14.25" customHeight="1">
      <c r="C1098" s="184" t="str">
        <f t="shared" si="1"/>
        <v>12-1899</v>
      </c>
      <c r="D1098" s="54" t="str">
        <f t="shared" si="130"/>
        <v/>
      </c>
    </row>
    <row r="1099" ht="14.25" customHeight="1">
      <c r="C1099" s="184" t="str">
        <f t="shared" si="1"/>
        <v>12-1899</v>
      </c>
      <c r="D1099" s="54" t="str">
        <f t="shared" si="130"/>
        <v/>
      </c>
    </row>
    <row r="1100" ht="14.25" customHeight="1">
      <c r="C1100" s="184" t="str">
        <f t="shared" si="1"/>
        <v>12-1899</v>
      </c>
      <c r="D1100" s="54" t="str">
        <f t="shared" si="130"/>
        <v/>
      </c>
    </row>
    <row r="1101" ht="14.25" customHeight="1">
      <c r="C1101" s="184" t="str">
        <f t="shared" si="1"/>
        <v>12-1899</v>
      </c>
      <c r="D1101" s="54" t="str">
        <f t="shared" si="130"/>
        <v/>
      </c>
    </row>
    <row r="1102" ht="14.25" customHeight="1">
      <c r="C1102" s="184" t="str">
        <f t="shared" si="1"/>
        <v>12-1899</v>
      </c>
      <c r="D1102" s="54" t="str">
        <f t="shared" si="130"/>
        <v/>
      </c>
    </row>
    <row r="1103" ht="14.25" customHeight="1">
      <c r="C1103" s="184" t="str">
        <f t="shared" si="1"/>
        <v>12-1899</v>
      </c>
      <c r="D1103" s="54" t="str">
        <f t="shared" si="130"/>
        <v/>
      </c>
    </row>
    <row r="1104" ht="14.25" customHeight="1">
      <c r="C1104" s="184" t="str">
        <f t="shared" si="1"/>
        <v>12-1899</v>
      </c>
      <c r="D1104" s="54" t="str">
        <f t="shared" si="130"/>
        <v/>
      </c>
    </row>
    <row r="1105" ht="14.25" customHeight="1">
      <c r="C1105" s="184" t="str">
        <f t="shared" si="1"/>
        <v>12-1899</v>
      </c>
      <c r="D1105" s="54" t="str">
        <f t="shared" si="130"/>
        <v/>
      </c>
    </row>
    <row r="1106" ht="14.25" customHeight="1">
      <c r="C1106" s="184" t="str">
        <f t="shared" si="1"/>
        <v>12-1899</v>
      </c>
      <c r="D1106" s="54" t="str">
        <f t="shared" si="130"/>
        <v/>
      </c>
    </row>
    <row r="1107" ht="14.25" customHeight="1">
      <c r="C1107" s="184" t="str">
        <f t="shared" si="1"/>
        <v>12-1899</v>
      </c>
      <c r="D1107" s="54" t="str">
        <f t="shared" si="130"/>
        <v/>
      </c>
    </row>
    <row r="1108" ht="14.25" customHeight="1">
      <c r="C1108" s="184" t="str">
        <f t="shared" si="1"/>
        <v>12-1899</v>
      </c>
      <c r="D1108" s="54" t="str">
        <f t="shared" si="130"/>
        <v/>
      </c>
    </row>
    <row r="1109" ht="14.25" customHeight="1">
      <c r="C1109" s="184" t="str">
        <f t="shared" si="1"/>
        <v>12-1899</v>
      </c>
      <c r="D1109" s="54" t="str">
        <f t="shared" si="130"/>
        <v/>
      </c>
    </row>
    <row r="1110" ht="14.25" customHeight="1">
      <c r="C1110" s="184" t="str">
        <f t="shared" si="1"/>
        <v>12-1899</v>
      </c>
      <c r="D1110" s="54" t="str">
        <f t="shared" si="130"/>
        <v/>
      </c>
    </row>
    <row r="1111" ht="14.25" customHeight="1">
      <c r="C1111" s="184" t="str">
        <f t="shared" si="1"/>
        <v>12-1899</v>
      </c>
      <c r="D1111" s="54" t="str">
        <f t="shared" si="130"/>
        <v/>
      </c>
    </row>
    <row r="1112" ht="14.25" customHeight="1">
      <c r="C1112" s="184" t="str">
        <f t="shared" si="1"/>
        <v>12-1899</v>
      </c>
      <c r="D1112" s="54" t="str">
        <f t="shared" si="130"/>
        <v/>
      </c>
    </row>
    <row r="1113" ht="14.25" customHeight="1">
      <c r="C1113" s="184" t="str">
        <f t="shared" si="1"/>
        <v>12-1899</v>
      </c>
      <c r="D1113" s="54" t="str">
        <f t="shared" si="130"/>
        <v/>
      </c>
    </row>
    <row r="1114" ht="14.25" customHeight="1">
      <c r="C1114" s="184" t="str">
        <f t="shared" si="1"/>
        <v>12-1899</v>
      </c>
      <c r="D1114" s="54" t="str">
        <f t="shared" si="130"/>
        <v/>
      </c>
    </row>
    <row r="1115" ht="14.25" customHeight="1">
      <c r="C1115" s="184" t="str">
        <f t="shared" si="1"/>
        <v>12-1899</v>
      </c>
      <c r="D1115" s="54" t="str">
        <f t="shared" si="130"/>
        <v/>
      </c>
    </row>
    <row r="1116" ht="14.25" customHeight="1">
      <c r="C1116" s="184" t="str">
        <f t="shared" si="1"/>
        <v>12-1899</v>
      </c>
      <c r="D1116" s="54" t="str">
        <f t="shared" si="130"/>
        <v/>
      </c>
    </row>
    <row r="1117" ht="14.25" customHeight="1">
      <c r="C1117" s="184" t="str">
        <f t="shared" si="1"/>
        <v>12-1899</v>
      </c>
      <c r="D1117" s="54" t="str">
        <f t="shared" si="130"/>
        <v/>
      </c>
    </row>
    <row r="1118" ht="14.25" customHeight="1">
      <c r="C1118" s="184" t="str">
        <f t="shared" si="1"/>
        <v>12-1899</v>
      </c>
      <c r="D1118" s="54" t="str">
        <f t="shared" si="130"/>
        <v/>
      </c>
    </row>
    <row r="1119" ht="14.25" customHeight="1">
      <c r="C1119" s="184" t="str">
        <f t="shared" si="1"/>
        <v>12-1899</v>
      </c>
      <c r="D1119" s="54" t="str">
        <f t="shared" si="130"/>
        <v/>
      </c>
    </row>
    <row r="1120" ht="14.25" customHeight="1">
      <c r="C1120" s="184" t="str">
        <f t="shared" si="1"/>
        <v>12-1899</v>
      </c>
      <c r="D1120" s="54" t="str">
        <f t="shared" si="130"/>
        <v/>
      </c>
    </row>
    <row r="1121" ht="14.25" customHeight="1">
      <c r="C1121" s="184" t="str">
        <f t="shared" si="1"/>
        <v>12-1899</v>
      </c>
      <c r="D1121" s="54" t="str">
        <f t="shared" si="130"/>
        <v/>
      </c>
    </row>
    <row r="1122" ht="14.25" customHeight="1">
      <c r="C1122" s="184" t="str">
        <f t="shared" si="1"/>
        <v>12-1899</v>
      </c>
      <c r="D1122" s="54" t="str">
        <f t="shared" si="130"/>
        <v/>
      </c>
    </row>
    <row r="1123" ht="14.25" customHeight="1">
      <c r="C1123" s="184" t="str">
        <f t="shared" si="1"/>
        <v>12-1899</v>
      </c>
      <c r="D1123" s="54" t="str">
        <f t="shared" si="130"/>
        <v/>
      </c>
    </row>
    <row r="1124" ht="14.25" customHeight="1">
      <c r="C1124" s="184" t="str">
        <f t="shared" si="1"/>
        <v>12-1899</v>
      </c>
      <c r="D1124" s="54" t="str">
        <f t="shared" si="130"/>
        <v/>
      </c>
    </row>
    <row r="1125" ht="14.25" customHeight="1">
      <c r="C1125" s="184" t="str">
        <f t="shared" si="1"/>
        <v>12-1899</v>
      </c>
      <c r="D1125" s="54" t="str">
        <f t="shared" si="130"/>
        <v/>
      </c>
    </row>
    <row r="1126" ht="14.25" customHeight="1">
      <c r="C1126" s="184" t="str">
        <f t="shared" si="1"/>
        <v>12-1899</v>
      </c>
      <c r="D1126" s="54" t="str">
        <f t="shared" si="130"/>
        <v/>
      </c>
    </row>
    <row r="1127" ht="14.25" customHeight="1">
      <c r="C1127" s="184" t="str">
        <f t="shared" si="1"/>
        <v>12-1899</v>
      </c>
      <c r="D1127" s="54" t="str">
        <f t="shared" si="130"/>
        <v/>
      </c>
    </row>
    <row r="1128" ht="14.25" customHeight="1">
      <c r="C1128" s="184" t="str">
        <f t="shared" si="1"/>
        <v>12-1899</v>
      </c>
      <c r="D1128" s="54" t="str">
        <f t="shared" si="130"/>
        <v/>
      </c>
    </row>
    <row r="1129" ht="14.25" customHeight="1">
      <c r="C1129" s="184" t="str">
        <f t="shared" si="1"/>
        <v>12-1899</v>
      </c>
      <c r="D1129" s="54" t="str">
        <f t="shared" si="130"/>
        <v/>
      </c>
    </row>
    <row r="1130" ht="14.25" customHeight="1">
      <c r="C1130" s="184" t="str">
        <f t="shared" si="1"/>
        <v>12-1899</v>
      </c>
      <c r="D1130" s="54" t="str">
        <f t="shared" si="130"/>
        <v/>
      </c>
    </row>
    <row r="1131" ht="14.25" customHeight="1">
      <c r="C1131" s="184" t="str">
        <f t="shared" si="1"/>
        <v>12-1899</v>
      </c>
      <c r="D1131" s="54" t="str">
        <f t="shared" si="130"/>
        <v/>
      </c>
    </row>
    <row r="1132" ht="14.25" customHeight="1">
      <c r="C1132" s="184" t="str">
        <f t="shared" si="1"/>
        <v>12-1899</v>
      </c>
      <c r="D1132" s="54" t="str">
        <f t="shared" si="130"/>
        <v/>
      </c>
    </row>
    <row r="1133" ht="14.25" customHeight="1">
      <c r="C1133" s="184" t="str">
        <f t="shared" si="1"/>
        <v>12-1899</v>
      </c>
      <c r="D1133" s="54" t="str">
        <f t="shared" si="130"/>
        <v/>
      </c>
    </row>
    <row r="1134" ht="14.25" customHeight="1">
      <c r="C1134" s="184" t="str">
        <f t="shared" si="1"/>
        <v>12-1899</v>
      </c>
      <c r="D1134" s="54" t="str">
        <f t="shared" si="130"/>
        <v/>
      </c>
    </row>
    <row r="1135" ht="14.25" customHeight="1">
      <c r="C1135" s="184" t="str">
        <f t="shared" si="1"/>
        <v>12-1899</v>
      </c>
      <c r="D1135" s="54" t="str">
        <f t="shared" si="130"/>
        <v/>
      </c>
    </row>
    <row r="1136" ht="14.25" customHeight="1">
      <c r="C1136" s="184" t="str">
        <f t="shared" si="1"/>
        <v>12-1899</v>
      </c>
      <c r="D1136" s="54" t="str">
        <f t="shared" si="130"/>
        <v/>
      </c>
    </row>
    <row r="1137" ht="14.25" customHeight="1">
      <c r="C1137" s="184" t="str">
        <f t="shared" si="1"/>
        <v>12-1899</v>
      </c>
      <c r="D1137" s="54" t="str">
        <f t="shared" si="130"/>
        <v/>
      </c>
    </row>
    <row r="1138" ht="14.25" customHeight="1">
      <c r="C1138" s="184" t="str">
        <f t="shared" si="1"/>
        <v>12-1899</v>
      </c>
      <c r="D1138" s="54" t="str">
        <f t="shared" si="130"/>
        <v/>
      </c>
    </row>
    <row r="1139" ht="14.25" customHeight="1">
      <c r="C1139" s="184" t="str">
        <f t="shared" si="1"/>
        <v>12-1899</v>
      </c>
      <c r="D1139" s="54" t="str">
        <f t="shared" si="130"/>
        <v/>
      </c>
    </row>
    <row r="1140" ht="14.25" customHeight="1">
      <c r="C1140" s="184" t="str">
        <f t="shared" si="1"/>
        <v>12-1899</v>
      </c>
      <c r="D1140" s="54" t="str">
        <f t="shared" si="130"/>
        <v/>
      </c>
    </row>
    <row r="1141" ht="14.25" customHeight="1">
      <c r="C1141" s="184" t="str">
        <f t="shared" si="1"/>
        <v>12-1899</v>
      </c>
      <c r="D1141" s="54" t="str">
        <f t="shared" si="130"/>
        <v/>
      </c>
    </row>
    <row r="1142" ht="14.25" customHeight="1">
      <c r="C1142" s="184" t="str">
        <f t="shared" si="1"/>
        <v>12-1899</v>
      </c>
      <c r="D1142" s="54" t="str">
        <f t="shared" si="130"/>
        <v/>
      </c>
    </row>
    <row r="1143" ht="14.25" customHeight="1">
      <c r="C1143" s="184" t="str">
        <f t="shared" si="1"/>
        <v>12-1899</v>
      </c>
      <c r="D1143" s="54" t="str">
        <f t="shared" si="130"/>
        <v/>
      </c>
    </row>
    <row r="1144" ht="14.25" customHeight="1">
      <c r="C1144" s="184" t="str">
        <f t="shared" si="1"/>
        <v>12-1899</v>
      </c>
      <c r="D1144" s="54" t="str">
        <f t="shared" si="130"/>
        <v/>
      </c>
    </row>
    <row r="1145" ht="14.25" customHeight="1">
      <c r="C1145" s="184" t="str">
        <f t="shared" si="1"/>
        <v>12-1899</v>
      </c>
      <c r="D1145" s="54" t="str">
        <f t="shared" si="130"/>
        <v/>
      </c>
    </row>
    <row r="1146" ht="14.25" customHeight="1">
      <c r="C1146" s="184" t="str">
        <f t="shared" si="1"/>
        <v>12-1899</v>
      </c>
      <c r="D1146" s="54" t="str">
        <f t="shared" si="130"/>
        <v/>
      </c>
    </row>
    <row r="1147" ht="14.25" customHeight="1">
      <c r="C1147" s="184" t="str">
        <f t="shared" si="1"/>
        <v>12-1899</v>
      </c>
      <c r="D1147" s="54" t="str">
        <f t="shared" si="130"/>
        <v/>
      </c>
    </row>
    <row r="1148" ht="14.25" customHeight="1">
      <c r="C1148" s="184" t="str">
        <f t="shared" si="1"/>
        <v>12-1899</v>
      </c>
      <c r="D1148" s="54" t="str">
        <f t="shared" si="130"/>
        <v/>
      </c>
    </row>
    <row r="1149" ht="14.25" customHeight="1">
      <c r="C1149" s="184" t="str">
        <f t="shared" si="1"/>
        <v>12-1899</v>
      </c>
      <c r="D1149" s="54" t="str">
        <f t="shared" si="130"/>
        <v/>
      </c>
    </row>
    <row r="1150" ht="14.25" customHeight="1">
      <c r="C1150" s="184" t="str">
        <f t="shared" si="1"/>
        <v>12-1899</v>
      </c>
      <c r="D1150" s="54" t="str">
        <f t="shared" si="130"/>
        <v/>
      </c>
    </row>
    <row r="1151" ht="14.25" customHeight="1">
      <c r="C1151" s="184" t="str">
        <f t="shared" si="1"/>
        <v>12-1899</v>
      </c>
      <c r="D1151" s="54" t="str">
        <f t="shared" si="130"/>
        <v/>
      </c>
    </row>
    <row r="1152" ht="14.25" customHeight="1">
      <c r="C1152" s="184" t="str">
        <f t="shared" si="1"/>
        <v>12-1899</v>
      </c>
      <c r="D1152" s="54" t="str">
        <f t="shared" si="130"/>
        <v/>
      </c>
    </row>
    <row r="1153" ht="14.25" customHeight="1">
      <c r="C1153" s="184" t="str">
        <f t="shared" si="1"/>
        <v>12-1899</v>
      </c>
      <c r="D1153" s="54" t="str">
        <f t="shared" si="130"/>
        <v/>
      </c>
    </row>
    <row r="1154" ht="14.25" customHeight="1">
      <c r="C1154" s="184" t="str">
        <f t="shared" si="1"/>
        <v>12-1899</v>
      </c>
      <c r="D1154" s="54" t="str">
        <f t="shared" si="130"/>
        <v/>
      </c>
    </row>
    <row r="1155" ht="14.25" customHeight="1">
      <c r="C1155" s="184" t="str">
        <f t="shared" si="1"/>
        <v>12-1899</v>
      </c>
      <c r="D1155" s="54" t="str">
        <f t="shared" si="130"/>
        <v/>
      </c>
    </row>
    <row r="1156" ht="14.25" customHeight="1">
      <c r="C1156" s="184" t="str">
        <f t="shared" si="1"/>
        <v>12-1899</v>
      </c>
      <c r="D1156" s="54" t="str">
        <f t="shared" si="130"/>
        <v/>
      </c>
    </row>
    <row r="1157" ht="14.25" customHeight="1">
      <c r="C1157" s="184" t="str">
        <f t="shared" si="1"/>
        <v>12-1899</v>
      </c>
      <c r="D1157" s="54" t="str">
        <f t="shared" si="130"/>
        <v/>
      </c>
    </row>
    <row r="1158" ht="14.25" customHeight="1">
      <c r="C1158" s="184" t="str">
        <f t="shared" si="1"/>
        <v>12-1899</v>
      </c>
      <c r="D1158" s="54" t="str">
        <f t="shared" si="130"/>
        <v/>
      </c>
    </row>
    <row r="1159" ht="14.25" customHeight="1">
      <c r="C1159" s="184" t="str">
        <f t="shared" si="1"/>
        <v>12-1899</v>
      </c>
      <c r="D1159" s="54" t="str">
        <f t="shared" si="130"/>
        <v/>
      </c>
    </row>
    <row r="1160" ht="14.25" customHeight="1">
      <c r="C1160" s="184" t="str">
        <f t="shared" si="1"/>
        <v>12-1899</v>
      </c>
      <c r="D1160" s="54" t="str">
        <f t="shared" si="130"/>
        <v/>
      </c>
    </row>
    <row r="1161" ht="14.25" customHeight="1">
      <c r="C1161" s="184" t="str">
        <f t="shared" si="1"/>
        <v>12-1899</v>
      </c>
      <c r="D1161" s="54" t="str">
        <f t="shared" si="130"/>
        <v/>
      </c>
    </row>
    <row r="1162" ht="14.25" customHeight="1">
      <c r="C1162" s="184" t="str">
        <f t="shared" si="1"/>
        <v>12-1899</v>
      </c>
      <c r="D1162" s="54" t="str">
        <f t="shared" si="130"/>
        <v/>
      </c>
    </row>
    <row r="1163" ht="14.25" customHeight="1">
      <c r="C1163" s="184" t="str">
        <f t="shared" si="1"/>
        <v>12-1899</v>
      </c>
      <c r="D1163" s="54" t="str">
        <f t="shared" si="130"/>
        <v/>
      </c>
    </row>
    <row r="1164" ht="14.25" customHeight="1">
      <c r="C1164" s="184" t="str">
        <f t="shared" si="1"/>
        <v>12-1899</v>
      </c>
      <c r="D1164" s="54" t="str">
        <f t="shared" si="130"/>
        <v/>
      </c>
    </row>
    <row r="1165" ht="14.25" customHeight="1">
      <c r="C1165" s="184" t="str">
        <f t="shared" si="1"/>
        <v>12-1899</v>
      </c>
      <c r="D1165" s="54" t="str">
        <f t="shared" si="130"/>
        <v/>
      </c>
    </row>
    <row r="1166" ht="14.25" customHeight="1">
      <c r="C1166" s="184" t="str">
        <f t="shared" si="1"/>
        <v>12-1899</v>
      </c>
      <c r="D1166" s="54" t="str">
        <f t="shared" si="130"/>
        <v/>
      </c>
    </row>
    <row r="1167" ht="14.25" customHeight="1">
      <c r="C1167" s="184" t="str">
        <f t="shared" si="1"/>
        <v>12-1899</v>
      </c>
      <c r="D1167" s="54" t="str">
        <f t="shared" si="130"/>
        <v/>
      </c>
    </row>
    <row r="1168" ht="14.25" customHeight="1">
      <c r="C1168" s="184" t="str">
        <f t="shared" si="1"/>
        <v>12-1899</v>
      </c>
      <c r="D1168" s="54" t="str">
        <f t="shared" si="130"/>
        <v/>
      </c>
    </row>
    <row r="1169" ht="14.25" customHeight="1">
      <c r="C1169" s="184" t="str">
        <f t="shared" si="1"/>
        <v>12-1899</v>
      </c>
      <c r="D1169" s="54" t="str">
        <f t="shared" si="130"/>
        <v/>
      </c>
    </row>
    <row r="1170" ht="14.25" customHeight="1">
      <c r="C1170" s="184" t="str">
        <f t="shared" si="1"/>
        <v>12-1899</v>
      </c>
      <c r="D1170" s="54" t="str">
        <f t="shared" si="130"/>
        <v/>
      </c>
    </row>
    <row r="1171" ht="14.25" customHeight="1">
      <c r="C1171" s="184" t="str">
        <f t="shared" si="1"/>
        <v>12-1899</v>
      </c>
      <c r="D1171" s="54" t="str">
        <f t="shared" si="130"/>
        <v/>
      </c>
    </row>
    <row r="1172" ht="14.25" customHeight="1">
      <c r="C1172" s="184" t="str">
        <f t="shared" si="1"/>
        <v>12-1899</v>
      </c>
      <c r="D1172" s="54" t="str">
        <f t="shared" si="130"/>
        <v/>
      </c>
    </row>
    <row r="1173" ht="14.25" customHeight="1">
      <c r="C1173" s="184" t="str">
        <f t="shared" si="1"/>
        <v>12-1899</v>
      </c>
      <c r="D1173" s="54" t="str">
        <f t="shared" si="130"/>
        <v/>
      </c>
    </row>
    <row r="1174" ht="14.25" customHeight="1">
      <c r="C1174" s="184" t="str">
        <f t="shared" si="1"/>
        <v>12-1899</v>
      </c>
      <c r="D1174" s="54" t="str">
        <f t="shared" si="130"/>
        <v/>
      </c>
    </row>
    <row r="1175" ht="14.25" customHeight="1">
      <c r="C1175" s="184" t="str">
        <f t="shared" si="1"/>
        <v>12-1899</v>
      </c>
      <c r="D1175" s="54" t="str">
        <f t="shared" si="130"/>
        <v/>
      </c>
    </row>
    <row r="1176" ht="14.25" customHeight="1">
      <c r="C1176" s="184" t="str">
        <f t="shared" si="1"/>
        <v>12-1899</v>
      </c>
      <c r="D1176" s="54" t="str">
        <f t="shared" si="130"/>
        <v/>
      </c>
    </row>
    <row r="1177" ht="14.25" customHeight="1">
      <c r="C1177" s="184" t="str">
        <f t="shared" si="1"/>
        <v>12-1899</v>
      </c>
      <c r="D1177" s="54" t="str">
        <f t="shared" si="130"/>
        <v/>
      </c>
    </row>
    <row r="1178" ht="14.25" customHeight="1">
      <c r="C1178" s="184" t="str">
        <f t="shared" si="1"/>
        <v>12-1899</v>
      </c>
      <c r="D1178" s="54" t="str">
        <f t="shared" si="130"/>
        <v/>
      </c>
    </row>
    <row r="1179" ht="14.25" customHeight="1">
      <c r="C1179" s="184" t="str">
        <f t="shared" si="1"/>
        <v>12-1899</v>
      </c>
      <c r="D1179" s="54" t="str">
        <f t="shared" si="130"/>
        <v/>
      </c>
    </row>
    <row r="1180" ht="14.25" customHeight="1">
      <c r="C1180" s="184" t="str">
        <f t="shared" si="1"/>
        <v>12-1899</v>
      </c>
      <c r="D1180" s="54" t="str">
        <f t="shared" si="130"/>
        <v/>
      </c>
    </row>
    <row r="1181" ht="14.25" customHeight="1">
      <c r="C1181" s="184" t="str">
        <f t="shared" si="1"/>
        <v>12-1899</v>
      </c>
      <c r="D1181" s="54" t="str">
        <f t="shared" si="130"/>
        <v/>
      </c>
    </row>
    <row r="1182" ht="14.25" customHeight="1">
      <c r="C1182" s="184" t="str">
        <f t="shared" si="1"/>
        <v>12-1899</v>
      </c>
      <c r="D1182" s="54" t="str">
        <f t="shared" si="130"/>
        <v/>
      </c>
    </row>
    <row r="1183" ht="14.25" customHeight="1">
      <c r="C1183" s="184" t="str">
        <f t="shared" si="1"/>
        <v>12-1899</v>
      </c>
      <c r="D1183" s="54" t="str">
        <f t="shared" si="130"/>
        <v/>
      </c>
    </row>
    <row r="1184" ht="14.25" customHeight="1">
      <c r="C1184" s="184" t="str">
        <f t="shared" si="1"/>
        <v>12-1899</v>
      </c>
      <c r="D1184" s="54" t="str">
        <f t="shared" si="130"/>
        <v/>
      </c>
    </row>
    <row r="1185" ht="14.25" customHeight="1">
      <c r="C1185" s="184" t="str">
        <f t="shared" si="1"/>
        <v>12-1899</v>
      </c>
      <c r="D1185" s="54" t="str">
        <f t="shared" si="130"/>
        <v/>
      </c>
    </row>
    <row r="1186" ht="14.25" customHeight="1">
      <c r="C1186" s="184" t="str">
        <f t="shared" si="1"/>
        <v>12-1899</v>
      </c>
      <c r="D1186" s="54" t="str">
        <f t="shared" si="130"/>
        <v/>
      </c>
    </row>
    <row r="1187" ht="14.25" customHeight="1">
      <c r="C1187" s="184" t="str">
        <f t="shared" si="1"/>
        <v>12-1899</v>
      </c>
      <c r="D1187" s="54" t="str">
        <f t="shared" si="130"/>
        <v/>
      </c>
    </row>
    <row r="1188" ht="14.25" customHeight="1">
      <c r="C1188" s="184" t="str">
        <f t="shared" si="1"/>
        <v>12-1899</v>
      </c>
      <c r="D1188" s="54" t="str">
        <f t="shared" si="130"/>
        <v/>
      </c>
    </row>
    <row r="1189" ht="14.25" customHeight="1">
      <c r="C1189" s="184" t="str">
        <f t="shared" si="1"/>
        <v>12-1899</v>
      </c>
      <c r="D1189" s="54" t="str">
        <f t="shared" si="130"/>
        <v/>
      </c>
    </row>
    <row r="1190" ht="14.25" customHeight="1">
      <c r="C1190" s="184" t="str">
        <f t="shared" si="1"/>
        <v>12-1899</v>
      </c>
      <c r="D1190" s="54" t="str">
        <f t="shared" si="130"/>
        <v/>
      </c>
    </row>
    <row r="1191" ht="14.25" customHeight="1">
      <c r="C1191" s="184" t="str">
        <f t="shared" si="1"/>
        <v>12-1899</v>
      </c>
      <c r="D1191" s="54" t="str">
        <f t="shared" si="130"/>
        <v/>
      </c>
    </row>
    <row r="1192" ht="14.25" customHeight="1">
      <c r="C1192" s="184" t="str">
        <f t="shared" si="1"/>
        <v>12-1899</v>
      </c>
      <c r="D1192" s="54" t="str">
        <f t="shared" si="130"/>
        <v/>
      </c>
    </row>
    <row r="1193" ht="14.25" customHeight="1">
      <c r="C1193" s="184" t="str">
        <f t="shared" si="1"/>
        <v>12-1899</v>
      </c>
      <c r="D1193" s="54" t="str">
        <f t="shared" si="130"/>
        <v/>
      </c>
    </row>
    <row r="1194" ht="14.25" customHeight="1">
      <c r="C1194" s="184" t="str">
        <f t="shared" si="1"/>
        <v>12-1899</v>
      </c>
      <c r="D1194" s="54" t="str">
        <f t="shared" si="130"/>
        <v/>
      </c>
    </row>
    <row r="1195" ht="14.25" customHeight="1">
      <c r="C1195" s="184" t="str">
        <f t="shared" si="1"/>
        <v>12-1899</v>
      </c>
      <c r="D1195" s="54" t="str">
        <f t="shared" si="130"/>
        <v/>
      </c>
    </row>
    <row r="1196" ht="14.25" customHeight="1">
      <c r="C1196" s="184" t="str">
        <f t="shared" si="1"/>
        <v>12-1899</v>
      </c>
      <c r="D1196" s="54" t="str">
        <f t="shared" si="130"/>
        <v/>
      </c>
    </row>
    <row r="1197" ht="14.25" customHeight="1">
      <c r="C1197" s="184" t="str">
        <f t="shared" si="1"/>
        <v>12-1899</v>
      </c>
      <c r="D1197" s="54" t="str">
        <f t="shared" si="130"/>
        <v/>
      </c>
    </row>
    <row r="1198" ht="14.25" customHeight="1">
      <c r="C1198" s="184" t="str">
        <f t="shared" si="1"/>
        <v>12-1899</v>
      </c>
      <c r="D1198" s="54" t="str">
        <f t="shared" si="130"/>
        <v/>
      </c>
    </row>
    <row r="1199" ht="14.25" customHeight="1">
      <c r="C1199" s="184" t="str">
        <f t="shared" si="1"/>
        <v>12-1899</v>
      </c>
      <c r="D1199" s="54" t="str">
        <f t="shared" si="130"/>
        <v/>
      </c>
    </row>
    <row r="1200" ht="14.25" customHeight="1">
      <c r="C1200" s="184" t="str">
        <f t="shared" si="1"/>
        <v>12-1899</v>
      </c>
      <c r="D1200" s="54" t="str">
        <f t="shared" si="130"/>
        <v/>
      </c>
    </row>
    <row r="1201" ht="14.25" customHeight="1">
      <c r="C1201" s="184" t="str">
        <f t="shared" si="1"/>
        <v>12-1899</v>
      </c>
      <c r="D1201" s="54" t="str">
        <f t="shared" si="130"/>
        <v/>
      </c>
    </row>
    <row r="1202" ht="14.25" customHeight="1">
      <c r="C1202" s="184" t="str">
        <f t="shared" si="1"/>
        <v>12-1899</v>
      </c>
      <c r="D1202" s="54" t="str">
        <f t="shared" si="130"/>
        <v/>
      </c>
    </row>
    <row r="1203" ht="14.25" customHeight="1">
      <c r="C1203" s="184" t="str">
        <f t="shared" si="1"/>
        <v>12-1899</v>
      </c>
      <c r="D1203" s="54" t="str">
        <f t="shared" si="130"/>
        <v/>
      </c>
    </row>
    <row r="1204" ht="14.25" customHeight="1">
      <c r="C1204" s="184" t="str">
        <f t="shared" si="1"/>
        <v>12-1899</v>
      </c>
      <c r="D1204" s="54" t="str">
        <f t="shared" si="130"/>
        <v/>
      </c>
    </row>
    <row r="1205" ht="14.25" customHeight="1">
      <c r="C1205" s="184" t="str">
        <f t="shared" si="1"/>
        <v>12-1899</v>
      </c>
      <c r="D1205" s="54" t="str">
        <f t="shared" si="130"/>
        <v/>
      </c>
    </row>
    <row r="1206" ht="14.25" customHeight="1">
      <c r="C1206" s="184" t="str">
        <f t="shared" si="1"/>
        <v>12-1899</v>
      </c>
      <c r="D1206" s="54" t="str">
        <f t="shared" si="130"/>
        <v/>
      </c>
    </row>
    <row r="1207" ht="14.25" customHeight="1">
      <c r="C1207" s="184" t="str">
        <f t="shared" si="1"/>
        <v>12-1899</v>
      </c>
      <c r="D1207" s="54" t="str">
        <f t="shared" si="130"/>
        <v/>
      </c>
    </row>
    <row r="1208" ht="14.25" customHeight="1">
      <c r="C1208" s="184" t="str">
        <f t="shared" si="1"/>
        <v>12-1899</v>
      </c>
      <c r="D1208" s="54" t="str">
        <f t="shared" si="130"/>
        <v/>
      </c>
    </row>
    <row r="1209" ht="14.25" customHeight="1">
      <c r="C1209" s="184" t="str">
        <f t="shared" si="1"/>
        <v>12-1899</v>
      </c>
      <c r="D1209" s="54" t="str">
        <f t="shared" si="130"/>
        <v/>
      </c>
    </row>
    <row r="1210" ht="14.25" customHeight="1">
      <c r="C1210" s="184" t="str">
        <f t="shared" si="1"/>
        <v>12-1899</v>
      </c>
      <c r="D1210" s="54" t="str">
        <f t="shared" si="130"/>
        <v/>
      </c>
    </row>
    <row r="1211" ht="14.25" customHeight="1">
      <c r="C1211" s="184" t="str">
        <f t="shared" si="1"/>
        <v>12-1899</v>
      </c>
      <c r="D1211" s="54" t="str">
        <f t="shared" si="130"/>
        <v/>
      </c>
    </row>
    <row r="1212" ht="14.25" customHeight="1">
      <c r="C1212" s="184" t="str">
        <f t="shared" si="1"/>
        <v>12-1899</v>
      </c>
      <c r="D1212" s="54" t="str">
        <f t="shared" si="130"/>
        <v/>
      </c>
    </row>
    <row r="1213" ht="14.25" customHeight="1">
      <c r="C1213" s="184" t="str">
        <f t="shared" si="1"/>
        <v>12-1899</v>
      </c>
      <c r="D1213" s="54" t="str">
        <f t="shared" si="130"/>
        <v/>
      </c>
    </row>
    <row r="1214" ht="14.25" customHeight="1">
      <c r="C1214" s="184" t="str">
        <f t="shared" si="1"/>
        <v>12-1899</v>
      </c>
      <c r="D1214" s="54" t="str">
        <f t="shared" si="130"/>
        <v/>
      </c>
    </row>
    <row r="1215" ht="14.25" customHeight="1">
      <c r="C1215" s="184" t="str">
        <f t="shared" si="1"/>
        <v>12-1899</v>
      </c>
      <c r="D1215" s="54" t="str">
        <f t="shared" si="130"/>
        <v/>
      </c>
    </row>
    <row r="1216" ht="14.25" customHeight="1">
      <c r="C1216" s="184" t="str">
        <f t="shared" si="1"/>
        <v>12-1899</v>
      </c>
      <c r="D1216" s="54" t="str">
        <f t="shared" si="130"/>
        <v/>
      </c>
    </row>
    <row r="1217" ht="14.25" customHeight="1">
      <c r="C1217" s="184" t="str">
        <f t="shared" si="1"/>
        <v>12-1899</v>
      </c>
      <c r="D1217" s="54" t="str">
        <f t="shared" si="130"/>
        <v/>
      </c>
    </row>
    <row r="1218" ht="14.25" customHeight="1">
      <c r="C1218" s="184" t="str">
        <f t="shared" si="1"/>
        <v>12-1899</v>
      </c>
      <c r="D1218" s="54" t="str">
        <f t="shared" si="130"/>
        <v/>
      </c>
    </row>
    <row r="1219" ht="14.25" customHeight="1">
      <c r="C1219" s="184" t="str">
        <f t="shared" si="1"/>
        <v>12-1899</v>
      </c>
      <c r="D1219" s="54" t="str">
        <f t="shared" si="130"/>
        <v/>
      </c>
    </row>
    <row r="1220" ht="14.25" customHeight="1">
      <c r="C1220" s="184" t="str">
        <f t="shared" si="1"/>
        <v>12-1899</v>
      </c>
      <c r="D1220" s="54" t="str">
        <f t="shared" si="130"/>
        <v/>
      </c>
    </row>
    <row r="1221" ht="14.25" customHeight="1">
      <c r="C1221" s="184" t="str">
        <f t="shared" si="1"/>
        <v>12-1899</v>
      </c>
      <c r="D1221" s="54" t="str">
        <f t="shared" si="130"/>
        <v/>
      </c>
    </row>
    <row r="1222" ht="14.25" customHeight="1">
      <c r="C1222" s="184" t="str">
        <f t="shared" si="1"/>
        <v>12-1899</v>
      </c>
      <c r="D1222" s="54" t="str">
        <f t="shared" si="130"/>
        <v/>
      </c>
    </row>
    <row r="1223" ht="14.25" customHeight="1">
      <c r="C1223" s="184" t="str">
        <f t="shared" si="1"/>
        <v>12-1899</v>
      </c>
      <c r="D1223" s="54" t="str">
        <f t="shared" si="130"/>
        <v/>
      </c>
    </row>
    <row r="1224" ht="14.25" customHeight="1">
      <c r="C1224" s="184" t="str">
        <f t="shared" si="1"/>
        <v>12-1899</v>
      </c>
      <c r="D1224" s="54" t="str">
        <f t="shared" si="130"/>
        <v/>
      </c>
    </row>
    <row r="1225" ht="14.25" customHeight="1">
      <c r="C1225" s="184" t="str">
        <f t="shared" si="1"/>
        <v>12-1899</v>
      </c>
      <c r="D1225" s="54" t="str">
        <f t="shared" si="130"/>
        <v/>
      </c>
    </row>
    <row r="1226" ht="14.25" customHeight="1">
      <c r="C1226" s="184" t="str">
        <f t="shared" si="1"/>
        <v>12-1899</v>
      </c>
      <c r="D1226" s="54" t="str">
        <f t="shared" si="130"/>
        <v/>
      </c>
    </row>
    <row r="1227" ht="14.25" customHeight="1">
      <c r="C1227" s="184" t="str">
        <f t="shared" si="1"/>
        <v>12-1899</v>
      </c>
      <c r="D1227" s="54" t="str">
        <f t="shared" si="130"/>
        <v/>
      </c>
    </row>
    <row r="1228" ht="14.25" customHeight="1">
      <c r="C1228" s="184" t="str">
        <f t="shared" si="1"/>
        <v>12-1899</v>
      </c>
      <c r="D1228" s="54" t="str">
        <f t="shared" si="130"/>
        <v/>
      </c>
    </row>
    <row r="1229" ht="14.25" customHeight="1">
      <c r="C1229" s="184" t="str">
        <f t="shared" si="1"/>
        <v>12-1899</v>
      </c>
      <c r="D1229" s="54" t="str">
        <f t="shared" si="130"/>
        <v/>
      </c>
    </row>
    <row r="1230" ht="14.25" customHeight="1">
      <c r="C1230" s="184" t="str">
        <f t="shared" si="1"/>
        <v>12-1899</v>
      </c>
      <c r="D1230" s="54" t="str">
        <f t="shared" si="130"/>
        <v/>
      </c>
    </row>
    <row r="1231" ht="14.25" customHeight="1">
      <c r="C1231" s="184" t="str">
        <f t="shared" si="1"/>
        <v>12-1899</v>
      </c>
      <c r="D1231" s="54" t="str">
        <f t="shared" si="130"/>
        <v/>
      </c>
    </row>
    <row r="1232" ht="14.25" customHeight="1">
      <c r="C1232" s="184" t="str">
        <f t="shared" si="1"/>
        <v>12-1899</v>
      </c>
      <c r="D1232" s="54" t="str">
        <f t="shared" si="130"/>
        <v/>
      </c>
    </row>
    <row r="1233" ht="14.25" customHeight="1">
      <c r="C1233" s="184" t="str">
        <f t="shared" si="1"/>
        <v>12-1899</v>
      </c>
      <c r="D1233" s="54" t="str">
        <f t="shared" si="130"/>
        <v/>
      </c>
    </row>
    <row r="1234" ht="14.25" customHeight="1">
      <c r="C1234" s="184" t="str">
        <f t="shared" si="1"/>
        <v>12-1899</v>
      </c>
      <c r="D1234" s="54" t="str">
        <f t="shared" si="130"/>
        <v/>
      </c>
    </row>
    <row r="1235" ht="14.25" customHeight="1">
      <c r="C1235" s="184" t="str">
        <f t="shared" si="1"/>
        <v>12-1899</v>
      </c>
      <c r="D1235" s="54" t="str">
        <f t="shared" si="130"/>
        <v/>
      </c>
    </row>
    <row r="1236" ht="14.25" customHeight="1">
      <c r="C1236" s="184" t="str">
        <f t="shared" si="1"/>
        <v>12-1899</v>
      </c>
      <c r="D1236" s="54" t="str">
        <f t="shared" si="130"/>
        <v/>
      </c>
    </row>
    <row r="1237" ht="14.25" customHeight="1">
      <c r="C1237" s="184" t="str">
        <f t="shared" si="1"/>
        <v>12-1899</v>
      </c>
      <c r="D1237" s="54" t="str">
        <f t="shared" si="130"/>
        <v/>
      </c>
    </row>
    <row r="1238" ht="14.25" customHeight="1">
      <c r="C1238" s="184" t="str">
        <f t="shared" si="1"/>
        <v>12-1899</v>
      </c>
      <c r="D1238" s="54" t="str">
        <f t="shared" si="130"/>
        <v/>
      </c>
    </row>
    <row r="1239" ht="14.25" customHeight="1">
      <c r="C1239" s="184" t="str">
        <f t="shared" si="1"/>
        <v>12-1899</v>
      </c>
      <c r="D1239" s="54" t="str">
        <f t="shared" si="130"/>
        <v/>
      </c>
    </row>
    <row r="1240" ht="14.25" customHeight="1">
      <c r="C1240" s="184" t="str">
        <f t="shared" si="1"/>
        <v>12-1899</v>
      </c>
      <c r="D1240" s="54" t="str">
        <f t="shared" si="130"/>
        <v/>
      </c>
    </row>
    <row r="1241" ht="14.25" customHeight="1">
      <c r="C1241" s="184" t="str">
        <f t="shared" si="1"/>
        <v>12-1899</v>
      </c>
      <c r="D1241" s="54" t="str">
        <f t="shared" si="130"/>
        <v/>
      </c>
    </row>
    <row r="1242" ht="14.25" customHeight="1">
      <c r="C1242" s="184" t="str">
        <f t="shared" si="1"/>
        <v>12-1899</v>
      </c>
      <c r="D1242" s="54" t="str">
        <f t="shared" si="130"/>
        <v/>
      </c>
    </row>
    <row r="1243" ht="14.25" customHeight="1">
      <c r="C1243" s="184" t="str">
        <f t="shared" si="1"/>
        <v>12-1899</v>
      </c>
      <c r="D1243" s="54" t="str">
        <f t="shared" si="130"/>
        <v/>
      </c>
    </row>
    <row r="1244" ht="14.25" customHeight="1">
      <c r="C1244" s="184" t="str">
        <f t="shared" si="1"/>
        <v>12-1899</v>
      </c>
      <c r="D1244" s="54" t="str">
        <f t="shared" si="130"/>
        <v/>
      </c>
    </row>
    <row r="1245" ht="14.25" customHeight="1">
      <c r="C1245" s="184" t="str">
        <f t="shared" si="1"/>
        <v>12-1899</v>
      </c>
      <c r="D1245" s="54" t="str">
        <f t="shared" si="130"/>
        <v/>
      </c>
    </row>
    <row r="1246" ht="14.25" customHeight="1">
      <c r="C1246" s="184" t="str">
        <f t="shared" si="1"/>
        <v>12-1899</v>
      </c>
      <c r="D1246" s="54" t="str">
        <f t="shared" si="130"/>
        <v/>
      </c>
    </row>
    <row r="1247" ht="14.25" customHeight="1">
      <c r="C1247" s="184" t="str">
        <f t="shared" si="1"/>
        <v>12-1899</v>
      </c>
      <c r="D1247" s="54" t="str">
        <f t="shared" si="130"/>
        <v/>
      </c>
    </row>
    <row r="1248" ht="14.25" customHeight="1">
      <c r="C1248" s="184" t="str">
        <f t="shared" si="1"/>
        <v>12-1899</v>
      </c>
      <c r="D1248" s="54" t="str">
        <f t="shared" si="130"/>
        <v/>
      </c>
    </row>
    <row r="1249" ht="14.25" customHeight="1">
      <c r="C1249" s="184" t="str">
        <f t="shared" si="1"/>
        <v>12-1899</v>
      </c>
      <c r="D1249" s="54" t="str">
        <f t="shared" si="130"/>
        <v/>
      </c>
    </row>
    <row r="1250" ht="14.25" customHeight="1">
      <c r="C1250" s="184" t="str">
        <f t="shared" si="1"/>
        <v>12-1899</v>
      </c>
      <c r="D1250" s="54" t="str">
        <f t="shared" si="130"/>
        <v/>
      </c>
    </row>
    <row r="1251" ht="14.25" customHeight="1">
      <c r="C1251" s="184" t="str">
        <f t="shared" si="1"/>
        <v>12-1899</v>
      </c>
      <c r="D1251" s="54" t="str">
        <f t="shared" si="130"/>
        <v/>
      </c>
    </row>
    <row r="1252" ht="14.25" customHeight="1">
      <c r="C1252" s="184" t="str">
        <f t="shared" si="1"/>
        <v>12-1899</v>
      </c>
      <c r="D1252" s="54" t="str">
        <f t="shared" si="130"/>
        <v/>
      </c>
    </row>
    <row r="1253" ht="14.25" customHeight="1">
      <c r="C1253" s="184" t="str">
        <f t="shared" si="1"/>
        <v>12-1899</v>
      </c>
      <c r="D1253" s="54" t="str">
        <f t="shared" si="130"/>
        <v/>
      </c>
    </row>
    <row r="1254" ht="14.25" customHeight="1">
      <c r="C1254" s="184" t="str">
        <f t="shared" si="1"/>
        <v>12-1899</v>
      </c>
      <c r="D1254" s="54" t="str">
        <f t="shared" si="130"/>
        <v/>
      </c>
    </row>
    <row r="1255" ht="14.25" customHeight="1">
      <c r="C1255" s="184" t="str">
        <f t="shared" si="1"/>
        <v>12-1899</v>
      </c>
      <c r="D1255" s="54" t="str">
        <f t="shared" si="130"/>
        <v/>
      </c>
    </row>
    <row r="1256" ht="14.25" customHeight="1">
      <c r="C1256" s="184" t="str">
        <f t="shared" si="1"/>
        <v>12-1899</v>
      </c>
      <c r="D1256" s="54" t="str">
        <f t="shared" si="130"/>
        <v/>
      </c>
    </row>
    <row r="1257" ht="14.25" customHeight="1">
      <c r="C1257" s="184" t="str">
        <f t="shared" si="1"/>
        <v>12-1899</v>
      </c>
      <c r="D1257" s="54" t="str">
        <f t="shared" si="130"/>
        <v/>
      </c>
    </row>
    <row r="1258" ht="14.25" customHeight="1">
      <c r="C1258" s="184" t="str">
        <f t="shared" si="1"/>
        <v>12-1899</v>
      </c>
      <c r="D1258" s="54" t="str">
        <f t="shared" si="130"/>
        <v/>
      </c>
    </row>
    <row r="1259" ht="14.25" customHeight="1">
      <c r="C1259" s="184" t="str">
        <f t="shared" si="1"/>
        <v>12-1899</v>
      </c>
      <c r="D1259" s="54" t="str">
        <f t="shared" si="130"/>
        <v/>
      </c>
    </row>
    <row r="1260" ht="14.25" customHeight="1">
      <c r="C1260" s="184" t="str">
        <f t="shared" si="1"/>
        <v>12-1899</v>
      </c>
      <c r="D1260" s="54" t="str">
        <f t="shared" si="130"/>
        <v/>
      </c>
    </row>
    <row r="1261" ht="14.25" customHeight="1">
      <c r="C1261" s="184" t="str">
        <f t="shared" si="1"/>
        <v>12-1899</v>
      </c>
      <c r="D1261" s="54" t="str">
        <f t="shared" si="130"/>
        <v/>
      </c>
    </row>
    <row r="1262" ht="14.25" customHeight="1">
      <c r="C1262" s="184" t="str">
        <f t="shared" si="1"/>
        <v>12-1899</v>
      </c>
      <c r="D1262" s="54" t="str">
        <f t="shared" si="130"/>
        <v/>
      </c>
    </row>
    <row r="1263" ht="14.25" customHeight="1">
      <c r="C1263" s="184" t="str">
        <f t="shared" si="1"/>
        <v>12-1899</v>
      </c>
      <c r="D1263" s="54" t="str">
        <f t="shared" si="130"/>
        <v/>
      </c>
    </row>
    <row r="1264" ht="14.25" customHeight="1">
      <c r="C1264" s="184" t="str">
        <f t="shared" si="1"/>
        <v>12-1899</v>
      </c>
      <c r="D1264" s="54" t="str">
        <f t="shared" si="130"/>
        <v/>
      </c>
    </row>
    <row r="1265" ht="14.25" customHeight="1">
      <c r="C1265" s="184" t="str">
        <f t="shared" si="1"/>
        <v>12-1899</v>
      </c>
      <c r="D1265" s="54" t="str">
        <f t="shared" si="130"/>
        <v/>
      </c>
    </row>
    <row r="1266" ht="14.25" customHeight="1">
      <c r="C1266" s="184" t="str">
        <f t="shared" si="1"/>
        <v>12-1899</v>
      </c>
      <c r="D1266" s="54" t="str">
        <f t="shared" si="130"/>
        <v/>
      </c>
    </row>
    <row r="1267" ht="14.25" customHeight="1">
      <c r="C1267" s="184" t="str">
        <f t="shared" si="1"/>
        <v>12-1899</v>
      </c>
      <c r="D1267" s="54" t="str">
        <f t="shared" si="130"/>
        <v/>
      </c>
    </row>
    <row r="1268" ht="14.25" customHeight="1">
      <c r="C1268" s="184" t="str">
        <f t="shared" si="1"/>
        <v>12-1899</v>
      </c>
      <c r="D1268" s="54" t="str">
        <f t="shared" si="130"/>
        <v/>
      </c>
    </row>
    <row r="1269" ht="14.25" customHeight="1">
      <c r="C1269" s="184" t="str">
        <f t="shared" si="1"/>
        <v>12-1899</v>
      </c>
      <c r="D1269" s="54" t="str">
        <f t="shared" si="130"/>
        <v/>
      </c>
    </row>
    <row r="1270" ht="14.25" customHeight="1">
      <c r="C1270" s="184" t="str">
        <f t="shared" si="1"/>
        <v>12-1899</v>
      </c>
      <c r="D1270" s="54" t="str">
        <f t="shared" si="130"/>
        <v/>
      </c>
    </row>
    <row r="1271" ht="14.25" customHeight="1">
      <c r="C1271" s="184" t="str">
        <f t="shared" si="1"/>
        <v>12-1899</v>
      </c>
      <c r="D1271" s="54" t="str">
        <f t="shared" si="130"/>
        <v/>
      </c>
    </row>
    <row r="1272" ht="14.25" customHeight="1">
      <c r="C1272" s="184" t="str">
        <f t="shared" si="1"/>
        <v>12-1899</v>
      </c>
      <c r="D1272" s="54" t="str">
        <f t="shared" si="130"/>
        <v/>
      </c>
    </row>
    <row r="1273" ht="14.25" customHeight="1">
      <c r="C1273" s="184" t="str">
        <f t="shared" si="1"/>
        <v>12-1899</v>
      </c>
      <c r="D1273" s="54" t="str">
        <f t="shared" si="130"/>
        <v/>
      </c>
    </row>
    <row r="1274" ht="14.25" customHeight="1">
      <c r="C1274" s="184" t="str">
        <f t="shared" si="1"/>
        <v>12-1899</v>
      </c>
      <c r="D1274" s="54" t="str">
        <f t="shared" si="130"/>
        <v/>
      </c>
    </row>
    <row r="1275" ht="14.25" customHeight="1">
      <c r="C1275" s="184" t="str">
        <f t="shared" si="1"/>
        <v>12-1899</v>
      </c>
      <c r="D1275" s="54" t="str">
        <f t="shared" si="130"/>
        <v/>
      </c>
    </row>
    <row r="1276" ht="14.25" customHeight="1">
      <c r="C1276" s="184" t="str">
        <f t="shared" si="1"/>
        <v>12-1899</v>
      </c>
      <c r="D1276" s="54" t="str">
        <f t="shared" si="130"/>
        <v/>
      </c>
    </row>
    <row r="1277" ht="14.25" customHeight="1">
      <c r="C1277" s="184" t="str">
        <f t="shared" si="1"/>
        <v>12-1899</v>
      </c>
      <c r="D1277" s="54" t="str">
        <f t="shared" si="130"/>
        <v/>
      </c>
    </row>
    <row r="1278" ht="14.25" customHeight="1">
      <c r="C1278" s="184" t="str">
        <f t="shared" si="1"/>
        <v>12-1899</v>
      </c>
      <c r="D1278" s="54" t="str">
        <f t="shared" si="130"/>
        <v/>
      </c>
    </row>
    <row r="1279" ht="14.25" customHeight="1">
      <c r="C1279" s="184" t="str">
        <f t="shared" si="1"/>
        <v>12-1899</v>
      </c>
      <c r="D1279" s="54" t="str">
        <f t="shared" si="130"/>
        <v/>
      </c>
    </row>
    <row r="1280" ht="14.25" customHeight="1">
      <c r="C1280" s="184" t="str">
        <f t="shared" si="1"/>
        <v>12-1899</v>
      </c>
      <c r="D1280" s="54" t="str">
        <f t="shared" si="130"/>
        <v/>
      </c>
    </row>
    <row r="1281" ht="14.25" customHeight="1">
      <c r="C1281" s="184" t="str">
        <f t="shared" si="1"/>
        <v>12-1899</v>
      </c>
      <c r="D1281" s="54" t="str">
        <f t="shared" si="130"/>
        <v/>
      </c>
    </row>
    <row r="1282" ht="14.25" customHeight="1">
      <c r="C1282" s="184" t="str">
        <f t="shared" si="1"/>
        <v>12-1899</v>
      </c>
      <c r="D1282" s="54" t="str">
        <f t="shared" si="130"/>
        <v/>
      </c>
    </row>
    <row r="1283" ht="14.25" customHeight="1">
      <c r="C1283" s="184" t="str">
        <f t="shared" si="1"/>
        <v>12-1899</v>
      </c>
      <c r="D1283" s="54" t="str">
        <f t="shared" si="130"/>
        <v/>
      </c>
    </row>
    <row r="1284" ht="14.25" customHeight="1">
      <c r="C1284" s="184" t="str">
        <f t="shared" si="1"/>
        <v>12-1899</v>
      </c>
      <c r="D1284" s="54" t="str">
        <f t="shared" si="130"/>
        <v/>
      </c>
    </row>
    <row r="1285" ht="14.25" customHeight="1">
      <c r="C1285" s="184" t="str">
        <f t="shared" si="1"/>
        <v>12-1899</v>
      </c>
      <c r="D1285" s="54" t="str">
        <f t="shared" si="130"/>
        <v/>
      </c>
    </row>
    <row r="1286" ht="14.25" customHeight="1">
      <c r="C1286" s="184" t="str">
        <f t="shared" si="1"/>
        <v>12-1899</v>
      </c>
      <c r="D1286" s="54" t="str">
        <f t="shared" si="130"/>
        <v/>
      </c>
    </row>
    <row r="1287" ht="14.25" customHeight="1">
      <c r="C1287" s="184" t="str">
        <f t="shared" si="1"/>
        <v>12-1899</v>
      </c>
      <c r="D1287" s="54" t="str">
        <f t="shared" si="130"/>
        <v/>
      </c>
    </row>
    <row r="1288" ht="14.25" customHeight="1">
      <c r="C1288" s="184" t="str">
        <f t="shared" si="1"/>
        <v>12-1899</v>
      </c>
      <c r="D1288" s="54" t="str">
        <f t="shared" si="130"/>
        <v/>
      </c>
    </row>
    <row r="1289" ht="14.25" customHeight="1">
      <c r="C1289" s="184" t="str">
        <f t="shared" si="1"/>
        <v>12-1899</v>
      </c>
      <c r="D1289" s="54" t="str">
        <f t="shared" si="130"/>
        <v/>
      </c>
    </row>
    <row r="1290" ht="14.25" customHeight="1">
      <c r="C1290" s="184" t="str">
        <f t="shared" si="1"/>
        <v>12-1899</v>
      </c>
      <c r="D1290" s="54" t="str">
        <f t="shared" si="130"/>
        <v/>
      </c>
    </row>
    <row r="1291" ht="14.25" customHeight="1">
      <c r="C1291" s="184" t="str">
        <f t="shared" si="1"/>
        <v>12-1899</v>
      </c>
      <c r="D1291" s="54" t="str">
        <f t="shared" si="130"/>
        <v/>
      </c>
    </row>
    <row r="1292" ht="14.25" customHeight="1">
      <c r="C1292" s="184" t="str">
        <f t="shared" si="1"/>
        <v>12-1899</v>
      </c>
      <c r="D1292" s="54" t="str">
        <f t="shared" si="130"/>
        <v/>
      </c>
    </row>
    <row r="1293" ht="14.25" customHeight="1">
      <c r="C1293" s="184" t="str">
        <f t="shared" si="1"/>
        <v>12-1899</v>
      </c>
      <c r="D1293" s="54" t="str">
        <f t="shared" si="130"/>
        <v/>
      </c>
    </row>
    <row r="1294" ht="14.25" customHeight="1">
      <c r="C1294" s="184" t="str">
        <f t="shared" si="1"/>
        <v>12-1899</v>
      </c>
      <c r="D1294" s="54" t="str">
        <f t="shared" si="130"/>
        <v/>
      </c>
    </row>
    <row r="1295" ht="14.25" customHeight="1">
      <c r="C1295" s="184" t="str">
        <f t="shared" si="1"/>
        <v>12-1899</v>
      </c>
      <c r="D1295" s="54" t="str">
        <f t="shared" si="130"/>
        <v/>
      </c>
    </row>
    <row r="1296" ht="14.25" customHeight="1">
      <c r="C1296" s="184" t="str">
        <f t="shared" si="1"/>
        <v>12-1899</v>
      </c>
      <c r="D1296" s="54" t="str">
        <f t="shared" si="130"/>
        <v/>
      </c>
    </row>
    <row r="1297" ht="14.25" customHeight="1">
      <c r="C1297" s="184" t="str">
        <f t="shared" si="1"/>
        <v>12-1899</v>
      </c>
      <c r="D1297" s="54" t="str">
        <f t="shared" si="130"/>
        <v/>
      </c>
    </row>
    <row r="1298" ht="14.25" customHeight="1">
      <c r="C1298" s="184" t="str">
        <f t="shared" si="1"/>
        <v>12-1899</v>
      </c>
      <c r="D1298" s="54" t="str">
        <f t="shared" si="130"/>
        <v/>
      </c>
    </row>
    <row r="1299" ht="14.25" customHeight="1">
      <c r="C1299" s="184" t="str">
        <f t="shared" si="1"/>
        <v>12-1899</v>
      </c>
      <c r="D1299" s="54" t="str">
        <f t="shared" si="130"/>
        <v/>
      </c>
    </row>
    <row r="1300" ht="14.25" customHeight="1">
      <c r="C1300" s="184" t="str">
        <f t="shared" si="1"/>
        <v>12-1899</v>
      </c>
      <c r="D1300" s="54" t="str">
        <f t="shared" si="130"/>
        <v/>
      </c>
    </row>
    <row r="1301" ht="14.25" customHeight="1">
      <c r="C1301" s="184" t="str">
        <f t="shared" si="1"/>
        <v>12-1899</v>
      </c>
      <c r="D1301" s="54" t="str">
        <f t="shared" si="130"/>
        <v/>
      </c>
    </row>
    <row r="1302" ht="14.25" customHeight="1">
      <c r="C1302" s="184" t="str">
        <f t="shared" si="1"/>
        <v>12-1899</v>
      </c>
      <c r="D1302" s="54" t="str">
        <f t="shared" si="130"/>
        <v/>
      </c>
    </row>
    <row r="1303" ht="14.25" customHeight="1">
      <c r="C1303" s="184" t="str">
        <f t="shared" si="1"/>
        <v>12-1899</v>
      </c>
      <c r="D1303" s="54" t="str">
        <f t="shared" si="130"/>
        <v/>
      </c>
    </row>
    <row r="1304" ht="14.25" customHeight="1">
      <c r="C1304" s="184" t="str">
        <f t="shared" si="1"/>
        <v>12-1899</v>
      </c>
      <c r="D1304" s="54" t="str">
        <f t="shared" si="130"/>
        <v/>
      </c>
    </row>
    <row r="1305" ht="14.25" customHeight="1">
      <c r="C1305" s="184" t="str">
        <f t="shared" si="1"/>
        <v>12-1899</v>
      </c>
      <c r="D1305" s="54" t="str">
        <f t="shared" si="130"/>
        <v/>
      </c>
    </row>
    <row r="1306" ht="14.25" customHeight="1">
      <c r="C1306" s="184" t="str">
        <f t="shared" si="1"/>
        <v>12-1899</v>
      </c>
      <c r="D1306" s="54" t="str">
        <f t="shared" si="130"/>
        <v/>
      </c>
    </row>
    <row r="1307" ht="14.25" customHeight="1">
      <c r="C1307" s="184" t="str">
        <f t="shared" si="1"/>
        <v>12-1899</v>
      </c>
      <c r="D1307" s="54" t="str">
        <f t="shared" si="130"/>
        <v/>
      </c>
    </row>
    <row r="1308" ht="14.25" customHeight="1">
      <c r="C1308" s="184" t="str">
        <f t="shared" si="1"/>
        <v>12-1899</v>
      </c>
      <c r="D1308" s="54" t="str">
        <f t="shared" si="130"/>
        <v/>
      </c>
    </row>
    <row r="1309" ht="14.25" customHeight="1">
      <c r="C1309" s="184" t="str">
        <f t="shared" si="1"/>
        <v>12-1899</v>
      </c>
      <c r="D1309" s="54" t="str">
        <f t="shared" si="130"/>
        <v/>
      </c>
    </row>
    <row r="1310" ht="14.25" customHeight="1">
      <c r="C1310" s="184" t="str">
        <f t="shared" si="1"/>
        <v>12-1899</v>
      </c>
      <c r="D1310" s="54" t="str">
        <f t="shared" si="130"/>
        <v/>
      </c>
    </row>
    <row r="1311" ht="14.25" customHeight="1">
      <c r="C1311" s="184" t="str">
        <f t="shared" si="1"/>
        <v>12-1899</v>
      </c>
      <c r="D1311" s="54" t="str">
        <f t="shared" si="130"/>
        <v/>
      </c>
    </row>
  </sheetData>
  <autoFilter ref="$A$764:$R$1311">
    <filterColumn colId="17">
      <filters blank="1">
        <filter val="2 dias Sanny"/>
        <filter val="Sanny"/>
      </filters>
    </filterColumn>
  </autoFilter>
  <mergeCells count="1">
    <mergeCell ref="B1:D2"/>
  </mergeCells>
  <dataValidations>
    <dataValidation type="list" allowBlank="1" showErrorMessage="1" sqref="H37:H148">
      <formula1>$Q$28:$Q$47</formula1>
    </dataValidation>
    <dataValidation type="list" allowBlank="1" showErrorMessage="1" sqref="N35 H4:H36">
      <formula1>#REF!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7.29"/>
  </cols>
  <sheetData>
    <row r="3">
      <c r="B3" s="164">
        <v>45463.0</v>
      </c>
      <c r="C3" s="141" t="str">
        <f t="shared" ref="C3:C615" si="1">MONTH(B3)&amp; "-" &amp;YEAR(B3)</f>
        <v>6-2024</v>
      </c>
      <c r="D3" s="138">
        <v>72.0</v>
      </c>
      <c r="E3" s="138">
        <v>80.5</v>
      </c>
      <c r="F3" s="54">
        <f t="shared" ref="F3:F13" si="2">E3-D3</f>
        <v>8.5</v>
      </c>
      <c r="G3" s="54">
        <f t="shared" ref="G3:G615" si="3">F3-10</f>
        <v>-1.5</v>
      </c>
      <c r="H3" s="185" t="s">
        <v>95</v>
      </c>
    </row>
    <row r="4">
      <c r="B4" s="164">
        <v>45464.0</v>
      </c>
      <c r="C4" s="141" t="str">
        <f t="shared" si="1"/>
        <v>6-2024</v>
      </c>
      <c r="D4" s="54">
        <f t="shared" ref="D4:D5" si="4">E3</f>
        <v>80.5</v>
      </c>
      <c r="E4" s="138">
        <v>88.8</v>
      </c>
      <c r="F4" s="54">
        <f t="shared" si="2"/>
        <v>8.3</v>
      </c>
      <c r="G4" s="54">
        <f t="shared" si="3"/>
        <v>-1.7</v>
      </c>
      <c r="H4" s="185" t="s">
        <v>95</v>
      </c>
    </row>
    <row r="5">
      <c r="B5" s="145">
        <v>45465.0</v>
      </c>
      <c r="C5" s="166" t="str">
        <f t="shared" si="1"/>
        <v>6-2024</v>
      </c>
      <c r="D5" s="54">
        <f t="shared" si="4"/>
        <v>88.8</v>
      </c>
      <c r="E5" s="138">
        <v>94.0</v>
      </c>
      <c r="F5" s="54">
        <f t="shared" si="2"/>
        <v>5.2</v>
      </c>
      <c r="G5" s="54">
        <f t="shared" si="3"/>
        <v>-4.8</v>
      </c>
      <c r="H5" s="185" t="s">
        <v>95</v>
      </c>
    </row>
    <row r="6">
      <c r="B6" s="145">
        <v>45466.0</v>
      </c>
      <c r="C6" s="166" t="str">
        <f t="shared" si="1"/>
        <v>6-2024</v>
      </c>
      <c r="D6" s="54"/>
      <c r="E6" s="54"/>
      <c r="F6" s="54">
        <f t="shared" si="2"/>
        <v>0</v>
      </c>
      <c r="G6" s="54">
        <f t="shared" si="3"/>
        <v>-10</v>
      </c>
      <c r="H6" s="185" t="s">
        <v>95</v>
      </c>
    </row>
    <row r="7">
      <c r="B7" s="164">
        <v>45467.0</v>
      </c>
      <c r="C7" s="141" t="str">
        <f t="shared" si="1"/>
        <v>6-2024</v>
      </c>
      <c r="D7" s="138">
        <v>94.0</v>
      </c>
      <c r="E7" s="138">
        <v>102.0</v>
      </c>
      <c r="F7" s="54">
        <f t="shared" si="2"/>
        <v>8</v>
      </c>
      <c r="G7" s="54">
        <f t="shared" si="3"/>
        <v>-2</v>
      </c>
      <c r="H7" s="185" t="s">
        <v>95</v>
      </c>
    </row>
    <row r="8">
      <c r="B8" s="164">
        <v>45468.0</v>
      </c>
      <c r="C8" s="141" t="str">
        <f t="shared" si="1"/>
        <v>6-2024</v>
      </c>
      <c r="D8" s="54">
        <f t="shared" ref="D8:D9" si="5">E7</f>
        <v>102</v>
      </c>
      <c r="E8" s="138">
        <v>112.0</v>
      </c>
      <c r="F8" s="54">
        <f t="shared" si="2"/>
        <v>10</v>
      </c>
      <c r="G8" s="54">
        <f t="shared" si="3"/>
        <v>0</v>
      </c>
      <c r="H8" s="185" t="s">
        <v>95</v>
      </c>
    </row>
    <row r="9">
      <c r="B9" s="164">
        <v>45469.0</v>
      </c>
      <c r="C9" s="141" t="str">
        <f t="shared" si="1"/>
        <v>6-2024</v>
      </c>
      <c r="D9" s="54">
        <f t="shared" si="5"/>
        <v>112</v>
      </c>
      <c r="E9" s="138">
        <v>119.8</v>
      </c>
      <c r="F9" s="54">
        <f t="shared" si="2"/>
        <v>7.8</v>
      </c>
      <c r="G9" s="54">
        <f t="shared" si="3"/>
        <v>-2.2</v>
      </c>
      <c r="H9" s="185" t="s">
        <v>95</v>
      </c>
    </row>
    <row r="10">
      <c r="B10" s="164">
        <v>45470.0</v>
      </c>
      <c r="C10" s="141" t="str">
        <f t="shared" si="1"/>
        <v>6-2024</v>
      </c>
      <c r="D10" s="54"/>
      <c r="E10" s="54"/>
      <c r="F10" s="54">
        <f t="shared" si="2"/>
        <v>0</v>
      </c>
      <c r="G10" s="54">
        <f t="shared" si="3"/>
        <v>-10</v>
      </c>
      <c r="H10" s="185" t="s">
        <v>95</v>
      </c>
    </row>
    <row r="11">
      <c r="B11" s="164">
        <v>45471.0</v>
      </c>
      <c r="C11" s="141" t="str">
        <f t="shared" si="1"/>
        <v>6-2024</v>
      </c>
      <c r="D11" s="138">
        <v>119.8</v>
      </c>
      <c r="E11" s="138">
        <v>130.0</v>
      </c>
      <c r="F11" s="54">
        <f t="shared" si="2"/>
        <v>10.2</v>
      </c>
      <c r="G11" s="54">
        <f t="shared" si="3"/>
        <v>0.2</v>
      </c>
      <c r="H11" s="185" t="s">
        <v>95</v>
      </c>
    </row>
    <row r="12">
      <c r="B12" s="145">
        <v>45472.0</v>
      </c>
      <c r="C12" s="166" t="str">
        <f t="shared" si="1"/>
        <v>6-2024</v>
      </c>
      <c r="D12" s="54">
        <f>E11</f>
        <v>130</v>
      </c>
      <c r="E12" s="138">
        <v>135.4</v>
      </c>
      <c r="F12" s="54">
        <f t="shared" si="2"/>
        <v>5.4</v>
      </c>
      <c r="G12" s="54">
        <f t="shared" si="3"/>
        <v>-4.6</v>
      </c>
      <c r="H12" s="185" t="s">
        <v>95</v>
      </c>
    </row>
    <row r="13">
      <c r="B13" s="164">
        <v>45454.0</v>
      </c>
      <c r="C13" s="141" t="str">
        <f t="shared" si="1"/>
        <v>6-2024</v>
      </c>
      <c r="D13" s="54"/>
      <c r="E13" s="54"/>
      <c r="F13" s="54">
        <f t="shared" si="2"/>
        <v>0</v>
      </c>
      <c r="G13" s="54">
        <f t="shared" si="3"/>
        <v>-10</v>
      </c>
    </row>
    <row r="14">
      <c r="B14" s="164">
        <v>45455.0</v>
      </c>
      <c r="C14" s="141" t="str">
        <f t="shared" si="1"/>
        <v>6-2024</v>
      </c>
      <c r="D14" s="54"/>
      <c r="E14" s="54"/>
      <c r="F14" s="54">
        <f>E14-D13</f>
        <v>0</v>
      </c>
      <c r="G14" s="54">
        <f t="shared" si="3"/>
        <v>-10</v>
      </c>
    </row>
    <row r="15">
      <c r="B15" s="164">
        <v>45456.0</v>
      </c>
      <c r="C15" s="141" t="str">
        <f t="shared" si="1"/>
        <v>6-2024</v>
      </c>
      <c r="D15" s="54"/>
      <c r="E15" s="54"/>
      <c r="F15" s="54">
        <f t="shared" ref="F15:F615" si="6">E15-D15</f>
        <v>0</v>
      </c>
      <c r="G15" s="54">
        <f t="shared" si="3"/>
        <v>-10</v>
      </c>
    </row>
    <row r="16">
      <c r="B16" s="164">
        <v>45457.0</v>
      </c>
      <c r="C16" s="141" t="str">
        <f t="shared" si="1"/>
        <v>6-2024</v>
      </c>
      <c r="D16" s="54"/>
      <c r="E16" s="54"/>
      <c r="F16" s="54">
        <f t="shared" si="6"/>
        <v>0</v>
      </c>
      <c r="G16" s="54">
        <f t="shared" si="3"/>
        <v>-10</v>
      </c>
    </row>
    <row r="17">
      <c r="B17" s="145">
        <v>45458.0</v>
      </c>
      <c r="C17" s="166" t="str">
        <f t="shared" si="1"/>
        <v>6-2024</v>
      </c>
      <c r="D17" s="54"/>
      <c r="E17" s="54"/>
      <c r="F17" s="54">
        <f t="shared" si="6"/>
        <v>0</v>
      </c>
      <c r="G17" s="54">
        <f t="shared" si="3"/>
        <v>-10</v>
      </c>
    </row>
    <row r="18">
      <c r="B18" s="145">
        <v>45459.0</v>
      </c>
      <c r="C18" s="166" t="str">
        <f t="shared" si="1"/>
        <v>6-2024</v>
      </c>
      <c r="D18" s="54"/>
      <c r="E18" s="54"/>
      <c r="F18" s="54">
        <f t="shared" si="6"/>
        <v>0</v>
      </c>
      <c r="G18" s="54">
        <f t="shared" si="3"/>
        <v>-10</v>
      </c>
    </row>
    <row r="19">
      <c r="B19" s="164">
        <v>45460.0</v>
      </c>
      <c r="C19" s="141" t="str">
        <f t="shared" si="1"/>
        <v>6-2024</v>
      </c>
      <c r="D19" s="54"/>
      <c r="E19" s="54"/>
      <c r="F19" s="54">
        <f t="shared" si="6"/>
        <v>0</v>
      </c>
      <c r="G19" s="54">
        <f t="shared" si="3"/>
        <v>-10</v>
      </c>
    </row>
    <row r="20">
      <c r="B20" s="164">
        <v>45461.0</v>
      </c>
      <c r="C20" s="141" t="str">
        <f t="shared" si="1"/>
        <v>6-2024</v>
      </c>
      <c r="D20" s="54"/>
      <c r="E20" s="54"/>
      <c r="F20" s="54">
        <f t="shared" si="6"/>
        <v>0</v>
      </c>
      <c r="G20" s="54">
        <f t="shared" si="3"/>
        <v>-10</v>
      </c>
    </row>
    <row r="21">
      <c r="B21" s="164">
        <v>45462.0</v>
      </c>
      <c r="C21" s="141" t="str">
        <f t="shared" si="1"/>
        <v>6-2024</v>
      </c>
      <c r="D21" s="54"/>
      <c r="E21" s="54"/>
      <c r="F21" s="54">
        <f t="shared" si="6"/>
        <v>0</v>
      </c>
      <c r="G21" s="54">
        <f t="shared" si="3"/>
        <v>-10</v>
      </c>
    </row>
    <row r="22">
      <c r="B22" s="164">
        <v>45463.0</v>
      </c>
      <c r="C22" s="141" t="str">
        <f t="shared" si="1"/>
        <v>6-2024</v>
      </c>
      <c r="D22" s="138">
        <v>72.0</v>
      </c>
      <c r="E22" s="138">
        <v>80.5</v>
      </c>
      <c r="F22" s="54">
        <f t="shared" si="6"/>
        <v>8.5</v>
      </c>
      <c r="G22" s="54">
        <f t="shared" si="3"/>
        <v>-1.5</v>
      </c>
    </row>
    <row r="23">
      <c r="B23" s="164">
        <v>45464.0</v>
      </c>
      <c r="C23" s="141" t="str">
        <f t="shared" si="1"/>
        <v>6-2024</v>
      </c>
      <c r="D23" s="54">
        <f t="shared" ref="D23:D24" si="7">E22</f>
        <v>80.5</v>
      </c>
      <c r="E23" s="138">
        <v>88.8</v>
      </c>
      <c r="F23" s="54">
        <f t="shared" si="6"/>
        <v>8.3</v>
      </c>
      <c r="G23" s="54">
        <f t="shared" si="3"/>
        <v>-1.7</v>
      </c>
    </row>
    <row r="24">
      <c r="B24" s="145">
        <v>45465.0</v>
      </c>
      <c r="C24" s="166" t="str">
        <f t="shared" si="1"/>
        <v>6-2024</v>
      </c>
      <c r="D24" s="54">
        <f t="shared" si="7"/>
        <v>88.8</v>
      </c>
      <c r="E24" s="138">
        <v>94.0</v>
      </c>
      <c r="F24" s="54">
        <f t="shared" si="6"/>
        <v>5.2</v>
      </c>
      <c r="G24" s="54">
        <f t="shared" si="3"/>
        <v>-4.8</v>
      </c>
    </row>
    <row r="25">
      <c r="B25" s="145">
        <v>45466.0</v>
      </c>
      <c r="C25" s="166" t="str">
        <f t="shared" si="1"/>
        <v>6-2024</v>
      </c>
      <c r="D25" s="54"/>
      <c r="E25" s="54"/>
      <c r="F25" s="54">
        <f t="shared" si="6"/>
        <v>0</v>
      </c>
      <c r="G25" s="54">
        <f t="shared" si="3"/>
        <v>-10</v>
      </c>
    </row>
    <row r="26">
      <c r="B26" s="164">
        <v>45467.0</v>
      </c>
      <c r="C26" s="141" t="str">
        <f t="shared" si="1"/>
        <v>6-2024</v>
      </c>
      <c r="D26" s="138">
        <v>94.0</v>
      </c>
      <c r="E26" s="138">
        <v>102.0</v>
      </c>
      <c r="F26" s="54">
        <f t="shared" si="6"/>
        <v>8</v>
      </c>
      <c r="G26" s="54">
        <f t="shared" si="3"/>
        <v>-2</v>
      </c>
    </row>
    <row r="27">
      <c r="B27" s="164">
        <v>45468.0</v>
      </c>
      <c r="C27" s="141" t="str">
        <f t="shared" si="1"/>
        <v>6-2024</v>
      </c>
      <c r="D27" s="54">
        <f t="shared" ref="D27:D28" si="8">E26</f>
        <v>102</v>
      </c>
      <c r="E27" s="138">
        <v>112.0</v>
      </c>
      <c r="F27" s="54">
        <f t="shared" si="6"/>
        <v>10</v>
      </c>
      <c r="G27" s="54">
        <f t="shared" si="3"/>
        <v>0</v>
      </c>
    </row>
    <row r="28">
      <c r="B28" s="164">
        <v>45469.0</v>
      </c>
      <c r="C28" s="141" t="str">
        <f t="shared" si="1"/>
        <v>6-2024</v>
      </c>
      <c r="D28" s="54">
        <f t="shared" si="8"/>
        <v>112</v>
      </c>
      <c r="E28" s="138">
        <v>119.8</v>
      </c>
      <c r="F28" s="54">
        <f t="shared" si="6"/>
        <v>7.8</v>
      </c>
      <c r="G28" s="54">
        <f t="shared" si="3"/>
        <v>-2.2</v>
      </c>
    </row>
    <row r="29">
      <c r="B29" s="164">
        <v>45470.0</v>
      </c>
      <c r="C29" s="141" t="str">
        <f t="shared" si="1"/>
        <v>6-2024</v>
      </c>
      <c r="D29" s="54"/>
      <c r="E29" s="54"/>
      <c r="F29" s="54">
        <f t="shared" si="6"/>
        <v>0</v>
      </c>
      <c r="G29" s="54">
        <f t="shared" si="3"/>
        <v>-10</v>
      </c>
    </row>
    <row r="30">
      <c r="B30" s="164">
        <v>45471.0</v>
      </c>
      <c r="C30" s="141" t="str">
        <f t="shared" si="1"/>
        <v>6-2024</v>
      </c>
      <c r="D30" s="138">
        <v>119.8</v>
      </c>
      <c r="E30" s="138">
        <v>130.0</v>
      </c>
      <c r="F30" s="54">
        <f t="shared" si="6"/>
        <v>10.2</v>
      </c>
      <c r="G30" s="54">
        <f t="shared" si="3"/>
        <v>0.2</v>
      </c>
    </row>
    <row r="31">
      <c r="B31" s="145">
        <v>45472.0</v>
      </c>
      <c r="C31" s="166" t="str">
        <f t="shared" si="1"/>
        <v>6-2024</v>
      </c>
      <c r="D31" s="54">
        <f>E30</f>
        <v>130</v>
      </c>
      <c r="E31" s="138">
        <v>135.4</v>
      </c>
      <c r="F31" s="54">
        <f t="shared" si="6"/>
        <v>5.4</v>
      </c>
      <c r="G31" s="54">
        <f t="shared" si="3"/>
        <v>-4.6</v>
      </c>
    </row>
    <row r="32">
      <c r="B32" s="145">
        <v>45473.0</v>
      </c>
      <c r="C32" s="166" t="str">
        <f t="shared" si="1"/>
        <v>6-2024</v>
      </c>
      <c r="D32" s="54"/>
      <c r="E32" s="54"/>
      <c r="F32" s="54">
        <f t="shared" si="6"/>
        <v>0</v>
      </c>
      <c r="G32" s="54">
        <f t="shared" si="3"/>
        <v>-10</v>
      </c>
    </row>
    <row r="33">
      <c r="B33" s="164">
        <v>45474.0</v>
      </c>
      <c r="C33" s="141" t="str">
        <f t="shared" si="1"/>
        <v>7-2024</v>
      </c>
      <c r="D33" s="28">
        <v>135.4</v>
      </c>
      <c r="E33" s="28">
        <v>145.5</v>
      </c>
      <c r="F33" s="54">
        <f t="shared" si="6"/>
        <v>10.1</v>
      </c>
      <c r="G33" s="54">
        <f t="shared" si="3"/>
        <v>0.1</v>
      </c>
    </row>
    <row r="34">
      <c r="B34" s="164">
        <v>45475.0</v>
      </c>
      <c r="C34" s="141" t="str">
        <f t="shared" si="1"/>
        <v>7-2024</v>
      </c>
      <c r="D34" s="165">
        <f t="shared" ref="D34:D37" si="9">E33</f>
        <v>145.5</v>
      </c>
      <c r="E34" s="28">
        <v>155.5</v>
      </c>
      <c r="F34" s="54">
        <f t="shared" si="6"/>
        <v>10</v>
      </c>
      <c r="G34" s="54">
        <f t="shared" si="3"/>
        <v>0</v>
      </c>
    </row>
    <row r="35">
      <c r="B35" s="140">
        <v>45476.0</v>
      </c>
      <c r="C35" s="141" t="str">
        <f t="shared" si="1"/>
        <v>7-2024</v>
      </c>
      <c r="D35" s="165">
        <f t="shared" si="9"/>
        <v>155.5</v>
      </c>
      <c r="E35" s="28">
        <v>165.5</v>
      </c>
      <c r="F35" s="54">
        <f t="shared" si="6"/>
        <v>10</v>
      </c>
      <c r="G35" s="54">
        <f t="shared" si="3"/>
        <v>0</v>
      </c>
    </row>
    <row r="36">
      <c r="B36" s="169">
        <v>45477.0</v>
      </c>
      <c r="C36" s="141" t="str">
        <f t="shared" si="1"/>
        <v>7-2024</v>
      </c>
      <c r="D36" s="165">
        <f t="shared" si="9"/>
        <v>165.5</v>
      </c>
      <c r="E36" s="28">
        <v>175.5</v>
      </c>
      <c r="F36" s="54">
        <f t="shared" si="6"/>
        <v>10</v>
      </c>
      <c r="G36" s="54">
        <f t="shared" si="3"/>
        <v>0</v>
      </c>
    </row>
    <row r="37">
      <c r="B37" s="169">
        <v>45478.0</v>
      </c>
      <c r="C37" s="141" t="str">
        <f t="shared" si="1"/>
        <v>7-2024</v>
      </c>
      <c r="D37" s="165">
        <f t="shared" si="9"/>
        <v>175.5</v>
      </c>
      <c r="E37" s="28">
        <v>185.5</v>
      </c>
      <c r="F37" s="54">
        <f t="shared" si="6"/>
        <v>10</v>
      </c>
      <c r="G37" s="54">
        <f t="shared" si="3"/>
        <v>0</v>
      </c>
    </row>
    <row r="38">
      <c r="B38" s="164">
        <v>45479.0</v>
      </c>
      <c r="C38" s="141" t="str">
        <f t="shared" si="1"/>
        <v>7-2024</v>
      </c>
      <c r="F38" s="54">
        <f t="shared" si="6"/>
        <v>0</v>
      </c>
      <c r="G38" s="54">
        <f t="shared" si="3"/>
        <v>-10</v>
      </c>
    </row>
    <row r="39">
      <c r="B39" s="145">
        <v>45480.0</v>
      </c>
      <c r="C39" s="141" t="str">
        <f t="shared" si="1"/>
        <v>7-2024</v>
      </c>
      <c r="D39" s="165" t="str">
        <f>E38</f>
        <v/>
      </c>
      <c r="F39" s="54">
        <f t="shared" si="6"/>
        <v>0</v>
      </c>
      <c r="G39" s="54">
        <f t="shared" si="3"/>
        <v>-10</v>
      </c>
    </row>
    <row r="40">
      <c r="B40" s="145">
        <v>45481.0</v>
      </c>
      <c r="C40" s="141" t="str">
        <f t="shared" si="1"/>
        <v>7-2024</v>
      </c>
      <c r="D40" s="28">
        <v>185.5</v>
      </c>
      <c r="E40" s="28">
        <v>195.5</v>
      </c>
      <c r="F40" s="54">
        <f t="shared" si="6"/>
        <v>10</v>
      </c>
      <c r="G40" s="54">
        <f t="shared" si="3"/>
        <v>0</v>
      </c>
    </row>
    <row r="41">
      <c r="B41" s="164">
        <v>45482.0</v>
      </c>
      <c r="C41" s="141" t="str">
        <f t="shared" si="1"/>
        <v>7-2024</v>
      </c>
      <c r="D41" s="165">
        <f t="shared" ref="D41:D44" si="10">E40</f>
        <v>195.5</v>
      </c>
      <c r="E41" s="28">
        <v>205.5</v>
      </c>
      <c r="F41" s="54">
        <f t="shared" si="6"/>
        <v>10</v>
      </c>
      <c r="G41" s="54">
        <f t="shared" si="3"/>
        <v>0</v>
      </c>
    </row>
    <row r="42">
      <c r="B42" s="164">
        <v>45483.0</v>
      </c>
      <c r="C42" s="141" t="str">
        <f t="shared" si="1"/>
        <v>7-2024</v>
      </c>
      <c r="D42" s="165">
        <f t="shared" si="10"/>
        <v>205.5</v>
      </c>
      <c r="E42" s="28">
        <v>215.5</v>
      </c>
      <c r="F42" s="54">
        <f t="shared" si="6"/>
        <v>10</v>
      </c>
      <c r="G42" s="54">
        <f t="shared" si="3"/>
        <v>0</v>
      </c>
    </row>
    <row r="43">
      <c r="B43" s="164">
        <v>45484.0</v>
      </c>
      <c r="C43" s="141" t="str">
        <f t="shared" si="1"/>
        <v>7-2024</v>
      </c>
      <c r="D43" s="165">
        <f t="shared" si="10"/>
        <v>215.5</v>
      </c>
      <c r="E43" s="28">
        <v>225.5</v>
      </c>
      <c r="F43" s="54">
        <f t="shared" si="6"/>
        <v>10</v>
      </c>
      <c r="G43" s="54">
        <f t="shared" si="3"/>
        <v>0</v>
      </c>
    </row>
    <row r="44">
      <c r="B44" s="164">
        <v>45485.0</v>
      </c>
      <c r="C44" s="141" t="str">
        <f t="shared" si="1"/>
        <v>7-2024</v>
      </c>
      <c r="D44" s="165">
        <f t="shared" si="10"/>
        <v>225.5</v>
      </c>
      <c r="E44" s="28">
        <v>235.5</v>
      </c>
      <c r="F44" s="54">
        <f t="shared" si="6"/>
        <v>10</v>
      </c>
      <c r="G44" s="54">
        <f t="shared" si="3"/>
        <v>0</v>
      </c>
    </row>
    <row r="45">
      <c r="B45" s="145">
        <v>45486.0</v>
      </c>
      <c r="C45" s="141" t="str">
        <f t="shared" si="1"/>
        <v>7-2024</v>
      </c>
      <c r="F45" s="54">
        <f t="shared" si="6"/>
        <v>0</v>
      </c>
      <c r="G45" s="54">
        <f t="shared" si="3"/>
        <v>-10</v>
      </c>
    </row>
    <row r="46">
      <c r="B46" s="145">
        <v>45487.0</v>
      </c>
      <c r="C46" s="141" t="str">
        <f t="shared" si="1"/>
        <v>7-2024</v>
      </c>
      <c r="D46" s="165" t="str">
        <f>E45</f>
        <v/>
      </c>
      <c r="F46" s="54">
        <f t="shared" si="6"/>
        <v>0</v>
      </c>
      <c r="G46" s="54">
        <f t="shared" si="3"/>
        <v>-10</v>
      </c>
    </row>
    <row r="47">
      <c r="B47" s="164">
        <v>45488.0</v>
      </c>
      <c r="C47" s="141" t="str">
        <f t="shared" si="1"/>
        <v>7-2024</v>
      </c>
      <c r="D47" s="28">
        <v>235.5</v>
      </c>
      <c r="E47" s="28">
        <v>237.0</v>
      </c>
      <c r="F47" s="54">
        <f t="shared" si="6"/>
        <v>1.5</v>
      </c>
      <c r="G47" s="54">
        <f t="shared" si="3"/>
        <v>-8.5</v>
      </c>
    </row>
    <row r="48">
      <c r="B48" s="164">
        <v>45489.0</v>
      </c>
      <c r="C48" s="141" t="str">
        <f t="shared" si="1"/>
        <v>7-2024</v>
      </c>
      <c r="D48" s="165">
        <f t="shared" ref="D48:D52" si="11">E47</f>
        <v>237</v>
      </c>
      <c r="E48" s="28">
        <v>247.0</v>
      </c>
      <c r="F48" s="54">
        <f t="shared" si="6"/>
        <v>10</v>
      </c>
      <c r="G48" s="54">
        <f t="shared" si="3"/>
        <v>0</v>
      </c>
    </row>
    <row r="49">
      <c r="B49" s="164">
        <v>45490.0</v>
      </c>
      <c r="C49" s="141" t="str">
        <f t="shared" si="1"/>
        <v>7-2024</v>
      </c>
      <c r="D49" s="165">
        <f t="shared" si="11"/>
        <v>247</v>
      </c>
      <c r="E49" s="28">
        <v>256.0</v>
      </c>
      <c r="F49" s="54">
        <f t="shared" si="6"/>
        <v>9</v>
      </c>
      <c r="G49" s="54">
        <f t="shared" si="3"/>
        <v>-1</v>
      </c>
    </row>
    <row r="50">
      <c r="B50" s="164">
        <v>45491.0</v>
      </c>
      <c r="C50" s="141" t="str">
        <f t="shared" si="1"/>
        <v>7-2024</v>
      </c>
      <c r="D50" s="165">
        <f t="shared" si="11"/>
        <v>256</v>
      </c>
      <c r="E50" s="28">
        <v>264.0</v>
      </c>
      <c r="F50" s="54">
        <f t="shared" si="6"/>
        <v>8</v>
      </c>
      <c r="G50" s="54">
        <f t="shared" si="3"/>
        <v>-2</v>
      </c>
    </row>
    <row r="51">
      <c r="B51" s="164">
        <v>45492.0</v>
      </c>
      <c r="C51" s="141" t="str">
        <f t="shared" si="1"/>
        <v>7-2024</v>
      </c>
      <c r="D51" s="165">
        <f t="shared" si="11"/>
        <v>264</v>
      </c>
      <c r="E51" s="28">
        <v>274.0</v>
      </c>
      <c r="F51" s="54">
        <f t="shared" si="6"/>
        <v>10</v>
      </c>
      <c r="G51" s="54">
        <f t="shared" si="3"/>
        <v>0</v>
      </c>
    </row>
    <row r="52">
      <c r="B52" s="145">
        <v>45493.0</v>
      </c>
      <c r="C52" s="141" t="str">
        <f t="shared" si="1"/>
        <v>7-2024</v>
      </c>
      <c r="D52" s="165">
        <f t="shared" si="11"/>
        <v>274</v>
      </c>
      <c r="E52" s="28">
        <v>279.5</v>
      </c>
      <c r="F52" s="54">
        <f t="shared" si="6"/>
        <v>5.5</v>
      </c>
      <c r="G52" s="54">
        <f t="shared" si="3"/>
        <v>-4.5</v>
      </c>
    </row>
    <row r="53">
      <c r="B53" s="145">
        <v>45494.0</v>
      </c>
      <c r="C53" s="141" t="str">
        <f t="shared" si="1"/>
        <v>7-2024</v>
      </c>
      <c r="F53" s="54">
        <f t="shared" si="6"/>
        <v>0</v>
      </c>
      <c r="G53" s="54">
        <f t="shared" si="3"/>
        <v>-10</v>
      </c>
    </row>
    <row r="54">
      <c r="B54" s="164">
        <v>45495.0</v>
      </c>
      <c r="C54" s="141" t="str">
        <f t="shared" si="1"/>
        <v>7-2024</v>
      </c>
      <c r="D54" s="28">
        <v>279.5</v>
      </c>
      <c r="E54" s="28">
        <v>290.5</v>
      </c>
      <c r="F54" s="54">
        <f t="shared" si="6"/>
        <v>11</v>
      </c>
      <c r="G54" s="54">
        <f t="shared" si="3"/>
        <v>1</v>
      </c>
    </row>
    <row r="55">
      <c r="B55" s="164">
        <v>45496.0</v>
      </c>
      <c r="C55" s="141" t="str">
        <f t="shared" si="1"/>
        <v>7-2024</v>
      </c>
      <c r="D55" s="165">
        <f t="shared" ref="D55:D58" si="12">E54</f>
        <v>290.5</v>
      </c>
      <c r="E55" s="28">
        <v>301.5</v>
      </c>
      <c r="F55" s="54">
        <f t="shared" si="6"/>
        <v>11</v>
      </c>
      <c r="G55" s="54">
        <f t="shared" si="3"/>
        <v>1</v>
      </c>
    </row>
    <row r="56">
      <c r="B56" s="164">
        <v>45497.0</v>
      </c>
      <c r="C56" s="141" t="str">
        <f t="shared" si="1"/>
        <v>7-2024</v>
      </c>
      <c r="D56" s="165">
        <f t="shared" si="12"/>
        <v>301.5</v>
      </c>
      <c r="E56" s="28">
        <v>312.5</v>
      </c>
      <c r="F56" s="54">
        <f t="shared" si="6"/>
        <v>11</v>
      </c>
      <c r="G56" s="54">
        <f t="shared" si="3"/>
        <v>1</v>
      </c>
    </row>
    <row r="57">
      <c r="B57" s="164">
        <v>45498.0</v>
      </c>
      <c r="C57" s="141" t="str">
        <f t="shared" si="1"/>
        <v>7-2024</v>
      </c>
      <c r="D57" s="165">
        <f t="shared" si="12"/>
        <v>312.5</v>
      </c>
      <c r="E57" s="28">
        <v>323.5</v>
      </c>
      <c r="F57" s="54">
        <f t="shared" si="6"/>
        <v>11</v>
      </c>
      <c r="G57" s="54">
        <f t="shared" si="3"/>
        <v>1</v>
      </c>
    </row>
    <row r="58">
      <c r="B58" s="164">
        <v>45499.0</v>
      </c>
      <c r="C58" s="141" t="str">
        <f t="shared" si="1"/>
        <v>7-2024</v>
      </c>
      <c r="D58" s="165">
        <f t="shared" si="12"/>
        <v>323.5</v>
      </c>
      <c r="E58" s="28">
        <v>334.5</v>
      </c>
      <c r="F58" s="54">
        <f t="shared" si="6"/>
        <v>11</v>
      </c>
      <c r="G58" s="54">
        <f t="shared" si="3"/>
        <v>1</v>
      </c>
    </row>
    <row r="59">
      <c r="B59" s="145">
        <v>45500.0</v>
      </c>
      <c r="C59" s="141" t="str">
        <f t="shared" si="1"/>
        <v>7-2024</v>
      </c>
      <c r="F59" s="54">
        <f t="shared" si="6"/>
        <v>0</v>
      </c>
      <c r="G59" s="54">
        <f t="shared" si="3"/>
        <v>-10</v>
      </c>
    </row>
    <row r="60">
      <c r="B60" s="145">
        <v>45501.0</v>
      </c>
      <c r="C60" s="141" t="str">
        <f t="shared" si="1"/>
        <v>7-2024</v>
      </c>
      <c r="D60" s="165" t="str">
        <f>E59</f>
        <v/>
      </c>
      <c r="F60" s="54">
        <f t="shared" si="6"/>
        <v>0</v>
      </c>
      <c r="G60" s="54">
        <f t="shared" si="3"/>
        <v>-10</v>
      </c>
    </row>
    <row r="61">
      <c r="B61" s="164">
        <v>45502.0</v>
      </c>
      <c r="C61" s="141" t="str">
        <f t="shared" si="1"/>
        <v>7-2024</v>
      </c>
      <c r="D61" s="28">
        <v>334.5</v>
      </c>
      <c r="E61" s="28">
        <v>344.5</v>
      </c>
      <c r="F61" s="54">
        <f t="shared" si="6"/>
        <v>10</v>
      </c>
      <c r="G61" s="54">
        <f t="shared" si="3"/>
        <v>0</v>
      </c>
    </row>
    <row r="62">
      <c r="B62" s="164">
        <v>45503.0</v>
      </c>
      <c r="C62" s="141" t="str">
        <f t="shared" si="1"/>
        <v>7-2024</v>
      </c>
      <c r="D62" s="165">
        <f>E61</f>
        <v>344.5</v>
      </c>
      <c r="E62" s="28">
        <v>354.4</v>
      </c>
      <c r="F62" s="54">
        <f t="shared" si="6"/>
        <v>9.9</v>
      </c>
      <c r="G62" s="54">
        <f t="shared" si="3"/>
        <v>-0.1</v>
      </c>
    </row>
    <row r="63">
      <c r="B63" s="164">
        <v>45504.0</v>
      </c>
      <c r="C63" s="141" t="str">
        <f t="shared" si="1"/>
        <v>7-2024</v>
      </c>
      <c r="F63" s="54">
        <f t="shared" si="6"/>
        <v>0</v>
      </c>
      <c r="G63" s="54">
        <f t="shared" si="3"/>
        <v>-10</v>
      </c>
    </row>
    <row r="64">
      <c r="B64" s="164">
        <v>45505.0</v>
      </c>
      <c r="C64" s="141" t="str">
        <f t="shared" si="1"/>
        <v>8-2024</v>
      </c>
      <c r="D64" s="28">
        <v>354.4</v>
      </c>
      <c r="E64" s="28">
        <v>364.4</v>
      </c>
      <c r="F64" s="54">
        <f t="shared" si="6"/>
        <v>10</v>
      </c>
      <c r="G64" s="54">
        <f t="shared" si="3"/>
        <v>0</v>
      </c>
    </row>
    <row r="65">
      <c r="B65" s="164">
        <v>45506.0</v>
      </c>
      <c r="C65" s="141" t="str">
        <f t="shared" si="1"/>
        <v>8-2024</v>
      </c>
      <c r="D65" s="165">
        <f>E64</f>
        <v>364.4</v>
      </c>
      <c r="E65" s="28">
        <v>374.5</v>
      </c>
      <c r="F65" s="54">
        <f t="shared" si="6"/>
        <v>10.1</v>
      </c>
      <c r="G65" s="54">
        <f t="shared" si="3"/>
        <v>0.1</v>
      </c>
    </row>
    <row r="66" ht="14.25" customHeight="1">
      <c r="B66" s="145">
        <v>45507.0</v>
      </c>
      <c r="C66" s="141" t="str">
        <f t="shared" si="1"/>
        <v>8-2024</v>
      </c>
      <c r="D66" s="28">
        <v>374.5</v>
      </c>
      <c r="E66" s="28">
        <v>384.5</v>
      </c>
      <c r="F66" s="54">
        <f t="shared" si="6"/>
        <v>10</v>
      </c>
      <c r="G66" s="54">
        <f t="shared" si="3"/>
        <v>0</v>
      </c>
      <c r="H66" s="28" t="s">
        <v>170</v>
      </c>
    </row>
    <row r="67">
      <c r="B67" s="145">
        <v>45508.0</v>
      </c>
      <c r="C67" s="141" t="str">
        <f t="shared" si="1"/>
        <v>8-2024</v>
      </c>
      <c r="F67" s="54">
        <f t="shared" si="6"/>
        <v>0</v>
      </c>
      <c r="G67" s="54">
        <f t="shared" si="3"/>
        <v>-10</v>
      </c>
    </row>
    <row r="68">
      <c r="B68" s="164">
        <v>45509.0</v>
      </c>
      <c r="C68" s="141" t="str">
        <f t="shared" si="1"/>
        <v>8-2024</v>
      </c>
      <c r="D68" s="28">
        <v>384.5</v>
      </c>
      <c r="E68" s="28">
        <v>394.5</v>
      </c>
      <c r="F68" s="54">
        <f t="shared" si="6"/>
        <v>10</v>
      </c>
      <c r="G68" s="54">
        <f t="shared" si="3"/>
        <v>0</v>
      </c>
    </row>
    <row r="69">
      <c r="B69" s="164">
        <v>45510.0</v>
      </c>
      <c r="C69" s="141" t="str">
        <f t="shared" si="1"/>
        <v>8-2024</v>
      </c>
      <c r="D69" s="165">
        <f t="shared" ref="D69:D73" si="13">E68</f>
        <v>394.5</v>
      </c>
      <c r="E69" s="28">
        <v>404.5</v>
      </c>
      <c r="F69" s="54">
        <f t="shared" si="6"/>
        <v>10</v>
      </c>
      <c r="G69" s="54">
        <f t="shared" si="3"/>
        <v>0</v>
      </c>
    </row>
    <row r="70">
      <c r="B70" s="164">
        <v>45511.0</v>
      </c>
      <c r="C70" s="141" t="str">
        <f t="shared" si="1"/>
        <v>8-2024</v>
      </c>
      <c r="D70" s="165">
        <f t="shared" si="13"/>
        <v>404.5</v>
      </c>
      <c r="E70" s="28">
        <v>414.5</v>
      </c>
      <c r="F70" s="54">
        <f t="shared" si="6"/>
        <v>10</v>
      </c>
      <c r="G70" s="54">
        <f t="shared" si="3"/>
        <v>0</v>
      </c>
    </row>
    <row r="71">
      <c r="B71" s="164">
        <v>45512.0</v>
      </c>
      <c r="C71" s="141" t="str">
        <f t="shared" si="1"/>
        <v>8-2024</v>
      </c>
      <c r="D71" s="165">
        <f t="shared" si="13"/>
        <v>414.5</v>
      </c>
      <c r="E71" s="28">
        <v>420.0</v>
      </c>
      <c r="F71" s="54">
        <f t="shared" si="6"/>
        <v>5.5</v>
      </c>
      <c r="G71" s="54">
        <f t="shared" si="3"/>
        <v>-4.5</v>
      </c>
    </row>
    <row r="72">
      <c r="B72" s="164">
        <v>45513.0</v>
      </c>
      <c r="C72" s="141" t="str">
        <f t="shared" si="1"/>
        <v>8-2024</v>
      </c>
      <c r="D72" s="165">
        <f t="shared" si="13"/>
        <v>420</v>
      </c>
      <c r="E72" s="28">
        <v>429.0</v>
      </c>
      <c r="F72" s="54">
        <f t="shared" si="6"/>
        <v>9</v>
      </c>
      <c r="G72" s="54">
        <f t="shared" si="3"/>
        <v>-1</v>
      </c>
    </row>
    <row r="73">
      <c r="B73" s="145">
        <v>45514.0</v>
      </c>
      <c r="C73" s="141" t="str">
        <f t="shared" si="1"/>
        <v>8-2024</v>
      </c>
      <c r="D73" s="165">
        <f t="shared" si="13"/>
        <v>429</v>
      </c>
      <c r="E73" s="28">
        <v>439.0</v>
      </c>
      <c r="F73" s="54">
        <f t="shared" si="6"/>
        <v>10</v>
      </c>
      <c r="G73" s="54">
        <f t="shared" si="3"/>
        <v>0</v>
      </c>
    </row>
    <row r="74">
      <c r="B74" s="145">
        <v>45515.0</v>
      </c>
      <c r="C74" s="141" t="str">
        <f t="shared" si="1"/>
        <v>8-2024</v>
      </c>
      <c r="F74" s="54">
        <f t="shared" si="6"/>
        <v>0</v>
      </c>
      <c r="G74" s="54">
        <f t="shared" si="3"/>
        <v>-10</v>
      </c>
    </row>
    <row r="75">
      <c r="B75" s="164">
        <v>45516.0</v>
      </c>
      <c r="C75" s="141" t="str">
        <f t="shared" si="1"/>
        <v>8-2024</v>
      </c>
      <c r="D75" s="28">
        <v>439.0</v>
      </c>
      <c r="E75" s="28">
        <v>448.0</v>
      </c>
      <c r="F75" s="54">
        <f t="shared" si="6"/>
        <v>9</v>
      </c>
      <c r="G75" s="54">
        <f t="shared" si="3"/>
        <v>-1</v>
      </c>
    </row>
    <row r="76">
      <c r="B76" s="164">
        <v>45517.0</v>
      </c>
      <c r="C76" s="141" t="str">
        <f t="shared" si="1"/>
        <v>8-2024</v>
      </c>
      <c r="D76" s="165">
        <f t="shared" ref="D76:D80" si="14">E75</f>
        <v>448</v>
      </c>
      <c r="E76" s="28">
        <v>456.0</v>
      </c>
      <c r="F76" s="54">
        <f t="shared" si="6"/>
        <v>8</v>
      </c>
      <c r="G76" s="54">
        <f t="shared" si="3"/>
        <v>-2</v>
      </c>
    </row>
    <row r="77">
      <c r="B77" s="164">
        <v>45518.0</v>
      </c>
      <c r="C77" s="141" t="str">
        <f t="shared" si="1"/>
        <v>8-2024</v>
      </c>
      <c r="D77" s="165">
        <f t="shared" si="14"/>
        <v>456</v>
      </c>
      <c r="E77" s="28">
        <v>456.0</v>
      </c>
      <c r="F77" s="54">
        <f t="shared" si="6"/>
        <v>0</v>
      </c>
      <c r="G77" s="54">
        <f t="shared" si="3"/>
        <v>-10</v>
      </c>
    </row>
    <row r="78">
      <c r="B78" s="164">
        <v>45519.0</v>
      </c>
      <c r="C78" s="141" t="str">
        <f t="shared" si="1"/>
        <v>8-2024</v>
      </c>
      <c r="D78" s="165">
        <f t="shared" si="14"/>
        <v>456</v>
      </c>
      <c r="E78" s="28">
        <v>464.5</v>
      </c>
      <c r="F78" s="54">
        <f t="shared" si="6"/>
        <v>8.5</v>
      </c>
      <c r="G78" s="54">
        <f t="shared" si="3"/>
        <v>-1.5</v>
      </c>
    </row>
    <row r="79">
      <c r="B79" s="164">
        <v>45520.0</v>
      </c>
      <c r="C79" s="141" t="str">
        <f t="shared" si="1"/>
        <v>8-2024</v>
      </c>
      <c r="D79" s="165">
        <f t="shared" si="14"/>
        <v>464.5</v>
      </c>
      <c r="E79" s="28">
        <v>474.5</v>
      </c>
      <c r="F79" s="54">
        <f t="shared" si="6"/>
        <v>10</v>
      </c>
      <c r="G79" s="54">
        <f t="shared" si="3"/>
        <v>0</v>
      </c>
    </row>
    <row r="80">
      <c r="B80" s="145">
        <v>45521.0</v>
      </c>
      <c r="C80" s="141" t="str">
        <f t="shared" si="1"/>
        <v>8-2024</v>
      </c>
      <c r="D80" s="165">
        <f t="shared" si="14"/>
        <v>474.5</v>
      </c>
      <c r="E80" s="28">
        <v>479.5</v>
      </c>
      <c r="F80" s="54">
        <f t="shared" si="6"/>
        <v>5</v>
      </c>
      <c r="G80" s="54">
        <f t="shared" si="3"/>
        <v>-5</v>
      </c>
    </row>
    <row r="81">
      <c r="B81" s="145">
        <v>45522.0</v>
      </c>
      <c r="C81" s="141" t="str">
        <f t="shared" si="1"/>
        <v>8-2024</v>
      </c>
      <c r="F81" s="54">
        <f t="shared" si="6"/>
        <v>0</v>
      </c>
      <c r="G81" s="54">
        <f t="shared" si="3"/>
        <v>-10</v>
      </c>
    </row>
    <row r="82">
      <c r="B82" s="164">
        <v>45523.0</v>
      </c>
      <c r="C82" s="141" t="str">
        <f t="shared" si="1"/>
        <v>8-2024</v>
      </c>
      <c r="D82" s="28">
        <v>479.5</v>
      </c>
      <c r="E82" s="28">
        <v>480.2</v>
      </c>
      <c r="F82" s="54">
        <f t="shared" si="6"/>
        <v>0.7</v>
      </c>
      <c r="G82" s="54">
        <f t="shared" si="3"/>
        <v>-9.3</v>
      </c>
    </row>
    <row r="83">
      <c r="B83" s="164">
        <v>45524.0</v>
      </c>
      <c r="C83" s="141" t="str">
        <f t="shared" si="1"/>
        <v>8-2024</v>
      </c>
      <c r="D83" s="165">
        <f t="shared" ref="D83:D86" si="15">E82</f>
        <v>480.2</v>
      </c>
      <c r="E83" s="28">
        <v>487.5</v>
      </c>
      <c r="F83" s="54">
        <f t="shared" si="6"/>
        <v>7.3</v>
      </c>
      <c r="G83" s="54">
        <f t="shared" si="3"/>
        <v>-2.7</v>
      </c>
    </row>
    <row r="84">
      <c r="B84" s="164">
        <v>45525.0</v>
      </c>
      <c r="C84" s="141" t="str">
        <f t="shared" si="1"/>
        <v>8-2024</v>
      </c>
      <c r="D84" s="165">
        <f t="shared" si="15"/>
        <v>487.5</v>
      </c>
      <c r="E84" s="28">
        <v>497.0</v>
      </c>
      <c r="F84" s="54">
        <f t="shared" si="6"/>
        <v>9.5</v>
      </c>
      <c r="G84" s="54">
        <f t="shared" si="3"/>
        <v>-0.5</v>
      </c>
    </row>
    <row r="85">
      <c r="B85" s="164">
        <v>45526.0</v>
      </c>
      <c r="C85" s="141" t="str">
        <f t="shared" si="1"/>
        <v>8-2024</v>
      </c>
      <c r="D85" s="165">
        <f t="shared" si="15"/>
        <v>497</v>
      </c>
      <c r="E85" s="28">
        <v>508.0</v>
      </c>
      <c r="F85" s="54">
        <f t="shared" si="6"/>
        <v>11</v>
      </c>
      <c r="G85" s="54">
        <f t="shared" si="3"/>
        <v>1</v>
      </c>
    </row>
    <row r="86">
      <c r="B86" s="164">
        <v>45527.0</v>
      </c>
      <c r="C86" s="141" t="str">
        <f t="shared" si="1"/>
        <v>8-2024</v>
      </c>
      <c r="D86" s="165">
        <f t="shared" si="15"/>
        <v>508</v>
      </c>
      <c r="E86" s="28">
        <v>519.0</v>
      </c>
      <c r="F86" s="54">
        <f t="shared" si="6"/>
        <v>11</v>
      </c>
      <c r="G86" s="54">
        <f t="shared" si="3"/>
        <v>1</v>
      </c>
    </row>
    <row r="87">
      <c r="B87" s="145">
        <v>45528.0</v>
      </c>
      <c r="C87" s="141" t="str">
        <f t="shared" si="1"/>
        <v>8-2024</v>
      </c>
      <c r="F87" s="54">
        <f t="shared" si="6"/>
        <v>0</v>
      </c>
      <c r="G87" s="54">
        <f t="shared" si="3"/>
        <v>-10</v>
      </c>
    </row>
    <row r="88">
      <c r="B88" s="145">
        <v>45529.0</v>
      </c>
      <c r="C88" s="141" t="str">
        <f t="shared" si="1"/>
        <v>8-2024</v>
      </c>
      <c r="D88" s="165" t="str">
        <f>E87</f>
        <v/>
      </c>
      <c r="F88" s="54">
        <f t="shared" si="6"/>
        <v>0</v>
      </c>
      <c r="G88" s="54">
        <f t="shared" si="3"/>
        <v>-10</v>
      </c>
    </row>
    <row r="89">
      <c r="B89" s="164">
        <v>45530.0</v>
      </c>
      <c r="C89" s="141" t="str">
        <f t="shared" si="1"/>
        <v>8-2024</v>
      </c>
      <c r="D89" s="28">
        <v>519.0</v>
      </c>
      <c r="E89" s="28">
        <v>530.0</v>
      </c>
      <c r="F89" s="54">
        <f t="shared" si="6"/>
        <v>11</v>
      </c>
      <c r="G89" s="54">
        <f t="shared" si="3"/>
        <v>1</v>
      </c>
    </row>
    <row r="90">
      <c r="B90" s="164">
        <v>45531.0</v>
      </c>
      <c r="C90" s="141" t="str">
        <f t="shared" si="1"/>
        <v>8-2024</v>
      </c>
      <c r="D90" s="165">
        <f t="shared" ref="D90:D93" si="16">E89</f>
        <v>530</v>
      </c>
      <c r="E90" s="28">
        <v>541.0</v>
      </c>
      <c r="F90" s="54">
        <f t="shared" si="6"/>
        <v>11</v>
      </c>
      <c r="G90" s="54">
        <f t="shared" si="3"/>
        <v>1</v>
      </c>
    </row>
    <row r="91">
      <c r="B91" s="164">
        <v>45532.0</v>
      </c>
      <c r="C91" s="141" t="str">
        <f t="shared" si="1"/>
        <v>8-2024</v>
      </c>
      <c r="D91" s="165">
        <f t="shared" si="16"/>
        <v>541</v>
      </c>
      <c r="E91" s="28">
        <v>552.0</v>
      </c>
      <c r="F91" s="54">
        <f t="shared" si="6"/>
        <v>11</v>
      </c>
      <c r="G91" s="54">
        <f t="shared" si="3"/>
        <v>1</v>
      </c>
    </row>
    <row r="92">
      <c r="B92" s="164">
        <v>45533.0</v>
      </c>
      <c r="C92" s="141" t="str">
        <f t="shared" si="1"/>
        <v>8-2024</v>
      </c>
      <c r="D92" s="165">
        <f t="shared" si="16"/>
        <v>552</v>
      </c>
      <c r="E92" s="28">
        <v>563.0</v>
      </c>
      <c r="F92" s="54">
        <f t="shared" si="6"/>
        <v>11</v>
      </c>
      <c r="G92" s="54">
        <f t="shared" si="3"/>
        <v>1</v>
      </c>
    </row>
    <row r="93">
      <c r="B93" s="164">
        <v>45534.0</v>
      </c>
      <c r="C93" s="141" t="str">
        <f t="shared" si="1"/>
        <v>8-2024</v>
      </c>
      <c r="D93" s="165">
        <f t="shared" si="16"/>
        <v>563</v>
      </c>
      <c r="E93" s="28">
        <v>570.0</v>
      </c>
      <c r="F93" s="54">
        <f t="shared" si="6"/>
        <v>7</v>
      </c>
      <c r="G93" s="54">
        <f t="shared" si="3"/>
        <v>-3</v>
      </c>
    </row>
    <row r="94">
      <c r="B94" s="145">
        <v>45535.0</v>
      </c>
      <c r="C94" s="141" t="str">
        <f t="shared" si="1"/>
        <v>8-2024</v>
      </c>
      <c r="F94" s="54">
        <f t="shared" si="6"/>
        <v>0</v>
      </c>
      <c r="G94" s="54">
        <f t="shared" si="3"/>
        <v>-10</v>
      </c>
    </row>
    <row r="95">
      <c r="B95" s="145">
        <v>45536.0</v>
      </c>
      <c r="C95" s="141" t="str">
        <f t="shared" si="1"/>
        <v>9-2024</v>
      </c>
      <c r="D95" s="165" t="str">
        <f>E94</f>
        <v/>
      </c>
      <c r="F95" s="54">
        <f t="shared" si="6"/>
        <v>0</v>
      </c>
      <c r="G95" s="54">
        <f t="shared" si="3"/>
        <v>-10</v>
      </c>
    </row>
    <row r="96">
      <c r="B96" s="140">
        <v>45537.0</v>
      </c>
      <c r="C96" s="141" t="str">
        <f t="shared" si="1"/>
        <v>9-2024</v>
      </c>
      <c r="D96" s="28">
        <v>570.0</v>
      </c>
      <c r="E96" s="28">
        <v>579.0</v>
      </c>
      <c r="F96" s="54">
        <f t="shared" si="6"/>
        <v>9</v>
      </c>
      <c r="G96" s="54">
        <f t="shared" si="3"/>
        <v>-1</v>
      </c>
    </row>
    <row r="97">
      <c r="B97" s="140">
        <v>45538.0</v>
      </c>
      <c r="C97" s="141" t="str">
        <f t="shared" si="1"/>
        <v>9-2024</v>
      </c>
      <c r="D97" s="165">
        <f t="shared" ref="D97:D107" si="17">E96</f>
        <v>579</v>
      </c>
      <c r="E97" s="28">
        <v>583.8</v>
      </c>
      <c r="F97" s="54">
        <f t="shared" si="6"/>
        <v>4.8</v>
      </c>
      <c r="G97" s="54">
        <f t="shared" si="3"/>
        <v>-5.2</v>
      </c>
    </row>
    <row r="98">
      <c r="B98" s="140">
        <v>45539.0</v>
      </c>
      <c r="C98" s="141" t="str">
        <f t="shared" si="1"/>
        <v>9-2024</v>
      </c>
      <c r="D98" s="165">
        <f t="shared" si="17"/>
        <v>583.8</v>
      </c>
      <c r="E98" s="28">
        <v>589.0</v>
      </c>
      <c r="F98" s="54">
        <f t="shared" si="6"/>
        <v>5.2</v>
      </c>
      <c r="G98" s="54">
        <f t="shared" si="3"/>
        <v>-4.8</v>
      </c>
    </row>
    <row r="99">
      <c r="B99" s="140">
        <v>45540.0</v>
      </c>
      <c r="C99" s="141" t="str">
        <f t="shared" si="1"/>
        <v>9-2024</v>
      </c>
      <c r="D99" s="165">
        <f t="shared" si="17"/>
        <v>589</v>
      </c>
      <c r="E99" s="28">
        <v>595.0</v>
      </c>
      <c r="F99" s="54">
        <f t="shared" si="6"/>
        <v>6</v>
      </c>
      <c r="G99" s="54">
        <f t="shared" si="3"/>
        <v>-4</v>
      </c>
    </row>
    <row r="100">
      <c r="B100" s="140">
        <v>45541.0</v>
      </c>
      <c r="C100" s="141" t="str">
        <f t="shared" si="1"/>
        <v>9-2024</v>
      </c>
      <c r="D100" s="165">
        <f t="shared" si="17"/>
        <v>595</v>
      </c>
      <c r="E100" s="28">
        <v>600.2</v>
      </c>
      <c r="F100" s="54">
        <f t="shared" si="6"/>
        <v>5.2</v>
      </c>
      <c r="G100" s="54">
        <f t="shared" si="3"/>
        <v>-4.8</v>
      </c>
    </row>
    <row r="101">
      <c r="B101" s="145">
        <v>45542.0</v>
      </c>
      <c r="C101" s="141" t="str">
        <f t="shared" si="1"/>
        <v>9-2024</v>
      </c>
      <c r="D101" s="165">
        <f t="shared" si="17"/>
        <v>600.2</v>
      </c>
      <c r="E101" s="28">
        <v>608.7</v>
      </c>
      <c r="F101" s="54">
        <f t="shared" si="6"/>
        <v>8.5</v>
      </c>
      <c r="G101" s="54">
        <f t="shared" si="3"/>
        <v>-1.5</v>
      </c>
    </row>
    <row r="102">
      <c r="B102" s="145">
        <v>45543.0</v>
      </c>
      <c r="C102" s="141" t="str">
        <f t="shared" si="1"/>
        <v>9-2024</v>
      </c>
      <c r="D102" s="165">
        <f t="shared" si="17"/>
        <v>608.7</v>
      </c>
      <c r="E102" s="28">
        <v>619.1</v>
      </c>
      <c r="F102" s="54">
        <f t="shared" si="6"/>
        <v>10.4</v>
      </c>
      <c r="G102" s="54">
        <f t="shared" si="3"/>
        <v>0.4</v>
      </c>
      <c r="I102" s="28" t="s">
        <v>171</v>
      </c>
    </row>
    <row r="103">
      <c r="B103" s="140">
        <v>45544.0</v>
      </c>
      <c r="C103" s="141" t="str">
        <f t="shared" si="1"/>
        <v>9-2024</v>
      </c>
      <c r="D103" s="165">
        <f t="shared" si="17"/>
        <v>619.1</v>
      </c>
      <c r="E103" s="28">
        <v>626.5</v>
      </c>
      <c r="F103" s="54">
        <f t="shared" si="6"/>
        <v>7.4</v>
      </c>
      <c r="G103" s="54">
        <f t="shared" si="3"/>
        <v>-2.6</v>
      </c>
    </row>
    <row r="104">
      <c r="B104" s="140">
        <v>45545.0</v>
      </c>
      <c r="C104" s="141" t="str">
        <f t="shared" si="1"/>
        <v>9-2024</v>
      </c>
      <c r="D104" s="165">
        <f t="shared" si="17"/>
        <v>626.5</v>
      </c>
      <c r="E104" s="28">
        <v>635.0</v>
      </c>
      <c r="F104" s="54">
        <f t="shared" si="6"/>
        <v>8.5</v>
      </c>
      <c r="G104" s="54">
        <f t="shared" si="3"/>
        <v>-1.5</v>
      </c>
    </row>
    <row r="105">
      <c r="B105" s="140">
        <v>45546.0</v>
      </c>
      <c r="C105" s="141" t="str">
        <f t="shared" si="1"/>
        <v>9-2024</v>
      </c>
      <c r="D105" s="165">
        <f t="shared" si="17"/>
        <v>635</v>
      </c>
      <c r="E105" s="28">
        <v>644.0</v>
      </c>
      <c r="F105" s="54">
        <f t="shared" si="6"/>
        <v>9</v>
      </c>
      <c r="G105" s="54">
        <f t="shared" si="3"/>
        <v>-1</v>
      </c>
    </row>
    <row r="106">
      <c r="B106" s="140">
        <v>45547.0</v>
      </c>
      <c r="C106" s="141" t="str">
        <f t="shared" si="1"/>
        <v>9-2024</v>
      </c>
      <c r="D106" s="165">
        <f t="shared" si="17"/>
        <v>644</v>
      </c>
      <c r="E106" s="28">
        <v>656.0</v>
      </c>
      <c r="F106" s="54">
        <f t="shared" si="6"/>
        <v>12</v>
      </c>
      <c r="G106" s="54">
        <f t="shared" si="3"/>
        <v>2</v>
      </c>
    </row>
    <row r="107">
      <c r="B107" s="140">
        <v>45548.0</v>
      </c>
      <c r="C107" s="141" t="str">
        <f t="shared" si="1"/>
        <v>9-2024</v>
      </c>
      <c r="D107" s="165">
        <f t="shared" si="17"/>
        <v>656</v>
      </c>
      <c r="E107" s="28">
        <v>667.0</v>
      </c>
      <c r="F107" s="54">
        <f t="shared" si="6"/>
        <v>11</v>
      </c>
      <c r="G107" s="54">
        <f t="shared" si="3"/>
        <v>1</v>
      </c>
    </row>
    <row r="108">
      <c r="B108" s="145">
        <v>45549.0</v>
      </c>
      <c r="C108" s="141" t="str">
        <f t="shared" si="1"/>
        <v>9-2024</v>
      </c>
      <c r="F108" s="54">
        <f t="shared" si="6"/>
        <v>0</v>
      </c>
      <c r="G108" s="54">
        <f t="shared" si="3"/>
        <v>-10</v>
      </c>
    </row>
    <row r="109">
      <c r="B109" s="145">
        <v>45550.0</v>
      </c>
      <c r="C109" s="141" t="str">
        <f t="shared" si="1"/>
        <v>9-2024</v>
      </c>
      <c r="D109" s="165" t="str">
        <f>E108</f>
        <v/>
      </c>
      <c r="F109" s="54">
        <f t="shared" si="6"/>
        <v>0</v>
      </c>
      <c r="G109" s="54">
        <f t="shared" si="3"/>
        <v>-10</v>
      </c>
    </row>
    <row r="110">
      <c r="B110" s="140">
        <v>45551.0</v>
      </c>
      <c r="C110" s="141" t="str">
        <f t="shared" si="1"/>
        <v>9-2024</v>
      </c>
      <c r="D110" s="28">
        <v>667.0</v>
      </c>
      <c r="E110" s="28">
        <v>670.0</v>
      </c>
      <c r="F110" s="54">
        <f t="shared" si="6"/>
        <v>3</v>
      </c>
      <c r="G110" s="54">
        <f t="shared" si="3"/>
        <v>-7</v>
      </c>
    </row>
    <row r="111">
      <c r="B111" s="140">
        <v>45552.0</v>
      </c>
      <c r="C111" s="141" t="str">
        <f t="shared" si="1"/>
        <v>9-2024</v>
      </c>
      <c r="D111" s="165">
        <f t="shared" ref="D111:D114" si="18">E110</f>
        <v>670</v>
      </c>
      <c r="E111" s="28">
        <v>681.0</v>
      </c>
      <c r="F111" s="54">
        <f t="shared" si="6"/>
        <v>11</v>
      </c>
      <c r="G111" s="54">
        <f t="shared" si="3"/>
        <v>1</v>
      </c>
    </row>
    <row r="112">
      <c r="B112" s="140">
        <v>45553.0</v>
      </c>
      <c r="C112" s="141" t="str">
        <f t="shared" si="1"/>
        <v>9-2024</v>
      </c>
      <c r="D112" s="165">
        <f t="shared" si="18"/>
        <v>681</v>
      </c>
      <c r="E112" s="28">
        <v>692.0</v>
      </c>
      <c r="F112" s="54">
        <f t="shared" si="6"/>
        <v>11</v>
      </c>
      <c r="G112" s="54">
        <f t="shared" si="3"/>
        <v>1</v>
      </c>
    </row>
    <row r="113">
      <c r="B113" s="140">
        <v>45554.0</v>
      </c>
      <c r="C113" s="141" t="str">
        <f t="shared" si="1"/>
        <v>9-2024</v>
      </c>
      <c r="D113" s="165">
        <f t="shared" si="18"/>
        <v>692</v>
      </c>
      <c r="E113" s="28">
        <v>703.0</v>
      </c>
      <c r="F113" s="54">
        <f t="shared" si="6"/>
        <v>11</v>
      </c>
      <c r="G113" s="54">
        <f t="shared" si="3"/>
        <v>1</v>
      </c>
    </row>
    <row r="114">
      <c r="B114" s="140">
        <v>45555.0</v>
      </c>
      <c r="C114" s="141" t="str">
        <f t="shared" si="1"/>
        <v>9-2024</v>
      </c>
      <c r="D114" s="165">
        <f t="shared" si="18"/>
        <v>703</v>
      </c>
      <c r="E114" s="28">
        <v>714.0</v>
      </c>
      <c r="F114" s="54">
        <f t="shared" si="6"/>
        <v>11</v>
      </c>
      <c r="G114" s="54">
        <f t="shared" si="3"/>
        <v>1</v>
      </c>
    </row>
    <row r="115">
      <c r="B115" s="145">
        <v>45556.0</v>
      </c>
      <c r="C115" s="141" t="str">
        <f t="shared" si="1"/>
        <v>9-2024</v>
      </c>
      <c r="F115" s="54">
        <f t="shared" si="6"/>
        <v>0</v>
      </c>
      <c r="G115" s="54">
        <f t="shared" si="3"/>
        <v>-10</v>
      </c>
    </row>
    <row r="116">
      <c r="B116" s="145">
        <v>45557.0</v>
      </c>
      <c r="C116" s="141" t="str">
        <f t="shared" si="1"/>
        <v>9-2024</v>
      </c>
      <c r="D116" s="165" t="str">
        <f>E115</f>
        <v/>
      </c>
      <c r="F116" s="54">
        <f t="shared" si="6"/>
        <v>0</v>
      </c>
      <c r="G116" s="54">
        <f t="shared" si="3"/>
        <v>-10</v>
      </c>
    </row>
    <row r="117">
      <c r="B117" s="140">
        <v>45558.0</v>
      </c>
      <c r="C117" s="141" t="str">
        <f t="shared" si="1"/>
        <v>9-2024</v>
      </c>
      <c r="D117" s="28">
        <v>714.0</v>
      </c>
      <c r="E117" s="28">
        <v>725.0</v>
      </c>
      <c r="F117" s="54">
        <f t="shared" si="6"/>
        <v>11</v>
      </c>
      <c r="G117" s="54">
        <f t="shared" si="3"/>
        <v>1</v>
      </c>
    </row>
    <row r="118">
      <c r="B118" s="140">
        <v>45559.0</v>
      </c>
      <c r="C118" s="141" t="str">
        <f t="shared" si="1"/>
        <v>9-2024</v>
      </c>
      <c r="D118" s="165">
        <f t="shared" ref="D118:D121" si="19">E117</f>
        <v>725</v>
      </c>
      <c r="E118" s="28">
        <v>736.0</v>
      </c>
      <c r="F118" s="54">
        <f t="shared" si="6"/>
        <v>11</v>
      </c>
      <c r="G118" s="54">
        <f t="shared" si="3"/>
        <v>1</v>
      </c>
    </row>
    <row r="119">
      <c r="B119" s="140">
        <v>45560.0</v>
      </c>
      <c r="C119" s="141" t="str">
        <f t="shared" si="1"/>
        <v>9-2024</v>
      </c>
      <c r="D119" s="165">
        <f t="shared" si="19"/>
        <v>736</v>
      </c>
      <c r="E119" s="28">
        <v>747.0</v>
      </c>
      <c r="F119" s="54">
        <f t="shared" si="6"/>
        <v>11</v>
      </c>
      <c r="G119" s="54">
        <f t="shared" si="3"/>
        <v>1</v>
      </c>
    </row>
    <row r="120">
      <c r="B120" s="140">
        <v>45561.0</v>
      </c>
      <c r="C120" s="141" t="str">
        <f t="shared" si="1"/>
        <v>9-2024</v>
      </c>
      <c r="D120" s="165">
        <f t="shared" si="19"/>
        <v>747</v>
      </c>
      <c r="E120" s="28">
        <v>758.0</v>
      </c>
      <c r="F120" s="54">
        <f t="shared" si="6"/>
        <v>11</v>
      </c>
      <c r="G120" s="54">
        <f t="shared" si="3"/>
        <v>1</v>
      </c>
    </row>
    <row r="121">
      <c r="B121" s="140">
        <v>45562.0</v>
      </c>
      <c r="C121" s="141" t="str">
        <f t="shared" si="1"/>
        <v>9-2024</v>
      </c>
      <c r="D121" s="165">
        <f t="shared" si="19"/>
        <v>758</v>
      </c>
      <c r="E121" s="28">
        <v>769.4</v>
      </c>
      <c r="F121" s="54">
        <f t="shared" si="6"/>
        <v>11.4</v>
      </c>
      <c r="G121" s="54">
        <f t="shared" si="3"/>
        <v>1.4</v>
      </c>
    </row>
    <row r="122">
      <c r="B122" s="145">
        <v>45563.0</v>
      </c>
      <c r="C122" s="141" t="str">
        <f t="shared" si="1"/>
        <v>9-2024</v>
      </c>
      <c r="F122" s="54">
        <f t="shared" si="6"/>
        <v>0</v>
      </c>
      <c r="G122" s="54">
        <f t="shared" si="3"/>
        <v>-10</v>
      </c>
    </row>
    <row r="123">
      <c r="B123" s="145">
        <v>45564.0</v>
      </c>
      <c r="C123" s="141" t="str">
        <f t="shared" si="1"/>
        <v>9-2024</v>
      </c>
      <c r="D123" s="165" t="str">
        <f>E122</f>
        <v/>
      </c>
      <c r="F123" s="54">
        <f t="shared" si="6"/>
        <v>0</v>
      </c>
      <c r="G123" s="54">
        <f t="shared" si="3"/>
        <v>-10</v>
      </c>
    </row>
    <row r="124">
      <c r="B124" s="140">
        <v>45565.0</v>
      </c>
      <c r="C124" s="141" t="str">
        <f t="shared" si="1"/>
        <v>9-2024</v>
      </c>
      <c r="D124" s="28">
        <v>769.4</v>
      </c>
      <c r="E124" s="28">
        <v>780.4</v>
      </c>
      <c r="F124" s="54">
        <f t="shared" si="6"/>
        <v>11</v>
      </c>
      <c r="G124" s="54">
        <f t="shared" si="3"/>
        <v>1</v>
      </c>
    </row>
    <row r="125">
      <c r="B125" s="140">
        <v>45566.0</v>
      </c>
      <c r="C125" s="141" t="str">
        <f t="shared" si="1"/>
        <v>10-2024</v>
      </c>
      <c r="D125" s="28">
        <v>780.4</v>
      </c>
      <c r="E125" s="28">
        <v>790.4</v>
      </c>
      <c r="F125" s="54">
        <f t="shared" si="6"/>
        <v>10</v>
      </c>
      <c r="G125" s="54">
        <f t="shared" si="3"/>
        <v>0</v>
      </c>
    </row>
    <row r="126">
      <c r="B126" s="140">
        <v>45567.0</v>
      </c>
      <c r="C126" s="141" t="str">
        <f t="shared" si="1"/>
        <v>10-2024</v>
      </c>
      <c r="D126" s="165">
        <f t="shared" ref="D126:D128" si="20">E125</f>
        <v>790.4</v>
      </c>
      <c r="E126" s="28">
        <v>799.4</v>
      </c>
      <c r="F126" s="54">
        <f t="shared" si="6"/>
        <v>9</v>
      </c>
      <c r="G126" s="54">
        <f t="shared" si="3"/>
        <v>-1</v>
      </c>
    </row>
    <row r="127">
      <c r="B127" s="140">
        <v>45568.0</v>
      </c>
      <c r="C127" s="141" t="str">
        <f t="shared" si="1"/>
        <v>10-2024</v>
      </c>
      <c r="D127" s="165">
        <f t="shared" si="20"/>
        <v>799.4</v>
      </c>
      <c r="E127" s="28">
        <v>805.0</v>
      </c>
      <c r="F127" s="54">
        <f t="shared" si="6"/>
        <v>5.6</v>
      </c>
      <c r="G127" s="54">
        <f t="shared" si="3"/>
        <v>-4.4</v>
      </c>
      <c r="H127" s="28">
        <v>457.0</v>
      </c>
    </row>
    <row r="128">
      <c r="B128" s="140">
        <v>45569.0</v>
      </c>
      <c r="C128" s="141" t="str">
        <f t="shared" si="1"/>
        <v>10-2024</v>
      </c>
      <c r="D128" s="165">
        <f t="shared" si="20"/>
        <v>805</v>
      </c>
      <c r="E128" s="28">
        <v>812.0</v>
      </c>
      <c r="F128" s="54">
        <f t="shared" si="6"/>
        <v>7</v>
      </c>
      <c r="G128" s="54">
        <f t="shared" si="3"/>
        <v>-3</v>
      </c>
    </row>
    <row r="129">
      <c r="B129" s="145">
        <v>45570.0</v>
      </c>
      <c r="C129" s="141" t="str">
        <f t="shared" si="1"/>
        <v>10-2024</v>
      </c>
      <c r="F129" s="54">
        <f t="shared" si="6"/>
        <v>0</v>
      </c>
      <c r="G129" s="54">
        <f t="shared" si="3"/>
        <v>-10</v>
      </c>
    </row>
    <row r="130">
      <c r="B130" s="145">
        <v>45571.0</v>
      </c>
      <c r="C130" s="141" t="str">
        <f t="shared" si="1"/>
        <v>10-2024</v>
      </c>
      <c r="D130" s="165" t="str">
        <f>E129</f>
        <v/>
      </c>
      <c r="F130" s="54">
        <f t="shared" si="6"/>
        <v>0</v>
      </c>
      <c r="G130" s="54">
        <f t="shared" si="3"/>
        <v>-10</v>
      </c>
    </row>
    <row r="131">
      <c r="B131" s="140">
        <v>45572.0</v>
      </c>
      <c r="C131" s="141" t="str">
        <f t="shared" si="1"/>
        <v>10-2024</v>
      </c>
      <c r="D131" s="28">
        <v>812.0</v>
      </c>
      <c r="E131" s="28">
        <v>820.0</v>
      </c>
      <c r="F131" s="54">
        <f t="shared" si="6"/>
        <v>8</v>
      </c>
      <c r="G131" s="54">
        <f t="shared" si="3"/>
        <v>-2</v>
      </c>
    </row>
    <row r="132">
      <c r="B132" s="140">
        <v>45573.0</v>
      </c>
      <c r="C132" s="141" t="str">
        <f t="shared" si="1"/>
        <v>10-2024</v>
      </c>
      <c r="D132" s="165">
        <f t="shared" ref="D132:D133" si="21">E131</f>
        <v>820</v>
      </c>
      <c r="E132" s="28">
        <v>828.0</v>
      </c>
      <c r="F132" s="54">
        <f t="shared" si="6"/>
        <v>8</v>
      </c>
      <c r="G132" s="54">
        <f t="shared" si="3"/>
        <v>-2</v>
      </c>
    </row>
    <row r="133">
      <c r="B133" s="140">
        <v>45574.0</v>
      </c>
      <c r="C133" s="141" t="str">
        <f t="shared" si="1"/>
        <v>10-2024</v>
      </c>
      <c r="D133" s="165">
        <f t="shared" si="21"/>
        <v>828</v>
      </c>
      <c r="E133" s="28">
        <v>835.0</v>
      </c>
      <c r="F133" s="54">
        <f t="shared" si="6"/>
        <v>7</v>
      </c>
      <c r="G133" s="54">
        <f t="shared" si="3"/>
        <v>-3</v>
      </c>
      <c r="H133" s="28">
        <v>400.0</v>
      </c>
    </row>
    <row r="134">
      <c r="B134" s="140">
        <v>45575.0</v>
      </c>
      <c r="C134" s="141" t="str">
        <f t="shared" si="1"/>
        <v>10-2024</v>
      </c>
      <c r="F134" s="54">
        <f t="shared" si="6"/>
        <v>0</v>
      </c>
      <c r="G134" s="54">
        <f t="shared" si="3"/>
        <v>-10</v>
      </c>
    </row>
    <row r="135">
      <c r="B135" s="140">
        <v>45576.0</v>
      </c>
      <c r="C135" s="141" t="str">
        <f t="shared" si="1"/>
        <v>10-2024</v>
      </c>
      <c r="D135" s="165" t="str">
        <f t="shared" ref="D135:D137" si="22">E134</f>
        <v/>
      </c>
      <c r="F135" s="54">
        <f t="shared" si="6"/>
        <v>0</v>
      </c>
      <c r="G135" s="54">
        <f t="shared" si="3"/>
        <v>-10</v>
      </c>
    </row>
    <row r="136">
      <c r="B136" s="145">
        <v>45577.0</v>
      </c>
      <c r="C136" s="141" t="str">
        <f t="shared" si="1"/>
        <v>10-2024</v>
      </c>
      <c r="D136" s="165" t="str">
        <f t="shared" si="22"/>
        <v/>
      </c>
      <c r="F136" s="54">
        <f t="shared" si="6"/>
        <v>0</v>
      </c>
      <c r="G136" s="54">
        <f t="shared" si="3"/>
        <v>-10</v>
      </c>
    </row>
    <row r="137">
      <c r="B137" s="145">
        <v>45578.0</v>
      </c>
      <c r="C137" s="141" t="str">
        <f t="shared" si="1"/>
        <v>10-2024</v>
      </c>
      <c r="D137" s="165" t="str">
        <f t="shared" si="22"/>
        <v/>
      </c>
      <c r="F137" s="54">
        <f t="shared" si="6"/>
        <v>0</v>
      </c>
      <c r="G137" s="54">
        <f t="shared" si="3"/>
        <v>-10</v>
      </c>
    </row>
    <row r="138">
      <c r="B138" s="140">
        <v>45579.0</v>
      </c>
      <c r="C138" s="141" t="str">
        <f t="shared" si="1"/>
        <v>10-2024</v>
      </c>
      <c r="D138" s="28">
        <v>835.0</v>
      </c>
      <c r="E138" s="28">
        <v>845.0</v>
      </c>
      <c r="F138" s="54">
        <f t="shared" si="6"/>
        <v>10</v>
      </c>
      <c r="G138" s="54">
        <f t="shared" si="3"/>
        <v>0</v>
      </c>
    </row>
    <row r="139">
      <c r="B139" s="140">
        <v>45580.0</v>
      </c>
      <c r="C139" s="141" t="str">
        <f t="shared" si="1"/>
        <v>10-2024</v>
      </c>
      <c r="D139" s="165">
        <f t="shared" ref="D139:D142" si="23">E138</f>
        <v>845</v>
      </c>
      <c r="E139" s="28">
        <v>854.0</v>
      </c>
      <c r="F139" s="54">
        <f t="shared" si="6"/>
        <v>9</v>
      </c>
      <c r="G139" s="54">
        <f t="shared" si="3"/>
        <v>-1</v>
      </c>
    </row>
    <row r="140">
      <c r="B140" s="140">
        <v>45581.0</v>
      </c>
      <c r="C140" s="141" t="str">
        <f t="shared" si="1"/>
        <v>10-2024</v>
      </c>
      <c r="D140" s="165">
        <f t="shared" si="23"/>
        <v>854</v>
      </c>
      <c r="E140" s="28">
        <v>864.0</v>
      </c>
      <c r="F140" s="54">
        <f t="shared" si="6"/>
        <v>10</v>
      </c>
      <c r="G140" s="54">
        <f t="shared" si="3"/>
        <v>0</v>
      </c>
    </row>
    <row r="141">
      <c r="B141" s="140">
        <v>45582.0</v>
      </c>
      <c r="C141" s="141" t="str">
        <f t="shared" si="1"/>
        <v>10-2024</v>
      </c>
      <c r="D141" s="165">
        <f t="shared" si="23"/>
        <v>864</v>
      </c>
      <c r="E141" s="28">
        <v>874.0</v>
      </c>
      <c r="F141" s="54">
        <f t="shared" si="6"/>
        <v>10</v>
      </c>
      <c r="G141" s="54">
        <f t="shared" si="3"/>
        <v>0</v>
      </c>
      <c r="H141" s="28">
        <v>430.0</v>
      </c>
    </row>
    <row r="142">
      <c r="B142" s="140">
        <v>45583.0</v>
      </c>
      <c r="C142" s="141" t="str">
        <f t="shared" si="1"/>
        <v>10-2024</v>
      </c>
      <c r="D142" s="165">
        <f t="shared" si="23"/>
        <v>874</v>
      </c>
      <c r="E142" s="28">
        <v>882.0</v>
      </c>
      <c r="F142" s="54">
        <f t="shared" si="6"/>
        <v>8</v>
      </c>
      <c r="G142" s="54">
        <f t="shared" si="3"/>
        <v>-2</v>
      </c>
    </row>
    <row r="143">
      <c r="B143" s="145">
        <v>45584.0</v>
      </c>
      <c r="C143" s="141" t="str">
        <f t="shared" si="1"/>
        <v>10-2024</v>
      </c>
      <c r="F143" s="54">
        <f t="shared" si="6"/>
        <v>0</v>
      </c>
      <c r="G143" s="54">
        <f t="shared" si="3"/>
        <v>-10</v>
      </c>
    </row>
    <row r="144">
      <c r="B144" s="145">
        <v>45585.0</v>
      </c>
      <c r="C144" s="141" t="str">
        <f t="shared" si="1"/>
        <v>10-2024</v>
      </c>
      <c r="D144" s="165" t="str">
        <f>E143</f>
        <v/>
      </c>
      <c r="F144" s="54">
        <f t="shared" si="6"/>
        <v>0</v>
      </c>
      <c r="G144" s="54">
        <f t="shared" si="3"/>
        <v>-10</v>
      </c>
    </row>
    <row r="145">
      <c r="B145" s="140">
        <v>45586.0</v>
      </c>
      <c r="C145" s="141" t="str">
        <f t="shared" si="1"/>
        <v>10-2024</v>
      </c>
      <c r="D145" s="28">
        <v>882.0</v>
      </c>
      <c r="E145" s="28">
        <v>890.0</v>
      </c>
      <c r="F145" s="54">
        <f t="shared" si="6"/>
        <v>8</v>
      </c>
      <c r="G145" s="54">
        <f t="shared" si="3"/>
        <v>-2</v>
      </c>
      <c r="H145" s="28">
        <v>230.0</v>
      </c>
    </row>
    <row r="146">
      <c r="B146" s="140">
        <v>45587.0</v>
      </c>
      <c r="C146" s="141" t="str">
        <f t="shared" si="1"/>
        <v>10-2024</v>
      </c>
      <c r="D146" s="165">
        <f t="shared" ref="D146:D149" si="24">E145</f>
        <v>890</v>
      </c>
      <c r="E146" s="28">
        <v>898.0</v>
      </c>
      <c r="F146" s="54">
        <f t="shared" si="6"/>
        <v>8</v>
      </c>
      <c r="G146" s="54">
        <f t="shared" si="3"/>
        <v>-2</v>
      </c>
    </row>
    <row r="147">
      <c r="B147" s="140">
        <v>45588.0</v>
      </c>
      <c r="C147" s="141" t="str">
        <f t="shared" si="1"/>
        <v>10-2024</v>
      </c>
      <c r="D147" s="165">
        <f t="shared" si="24"/>
        <v>898</v>
      </c>
      <c r="E147" s="28">
        <v>914.0</v>
      </c>
      <c r="F147" s="54">
        <f t="shared" si="6"/>
        <v>16</v>
      </c>
      <c r="G147" s="54">
        <f t="shared" si="3"/>
        <v>6</v>
      </c>
      <c r="H147" s="28">
        <v>230.0</v>
      </c>
    </row>
    <row r="148">
      <c r="B148" s="140">
        <v>45589.0</v>
      </c>
      <c r="C148" s="141" t="str">
        <f t="shared" si="1"/>
        <v>10-2024</v>
      </c>
      <c r="D148" s="165">
        <f t="shared" si="24"/>
        <v>914</v>
      </c>
      <c r="E148" s="28">
        <v>919.2</v>
      </c>
      <c r="F148" s="54">
        <f t="shared" si="6"/>
        <v>5.2</v>
      </c>
      <c r="G148" s="54">
        <f t="shared" si="3"/>
        <v>-4.8</v>
      </c>
    </row>
    <row r="149">
      <c r="B149" s="140">
        <v>45590.0</v>
      </c>
      <c r="C149" s="141" t="str">
        <f t="shared" si="1"/>
        <v>10-2024</v>
      </c>
      <c r="D149" s="165">
        <f t="shared" si="24"/>
        <v>919.2</v>
      </c>
      <c r="E149" s="28">
        <v>922.7</v>
      </c>
      <c r="F149" s="54">
        <f t="shared" si="6"/>
        <v>3.5</v>
      </c>
      <c r="G149" s="54">
        <f t="shared" si="3"/>
        <v>-6.5</v>
      </c>
      <c r="H149" s="28">
        <v>230.0</v>
      </c>
    </row>
    <row r="150">
      <c r="B150" s="145">
        <v>45591.0</v>
      </c>
      <c r="C150" s="141" t="str">
        <f t="shared" si="1"/>
        <v>10-2024</v>
      </c>
      <c r="F150" s="54">
        <f t="shared" si="6"/>
        <v>0</v>
      </c>
      <c r="G150" s="54">
        <f t="shared" si="3"/>
        <v>-10</v>
      </c>
      <c r="H150" s="28">
        <v>170.0</v>
      </c>
    </row>
    <row r="151">
      <c r="B151" s="145">
        <v>45592.0</v>
      </c>
      <c r="C151" s="141" t="str">
        <f t="shared" si="1"/>
        <v>10-2024</v>
      </c>
      <c r="D151" s="165" t="str">
        <f>E150</f>
        <v/>
      </c>
      <c r="F151" s="54">
        <f t="shared" si="6"/>
        <v>0</v>
      </c>
      <c r="G151" s="54">
        <f t="shared" si="3"/>
        <v>-10</v>
      </c>
    </row>
    <row r="152">
      <c r="B152" s="164">
        <v>45593.0</v>
      </c>
      <c r="C152" s="141" t="str">
        <f t="shared" si="1"/>
        <v>10-2024</v>
      </c>
      <c r="D152" s="28">
        <v>940.1</v>
      </c>
      <c r="E152" s="28">
        <v>950.0</v>
      </c>
      <c r="F152" s="54">
        <f t="shared" si="6"/>
        <v>9.9</v>
      </c>
      <c r="G152" s="54">
        <f t="shared" si="3"/>
        <v>-0.1</v>
      </c>
      <c r="H152" s="28">
        <v>230.0</v>
      </c>
    </row>
    <row r="153">
      <c r="B153" s="164">
        <v>45594.0</v>
      </c>
      <c r="C153" s="141" t="str">
        <f t="shared" si="1"/>
        <v>10-2024</v>
      </c>
      <c r="D153" s="165">
        <f t="shared" ref="D153:D155" si="25">E152</f>
        <v>950</v>
      </c>
      <c r="E153" s="28">
        <v>959.5</v>
      </c>
      <c r="F153" s="54">
        <f t="shared" si="6"/>
        <v>9.5</v>
      </c>
      <c r="G153" s="54">
        <f t="shared" si="3"/>
        <v>-0.5</v>
      </c>
    </row>
    <row r="154">
      <c r="B154" s="164">
        <v>45595.0</v>
      </c>
      <c r="C154" s="141" t="str">
        <f t="shared" si="1"/>
        <v>10-2024</v>
      </c>
      <c r="D154" s="165">
        <f t="shared" si="25"/>
        <v>959.5</v>
      </c>
      <c r="E154" s="28">
        <v>969.0</v>
      </c>
      <c r="F154" s="54">
        <f t="shared" si="6"/>
        <v>9.5</v>
      </c>
      <c r="G154" s="54">
        <f t="shared" si="3"/>
        <v>-0.5</v>
      </c>
      <c r="H154" s="28">
        <v>400.0</v>
      </c>
    </row>
    <row r="155">
      <c r="B155" s="164">
        <v>45596.0</v>
      </c>
      <c r="C155" s="141" t="str">
        <f t="shared" si="1"/>
        <v>10-2024</v>
      </c>
      <c r="D155" s="165">
        <f t="shared" si="25"/>
        <v>969</v>
      </c>
      <c r="E155" s="28">
        <v>980.1</v>
      </c>
      <c r="F155" s="54">
        <f t="shared" si="6"/>
        <v>11.1</v>
      </c>
      <c r="G155" s="54">
        <f t="shared" si="3"/>
        <v>1.1</v>
      </c>
    </row>
    <row r="156">
      <c r="B156" s="140">
        <v>45597.0</v>
      </c>
      <c r="C156" s="141" t="str">
        <f t="shared" si="1"/>
        <v>11-2024</v>
      </c>
      <c r="D156" s="28">
        <v>980.1</v>
      </c>
      <c r="E156" s="28">
        <v>989.5</v>
      </c>
      <c r="F156" s="54">
        <f t="shared" si="6"/>
        <v>9.4</v>
      </c>
      <c r="G156" s="54">
        <f t="shared" si="3"/>
        <v>-0.6</v>
      </c>
      <c r="H156" s="28">
        <v>400.0</v>
      </c>
    </row>
    <row r="157">
      <c r="B157" s="145">
        <v>45598.0</v>
      </c>
      <c r="C157" s="148" t="str">
        <f t="shared" si="1"/>
        <v>11-2024</v>
      </c>
      <c r="D157" s="165">
        <f>E156</f>
        <v>989.5</v>
      </c>
      <c r="E157" s="28">
        <v>999.5</v>
      </c>
      <c r="F157" s="54">
        <f t="shared" si="6"/>
        <v>10</v>
      </c>
      <c r="G157" s="54">
        <f t="shared" si="3"/>
        <v>0</v>
      </c>
    </row>
    <row r="158">
      <c r="B158" s="145">
        <v>45599.0</v>
      </c>
      <c r="C158" s="141" t="str">
        <f t="shared" si="1"/>
        <v>11-2024</v>
      </c>
      <c r="F158" s="54">
        <f t="shared" si="6"/>
        <v>0</v>
      </c>
      <c r="G158" s="54">
        <f t="shared" si="3"/>
        <v>-10</v>
      </c>
    </row>
    <row r="159">
      <c r="B159" s="140">
        <v>45600.0</v>
      </c>
      <c r="C159" s="141" t="str">
        <f t="shared" si="1"/>
        <v>11-2024</v>
      </c>
      <c r="D159" s="28">
        <v>999.5</v>
      </c>
      <c r="E159" s="28">
        <v>1007.5</v>
      </c>
      <c r="F159" s="54">
        <f t="shared" si="6"/>
        <v>8</v>
      </c>
      <c r="G159" s="54">
        <f t="shared" si="3"/>
        <v>-2</v>
      </c>
    </row>
    <row r="160">
      <c r="B160" s="140">
        <v>45601.0</v>
      </c>
      <c r="C160" s="141" t="str">
        <f t="shared" si="1"/>
        <v>11-2024</v>
      </c>
      <c r="D160" s="165">
        <f t="shared" ref="D160:D163" si="26">E159</f>
        <v>1007.5</v>
      </c>
      <c r="E160" s="28">
        <v>1017.5</v>
      </c>
      <c r="F160" s="54">
        <f t="shared" si="6"/>
        <v>10</v>
      </c>
      <c r="G160" s="54">
        <f t="shared" si="3"/>
        <v>0</v>
      </c>
    </row>
    <row r="161">
      <c r="B161" s="140">
        <v>45602.0</v>
      </c>
      <c r="C161" s="141" t="str">
        <f t="shared" si="1"/>
        <v>11-2024</v>
      </c>
      <c r="D161" s="165">
        <f t="shared" si="26"/>
        <v>1017.5</v>
      </c>
      <c r="E161" s="28">
        <v>1024.0</v>
      </c>
      <c r="F161" s="54">
        <f t="shared" si="6"/>
        <v>6.5</v>
      </c>
      <c r="G161" s="54">
        <f t="shared" si="3"/>
        <v>-3.5</v>
      </c>
    </row>
    <row r="162">
      <c r="B162" s="140">
        <v>45603.0</v>
      </c>
      <c r="C162" s="141" t="str">
        <f t="shared" si="1"/>
        <v>11-2024</v>
      </c>
      <c r="D162" s="165">
        <f t="shared" si="26"/>
        <v>1024</v>
      </c>
      <c r="E162" s="28">
        <v>1030.0</v>
      </c>
      <c r="F162" s="54">
        <f t="shared" si="6"/>
        <v>6</v>
      </c>
      <c r="G162" s="54">
        <f t="shared" si="3"/>
        <v>-4</v>
      </c>
    </row>
    <row r="163">
      <c r="B163" s="140">
        <v>45604.0</v>
      </c>
      <c r="C163" s="141" t="str">
        <f t="shared" si="1"/>
        <v>11-2024</v>
      </c>
      <c r="D163" s="165">
        <f t="shared" si="26"/>
        <v>1030</v>
      </c>
      <c r="E163" s="28">
        <v>1038.0</v>
      </c>
      <c r="F163" s="54">
        <f t="shared" si="6"/>
        <v>8</v>
      </c>
      <c r="G163" s="54">
        <f t="shared" si="3"/>
        <v>-2</v>
      </c>
      <c r="H163" s="28">
        <v>175.0</v>
      </c>
    </row>
    <row r="164">
      <c r="B164" s="145">
        <v>45605.0</v>
      </c>
      <c r="C164" s="141" t="str">
        <f t="shared" si="1"/>
        <v>11-2024</v>
      </c>
      <c r="F164" s="54">
        <f t="shared" si="6"/>
        <v>0</v>
      </c>
      <c r="G164" s="54">
        <f t="shared" si="3"/>
        <v>-10</v>
      </c>
    </row>
    <row r="165">
      <c r="B165" s="145">
        <v>45606.0</v>
      </c>
      <c r="C165" s="141" t="str">
        <f t="shared" si="1"/>
        <v>11-2024</v>
      </c>
      <c r="D165" s="165" t="str">
        <f>E164</f>
        <v/>
      </c>
      <c r="F165" s="54">
        <f t="shared" si="6"/>
        <v>0</v>
      </c>
      <c r="G165" s="54">
        <f t="shared" si="3"/>
        <v>-10</v>
      </c>
    </row>
    <row r="166">
      <c r="B166" s="140">
        <v>45607.0</v>
      </c>
      <c r="C166" s="141" t="str">
        <f t="shared" si="1"/>
        <v>11-2024</v>
      </c>
      <c r="D166" s="28">
        <v>1038.0</v>
      </c>
      <c r="E166" s="28">
        <v>1047.0</v>
      </c>
      <c r="F166" s="54">
        <f t="shared" si="6"/>
        <v>9</v>
      </c>
      <c r="G166" s="54">
        <f t="shared" si="3"/>
        <v>-1</v>
      </c>
      <c r="H166" s="28">
        <v>230.0</v>
      </c>
    </row>
    <row r="167">
      <c r="B167" s="140">
        <v>45608.0</v>
      </c>
      <c r="C167" s="141" t="str">
        <f t="shared" si="1"/>
        <v>11-2024</v>
      </c>
      <c r="D167" s="165">
        <f t="shared" ref="D167:D170" si="27">E166</f>
        <v>1047</v>
      </c>
      <c r="E167" s="28">
        <v>1050.0</v>
      </c>
      <c r="F167" s="54">
        <f t="shared" si="6"/>
        <v>3</v>
      </c>
      <c r="G167" s="54">
        <f t="shared" si="3"/>
        <v>-7</v>
      </c>
      <c r="H167" s="28">
        <v>165.0</v>
      </c>
    </row>
    <row r="168">
      <c r="B168" s="140">
        <v>45609.0</v>
      </c>
      <c r="C168" s="141" t="str">
        <f t="shared" si="1"/>
        <v>11-2024</v>
      </c>
      <c r="D168" s="165">
        <f t="shared" si="27"/>
        <v>1050</v>
      </c>
      <c r="E168" s="28">
        <v>1055.0</v>
      </c>
      <c r="F168" s="54">
        <f t="shared" si="6"/>
        <v>5</v>
      </c>
      <c r="G168" s="54">
        <f t="shared" si="3"/>
        <v>-5</v>
      </c>
    </row>
    <row r="169">
      <c r="B169" s="140">
        <v>45610.0</v>
      </c>
      <c r="C169" s="141" t="str">
        <f t="shared" si="1"/>
        <v>11-2024</v>
      </c>
      <c r="D169" s="165">
        <f t="shared" si="27"/>
        <v>1055</v>
      </c>
      <c r="E169" s="28">
        <v>1058.0</v>
      </c>
      <c r="F169" s="54">
        <f t="shared" si="6"/>
        <v>3</v>
      </c>
      <c r="G169" s="54">
        <f t="shared" si="3"/>
        <v>-7</v>
      </c>
      <c r="H169" s="28">
        <v>220.0</v>
      </c>
    </row>
    <row r="170">
      <c r="B170" s="140">
        <v>45611.0</v>
      </c>
      <c r="C170" s="148" t="str">
        <f t="shared" si="1"/>
        <v>11-2024</v>
      </c>
      <c r="D170" s="165">
        <f t="shared" si="27"/>
        <v>1058</v>
      </c>
      <c r="E170" s="28">
        <v>1062.2</v>
      </c>
      <c r="F170" s="54">
        <f t="shared" si="6"/>
        <v>4.2</v>
      </c>
      <c r="G170" s="54">
        <f t="shared" si="3"/>
        <v>-5.8</v>
      </c>
    </row>
    <row r="171">
      <c r="B171" s="145">
        <v>45612.0</v>
      </c>
      <c r="C171" s="141" t="str">
        <f t="shared" si="1"/>
        <v>11-2024</v>
      </c>
      <c r="F171" s="54">
        <f t="shared" si="6"/>
        <v>0</v>
      </c>
      <c r="G171" s="54">
        <f t="shared" si="3"/>
        <v>-10</v>
      </c>
    </row>
    <row r="172">
      <c r="B172" s="145">
        <v>45613.0</v>
      </c>
      <c r="C172" s="141" t="str">
        <f t="shared" si="1"/>
        <v>11-2024</v>
      </c>
      <c r="D172" s="165" t="str">
        <f>E171</f>
        <v/>
      </c>
      <c r="F172" s="54">
        <f t="shared" si="6"/>
        <v>0</v>
      </c>
      <c r="G172" s="54">
        <f t="shared" si="3"/>
        <v>-10</v>
      </c>
    </row>
    <row r="173">
      <c r="B173" s="140">
        <v>45614.0</v>
      </c>
      <c r="C173" s="141" t="str">
        <f t="shared" si="1"/>
        <v>11-2024</v>
      </c>
      <c r="D173" s="28">
        <v>1062.2</v>
      </c>
      <c r="E173" s="28">
        <v>1072.4</v>
      </c>
      <c r="F173" s="54">
        <f t="shared" si="6"/>
        <v>10.2</v>
      </c>
      <c r="G173" s="54">
        <f t="shared" si="3"/>
        <v>0.2</v>
      </c>
    </row>
    <row r="174">
      <c r="B174" s="140">
        <v>45615.0</v>
      </c>
      <c r="C174" s="141" t="str">
        <f t="shared" si="1"/>
        <v>11-2024</v>
      </c>
      <c r="D174" s="28">
        <v>1072.4</v>
      </c>
      <c r="E174" s="28">
        <v>1083.5</v>
      </c>
      <c r="F174" s="54">
        <f t="shared" si="6"/>
        <v>11.1</v>
      </c>
      <c r="G174" s="54">
        <f t="shared" si="3"/>
        <v>1.1</v>
      </c>
      <c r="H174" s="28">
        <v>400.0</v>
      </c>
    </row>
    <row r="175">
      <c r="B175" s="140">
        <v>45616.0</v>
      </c>
      <c r="C175" s="148" t="str">
        <f t="shared" si="1"/>
        <v>11-2024</v>
      </c>
      <c r="D175" s="28">
        <v>1083.5</v>
      </c>
      <c r="E175" s="28">
        <v>1094.2</v>
      </c>
      <c r="F175" s="54">
        <f t="shared" si="6"/>
        <v>10.7</v>
      </c>
      <c r="G175" s="54">
        <f t="shared" si="3"/>
        <v>0.7</v>
      </c>
    </row>
    <row r="176">
      <c r="B176" s="140">
        <v>45617.0</v>
      </c>
      <c r="C176" s="141" t="str">
        <f t="shared" si="1"/>
        <v>11-2024</v>
      </c>
      <c r="D176" s="28">
        <v>1094.5</v>
      </c>
      <c r="E176" s="28">
        <v>1105.2</v>
      </c>
      <c r="F176" s="54">
        <f t="shared" si="6"/>
        <v>10.7</v>
      </c>
      <c r="G176" s="54">
        <f t="shared" si="3"/>
        <v>0.7</v>
      </c>
      <c r="H176" s="28">
        <v>420.0</v>
      </c>
    </row>
    <row r="177">
      <c r="B177" s="140">
        <v>45618.0</v>
      </c>
      <c r="C177" s="141" t="str">
        <f t="shared" si="1"/>
        <v>11-2024</v>
      </c>
      <c r="D177" s="138"/>
      <c r="E177" s="138"/>
      <c r="F177" s="54">
        <f t="shared" si="6"/>
        <v>0</v>
      </c>
      <c r="G177" s="54">
        <f t="shared" si="3"/>
        <v>-10</v>
      </c>
      <c r="I177" s="28" t="s">
        <v>72</v>
      </c>
    </row>
    <row r="178">
      <c r="B178" s="145">
        <v>45619.0</v>
      </c>
      <c r="C178" s="141" t="str">
        <f t="shared" si="1"/>
        <v>11-2024</v>
      </c>
      <c r="D178" s="54" t="str">
        <f>E177</f>
        <v/>
      </c>
      <c r="E178" s="138"/>
      <c r="F178" s="54">
        <f t="shared" si="6"/>
        <v>0</v>
      </c>
      <c r="G178" s="54">
        <f t="shared" si="3"/>
        <v>-10</v>
      </c>
      <c r="H178" s="28">
        <v>230.0</v>
      </c>
      <c r="I178" s="28" t="s">
        <v>72</v>
      </c>
    </row>
    <row r="179">
      <c r="B179" s="145">
        <v>45620.0</v>
      </c>
      <c r="C179" s="141" t="str">
        <f t="shared" si="1"/>
        <v>11-2024</v>
      </c>
      <c r="D179" s="54"/>
      <c r="E179" s="138"/>
      <c r="F179" s="54">
        <f t="shared" si="6"/>
        <v>0</v>
      </c>
      <c r="G179" s="54">
        <f t="shared" si="3"/>
        <v>-10</v>
      </c>
      <c r="I179" s="28" t="s">
        <v>72</v>
      </c>
    </row>
    <row r="180">
      <c r="B180" s="140">
        <v>45621.0</v>
      </c>
      <c r="C180" s="141" t="str">
        <f t="shared" si="1"/>
        <v>11-2024</v>
      </c>
      <c r="D180" s="54"/>
      <c r="E180" s="138"/>
      <c r="F180" s="54">
        <f t="shared" si="6"/>
        <v>0</v>
      </c>
      <c r="G180" s="54">
        <f t="shared" si="3"/>
        <v>-10</v>
      </c>
      <c r="I180" s="28" t="s">
        <v>72</v>
      </c>
    </row>
    <row r="181">
      <c r="B181" s="140">
        <v>45622.0</v>
      </c>
      <c r="C181" s="141" t="str">
        <f t="shared" si="1"/>
        <v>11-2024</v>
      </c>
      <c r="D181" s="138"/>
      <c r="E181" s="138"/>
      <c r="F181" s="54">
        <f t="shared" si="6"/>
        <v>0</v>
      </c>
      <c r="G181" s="54">
        <f t="shared" si="3"/>
        <v>-10</v>
      </c>
      <c r="H181" s="28">
        <v>220.0</v>
      </c>
      <c r="I181" s="28" t="s">
        <v>72</v>
      </c>
    </row>
    <row r="182">
      <c r="B182" s="140">
        <v>45623.0</v>
      </c>
      <c r="C182" s="141" t="str">
        <f t="shared" si="1"/>
        <v>11-2024</v>
      </c>
      <c r="D182" s="54" t="str">
        <f>E181</f>
        <v/>
      </c>
      <c r="E182" s="138"/>
      <c r="F182" s="54">
        <f t="shared" si="6"/>
        <v>0</v>
      </c>
      <c r="G182" s="54">
        <f t="shared" si="3"/>
        <v>-10</v>
      </c>
      <c r="I182" s="28" t="s">
        <v>72</v>
      </c>
    </row>
    <row r="183">
      <c r="B183" s="140">
        <v>45624.0</v>
      </c>
      <c r="C183" s="141" t="str">
        <f t="shared" si="1"/>
        <v>11-2024</v>
      </c>
      <c r="D183" s="138">
        <v>5721.4</v>
      </c>
      <c r="E183" s="138">
        <v>5724.0</v>
      </c>
      <c r="F183" s="54">
        <f t="shared" si="6"/>
        <v>2.6</v>
      </c>
      <c r="G183" s="54">
        <f t="shared" si="3"/>
        <v>-7.4</v>
      </c>
      <c r="H183" s="28">
        <v>200.0</v>
      </c>
      <c r="I183" s="28" t="s">
        <v>72</v>
      </c>
    </row>
    <row r="184">
      <c r="B184" s="140">
        <v>45625.0</v>
      </c>
      <c r="C184" s="141" t="str">
        <f t="shared" si="1"/>
        <v>11-2024</v>
      </c>
      <c r="D184" s="138">
        <v>5724.0</v>
      </c>
      <c r="E184" s="138">
        <v>5728.8</v>
      </c>
      <c r="F184" s="54">
        <f t="shared" si="6"/>
        <v>4.8</v>
      </c>
      <c r="G184" s="54">
        <f t="shared" si="3"/>
        <v>-5.2</v>
      </c>
      <c r="H184" s="28">
        <v>40.0</v>
      </c>
      <c r="I184" s="28" t="s">
        <v>72</v>
      </c>
    </row>
    <row r="185">
      <c r="B185" s="145">
        <v>45626.0</v>
      </c>
      <c r="C185" s="141" t="str">
        <f t="shared" si="1"/>
        <v>11-2024</v>
      </c>
      <c r="D185" s="138"/>
      <c r="E185" s="138"/>
      <c r="F185" s="54">
        <f t="shared" si="6"/>
        <v>0</v>
      </c>
      <c r="G185" s="54">
        <f t="shared" si="3"/>
        <v>-10</v>
      </c>
      <c r="H185" s="28">
        <v>120.0</v>
      </c>
      <c r="I185" s="28" t="s">
        <v>72</v>
      </c>
    </row>
    <row r="186">
      <c r="B186" s="145">
        <v>45627.0</v>
      </c>
      <c r="C186" s="141" t="str">
        <f t="shared" si="1"/>
        <v>12-2024</v>
      </c>
      <c r="F186" s="54">
        <f t="shared" si="6"/>
        <v>0</v>
      </c>
      <c r="G186" s="54">
        <f t="shared" si="3"/>
        <v>-10</v>
      </c>
    </row>
    <row r="187">
      <c r="B187" s="140">
        <v>45628.0</v>
      </c>
      <c r="C187" s="141" t="str">
        <f t="shared" si="1"/>
        <v>12-2024</v>
      </c>
      <c r="D187" s="28">
        <v>1165.7</v>
      </c>
      <c r="E187" s="28">
        <v>1173.3</v>
      </c>
      <c r="F187" s="54">
        <f t="shared" si="6"/>
        <v>7.6</v>
      </c>
      <c r="G187" s="54">
        <f t="shared" si="3"/>
        <v>-2.4</v>
      </c>
    </row>
    <row r="188">
      <c r="B188" s="140">
        <v>45629.0</v>
      </c>
      <c r="C188" s="141" t="str">
        <f t="shared" si="1"/>
        <v>12-2024</v>
      </c>
      <c r="D188" s="165">
        <f t="shared" ref="D188:D192" si="28">E187</f>
        <v>1173.3</v>
      </c>
      <c r="E188" s="28">
        <v>1184.0</v>
      </c>
      <c r="F188" s="54">
        <f t="shared" si="6"/>
        <v>10.7</v>
      </c>
      <c r="G188" s="54">
        <f t="shared" si="3"/>
        <v>0.7</v>
      </c>
    </row>
    <row r="189">
      <c r="B189" s="140">
        <v>45630.0</v>
      </c>
      <c r="C189" s="141" t="str">
        <f t="shared" si="1"/>
        <v>12-2024</v>
      </c>
      <c r="D189" s="165">
        <f t="shared" si="28"/>
        <v>1184</v>
      </c>
      <c r="E189" s="28">
        <v>1184.0</v>
      </c>
      <c r="F189" s="54">
        <f t="shared" si="6"/>
        <v>0</v>
      </c>
      <c r="G189" s="54">
        <f t="shared" si="3"/>
        <v>-10</v>
      </c>
    </row>
    <row r="190">
      <c r="B190" s="140">
        <v>45631.0</v>
      </c>
      <c r="C190" s="141" t="str">
        <f t="shared" si="1"/>
        <v>12-2024</v>
      </c>
      <c r="D190" s="165">
        <f t="shared" si="28"/>
        <v>1184</v>
      </c>
      <c r="E190" s="28">
        <v>1193.0</v>
      </c>
      <c r="F190" s="54">
        <f t="shared" si="6"/>
        <v>9</v>
      </c>
      <c r="G190" s="54">
        <f t="shared" si="3"/>
        <v>-1</v>
      </c>
      <c r="H190" s="28">
        <v>430.0</v>
      </c>
    </row>
    <row r="191">
      <c r="B191" s="140">
        <v>45632.0</v>
      </c>
      <c r="C191" s="141" t="str">
        <f t="shared" si="1"/>
        <v>12-2024</v>
      </c>
      <c r="D191" s="165">
        <f t="shared" si="28"/>
        <v>1193</v>
      </c>
      <c r="E191" s="28">
        <v>1204.0</v>
      </c>
      <c r="F191" s="54">
        <f t="shared" si="6"/>
        <v>11</v>
      </c>
      <c r="G191" s="54">
        <f t="shared" si="3"/>
        <v>1</v>
      </c>
    </row>
    <row r="192">
      <c r="B192" s="145">
        <v>45633.0</v>
      </c>
      <c r="C192" s="141" t="str">
        <f t="shared" si="1"/>
        <v>12-2024</v>
      </c>
      <c r="D192" s="165">
        <f t="shared" si="28"/>
        <v>1204</v>
      </c>
      <c r="E192" s="28">
        <v>1212.0</v>
      </c>
      <c r="F192" s="54">
        <f t="shared" si="6"/>
        <v>8</v>
      </c>
      <c r="G192" s="54">
        <f t="shared" si="3"/>
        <v>-2</v>
      </c>
    </row>
    <row r="193">
      <c r="B193" s="145">
        <v>45634.0</v>
      </c>
      <c r="C193" s="141" t="str">
        <f t="shared" si="1"/>
        <v>12-2024</v>
      </c>
      <c r="F193" s="54">
        <f t="shared" si="6"/>
        <v>0</v>
      </c>
      <c r="G193" s="54">
        <f t="shared" si="3"/>
        <v>-10</v>
      </c>
    </row>
    <row r="194">
      <c r="B194" s="140">
        <v>45635.0</v>
      </c>
      <c r="C194" s="141" t="str">
        <f t="shared" si="1"/>
        <v>12-2024</v>
      </c>
      <c r="D194" s="28">
        <v>1212.0</v>
      </c>
      <c r="E194" s="28">
        <v>1223.0</v>
      </c>
      <c r="F194" s="54">
        <f t="shared" si="6"/>
        <v>11</v>
      </c>
      <c r="G194" s="54">
        <f t="shared" si="3"/>
        <v>1</v>
      </c>
    </row>
    <row r="195">
      <c r="B195" s="140">
        <v>45636.0</v>
      </c>
      <c r="C195" s="141" t="str">
        <f t="shared" si="1"/>
        <v>12-2024</v>
      </c>
      <c r="F195" s="54">
        <f t="shared" si="6"/>
        <v>0</v>
      </c>
      <c r="G195" s="54">
        <f t="shared" si="3"/>
        <v>-10</v>
      </c>
    </row>
    <row r="196">
      <c r="B196" s="140">
        <v>45637.0</v>
      </c>
      <c r="C196" s="141" t="str">
        <f t="shared" si="1"/>
        <v>12-2024</v>
      </c>
      <c r="D196" s="28">
        <v>1223.0</v>
      </c>
      <c r="E196" s="28">
        <v>1231.0</v>
      </c>
      <c r="F196" s="54">
        <f t="shared" si="6"/>
        <v>8</v>
      </c>
      <c r="G196" s="54">
        <f t="shared" si="3"/>
        <v>-2</v>
      </c>
      <c r="H196" s="28">
        <v>353.0</v>
      </c>
    </row>
    <row r="197">
      <c r="B197" s="140">
        <v>45638.0</v>
      </c>
      <c r="C197" s="141" t="str">
        <f t="shared" si="1"/>
        <v>12-2024</v>
      </c>
      <c r="D197" s="165">
        <f t="shared" ref="D197:D199" si="29">E196</f>
        <v>1231</v>
      </c>
      <c r="E197" s="28">
        <v>1241.0</v>
      </c>
      <c r="F197" s="54">
        <f t="shared" si="6"/>
        <v>10</v>
      </c>
      <c r="G197" s="54">
        <f t="shared" si="3"/>
        <v>0</v>
      </c>
    </row>
    <row r="198">
      <c r="B198" s="140">
        <v>45639.0</v>
      </c>
      <c r="C198" s="141" t="str">
        <f t="shared" si="1"/>
        <v>12-2024</v>
      </c>
      <c r="D198" s="165">
        <f t="shared" si="29"/>
        <v>1241</v>
      </c>
      <c r="E198" s="28">
        <v>1251.0</v>
      </c>
      <c r="F198" s="54">
        <f t="shared" si="6"/>
        <v>10</v>
      </c>
      <c r="G198" s="54">
        <f t="shared" si="3"/>
        <v>0</v>
      </c>
    </row>
    <row r="199">
      <c r="B199" s="145">
        <v>45640.0</v>
      </c>
      <c r="C199" s="141" t="str">
        <f t="shared" si="1"/>
        <v>12-2024</v>
      </c>
      <c r="D199" s="165">
        <f t="shared" si="29"/>
        <v>1251</v>
      </c>
      <c r="E199" s="28">
        <v>1255.0</v>
      </c>
      <c r="F199" s="54">
        <f t="shared" si="6"/>
        <v>4</v>
      </c>
      <c r="G199" s="54">
        <f t="shared" si="3"/>
        <v>-6</v>
      </c>
    </row>
    <row r="200">
      <c r="B200" s="145">
        <v>45641.0</v>
      </c>
      <c r="C200" s="141" t="str">
        <f t="shared" si="1"/>
        <v>12-2024</v>
      </c>
      <c r="F200" s="54">
        <f t="shared" si="6"/>
        <v>0</v>
      </c>
      <c r="G200" s="54">
        <f t="shared" si="3"/>
        <v>-10</v>
      </c>
    </row>
    <row r="201">
      <c r="B201" s="140">
        <v>45642.0</v>
      </c>
      <c r="C201" s="141" t="str">
        <f t="shared" si="1"/>
        <v>12-2024</v>
      </c>
      <c r="D201" s="28">
        <v>1255.0</v>
      </c>
      <c r="E201" s="28">
        <v>1258.0</v>
      </c>
      <c r="F201" s="54">
        <f t="shared" si="6"/>
        <v>3</v>
      </c>
      <c r="G201" s="54">
        <f t="shared" si="3"/>
        <v>-7</v>
      </c>
      <c r="H201" s="28">
        <v>430.0</v>
      </c>
    </row>
    <row r="202">
      <c r="B202" s="140">
        <v>45643.0</v>
      </c>
      <c r="C202" s="141" t="str">
        <f t="shared" si="1"/>
        <v>12-2024</v>
      </c>
      <c r="D202" s="165">
        <f t="shared" ref="D202:D203" si="30">E201</f>
        <v>1258</v>
      </c>
      <c r="E202" s="28">
        <v>1269.0</v>
      </c>
      <c r="F202" s="54">
        <f t="shared" si="6"/>
        <v>11</v>
      </c>
      <c r="G202" s="54">
        <f t="shared" si="3"/>
        <v>1</v>
      </c>
    </row>
    <row r="203">
      <c r="B203" s="140">
        <v>45644.0</v>
      </c>
      <c r="C203" s="141" t="str">
        <f t="shared" si="1"/>
        <v>12-2024</v>
      </c>
      <c r="D203" s="165">
        <f t="shared" si="30"/>
        <v>1269</v>
      </c>
      <c r="E203" s="28">
        <v>1280.0</v>
      </c>
      <c r="F203" s="54">
        <f t="shared" si="6"/>
        <v>11</v>
      </c>
      <c r="G203" s="54">
        <f t="shared" si="3"/>
        <v>1</v>
      </c>
    </row>
    <row r="204">
      <c r="B204" s="140">
        <v>45645.0</v>
      </c>
      <c r="C204" s="141" t="str">
        <f t="shared" si="1"/>
        <v>12-2024</v>
      </c>
      <c r="D204" s="28">
        <v>1280.0</v>
      </c>
      <c r="E204" s="28">
        <v>1287.0</v>
      </c>
      <c r="F204" s="54">
        <f t="shared" si="6"/>
        <v>7</v>
      </c>
      <c r="G204" s="54">
        <f t="shared" si="3"/>
        <v>-3</v>
      </c>
      <c r="H204" s="28">
        <v>480.0</v>
      </c>
    </row>
    <row r="205">
      <c r="B205" s="140">
        <v>45646.0</v>
      </c>
      <c r="C205" s="141" t="str">
        <f t="shared" si="1"/>
        <v>12-2024</v>
      </c>
      <c r="D205" s="165">
        <f t="shared" ref="D205:D206" si="31">E204</f>
        <v>1287</v>
      </c>
      <c r="E205" s="28">
        <v>1297.0</v>
      </c>
      <c r="F205" s="54">
        <f t="shared" si="6"/>
        <v>10</v>
      </c>
      <c r="G205" s="54">
        <f t="shared" si="3"/>
        <v>0</v>
      </c>
    </row>
    <row r="206">
      <c r="B206" s="145">
        <v>45647.0</v>
      </c>
      <c r="C206" s="141" t="str">
        <f t="shared" si="1"/>
        <v>12-2024</v>
      </c>
      <c r="D206" s="165">
        <f t="shared" si="31"/>
        <v>1297</v>
      </c>
      <c r="E206" s="28">
        <v>1305.0</v>
      </c>
      <c r="F206" s="54">
        <f t="shared" si="6"/>
        <v>8</v>
      </c>
      <c r="G206" s="54">
        <f t="shared" si="3"/>
        <v>-2</v>
      </c>
    </row>
    <row r="207">
      <c r="B207" s="145">
        <v>45648.0</v>
      </c>
      <c r="C207" s="141" t="str">
        <f t="shared" si="1"/>
        <v>12-2024</v>
      </c>
      <c r="F207" s="54">
        <f t="shared" si="6"/>
        <v>0</v>
      </c>
      <c r="G207" s="54">
        <f t="shared" si="3"/>
        <v>-10</v>
      </c>
    </row>
    <row r="208">
      <c r="B208" s="140">
        <v>45649.0</v>
      </c>
      <c r="C208" s="141" t="str">
        <f t="shared" si="1"/>
        <v>12-2024</v>
      </c>
      <c r="D208" s="28">
        <v>1305.0</v>
      </c>
      <c r="E208" s="28">
        <v>1316.0</v>
      </c>
      <c r="F208" s="54">
        <f t="shared" si="6"/>
        <v>11</v>
      </c>
      <c r="G208" s="54">
        <f t="shared" si="3"/>
        <v>1</v>
      </c>
    </row>
    <row r="209">
      <c r="B209" s="140">
        <v>45650.0</v>
      </c>
      <c r="C209" s="141" t="str">
        <f t="shared" si="1"/>
        <v>12-2024</v>
      </c>
      <c r="D209" s="165">
        <f>E208</f>
        <v>1316</v>
      </c>
      <c r="E209" s="28">
        <v>1327.0</v>
      </c>
      <c r="F209" s="54">
        <f t="shared" si="6"/>
        <v>11</v>
      </c>
      <c r="G209" s="54">
        <f t="shared" si="3"/>
        <v>1</v>
      </c>
      <c r="H209" s="28">
        <v>377.0</v>
      </c>
    </row>
    <row r="210">
      <c r="B210" s="151">
        <v>45651.0</v>
      </c>
      <c r="C210" s="141" t="str">
        <f t="shared" si="1"/>
        <v>12-2024</v>
      </c>
      <c r="F210" s="54">
        <f t="shared" si="6"/>
        <v>0</v>
      </c>
      <c r="G210" s="54">
        <f t="shared" si="3"/>
        <v>-10</v>
      </c>
    </row>
    <row r="211">
      <c r="B211" s="140">
        <v>45652.0</v>
      </c>
      <c r="C211" s="141" t="str">
        <f t="shared" si="1"/>
        <v>12-2024</v>
      </c>
      <c r="D211" s="28">
        <v>1327.0</v>
      </c>
      <c r="E211" s="28">
        <v>1337.0</v>
      </c>
      <c r="F211" s="54">
        <f t="shared" si="6"/>
        <v>10</v>
      </c>
      <c r="G211" s="54">
        <f t="shared" si="3"/>
        <v>0</v>
      </c>
    </row>
    <row r="212">
      <c r="B212" s="140">
        <v>45653.0</v>
      </c>
      <c r="C212" s="141" t="str">
        <f t="shared" si="1"/>
        <v>12-2024</v>
      </c>
      <c r="D212" s="28">
        <v>1337.0</v>
      </c>
      <c r="E212" s="28">
        <v>1347.0</v>
      </c>
      <c r="F212" s="54">
        <f t="shared" si="6"/>
        <v>10</v>
      </c>
      <c r="G212" s="54">
        <f t="shared" si="3"/>
        <v>0</v>
      </c>
    </row>
    <row r="213">
      <c r="B213" s="145">
        <v>45654.0</v>
      </c>
      <c r="C213" s="141" t="str">
        <f t="shared" si="1"/>
        <v>12-2024</v>
      </c>
      <c r="F213" s="54">
        <f t="shared" si="6"/>
        <v>0</v>
      </c>
      <c r="G213" s="54">
        <f t="shared" si="3"/>
        <v>-10</v>
      </c>
    </row>
    <row r="214">
      <c r="B214" s="145">
        <v>45655.0</v>
      </c>
      <c r="C214" s="141" t="str">
        <f t="shared" si="1"/>
        <v>12-2024</v>
      </c>
      <c r="F214" s="54">
        <f t="shared" si="6"/>
        <v>0</v>
      </c>
      <c r="G214" s="54">
        <f t="shared" si="3"/>
        <v>-10</v>
      </c>
    </row>
    <row r="215">
      <c r="B215" s="140">
        <v>45656.0</v>
      </c>
      <c r="C215" s="141" t="str">
        <f t="shared" si="1"/>
        <v>12-2024</v>
      </c>
      <c r="D215" s="28">
        <v>1347.0</v>
      </c>
      <c r="E215" s="28">
        <v>1356.0</v>
      </c>
      <c r="F215" s="54">
        <f t="shared" si="6"/>
        <v>9</v>
      </c>
      <c r="G215" s="54">
        <f t="shared" si="3"/>
        <v>-1</v>
      </c>
      <c r="H215" s="28">
        <v>230.0</v>
      </c>
    </row>
    <row r="216">
      <c r="B216" s="140">
        <v>45657.0</v>
      </c>
      <c r="C216" s="141" t="str">
        <f t="shared" si="1"/>
        <v>12-2024</v>
      </c>
      <c r="D216" s="165">
        <f>E215</f>
        <v>1356</v>
      </c>
      <c r="E216" s="28">
        <v>1367.0</v>
      </c>
      <c r="F216" s="54">
        <f t="shared" si="6"/>
        <v>11</v>
      </c>
      <c r="G216" s="54">
        <f t="shared" si="3"/>
        <v>1</v>
      </c>
    </row>
    <row r="217">
      <c r="B217" s="152">
        <v>45658.0</v>
      </c>
      <c r="C217" s="141" t="str">
        <f t="shared" si="1"/>
        <v>1-2025</v>
      </c>
      <c r="F217" s="54">
        <f t="shared" si="6"/>
        <v>0</v>
      </c>
      <c r="G217" s="54">
        <f t="shared" si="3"/>
        <v>-10</v>
      </c>
    </row>
    <row r="218">
      <c r="B218" s="140">
        <v>45659.0</v>
      </c>
      <c r="C218" s="141" t="str">
        <f t="shared" si="1"/>
        <v>1-2025</v>
      </c>
      <c r="D218" s="28">
        <v>1367.0</v>
      </c>
      <c r="E218" s="28">
        <v>1375.0</v>
      </c>
      <c r="F218" s="54">
        <f t="shared" si="6"/>
        <v>8</v>
      </c>
      <c r="G218" s="54">
        <f t="shared" si="3"/>
        <v>-2</v>
      </c>
      <c r="H218" s="28">
        <v>230.0</v>
      </c>
      <c r="I218" s="28" t="s">
        <v>172</v>
      </c>
    </row>
    <row r="219">
      <c r="B219" s="140">
        <v>45660.0</v>
      </c>
      <c r="C219" s="141" t="str">
        <f t="shared" si="1"/>
        <v>1-2025</v>
      </c>
      <c r="D219" s="165">
        <f t="shared" ref="D219:D220" si="32">E218</f>
        <v>1375</v>
      </c>
      <c r="E219" s="28">
        <v>1384.0</v>
      </c>
      <c r="F219" s="54">
        <f t="shared" si="6"/>
        <v>9</v>
      </c>
      <c r="G219" s="54">
        <f t="shared" si="3"/>
        <v>-1</v>
      </c>
      <c r="H219" s="28">
        <v>303.0</v>
      </c>
      <c r="I219" s="28" t="s">
        <v>172</v>
      </c>
    </row>
    <row r="220">
      <c r="B220" s="152">
        <v>45661.0</v>
      </c>
      <c r="C220" s="141" t="str">
        <f t="shared" si="1"/>
        <v>1-2025</v>
      </c>
      <c r="D220" s="165">
        <f t="shared" si="32"/>
        <v>1384</v>
      </c>
      <c r="E220" s="28">
        <v>1390.0</v>
      </c>
      <c r="F220" s="54">
        <f t="shared" si="6"/>
        <v>6</v>
      </c>
      <c r="G220" s="54">
        <f t="shared" si="3"/>
        <v>-4</v>
      </c>
    </row>
    <row r="221">
      <c r="B221" s="152">
        <v>45662.0</v>
      </c>
      <c r="C221" s="141" t="str">
        <f t="shared" si="1"/>
        <v>1-2025</v>
      </c>
      <c r="F221" s="54">
        <f t="shared" si="6"/>
        <v>0</v>
      </c>
      <c r="G221" s="54">
        <f t="shared" si="3"/>
        <v>-10</v>
      </c>
    </row>
    <row r="222">
      <c r="B222" s="140">
        <v>45663.0</v>
      </c>
      <c r="C222" s="141" t="str">
        <f t="shared" si="1"/>
        <v>1-2025</v>
      </c>
      <c r="D222" s="165" t="str">
        <f>E221</f>
        <v/>
      </c>
      <c r="F222" s="54">
        <f t="shared" si="6"/>
        <v>0</v>
      </c>
      <c r="G222" s="54">
        <f t="shared" si="3"/>
        <v>-10</v>
      </c>
    </row>
    <row r="223">
      <c r="B223" s="140">
        <v>45664.0</v>
      </c>
      <c r="C223" s="141" t="str">
        <f t="shared" si="1"/>
        <v>1-2025</v>
      </c>
      <c r="D223" s="28">
        <v>1390.0</v>
      </c>
      <c r="E223" s="28">
        <v>1399.0</v>
      </c>
      <c r="F223" s="54">
        <f t="shared" si="6"/>
        <v>9</v>
      </c>
      <c r="G223" s="54">
        <f t="shared" si="3"/>
        <v>-1</v>
      </c>
    </row>
    <row r="224">
      <c r="B224" s="140">
        <v>45665.0</v>
      </c>
      <c r="C224" s="141" t="str">
        <f t="shared" si="1"/>
        <v>1-2025</v>
      </c>
      <c r="D224" s="165">
        <f t="shared" ref="D224:D227" si="33">E223</f>
        <v>1399</v>
      </c>
      <c r="E224" s="28">
        <v>1409.0</v>
      </c>
      <c r="F224" s="54">
        <f t="shared" si="6"/>
        <v>10</v>
      </c>
      <c r="G224" s="54">
        <f t="shared" si="3"/>
        <v>0</v>
      </c>
      <c r="H224" s="28">
        <v>223.0</v>
      </c>
      <c r="I224" s="28" t="s">
        <v>173</v>
      </c>
    </row>
    <row r="225">
      <c r="B225" s="140">
        <v>45666.0</v>
      </c>
      <c r="C225" s="141" t="str">
        <f t="shared" si="1"/>
        <v>1-2025</v>
      </c>
      <c r="D225" s="165">
        <f t="shared" si="33"/>
        <v>1409</v>
      </c>
      <c r="E225" s="28">
        <v>1419.0</v>
      </c>
      <c r="F225" s="54">
        <f t="shared" si="6"/>
        <v>10</v>
      </c>
      <c r="G225" s="54">
        <f t="shared" si="3"/>
        <v>0</v>
      </c>
    </row>
    <row r="226">
      <c r="B226" s="140">
        <v>45667.0</v>
      </c>
      <c r="C226" s="141" t="str">
        <f t="shared" si="1"/>
        <v>1-2025</v>
      </c>
      <c r="D226" s="165">
        <f t="shared" si="33"/>
        <v>1419</v>
      </c>
      <c r="E226" s="28">
        <v>1429.0</v>
      </c>
      <c r="F226" s="54">
        <f t="shared" si="6"/>
        <v>10</v>
      </c>
      <c r="G226" s="54">
        <f t="shared" si="3"/>
        <v>0</v>
      </c>
      <c r="H226" s="28">
        <v>205.0</v>
      </c>
      <c r="I226" s="28" t="s">
        <v>172</v>
      </c>
    </row>
    <row r="227">
      <c r="B227" s="152">
        <v>45668.0</v>
      </c>
      <c r="C227" s="141" t="str">
        <f t="shared" si="1"/>
        <v>1-2025</v>
      </c>
      <c r="D227" s="165">
        <f t="shared" si="33"/>
        <v>1429</v>
      </c>
      <c r="E227" s="28">
        <v>1437.0</v>
      </c>
      <c r="F227" s="54">
        <f t="shared" si="6"/>
        <v>8</v>
      </c>
      <c r="G227" s="54">
        <f t="shared" si="3"/>
        <v>-2</v>
      </c>
    </row>
    <row r="228">
      <c r="B228" s="152">
        <v>45669.0</v>
      </c>
      <c r="C228" s="141" t="str">
        <f t="shared" si="1"/>
        <v>1-2025</v>
      </c>
      <c r="F228" s="54">
        <f t="shared" si="6"/>
        <v>0</v>
      </c>
      <c r="G228" s="54">
        <f t="shared" si="3"/>
        <v>-10</v>
      </c>
    </row>
    <row r="229">
      <c r="B229" s="140">
        <v>45670.0</v>
      </c>
      <c r="C229" s="141" t="str">
        <f t="shared" si="1"/>
        <v>1-2025</v>
      </c>
      <c r="D229" s="28">
        <v>1437.0</v>
      </c>
      <c r="E229" s="28">
        <v>1447.0</v>
      </c>
      <c r="F229" s="54">
        <f t="shared" si="6"/>
        <v>10</v>
      </c>
      <c r="G229" s="54">
        <f t="shared" si="3"/>
        <v>0</v>
      </c>
    </row>
    <row r="230">
      <c r="B230" s="140">
        <v>45671.0</v>
      </c>
      <c r="C230" s="141" t="str">
        <f t="shared" si="1"/>
        <v>1-2025</v>
      </c>
      <c r="D230" s="165">
        <f t="shared" ref="D230:D233" si="34">E229</f>
        <v>1447</v>
      </c>
      <c r="E230" s="28">
        <v>1455.0</v>
      </c>
      <c r="F230" s="54">
        <f t="shared" si="6"/>
        <v>8</v>
      </c>
      <c r="G230" s="54">
        <f t="shared" si="3"/>
        <v>-2</v>
      </c>
      <c r="H230" s="28">
        <v>220.0</v>
      </c>
      <c r="I230" s="28" t="s">
        <v>173</v>
      </c>
    </row>
    <row r="231">
      <c r="B231" s="140">
        <v>45672.0</v>
      </c>
      <c r="C231" s="141" t="str">
        <f t="shared" si="1"/>
        <v>1-2025</v>
      </c>
      <c r="D231" s="165">
        <f t="shared" si="34"/>
        <v>1455</v>
      </c>
      <c r="E231" s="28">
        <v>1465.0</v>
      </c>
      <c r="F231" s="54">
        <f t="shared" si="6"/>
        <v>10</v>
      </c>
      <c r="G231" s="54">
        <f t="shared" si="3"/>
        <v>0</v>
      </c>
      <c r="H231" s="28">
        <v>196.0</v>
      </c>
      <c r="I231" s="28" t="s">
        <v>173</v>
      </c>
    </row>
    <row r="232">
      <c r="B232" s="140">
        <v>45673.0</v>
      </c>
      <c r="C232" s="141" t="str">
        <f t="shared" si="1"/>
        <v>1-2025</v>
      </c>
      <c r="D232" s="165">
        <f t="shared" si="34"/>
        <v>1465</v>
      </c>
      <c r="E232" s="28">
        <v>1475.0</v>
      </c>
      <c r="F232" s="54">
        <f t="shared" si="6"/>
        <v>10</v>
      </c>
      <c r="G232" s="54">
        <f t="shared" si="3"/>
        <v>0</v>
      </c>
    </row>
    <row r="233">
      <c r="B233" s="140">
        <v>45674.0</v>
      </c>
      <c r="C233" s="141" t="str">
        <f t="shared" si="1"/>
        <v>1-2025</v>
      </c>
      <c r="D233" s="165">
        <f t="shared" si="34"/>
        <v>1475</v>
      </c>
      <c r="E233" s="28">
        <v>1485.0</v>
      </c>
      <c r="F233" s="54">
        <f t="shared" si="6"/>
        <v>10</v>
      </c>
      <c r="G233" s="54">
        <f t="shared" si="3"/>
        <v>0</v>
      </c>
      <c r="H233" s="28">
        <v>300.0</v>
      </c>
      <c r="I233" s="28" t="s">
        <v>173</v>
      </c>
    </row>
    <row r="234">
      <c r="B234" s="152">
        <v>45675.0</v>
      </c>
      <c r="C234" s="141" t="str">
        <f t="shared" si="1"/>
        <v>1-2025</v>
      </c>
      <c r="F234" s="54">
        <f t="shared" si="6"/>
        <v>0</v>
      </c>
      <c r="G234" s="54">
        <f t="shared" si="3"/>
        <v>-10</v>
      </c>
    </row>
    <row r="235">
      <c r="B235" s="152">
        <v>45676.0</v>
      </c>
      <c r="C235" s="141" t="str">
        <f t="shared" si="1"/>
        <v>1-2025</v>
      </c>
      <c r="D235" s="165" t="str">
        <f>E234</f>
        <v/>
      </c>
      <c r="F235" s="54">
        <f t="shared" si="6"/>
        <v>0</v>
      </c>
      <c r="G235" s="54">
        <f t="shared" si="3"/>
        <v>-10</v>
      </c>
    </row>
    <row r="236">
      <c r="B236" s="140">
        <v>45677.0</v>
      </c>
      <c r="C236" s="141" t="str">
        <f t="shared" si="1"/>
        <v>1-2025</v>
      </c>
      <c r="D236" s="28">
        <v>1485.0</v>
      </c>
      <c r="E236" s="28">
        <v>1494.0</v>
      </c>
      <c r="F236" s="54">
        <f t="shared" si="6"/>
        <v>9</v>
      </c>
      <c r="G236" s="54">
        <f t="shared" si="3"/>
        <v>-1</v>
      </c>
    </row>
    <row r="237">
      <c r="B237" s="140">
        <v>45678.0</v>
      </c>
      <c r="C237" s="141" t="str">
        <f t="shared" si="1"/>
        <v>1-2025</v>
      </c>
      <c r="D237" s="165">
        <f t="shared" ref="D237:D241" si="35">E236</f>
        <v>1494</v>
      </c>
      <c r="E237" s="28">
        <v>1503.0</v>
      </c>
      <c r="F237" s="54">
        <f t="shared" si="6"/>
        <v>9</v>
      </c>
      <c r="G237" s="54">
        <f t="shared" si="3"/>
        <v>-1</v>
      </c>
      <c r="H237" s="28">
        <v>122.0</v>
      </c>
      <c r="I237" s="28" t="s">
        <v>173</v>
      </c>
    </row>
    <row r="238">
      <c r="B238" s="140">
        <v>45679.0</v>
      </c>
      <c r="C238" s="141" t="str">
        <f t="shared" si="1"/>
        <v>1-2025</v>
      </c>
      <c r="D238" s="165">
        <f t="shared" si="35"/>
        <v>1503</v>
      </c>
      <c r="E238" s="28">
        <v>1513.0</v>
      </c>
      <c r="F238" s="54">
        <f t="shared" si="6"/>
        <v>10</v>
      </c>
      <c r="G238" s="54">
        <f t="shared" si="3"/>
        <v>0</v>
      </c>
    </row>
    <row r="239">
      <c r="B239" s="140">
        <v>45680.0</v>
      </c>
      <c r="C239" s="141" t="str">
        <f t="shared" si="1"/>
        <v>1-2025</v>
      </c>
      <c r="D239" s="165">
        <f t="shared" si="35"/>
        <v>1513</v>
      </c>
      <c r="E239" s="28">
        <v>1524.0</v>
      </c>
      <c r="F239" s="54">
        <f t="shared" si="6"/>
        <v>11</v>
      </c>
      <c r="G239" s="54">
        <f t="shared" si="3"/>
        <v>1</v>
      </c>
      <c r="H239" s="28">
        <v>124.7</v>
      </c>
      <c r="I239" s="28" t="s">
        <v>173</v>
      </c>
    </row>
    <row r="240">
      <c r="B240" s="140">
        <v>45681.0</v>
      </c>
      <c r="C240" s="141" t="str">
        <f t="shared" si="1"/>
        <v>1-2025</v>
      </c>
      <c r="D240" s="165">
        <f t="shared" si="35"/>
        <v>1524</v>
      </c>
      <c r="E240" s="28">
        <v>1534.0</v>
      </c>
      <c r="F240" s="54">
        <f t="shared" si="6"/>
        <v>10</v>
      </c>
      <c r="G240" s="54">
        <f t="shared" si="3"/>
        <v>0</v>
      </c>
      <c r="H240" s="28">
        <v>146.0</v>
      </c>
      <c r="I240" s="28" t="s">
        <v>173</v>
      </c>
    </row>
    <row r="241">
      <c r="B241" s="152">
        <v>45682.0</v>
      </c>
      <c r="C241" s="141" t="str">
        <f t="shared" si="1"/>
        <v>1-2025</v>
      </c>
      <c r="D241" s="165">
        <f t="shared" si="35"/>
        <v>1534</v>
      </c>
      <c r="E241" s="28">
        <v>1541.0</v>
      </c>
      <c r="F241" s="54">
        <f t="shared" si="6"/>
        <v>7</v>
      </c>
      <c r="G241" s="54">
        <f t="shared" si="3"/>
        <v>-3</v>
      </c>
      <c r="H241" s="28">
        <v>116.5</v>
      </c>
      <c r="I241" s="28" t="s">
        <v>173</v>
      </c>
    </row>
    <row r="242">
      <c r="B242" s="152">
        <v>45683.0</v>
      </c>
      <c r="C242" s="141" t="str">
        <f t="shared" si="1"/>
        <v>1-2025</v>
      </c>
      <c r="F242" s="54">
        <f t="shared" si="6"/>
        <v>0</v>
      </c>
      <c r="G242" s="54">
        <f t="shared" si="3"/>
        <v>-10</v>
      </c>
    </row>
    <row r="243">
      <c r="B243" s="140">
        <v>45684.0</v>
      </c>
      <c r="C243" s="141" t="str">
        <f t="shared" si="1"/>
        <v>1-2025</v>
      </c>
      <c r="D243" s="28">
        <v>1541.0</v>
      </c>
      <c r="E243" s="28">
        <v>1550.0</v>
      </c>
      <c r="F243" s="54">
        <f t="shared" si="6"/>
        <v>9</v>
      </c>
      <c r="G243" s="54">
        <f t="shared" si="3"/>
        <v>-1</v>
      </c>
      <c r="H243" s="28">
        <v>140.0</v>
      </c>
      <c r="I243" s="28" t="s">
        <v>173</v>
      </c>
    </row>
    <row r="244">
      <c r="B244" s="140">
        <v>45685.0</v>
      </c>
      <c r="C244" s="141" t="str">
        <f t="shared" si="1"/>
        <v>1-2025</v>
      </c>
      <c r="D244" s="165">
        <f t="shared" ref="D244:D246" si="36">E243</f>
        <v>1550</v>
      </c>
      <c r="E244" s="28">
        <v>1560.0</v>
      </c>
      <c r="F244" s="54">
        <f t="shared" si="6"/>
        <v>10</v>
      </c>
      <c r="G244" s="54">
        <f t="shared" si="3"/>
        <v>0</v>
      </c>
      <c r="H244" s="28">
        <v>143.0</v>
      </c>
      <c r="I244" s="28" t="s">
        <v>173</v>
      </c>
    </row>
    <row r="245">
      <c r="B245" s="140">
        <v>45686.0</v>
      </c>
      <c r="C245" s="141" t="str">
        <f t="shared" si="1"/>
        <v>1-2025</v>
      </c>
      <c r="D245" s="165">
        <f t="shared" si="36"/>
        <v>1560</v>
      </c>
      <c r="E245" s="28">
        <v>1570.0</v>
      </c>
      <c r="F245" s="54">
        <f t="shared" si="6"/>
        <v>10</v>
      </c>
      <c r="G245" s="54">
        <f t="shared" si="3"/>
        <v>0</v>
      </c>
      <c r="H245" s="28">
        <v>147.0</v>
      </c>
      <c r="I245" s="28" t="s">
        <v>174</v>
      </c>
    </row>
    <row r="246">
      <c r="B246" s="140">
        <v>45687.0</v>
      </c>
      <c r="C246" s="141" t="str">
        <f t="shared" si="1"/>
        <v>1-2025</v>
      </c>
      <c r="D246" s="165">
        <f t="shared" si="36"/>
        <v>1570</v>
      </c>
      <c r="E246" s="28">
        <v>1581.0</v>
      </c>
      <c r="F246" s="54">
        <f t="shared" si="6"/>
        <v>11</v>
      </c>
      <c r="G246" s="54">
        <f t="shared" si="3"/>
        <v>1</v>
      </c>
      <c r="H246" s="28">
        <v>146.7</v>
      </c>
      <c r="I246" s="28" t="s">
        <v>173</v>
      </c>
    </row>
    <row r="247">
      <c r="B247" s="140">
        <v>45688.0</v>
      </c>
      <c r="C247" s="141" t="str">
        <f t="shared" si="1"/>
        <v>1-2025</v>
      </c>
      <c r="F247" s="54">
        <f t="shared" si="6"/>
        <v>0</v>
      </c>
      <c r="G247" s="54">
        <f t="shared" si="3"/>
        <v>-10</v>
      </c>
    </row>
    <row r="248">
      <c r="B248" s="145">
        <v>45689.0</v>
      </c>
      <c r="C248" s="141" t="str">
        <f t="shared" si="1"/>
        <v>2-2025</v>
      </c>
      <c r="F248" s="54">
        <f t="shared" si="6"/>
        <v>0</v>
      </c>
      <c r="G248" s="54">
        <f t="shared" si="3"/>
        <v>-10</v>
      </c>
    </row>
    <row r="249">
      <c r="B249" s="145">
        <v>45690.0</v>
      </c>
      <c r="C249" s="141" t="str">
        <f t="shared" si="1"/>
        <v>2-2025</v>
      </c>
      <c r="F249" s="54">
        <f t="shared" si="6"/>
        <v>0</v>
      </c>
      <c r="G249" s="54">
        <f t="shared" si="3"/>
        <v>-10</v>
      </c>
    </row>
    <row r="250">
      <c r="B250" s="140">
        <v>45691.0</v>
      </c>
      <c r="C250" s="141" t="str">
        <f t="shared" si="1"/>
        <v>2-2025</v>
      </c>
      <c r="F250" s="54">
        <f t="shared" si="6"/>
        <v>0</v>
      </c>
      <c r="G250" s="54">
        <f t="shared" si="3"/>
        <v>-10</v>
      </c>
    </row>
    <row r="251">
      <c r="B251" s="140">
        <v>45692.0</v>
      </c>
      <c r="C251" s="141" t="str">
        <f t="shared" si="1"/>
        <v>2-2025</v>
      </c>
      <c r="D251" s="28">
        <v>1581.0</v>
      </c>
      <c r="E251" s="28">
        <v>1591.0</v>
      </c>
      <c r="F251" s="54">
        <f t="shared" si="6"/>
        <v>10</v>
      </c>
      <c r="G251" s="54">
        <f t="shared" si="3"/>
        <v>0</v>
      </c>
    </row>
    <row r="252">
      <c r="B252" s="140">
        <v>45693.0</v>
      </c>
      <c r="C252" s="141" t="str">
        <f t="shared" si="1"/>
        <v>2-2025</v>
      </c>
      <c r="D252" s="165">
        <f t="shared" ref="D252:D255" si="37">E251</f>
        <v>1591</v>
      </c>
      <c r="E252" s="28">
        <v>1600.0</v>
      </c>
      <c r="F252" s="54">
        <f t="shared" si="6"/>
        <v>9</v>
      </c>
      <c r="G252" s="54">
        <f t="shared" si="3"/>
        <v>-1</v>
      </c>
    </row>
    <row r="253">
      <c r="B253" s="140">
        <v>45694.0</v>
      </c>
      <c r="C253" s="141" t="str">
        <f t="shared" si="1"/>
        <v>2-2025</v>
      </c>
      <c r="D253" s="165">
        <f t="shared" si="37"/>
        <v>1600</v>
      </c>
      <c r="E253" s="28">
        <v>1609.0</v>
      </c>
      <c r="F253" s="54">
        <f t="shared" si="6"/>
        <v>9</v>
      </c>
      <c r="G253" s="54">
        <f t="shared" si="3"/>
        <v>-1</v>
      </c>
    </row>
    <row r="254">
      <c r="B254" s="140">
        <v>45695.0</v>
      </c>
      <c r="C254" s="141" t="str">
        <f t="shared" si="1"/>
        <v>2-2025</v>
      </c>
      <c r="D254" s="165">
        <f t="shared" si="37"/>
        <v>1609</v>
      </c>
      <c r="E254" s="28">
        <v>1619.0</v>
      </c>
      <c r="F254" s="54">
        <f t="shared" si="6"/>
        <v>10</v>
      </c>
      <c r="G254" s="54">
        <f t="shared" si="3"/>
        <v>0</v>
      </c>
    </row>
    <row r="255">
      <c r="B255" s="145">
        <v>45696.0</v>
      </c>
      <c r="C255" s="141" t="str">
        <f t="shared" si="1"/>
        <v>2-2025</v>
      </c>
      <c r="D255" s="165">
        <f t="shared" si="37"/>
        <v>1619</v>
      </c>
      <c r="E255" s="28">
        <v>1625.0</v>
      </c>
      <c r="F255" s="54">
        <f t="shared" si="6"/>
        <v>6</v>
      </c>
      <c r="G255" s="54">
        <f t="shared" si="3"/>
        <v>-4</v>
      </c>
    </row>
    <row r="256">
      <c r="B256" s="145">
        <v>45697.0</v>
      </c>
      <c r="C256" s="141" t="str">
        <f t="shared" si="1"/>
        <v>2-2025</v>
      </c>
      <c r="F256" s="54">
        <f t="shared" si="6"/>
        <v>0</v>
      </c>
      <c r="G256" s="54">
        <f t="shared" si="3"/>
        <v>-10</v>
      </c>
    </row>
    <row r="257">
      <c r="B257" s="140">
        <v>45698.0</v>
      </c>
      <c r="C257" s="141" t="str">
        <f t="shared" si="1"/>
        <v>2-2025</v>
      </c>
      <c r="D257" s="28">
        <v>1625.0</v>
      </c>
      <c r="E257" s="28">
        <v>1635.0</v>
      </c>
      <c r="F257" s="54">
        <f t="shared" si="6"/>
        <v>10</v>
      </c>
      <c r="G257" s="54">
        <f t="shared" si="3"/>
        <v>0</v>
      </c>
    </row>
    <row r="258">
      <c r="B258" s="140">
        <v>45699.0</v>
      </c>
      <c r="C258" s="141" t="str">
        <f t="shared" si="1"/>
        <v>2-2025</v>
      </c>
      <c r="D258" s="165">
        <f t="shared" ref="D258:D262" si="38">E257</f>
        <v>1635</v>
      </c>
      <c r="E258" s="28">
        <v>1645.0</v>
      </c>
      <c r="F258" s="54">
        <f t="shared" si="6"/>
        <v>10</v>
      </c>
      <c r="G258" s="54">
        <f t="shared" si="3"/>
        <v>0</v>
      </c>
    </row>
    <row r="259">
      <c r="B259" s="140">
        <v>45700.0</v>
      </c>
      <c r="C259" s="141" t="str">
        <f t="shared" si="1"/>
        <v>2-2025</v>
      </c>
      <c r="D259" s="165">
        <f t="shared" si="38"/>
        <v>1645</v>
      </c>
      <c r="E259" s="28">
        <v>1652.7</v>
      </c>
      <c r="F259" s="54">
        <f t="shared" si="6"/>
        <v>7.7</v>
      </c>
      <c r="G259" s="54">
        <f t="shared" si="3"/>
        <v>-2.3</v>
      </c>
    </row>
    <row r="260">
      <c r="B260" s="140">
        <v>45701.0</v>
      </c>
      <c r="C260" s="141" t="str">
        <f t="shared" si="1"/>
        <v>2-2025</v>
      </c>
      <c r="D260" s="165">
        <f t="shared" si="38"/>
        <v>1652.7</v>
      </c>
      <c r="E260" s="28">
        <v>1662.0</v>
      </c>
      <c r="F260" s="54">
        <f t="shared" si="6"/>
        <v>9.3</v>
      </c>
      <c r="G260" s="54">
        <f t="shared" si="3"/>
        <v>-0.7</v>
      </c>
    </row>
    <row r="261">
      <c r="B261" s="140">
        <v>45702.0</v>
      </c>
      <c r="C261" s="141" t="str">
        <f t="shared" si="1"/>
        <v>2-2025</v>
      </c>
      <c r="D261" s="165">
        <f t="shared" si="38"/>
        <v>1662</v>
      </c>
      <c r="E261" s="28">
        <v>1674.0</v>
      </c>
      <c r="F261" s="54">
        <f t="shared" si="6"/>
        <v>12</v>
      </c>
      <c r="G261" s="54">
        <f t="shared" si="3"/>
        <v>2</v>
      </c>
    </row>
    <row r="262">
      <c r="B262" s="145">
        <v>45703.0</v>
      </c>
      <c r="C262" s="141" t="str">
        <f t="shared" si="1"/>
        <v>2-2025</v>
      </c>
      <c r="D262" s="165">
        <f t="shared" si="38"/>
        <v>1674</v>
      </c>
      <c r="E262" s="28">
        <v>1680.0</v>
      </c>
      <c r="F262" s="54">
        <f t="shared" si="6"/>
        <v>6</v>
      </c>
      <c r="G262" s="54">
        <f t="shared" si="3"/>
        <v>-4</v>
      </c>
    </row>
    <row r="263">
      <c r="B263" s="145">
        <v>45704.0</v>
      </c>
      <c r="C263" s="141" t="str">
        <f t="shared" si="1"/>
        <v>2-2025</v>
      </c>
      <c r="F263" s="54">
        <f t="shared" si="6"/>
        <v>0</v>
      </c>
      <c r="G263" s="54">
        <f t="shared" si="3"/>
        <v>-10</v>
      </c>
    </row>
    <row r="264">
      <c r="B264" s="140">
        <v>45705.0</v>
      </c>
      <c r="C264" s="141" t="str">
        <f t="shared" si="1"/>
        <v>2-2025</v>
      </c>
      <c r="D264" s="28">
        <v>1680.0</v>
      </c>
      <c r="E264" s="28">
        <v>1690.0</v>
      </c>
      <c r="F264" s="54">
        <f t="shared" si="6"/>
        <v>10</v>
      </c>
      <c r="G264" s="54">
        <f t="shared" si="3"/>
        <v>0</v>
      </c>
    </row>
    <row r="265">
      <c r="B265" s="140">
        <v>45706.0</v>
      </c>
      <c r="C265" s="141" t="str">
        <f t="shared" si="1"/>
        <v>2-2025</v>
      </c>
      <c r="D265" s="165">
        <f t="shared" ref="D265:D268" si="39">E264</f>
        <v>1690</v>
      </c>
      <c r="E265" s="28">
        <v>1700.0</v>
      </c>
      <c r="F265" s="54">
        <f t="shared" si="6"/>
        <v>10</v>
      </c>
      <c r="G265" s="54">
        <f t="shared" si="3"/>
        <v>0</v>
      </c>
    </row>
    <row r="266">
      <c r="B266" s="140">
        <v>45707.0</v>
      </c>
      <c r="C266" s="141" t="str">
        <f t="shared" si="1"/>
        <v>2-2025</v>
      </c>
      <c r="D266" s="165">
        <f t="shared" si="39"/>
        <v>1700</v>
      </c>
      <c r="E266" s="28">
        <v>1709.3</v>
      </c>
      <c r="F266" s="54">
        <f t="shared" si="6"/>
        <v>9.3</v>
      </c>
      <c r="G266" s="54">
        <f t="shared" si="3"/>
        <v>-0.7</v>
      </c>
    </row>
    <row r="267">
      <c r="B267" s="140">
        <v>45708.0</v>
      </c>
      <c r="C267" s="141" t="str">
        <f t="shared" si="1"/>
        <v>2-2025</v>
      </c>
      <c r="D267" s="165">
        <f t="shared" si="39"/>
        <v>1709.3</v>
      </c>
      <c r="E267" s="28">
        <v>1720.0</v>
      </c>
      <c r="F267" s="54">
        <f t="shared" si="6"/>
        <v>10.7</v>
      </c>
      <c r="G267" s="54">
        <f t="shared" si="3"/>
        <v>0.7</v>
      </c>
    </row>
    <row r="268">
      <c r="B268" s="140">
        <v>45709.0</v>
      </c>
      <c r="C268" s="141" t="str">
        <f t="shared" si="1"/>
        <v>2-2025</v>
      </c>
      <c r="D268" s="165">
        <f t="shared" si="39"/>
        <v>1720</v>
      </c>
      <c r="E268" s="28">
        <v>1730.0</v>
      </c>
      <c r="F268" s="54">
        <f t="shared" si="6"/>
        <v>10</v>
      </c>
      <c r="G268" s="54">
        <f t="shared" si="3"/>
        <v>0</v>
      </c>
    </row>
    <row r="269">
      <c r="B269" s="145">
        <v>45710.0</v>
      </c>
      <c r="C269" s="141" t="str">
        <f t="shared" si="1"/>
        <v>2-2025</v>
      </c>
      <c r="F269" s="54">
        <f t="shared" si="6"/>
        <v>0</v>
      </c>
      <c r="G269" s="54">
        <f t="shared" si="3"/>
        <v>-10</v>
      </c>
    </row>
    <row r="270">
      <c r="B270" s="145">
        <v>45711.0</v>
      </c>
      <c r="C270" s="141" t="str">
        <f t="shared" si="1"/>
        <v>2-2025</v>
      </c>
      <c r="D270" s="165" t="str">
        <f>E269</f>
        <v/>
      </c>
      <c r="F270" s="54">
        <f t="shared" si="6"/>
        <v>0</v>
      </c>
      <c r="G270" s="54">
        <f t="shared" si="3"/>
        <v>-10</v>
      </c>
    </row>
    <row r="271">
      <c r="B271" s="140">
        <v>45712.0</v>
      </c>
      <c r="C271" s="141" t="str">
        <f t="shared" si="1"/>
        <v>2-2025</v>
      </c>
      <c r="D271" s="28">
        <v>1730.0</v>
      </c>
      <c r="E271" s="28">
        <v>1740.2</v>
      </c>
      <c r="F271" s="54">
        <f t="shared" si="6"/>
        <v>10.2</v>
      </c>
      <c r="G271" s="54">
        <f t="shared" si="3"/>
        <v>0.2</v>
      </c>
    </row>
    <row r="272">
      <c r="B272" s="140">
        <v>45713.0</v>
      </c>
      <c r="C272" s="141" t="str">
        <f t="shared" si="1"/>
        <v>2-2025</v>
      </c>
      <c r="D272" s="165">
        <f t="shared" ref="D272:D275" si="40">E271</f>
        <v>1740.2</v>
      </c>
      <c r="E272" s="28">
        <v>1750.0</v>
      </c>
      <c r="F272" s="54">
        <f t="shared" si="6"/>
        <v>9.8</v>
      </c>
      <c r="G272" s="54">
        <f t="shared" si="3"/>
        <v>-0.2</v>
      </c>
    </row>
    <row r="273">
      <c r="B273" s="140">
        <v>45714.0</v>
      </c>
      <c r="C273" s="141" t="str">
        <f t="shared" si="1"/>
        <v>2-2025</v>
      </c>
      <c r="D273" s="165">
        <f t="shared" si="40"/>
        <v>1750</v>
      </c>
      <c r="E273" s="28">
        <v>1760.0</v>
      </c>
      <c r="F273" s="54">
        <f t="shared" si="6"/>
        <v>10</v>
      </c>
      <c r="G273" s="54">
        <f t="shared" si="3"/>
        <v>0</v>
      </c>
    </row>
    <row r="274">
      <c r="B274" s="140">
        <v>45715.0</v>
      </c>
      <c r="C274" s="141" t="str">
        <f t="shared" si="1"/>
        <v>2-2025</v>
      </c>
      <c r="D274" s="165">
        <f t="shared" si="40"/>
        <v>1760</v>
      </c>
      <c r="E274" s="28">
        <v>1771.0</v>
      </c>
      <c r="F274" s="54">
        <f t="shared" si="6"/>
        <v>11</v>
      </c>
      <c r="G274" s="54">
        <f t="shared" si="3"/>
        <v>1</v>
      </c>
    </row>
    <row r="275">
      <c r="B275" s="140">
        <v>45716.0</v>
      </c>
      <c r="C275" s="141" t="str">
        <f t="shared" si="1"/>
        <v>2-2025</v>
      </c>
      <c r="D275" s="165">
        <f t="shared" si="40"/>
        <v>1771</v>
      </c>
      <c r="E275" s="28">
        <v>1782.0</v>
      </c>
      <c r="F275" s="54">
        <f t="shared" si="6"/>
        <v>11</v>
      </c>
      <c r="G275" s="54">
        <f t="shared" si="3"/>
        <v>1</v>
      </c>
    </row>
    <row r="276">
      <c r="B276" s="145">
        <v>45717.0</v>
      </c>
      <c r="C276" s="141" t="str">
        <f t="shared" si="1"/>
        <v>3-2025</v>
      </c>
      <c r="D276" s="28">
        <v>1782.0</v>
      </c>
      <c r="E276" s="28">
        <v>1785.0</v>
      </c>
      <c r="F276" s="54">
        <f t="shared" si="6"/>
        <v>3</v>
      </c>
      <c r="G276" s="54">
        <f t="shared" si="3"/>
        <v>-7</v>
      </c>
    </row>
    <row r="277">
      <c r="B277" s="145">
        <v>45718.0</v>
      </c>
      <c r="C277" s="141" t="str">
        <f t="shared" si="1"/>
        <v>3-2025</v>
      </c>
      <c r="F277" s="54">
        <f t="shared" si="6"/>
        <v>0</v>
      </c>
      <c r="G277" s="54">
        <f t="shared" si="3"/>
        <v>-10</v>
      </c>
    </row>
    <row r="278">
      <c r="B278" s="140">
        <v>45719.0</v>
      </c>
      <c r="C278" s="141" t="str">
        <f t="shared" si="1"/>
        <v>3-2025</v>
      </c>
      <c r="D278" s="28">
        <v>1785.0</v>
      </c>
      <c r="E278" s="28">
        <v>1796.0</v>
      </c>
      <c r="F278" s="54">
        <f t="shared" si="6"/>
        <v>11</v>
      </c>
      <c r="G278" s="54">
        <f t="shared" si="3"/>
        <v>1</v>
      </c>
    </row>
    <row r="279">
      <c r="B279" s="140">
        <v>45720.0</v>
      </c>
      <c r="C279" s="141" t="str">
        <f t="shared" si="1"/>
        <v>3-2025</v>
      </c>
      <c r="D279" s="165">
        <f t="shared" ref="D279:D282" si="41">E278</f>
        <v>1796</v>
      </c>
      <c r="E279" s="28">
        <v>1806.0</v>
      </c>
      <c r="F279" s="54">
        <f t="shared" si="6"/>
        <v>10</v>
      </c>
      <c r="G279" s="54">
        <f t="shared" si="3"/>
        <v>0</v>
      </c>
    </row>
    <row r="280">
      <c r="B280" s="140">
        <v>45721.0</v>
      </c>
      <c r="C280" s="141" t="str">
        <f t="shared" si="1"/>
        <v>3-2025</v>
      </c>
      <c r="D280" s="165">
        <f t="shared" si="41"/>
        <v>1806</v>
      </c>
      <c r="E280" s="28">
        <v>1817.0</v>
      </c>
      <c r="F280" s="54">
        <f t="shared" si="6"/>
        <v>11</v>
      </c>
      <c r="G280" s="54">
        <f t="shared" si="3"/>
        <v>1</v>
      </c>
    </row>
    <row r="281">
      <c r="B281" s="140">
        <v>45722.0</v>
      </c>
      <c r="C281" s="141" t="str">
        <f t="shared" si="1"/>
        <v>3-2025</v>
      </c>
      <c r="D281" s="165">
        <f t="shared" si="41"/>
        <v>1817</v>
      </c>
      <c r="E281" s="28">
        <v>1827.0</v>
      </c>
      <c r="F281" s="54">
        <f t="shared" si="6"/>
        <v>10</v>
      </c>
      <c r="G281" s="54">
        <f t="shared" si="3"/>
        <v>0</v>
      </c>
    </row>
    <row r="282">
      <c r="B282" s="140">
        <v>45723.0</v>
      </c>
      <c r="C282" s="141" t="str">
        <f t="shared" si="1"/>
        <v>3-2025</v>
      </c>
      <c r="D282" s="165">
        <f t="shared" si="41"/>
        <v>1827</v>
      </c>
      <c r="E282" s="28">
        <v>1837.5</v>
      </c>
      <c r="F282" s="54">
        <f t="shared" si="6"/>
        <v>10.5</v>
      </c>
      <c r="G282" s="54">
        <f t="shared" si="3"/>
        <v>0.5</v>
      </c>
    </row>
    <row r="283">
      <c r="B283" s="145">
        <v>45724.0</v>
      </c>
      <c r="C283" s="141" t="str">
        <f t="shared" si="1"/>
        <v>3-2025</v>
      </c>
      <c r="F283" s="54">
        <f t="shared" si="6"/>
        <v>0</v>
      </c>
      <c r="G283" s="54">
        <f t="shared" si="3"/>
        <v>-10</v>
      </c>
    </row>
    <row r="284">
      <c r="B284" s="145">
        <v>45725.0</v>
      </c>
      <c r="C284" s="141" t="str">
        <f t="shared" si="1"/>
        <v>3-2025</v>
      </c>
      <c r="D284" s="165" t="str">
        <f>E283</f>
        <v/>
      </c>
      <c r="F284" s="54">
        <f t="shared" si="6"/>
        <v>0</v>
      </c>
      <c r="G284" s="54">
        <f t="shared" si="3"/>
        <v>-10</v>
      </c>
    </row>
    <row r="285">
      <c r="B285" s="140">
        <v>45726.0</v>
      </c>
      <c r="C285" s="141" t="str">
        <f t="shared" si="1"/>
        <v>3-2025</v>
      </c>
      <c r="D285" s="28">
        <v>1837.5</v>
      </c>
      <c r="E285" s="28">
        <v>1841.0</v>
      </c>
      <c r="F285" s="54">
        <f t="shared" si="6"/>
        <v>3.5</v>
      </c>
      <c r="G285" s="54">
        <f t="shared" si="3"/>
        <v>-6.5</v>
      </c>
    </row>
    <row r="286">
      <c r="B286" s="140">
        <v>45727.0</v>
      </c>
      <c r="C286" s="141" t="str">
        <f t="shared" si="1"/>
        <v>3-2025</v>
      </c>
      <c r="D286" s="165">
        <f t="shared" ref="D286:D290" si="42">E285</f>
        <v>1841</v>
      </c>
      <c r="E286" s="28">
        <v>1852.0</v>
      </c>
      <c r="F286" s="54">
        <f t="shared" si="6"/>
        <v>11</v>
      </c>
      <c r="G286" s="54">
        <f t="shared" si="3"/>
        <v>1</v>
      </c>
    </row>
    <row r="287">
      <c r="B287" s="140">
        <v>45728.0</v>
      </c>
      <c r="C287" s="141" t="str">
        <f t="shared" si="1"/>
        <v>3-2025</v>
      </c>
      <c r="D287" s="165">
        <f t="shared" si="42"/>
        <v>1852</v>
      </c>
      <c r="E287" s="28">
        <v>1863.0</v>
      </c>
      <c r="F287" s="54">
        <f t="shared" si="6"/>
        <v>11</v>
      </c>
      <c r="G287" s="54">
        <f t="shared" si="3"/>
        <v>1</v>
      </c>
    </row>
    <row r="288">
      <c r="B288" s="140">
        <v>45729.0</v>
      </c>
      <c r="C288" s="141" t="str">
        <f t="shared" si="1"/>
        <v>3-2025</v>
      </c>
      <c r="D288" s="165">
        <f t="shared" si="42"/>
        <v>1863</v>
      </c>
      <c r="E288" s="28">
        <v>1874.0</v>
      </c>
      <c r="F288" s="54">
        <f t="shared" si="6"/>
        <v>11</v>
      </c>
      <c r="G288" s="54">
        <f t="shared" si="3"/>
        <v>1</v>
      </c>
    </row>
    <row r="289">
      <c r="B289" s="140">
        <v>45730.0</v>
      </c>
      <c r="C289" s="141" t="str">
        <f t="shared" si="1"/>
        <v>3-2025</v>
      </c>
      <c r="D289" s="165">
        <f t="shared" si="42"/>
        <v>1874</v>
      </c>
      <c r="E289" s="28">
        <v>1886.0</v>
      </c>
      <c r="F289" s="54">
        <f t="shared" si="6"/>
        <v>12</v>
      </c>
      <c r="G289" s="54">
        <f t="shared" si="3"/>
        <v>2</v>
      </c>
    </row>
    <row r="290">
      <c r="B290" s="145">
        <v>45731.0</v>
      </c>
      <c r="C290" s="141" t="str">
        <f t="shared" si="1"/>
        <v>3-2025</v>
      </c>
      <c r="D290" s="165">
        <f t="shared" si="42"/>
        <v>1886</v>
      </c>
      <c r="E290" s="28">
        <v>1906.2</v>
      </c>
      <c r="F290" s="54">
        <f t="shared" si="6"/>
        <v>20.2</v>
      </c>
      <c r="G290" s="54">
        <f t="shared" si="3"/>
        <v>10.2</v>
      </c>
    </row>
    <row r="291">
      <c r="B291" s="145">
        <v>45732.0</v>
      </c>
      <c r="C291" s="141" t="str">
        <f t="shared" si="1"/>
        <v>3-2025</v>
      </c>
      <c r="F291" s="54">
        <f t="shared" si="6"/>
        <v>0</v>
      </c>
      <c r="G291" s="54">
        <f t="shared" si="3"/>
        <v>-10</v>
      </c>
    </row>
    <row r="292">
      <c r="B292" s="140">
        <v>45733.0</v>
      </c>
      <c r="C292" s="141" t="str">
        <f t="shared" si="1"/>
        <v>3-2025</v>
      </c>
      <c r="D292" s="28">
        <v>1906.2</v>
      </c>
      <c r="E292" s="28">
        <v>1916.0</v>
      </c>
      <c r="F292" s="54">
        <f t="shared" si="6"/>
        <v>9.8</v>
      </c>
      <c r="G292" s="54">
        <f t="shared" si="3"/>
        <v>-0.2</v>
      </c>
    </row>
    <row r="293">
      <c r="B293" s="140">
        <v>45734.0</v>
      </c>
      <c r="C293" s="141" t="str">
        <f t="shared" si="1"/>
        <v>3-2025</v>
      </c>
      <c r="D293" s="165">
        <f t="shared" ref="D293:D297" si="43">E292</f>
        <v>1916</v>
      </c>
      <c r="E293" s="28">
        <v>1927.0</v>
      </c>
      <c r="F293" s="54">
        <f t="shared" si="6"/>
        <v>11</v>
      </c>
      <c r="G293" s="54">
        <f t="shared" si="3"/>
        <v>1</v>
      </c>
    </row>
    <row r="294">
      <c r="B294" s="140">
        <v>45735.0</v>
      </c>
      <c r="C294" s="141" t="str">
        <f t="shared" si="1"/>
        <v>3-2025</v>
      </c>
      <c r="D294" s="165">
        <f t="shared" si="43"/>
        <v>1927</v>
      </c>
      <c r="E294" s="28">
        <v>1938.0</v>
      </c>
      <c r="F294" s="54">
        <f t="shared" si="6"/>
        <v>11</v>
      </c>
      <c r="G294" s="54">
        <f t="shared" si="3"/>
        <v>1</v>
      </c>
    </row>
    <row r="295">
      <c r="B295" s="140">
        <v>45736.0</v>
      </c>
      <c r="C295" s="141" t="str">
        <f t="shared" si="1"/>
        <v>3-2025</v>
      </c>
      <c r="D295" s="165">
        <f t="shared" si="43"/>
        <v>1938</v>
      </c>
      <c r="E295" s="28">
        <v>1950.0</v>
      </c>
      <c r="F295" s="54">
        <f t="shared" si="6"/>
        <v>12</v>
      </c>
      <c r="G295" s="54">
        <f t="shared" si="3"/>
        <v>2</v>
      </c>
    </row>
    <row r="296">
      <c r="B296" s="140">
        <v>45737.0</v>
      </c>
      <c r="C296" s="141" t="str">
        <f t="shared" si="1"/>
        <v>3-2025</v>
      </c>
      <c r="D296" s="165">
        <f t="shared" si="43"/>
        <v>1950</v>
      </c>
      <c r="E296" s="28">
        <v>1961.0</v>
      </c>
      <c r="F296" s="54">
        <f t="shared" si="6"/>
        <v>11</v>
      </c>
      <c r="G296" s="54">
        <f t="shared" si="3"/>
        <v>1</v>
      </c>
    </row>
    <row r="297">
      <c r="B297" s="145">
        <v>45738.0</v>
      </c>
      <c r="C297" s="141" t="str">
        <f t="shared" si="1"/>
        <v>3-2025</v>
      </c>
      <c r="D297" s="165">
        <f t="shared" si="43"/>
        <v>1961</v>
      </c>
      <c r="E297" s="28">
        <v>1971.0</v>
      </c>
      <c r="F297" s="54">
        <f t="shared" si="6"/>
        <v>10</v>
      </c>
      <c r="G297" s="54">
        <f t="shared" si="3"/>
        <v>0</v>
      </c>
    </row>
    <row r="298">
      <c r="B298" s="145">
        <v>45739.0</v>
      </c>
      <c r="C298" s="141" t="str">
        <f t="shared" si="1"/>
        <v>3-2025</v>
      </c>
      <c r="F298" s="54">
        <f t="shared" si="6"/>
        <v>0</v>
      </c>
      <c r="G298" s="54">
        <f t="shared" si="3"/>
        <v>-10</v>
      </c>
    </row>
    <row r="299">
      <c r="B299" s="140">
        <v>45740.0</v>
      </c>
      <c r="C299" s="141" t="str">
        <f t="shared" si="1"/>
        <v>3-2025</v>
      </c>
      <c r="D299" s="28">
        <v>1971.0</v>
      </c>
      <c r="E299" s="28">
        <v>1982.0</v>
      </c>
      <c r="F299" s="54">
        <f t="shared" si="6"/>
        <v>11</v>
      </c>
      <c r="G299" s="54">
        <f t="shared" si="3"/>
        <v>1</v>
      </c>
    </row>
    <row r="300">
      <c r="B300" s="140">
        <v>45741.0</v>
      </c>
      <c r="C300" s="141" t="str">
        <f t="shared" si="1"/>
        <v>3-2025</v>
      </c>
      <c r="D300" s="165">
        <f t="shared" ref="D300:D304" si="44">E299</f>
        <v>1982</v>
      </c>
      <c r="E300" s="28">
        <v>1994.0</v>
      </c>
      <c r="F300" s="54">
        <f t="shared" si="6"/>
        <v>12</v>
      </c>
      <c r="G300" s="54">
        <f t="shared" si="3"/>
        <v>2</v>
      </c>
    </row>
    <row r="301">
      <c r="B301" s="140">
        <v>45742.0</v>
      </c>
      <c r="C301" s="141" t="str">
        <f t="shared" si="1"/>
        <v>3-2025</v>
      </c>
      <c r="D301" s="165">
        <f t="shared" si="44"/>
        <v>1994</v>
      </c>
      <c r="E301" s="28">
        <v>2005.1</v>
      </c>
      <c r="F301" s="54">
        <f t="shared" si="6"/>
        <v>11.1</v>
      </c>
      <c r="G301" s="54">
        <f t="shared" si="3"/>
        <v>1.1</v>
      </c>
    </row>
    <row r="302">
      <c r="B302" s="140">
        <v>45743.0</v>
      </c>
      <c r="C302" s="141" t="str">
        <f t="shared" si="1"/>
        <v>3-2025</v>
      </c>
      <c r="D302" s="165">
        <f t="shared" si="44"/>
        <v>2005.1</v>
      </c>
      <c r="E302" s="28">
        <v>2012.2</v>
      </c>
      <c r="F302" s="54">
        <f t="shared" si="6"/>
        <v>7.1</v>
      </c>
      <c r="G302" s="54">
        <f t="shared" si="3"/>
        <v>-2.9</v>
      </c>
    </row>
    <row r="303">
      <c r="B303" s="140">
        <v>45744.0</v>
      </c>
      <c r="C303" s="141" t="str">
        <f t="shared" si="1"/>
        <v>3-2025</v>
      </c>
      <c r="D303" s="165">
        <f t="shared" si="44"/>
        <v>2012.2</v>
      </c>
      <c r="E303" s="28">
        <v>2019.8</v>
      </c>
      <c r="F303" s="54">
        <f t="shared" si="6"/>
        <v>7.6</v>
      </c>
      <c r="G303" s="54">
        <f t="shared" si="3"/>
        <v>-2.4</v>
      </c>
    </row>
    <row r="304">
      <c r="B304" s="145">
        <v>45745.0</v>
      </c>
      <c r="C304" s="141" t="str">
        <f t="shared" si="1"/>
        <v>3-2025</v>
      </c>
      <c r="D304" s="165">
        <f t="shared" si="44"/>
        <v>2019.8</v>
      </c>
      <c r="E304" s="28">
        <v>2028.0</v>
      </c>
      <c r="F304" s="54">
        <f t="shared" si="6"/>
        <v>8.2</v>
      </c>
      <c r="G304" s="54">
        <f t="shared" si="3"/>
        <v>-1.8</v>
      </c>
    </row>
    <row r="305">
      <c r="B305" s="145">
        <v>45746.0</v>
      </c>
      <c r="C305" s="141" t="str">
        <f t="shared" si="1"/>
        <v>3-2025</v>
      </c>
      <c r="F305" s="54">
        <f t="shared" si="6"/>
        <v>0</v>
      </c>
      <c r="G305" s="54">
        <f t="shared" si="3"/>
        <v>-10</v>
      </c>
    </row>
    <row r="306">
      <c r="B306" s="140">
        <v>45747.0</v>
      </c>
      <c r="C306" s="141" t="str">
        <f t="shared" si="1"/>
        <v>3-2025</v>
      </c>
      <c r="D306" s="28">
        <v>2028.0</v>
      </c>
      <c r="E306" s="28">
        <v>2039.1</v>
      </c>
      <c r="F306" s="54">
        <f t="shared" si="6"/>
        <v>11.1</v>
      </c>
      <c r="G306" s="54">
        <f t="shared" si="3"/>
        <v>1.1</v>
      </c>
    </row>
    <row r="307">
      <c r="B307" s="140">
        <v>45748.0</v>
      </c>
      <c r="C307" s="141" t="str">
        <f t="shared" si="1"/>
        <v>4-2025</v>
      </c>
      <c r="D307" s="28">
        <v>2039.1</v>
      </c>
      <c r="E307" s="28">
        <v>2048.0</v>
      </c>
      <c r="F307" s="54">
        <f t="shared" si="6"/>
        <v>8.9</v>
      </c>
      <c r="G307" s="54">
        <f t="shared" si="3"/>
        <v>-1.1</v>
      </c>
      <c r="H307" s="28">
        <v>200.0</v>
      </c>
    </row>
    <row r="308">
      <c r="B308" s="140">
        <v>45749.0</v>
      </c>
      <c r="C308" s="141" t="str">
        <f t="shared" si="1"/>
        <v>4-2025</v>
      </c>
      <c r="D308" s="165">
        <f t="shared" ref="D308:D310" si="45">E307</f>
        <v>2048</v>
      </c>
      <c r="E308" s="28">
        <v>2052.0</v>
      </c>
      <c r="F308" s="54">
        <f t="shared" si="6"/>
        <v>4</v>
      </c>
      <c r="G308" s="54">
        <f t="shared" si="3"/>
        <v>-6</v>
      </c>
    </row>
    <row r="309">
      <c r="B309" s="140">
        <v>45750.0</v>
      </c>
      <c r="C309" s="141" t="str">
        <f t="shared" si="1"/>
        <v>4-2025</v>
      </c>
      <c r="D309" s="165">
        <f t="shared" si="45"/>
        <v>2052</v>
      </c>
      <c r="E309" s="28">
        <v>2060.0</v>
      </c>
      <c r="F309" s="54">
        <f t="shared" si="6"/>
        <v>8</v>
      </c>
      <c r="G309" s="54">
        <f t="shared" si="3"/>
        <v>-2</v>
      </c>
    </row>
    <row r="310">
      <c r="B310" s="140">
        <v>45751.0</v>
      </c>
      <c r="C310" s="141" t="str">
        <f t="shared" si="1"/>
        <v>4-2025</v>
      </c>
      <c r="D310" s="165">
        <f t="shared" si="45"/>
        <v>2060</v>
      </c>
      <c r="E310" s="28">
        <v>2070.0</v>
      </c>
      <c r="F310" s="54">
        <f t="shared" si="6"/>
        <v>10</v>
      </c>
      <c r="G310" s="54">
        <f t="shared" si="3"/>
        <v>0</v>
      </c>
    </row>
    <row r="311">
      <c r="B311" s="152">
        <v>45752.0</v>
      </c>
      <c r="C311" s="141" t="str">
        <f t="shared" si="1"/>
        <v>4-2025</v>
      </c>
      <c r="F311" s="54">
        <f t="shared" si="6"/>
        <v>0</v>
      </c>
      <c r="G311" s="54">
        <f t="shared" si="3"/>
        <v>-10</v>
      </c>
    </row>
    <row r="312">
      <c r="B312" s="152">
        <v>45753.0</v>
      </c>
      <c r="C312" s="141" t="str">
        <f t="shared" si="1"/>
        <v>4-2025</v>
      </c>
      <c r="D312" s="165" t="str">
        <f t="shared" ref="D312:D313" si="46">E311</f>
        <v/>
      </c>
      <c r="F312" s="54">
        <f t="shared" si="6"/>
        <v>0</v>
      </c>
      <c r="G312" s="54">
        <f t="shared" si="3"/>
        <v>-10</v>
      </c>
    </row>
    <row r="313">
      <c r="B313" s="140">
        <v>45754.0</v>
      </c>
      <c r="C313" s="141" t="str">
        <f t="shared" si="1"/>
        <v>4-2025</v>
      </c>
      <c r="D313" s="165" t="str">
        <f t="shared" si="46"/>
        <v/>
      </c>
      <c r="F313" s="54">
        <f t="shared" si="6"/>
        <v>0</v>
      </c>
      <c r="G313" s="54">
        <f t="shared" si="3"/>
        <v>-10</v>
      </c>
    </row>
    <row r="314">
      <c r="B314" s="140">
        <v>45755.0</v>
      </c>
      <c r="C314" s="141" t="str">
        <f t="shared" si="1"/>
        <v>4-2025</v>
      </c>
      <c r="D314" s="28">
        <v>2071.5</v>
      </c>
      <c r="E314" s="28">
        <v>2073.0</v>
      </c>
      <c r="F314" s="54">
        <f t="shared" si="6"/>
        <v>1.5</v>
      </c>
      <c r="G314" s="54">
        <f t="shared" si="3"/>
        <v>-8.5</v>
      </c>
      <c r="H314" s="28">
        <v>186.0</v>
      </c>
    </row>
    <row r="315">
      <c r="B315" s="140">
        <v>45756.0</v>
      </c>
      <c r="C315" s="141" t="str">
        <f t="shared" si="1"/>
        <v>4-2025</v>
      </c>
      <c r="D315" s="165">
        <f t="shared" ref="D315:D318" si="47">E314</f>
        <v>2073</v>
      </c>
      <c r="E315" s="28">
        <v>2077.0</v>
      </c>
      <c r="F315" s="54">
        <f t="shared" si="6"/>
        <v>4</v>
      </c>
      <c r="G315" s="54">
        <f t="shared" si="3"/>
        <v>-6</v>
      </c>
    </row>
    <row r="316">
      <c r="B316" s="140">
        <v>45757.0</v>
      </c>
      <c r="C316" s="141" t="str">
        <f t="shared" si="1"/>
        <v>4-2025</v>
      </c>
      <c r="D316" s="165">
        <f t="shared" si="47"/>
        <v>2077</v>
      </c>
      <c r="E316" s="28">
        <v>2087.0</v>
      </c>
      <c r="F316" s="54">
        <f t="shared" si="6"/>
        <v>10</v>
      </c>
      <c r="G316" s="54">
        <f t="shared" si="3"/>
        <v>0</v>
      </c>
    </row>
    <row r="317">
      <c r="B317" s="140">
        <v>45758.0</v>
      </c>
      <c r="C317" s="141" t="str">
        <f t="shared" si="1"/>
        <v>4-2025</v>
      </c>
      <c r="D317" s="165">
        <f t="shared" si="47"/>
        <v>2087</v>
      </c>
      <c r="E317" s="28">
        <v>2097.0</v>
      </c>
      <c r="F317" s="54">
        <f t="shared" si="6"/>
        <v>10</v>
      </c>
      <c r="G317" s="54">
        <f t="shared" si="3"/>
        <v>0</v>
      </c>
    </row>
    <row r="318">
      <c r="B318" s="152">
        <v>45759.0</v>
      </c>
      <c r="C318" s="141" t="str">
        <f t="shared" si="1"/>
        <v>4-2025</v>
      </c>
      <c r="D318" s="165">
        <f t="shared" si="47"/>
        <v>2097</v>
      </c>
      <c r="E318" s="28">
        <v>2106.0</v>
      </c>
      <c r="F318" s="54">
        <f t="shared" si="6"/>
        <v>9</v>
      </c>
      <c r="G318" s="54">
        <f t="shared" si="3"/>
        <v>-1</v>
      </c>
    </row>
    <row r="319">
      <c r="B319" s="152">
        <v>45760.0</v>
      </c>
      <c r="C319" s="141" t="str">
        <f t="shared" si="1"/>
        <v>4-2025</v>
      </c>
      <c r="F319" s="54">
        <f t="shared" si="6"/>
        <v>0</v>
      </c>
      <c r="G319" s="54">
        <f t="shared" si="3"/>
        <v>-10</v>
      </c>
    </row>
    <row r="320">
      <c r="B320" s="140">
        <v>45761.0</v>
      </c>
      <c r="C320" s="141" t="str">
        <f t="shared" si="1"/>
        <v>4-2025</v>
      </c>
      <c r="D320" s="28">
        <v>2106.0</v>
      </c>
      <c r="E320" s="28">
        <v>2116.0</v>
      </c>
      <c r="F320" s="54">
        <f t="shared" si="6"/>
        <v>10</v>
      </c>
      <c r="G320" s="54">
        <f t="shared" si="3"/>
        <v>0</v>
      </c>
    </row>
    <row r="321">
      <c r="B321" s="140">
        <v>45762.0</v>
      </c>
      <c r="C321" s="141" t="str">
        <f t="shared" si="1"/>
        <v>4-2025</v>
      </c>
      <c r="D321" s="165">
        <f t="shared" ref="D321:D324" si="48">E320</f>
        <v>2116</v>
      </c>
      <c r="E321" s="28">
        <v>2126.0</v>
      </c>
      <c r="F321" s="54">
        <f t="shared" si="6"/>
        <v>10</v>
      </c>
      <c r="G321" s="54">
        <f t="shared" si="3"/>
        <v>0</v>
      </c>
    </row>
    <row r="322">
      <c r="B322" s="140">
        <v>45763.0</v>
      </c>
      <c r="C322" s="141" t="str">
        <f t="shared" si="1"/>
        <v>4-2025</v>
      </c>
      <c r="D322" s="165">
        <f t="shared" si="48"/>
        <v>2126</v>
      </c>
      <c r="E322" s="28">
        <v>2134.0</v>
      </c>
      <c r="F322" s="54">
        <f t="shared" si="6"/>
        <v>8</v>
      </c>
      <c r="G322" s="54">
        <f t="shared" si="3"/>
        <v>-2</v>
      </c>
    </row>
    <row r="323">
      <c r="B323" s="140">
        <v>45764.0</v>
      </c>
      <c r="C323" s="141" t="str">
        <f t="shared" si="1"/>
        <v>4-2025</v>
      </c>
      <c r="D323" s="165">
        <f t="shared" si="48"/>
        <v>2134</v>
      </c>
      <c r="E323" s="28">
        <v>2144.0</v>
      </c>
      <c r="F323" s="54">
        <f t="shared" si="6"/>
        <v>10</v>
      </c>
      <c r="G323" s="54">
        <f t="shared" si="3"/>
        <v>0</v>
      </c>
    </row>
    <row r="324">
      <c r="B324" s="153">
        <v>45765.0</v>
      </c>
      <c r="C324" s="141" t="str">
        <f t="shared" si="1"/>
        <v>4-2025</v>
      </c>
      <c r="D324" s="165">
        <f t="shared" si="48"/>
        <v>2144</v>
      </c>
      <c r="E324" s="28">
        <v>2153.0</v>
      </c>
      <c r="F324" s="54">
        <f t="shared" si="6"/>
        <v>9</v>
      </c>
      <c r="G324" s="54">
        <f t="shared" si="3"/>
        <v>-1</v>
      </c>
    </row>
    <row r="325">
      <c r="B325" s="152">
        <v>45766.0</v>
      </c>
      <c r="C325" s="141" t="str">
        <f t="shared" si="1"/>
        <v>4-2025</v>
      </c>
      <c r="F325" s="54">
        <f t="shared" si="6"/>
        <v>0</v>
      </c>
      <c r="G325" s="54">
        <f t="shared" si="3"/>
        <v>-10</v>
      </c>
    </row>
    <row r="326">
      <c r="B326" s="152">
        <v>45767.0</v>
      </c>
      <c r="C326" s="141" t="str">
        <f t="shared" si="1"/>
        <v>4-2025</v>
      </c>
      <c r="D326" s="165" t="str">
        <f>E325</f>
        <v/>
      </c>
      <c r="F326" s="54">
        <f t="shared" si="6"/>
        <v>0</v>
      </c>
      <c r="G326" s="54">
        <f t="shared" si="3"/>
        <v>-10</v>
      </c>
    </row>
    <row r="327">
      <c r="B327" s="153">
        <v>45768.0</v>
      </c>
      <c r="C327" s="141" t="str">
        <f t="shared" si="1"/>
        <v>4-2025</v>
      </c>
      <c r="D327" s="28">
        <v>2153.0</v>
      </c>
      <c r="E327" s="28">
        <v>2162.0</v>
      </c>
      <c r="F327" s="54">
        <f t="shared" si="6"/>
        <v>9</v>
      </c>
      <c r="G327" s="54">
        <f t="shared" si="3"/>
        <v>-1</v>
      </c>
    </row>
    <row r="328">
      <c r="B328" s="140">
        <v>45769.0</v>
      </c>
      <c r="C328" s="141" t="str">
        <f t="shared" si="1"/>
        <v>4-2025</v>
      </c>
      <c r="D328" s="165">
        <f t="shared" ref="D328:D330" si="49">E327</f>
        <v>2162</v>
      </c>
      <c r="E328" s="28">
        <v>2173.0</v>
      </c>
      <c r="F328" s="54">
        <f t="shared" si="6"/>
        <v>11</v>
      </c>
      <c r="G328" s="54">
        <f t="shared" si="3"/>
        <v>1</v>
      </c>
      <c r="H328" s="28">
        <v>655.0</v>
      </c>
      <c r="I328" s="28" t="s">
        <v>175</v>
      </c>
    </row>
    <row r="329">
      <c r="B329" s="140">
        <v>45770.0</v>
      </c>
      <c r="C329" s="141" t="str">
        <f t="shared" si="1"/>
        <v>4-2025</v>
      </c>
      <c r="D329" s="165">
        <f t="shared" si="49"/>
        <v>2173</v>
      </c>
      <c r="E329" s="28">
        <v>2184.0</v>
      </c>
      <c r="F329" s="54">
        <f t="shared" si="6"/>
        <v>11</v>
      </c>
      <c r="G329" s="54">
        <f t="shared" si="3"/>
        <v>1</v>
      </c>
    </row>
    <row r="330">
      <c r="B330" s="140">
        <v>45771.0</v>
      </c>
      <c r="C330" s="141" t="str">
        <f t="shared" si="1"/>
        <v>4-2025</v>
      </c>
      <c r="D330" s="165">
        <f t="shared" si="49"/>
        <v>2184</v>
      </c>
      <c r="E330" s="28">
        <v>2194.8</v>
      </c>
      <c r="F330" s="54">
        <f t="shared" si="6"/>
        <v>10.8</v>
      </c>
      <c r="G330" s="54">
        <f t="shared" si="3"/>
        <v>0.8</v>
      </c>
    </row>
    <row r="331">
      <c r="B331" s="140">
        <v>45772.0</v>
      </c>
      <c r="C331" s="141" t="str">
        <f t="shared" si="1"/>
        <v>4-2025</v>
      </c>
      <c r="F331" s="54">
        <f t="shared" si="6"/>
        <v>0</v>
      </c>
      <c r="G331" s="54">
        <f t="shared" si="3"/>
        <v>-10</v>
      </c>
    </row>
    <row r="332">
      <c r="B332" s="152">
        <v>45773.0</v>
      </c>
      <c r="C332" s="141" t="str">
        <f t="shared" si="1"/>
        <v>4-2025</v>
      </c>
      <c r="D332" s="165" t="str">
        <f t="shared" ref="D332:D333" si="50">E331</f>
        <v/>
      </c>
      <c r="F332" s="54">
        <f t="shared" si="6"/>
        <v>0</v>
      </c>
      <c r="G332" s="54">
        <f t="shared" si="3"/>
        <v>-10</v>
      </c>
    </row>
    <row r="333">
      <c r="B333" s="152">
        <v>45774.0</v>
      </c>
      <c r="C333" s="141" t="str">
        <f t="shared" si="1"/>
        <v>4-2025</v>
      </c>
      <c r="D333" s="165" t="str">
        <f t="shared" si="50"/>
        <v/>
      </c>
      <c r="F333" s="54">
        <f t="shared" si="6"/>
        <v>0</v>
      </c>
      <c r="G333" s="54">
        <f t="shared" si="3"/>
        <v>-10</v>
      </c>
    </row>
    <row r="334">
      <c r="B334" s="140">
        <v>45775.0</v>
      </c>
      <c r="C334" s="141" t="str">
        <f t="shared" si="1"/>
        <v>4-2025</v>
      </c>
      <c r="D334" s="28">
        <v>2195.6</v>
      </c>
      <c r="E334" s="28">
        <v>2208.0</v>
      </c>
      <c r="F334" s="54">
        <f t="shared" si="6"/>
        <v>12.4</v>
      </c>
      <c r="G334" s="54">
        <f t="shared" si="3"/>
        <v>2.4</v>
      </c>
      <c r="H334" s="28">
        <v>342.0</v>
      </c>
    </row>
    <row r="335">
      <c r="B335" s="140">
        <v>45776.0</v>
      </c>
      <c r="C335" s="141" t="str">
        <f t="shared" si="1"/>
        <v>4-2025</v>
      </c>
      <c r="D335" s="165">
        <f t="shared" ref="D335:D336" si="51">E334</f>
        <v>2208</v>
      </c>
      <c r="E335" s="28">
        <v>2220.0</v>
      </c>
      <c r="F335" s="54">
        <f t="shared" si="6"/>
        <v>12</v>
      </c>
      <c r="G335" s="54">
        <f t="shared" si="3"/>
        <v>2</v>
      </c>
    </row>
    <row r="336">
      <c r="B336" s="140">
        <v>45777.0</v>
      </c>
      <c r="C336" s="141" t="str">
        <f t="shared" si="1"/>
        <v>4-2025</v>
      </c>
      <c r="D336" s="165">
        <f t="shared" si="51"/>
        <v>2220</v>
      </c>
      <c r="E336" s="28">
        <v>2232.0</v>
      </c>
      <c r="F336" s="54">
        <f t="shared" si="6"/>
        <v>12</v>
      </c>
      <c r="G336" s="54">
        <f t="shared" si="3"/>
        <v>2</v>
      </c>
      <c r="H336" s="28">
        <v>139.0</v>
      </c>
    </row>
    <row r="337">
      <c r="B337" s="154">
        <v>45778.0</v>
      </c>
      <c r="C337" s="141" t="str">
        <f t="shared" si="1"/>
        <v>5-2025</v>
      </c>
      <c r="D337" s="28">
        <v>2232.0</v>
      </c>
      <c r="E337" s="28">
        <v>2237.0</v>
      </c>
      <c r="F337" s="54">
        <f t="shared" si="6"/>
        <v>5</v>
      </c>
      <c r="G337" s="54">
        <f t="shared" si="3"/>
        <v>-5</v>
      </c>
    </row>
    <row r="338">
      <c r="B338" s="140">
        <v>45779.0</v>
      </c>
      <c r="C338" s="141" t="str">
        <f t="shared" si="1"/>
        <v>5-2025</v>
      </c>
      <c r="D338" s="165">
        <f>E337</f>
        <v>2237</v>
      </c>
      <c r="E338" s="28">
        <v>2242.0</v>
      </c>
      <c r="F338" s="54">
        <f t="shared" si="6"/>
        <v>5</v>
      </c>
      <c r="G338" s="54">
        <f t="shared" si="3"/>
        <v>-5</v>
      </c>
    </row>
    <row r="339">
      <c r="B339" s="145">
        <v>45780.0</v>
      </c>
      <c r="C339" s="141" t="str">
        <f t="shared" si="1"/>
        <v>5-2025</v>
      </c>
      <c r="F339" s="54">
        <f t="shared" si="6"/>
        <v>0</v>
      </c>
      <c r="G339" s="54">
        <f t="shared" si="3"/>
        <v>-10</v>
      </c>
    </row>
    <row r="340">
      <c r="B340" s="145">
        <v>45781.0</v>
      </c>
      <c r="C340" s="141" t="str">
        <f t="shared" si="1"/>
        <v>5-2025</v>
      </c>
      <c r="D340" s="165" t="str">
        <f t="shared" ref="D340:D341" si="52">E339</f>
        <v/>
      </c>
      <c r="F340" s="54">
        <f t="shared" si="6"/>
        <v>0</v>
      </c>
      <c r="G340" s="54">
        <f t="shared" si="3"/>
        <v>-10</v>
      </c>
    </row>
    <row r="341">
      <c r="B341" s="140">
        <v>45782.0</v>
      </c>
      <c r="C341" s="141" t="str">
        <f t="shared" si="1"/>
        <v>5-2025</v>
      </c>
      <c r="D341" s="165" t="str">
        <f t="shared" si="52"/>
        <v/>
      </c>
      <c r="F341" s="54">
        <f t="shared" si="6"/>
        <v>0</v>
      </c>
      <c r="G341" s="54">
        <f t="shared" si="3"/>
        <v>-10</v>
      </c>
    </row>
    <row r="342">
      <c r="B342" s="140">
        <v>45783.0</v>
      </c>
      <c r="C342" s="141" t="str">
        <f t="shared" si="1"/>
        <v>5-2025</v>
      </c>
      <c r="D342" s="28">
        <v>2242.0</v>
      </c>
      <c r="E342" s="28">
        <v>2252.0</v>
      </c>
      <c r="F342" s="54">
        <f t="shared" si="6"/>
        <v>10</v>
      </c>
      <c r="G342" s="54">
        <f t="shared" si="3"/>
        <v>0</v>
      </c>
    </row>
    <row r="343">
      <c r="B343" s="140">
        <v>45784.0</v>
      </c>
      <c r="C343" s="141" t="str">
        <f t="shared" si="1"/>
        <v>5-2025</v>
      </c>
      <c r="D343" s="165">
        <f t="shared" ref="D343:D345" si="53">E342</f>
        <v>2252</v>
      </c>
      <c r="E343" s="28">
        <v>2262.0</v>
      </c>
      <c r="F343" s="54">
        <f t="shared" si="6"/>
        <v>10</v>
      </c>
      <c r="G343" s="54">
        <f t="shared" si="3"/>
        <v>0</v>
      </c>
    </row>
    <row r="344">
      <c r="B344" s="140">
        <v>45785.0</v>
      </c>
      <c r="C344" s="141" t="str">
        <f t="shared" si="1"/>
        <v>5-2025</v>
      </c>
      <c r="D344" s="165">
        <f t="shared" si="53"/>
        <v>2262</v>
      </c>
      <c r="E344" s="28">
        <v>2272.0</v>
      </c>
      <c r="F344" s="54">
        <f t="shared" si="6"/>
        <v>10</v>
      </c>
      <c r="G344" s="54">
        <f t="shared" si="3"/>
        <v>0</v>
      </c>
    </row>
    <row r="345">
      <c r="B345" s="140">
        <v>45786.0</v>
      </c>
      <c r="C345" s="141" t="str">
        <f t="shared" si="1"/>
        <v>5-2025</v>
      </c>
      <c r="D345" s="165">
        <f t="shared" si="53"/>
        <v>2272</v>
      </c>
      <c r="E345" s="28">
        <v>2282.0</v>
      </c>
      <c r="F345" s="54">
        <f t="shared" si="6"/>
        <v>10</v>
      </c>
      <c r="G345" s="54">
        <f t="shared" si="3"/>
        <v>0</v>
      </c>
    </row>
    <row r="346">
      <c r="B346" s="145">
        <v>45787.0</v>
      </c>
      <c r="C346" s="141" t="str">
        <f t="shared" si="1"/>
        <v>5-2025</v>
      </c>
      <c r="F346" s="54">
        <f t="shared" si="6"/>
        <v>0</v>
      </c>
      <c r="G346" s="54">
        <f t="shared" si="3"/>
        <v>-10</v>
      </c>
    </row>
    <row r="347">
      <c r="B347" s="145">
        <v>45788.0</v>
      </c>
      <c r="C347" s="141" t="str">
        <f t="shared" si="1"/>
        <v>5-2025</v>
      </c>
      <c r="D347" s="165" t="str">
        <f>E346</f>
        <v/>
      </c>
      <c r="F347" s="54">
        <f t="shared" si="6"/>
        <v>0</v>
      </c>
      <c r="G347" s="54">
        <f t="shared" si="3"/>
        <v>-10</v>
      </c>
    </row>
    <row r="348">
      <c r="B348" s="140">
        <v>45789.0</v>
      </c>
      <c r="C348" s="141" t="str">
        <f t="shared" si="1"/>
        <v>5-2025</v>
      </c>
      <c r="D348" s="28">
        <v>2282.0</v>
      </c>
      <c r="E348" s="28">
        <v>2289.0</v>
      </c>
      <c r="F348" s="54">
        <f t="shared" si="6"/>
        <v>7</v>
      </c>
      <c r="G348" s="54">
        <f t="shared" si="3"/>
        <v>-3</v>
      </c>
    </row>
    <row r="349">
      <c r="B349" s="140">
        <v>45790.0</v>
      </c>
      <c r="C349" s="141" t="str">
        <f t="shared" si="1"/>
        <v>5-2025</v>
      </c>
      <c r="D349" s="165">
        <f t="shared" ref="D349:D353" si="54">E348</f>
        <v>2289</v>
      </c>
      <c r="E349" s="28">
        <v>2299.0</v>
      </c>
      <c r="F349" s="54">
        <f t="shared" si="6"/>
        <v>10</v>
      </c>
      <c r="G349" s="54">
        <f t="shared" si="3"/>
        <v>0</v>
      </c>
    </row>
    <row r="350">
      <c r="B350" s="140">
        <v>45791.0</v>
      </c>
      <c r="C350" s="141" t="str">
        <f t="shared" si="1"/>
        <v>5-2025</v>
      </c>
      <c r="D350" s="165">
        <f t="shared" si="54"/>
        <v>2299</v>
      </c>
      <c r="E350" s="28">
        <v>2310.0</v>
      </c>
      <c r="F350" s="54">
        <f t="shared" si="6"/>
        <v>11</v>
      </c>
      <c r="G350" s="54">
        <f t="shared" si="3"/>
        <v>1</v>
      </c>
    </row>
    <row r="351">
      <c r="B351" s="140">
        <v>45792.0</v>
      </c>
      <c r="C351" s="141" t="str">
        <f t="shared" si="1"/>
        <v>5-2025</v>
      </c>
      <c r="D351" s="165">
        <f t="shared" si="54"/>
        <v>2310</v>
      </c>
      <c r="E351" s="28">
        <v>2327.0</v>
      </c>
      <c r="F351" s="54">
        <f t="shared" si="6"/>
        <v>17</v>
      </c>
      <c r="G351" s="54">
        <f t="shared" si="3"/>
        <v>7</v>
      </c>
    </row>
    <row r="352">
      <c r="B352" s="140">
        <v>45793.0</v>
      </c>
      <c r="C352" s="141" t="str">
        <f t="shared" si="1"/>
        <v>5-2025</v>
      </c>
      <c r="D352" s="165">
        <f t="shared" si="54"/>
        <v>2327</v>
      </c>
      <c r="E352" s="28">
        <v>2332.0</v>
      </c>
      <c r="F352" s="54">
        <f t="shared" si="6"/>
        <v>5</v>
      </c>
      <c r="G352" s="54">
        <f t="shared" si="3"/>
        <v>-5</v>
      </c>
    </row>
    <row r="353">
      <c r="B353" s="145">
        <v>45794.0</v>
      </c>
      <c r="C353" s="141" t="str">
        <f t="shared" si="1"/>
        <v>5-2025</v>
      </c>
      <c r="D353" s="165">
        <f t="shared" si="54"/>
        <v>2332</v>
      </c>
      <c r="E353" s="28">
        <v>2342.0</v>
      </c>
      <c r="F353" s="54">
        <f t="shared" si="6"/>
        <v>10</v>
      </c>
      <c r="G353" s="54">
        <f t="shared" si="3"/>
        <v>0</v>
      </c>
    </row>
    <row r="354">
      <c r="B354" s="145">
        <v>45795.0</v>
      </c>
      <c r="C354" s="141" t="str">
        <f t="shared" si="1"/>
        <v>5-2025</v>
      </c>
      <c r="F354" s="54">
        <f t="shared" si="6"/>
        <v>0</v>
      </c>
      <c r="G354" s="54">
        <f t="shared" si="3"/>
        <v>-10</v>
      </c>
    </row>
    <row r="355">
      <c r="B355" s="140">
        <v>45796.0</v>
      </c>
      <c r="C355" s="141" t="str">
        <f t="shared" si="1"/>
        <v>5-2025</v>
      </c>
      <c r="D355" s="28">
        <v>2342.0</v>
      </c>
      <c r="E355" s="28">
        <v>2352.0</v>
      </c>
      <c r="F355" s="54">
        <f t="shared" si="6"/>
        <v>10</v>
      </c>
      <c r="G355" s="54">
        <f t="shared" si="3"/>
        <v>0</v>
      </c>
    </row>
    <row r="356">
      <c r="B356" s="140">
        <v>45797.0</v>
      </c>
      <c r="C356" s="141" t="str">
        <f t="shared" si="1"/>
        <v>5-2025</v>
      </c>
      <c r="D356" s="165">
        <f t="shared" ref="D356:D359" si="55">E355</f>
        <v>2352</v>
      </c>
      <c r="E356" s="28">
        <v>2363.0</v>
      </c>
      <c r="F356" s="54">
        <f t="shared" si="6"/>
        <v>11</v>
      </c>
      <c r="G356" s="54">
        <f t="shared" si="3"/>
        <v>1</v>
      </c>
    </row>
    <row r="357">
      <c r="B357" s="140">
        <v>45798.0</v>
      </c>
      <c r="C357" s="141" t="str">
        <f t="shared" si="1"/>
        <v>5-2025</v>
      </c>
      <c r="D357" s="165">
        <f t="shared" si="55"/>
        <v>2363</v>
      </c>
      <c r="E357" s="28">
        <v>2374.0</v>
      </c>
      <c r="F357" s="54">
        <f t="shared" si="6"/>
        <v>11</v>
      </c>
      <c r="G357" s="54">
        <f t="shared" si="3"/>
        <v>1</v>
      </c>
    </row>
    <row r="358">
      <c r="B358" s="140">
        <v>45799.0</v>
      </c>
      <c r="C358" s="141" t="str">
        <f t="shared" si="1"/>
        <v>5-2025</v>
      </c>
      <c r="D358" s="165">
        <f t="shared" si="55"/>
        <v>2374</v>
      </c>
      <c r="E358" s="28">
        <v>2385.0</v>
      </c>
      <c r="F358" s="54">
        <f t="shared" si="6"/>
        <v>11</v>
      </c>
      <c r="G358" s="54">
        <f t="shared" si="3"/>
        <v>1</v>
      </c>
    </row>
    <row r="359">
      <c r="B359" s="140">
        <v>45800.0</v>
      </c>
      <c r="C359" s="141" t="str">
        <f t="shared" si="1"/>
        <v>5-2025</v>
      </c>
      <c r="D359" s="165">
        <f t="shared" si="55"/>
        <v>2385</v>
      </c>
      <c r="E359" s="28">
        <v>2395.0</v>
      </c>
      <c r="F359" s="54">
        <f t="shared" si="6"/>
        <v>10</v>
      </c>
      <c r="G359" s="54">
        <f t="shared" si="3"/>
        <v>0</v>
      </c>
    </row>
    <row r="360">
      <c r="B360" s="145">
        <v>45801.0</v>
      </c>
      <c r="C360" s="141" t="str">
        <f t="shared" si="1"/>
        <v>5-2025</v>
      </c>
      <c r="F360" s="54">
        <f t="shared" si="6"/>
        <v>0</v>
      </c>
      <c r="G360" s="54">
        <f t="shared" si="3"/>
        <v>-10</v>
      </c>
    </row>
    <row r="361">
      <c r="B361" s="145">
        <v>45802.0</v>
      </c>
      <c r="C361" s="141" t="str">
        <f t="shared" si="1"/>
        <v>5-2025</v>
      </c>
      <c r="D361" s="165" t="str">
        <f>E360</f>
        <v/>
      </c>
      <c r="F361" s="54">
        <f t="shared" si="6"/>
        <v>0</v>
      </c>
      <c r="G361" s="54">
        <f t="shared" si="3"/>
        <v>-10</v>
      </c>
    </row>
    <row r="362">
      <c r="B362" s="140">
        <v>45803.0</v>
      </c>
      <c r="C362" s="141" t="str">
        <f t="shared" si="1"/>
        <v>5-2025</v>
      </c>
      <c r="D362" s="28">
        <v>2395.0</v>
      </c>
      <c r="E362" s="28">
        <v>2405.0</v>
      </c>
      <c r="F362" s="54">
        <f t="shared" si="6"/>
        <v>10</v>
      </c>
      <c r="G362" s="54">
        <f t="shared" si="3"/>
        <v>0</v>
      </c>
    </row>
    <row r="363">
      <c r="B363" s="140">
        <v>45804.0</v>
      </c>
      <c r="C363" s="141" t="str">
        <f t="shared" si="1"/>
        <v>5-2025</v>
      </c>
      <c r="D363" s="165">
        <f t="shared" ref="D363:D367" si="56">E362</f>
        <v>2405</v>
      </c>
      <c r="E363" s="28">
        <v>2415.0</v>
      </c>
      <c r="F363" s="54">
        <f t="shared" si="6"/>
        <v>10</v>
      </c>
      <c r="G363" s="54">
        <f t="shared" si="3"/>
        <v>0</v>
      </c>
    </row>
    <row r="364">
      <c r="B364" s="140">
        <v>45805.0</v>
      </c>
      <c r="C364" s="141" t="str">
        <f t="shared" si="1"/>
        <v>5-2025</v>
      </c>
      <c r="D364" s="165">
        <f t="shared" si="56"/>
        <v>2415</v>
      </c>
      <c r="E364" s="28">
        <v>2425.0</v>
      </c>
      <c r="F364" s="54">
        <f t="shared" si="6"/>
        <v>10</v>
      </c>
      <c r="G364" s="54">
        <f t="shared" si="3"/>
        <v>0</v>
      </c>
    </row>
    <row r="365">
      <c r="B365" s="140">
        <v>45806.0</v>
      </c>
      <c r="C365" s="141" t="str">
        <f t="shared" si="1"/>
        <v>5-2025</v>
      </c>
      <c r="D365" s="165">
        <f t="shared" si="56"/>
        <v>2425</v>
      </c>
      <c r="E365" s="28">
        <v>2437.0</v>
      </c>
      <c r="F365" s="54">
        <f t="shared" si="6"/>
        <v>12</v>
      </c>
      <c r="G365" s="54">
        <f t="shared" si="3"/>
        <v>2</v>
      </c>
    </row>
    <row r="366">
      <c r="B366" s="140">
        <v>45807.0</v>
      </c>
      <c r="C366" s="141" t="str">
        <f t="shared" si="1"/>
        <v>5-2025</v>
      </c>
      <c r="D366" s="165">
        <f t="shared" si="56"/>
        <v>2437</v>
      </c>
      <c r="E366" s="28">
        <v>2447.0</v>
      </c>
      <c r="F366" s="54">
        <f t="shared" si="6"/>
        <v>10</v>
      </c>
      <c r="G366" s="54">
        <f t="shared" si="3"/>
        <v>0</v>
      </c>
    </row>
    <row r="367">
      <c r="B367" s="145">
        <v>45808.0</v>
      </c>
      <c r="C367" s="141" t="str">
        <f t="shared" si="1"/>
        <v>5-2025</v>
      </c>
      <c r="D367" s="165">
        <f t="shared" si="56"/>
        <v>2447</v>
      </c>
      <c r="E367" s="28">
        <v>2455.0</v>
      </c>
      <c r="F367" s="54">
        <f t="shared" si="6"/>
        <v>8</v>
      </c>
      <c r="G367" s="54">
        <f t="shared" si="3"/>
        <v>-2</v>
      </c>
      <c r="H367" s="28">
        <v>3401.0</v>
      </c>
    </row>
    <row r="368">
      <c r="B368" s="145">
        <v>45809.0</v>
      </c>
      <c r="C368" s="141" t="str">
        <f t="shared" si="1"/>
        <v>6-2025</v>
      </c>
      <c r="F368" s="54">
        <f t="shared" si="6"/>
        <v>0</v>
      </c>
      <c r="G368" s="54">
        <f t="shared" si="3"/>
        <v>-10</v>
      </c>
    </row>
    <row r="369">
      <c r="B369" s="140">
        <v>45810.0</v>
      </c>
      <c r="C369" s="141" t="str">
        <f t="shared" si="1"/>
        <v>6-2025</v>
      </c>
      <c r="D369" s="28">
        <v>2455.0</v>
      </c>
      <c r="E369" s="28">
        <v>2465.0</v>
      </c>
      <c r="F369" s="54">
        <f t="shared" si="6"/>
        <v>10</v>
      </c>
      <c r="G369" s="54">
        <f t="shared" si="3"/>
        <v>0</v>
      </c>
      <c r="H369" s="28">
        <v>325.0</v>
      </c>
    </row>
    <row r="370">
      <c r="B370" s="140">
        <v>45811.0</v>
      </c>
      <c r="C370" s="141" t="str">
        <f t="shared" si="1"/>
        <v>6-2025</v>
      </c>
      <c r="D370" s="165">
        <f t="shared" ref="D370:D371" si="57">E369</f>
        <v>2465</v>
      </c>
      <c r="E370" s="28">
        <v>2476.0</v>
      </c>
      <c r="F370" s="54">
        <f t="shared" si="6"/>
        <v>11</v>
      </c>
      <c r="G370" s="54">
        <f t="shared" si="3"/>
        <v>1</v>
      </c>
    </row>
    <row r="371">
      <c r="B371" s="140">
        <v>45812.0</v>
      </c>
      <c r="C371" s="141" t="str">
        <f t="shared" si="1"/>
        <v>6-2025</v>
      </c>
      <c r="D371" s="165">
        <f t="shared" si="57"/>
        <v>2476</v>
      </c>
      <c r="E371" s="28">
        <v>2487.0</v>
      </c>
      <c r="F371" s="54">
        <f t="shared" si="6"/>
        <v>11</v>
      </c>
      <c r="G371" s="54">
        <f t="shared" si="3"/>
        <v>1</v>
      </c>
      <c r="H371" s="28">
        <v>326.0</v>
      </c>
    </row>
    <row r="372">
      <c r="B372" s="140">
        <v>45813.0</v>
      </c>
      <c r="C372" s="141" t="str">
        <f t="shared" si="1"/>
        <v>6-2025</v>
      </c>
      <c r="D372" s="28">
        <v>2487.0</v>
      </c>
      <c r="E372" s="28">
        <v>2498.0</v>
      </c>
      <c r="F372" s="54">
        <f t="shared" si="6"/>
        <v>11</v>
      </c>
      <c r="G372" s="54">
        <f t="shared" si="3"/>
        <v>1</v>
      </c>
    </row>
    <row r="373">
      <c r="B373" s="140">
        <v>45814.0</v>
      </c>
      <c r="C373" s="141" t="str">
        <f t="shared" si="1"/>
        <v>6-2025</v>
      </c>
      <c r="D373" s="165">
        <f>E372</f>
        <v>2498</v>
      </c>
      <c r="E373" s="28">
        <v>2508.0</v>
      </c>
      <c r="F373" s="54">
        <f t="shared" si="6"/>
        <v>10</v>
      </c>
      <c r="G373" s="54">
        <f t="shared" si="3"/>
        <v>0</v>
      </c>
    </row>
    <row r="374">
      <c r="B374" s="145">
        <v>45815.0</v>
      </c>
      <c r="C374" s="141" t="str">
        <f t="shared" si="1"/>
        <v>6-2025</v>
      </c>
      <c r="F374" s="54">
        <f t="shared" si="6"/>
        <v>0</v>
      </c>
      <c r="G374" s="54">
        <f t="shared" si="3"/>
        <v>-10</v>
      </c>
    </row>
    <row r="375">
      <c r="B375" s="145">
        <v>45816.0</v>
      </c>
      <c r="C375" s="141" t="str">
        <f t="shared" si="1"/>
        <v>6-2025</v>
      </c>
      <c r="D375" s="28">
        <v>2508.0</v>
      </c>
      <c r="E375" s="28">
        <v>2513.0</v>
      </c>
      <c r="F375" s="54">
        <f t="shared" si="6"/>
        <v>5</v>
      </c>
      <c r="G375" s="54">
        <f t="shared" si="3"/>
        <v>-5</v>
      </c>
    </row>
    <row r="376">
      <c r="B376" s="140">
        <v>45817.0</v>
      </c>
      <c r="C376" s="141" t="str">
        <f t="shared" si="1"/>
        <v>6-2025</v>
      </c>
      <c r="F376" s="54">
        <f t="shared" si="6"/>
        <v>0</v>
      </c>
      <c r="G376" s="54">
        <f t="shared" si="3"/>
        <v>-10</v>
      </c>
    </row>
    <row r="377">
      <c r="B377" s="140">
        <v>45818.0</v>
      </c>
      <c r="C377" s="141" t="str">
        <f t="shared" si="1"/>
        <v>6-2025</v>
      </c>
      <c r="D377" s="28">
        <v>2513.0</v>
      </c>
      <c r="E377" s="28">
        <v>2521.7</v>
      </c>
      <c r="F377" s="54">
        <f t="shared" si="6"/>
        <v>8.7</v>
      </c>
      <c r="G377" s="54">
        <f t="shared" si="3"/>
        <v>-1.3</v>
      </c>
    </row>
    <row r="378">
      <c r="B378" s="140">
        <v>45819.0</v>
      </c>
      <c r="C378" s="141" t="str">
        <f t="shared" si="1"/>
        <v>6-2025</v>
      </c>
      <c r="D378" s="165">
        <f t="shared" ref="D378:D381" si="58">E377</f>
        <v>2521.7</v>
      </c>
      <c r="E378" s="28">
        <v>2522.0</v>
      </c>
      <c r="F378" s="54">
        <f t="shared" si="6"/>
        <v>0.3</v>
      </c>
      <c r="G378" s="54">
        <f t="shared" si="3"/>
        <v>-9.7</v>
      </c>
      <c r="H378" s="28">
        <v>169.0</v>
      </c>
    </row>
    <row r="379">
      <c r="B379" s="140">
        <v>45820.0</v>
      </c>
      <c r="C379" s="141" t="str">
        <f t="shared" si="1"/>
        <v>6-2025</v>
      </c>
      <c r="D379" s="165">
        <f t="shared" si="58"/>
        <v>2522</v>
      </c>
      <c r="E379" s="28">
        <v>2542.0</v>
      </c>
      <c r="F379" s="54">
        <f t="shared" si="6"/>
        <v>20</v>
      </c>
      <c r="G379" s="54">
        <f t="shared" si="3"/>
        <v>10</v>
      </c>
    </row>
    <row r="380">
      <c r="B380" s="140">
        <v>45821.0</v>
      </c>
      <c r="C380" s="141" t="str">
        <f t="shared" si="1"/>
        <v>6-2025</v>
      </c>
      <c r="D380" s="165">
        <f t="shared" si="58"/>
        <v>2542</v>
      </c>
      <c r="E380" s="28">
        <v>2552.0</v>
      </c>
      <c r="F380" s="54">
        <f t="shared" si="6"/>
        <v>10</v>
      </c>
      <c r="G380" s="54">
        <f t="shared" si="3"/>
        <v>0</v>
      </c>
      <c r="H380" s="28">
        <v>232.0</v>
      </c>
    </row>
    <row r="381">
      <c r="B381" s="145">
        <v>45822.0</v>
      </c>
      <c r="C381" s="141" t="str">
        <f t="shared" si="1"/>
        <v>6-2025</v>
      </c>
      <c r="D381" s="165">
        <f t="shared" si="58"/>
        <v>2552</v>
      </c>
      <c r="E381" s="28">
        <v>2557.0</v>
      </c>
      <c r="F381" s="54">
        <f t="shared" si="6"/>
        <v>5</v>
      </c>
      <c r="G381" s="54">
        <f t="shared" si="3"/>
        <v>-5</v>
      </c>
      <c r="H381" s="28">
        <v>199.0</v>
      </c>
    </row>
    <row r="382">
      <c r="B382" s="145">
        <v>45823.0</v>
      </c>
      <c r="C382" s="141" t="str">
        <f t="shared" si="1"/>
        <v>6-2025</v>
      </c>
      <c r="F382" s="54">
        <f t="shared" si="6"/>
        <v>0</v>
      </c>
      <c r="G382" s="54">
        <f t="shared" si="3"/>
        <v>-10</v>
      </c>
    </row>
    <row r="383">
      <c r="B383" s="140">
        <v>45824.0</v>
      </c>
      <c r="C383" s="141" t="str">
        <f t="shared" si="1"/>
        <v>6-2025</v>
      </c>
      <c r="D383" s="28">
        <v>2557.0</v>
      </c>
      <c r="E383" s="28">
        <v>2564.0</v>
      </c>
      <c r="F383" s="54">
        <f t="shared" si="6"/>
        <v>7</v>
      </c>
      <c r="G383" s="54">
        <f t="shared" si="3"/>
        <v>-3</v>
      </c>
    </row>
    <row r="384">
      <c r="B384" s="140">
        <v>45825.0</v>
      </c>
      <c r="C384" s="141" t="str">
        <f t="shared" si="1"/>
        <v>6-2025</v>
      </c>
      <c r="D384" s="165">
        <f t="shared" ref="D384:D388" si="59">E383</f>
        <v>2564</v>
      </c>
      <c r="E384" s="28">
        <v>2572.0</v>
      </c>
      <c r="F384" s="54">
        <f t="shared" si="6"/>
        <v>8</v>
      </c>
      <c r="G384" s="54">
        <f t="shared" si="3"/>
        <v>-2</v>
      </c>
      <c r="H384" s="28">
        <v>102.0</v>
      </c>
    </row>
    <row r="385">
      <c r="B385" s="140">
        <v>45826.0</v>
      </c>
      <c r="C385" s="141" t="str">
        <f t="shared" si="1"/>
        <v>6-2025</v>
      </c>
      <c r="D385" s="165">
        <f t="shared" si="59"/>
        <v>2572</v>
      </c>
      <c r="E385" s="28">
        <v>2582.0</v>
      </c>
      <c r="F385" s="54">
        <f t="shared" si="6"/>
        <v>10</v>
      </c>
      <c r="G385" s="54">
        <f t="shared" si="3"/>
        <v>0</v>
      </c>
      <c r="H385" s="28">
        <v>314.0</v>
      </c>
    </row>
    <row r="386">
      <c r="B386" s="145">
        <v>45827.0</v>
      </c>
      <c r="C386" s="141" t="str">
        <f t="shared" si="1"/>
        <v>6-2025</v>
      </c>
      <c r="D386" s="165">
        <f t="shared" si="59"/>
        <v>2582</v>
      </c>
      <c r="E386" s="28">
        <v>2592.0</v>
      </c>
      <c r="F386" s="54">
        <f t="shared" si="6"/>
        <v>10</v>
      </c>
      <c r="G386" s="54">
        <f t="shared" si="3"/>
        <v>0</v>
      </c>
    </row>
    <row r="387">
      <c r="B387" s="140">
        <v>45828.0</v>
      </c>
      <c r="C387" s="141" t="str">
        <f t="shared" si="1"/>
        <v>6-2025</v>
      </c>
      <c r="D387" s="165">
        <f t="shared" si="59"/>
        <v>2592</v>
      </c>
      <c r="E387" s="28">
        <v>2602.0</v>
      </c>
      <c r="F387" s="54">
        <f t="shared" si="6"/>
        <v>10</v>
      </c>
      <c r="G387" s="54">
        <f t="shared" si="3"/>
        <v>0</v>
      </c>
      <c r="H387" s="28">
        <v>451.0</v>
      </c>
    </row>
    <row r="388">
      <c r="B388" s="145">
        <v>45829.0</v>
      </c>
      <c r="C388" s="141" t="str">
        <f t="shared" si="1"/>
        <v>6-2025</v>
      </c>
      <c r="D388" s="165">
        <f t="shared" si="59"/>
        <v>2602</v>
      </c>
      <c r="E388" s="28">
        <v>2612.0</v>
      </c>
      <c r="F388" s="54">
        <f t="shared" si="6"/>
        <v>10</v>
      </c>
      <c r="G388" s="54">
        <f t="shared" si="3"/>
        <v>0</v>
      </c>
    </row>
    <row r="389">
      <c r="B389" s="145">
        <v>45830.0</v>
      </c>
      <c r="C389" s="141" t="str">
        <f t="shared" si="1"/>
        <v>6-2025</v>
      </c>
      <c r="F389" s="54">
        <f t="shared" si="6"/>
        <v>0</v>
      </c>
      <c r="G389" s="54">
        <f t="shared" si="3"/>
        <v>-10</v>
      </c>
    </row>
    <row r="390">
      <c r="B390" s="140">
        <v>45831.0</v>
      </c>
      <c r="C390" s="141" t="str">
        <f t="shared" si="1"/>
        <v>6-2025</v>
      </c>
      <c r="D390" s="28">
        <v>2612.0</v>
      </c>
      <c r="E390" s="28">
        <v>2622.0</v>
      </c>
      <c r="F390" s="54">
        <f t="shared" si="6"/>
        <v>10</v>
      </c>
      <c r="G390" s="54">
        <f t="shared" si="3"/>
        <v>0</v>
      </c>
    </row>
    <row r="391">
      <c r="B391" s="140">
        <v>45832.0</v>
      </c>
      <c r="C391" s="141" t="str">
        <f t="shared" si="1"/>
        <v>6-2025</v>
      </c>
      <c r="D391" s="165">
        <f t="shared" ref="D391:D397" si="60">E390</f>
        <v>2622</v>
      </c>
      <c r="E391" s="28">
        <v>2632.0</v>
      </c>
      <c r="F391" s="54">
        <f t="shared" si="6"/>
        <v>10</v>
      </c>
      <c r="G391" s="54">
        <f t="shared" si="3"/>
        <v>0</v>
      </c>
      <c r="H391" s="28">
        <v>400.0</v>
      </c>
    </row>
    <row r="392">
      <c r="B392" s="140">
        <v>45833.0</v>
      </c>
      <c r="C392" s="141" t="str">
        <f t="shared" si="1"/>
        <v>6-2025</v>
      </c>
      <c r="D392" s="165">
        <f t="shared" si="60"/>
        <v>2632</v>
      </c>
      <c r="E392" s="28">
        <v>2642.0</v>
      </c>
      <c r="F392" s="54">
        <f t="shared" si="6"/>
        <v>10</v>
      </c>
      <c r="G392" s="54">
        <f t="shared" si="3"/>
        <v>0</v>
      </c>
    </row>
    <row r="393">
      <c r="B393" s="140">
        <v>45834.0</v>
      </c>
      <c r="C393" s="141" t="str">
        <f t="shared" si="1"/>
        <v>6-2025</v>
      </c>
      <c r="D393" s="165">
        <f t="shared" si="60"/>
        <v>2642</v>
      </c>
      <c r="E393" s="28">
        <v>2652.0</v>
      </c>
      <c r="F393" s="54">
        <f t="shared" si="6"/>
        <v>10</v>
      </c>
      <c r="G393" s="54">
        <f t="shared" si="3"/>
        <v>0</v>
      </c>
    </row>
    <row r="394">
      <c r="B394" s="140">
        <v>45835.0</v>
      </c>
      <c r="C394" s="141" t="str">
        <f t="shared" si="1"/>
        <v>6-2025</v>
      </c>
      <c r="D394" s="165">
        <f t="shared" si="60"/>
        <v>2652</v>
      </c>
      <c r="E394" s="28">
        <v>2660.0</v>
      </c>
      <c r="F394" s="54">
        <f t="shared" si="6"/>
        <v>8</v>
      </c>
      <c r="G394" s="54">
        <f t="shared" si="3"/>
        <v>-2</v>
      </c>
      <c r="H394" s="28">
        <v>400.0</v>
      </c>
    </row>
    <row r="395">
      <c r="B395" s="145">
        <v>45836.0</v>
      </c>
      <c r="C395" s="141" t="str">
        <f t="shared" si="1"/>
        <v>6-2025</v>
      </c>
      <c r="D395" s="165">
        <f t="shared" si="60"/>
        <v>2660</v>
      </c>
      <c r="E395" s="28">
        <v>2672.0</v>
      </c>
      <c r="F395" s="54">
        <f t="shared" si="6"/>
        <v>12</v>
      </c>
      <c r="G395" s="54">
        <f t="shared" si="3"/>
        <v>2</v>
      </c>
    </row>
    <row r="396">
      <c r="B396" s="145">
        <v>45837.0</v>
      </c>
      <c r="C396" s="141" t="str">
        <f t="shared" si="1"/>
        <v>6-2025</v>
      </c>
      <c r="D396" s="165">
        <f t="shared" si="60"/>
        <v>2672</v>
      </c>
      <c r="E396" s="28">
        <v>2680.0</v>
      </c>
      <c r="F396" s="54">
        <f t="shared" si="6"/>
        <v>8</v>
      </c>
      <c r="G396" s="54">
        <f t="shared" si="3"/>
        <v>-2</v>
      </c>
    </row>
    <row r="397">
      <c r="B397" s="140">
        <v>45838.0</v>
      </c>
      <c r="C397" s="141" t="str">
        <f t="shared" si="1"/>
        <v>6-2025</v>
      </c>
      <c r="D397" s="165">
        <f t="shared" si="60"/>
        <v>2680</v>
      </c>
      <c r="E397" s="28">
        <v>2686.0</v>
      </c>
      <c r="F397" s="54">
        <f t="shared" si="6"/>
        <v>6</v>
      </c>
      <c r="G397" s="54">
        <f t="shared" si="3"/>
        <v>-4</v>
      </c>
    </row>
    <row r="398">
      <c r="B398" s="140">
        <v>45839.0</v>
      </c>
      <c r="C398" s="141" t="str">
        <f t="shared" si="1"/>
        <v>7-2025</v>
      </c>
      <c r="D398" s="28">
        <v>2686.0</v>
      </c>
      <c r="E398" s="28">
        <v>2690.0</v>
      </c>
      <c r="F398" s="54">
        <f t="shared" si="6"/>
        <v>4</v>
      </c>
      <c r="G398" s="54">
        <f t="shared" si="3"/>
        <v>-6</v>
      </c>
    </row>
    <row r="399">
      <c r="B399" s="140">
        <v>45840.0</v>
      </c>
      <c r="C399" s="141" t="str">
        <f t="shared" si="1"/>
        <v>7-2025</v>
      </c>
      <c r="D399" s="165">
        <f t="shared" ref="D399:D400" si="61">E398</f>
        <v>2690</v>
      </c>
      <c r="E399" s="28">
        <v>2697.0</v>
      </c>
      <c r="F399" s="54">
        <f t="shared" si="6"/>
        <v>7</v>
      </c>
      <c r="G399" s="54">
        <f t="shared" si="3"/>
        <v>-3</v>
      </c>
    </row>
    <row r="400">
      <c r="B400" s="140">
        <v>45841.0</v>
      </c>
      <c r="C400" s="141" t="str">
        <f t="shared" si="1"/>
        <v>7-2025</v>
      </c>
      <c r="D400" s="165">
        <f t="shared" si="61"/>
        <v>2697</v>
      </c>
      <c r="E400" s="28">
        <v>2707.0</v>
      </c>
      <c r="F400" s="54">
        <f t="shared" si="6"/>
        <v>10</v>
      </c>
      <c r="G400" s="54">
        <f t="shared" si="3"/>
        <v>0</v>
      </c>
    </row>
    <row r="401">
      <c r="B401" s="140">
        <v>45842.0</v>
      </c>
      <c r="C401" s="141" t="str">
        <f t="shared" si="1"/>
        <v>7-2025</v>
      </c>
      <c r="F401" s="54">
        <f t="shared" si="6"/>
        <v>0</v>
      </c>
      <c r="G401" s="54">
        <f t="shared" si="3"/>
        <v>-10</v>
      </c>
    </row>
    <row r="402">
      <c r="B402" s="145">
        <v>45843.0</v>
      </c>
      <c r="C402" s="141" t="str">
        <f t="shared" si="1"/>
        <v>7-2025</v>
      </c>
      <c r="D402" s="165" t="str">
        <f t="shared" ref="D402:D403" si="62">E401</f>
        <v/>
      </c>
      <c r="F402" s="54">
        <f t="shared" si="6"/>
        <v>0</v>
      </c>
      <c r="G402" s="54">
        <f t="shared" si="3"/>
        <v>-10</v>
      </c>
    </row>
    <row r="403">
      <c r="B403" s="145">
        <v>45844.0</v>
      </c>
      <c r="C403" s="141" t="str">
        <f t="shared" si="1"/>
        <v>7-2025</v>
      </c>
      <c r="D403" s="165" t="str">
        <f t="shared" si="62"/>
        <v/>
      </c>
      <c r="F403" s="54">
        <f t="shared" si="6"/>
        <v>0</v>
      </c>
      <c r="G403" s="54">
        <f t="shared" si="3"/>
        <v>-10</v>
      </c>
    </row>
    <row r="404">
      <c r="B404" s="140">
        <v>45845.0</v>
      </c>
      <c r="C404" s="141" t="str">
        <f t="shared" si="1"/>
        <v>7-2025</v>
      </c>
      <c r="D404" s="28">
        <v>2707.0</v>
      </c>
      <c r="E404" s="28">
        <v>2717.0</v>
      </c>
      <c r="F404" s="54">
        <f t="shared" si="6"/>
        <v>10</v>
      </c>
      <c r="G404" s="54">
        <f t="shared" si="3"/>
        <v>0</v>
      </c>
    </row>
    <row r="405">
      <c r="B405" s="140">
        <v>45846.0</v>
      </c>
      <c r="C405" s="141" t="str">
        <f t="shared" si="1"/>
        <v>7-2025</v>
      </c>
      <c r="D405" s="165">
        <f t="shared" ref="D405:D408" si="63">E404</f>
        <v>2717</v>
      </c>
      <c r="E405" s="28">
        <v>2727.0</v>
      </c>
      <c r="F405" s="54">
        <f t="shared" si="6"/>
        <v>10</v>
      </c>
      <c r="G405" s="54">
        <f t="shared" si="3"/>
        <v>0</v>
      </c>
    </row>
    <row r="406">
      <c r="B406" s="140">
        <v>45847.0</v>
      </c>
      <c r="C406" s="141" t="str">
        <f t="shared" si="1"/>
        <v>7-2025</v>
      </c>
      <c r="D406" s="165">
        <f t="shared" si="63"/>
        <v>2727</v>
      </c>
      <c r="E406" s="28">
        <v>2737.0</v>
      </c>
      <c r="F406" s="54">
        <f t="shared" si="6"/>
        <v>10</v>
      </c>
      <c r="G406" s="54">
        <f t="shared" si="3"/>
        <v>0</v>
      </c>
    </row>
    <row r="407">
      <c r="B407" s="140">
        <v>45848.0</v>
      </c>
      <c r="C407" s="141" t="str">
        <f t="shared" si="1"/>
        <v>7-2025</v>
      </c>
      <c r="D407" s="165">
        <f t="shared" si="63"/>
        <v>2737</v>
      </c>
      <c r="E407" s="28">
        <v>2747.0</v>
      </c>
      <c r="F407" s="54">
        <f t="shared" si="6"/>
        <v>10</v>
      </c>
      <c r="G407" s="54">
        <f t="shared" si="3"/>
        <v>0</v>
      </c>
    </row>
    <row r="408">
      <c r="B408" s="140">
        <v>45849.0</v>
      </c>
      <c r="C408" s="141" t="str">
        <f t="shared" si="1"/>
        <v>7-2025</v>
      </c>
      <c r="D408" s="165">
        <f t="shared" si="63"/>
        <v>2747</v>
      </c>
      <c r="E408" s="28">
        <v>2756.0</v>
      </c>
      <c r="F408" s="54">
        <f t="shared" si="6"/>
        <v>9</v>
      </c>
      <c r="G408" s="54">
        <f t="shared" si="3"/>
        <v>-1</v>
      </c>
    </row>
    <row r="409">
      <c r="B409" s="145">
        <v>45850.0</v>
      </c>
      <c r="C409" s="141" t="str">
        <f t="shared" si="1"/>
        <v>7-2025</v>
      </c>
      <c r="F409" s="54">
        <f t="shared" si="6"/>
        <v>0</v>
      </c>
      <c r="G409" s="54">
        <f t="shared" si="3"/>
        <v>-10</v>
      </c>
    </row>
    <row r="410">
      <c r="B410" s="145">
        <v>45851.0</v>
      </c>
      <c r="C410" s="141" t="str">
        <f t="shared" si="1"/>
        <v>7-2025</v>
      </c>
      <c r="F410" s="54">
        <f t="shared" si="6"/>
        <v>0</v>
      </c>
      <c r="G410" s="54">
        <f t="shared" si="3"/>
        <v>-10</v>
      </c>
    </row>
    <row r="411">
      <c r="B411" s="140">
        <v>45852.0</v>
      </c>
      <c r="C411" s="141" t="str">
        <f t="shared" si="1"/>
        <v>7-2025</v>
      </c>
      <c r="D411" s="28">
        <v>2756.0</v>
      </c>
      <c r="E411" s="28">
        <v>2763.0</v>
      </c>
      <c r="F411" s="54">
        <f t="shared" si="6"/>
        <v>7</v>
      </c>
      <c r="G411" s="54">
        <f t="shared" si="3"/>
        <v>-3</v>
      </c>
    </row>
    <row r="412">
      <c r="B412" s="140">
        <v>45853.0</v>
      </c>
      <c r="C412" s="141" t="str">
        <f t="shared" si="1"/>
        <v>7-2025</v>
      </c>
      <c r="F412" s="54">
        <f t="shared" si="6"/>
        <v>0</v>
      </c>
      <c r="G412" s="54">
        <f t="shared" si="3"/>
        <v>-10</v>
      </c>
    </row>
    <row r="413">
      <c r="B413" s="140">
        <v>45854.0</v>
      </c>
      <c r="C413" s="141" t="str">
        <f t="shared" si="1"/>
        <v>7-2025</v>
      </c>
      <c r="D413" s="28">
        <v>2764.7</v>
      </c>
      <c r="E413" s="28">
        <v>2779.0</v>
      </c>
      <c r="F413" s="54">
        <f t="shared" si="6"/>
        <v>14.3</v>
      </c>
      <c r="G413" s="54">
        <f t="shared" si="3"/>
        <v>4.3</v>
      </c>
    </row>
    <row r="414">
      <c r="B414" s="140">
        <v>45855.0</v>
      </c>
      <c r="C414" s="141" t="str">
        <f t="shared" si="1"/>
        <v>7-2025</v>
      </c>
      <c r="D414" s="165">
        <f t="shared" ref="D414:D416" si="64">E413</f>
        <v>2779</v>
      </c>
      <c r="E414" s="28">
        <v>2787.0</v>
      </c>
      <c r="F414" s="54">
        <f t="shared" si="6"/>
        <v>8</v>
      </c>
      <c r="G414" s="54">
        <f t="shared" si="3"/>
        <v>-2</v>
      </c>
    </row>
    <row r="415">
      <c r="B415" s="140">
        <v>45856.0</v>
      </c>
      <c r="C415" s="141" t="str">
        <f t="shared" si="1"/>
        <v>7-2025</v>
      </c>
      <c r="D415" s="165">
        <f t="shared" si="64"/>
        <v>2787</v>
      </c>
      <c r="E415" s="28">
        <v>2797.0</v>
      </c>
      <c r="F415" s="54">
        <f t="shared" si="6"/>
        <v>10</v>
      </c>
      <c r="G415" s="54">
        <f t="shared" si="3"/>
        <v>0</v>
      </c>
    </row>
    <row r="416">
      <c r="B416" s="145">
        <v>45857.0</v>
      </c>
      <c r="C416" s="141" t="str">
        <f t="shared" si="1"/>
        <v>7-2025</v>
      </c>
      <c r="D416" s="165">
        <f t="shared" si="64"/>
        <v>2797</v>
      </c>
      <c r="E416" s="28">
        <v>2807.0</v>
      </c>
      <c r="F416" s="54">
        <f t="shared" si="6"/>
        <v>10</v>
      </c>
      <c r="G416" s="54">
        <f t="shared" si="3"/>
        <v>0</v>
      </c>
    </row>
    <row r="417">
      <c r="B417" s="145">
        <v>45858.0</v>
      </c>
      <c r="C417" s="141" t="str">
        <f t="shared" si="1"/>
        <v>7-2025</v>
      </c>
      <c r="F417" s="54">
        <f t="shared" si="6"/>
        <v>0</v>
      </c>
      <c r="G417" s="54">
        <f t="shared" si="3"/>
        <v>-10</v>
      </c>
    </row>
    <row r="418">
      <c r="B418" s="140">
        <v>45859.0</v>
      </c>
      <c r="C418" s="141" t="str">
        <f t="shared" si="1"/>
        <v>7-2025</v>
      </c>
      <c r="D418" s="165">
        <f>E416</f>
        <v>2807</v>
      </c>
      <c r="E418" s="28">
        <v>2817.0</v>
      </c>
      <c r="F418" s="54">
        <f t="shared" si="6"/>
        <v>10</v>
      </c>
      <c r="G418" s="54">
        <f t="shared" si="3"/>
        <v>0</v>
      </c>
    </row>
    <row r="419">
      <c r="B419" s="140">
        <v>45860.0</v>
      </c>
      <c r="C419" s="141" t="str">
        <f t="shared" si="1"/>
        <v>7-2025</v>
      </c>
      <c r="D419" s="165">
        <f t="shared" ref="D419:D421" si="65">E418</f>
        <v>2817</v>
      </c>
      <c r="E419" s="28">
        <v>2827.0</v>
      </c>
      <c r="F419" s="54">
        <f t="shared" si="6"/>
        <v>10</v>
      </c>
      <c r="G419" s="54">
        <f t="shared" si="3"/>
        <v>0</v>
      </c>
    </row>
    <row r="420">
      <c r="B420" s="140">
        <v>45861.0</v>
      </c>
      <c r="C420" s="141" t="str">
        <f t="shared" si="1"/>
        <v>7-2025</v>
      </c>
      <c r="D420" s="165">
        <f t="shared" si="65"/>
        <v>2827</v>
      </c>
      <c r="E420" s="28">
        <v>2837.0</v>
      </c>
      <c r="F420" s="54">
        <f t="shared" si="6"/>
        <v>10</v>
      </c>
      <c r="G420" s="54">
        <f t="shared" si="3"/>
        <v>0</v>
      </c>
    </row>
    <row r="421">
      <c r="B421" s="140">
        <v>45862.0</v>
      </c>
      <c r="C421" s="141" t="str">
        <f t="shared" si="1"/>
        <v>7-2025</v>
      </c>
      <c r="D421" s="165">
        <f t="shared" si="65"/>
        <v>2837</v>
      </c>
      <c r="E421" s="28">
        <v>2844.6</v>
      </c>
      <c r="F421" s="54">
        <f t="shared" si="6"/>
        <v>7.6</v>
      </c>
      <c r="G421" s="54">
        <f t="shared" si="3"/>
        <v>-2.4</v>
      </c>
    </row>
    <row r="422">
      <c r="B422" s="140">
        <v>45863.0</v>
      </c>
      <c r="C422" s="141" t="str">
        <f t="shared" si="1"/>
        <v>7-2025</v>
      </c>
      <c r="F422" s="54">
        <f t="shared" si="6"/>
        <v>0</v>
      </c>
      <c r="G422" s="54">
        <f t="shared" si="3"/>
        <v>-10</v>
      </c>
    </row>
    <row r="423">
      <c r="B423" s="145">
        <v>45864.0</v>
      </c>
      <c r="C423" s="141" t="str">
        <f t="shared" si="1"/>
        <v>7-2025</v>
      </c>
      <c r="D423" s="165" t="str">
        <f t="shared" ref="D423:D426" si="66">E422</f>
        <v/>
      </c>
      <c r="F423" s="54">
        <f t="shared" si="6"/>
        <v>0</v>
      </c>
      <c r="G423" s="54">
        <f t="shared" si="3"/>
        <v>-10</v>
      </c>
    </row>
    <row r="424">
      <c r="B424" s="145">
        <v>45865.0</v>
      </c>
      <c r="C424" s="141" t="str">
        <f t="shared" si="1"/>
        <v>7-2025</v>
      </c>
      <c r="D424" s="165" t="str">
        <f t="shared" si="66"/>
        <v/>
      </c>
      <c r="F424" s="54">
        <f t="shared" si="6"/>
        <v>0</v>
      </c>
      <c r="G424" s="54">
        <f t="shared" si="3"/>
        <v>-10</v>
      </c>
    </row>
    <row r="425">
      <c r="B425" s="140">
        <v>45866.0</v>
      </c>
      <c r="C425" s="141" t="str">
        <f t="shared" si="1"/>
        <v>7-2025</v>
      </c>
      <c r="D425" s="165" t="str">
        <f t="shared" si="66"/>
        <v/>
      </c>
      <c r="F425" s="54">
        <f t="shared" si="6"/>
        <v>0</v>
      </c>
      <c r="G425" s="54">
        <f t="shared" si="3"/>
        <v>-10</v>
      </c>
    </row>
    <row r="426">
      <c r="B426" s="140">
        <v>45867.0</v>
      </c>
      <c r="C426" s="141" t="str">
        <f t="shared" si="1"/>
        <v>7-2025</v>
      </c>
      <c r="D426" s="165" t="str">
        <f t="shared" si="66"/>
        <v/>
      </c>
      <c r="F426" s="54">
        <f t="shared" si="6"/>
        <v>0</v>
      </c>
      <c r="G426" s="54">
        <f t="shared" si="3"/>
        <v>-10</v>
      </c>
    </row>
    <row r="427">
      <c r="B427" s="140">
        <v>45868.0</v>
      </c>
      <c r="C427" s="141" t="str">
        <f t="shared" si="1"/>
        <v>7-2025</v>
      </c>
      <c r="D427" s="28">
        <v>2845.1</v>
      </c>
      <c r="E427" s="28">
        <v>2851.4</v>
      </c>
      <c r="F427" s="54">
        <f t="shared" si="6"/>
        <v>6.3</v>
      </c>
      <c r="G427" s="54">
        <f t="shared" si="3"/>
        <v>-3.7</v>
      </c>
    </row>
    <row r="428">
      <c r="B428" s="140">
        <v>45869.0</v>
      </c>
      <c r="C428" s="141" t="str">
        <f t="shared" si="1"/>
        <v>7-2025</v>
      </c>
      <c r="D428" s="165">
        <f>E427</f>
        <v>2851.4</v>
      </c>
      <c r="E428" s="28">
        <v>2855.6</v>
      </c>
      <c r="F428" s="54">
        <f t="shared" si="6"/>
        <v>4.2</v>
      </c>
      <c r="G428" s="54">
        <f t="shared" si="3"/>
        <v>-5.8</v>
      </c>
    </row>
    <row r="429">
      <c r="B429" s="140">
        <v>45870.0</v>
      </c>
      <c r="C429" s="141" t="str">
        <f t="shared" si="1"/>
        <v>8-2025</v>
      </c>
      <c r="D429" s="28">
        <v>2855.6</v>
      </c>
      <c r="E429" s="28">
        <v>2865.0</v>
      </c>
      <c r="F429" s="54">
        <f t="shared" si="6"/>
        <v>9.4</v>
      </c>
      <c r="G429" s="54">
        <f t="shared" si="3"/>
        <v>-0.6</v>
      </c>
    </row>
    <row r="430">
      <c r="B430" s="145">
        <v>45871.0</v>
      </c>
      <c r="C430" s="141" t="str">
        <f t="shared" si="1"/>
        <v>8-2025</v>
      </c>
      <c r="D430" s="165">
        <f t="shared" ref="D430:D432" si="67">E429</f>
        <v>2865</v>
      </c>
      <c r="E430" s="28">
        <v>2875.0</v>
      </c>
      <c r="F430" s="54">
        <f t="shared" si="6"/>
        <v>10</v>
      </c>
      <c r="G430" s="54">
        <f t="shared" si="3"/>
        <v>0</v>
      </c>
    </row>
    <row r="431">
      <c r="B431" s="145">
        <v>45872.0</v>
      </c>
      <c r="C431" s="141" t="str">
        <f t="shared" si="1"/>
        <v>8-2025</v>
      </c>
      <c r="D431" s="165">
        <f t="shared" si="67"/>
        <v>2875</v>
      </c>
      <c r="E431" s="28">
        <v>2880.0</v>
      </c>
      <c r="F431" s="54">
        <f t="shared" si="6"/>
        <v>5</v>
      </c>
      <c r="G431" s="54">
        <f t="shared" si="3"/>
        <v>-5</v>
      </c>
    </row>
    <row r="432">
      <c r="B432" s="140">
        <v>45873.0</v>
      </c>
      <c r="C432" s="141" t="str">
        <f t="shared" si="1"/>
        <v>8-2025</v>
      </c>
      <c r="D432" s="165">
        <f t="shared" si="67"/>
        <v>2880</v>
      </c>
      <c r="E432" s="28">
        <v>2888.0</v>
      </c>
      <c r="F432" s="54">
        <f t="shared" si="6"/>
        <v>8</v>
      </c>
      <c r="G432" s="54">
        <f t="shared" si="3"/>
        <v>-2</v>
      </c>
    </row>
    <row r="433">
      <c r="B433" s="140">
        <v>45874.0</v>
      </c>
      <c r="C433" s="141" t="str">
        <f t="shared" si="1"/>
        <v>8-2025</v>
      </c>
      <c r="F433" s="54">
        <f t="shared" si="6"/>
        <v>0</v>
      </c>
      <c r="G433" s="54">
        <f t="shared" si="3"/>
        <v>-10</v>
      </c>
    </row>
    <row r="434">
      <c r="B434" s="140">
        <v>45875.0</v>
      </c>
      <c r="C434" s="141" t="str">
        <f t="shared" si="1"/>
        <v>8-2025</v>
      </c>
      <c r="D434" s="28">
        <v>2888.0</v>
      </c>
      <c r="E434" s="28">
        <v>2908.0</v>
      </c>
      <c r="F434" s="54">
        <f t="shared" si="6"/>
        <v>20</v>
      </c>
      <c r="G434" s="54">
        <f t="shared" si="3"/>
        <v>10</v>
      </c>
    </row>
    <row r="435">
      <c r="B435" s="140">
        <v>45876.0</v>
      </c>
      <c r="C435" s="141" t="str">
        <f t="shared" si="1"/>
        <v>8-2025</v>
      </c>
      <c r="D435" s="165">
        <f t="shared" ref="D435:D436" si="68">E434</f>
        <v>2908</v>
      </c>
      <c r="E435" s="28">
        <v>2918.0</v>
      </c>
      <c r="F435" s="54">
        <f t="shared" si="6"/>
        <v>10</v>
      </c>
      <c r="G435" s="54">
        <f t="shared" si="3"/>
        <v>0</v>
      </c>
    </row>
    <row r="436">
      <c r="B436" s="140">
        <v>45877.0</v>
      </c>
      <c r="C436" s="141" t="str">
        <f t="shared" si="1"/>
        <v>8-2025</v>
      </c>
      <c r="D436" s="165">
        <f t="shared" si="68"/>
        <v>2918</v>
      </c>
      <c r="E436" s="28">
        <v>2923.0</v>
      </c>
      <c r="F436" s="54">
        <f t="shared" si="6"/>
        <v>5</v>
      </c>
      <c r="G436" s="54">
        <f t="shared" si="3"/>
        <v>-5</v>
      </c>
    </row>
    <row r="437">
      <c r="B437" s="145">
        <v>45878.0</v>
      </c>
      <c r="C437" s="141" t="str">
        <f t="shared" si="1"/>
        <v>8-2025</v>
      </c>
      <c r="D437" s="28">
        <v>2923.0</v>
      </c>
      <c r="E437" s="28">
        <v>2932.0</v>
      </c>
      <c r="F437" s="54">
        <f t="shared" si="6"/>
        <v>9</v>
      </c>
      <c r="G437" s="54">
        <f t="shared" si="3"/>
        <v>-1</v>
      </c>
    </row>
    <row r="438">
      <c r="B438" s="145">
        <v>45879.0</v>
      </c>
      <c r="C438" s="141" t="str">
        <f t="shared" si="1"/>
        <v>8-2025</v>
      </c>
      <c r="F438" s="54">
        <f t="shared" si="6"/>
        <v>0</v>
      </c>
      <c r="G438" s="54">
        <f t="shared" si="3"/>
        <v>-10</v>
      </c>
    </row>
    <row r="439">
      <c r="B439" s="140">
        <v>45880.0</v>
      </c>
      <c r="C439" s="141" t="str">
        <f t="shared" si="1"/>
        <v>8-2025</v>
      </c>
      <c r="D439" s="165">
        <f>E436</f>
        <v>2923</v>
      </c>
      <c r="E439" s="28">
        <v>2942.0</v>
      </c>
      <c r="F439" s="54">
        <f t="shared" si="6"/>
        <v>19</v>
      </c>
      <c r="G439" s="54">
        <f t="shared" si="3"/>
        <v>9</v>
      </c>
    </row>
    <row r="440">
      <c r="B440" s="140">
        <v>45881.0</v>
      </c>
      <c r="C440" s="141" t="str">
        <f t="shared" si="1"/>
        <v>8-2025</v>
      </c>
      <c r="D440" s="165">
        <f>E440</f>
        <v>2951</v>
      </c>
      <c r="E440" s="28">
        <v>2951.0</v>
      </c>
      <c r="F440" s="54">
        <f t="shared" si="6"/>
        <v>0</v>
      </c>
      <c r="G440" s="54">
        <f t="shared" si="3"/>
        <v>-10</v>
      </c>
    </row>
    <row r="441">
      <c r="B441" s="140">
        <v>45882.0</v>
      </c>
      <c r="C441" s="141" t="str">
        <f t="shared" si="1"/>
        <v>8-2025</v>
      </c>
      <c r="D441" s="165">
        <f t="shared" ref="D441:D444" si="69">E440</f>
        <v>2951</v>
      </c>
      <c r="E441" s="28">
        <v>2961.0</v>
      </c>
      <c r="F441" s="54">
        <f t="shared" si="6"/>
        <v>10</v>
      </c>
      <c r="G441" s="54">
        <f t="shared" si="3"/>
        <v>0</v>
      </c>
    </row>
    <row r="442" ht="17.25" customHeight="1">
      <c r="B442" s="140">
        <v>45883.0</v>
      </c>
      <c r="C442" s="141" t="str">
        <f t="shared" si="1"/>
        <v>8-2025</v>
      </c>
      <c r="D442" s="165">
        <f t="shared" si="69"/>
        <v>2961</v>
      </c>
      <c r="E442" s="28">
        <v>2967.0</v>
      </c>
      <c r="F442" s="54">
        <f t="shared" si="6"/>
        <v>6</v>
      </c>
      <c r="G442" s="54">
        <f t="shared" si="3"/>
        <v>-4</v>
      </c>
    </row>
    <row r="443">
      <c r="B443" s="140">
        <v>45884.0</v>
      </c>
      <c r="C443" s="141" t="str">
        <f t="shared" si="1"/>
        <v>8-2025</v>
      </c>
      <c r="D443" s="165">
        <f t="shared" si="69"/>
        <v>2967</v>
      </c>
      <c r="E443" s="28">
        <v>2977.0</v>
      </c>
      <c r="F443" s="54">
        <f t="shared" si="6"/>
        <v>10</v>
      </c>
      <c r="G443" s="54">
        <f t="shared" si="3"/>
        <v>0</v>
      </c>
    </row>
    <row r="444">
      <c r="B444" s="145">
        <v>45885.0</v>
      </c>
      <c r="C444" s="141" t="str">
        <f t="shared" si="1"/>
        <v>8-2025</v>
      </c>
      <c r="D444" s="165">
        <f t="shared" si="69"/>
        <v>2977</v>
      </c>
      <c r="E444" s="28">
        <v>2987.0</v>
      </c>
      <c r="F444" s="54">
        <f t="shared" si="6"/>
        <v>10</v>
      </c>
      <c r="G444" s="54">
        <f t="shared" si="3"/>
        <v>0</v>
      </c>
    </row>
    <row r="445">
      <c r="B445" s="145">
        <v>45886.0</v>
      </c>
      <c r="C445" s="141" t="str">
        <f t="shared" si="1"/>
        <v>8-2025</v>
      </c>
      <c r="F445" s="54">
        <f t="shared" si="6"/>
        <v>0</v>
      </c>
      <c r="G445" s="54">
        <f t="shared" si="3"/>
        <v>-10</v>
      </c>
    </row>
    <row r="446">
      <c r="B446" s="140">
        <v>45887.0</v>
      </c>
      <c r="C446" s="141" t="str">
        <f t="shared" si="1"/>
        <v>8-2025</v>
      </c>
      <c r="D446" s="165">
        <f>E444</f>
        <v>2987</v>
      </c>
      <c r="E446" s="28">
        <v>2998.2</v>
      </c>
      <c r="F446" s="54">
        <f t="shared" si="6"/>
        <v>11.2</v>
      </c>
      <c r="G446" s="54">
        <f t="shared" si="3"/>
        <v>1.2</v>
      </c>
    </row>
    <row r="447">
      <c r="B447" s="140">
        <v>45888.0</v>
      </c>
      <c r="C447" s="141" t="str">
        <f t="shared" si="1"/>
        <v>8-2025</v>
      </c>
      <c r="D447" s="28">
        <v>2998.4</v>
      </c>
      <c r="E447" s="28">
        <v>3006.0</v>
      </c>
      <c r="F447" s="54">
        <f t="shared" si="6"/>
        <v>7.6</v>
      </c>
      <c r="G447" s="54">
        <f t="shared" si="3"/>
        <v>-2.4</v>
      </c>
    </row>
    <row r="448">
      <c r="B448" s="140">
        <v>45889.0</v>
      </c>
      <c r="C448" s="141" t="str">
        <f t="shared" si="1"/>
        <v>8-2025</v>
      </c>
      <c r="D448" s="165">
        <f t="shared" ref="D448:D451" si="70">E447</f>
        <v>3006</v>
      </c>
      <c r="E448" s="28">
        <v>3016.0</v>
      </c>
      <c r="F448" s="54">
        <f t="shared" si="6"/>
        <v>10</v>
      </c>
      <c r="G448" s="54">
        <f t="shared" si="3"/>
        <v>0</v>
      </c>
    </row>
    <row r="449">
      <c r="B449" s="140">
        <v>45890.0</v>
      </c>
      <c r="C449" s="141" t="str">
        <f t="shared" si="1"/>
        <v>8-2025</v>
      </c>
      <c r="D449" s="165">
        <f t="shared" si="70"/>
        <v>3016</v>
      </c>
      <c r="E449" s="28">
        <v>3026.0</v>
      </c>
      <c r="F449" s="54">
        <f t="shared" si="6"/>
        <v>10</v>
      </c>
      <c r="G449" s="54">
        <f t="shared" si="3"/>
        <v>0</v>
      </c>
    </row>
    <row r="450">
      <c r="B450" s="140">
        <v>45891.0</v>
      </c>
      <c r="C450" s="141" t="str">
        <f t="shared" si="1"/>
        <v>8-2025</v>
      </c>
      <c r="D450" s="165">
        <f t="shared" si="70"/>
        <v>3026</v>
      </c>
      <c r="E450" s="28">
        <v>3038.0</v>
      </c>
      <c r="F450" s="54">
        <f t="shared" si="6"/>
        <v>12</v>
      </c>
      <c r="G450" s="54">
        <f t="shared" si="3"/>
        <v>2</v>
      </c>
    </row>
    <row r="451">
      <c r="B451" s="145">
        <v>45892.0</v>
      </c>
      <c r="C451" s="141" t="str">
        <f t="shared" si="1"/>
        <v>8-2025</v>
      </c>
      <c r="D451" s="165">
        <f t="shared" si="70"/>
        <v>3038</v>
      </c>
      <c r="E451" s="28">
        <v>3047.0</v>
      </c>
      <c r="F451" s="54">
        <f t="shared" si="6"/>
        <v>9</v>
      </c>
      <c r="G451" s="54">
        <f t="shared" si="3"/>
        <v>-1</v>
      </c>
    </row>
    <row r="452">
      <c r="B452" s="145">
        <v>45893.0</v>
      </c>
      <c r="C452" s="141" t="str">
        <f t="shared" si="1"/>
        <v>8-2025</v>
      </c>
      <c r="F452" s="54">
        <f t="shared" si="6"/>
        <v>0</v>
      </c>
      <c r="G452" s="54">
        <f t="shared" si="3"/>
        <v>-10</v>
      </c>
    </row>
    <row r="453">
      <c r="B453" s="140">
        <v>45894.0</v>
      </c>
      <c r="C453" s="141" t="str">
        <f t="shared" si="1"/>
        <v>8-2025</v>
      </c>
      <c r="D453" s="165">
        <f>E451</f>
        <v>3047</v>
      </c>
      <c r="E453" s="28">
        <v>3057.0</v>
      </c>
      <c r="F453" s="54">
        <f t="shared" si="6"/>
        <v>10</v>
      </c>
      <c r="G453" s="54">
        <f t="shared" si="3"/>
        <v>0</v>
      </c>
    </row>
    <row r="454">
      <c r="B454" s="140">
        <v>45895.0</v>
      </c>
      <c r="C454" s="141" t="str">
        <f t="shared" si="1"/>
        <v>8-2025</v>
      </c>
      <c r="D454" s="165">
        <f t="shared" ref="D454:D458" si="71">E453</f>
        <v>3057</v>
      </c>
      <c r="E454" s="28">
        <v>3067.0</v>
      </c>
      <c r="F454" s="54">
        <f t="shared" si="6"/>
        <v>10</v>
      </c>
      <c r="G454" s="54">
        <f t="shared" si="3"/>
        <v>0</v>
      </c>
    </row>
    <row r="455">
      <c r="B455" s="140">
        <v>45896.0</v>
      </c>
      <c r="C455" s="141" t="str">
        <f t="shared" si="1"/>
        <v>8-2025</v>
      </c>
      <c r="D455" s="165">
        <f t="shared" si="71"/>
        <v>3067</v>
      </c>
      <c r="E455" s="28">
        <v>3078.0</v>
      </c>
      <c r="F455" s="54">
        <f t="shared" si="6"/>
        <v>11</v>
      </c>
      <c r="G455" s="54">
        <f t="shared" si="3"/>
        <v>1</v>
      </c>
    </row>
    <row r="456">
      <c r="B456" s="140">
        <v>45897.0</v>
      </c>
      <c r="C456" s="141" t="str">
        <f t="shared" si="1"/>
        <v>8-2025</v>
      </c>
      <c r="D456" s="165">
        <f t="shared" si="71"/>
        <v>3078</v>
      </c>
      <c r="E456" s="28">
        <v>3088.0</v>
      </c>
      <c r="F456" s="54">
        <f t="shared" si="6"/>
        <v>10</v>
      </c>
      <c r="G456" s="54">
        <f t="shared" si="3"/>
        <v>0</v>
      </c>
    </row>
    <row r="457">
      <c r="B457" s="140">
        <v>45898.0</v>
      </c>
      <c r="C457" s="141" t="str">
        <f t="shared" si="1"/>
        <v>8-2025</v>
      </c>
      <c r="D457" s="165">
        <f t="shared" si="71"/>
        <v>3088</v>
      </c>
      <c r="E457" s="28">
        <v>3099.0</v>
      </c>
      <c r="F457" s="54">
        <f t="shared" si="6"/>
        <v>11</v>
      </c>
      <c r="G457" s="54">
        <f t="shared" si="3"/>
        <v>1</v>
      </c>
    </row>
    <row r="458">
      <c r="B458" s="145">
        <v>45899.0</v>
      </c>
      <c r="C458" s="141" t="str">
        <f t="shared" si="1"/>
        <v>8-2025</v>
      </c>
      <c r="D458" s="165">
        <f t="shared" si="71"/>
        <v>3099</v>
      </c>
      <c r="E458" s="28">
        <v>3111.0</v>
      </c>
      <c r="F458" s="54">
        <f t="shared" si="6"/>
        <v>12</v>
      </c>
      <c r="G458" s="54">
        <f t="shared" si="3"/>
        <v>2</v>
      </c>
    </row>
    <row r="459">
      <c r="B459" s="145">
        <v>45900.0</v>
      </c>
      <c r="C459" s="141" t="str">
        <f t="shared" si="1"/>
        <v>8-2025</v>
      </c>
      <c r="F459" s="54">
        <f t="shared" si="6"/>
        <v>0</v>
      </c>
      <c r="G459" s="54">
        <f t="shared" si="3"/>
        <v>-10</v>
      </c>
    </row>
    <row r="460">
      <c r="B460" s="140">
        <v>45901.0</v>
      </c>
      <c r="C460" s="141" t="str">
        <f t="shared" si="1"/>
        <v>9-2025</v>
      </c>
      <c r="D460" s="28">
        <v>3111.0</v>
      </c>
      <c r="E460" s="28">
        <v>3120.0</v>
      </c>
      <c r="F460" s="54">
        <f t="shared" si="6"/>
        <v>9</v>
      </c>
      <c r="G460" s="54">
        <f t="shared" si="3"/>
        <v>-1</v>
      </c>
    </row>
    <row r="461">
      <c r="B461" s="140">
        <v>45902.0</v>
      </c>
      <c r="C461" s="141" t="str">
        <f t="shared" si="1"/>
        <v>9-2025</v>
      </c>
      <c r="D461" s="165">
        <f t="shared" ref="D461:D465" si="72">E460</f>
        <v>3120</v>
      </c>
      <c r="E461" s="28">
        <v>3130.0</v>
      </c>
      <c r="F461" s="54">
        <f t="shared" si="6"/>
        <v>10</v>
      </c>
      <c r="G461" s="54">
        <f t="shared" si="3"/>
        <v>0</v>
      </c>
    </row>
    <row r="462">
      <c r="B462" s="140">
        <v>45903.0</v>
      </c>
      <c r="C462" s="141" t="str">
        <f t="shared" si="1"/>
        <v>9-2025</v>
      </c>
      <c r="D462" s="165">
        <f t="shared" si="72"/>
        <v>3130</v>
      </c>
      <c r="E462" s="28">
        <v>3141.0</v>
      </c>
      <c r="F462" s="54">
        <f t="shared" si="6"/>
        <v>11</v>
      </c>
      <c r="G462" s="54">
        <f t="shared" si="3"/>
        <v>1</v>
      </c>
    </row>
    <row r="463">
      <c r="B463" s="140">
        <v>45904.0</v>
      </c>
      <c r="C463" s="141" t="str">
        <f t="shared" si="1"/>
        <v>9-2025</v>
      </c>
      <c r="D463" s="165">
        <f t="shared" si="72"/>
        <v>3141</v>
      </c>
      <c r="E463" s="28">
        <v>3151.0</v>
      </c>
      <c r="F463" s="54">
        <f t="shared" si="6"/>
        <v>10</v>
      </c>
      <c r="G463" s="54">
        <f t="shared" si="3"/>
        <v>0</v>
      </c>
    </row>
    <row r="464">
      <c r="B464" s="140">
        <v>45905.0</v>
      </c>
      <c r="C464" s="141" t="str">
        <f t="shared" si="1"/>
        <v>9-2025</v>
      </c>
      <c r="D464" s="165">
        <f t="shared" si="72"/>
        <v>3151</v>
      </c>
      <c r="E464" s="28">
        <v>3160.0</v>
      </c>
      <c r="F464" s="54">
        <f t="shared" si="6"/>
        <v>9</v>
      </c>
      <c r="G464" s="54">
        <f t="shared" si="3"/>
        <v>-1</v>
      </c>
    </row>
    <row r="465">
      <c r="B465" s="145">
        <v>45906.0</v>
      </c>
      <c r="C465" s="141" t="str">
        <f t="shared" si="1"/>
        <v>9-2025</v>
      </c>
      <c r="D465" s="165">
        <f t="shared" si="72"/>
        <v>3160</v>
      </c>
      <c r="E465" s="28">
        <v>3168.0</v>
      </c>
      <c r="F465" s="54">
        <f t="shared" si="6"/>
        <v>8</v>
      </c>
      <c r="G465" s="54">
        <f t="shared" si="3"/>
        <v>-2</v>
      </c>
    </row>
    <row r="466">
      <c r="B466" s="145">
        <v>45907.0</v>
      </c>
      <c r="C466" s="141" t="str">
        <f t="shared" si="1"/>
        <v>9-2025</v>
      </c>
      <c r="F466" s="54">
        <f t="shared" si="6"/>
        <v>0</v>
      </c>
      <c r="G466" s="54">
        <f t="shared" si="3"/>
        <v>-10</v>
      </c>
    </row>
    <row r="467">
      <c r="B467" s="140">
        <v>45908.0</v>
      </c>
      <c r="C467" s="141" t="str">
        <f t="shared" si="1"/>
        <v>9-2025</v>
      </c>
      <c r="D467" s="28">
        <v>3168.0</v>
      </c>
      <c r="E467" s="28">
        <v>3177.0</v>
      </c>
      <c r="F467" s="54">
        <f t="shared" si="6"/>
        <v>9</v>
      </c>
      <c r="G467" s="54">
        <f t="shared" si="3"/>
        <v>-1</v>
      </c>
    </row>
    <row r="468">
      <c r="B468" s="140">
        <v>45909.0</v>
      </c>
      <c r="C468" s="141" t="str">
        <f t="shared" si="1"/>
        <v>9-2025</v>
      </c>
      <c r="D468" s="165">
        <f t="shared" ref="D468:D471" si="73">E467</f>
        <v>3177</v>
      </c>
      <c r="E468" s="28">
        <v>3187.0</v>
      </c>
      <c r="F468" s="54">
        <f t="shared" si="6"/>
        <v>10</v>
      </c>
      <c r="G468" s="54">
        <f t="shared" si="3"/>
        <v>0</v>
      </c>
    </row>
    <row r="469">
      <c r="B469" s="140">
        <v>45910.0</v>
      </c>
      <c r="C469" s="141" t="str">
        <f t="shared" si="1"/>
        <v>9-2025</v>
      </c>
      <c r="D469" s="165">
        <f t="shared" si="73"/>
        <v>3187</v>
      </c>
      <c r="E469" s="28">
        <v>3197.0</v>
      </c>
      <c r="F469" s="54">
        <f t="shared" si="6"/>
        <v>10</v>
      </c>
      <c r="G469" s="54">
        <f t="shared" si="3"/>
        <v>0</v>
      </c>
    </row>
    <row r="470">
      <c r="B470" s="140">
        <v>45911.0</v>
      </c>
      <c r="C470" s="141" t="str">
        <f t="shared" si="1"/>
        <v>9-2025</v>
      </c>
      <c r="D470" s="165">
        <f t="shared" si="73"/>
        <v>3197</v>
      </c>
      <c r="E470" s="28">
        <v>3204.0</v>
      </c>
      <c r="F470" s="54">
        <f t="shared" si="6"/>
        <v>7</v>
      </c>
      <c r="G470" s="54">
        <f t="shared" si="3"/>
        <v>-3</v>
      </c>
    </row>
    <row r="471">
      <c r="B471" s="140">
        <v>45912.0</v>
      </c>
      <c r="C471" s="141" t="str">
        <f t="shared" si="1"/>
        <v>9-2025</v>
      </c>
      <c r="D471" s="165">
        <f t="shared" si="73"/>
        <v>3204</v>
      </c>
      <c r="E471" s="28">
        <v>3214.0</v>
      </c>
      <c r="F471" s="54">
        <f t="shared" si="6"/>
        <v>10</v>
      </c>
      <c r="G471" s="54">
        <f t="shared" si="3"/>
        <v>0</v>
      </c>
    </row>
    <row r="472">
      <c r="B472" s="145">
        <v>45913.0</v>
      </c>
      <c r="C472" s="141" t="str">
        <f t="shared" si="1"/>
        <v>9-2025</v>
      </c>
      <c r="F472" s="54">
        <f t="shared" si="6"/>
        <v>0</v>
      </c>
      <c r="G472" s="54">
        <f t="shared" si="3"/>
        <v>-10</v>
      </c>
    </row>
    <row r="473">
      <c r="B473" s="145">
        <v>45914.0</v>
      </c>
      <c r="C473" s="141" t="str">
        <f t="shared" si="1"/>
        <v>9-2025</v>
      </c>
      <c r="D473" s="165" t="str">
        <f t="shared" ref="D473:D474" si="74">E472</f>
        <v/>
      </c>
      <c r="F473" s="54">
        <f t="shared" si="6"/>
        <v>0</v>
      </c>
      <c r="G473" s="54">
        <f t="shared" si="3"/>
        <v>-10</v>
      </c>
    </row>
    <row r="474">
      <c r="B474" s="140">
        <v>45915.0</v>
      </c>
      <c r="C474" s="141" t="str">
        <f t="shared" si="1"/>
        <v>9-2025</v>
      </c>
      <c r="D474" s="165" t="str">
        <f t="shared" si="74"/>
        <v/>
      </c>
      <c r="F474" s="54">
        <f t="shared" si="6"/>
        <v>0</v>
      </c>
      <c r="G474" s="54">
        <f t="shared" si="3"/>
        <v>-10</v>
      </c>
    </row>
    <row r="475">
      <c r="B475" s="140">
        <v>45916.0</v>
      </c>
      <c r="C475" s="141" t="str">
        <f t="shared" si="1"/>
        <v>9-2025</v>
      </c>
      <c r="D475" s="28">
        <v>3214.7</v>
      </c>
      <c r="E475" s="28">
        <v>3224.0</v>
      </c>
      <c r="F475" s="54">
        <f t="shared" si="6"/>
        <v>9.3</v>
      </c>
      <c r="G475" s="54">
        <f t="shared" si="3"/>
        <v>-0.7</v>
      </c>
    </row>
    <row r="476">
      <c r="B476" s="140">
        <v>45917.0</v>
      </c>
      <c r="C476" s="141" t="str">
        <f t="shared" si="1"/>
        <v>9-2025</v>
      </c>
      <c r="D476" s="165">
        <f t="shared" ref="D476:D478" si="75">E475</f>
        <v>3224</v>
      </c>
      <c r="E476" s="28">
        <v>3234.0</v>
      </c>
      <c r="F476" s="54">
        <f t="shared" si="6"/>
        <v>10</v>
      </c>
      <c r="G476" s="54">
        <f t="shared" si="3"/>
        <v>0</v>
      </c>
    </row>
    <row r="477">
      <c r="B477" s="140">
        <v>45918.0</v>
      </c>
      <c r="C477" s="141" t="str">
        <f t="shared" si="1"/>
        <v>9-2025</v>
      </c>
      <c r="D477" s="165">
        <f t="shared" si="75"/>
        <v>3234</v>
      </c>
      <c r="E477" s="28">
        <v>3244.0</v>
      </c>
      <c r="F477" s="54">
        <f t="shared" si="6"/>
        <v>10</v>
      </c>
      <c r="G477" s="54">
        <f t="shared" si="3"/>
        <v>0</v>
      </c>
    </row>
    <row r="478">
      <c r="B478" s="140">
        <v>45919.0</v>
      </c>
      <c r="C478" s="141" t="str">
        <f t="shared" si="1"/>
        <v>9-2025</v>
      </c>
      <c r="D478" s="165">
        <f t="shared" si="75"/>
        <v>3244</v>
      </c>
      <c r="E478" s="28">
        <v>3251.7</v>
      </c>
      <c r="F478" s="54">
        <f t="shared" si="6"/>
        <v>7.7</v>
      </c>
      <c r="G478" s="54">
        <f t="shared" si="3"/>
        <v>-2.3</v>
      </c>
    </row>
    <row r="479">
      <c r="B479" s="145">
        <v>45920.0</v>
      </c>
      <c r="C479" s="141" t="str">
        <f t="shared" si="1"/>
        <v>9-2025</v>
      </c>
      <c r="F479" s="54">
        <f t="shared" si="6"/>
        <v>0</v>
      </c>
      <c r="G479" s="54">
        <f t="shared" si="3"/>
        <v>-10</v>
      </c>
    </row>
    <row r="480">
      <c r="B480" s="145">
        <v>45921.0</v>
      </c>
      <c r="C480" s="141" t="str">
        <f t="shared" si="1"/>
        <v>9-2025</v>
      </c>
      <c r="F480" s="54">
        <f t="shared" si="6"/>
        <v>0</v>
      </c>
      <c r="G480" s="54">
        <f t="shared" si="3"/>
        <v>-10</v>
      </c>
    </row>
    <row r="481">
      <c r="B481" s="140">
        <v>45922.0</v>
      </c>
      <c r="C481" s="141" t="str">
        <f t="shared" si="1"/>
        <v>9-2025</v>
      </c>
      <c r="D481" s="165" t="str">
        <f>E480</f>
        <v/>
      </c>
      <c r="F481" s="54">
        <f t="shared" si="6"/>
        <v>0</v>
      </c>
      <c r="G481" s="54">
        <f t="shared" si="3"/>
        <v>-10</v>
      </c>
    </row>
    <row r="482">
      <c r="B482" s="140">
        <v>45923.0</v>
      </c>
      <c r="C482" s="141" t="str">
        <f t="shared" si="1"/>
        <v>9-2025</v>
      </c>
      <c r="D482" s="28">
        <v>3251.7</v>
      </c>
      <c r="E482" s="28">
        <v>3263.0</v>
      </c>
      <c r="F482" s="54">
        <f t="shared" si="6"/>
        <v>11.3</v>
      </c>
      <c r="G482" s="54">
        <f t="shared" si="3"/>
        <v>1.3</v>
      </c>
    </row>
    <row r="483">
      <c r="B483" s="140">
        <v>45924.0</v>
      </c>
      <c r="C483" s="141" t="str">
        <f t="shared" si="1"/>
        <v>9-2025</v>
      </c>
      <c r="D483" s="165">
        <f t="shared" ref="D483:D485" si="76">E482</f>
        <v>3263</v>
      </c>
      <c r="E483" s="28">
        <v>3274.0</v>
      </c>
      <c r="F483" s="54">
        <f t="shared" si="6"/>
        <v>11</v>
      </c>
      <c r="G483" s="54">
        <f t="shared" si="3"/>
        <v>1</v>
      </c>
    </row>
    <row r="484">
      <c r="B484" s="140">
        <v>45925.0</v>
      </c>
      <c r="C484" s="141" t="str">
        <f t="shared" si="1"/>
        <v>9-2025</v>
      </c>
      <c r="D484" s="165">
        <f t="shared" si="76"/>
        <v>3274</v>
      </c>
      <c r="E484" s="28">
        <v>3284.0</v>
      </c>
      <c r="F484" s="54">
        <f t="shared" si="6"/>
        <v>10</v>
      </c>
      <c r="G484" s="54">
        <f t="shared" si="3"/>
        <v>0</v>
      </c>
    </row>
    <row r="485">
      <c r="B485" s="140">
        <v>45926.0</v>
      </c>
      <c r="C485" s="141" t="str">
        <f t="shared" si="1"/>
        <v>9-2025</v>
      </c>
      <c r="D485" s="165">
        <f t="shared" si="76"/>
        <v>3284</v>
      </c>
      <c r="E485" s="28">
        <v>3295.0</v>
      </c>
      <c r="F485" s="54">
        <f t="shared" si="6"/>
        <v>11</v>
      </c>
      <c r="G485" s="54">
        <f t="shared" si="3"/>
        <v>1</v>
      </c>
    </row>
    <row r="486">
      <c r="B486" s="145">
        <v>45927.0</v>
      </c>
      <c r="C486" s="141" t="str">
        <f t="shared" si="1"/>
        <v>9-2025</v>
      </c>
      <c r="D486" s="28">
        <v>3295.0</v>
      </c>
      <c r="E486" s="28">
        <v>3305.0</v>
      </c>
      <c r="F486" s="54">
        <f t="shared" si="6"/>
        <v>10</v>
      </c>
      <c r="G486" s="54">
        <f t="shared" si="3"/>
        <v>0</v>
      </c>
    </row>
    <row r="487">
      <c r="B487" s="145">
        <v>45928.0</v>
      </c>
      <c r="C487" s="141" t="str">
        <f t="shared" si="1"/>
        <v>9-2025</v>
      </c>
      <c r="F487" s="54">
        <f t="shared" si="6"/>
        <v>0</v>
      </c>
      <c r="G487" s="54">
        <f t="shared" si="3"/>
        <v>-10</v>
      </c>
    </row>
    <row r="488">
      <c r="B488" s="140">
        <v>45929.0</v>
      </c>
      <c r="C488" s="141" t="str">
        <f t="shared" si="1"/>
        <v>9-2025</v>
      </c>
      <c r="D488" s="28">
        <v>3305.0</v>
      </c>
      <c r="E488" s="28">
        <v>3315.0</v>
      </c>
      <c r="F488" s="54">
        <f t="shared" si="6"/>
        <v>10</v>
      </c>
      <c r="G488" s="54">
        <f t="shared" si="3"/>
        <v>0</v>
      </c>
    </row>
    <row r="489">
      <c r="B489" s="140">
        <v>45930.0</v>
      </c>
      <c r="C489" s="141" t="str">
        <f t="shared" si="1"/>
        <v>9-2025</v>
      </c>
      <c r="D489" s="165">
        <f t="shared" ref="D489:D517" si="77">E488</f>
        <v>3315</v>
      </c>
      <c r="E489" s="28">
        <v>3327.0</v>
      </c>
      <c r="F489" s="54">
        <f t="shared" si="6"/>
        <v>12</v>
      </c>
      <c r="G489" s="54">
        <f t="shared" si="3"/>
        <v>2</v>
      </c>
      <c r="H489" s="28" t="s">
        <v>176</v>
      </c>
    </row>
    <row r="490">
      <c r="B490" s="140">
        <v>45931.0</v>
      </c>
      <c r="C490" s="141" t="str">
        <f t="shared" si="1"/>
        <v>10-2025</v>
      </c>
      <c r="D490" s="165">
        <f t="shared" si="77"/>
        <v>3327</v>
      </c>
      <c r="E490" s="28">
        <v>3336.0</v>
      </c>
      <c r="F490" s="54">
        <f t="shared" si="6"/>
        <v>9</v>
      </c>
      <c r="G490" s="54">
        <f t="shared" si="3"/>
        <v>-1</v>
      </c>
    </row>
    <row r="491">
      <c r="B491" s="140">
        <v>45932.0</v>
      </c>
      <c r="C491" s="141" t="str">
        <f t="shared" si="1"/>
        <v>10-2025</v>
      </c>
      <c r="D491" s="165">
        <f t="shared" si="77"/>
        <v>3336</v>
      </c>
      <c r="E491" s="28">
        <v>3347.0</v>
      </c>
      <c r="F491" s="54">
        <f t="shared" si="6"/>
        <v>11</v>
      </c>
      <c r="G491" s="54">
        <f t="shared" si="3"/>
        <v>1</v>
      </c>
    </row>
    <row r="492">
      <c r="B492" s="140">
        <v>45933.0</v>
      </c>
      <c r="C492" s="141" t="str">
        <f t="shared" si="1"/>
        <v>10-2025</v>
      </c>
      <c r="D492" s="165">
        <f t="shared" si="77"/>
        <v>3347</v>
      </c>
      <c r="E492" s="28">
        <v>3357.0</v>
      </c>
      <c r="F492" s="54">
        <f t="shared" si="6"/>
        <v>10</v>
      </c>
      <c r="G492" s="54">
        <f t="shared" si="3"/>
        <v>0</v>
      </c>
    </row>
    <row r="493">
      <c r="B493" s="140">
        <v>45936.0</v>
      </c>
      <c r="C493" s="141" t="str">
        <f t="shared" si="1"/>
        <v>10-2025</v>
      </c>
      <c r="D493" s="165">
        <f t="shared" si="77"/>
        <v>3357</v>
      </c>
      <c r="E493" s="28">
        <v>3367.0</v>
      </c>
      <c r="F493" s="54">
        <f t="shared" si="6"/>
        <v>10</v>
      </c>
      <c r="G493" s="54">
        <f t="shared" si="3"/>
        <v>0</v>
      </c>
    </row>
    <row r="494">
      <c r="B494" s="140">
        <v>45937.0</v>
      </c>
      <c r="C494" s="141" t="str">
        <f t="shared" si="1"/>
        <v>10-2025</v>
      </c>
      <c r="D494" s="165">
        <f t="shared" si="77"/>
        <v>3367</v>
      </c>
      <c r="E494" s="28">
        <v>3377.0</v>
      </c>
      <c r="F494" s="54">
        <f t="shared" si="6"/>
        <v>10</v>
      </c>
      <c r="G494" s="54">
        <f t="shared" si="3"/>
        <v>0</v>
      </c>
    </row>
    <row r="495">
      <c r="B495" s="140">
        <v>45938.0</v>
      </c>
      <c r="C495" s="141" t="str">
        <f t="shared" si="1"/>
        <v>10-2025</v>
      </c>
      <c r="D495" s="165">
        <f t="shared" si="77"/>
        <v>3377</v>
      </c>
      <c r="E495" s="28">
        <v>3387.0</v>
      </c>
      <c r="F495" s="54">
        <f t="shared" si="6"/>
        <v>10</v>
      </c>
      <c r="G495" s="54">
        <f t="shared" si="3"/>
        <v>0</v>
      </c>
    </row>
    <row r="496">
      <c r="B496" s="140">
        <v>45939.0</v>
      </c>
      <c r="C496" s="141" t="str">
        <f t="shared" si="1"/>
        <v>10-2025</v>
      </c>
      <c r="D496" s="165">
        <f t="shared" si="77"/>
        <v>3387</v>
      </c>
      <c r="E496" s="28">
        <v>3397.0</v>
      </c>
      <c r="F496" s="54">
        <f t="shared" si="6"/>
        <v>10</v>
      </c>
      <c r="G496" s="54">
        <f t="shared" si="3"/>
        <v>0</v>
      </c>
    </row>
    <row r="497">
      <c r="B497" s="140">
        <v>45940.0</v>
      </c>
      <c r="C497" s="141" t="str">
        <f t="shared" si="1"/>
        <v>10-2025</v>
      </c>
      <c r="D497" s="165">
        <f t="shared" si="77"/>
        <v>3397</v>
      </c>
      <c r="E497" s="28">
        <v>3407.0</v>
      </c>
      <c r="F497" s="54">
        <f t="shared" si="6"/>
        <v>10</v>
      </c>
      <c r="G497" s="54">
        <f t="shared" si="3"/>
        <v>0</v>
      </c>
    </row>
    <row r="498">
      <c r="A498" s="186" t="s">
        <v>121</v>
      </c>
      <c r="B498" s="187">
        <v>45941.0</v>
      </c>
      <c r="C498" s="188" t="str">
        <f t="shared" si="1"/>
        <v>10-2025</v>
      </c>
      <c r="D498" s="189">
        <f t="shared" si="77"/>
        <v>3407</v>
      </c>
      <c r="E498" s="186">
        <v>3412.0</v>
      </c>
      <c r="F498" s="189">
        <f t="shared" si="6"/>
        <v>5</v>
      </c>
      <c r="G498" s="189">
        <f t="shared" si="3"/>
        <v>-5</v>
      </c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</row>
    <row r="499">
      <c r="B499" s="140">
        <v>45943.0</v>
      </c>
      <c r="C499" s="141" t="str">
        <f t="shared" si="1"/>
        <v>10-2025</v>
      </c>
      <c r="D499" s="165">
        <f t="shared" si="77"/>
        <v>3412</v>
      </c>
      <c r="E499" s="28">
        <v>3422.0</v>
      </c>
      <c r="F499" s="54">
        <f t="shared" si="6"/>
        <v>10</v>
      </c>
      <c r="G499" s="54">
        <f t="shared" si="3"/>
        <v>0</v>
      </c>
    </row>
    <row r="500">
      <c r="B500" s="140">
        <v>45944.0</v>
      </c>
      <c r="C500" s="141" t="str">
        <f t="shared" si="1"/>
        <v>10-2025</v>
      </c>
      <c r="D500" s="165">
        <f t="shared" si="77"/>
        <v>3422</v>
      </c>
      <c r="E500" s="28">
        <v>3431.0</v>
      </c>
      <c r="F500" s="54">
        <f t="shared" si="6"/>
        <v>9</v>
      </c>
      <c r="G500" s="54">
        <f t="shared" si="3"/>
        <v>-1</v>
      </c>
    </row>
    <row r="501">
      <c r="B501" s="140">
        <v>45945.0</v>
      </c>
      <c r="C501" s="141" t="str">
        <f t="shared" si="1"/>
        <v>10-2025</v>
      </c>
      <c r="D501" s="165">
        <f t="shared" si="77"/>
        <v>3431</v>
      </c>
      <c r="E501" s="28">
        <v>3441.4</v>
      </c>
      <c r="F501" s="54">
        <f t="shared" si="6"/>
        <v>10.4</v>
      </c>
      <c r="G501" s="54">
        <f t="shared" si="3"/>
        <v>0.4</v>
      </c>
    </row>
    <row r="502">
      <c r="B502" s="140">
        <v>45946.0</v>
      </c>
      <c r="C502" s="141" t="str">
        <f t="shared" si="1"/>
        <v>10-2025</v>
      </c>
      <c r="D502" s="165">
        <f t="shared" si="77"/>
        <v>3441.4</v>
      </c>
      <c r="E502" s="28">
        <v>3447.0</v>
      </c>
      <c r="F502" s="54">
        <f t="shared" si="6"/>
        <v>5.6</v>
      </c>
      <c r="G502" s="54">
        <f t="shared" si="3"/>
        <v>-4.4</v>
      </c>
    </row>
    <row r="503">
      <c r="B503" s="140">
        <v>45947.0</v>
      </c>
      <c r="C503" s="141" t="str">
        <f t="shared" si="1"/>
        <v>10-2025</v>
      </c>
      <c r="D503" s="165">
        <f t="shared" si="77"/>
        <v>3447</v>
      </c>
      <c r="E503" s="28">
        <v>3457.0</v>
      </c>
      <c r="F503" s="54">
        <f t="shared" si="6"/>
        <v>10</v>
      </c>
      <c r="G503" s="54">
        <f t="shared" si="3"/>
        <v>0</v>
      </c>
    </row>
    <row r="504">
      <c r="A504" s="186" t="s">
        <v>121</v>
      </c>
      <c r="B504" s="187">
        <v>45948.0</v>
      </c>
      <c r="C504" s="188" t="str">
        <f t="shared" si="1"/>
        <v>10-2025</v>
      </c>
      <c r="D504" s="189">
        <f t="shared" si="77"/>
        <v>3457</v>
      </c>
      <c r="E504" s="186">
        <v>3465.0</v>
      </c>
      <c r="F504" s="189">
        <f t="shared" si="6"/>
        <v>8</v>
      </c>
      <c r="G504" s="189">
        <f t="shared" si="3"/>
        <v>-2</v>
      </c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</row>
    <row r="505">
      <c r="B505" s="140">
        <v>45950.0</v>
      </c>
      <c r="C505" s="141" t="str">
        <f t="shared" si="1"/>
        <v>10-2025</v>
      </c>
      <c r="D505" s="165">
        <f t="shared" si="77"/>
        <v>3465</v>
      </c>
      <c r="E505" s="28">
        <v>3477.0</v>
      </c>
      <c r="F505" s="54">
        <f t="shared" si="6"/>
        <v>12</v>
      </c>
      <c r="G505" s="54">
        <f t="shared" si="3"/>
        <v>2</v>
      </c>
    </row>
    <row r="506">
      <c r="B506" s="140">
        <v>45951.0</v>
      </c>
      <c r="C506" s="141" t="str">
        <f t="shared" si="1"/>
        <v>10-2025</v>
      </c>
      <c r="D506" s="165">
        <f t="shared" si="77"/>
        <v>3477</v>
      </c>
      <c r="E506" s="28">
        <v>3487.0</v>
      </c>
      <c r="F506" s="54">
        <f t="shared" si="6"/>
        <v>10</v>
      </c>
      <c r="G506" s="54">
        <f t="shared" si="3"/>
        <v>0</v>
      </c>
    </row>
    <row r="507">
      <c r="B507" s="140">
        <v>45952.0</v>
      </c>
      <c r="C507" s="141" t="str">
        <f t="shared" si="1"/>
        <v>10-2025</v>
      </c>
      <c r="D507" s="165">
        <f t="shared" si="77"/>
        <v>3487</v>
      </c>
      <c r="E507" s="28">
        <v>3498.0</v>
      </c>
      <c r="F507" s="54">
        <f t="shared" si="6"/>
        <v>11</v>
      </c>
      <c r="G507" s="54">
        <f t="shared" si="3"/>
        <v>1</v>
      </c>
    </row>
    <row r="508">
      <c r="B508" s="140">
        <v>45953.0</v>
      </c>
      <c r="C508" s="141" t="str">
        <f t="shared" si="1"/>
        <v>10-2025</v>
      </c>
      <c r="D508" s="165">
        <f t="shared" si="77"/>
        <v>3498</v>
      </c>
      <c r="E508" s="28">
        <v>3508.0</v>
      </c>
      <c r="F508" s="54">
        <f t="shared" si="6"/>
        <v>10</v>
      </c>
      <c r="G508" s="54">
        <f t="shared" si="3"/>
        <v>0</v>
      </c>
    </row>
    <row r="509">
      <c r="B509" s="140">
        <v>45954.0</v>
      </c>
      <c r="C509" s="141" t="str">
        <f t="shared" si="1"/>
        <v>10-2025</v>
      </c>
      <c r="D509" s="165">
        <f t="shared" si="77"/>
        <v>3508</v>
      </c>
      <c r="E509" s="28">
        <v>3519.0</v>
      </c>
      <c r="F509" s="54">
        <f t="shared" si="6"/>
        <v>11</v>
      </c>
      <c r="G509" s="54">
        <f t="shared" si="3"/>
        <v>1</v>
      </c>
    </row>
    <row r="510">
      <c r="A510" s="186" t="s">
        <v>121</v>
      </c>
      <c r="B510" s="187">
        <v>45955.0</v>
      </c>
      <c r="C510" s="188" t="str">
        <f t="shared" si="1"/>
        <v>10-2025</v>
      </c>
      <c r="D510" s="189">
        <f t="shared" si="77"/>
        <v>3519</v>
      </c>
      <c r="E510" s="186">
        <v>3527.0</v>
      </c>
      <c r="F510" s="189">
        <f t="shared" si="6"/>
        <v>8</v>
      </c>
      <c r="G510" s="189">
        <f t="shared" si="3"/>
        <v>-2</v>
      </c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</row>
    <row r="511">
      <c r="B511" s="140">
        <v>45957.0</v>
      </c>
      <c r="C511" s="141" t="str">
        <f t="shared" si="1"/>
        <v>10-2025</v>
      </c>
      <c r="D511" s="165">
        <f t="shared" si="77"/>
        <v>3527</v>
      </c>
      <c r="E511" s="28">
        <v>3537.0</v>
      </c>
      <c r="F511" s="54">
        <f t="shared" si="6"/>
        <v>10</v>
      </c>
      <c r="G511" s="54">
        <f t="shared" si="3"/>
        <v>0</v>
      </c>
    </row>
    <row r="512">
      <c r="B512" s="140">
        <v>45958.0</v>
      </c>
      <c r="C512" s="141" t="str">
        <f t="shared" si="1"/>
        <v>10-2025</v>
      </c>
      <c r="D512" s="165">
        <f t="shared" si="77"/>
        <v>3537</v>
      </c>
      <c r="E512" s="28">
        <v>3548.0</v>
      </c>
      <c r="F512" s="54">
        <f t="shared" si="6"/>
        <v>11</v>
      </c>
      <c r="G512" s="54">
        <f t="shared" si="3"/>
        <v>1</v>
      </c>
    </row>
    <row r="513">
      <c r="B513" s="140">
        <v>45959.0</v>
      </c>
      <c r="C513" s="141" t="str">
        <f t="shared" si="1"/>
        <v>10-2025</v>
      </c>
      <c r="D513" s="165">
        <f t="shared" si="77"/>
        <v>3548</v>
      </c>
      <c r="E513" s="28">
        <v>3559.0</v>
      </c>
      <c r="F513" s="54">
        <f t="shared" si="6"/>
        <v>11</v>
      </c>
      <c r="G513" s="54">
        <f t="shared" si="3"/>
        <v>1</v>
      </c>
    </row>
    <row r="514">
      <c r="B514" s="140">
        <v>45960.0</v>
      </c>
      <c r="C514" s="141" t="str">
        <f t="shared" si="1"/>
        <v>10-2025</v>
      </c>
      <c r="D514" s="165">
        <f t="shared" si="77"/>
        <v>3559</v>
      </c>
      <c r="E514" s="28">
        <v>3570.0</v>
      </c>
      <c r="F514" s="54">
        <f t="shared" si="6"/>
        <v>11</v>
      </c>
      <c r="G514" s="54">
        <f t="shared" si="3"/>
        <v>1</v>
      </c>
    </row>
    <row r="515">
      <c r="B515" s="140">
        <v>45961.0</v>
      </c>
      <c r="C515" s="141" t="str">
        <f t="shared" si="1"/>
        <v>10-2025</v>
      </c>
      <c r="D515" s="165">
        <f t="shared" si="77"/>
        <v>3570</v>
      </c>
      <c r="E515" s="28">
        <v>3581.0</v>
      </c>
      <c r="F515" s="54">
        <f t="shared" si="6"/>
        <v>11</v>
      </c>
      <c r="G515" s="54">
        <f t="shared" si="3"/>
        <v>1</v>
      </c>
      <c r="H515" s="28" t="s">
        <v>177</v>
      </c>
    </row>
    <row r="516">
      <c r="B516" s="164">
        <v>45965.0</v>
      </c>
      <c r="C516" s="141" t="str">
        <f t="shared" si="1"/>
        <v>11-2025</v>
      </c>
      <c r="D516" s="165">
        <f t="shared" si="77"/>
        <v>3581</v>
      </c>
      <c r="E516" s="28">
        <v>3591.0</v>
      </c>
      <c r="F516" s="54">
        <f t="shared" si="6"/>
        <v>10</v>
      </c>
      <c r="G516" s="54">
        <f t="shared" si="3"/>
        <v>0</v>
      </c>
    </row>
    <row r="517">
      <c r="B517" s="164">
        <v>45966.0</v>
      </c>
      <c r="C517" s="141" t="str">
        <f t="shared" si="1"/>
        <v>11-2025</v>
      </c>
      <c r="D517" s="165">
        <f t="shared" si="77"/>
        <v>3591</v>
      </c>
      <c r="E517" s="28">
        <v>3600.0</v>
      </c>
      <c r="F517" s="54">
        <f t="shared" si="6"/>
        <v>9</v>
      </c>
      <c r="G517" s="54">
        <f t="shared" si="3"/>
        <v>-1</v>
      </c>
    </row>
    <row r="518">
      <c r="B518" s="164">
        <v>45967.0</v>
      </c>
      <c r="C518" s="141" t="str">
        <f t="shared" si="1"/>
        <v>11-2025</v>
      </c>
      <c r="D518" s="28">
        <v>3600.0</v>
      </c>
      <c r="E518" s="28">
        <v>3607.4</v>
      </c>
      <c r="F518" s="54">
        <f t="shared" si="6"/>
        <v>7.4</v>
      </c>
      <c r="G518" s="54">
        <f t="shared" si="3"/>
        <v>-2.6</v>
      </c>
    </row>
    <row r="519">
      <c r="B519" s="164">
        <v>45968.0</v>
      </c>
      <c r="C519" s="141" t="str">
        <f t="shared" si="1"/>
        <v>11-2025</v>
      </c>
      <c r="D519" s="28">
        <v>3607.9</v>
      </c>
      <c r="E519" s="28">
        <v>3610.0</v>
      </c>
      <c r="F519" s="54">
        <f t="shared" si="6"/>
        <v>2.1</v>
      </c>
      <c r="G519" s="54">
        <f t="shared" si="3"/>
        <v>-7.9</v>
      </c>
    </row>
    <row r="520">
      <c r="B520" s="190">
        <v>45971.0</v>
      </c>
      <c r="C520" s="141" t="str">
        <f t="shared" si="1"/>
        <v>11-2025</v>
      </c>
      <c r="D520" s="28">
        <v>3610.0</v>
      </c>
      <c r="E520" s="28">
        <v>3621.0</v>
      </c>
      <c r="F520" s="54">
        <f t="shared" si="6"/>
        <v>11</v>
      </c>
      <c r="G520" s="54">
        <f t="shared" si="3"/>
        <v>1</v>
      </c>
    </row>
    <row r="521">
      <c r="B521" s="190">
        <v>45972.0</v>
      </c>
      <c r="C521" s="141" t="str">
        <f t="shared" si="1"/>
        <v>11-2025</v>
      </c>
      <c r="D521" s="28">
        <v>3621.0</v>
      </c>
      <c r="E521" s="28">
        <v>3632.0</v>
      </c>
      <c r="F521" s="54">
        <f t="shared" si="6"/>
        <v>11</v>
      </c>
      <c r="G521" s="54">
        <f t="shared" si="3"/>
        <v>1</v>
      </c>
    </row>
    <row r="522">
      <c r="B522" s="190">
        <v>45973.0</v>
      </c>
      <c r="C522" s="141" t="str">
        <f t="shared" si="1"/>
        <v>11-2025</v>
      </c>
      <c r="D522" s="28">
        <v>3632.0</v>
      </c>
      <c r="E522" s="28">
        <v>3644.0</v>
      </c>
      <c r="F522" s="54">
        <f t="shared" si="6"/>
        <v>12</v>
      </c>
      <c r="G522" s="54">
        <f t="shared" si="3"/>
        <v>2</v>
      </c>
    </row>
    <row r="523">
      <c r="B523" s="190">
        <v>45974.0</v>
      </c>
      <c r="C523" s="141" t="str">
        <f t="shared" si="1"/>
        <v>11-2025</v>
      </c>
      <c r="D523" s="28">
        <v>3644.0</v>
      </c>
      <c r="E523" s="28">
        <v>3656.0</v>
      </c>
      <c r="F523" s="54">
        <f t="shared" si="6"/>
        <v>12</v>
      </c>
      <c r="G523" s="54">
        <f t="shared" si="3"/>
        <v>2</v>
      </c>
    </row>
    <row r="524">
      <c r="B524" s="190">
        <v>45975.0</v>
      </c>
      <c r="C524" s="141" t="str">
        <f t="shared" si="1"/>
        <v>11-2025</v>
      </c>
      <c r="D524" s="28">
        <v>3656.0</v>
      </c>
      <c r="E524" s="28">
        <v>3668.0</v>
      </c>
      <c r="F524" s="54">
        <f t="shared" si="6"/>
        <v>12</v>
      </c>
      <c r="G524" s="54">
        <f t="shared" si="3"/>
        <v>2</v>
      </c>
    </row>
    <row r="525">
      <c r="A525" s="173" t="s">
        <v>178</v>
      </c>
      <c r="B525" s="191">
        <v>45976.0</v>
      </c>
      <c r="C525" s="172" t="str">
        <f t="shared" si="1"/>
        <v>11-2025</v>
      </c>
      <c r="D525" s="173">
        <v>3668.0</v>
      </c>
      <c r="E525" s="173">
        <v>3673.0</v>
      </c>
      <c r="F525" s="170">
        <f t="shared" si="6"/>
        <v>5</v>
      </c>
      <c r="G525" s="170">
        <f t="shared" si="3"/>
        <v>-5</v>
      </c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</row>
    <row r="526">
      <c r="B526" s="190">
        <v>45978.0</v>
      </c>
      <c r="C526" s="141" t="str">
        <f t="shared" si="1"/>
        <v>11-2025</v>
      </c>
      <c r="D526" s="28">
        <v>3673.0</v>
      </c>
      <c r="E526" s="28">
        <v>3680.0</v>
      </c>
      <c r="F526" s="54">
        <f t="shared" si="6"/>
        <v>7</v>
      </c>
      <c r="G526" s="54">
        <f t="shared" si="3"/>
        <v>-3</v>
      </c>
    </row>
    <row r="527">
      <c r="B527" s="190">
        <v>45979.0</v>
      </c>
      <c r="C527" s="141" t="str">
        <f t="shared" si="1"/>
        <v>11-2025</v>
      </c>
      <c r="D527" s="28">
        <v>3680.0</v>
      </c>
      <c r="E527" s="28">
        <v>3688.0</v>
      </c>
      <c r="F527" s="54">
        <f t="shared" si="6"/>
        <v>8</v>
      </c>
      <c r="G527" s="54">
        <f t="shared" si="3"/>
        <v>-2</v>
      </c>
    </row>
    <row r="528">
      <c r="B528" s="190">
        <v>45980.0</v>
      </c>
      <c r="C528" s="141" t="str">
        <f t="shared" si="1"/>
        <v>11-2025</v>
      </c>
      <c r="D528" s="28">
        <v>3688.0</v>
      </c>
      <c r="E528" s="28">
        <v>3698.0</v>
      </c>
      <c r="F528" s="54">
        <f t="shared" si="6"/>
        <v>10</v>
      </c>
      <c r="G528" s="54">
        <f t="shared" si="3"/>
        <v>0</v>
      </c>
    </row>
    <row r="529">
      <c r="B529" s="190">
        <v>45981.0</v>
      </c>
      <c r="C529" s="141" t="str">
        <f t="shared" si="1"/>
        <v>11-2025</v>
      </c>
      <c r="D529" s="28">
        <v>3698.0</v>
      </c>
      <c r="E529" s="28">
        <v>3708.0</v>
      </c>
      <c r="F529" s="54">
        <f t="shared" si="6"/>
        <v>10</v>
      </c>
      <c r="G529" s="54">
        <f t="shared" si="3"/>
        <v>0</v>
      </c>
    </row>
    <row r="530">
      <c r="B530" s="190">
        <v>45982.0</v>
      </c>
      <c r="C530" s="141" t="str">
        <f t="shared" si="1"/>
        <v>11-2025</v>
      </c>
      <c r="D530" s="28">
        <v>3708.0</v>
      </c>
      <c r="E530" s="28">
        <v>3718.0</v>
      </c>
      <c r="F530" s="54">
        <f t="shared" si="6"/>
        <v>10</v>
      </c>
      <c r="G530" s="54">
        <f t="shared" si="3"/>
        <v>0</v>
      </c>
    </row>
    <row r="531">
      <c r="A531" s="173" t="s">
        <v>179</v>
      </c>
      <c r="B531" s="191">
        <v>45983.0</v>
      </c>
      <c r="C531" s="172" t="str">
        <f t="shared" si="1"/>
        <v>11-2025</v>
      </c>
      <c r="D531" s="173">
        <v>3718.0</v>
      </c>
      <c r="E531" s="173">
        <v>3728.0</v>
      </c>
      <c r="F531" s="170">
        <f t="shared" si="6"/>
        <v>10</v>
      </c>
      <c r="G531" s="170">
        <f t="shared" si="3"/>
        <v>0</v>
      </c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</row>
    <row r="532">
      <c r="B532" s="190">
        <v>45985.0</v>
      </c>
      <c r="C532" s="141" t="str">
        <f t="shared" si="1"/>
        <v>11-2025</v>
      </c>
      <c r="D532" s="28">
        <v>3728.0</v>
      </c>
      <c r="E532" s="28">
        <v>3738.0</v>
      </c>
      <c r="F532" s="54">
        <f t="shared" si="6"/>
        <v>10</v>
      </c>
      <c r="G532" s="54">
        <f t="shared" si="3"/>
        <v>0</v>
      </c>
    </row>
    <row r="533">
      <c r="B533" s="190">
        <v>45986.0</v>
      </c>
      <c r="C533" s="141" t="str">
        <f t="shared" si="1"/>
        <v>11-2025</v>
      </c>
      <c r="D533" s="28">
        <v>3738.0</v>
      </c>
      <c r="E533" s="28">
        <v>3748.0</v>
      </c>
      <c r="F533" s="54">
        <f t="shared" si="6"/>
        <v>10</v>
      </c>
      <c r="G533" s="54">
        <f t="shared" si="3"/>
        <v>0</v>
      </c>
    </row>
    <row r="534">
      <c r="B534" s="190">
        <v>45987.0</v>
      </c>
      <c r="C534" s="141" t="str">
        <f t="shared" si="1"/>
        <v>11-2025</v>
      </c>
      <c r="D534" s="28">
        <v>3748.0</v>
      </c>
      <c r="E534" s="28">
        <v>3758.0</v>
      </c>
      <c r="F534" s="54">
        <f t="shared" si="6"/>
        <v>10</v>
      </c>
      <c r="G534" s="54">
        <f t="shared" si="3"/>
        <v>0</v>
      </c>
    </row>
    <row r="535">
      <c r="B535" s="190">
        <v>45988.0</v>
      </c>
      <c r="C535" s="141" t="str">
        <f t="shared" si="1"/>
        <v>11-2025</v>
      </c>
      <c r="D535" s="28">
        <v>3758.0</v>
      </c>
      <c r="E535" s="28">
        <v>3768.0</v>
      </c>
      <c r="F535" s="54">
        <f t="shared" si="6"/>
        <v>10</v>
      </c>
      <c r="G535" s="54">
        <f t="shared" si="3"/>
        <v>0</v>
      </c>
    </row>
    <row r="536">
      <c r="B536" s="190">
        <v>45989.0</v>
      </c>
      <c r="C536" s="141" t="str">
        <f t="shared" si="1"/>
        <v>11-2025</v>
      </c>
      <c r="D536" s="28">
        <v>3768.0</v>
      </c>
      <c r="E536" s="28">
        <v>3778.0</v>
      </c>
      <c r="F536" s="54">
        <f t="shared" si="6"/>
        <v>10</v>
      </c>
      <c r="G536" s="54">
        <f t="shared" si="3"/>
        <v>0</v>
      </c>
    </row>
    <row r="537">
      <c r="A537" s="173" t="s">
        <v>180</v>
      </c>
      <c r="B537" s="191">
        <v>45990.0</v>
      </c>
      <c r="C537" s="172" t="str">
        <f t="shared" si="1"/>
        <v>11-2025</v>
      </c>
      <c r="D537" s="173">
        <v>3778.0</v>
      </c>
      <c r="E537" s="173">
        <v>3786.4</v>
      </c>
      <c r="F537" s="170">
        <f t="shared" si="6"/>
        <v>8.4</v>
      </c>
      <c r="G537" s="170">
        <f t="shared" si="3"/>
        <v>-1.6</v>
      </c>
      <c r="H537" s="173">
        <v>2272.0</v>
      </c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</row>
    <row r="538">
      <c r="B538" s="190">
        <v>45991.0</v>
      </c>
      <c r="C538" s="141" t="str">
        <f t="shared" si="1"/>
        <v>11-2025</v>
      </c>
      <c r="F538" s="54">
        <f t="shared" si="6"/>
        <v>0</v>
      </c>
      <c r="G538" s="54">
        <f t="shared" si="3"/>
        <v>-10</v>
      </c>
    </row>
    <row r="539">
      <c r="B539" s="164">
        <v>45992.0</v>
      </c>
      <c r="C539" s="141" t="str">
        <f t="shared" si="1"/>
        <v>12-2025</v>
      </c>
      <c r="D539" s="28">
        <v>3786.4</v>
      </c>
      <c r="E539" s="28">
        <v>3796.0</v>
      </c>
      <c r="F539" s="54">
        <f t="shared" si="6"/>
        <v>9.6</v>
      </c>
      <c r="G539" s="54">
        <f t="shared" si="3"/>
        <v>-0.4</v>
      </c>
    </row>
    <row r="540">
      <c r="B540" s="164">
        <v>45993.0</v>
      </c>
      <c r="C540" s="141" t="str">
        <f t="shared" si="1"/>
        <v>12-2025</v>
      </c>
      <c r="D540" s="165">
        <f>E539</f>
        <v>3796</v>
      </c>
      <c r="E540" s="28">
        <v>3809.6</v>
      </c>
      <c r="F540" s="54">
        <f t="shared" si="6"/>
        <v>13.6</v>
      </c>
      <c r="G540" s="54">
        <f t="shared" si="3"/>
        <v>3.6</v>
      </c>
    </row>
    <row r="541">
      <c r="B541" s="164">
        <v>45994.0</v>
      </c>
      <c r="C541" s="141" t="str">
        <f t="shared" si="1"/>
        <v>12-2025</v>
      </c>
      <c r="F541" s="54">
        <f t="shared" si="6"/>
        <v>0</v>
      </c>
      <c r="G541" s="54">
        <f t="shared" si="3"/>
        <v>-10</v>
      </c>
    </row>
    <row r="542">
      <c r="B542" s="164">
        <v>45995.0</v>
      </c>
      <c r="C542" s="141" t="str">
        <f t="shared" si="1"/>
        <v>12-2025</v>
      </c>
      <c r="F542" s="54">
        <f t="shared" si="6"/>
        <v>0</v>
      </c>
      <c r="G542" s="54">
        <f t="shared" si="3"/>
        <v>-10</v>
      </c>
    </row>
    <row r="543">
      <c r="B543" s="164">
        <v>45996.0</v>
      </c>
      <c r="C543" s="141" t="str">
        <f t="shared" si="1"/>
        <v>12-2025</v>
      </c>
      <c r="F543" s="54">
        <f t="shared" si="6"/>
        <v>0</v>
      </c>
      <c r="G543" s="54">
        <f t="shared" si="3"/>
        <v>-10</v>
      </c>
    </row>
    <row r="544">
      <c r="B544" s="164">
        <v>45997.0</v>
      </c>
      <c r="C544" s="141" t="str">
        <f t="shared" si="1"/>
        <v>12-2025</v>
      </c>
      <c r="F544" s="54">
        <f t="shared" si="6"/>
        <v>0</v>
      </c>
      <c r="G544" s="54">
        <f t="shared" si="3"/>
        <v>-10</v>
      </c>
    </row>
    <row r="545">
      <c r="B545" s="164">
        <v>45998.0</v>
      </c>
      <c r="C545" s="141" t="str">
        <f t="shared" si="1"/>
        <v>12-2025</v>
      </c>
      <c r="F545" s="54">
        <f t="shared" si="6"/>
        <v>0</v>
      </c>
      <c r="G545" s="54">
        <f t="shared" si="3"/>
        <v>-10</v>
      </c>
    </row>
    <row r="546">
      <c r="B546" s="164">
        <v>45999.0</v>
      </c>
      <c r="C546" s="141" t="str">
        <f t="shared" si="1"/>
        <v>12-2025</v>
      </c>
      <c r="D546" s="28">
        <v>3812.0</v>
      </c>
      <c r="E546" s="28">
        <v>3820.0</v>
      </c>
      <c r="F546" s="54">
        <f t="shared" si="6"/>
        <v>8</v>
      </c>
      <c r="G546" s="54">
        <f t="shared" si="3"/>
        <v>-2</v>
      </c>
    </row>
    <row r="547">
      <c r="B547" s="164">
        <v>46000.0</v>
      </c>
      <c r="C547" s="141" t="str">
        <f t="shared" si="1"/>
        <v>12-2025</v>
      </c>
      <c r="D547" s="165">
        <f t="shared" ref="D547:D548" si="78">E546</f>
        <v>3820</v>
      </c>
      <c r="E547" s="28">
        <v>3828.0</v>
      </c>
      <c r="F547" s="54">
        <f t="shared" si="6"/>
        <v>8</v>
      </c>
      <c r="G547" s="54">
        <f t="shared" si="3"/>
        <v>-2</v>
      </c>
    </row>
    <row r="548">
      <c r="B548" s="164">
        <v>46001.0</v>
      </c>
      <c r="C548" s="141" t="str">
        <f t="shared" si="1"/>
        <v>12-2025</v>
      </c>
      <c r="D548" s="165">
        <f t="shared" si="78"/>
        <v>3828</v>
      </c>
      <c r="E548" s="28">
        <v>3833.0</v>
      </c>
      <c r="F548" s="54">
        <f t="shared" si="6"/>
        <v>5</v>
      </c>
      <c r="G548" s="54">
        <f t="shared" si="3"/>
        <v>-5</v>
      </c>
    </row>
    <row r="549">
      <c r="B549" s="164">
        <v>46002.0</v>
      </c>
      <c r="C549" s="141" t="str">
        <f t="shared" si="1"/>
        <v>12-2025</v>
      </c>
      <c r="F549" s="54">
        <f t="shared" si="6"/>
        <v>0</v>
      </c>
      <c r="G549" s="54">
        <f t="shared" si="3"/>
        <v>-10</v>
      </c>
    </row>
    <row r="550">
      <c r="B550" s="164">
        <v>46003.0</v>
      </c>
      <c r="C550" s="141" t="str">
        <f t="shared" si="1"/>
        <v>12-2025</v>
      </c>
      <c r="D550" s="165" t="str">
        <f t="shared" ref="D550:D552" si="79">E549</f>
        <v/>
      </c>
      <c r="F550" s="54">
        <f t="shared" si="6"/>
        <v>0</v>
      </c>
      <c r="G550" s="54">
        <f t="shared" si="3"/>
        <v>-10</v>
      </c>
    </row>
    <row r="551">
      <c r="B551" s="164">
        <v>46004.0</v>
      </c>
      <c r="C551" s="141" t="str">
        <f t="shared" si="1"/>
        <v>12-2025</v>
      </c>
      <c r="D551" s="165" t="str">
        <f t="shared" si="79"/>
        <v/>
      </c>
      <c r="F551" s="54">
        <f t="shared" si="6"/>
        <v>0</v>
      </c>
      <c r="G551" s="54">
        <f t="shared" si="3"/>
        <v>-10</v>
      </c>
    </row>
    <row r="552">
      <c r="B552" s="164">
        <v>46005.0</v>
      </c>
      <c r="C552" s="141" t="str">
        <f t="shared" si="1"/>
        <v>12-2025</v>
      </c>
      <c r="D552" s="165" t="str">
        <f t="shared" si="79"/>
        <v/>
      </c>
      <c r="F552" s="54">
        <f t="shared" si="6"/>
        <v>0</v>
      </c>
      <c r="G552" s="54">
        <f t="shared" si="3"/>
        <v>-10</v>
      </c>
    </row>
    <row r="553">
      <c r="B553" s="164">
        <v>46006.0</v>
      </c>
      <c r="C553" s="141" t="str">
        <f t="shared" si="1"/>
        <v>12-2025</v>
      </c>
      <c r="D553" s="28">
        <v>3833.0</v>
      </c>
      <c r="E553" s="28">
        <v>3843.0</v>
      </c>
      <c r="F553" s="54">
        <f t="shared" si="6"/>
        <v>10</v>
      </c>
      <c r="G553" s="54">
        <f t="shared" si="3"/>
        <v>0</v>
      </c>
    </row>
    <row r="554">
      <c r="B554" s="164">
        <v>46007.0</v>
      </c>
      <c r="C554" s="141" t="str">
        <f t="shared" si="1"/>
        <v>12-2025</v>
      </c>
      <c r="D554" s="165">
        <f t="shared" ref="D554:D558" si="80">E553</f>
        <v>3843</v>
      </c>
      <c r="E554" s="28">
        <v>3853.0</v>
      </c>
      <c r="F554" s="54">
        <f t="shared" si="6"/>
        <v>10</v>
      </c>
      <c r="G554" s="54">
        <f t="shared" si="3"/>
        <v>0</v>
      </c>
    </row>
    <row r="555">
      <c r="B555" s="164">
        <v>46008.0</v>
      </c>
      <c r="C555" s="141" t="str">
        <f t="shared" si="1"/>
        <v>12-2025</v>
      </c>
      <c r="D555" s="165">
        <f t="shared" si="80"/>
        <v>3853</v>
      </c>
      <c r="E555" s="28">
        <v>3863.0</v>
      </c>
      <c r="F555" s="54">
        <f t="shared" si="6"/>
        <v>10</v>
      </c>
      <c r="G555" s="54">
        <f t="shared" si="3"/>
        <v>0</v>
      </c>
    </row>
    <row r="556">
      <c r="B556" s="164">
        <v>46009.0</v>
      </c>
      <c r="C556" s="141" t="str">
        <f t="shared" si="1"/>
        <v>12-2025</v>
      </c>
      <c r="D556" s="165">
        <f t="shared" si="80"/>
        <v>3863</v>
      </c>
      <c r="E556" s="28">
        <v>3873.0</v>
      </c>
      <c r="F556" s="54">
        <f t="shared" si="6"/>
        <v>10</v>
      </c>
      <c r="G556" s="54">
        <f t="shared" si="3"/>
        <v>0</v>
      </c>
    </row>
    <row r="557">
      <c r="B557" s="164">
        <v>46010.0</v>
      </c>
      <c r="C557" s="141" t="str">
        <f t="shared" si="1"/>
        <v>12-2025</v>
      </c>
      <c r="D557" s="165">
        <f t="shared" si="80"/>
        <v>3873</v>
      </c>
      <c r="E557" s="28">
        <v>3883.0</v>
      </c>
      <c r="F557" s="54">
        <f t="shared" si="6"/>
        <v>10</v>
      </c>
      <c r="G557" s="54">
        <f t="shared" si="3"/>
        <v>0</v>
      </c>
    </row>
    <row r="558">
      <c r="B558" s="164">
        <v>46011.0</v>
      </c>
      <c r="C558" s="141" t="str">
        <f t="shared" si="1"/>
        <v>12-2025</v>
      </c>
      <c r="D558" s="165">
        <f t="shared" si="80"/>
        <v>3883</v>
      </c>
      <c r="E558" s="28">
        <v>3888.0</v>
      </c>
      <c r="F558" s="54">
        <f t="shared" si="6"/>
        <v>5</v>
      </c>
      <c r="G558" s="54">
        <f t="shared" si="3"/>
        <v>-5</v>
      </c>
    </row>
    <row r="559">
      <c r="B559" s="164">
        <v>46012.0</v>
      </c>
      <c r="C559" s="141" t="str">
        <f t="shared" si="1"/>
        <v>12-2025</v>
      </c>
      <c r="F559" s="54">
        <f t="shared" si="6"/>
        <v>0</v>
      </c>
      <c r="G559" s="54">
        <f t="shared" si="3"/>
        <v>-10</v>
      </c>
    </row>
    <row r="560">
      <c r="B560" s="164">
        <v>46013.0</v>
      </c>
      <c r="C560" s="141" t="str">
        <f t="shared" si="1"/>
        <v>12-2025</v>
      </c>
      <c r="D560" s="28">
        <v>3888.0</v>
      </c>
      <c r="E560" s="28">
        <v>3898.0</v>
      </c>
      <c r="F560" s="54">
        <f t="shared" si="6"/>
        <v>10</v>
      </c>
      <c r="G560" s="54">
        <f t="shared" si="3"/>
        <v>0</v>
      </c>
    </row>
    <row r="561">
      <c r="B561" s="164">
        <v>46014.0</v>
      </c>
      <c r="C561" s="141" t="str">
        <f t="shared" si="1"/>
        <v>12-2025</v>
      </c>
      <c r="D561" s="165">
        <f t="shared" ref="D561:D562" si="81">E560</f>
        <v>3898</v>
      </c>
      <c r="E561" s="28">
        <v>3908.0</v>
      </c>
      <c r="F561" s="54">
        <f t="shared" si="6"/>
        <v>10</v>
      </c>
      <c r="G561" s="54">
        <f t="shared" si="3"/>
        <v>0</v>
      </c>
    </row>
    <row r="562">
      <c r="B562" s="164">
        <v>46015.0</v>
      </c>
      <c r="C562" s="141" t="str">
        <f t="shared" si="1"/>
        <v>12-2025</v>
      </c>
      <c r="D562" s="165">
        <f t="shared" si="81"/>
        <v>3908</v>
      </c>
      <c r="E562" s="28">
        <v>3918.0</v>
      </c>
      <c r="F562" s="54">
        <f t="shared" si="6"/>
        <v>10</v>
      </c>
      <c r="G562" s="54">
        <f t="shared" si="3"/>
        <v>0</v>
      </c>
    </row>
    <row r="563">
      <c r="B563" s="164">
        <v>46016.0</v>
      </c>
      <c r="C563" s="141" t="str">
        <f t="shared" si="1"/>
        <v>12-2025</v>
      </c>
      <c r="F563" s="54">
        <f t="shared" si="6"/>
        <v>0</v>
      </c>
      <c r="G563" s="54">
        <f t="shared" si="3"/>
        <v>-10</v>
      </c>
    </row>
    <row r="564">
      <c r="B564" s="164">
        <v>46017.0</v>
      </c>
      <c r="C564" s="141" t="str">
        <f t="shared" si="1"/>
        <v>12-2025</v>
      </c>
      <c r="D564" s="28">
        <v>3918.0</v>
      </c>
      <c r="E564" s="28">
        <v>3927.0</v>
      </c>
      <c r="F564" s="54">
        <f t="shared" si="6"/>
        <v>9</v>
      </c>
      <c r="G564" s="54">
        <f t="shared" si="3"/>
        <v>-1</v>
      </c>
    </row>
    <row r="565">
      <c r="B565" s="164">
        <v>46018.0</v>
      </c>
      <c r="C565" s="141" t="str">
        <f t="shared" si="1"/>
        <v>12-2025</v>
      </c>
      <c r="F565" s="54">
        <f t="shared" si="6"/>
        <v>0</v>
      </c>
      <c r="G565" s="54">
        <f t="shared" si="3"/>
        <v>-10</v>
      </c>
    </row>
    <row r="566">
      <c r="B566" s="164">
        <v>46019.0</v>
      </c>
      <c r="C566" s="141" t="str">
        <f t="shared" si="1"/>
        <v>12-2025</v>
      </c>
      <c r="D566" s="165" t="str">
        <f>E565</f>
        <v/>
      </c>
      <c r="F566" s="54">
        <f t="shared" si="6"/>
        <v>0</v>
      </c>
      <c r="G566" s="54">
        <f t="shared" si="3"/>
        <v>-10</v>
      </c>
    </row>
    <row r="567">
      <c r="B567" s="164">
        <v>46020.0</v>
      </c>
      <c r="C567" s="141" t="str">
        <f t="shared" si="1"/>
        <v>12-2025</v>
      </c>
      <c r="D567" s="28">
        <v>3927.0</v>
      </c>
      <c r="E567" s="28">
        <v>3937.0</v>
      </c>
      <c r="F567" s="54">
        <f t="shared" si="6"/>
        <v>10</v>
      </c>
      <c r="G567" s="54">
        <f t="shared" si="3"/>
        <v>0</v>
      </c>
    </row>
    <row r="568">
      <c r="B568" s="164">
        <v>46021.0</v>
      </c>
      <c r="C568" s="141" t="str">
        <f t="shared" si="1"/>
        <v>12-2025</v>
      </c>
      <c r="D568" s="165">
        <f t="shared" ref="D568:D569" si="82">E567</f>
        <v>3937</v>
      </c>
      <c r="E568" s="28">
        <v>3947.0</v>
      </c>
      <c r="F568" s="54">
        <f t="shared" si="6"/>
        <v>10</v>
      </c>
      <c r="G568" s="54">
        <f t="shared" si="3"/>
        <v>0</v>
      </c>
    </row>
    <row r="569">
      <c r="B569" s="164">
        <v>46022.0</v>
      </c>
      <c r="C569" s="141" t="str">
        <f t="shared" si="1"/>
        <v>12-2025</v>
      </c>
      <c r="D569" s="165">
        <f t="shared" si="82"/>
        <v>3947</v>
      </c>
      <c r="E569" s="28">
        <v>3957.0</v>
      </c>
      <c r="F569" s="54">
        <f t="shared" si="6"/>
        <v>10</v>
      </c>
      <c r="G569" s="54">
        <f t="shared" si="3"/>
        <v>0</v>
      </c>
    </row>
    <row r="570">
      <c r="B570" s="140">
        <v>46023.0</v>
      </c>
      <c r="C570" s="141" t="str">
        <f t="shared" si="1"/>
        <v>1-2026</v>
      </c>
      <c r="F570" s="54">
        <f t="shared" si="6"/>
        <v>0</v>
      </c>
      <c r="G570" s="54">
        <f t="shared" si="3"/>
        <v>-10</v>
      </c>
    </row>
    <row r="571">
      <c r="B571" s="140">
        <v>46024.0</v>
      </c>
      <c r="C571" s="141" t="str">
        <f t="shared" si="1"/>
        <v>1-2026</v>
      </c>
      <c r="D571" s="28">
        <v>7658.6</v>
      </c>
      <c r="E571" s="28">
        <v>7670.2</v>
      </c>
      <c r="F571" s="54">
        <f t="shared" si="6"/>
        <v>11.6</v>
      </c>
      <c r="G571" s="54">
        <f t="shared" si="3"/>
        <v>1.6</v>
      </c>
      <c r="H571" s="28" t="s">
        <v>181</v>
      </c>
    </row>
    <row r="572">
      <c r="B572" s="151">
        <v>46025.0</v>
      </c>
      <c r="C572" s="141" t="str">
        <f t="shared" si="1"/>
        <v>1-2026</v>
      </c>
      <c r="D572" s="28">
        <v>3957.0</v>
      </c>
      <c r="E572" s="28">
        <v>3964.0</v>
      </c>
      <c r="F572" s="54">
        <f t="shared" si="6"/>
        <v>7</v>
      </c>
      <c r="G572" s="54">
        <f t="shared" si="3"/>
        <v>-3</v>
      </c>
    </row>
    <row r="573">
      <c r="B573" s="151">
        <v>46026.0</v>
      </c>
      <c r="C573" s="141" t="str">
        <f t="shared" si="1"/>
        <v>1-2026</v>
      </c>
      <c r="F573" s="54">
        <f t="shared" si="6"/>
        <v>0</v>
      </c>
      <c r="G573" s="54">
        <f t="shared" si="3"/>
        <v>-10</v>
      </c>
    </row>
    <row r="574">
      <c r="B574" s="140">
        <v>46027.0</v>
      </c>
      <c r="C574" s="141" t="str">
        <f t="shared" si="1"/>
        <v>1-2026</v>
      </c>
      <c r="D574" s="28">
        <v>3964.0</v>
      </c>
      <c r="E574" s="28">
        <v>3974.0</v>
      </c>
      <c r="F574" s="54">
        <f t="shared" si="6"/>
        <v>10</v>
      </c>
      <c r="G574" s="54">
        <f t="shared" si="3"/>
        <v>0</v>
      </c>
    </row>
    <row r="575">
      <c r="B575" s="140">
        <v>46028.0</v>
      </c>
      <c r="C575" s="141" t="str">
        <f t="shared" si="1"/>
        <v>1-2026</v>
      </c>
      <c r="D575" s="165">
        <f t="shared" ref="D575:D576" si="83">E574</f>
        <v>3974</v>
      </c>
      <c r="E575" s="28">
        <v>3983.0</v>
      </c>
      <c r="F575" s="54">
        <f t="shared" si="6"/>
        <v>9</v>
      </c>
      <c r="G575" s="54">
        <f t="shared" si="3"/>
        <v>-1</v>
      </c>
    </row>
    <row r="576">
      <c r="B576" s="140">
        <v>46029.0</v>
      </c>
      <c r="C576" s="141" t="str">
        <f t="shared" si="1"/>
        <v>1-2026</v>
      </c>
      <c r="D576" s="165">
        <f t="shared" si="83"/>
        <v>3983</v>
      </c>
      <c r="E576" s="28">
        <v>3991.6</v>
      </c>
      <c r="F576" s="54">
        <f t="shared" si="6"/>
        <v>8.6</v>
      </c>
      <c r="G576" s="54">
        <f t="shared" si="3"/>
        <v>-1.4</v>
      </c>
    </row>
    <row r="577">
      <c r="B577" s="140">
        <v>46030.0</v>
      </c>
      <c r="C577" s="141" t="str">
        <f t="shared" si="1"/>
        <v>1-2026</v>
      </c>
      <c r="F577" s="54">
        <f t="shared" si="6"/>
        <v>0</v>
      </c>
      <c r="G577" s="54">
        <f t="shared" si="3"/>
        <v>-10</v>
      </c>
    </row>
    <row r="578">
      <c r="B578" s="140">
        <v>46031.0</v>
      </c>
      <c r="C578" s="141" t="str">
        <f t="shared" si="1"/>
        <v>1-2026</v>
      </c>
      <c r="D578" s="28">
        <v>3991.6</v>
      </c>
      <c r="E578" s="28">
        <v>4007.0</v>
      </c>
      <c r="F578" s="54">
        <f t="shared" si="6"/>
        <v>15.4</v>
      </c>
      <c r="G578" s="54">
        <f t="shared" si="3"/>
        <v>5.4</v>
      </c>
    </row>
    <row r="579">
      <c r="B579" s="151">
        <v>46032.0</v>
      </c>
      <c r="C579" s="141" t="str">
        <f t="shared" si="1"/>
        <v>1-2026</v>
      </c>
      <c r="D579" s="165">
        <f>E578</f>
        <v>4007</v>
      </c>
      <c r="E579" s="28">
        <v>4009.0</v>
      </c>
      <c r="F579" s="54">
        <f t="shared" si="6"/>
        <v>2</v>
      </c>
      <c r="G579" s="54">
        <f t="shared" si="3"/>
        <v>-8</v>
      </c>
    </row>
    <row r="580">
      <c r="B580" s="151">
        <v>46033.0</v>
      </c>
      <c r="C580" s="141" t="str">
        <f t="shared" si="1"/>
        <v>1-2026</v>
      </c>
      <c r="F580" s="54">
        <f t="shared" si="6"/>
        <v>0</v>
      </c>
      <c r="G580" s="54">
        <f t="shared" si="3"/>
        <v>-10</v>
      </c>
    </row>
    <row r="581">
      <c r="B581" s="140">
        <v>46034.0</v>
      </c>
      <c r="C581" s="141" t="str">
        <f t="shared" si="1"/>
        <v>1-2026</v>
      </c>
      <c r="D581" s="28">
        <v>4009.0</v>
      </c>
      <c r="E581" s="28">
        <v>4018.0</v>
      </c>
      <c r="F581" s="54">
        <f t="shared" si="6"/>
        <v>9</v>
      </c>
      <c r="G581" s="54">
        <f t="shared" si="3"/>
        <v>-1</v>
      </c>
    </row>
    <row r="582">
      <c r="B582" s="140">
        <v>46035.0</v>
      </c>
      <c r="C582" s="141" t="str">
        <f t="shared" si="1"/>
        <v>1-2026</v>
      </c>
      <c r="D582" s="165">
        <f t="shared" ref="D582:D586" si="84">E581</f>
        <v>4018</v>
      </c>
      <c r="E582" s="28">
        <v>4027.0</v>
      </c>
      <c r="F582" s="54">
        <f t="shared" si="6"/>
        <v>9</v>
      </c>
      <c r="G582" s="54">
        <f t="shared" si="3"/>
        <v>-1</v>
      </c>
    </row>
    <row r="583">
      <c r="B583" s="140">
        <v>46036.0</v>
      </c>
      <c r="C583" s="141" t="str">
        <f t="shared" si="1"/>
        <v>1-2026</v>
      </c>
      <c r="D583" s="165">
        <f t="shared" si="84"/>
        <v>4027</v>
      </c>
      <c r="E583" s="28">
        <v>4036.0</v>
      </c>
      <c r="F583" s="54">
        <f t="shared" si="6"/>
        <v>9</v>
      </c>
      <c r="G583" s="54">
        <f t="shared" si="3"/>
        <v>-1</v>
      </c>
    </row>
    <row r="584">
      <c r="B584" s="140">
        <v>46037.0</v>
      </c>
      <c r="C584" s="141" t="str">
        <f t="shared" si="1"/>
        <v>1-2026</v>
      </c>
      <c r="D584" s="165">
        <f t="shared" si="84"/>
        <v>4036</v>
      </c>
      <c r="E584" s="28">
        <v>4046.0</v>
      </c>
      <c r="F584" s="54">
        <f t="shared" si="6"/>
        <v>10</v>
      </c>
      <c r="G584" s="54">
        <f t="shared" si="3"/>
        <v>0</v>
      </c>
    </row>
    <row r="585">
      <c r="B585" s="140">
        <v>46038.0</v>
      </c>
      <c r="C585" s="141" t="str">
        <f t="shared" si="1"/>
        <v>1-2026</v>
      </c>
      <c r="D585" s="165">
        <f t="shared" si="84"/>
        <v>4046</v>
      </c>
      <c r="E585" s="28">
        <v>4056.0</v>
      </c>
      <c r="F585" s="54">
        <f t="shared" si="6"/>
        <v>10</v>
      </c>
      <c r="G585" s="54">
        <f t="shared" si="3"/>
        <v>0</v>
      </c>
    </row>
    <row r="586">
      <c r="B586" s="151">
        <v>46039.0</v>
      </c>
      <c r="C586" s="141" t="str">
        <f t="shared" si="1"/>
        <v>1-2026</v>
      </c>
      <c r="D586" s="165">
        <f t="shared" si="84"/>
        <v>4056</v>
      </c>
      <c r="E586" s="28">
        <v>4069.2</v>
      </c>
      <c r="F586" s="54">
        <f t="shared" si="6"/>
        <v>13.2</v>
      </c>
      <c r="G586" s="54">
        <f t="shared" si="3"/>
        <v>3.2</v>
      </c>
    </row>
    <row r="587">
      <c r="B587" s="151">
        <v>46040.0</v>
      </c>
      <c r="C587" s="141" t="str">
        <f t="shared" si="1"/>
        <v>1-2026</v>
      </c>
      <c r="F587" s="54">
        <f t="shared" si="6"/>
        <v>0</v>
      </c>
      <c r="G587" s="54">
        <f t="shared" si="3"/>
        <v>-10</v>
      </c>
    </row>
    <row r="588">
      <c r="B588" s="140">
        <v>46041.0</v>
      </c>
      <c r="C588" s="141" t="str">
        <f t="shared" si="1"/>
        <v>1-2026</v>
      </c>
      <c r="D588" s="165" t="str">
        <f>E587</f>
        <v/>
      </c>
      <c r="F588" s="54">
        <f t="shared" si="6"/>
        <v>0</v>
      </c>
      <c r="G588" s="54">
        <f t="shared" si="3"/>
        <v>-10</v>
      </c>
    </row>
    <row r="589">
      <c r="B589" s="140">
        <v>46042.0</v>
      </c>
      <c r="C589" s="141" t="str">
        <f t="shared" si="1"/>
        <v>1-2026</v>
      </c>
      <c r="D589" s="28">
        <v>4070.0</v>
      </c>
      <c r="E589" s="28">
        <v>4076.0</v>
      </c>
      <c r="F589" s="54">
        <f t="shared" si="6"/>
        <v>6</v>
      </c>
      <c r="G589" s="54">
        <f t="shared" si="3"/>
        <v>-4</v>
      </c>
    </row>
    <row r="590">
      <c r="B590" s="140">
        <v>46043.0</v>
      </c>
      <c r="C590" s="141" t="str">
        <f t="shared" si="1"/>
        <v>1-2026</v>
      </c>
      <c r="D590" s="165">
        <f t="shared" ref="D590:D593" si="85">E589</f>
        <v>4076</v>
      </c>
      <c r="E590" s="28">
        <v>4086.0</v>
      </c>
      <c r="F590" s="54">
        <f t="shared" si="6"/>
        <v>10</v>
      </c>
      <c r="G590" s="54">
        <f t="shared" si="3"/>
        <v>0</v>
      </c>
    </row>
    <row r="591">
      <c r="B591" s="140">
        <v>46044.0</v>
      </c>
      <c r="C591" s="141" t="str">
        <f t="shared" si="1"/>
        <v>1-2026</v>
      </c>
      <c r="D591" s="165">
        <f t="shared" si="85"/>
        <v>4086</v>
      </c>
      <c r="E591" s="28">
        <v>4096.0</v>
      </c>
      <c r="F591" s="54">
        <f t="shared" si="6"/>
        <v>10</v>
      </c>
      <c r="G591" s="54">
        <f t="shared" si="3"/>
        <v>0</v>
      </c>
    </row>
    <row r="592">
      <c r="B592" s="140">
        <v>46045.0</v>
      </c>
      <c r="C592" s="141" t="str">
        <f t="shared" si="1"/>
        <v>1-2026</v>
      </c>
      <c r="D592" s="165">
        <f t="shared" si="85"/>
        <v>4096</v>
      </c>
      <c r="E592" s="28">
        <v>4100.0</v>
      </c>
      <c r="F592" s="54">
        <f t="shared" si="6"/>
        <v>4</v>
      </c>
      <c r="G592" s="54">
        <f t="shared" si="3"/>
        <v>-6</v>
      </c>
    </row>
    <row r="593">
      <c r="B593" s="151">
        <v>46046.0</v>
      </c>
      <c r="C593" s="141" t="str">
        <f t="shared" si="1"/>
        <v>1-2026</v>
      </c>
      <c r="D593" s="165">
        <f t="shared" si="85"/>
        <v>4100</v>
      </c>
      <c r="E593" s="28">
        <v>4106.0</v>
      </c>
      <c r="F593" s="54">
        <f t="shared" si="6"/>
        <v>6</v>
      </c>
      <c r="G593" s="54">
        <f t="shared" si="3"/>
        <v>-4</v>
      </c>
    </row>
    <row r="594">
      <c r="B594" s="151">
        <v>46047.0</v>
      </c>
      <c r="C594" s="141" t="str">
        <f t="shared" si="1"/>
        <v>1-2026</v>
      </c>
      <c r="F594" s="54">
        <f t="shared" si="6"/>
        <v>0</v>
      </c>
      <c r="G594" s="54">
        <f t="shared" si="3"/>
        <v>-10</v>
      </c>
    </row>
    <row r="595">
      <c r="B595" s="140">
        <v>46048.0</v>
      </c>
      <c r="C595" s="141" t="str">
        <f t="shared" si="1"/>
        <v>1-2026</v>
      </c>
      <c r="D595" s="28">
        <v>4106.0</v>
      </c>
      <c r="E595" s="28">
        <v>4113.0</v>
      </c>
      <c r="F595" s="54">
        <f t="shared" si="6"/>
        <v>7</v>
      </c>
      <c r="G595" s="54">
        <f t="shared" si="3"/>
        <v>-3</v>
      </c>
    </row>
    <row r="596">
      <c r="B596" s="140">
        <v>46049.0</v>
      </c>
      <c r="C596" s="141" t="str">
        <f t="shared" si="1"/>
        <v>1-2026</v>
      </c>
      <c r="D596" s="165">
        <f t="shared" ref="D596:D600" si="86">E595</f>
        <v>4113</v>
      </c>
      <c r="E596" s="28">
        <v>4119.0</v>
      </c>
      <c r="F596" s="54">
        <f t="shared" si="6"/>
        <v>6</v>
      </c>
      <c r="G596" s="54">
        <f t="shared" si="3"/>
        <v>-4</v>
      </c>
    </row>
    <row r="597">
      <c r="B597" s="140">
        <v>46050.0</v>
      </c>
      <c r="C597" s="141" t="str">
        <f t="shared" si="1"/>
        <v>1-2026</v>
      </c>
      <c r="D597" s="165">
        <f t="shared" si="86"/>
        <v>4119</v>
      </c>
      <c r="E597" s="28">
        <v>4129.0</v>
      </c>
      <c r="F597" s="54">
        <f t="shared" si="6"/>
        <v>10</v>
      </c>
      <c r="G597" s="54">
        <f t="shared" si="3"/>
        <v>0</v>
      </c>
    </row>
    <row r="598">
      <c r="B598" s="140">
        <v>46051.0</v>
      </c>
      <c r="C598" s="141" t="str">
        <f t="shared" si="1"/>
        <v>1-2026</v>
      </c>
      <c r="D598" s="165">
        <f t="shared" si="86"/>
        <v>4129</v>
      </c>
      <c r="E598" s="28">
        <v>4139.0</v>
      </c>
      <c r="F598" s="54">
        <f t="shared" si="6"/>
        <v>10</v>
      </c>
      <c r="G598" s="54">
        <f t="shared" si="3"/>
        <v>0</v>
      </c>
    </row>
    <row r="599">
      <c r="B599" s="140">
        <v>46052.0</v>
      </c>
      <c r="C599" s="141" t="str">
        <f t="shared" si="1"/>
        <v>1-2026</v>
      </c>
      <c r="D599" s="165">
        <f t="shared" si="86"/>
        <v>4139</v>
      </c>
      <c r="E599" s="28">
        <v>4148.0</v>
      </c>
      <c r="F599" s="54">
        <f t="shared" si="6"/>
        <v>9</v>
      </c>
      <c r="G599" s="54">
        <f t="shared" si="3"/>
        <v>-1</v>
      </c>
    </row>
    <row r="600">
      <c r="B600" s="151">
        <v>46053.0</v>
      </c>
      <c r="C600" s="141" t="str">
        <f t="shared" si="1"/>
        <v>1-2026</v>
      </c>
      <c r="D600" s="165">
        <f t="shared" si="86"/>
        <v>4148</v>
      </c>
      <c r="E600" s="28">
        <v>4160.0</v>
      </c>
      <c r="F600" s="54">
        <f t="shared" si="6"/>
        <v>12</v>
      </c>
      <c r="G600" s="54">
        <f t="shared" si="3"/>
        <v>2</v>
      </c>
      <c r="H600" s="28">
        <v>2786.0</v>
      </c>
    </row>
    <row r="601">
      <c r="B601" s="140">
        <v>46054.0</v>
      </c>
      <c r="C601" s="141" t="str">
        <f t="shared" si="1"/>
        <v>2-2026</v>
      </c>
      <c r="F601" s="54">
        <f t="shared" si="6"/>
        <v>0</v>
      </c>
      <c r="G601" s="54">
        <f t="shared" si="3"/>
        <v>-10</v>
      </c>
    </row>
    <row r="602">
      <c r="B602" s="164">
        <v>46055.0</v>
      </c>
      <c r="C602" s="141" t="str">
        <f t="shared" si="1"/>
        <v>2-2026</v>
      </c>
      <c r="D602" s="165" t="str">
        <f t="shared" ref="D602:D634" si="87">E601</f>
        <v/>
      </c>
      <c r="F602" s="54">
        <f t="shared" si="6"/>
        <v>0</v>
      </c>
      <c r="G602" s="54">
        <f t="shared" si="3"/>
        <v>-10</v>
      </c>
    </row>
    <row r="603">
      <c r="B603" s="164">
        <v>46056.0</v>
      </c>
      <c r="C603" s="141" t="str">
        <f t="shared" si="1"/>
        <v>2-2026</v>
      </c>
      <c r="D603" s="165" t="str">
        <f t="shared" si="87"/>
        <v/>
      </c>
      <c r="F603" s="54">
        <f t="shared" si="6"/>
        <v>0</v>
      </c>
      <c r="G603" s="54">
        <f t="shared" si="3"/>
        <v>-10</v>
      </c>
    </row>
    <row r="604">
      <c r="B604" s="164">
        <v>46057.0</v>
      </c>
      <c r="C604" s="141" t="str">
        <f t="shared" si="1"/>
        <v>2-2026</v>
      </c>
      <c r="D604" s="165" t="str">
        <f t="shared" si="87"/>
        <v/>
      </c>
      <c r="F604" s="54">
        <f t="shared" si="6"/>
        <v>0</v>
      </c>
      <c r="G604" s="54">
        <f t="shared" si="3"/>
        <v>-10</v>
      </c>
    </row>
    <row r="605">
      <c r="C605" s="141" t="str">
        <f t="shared" si="1"/>
        <v>12-1899</v>
      </c>
      <c r="D605" s="165" t="str">
        <f t="shared" si="87"/>
        <v/>
      </c>
      <c r="F605" s="54">
        <f t="shared" si="6"/>
        <v>0</v>
      </c>
      <c r="G605" s="54">
        <f t="shared" si="3"/>
        <v>-10</v>
      </c>
    </row>
    <row r="606">
      <c r="C606" s="141" t="str">
        <f t="shared" si="1"/>
        <v>12-1899</v>
      </c>
      <c r="D606" s="165" t="str">
        <f t="shared" si="87"/>
        <v/>
      </c>
      <c r="F606" s="54">
        <f t="shared" si="6"/>
        <v>0</v>
      </c>
      <c r="G606" s="54">
        <f t="shared" si="3"/>
        <v>-10</v>
      </c>
    </row>
    <row r="607">
      <c r="C607" s="141" t="str">
        <f t="shared" si="1"/>
        <v>12-1899</v>
      </c>
      <c r="D607" s="165" t="str">
        <f t="shared" si="87"/>
        <v/>
      </c>
      <c r="F607" s="54">
        <f t="shared" si="6"/>
        <v>0</v>
      </c>
      <c r="G607" s="54">
        <f t="shared" si="3"/>
        <v>-10</v>
      </c>
    </row>
    <row r="608">
      <c r="C608" s="141" t="str">
        <f t="shared" si="1"/>
        <v>12-1899</v>
      </c>
      <c r="D608" s="165" t="str">
        <f t="shared" si="87"/>
        <v/>
      </c>
      <c r="F608" s="54">
        <f t="shared" si="6"/>
        <v>0</v>
      </c>
      <c r="G608" s="54">
        <f t="shared" si="3"/>
        <v>-10</v>
      </c>
    </row>
    <row r="609">
      <c r="C609" s="141" t="str">
        <f t="shared" si="1"/>
        <v>12-1899</v>
      </c>
      <c r="D609" s="165" t="str">
        <f t="shared" si="87"/>
        <v/>
      </c>
      <c r="F609" s="54">
        <f t="shared" si="6"/>
        <v>0</v>
      </c>
      <c r="G609" s="54">
        <f t="shared" si="3"/>
        <v>-10</v>
      </c>
    </row>
    <row r="610">
      <c r="C610" s="141" t="str">
        <f t="shared" si="1"/>
        <v>12-1899</v>
      </c>
      <c r="D610" s="165" t="str">
        <f t="shared" si="87"/>
        <v/>
      </c>
      <c r="F610" s="54">
        <f t="shared" si="6"/>
        <v>0</v>
      </c>
      <c r="G610" s="54">
        <f t="shared" si="3"/>
        <v>-10</v>
      </c>
    </row>
    <row r="611">
      <c r="C611" s="141" t="str">
        <f t="shared" si="1"/>
        <v>12-1899</v>
      </c>
      <c r="D611" s="165" t="str">
        <f t="shared" si="87"/>
        <v/>
      </c>
      <c r="F611" s="54">
        <f t="shared" si="6"/>
        <v>0</v>
      </c>
      <c r="G611" s="54">
        <f t="shared" si="3"/>
        <v>-10</v>
      </c>
    </row>
    <row r="612">
      <c r="C612" s="141" t="str">
        <f t="shared" si="1"/>
        <v>12-1899</v>
      </c>
      <c r="D612" s="165" t="str">
        <f t="shared" si="87"/>
        <v/>
      </c>
      <c r="F612" s="54">
        <f t="shared" si="6"/>
        <v>0</v>
      </c>
      <c r="G612" s="54">
        <f t="shared" si="3"/>
        <v>-10</v>
      </c>
    </row>
    <row r="613">
      <c r="C613" s="141" t="str">
        <f t="shared" si="1"/>
        <v>12-1899</v>
      </c>
      <c r="D613" s="165" t="str">
        <f t="shared" si="87"/>
        <v/>
      </c>
      <c r="F613" s="54">
        <f t="shared" si="6"/>
        <v>0</v>
      </c>
      <c r="G613" s="54">
        <f t="shared" si="3"/>
        <v>-10</v>
      </c>
    </row>
    <row r="614">
      <c r="C614" s="141" t="str">
        <f t="shared" si="1"/>
        <v>12-1899</v>
      </c>
      <c r="D614" s="165" t="str">
        <f t="shared" si="87"/>
        <v/>
      </c>
      <c r="F614" s="54">
        <f t="shared" si="6"/>
        <v>0</v>
      </c>
      <c r="G614" s="54">
        <f t="shared" si="3"/>
        <v>-10</v>
      </c>
    </row>
    <row r="615">
      <c r="C615" s="141" t="str">
        <f t="shared" si="1"/>
        <v>12-1899</v>
      </c>
      <c r="D615" s="165" t="str">
        <f t="shared" si="87"/>
        <v/>
      </c>
      <c r="F615" s="54">
        <f t="shared" si="6"/>
        <v>0</v>
      </c>
      <c r="G615" s="54">
        <f t="shared" si="3"/>
        <v>-10</v>
      </c>
    </row>
    <row r="616">
      <c r="D616" s="165" t="str">
        <f t="shared" si="87"/>
        <v/>
      </c>
    </row>
    <row r="617">
      <c r="D617" s="165" t="str">
        <f t="shared" si="87"/>
        <v/>
      </c>
    </row>
    <row r="618">
      <c r="D618" s="165" t="str">
        <f t="shared" si="87"/>
        <v/>
      </c>
    </row>
    <row r="619">
      <c r="D619" s="165" t="str">
        <f t="shared" si="87"/>
        <v/>
      </c>
    </row>
    <row r="620">
      <c r="D620" s="165" t="str">
        <f t="shared" si="87"/>
        <v/>
      </c>
    </row>
    <row r="621">
      <c r="D621" s="165" t="str">
        <f t="shared" si="87"/>
        <v/>
      </c>
    </row>
    <row r="622">
      <c r="D622" s="165" t="str">
        <f t="shared" si="87"/>
        <v/>
      </c>
    </row>
    <row r="623">
      <c r="D623" s="165" t="str">
        <f t="shared" si="87"/>
        <v/>
      </c>
    </row>
    <row r="624">
      <c r="D624" s="165" t="str">
        <f t="shared" si="87"/>
        <v/>
      </c>
    </row>
    <row r="625">
      <c r="D625" s="165" t="str">
        <f t="shared" si="87"/>
        <v/>
      </c>
    </row>
    <row r="626">
      <c r="D626" s="165" t="str">
        <f t="shared" si="87"/>
        <v/>
      </c>
    </row>
    <row r="627">
      <c r="D627" s="165" t="str">
        <f t="shared" si="87"/>
        <v/>
      </c>
    </row>
    <row r="628">
      <c r="D628" s="165" t="str">
        <f t="shared" si="87"/>
        <v/>
      </c>
    </row>
    <row r="629">
      <c r="D629" s="165" t="str">
        <f t="shared" si="87"/>
        <v/>
      </c>
    </row>
    <row r="630">
      <c r="D630" s="165" t="str">
        <f t="shared" si="87"/>
        <v/>
      </c>
    </row>
    <row r="631">
      <c r="D631" s="165" t="str">
        <f t="shared" si="87"/>
        <v/>
      </c>
    </row>
    <row r="632">
      <c r="D632" s="165" t="str">
        <f t="shared" si="87"/>
        <v/>
      </c>
    </row>
    <row r="633">
      <c r="D633" s="165" t="str">
        <f t="shared" si="87"/>
        <v/>
      </c>
    </row>
    <row r="634">
      <c r="D634" s="165" t="str">
        <f t="shared" si="87"/>
        <v/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7.29"/>
  </cols>
  <sheetData>
    <row r="1">
      <c r="A1" s="28" t="s">
        <v>35</v>
      </c>
    </row>
    <row r="3">
      <c r="B3" s="140">
        <v>45748.0</v>
      </c>
      <c r="C3" s="141" t="str">
        <f t="shared" ref="C3:C329" si="1">MONTH(B3)&amp; "-" &amp;YEAR(B3)</f>
        <v>4-2025</v>
      </c>
      <c r="D3" s="28">
        <v>1817.9</v>
      </c>
      <c r="E3" s="28">
        <v>1828.3</v>
      </c>
      <c r="F3" s="54">
        <f t="shared" ref="F3:F45" si="2">E3-D3</f>
        <v>10.4</v>
      </c>
      <c r="G3" s="54">
        <f t="shared" ref="G3:G361" si="3">F3-10</f>
        <v>0.4</v>
      </c>
      <c r="H3" s="28">
        <v>100.0</v>
      </c>
      <c r="I3" s="185" t="s">
        <v>182</v>
      </c>
      <c r="J3" s="185" t="s">
        <v>85</v>
      </c>
    </row>
    <row r="4">
      <c r="B4" s="140">
        <v>45749.0</v>
      </c>
      <c r="C4" s="141" t="str">
        <f t="shared" si="1"/>
        <v>4-2025</v>
      </c>
      <c r="D4" s="165">
        <f t="shared" ref="D4:D7" si="4">E3</f>
        <v>1828.3</v>
      </c>
      <c r="E4" s="28">
        <v>1839.0</v>
      </c>
      <c r="F4" s="54">
        <f t="shared" si="2"/>
        <v>10.7</v>
      </c>
      <c r="G4" s="54">
        <f t="shared" si="3"/>
        <v>0.7</v>
      </c>
      <c r="H4" s="28">
        <v>230.0</v>
      </c>
      <c r="I4" s="185" t="s">
        <v>182</v>
      </c>
      <c r="J4" s="185" t="s">
        <v>85</v>
      </c>
      <c r="L4" s="13"/>
    </row>
    <row r="5">
      <c r="B5" s="140">
        <v>45750.0</v>
      </c>
      <c r="C5" s="141" t="str">
        <f t="shared" si="1"/>
        <v>4-2025</v>
      </c>
      <c r="D5" s="165">
        <f t="shared" si="4"/>
        <v>1839</v>
      </c>
      <c r="E5" s="28">
        <v>1849.6</v>
      </c>
      <c r="F5" s="54">
        <f t="shared" si="2"/>
        <v>10.6</v>
      </c>
      <c r="G5" s="54">
        <f t="shared" si="3"/>
        <v>0.6</v>
      </c>
      <c r="I5" s="185" t="s">
        <v>182</v>
      </c>
      <c r="J5" s="185" t="s">
        <v>85</v>
      </c>
      <c r="L5" s="13"/>
    </row>
    <row r="6">
      <c r="B6" s="140">
        <v>45751.0</v>
      </c>
      <c r="C6" s="141" t="str">
        <f t="shared" si="1"/>
        <v>4-2025</v>
      </c>
      <c r="D6" s="165">
        <f t="shared" si="4"/>
        <v>1849.6</v>
      </c>
      <c r="E6" s="28">
        <v>1859.1</v>
      </c>
      <c r="F6" s="54">
        <f t="shared" si="2"/>
        <v>9.5</v>
      </c>
      <c r="G6" s="54">
        <f t="shared" si="3"/>
        <v>-0.5</v>
      </c>
      <c r="H6" s="28">
        <v>200.0</v>
      </c>
      <c r="I6" s="185" t="s">
        <v>182</v>
      </c>
      <c r="J6" s="185" t="s">
        <v>85</v>
      </c>
    </row>
    <row r="7">
      <c r="B7" s="152">
        <v>45752.0</v>
      </c>
      <c r="C7" s="141" t="str">
        <f t="shared" si="1"/>
        <v>4-2025</v>
      </c>
      <c r="D7" s="165">
        <f t="shared" si="4"/>
        <v>1859.1</v>
      </c>
      <c r="E7" s="28">
        <v>1866.9</v>
      </c>
      <c r="F7" s="54">
        <f t="shared" si="2"/>
        <v>7.8</v>
      </c>
      <c r="G7" s="54">
        <f t="shared" si="3"/>
        <v>-2.2</v>
      </c>
      <c r="I7" s="185" t="s">
        <v>182</v>
      </c>
      <c r="J7" s="185" t="s">
        <v>85</v>
      </c>
    </row>
    <row r="8">
      <c r="B8" s="152">
        <v>45753.0</v>
      </c>
      <c r="C8" s="141" t="str">
        <f t="shared" si="1"/>
        <v>4-2025</v>
      </c>
      <c r="F8" s="54">
        <f t="shared" si="2"/>
        <v>0</v>
      </c>
      <c r="G8" s="54">
        <f t="shared" si="3"/>
        <v>-10</v>
      </c>
      <c r="I8" s="185" t="s">
        <v>182</v>
      </c>
      <c r="J8" s="185" t="s">
        <v>85</v>
      </c>
    </row>
    <row r="9">
      <c r="B9" s="140">
        <v>45754.0</v>
      </c>
      <c r="C9" s="141" t="str">
        <f t="shared" si="1"/>
        <v>4-2025</v>
      </c>
      <c r="D9" s="28">
        <v>1866.9</v>
      </c>
      <c r="E9" s="28">
        <v>1879.4</v>
      </c>
      <c r="F9" s="54">
        <f t="shared" si="2"/>
        <v>12.5</v>
      </c>
      <c r="G9" s="54">
        <f t="shared" si="3"/>
        <v>2.5</v>
      </c>
      <c r="H9" s="28">
        <v>200.0</v>
      </c>
      <c r="I9" s="185" t="s">
        <v>182</v>
      </c>
      <c r="J9" s="185" t="s">
        <v>85</v>
      </c>
    </row>
    <row r="10">
      <c r="B10" s="140">
        <v>45755.0</v>
      </c>
      <c r="C10" s="141" t="str">
        <f t="shared" si="1"/>
        <v>4-2025</v>
      </c>
      <c r="D10" s="165">
        <f t="shared" ref="D10:D11" si="5">E9</f>
        <v>1879.4</v>
      </c>
      <c r="E10" s="28">
        <v>1889.8</v>
      </c>
      <c r="F10" s="54">
        <f t="shared" si="2"/>
        <v>10.4</v>
      </c>
      <c r="G10" s="54">
        <f t="shared" si="3"/>
        <v>0.4</v>
      </c>
      <c r="I10" s="185" t="s">
        <v>182</v>
      </c>
      <c r="J10" s="185" t="s">
        <v>85</v>
      </c>
    </row>
    <row r="11">
      <c r="B11" s="140">
        <v>45756.0</v>
      </c>
      <c r="C11" s="141" t="str">
        <f t="shared" si="1"/>
        <v>4-2025</v>
      </c>
      <c r="D11" s="165">
        <f t="shared" si="5"/>
        <v>1889.8</v>
      </c>
      <c r="E11" s="28">
        <v>1894.9</v>
      </c>
      <c r="F11" s="54">
        <f t="shared" si="2"/>
        <v>5.1</v>
      </c>
      <c r="G11" s="54">
        <f t="shared" si="3"/>
        <v>-4.9</v>
      </c>
      <c r="H11" s="28">
        <v>400.0</v>
      </c>
      <c r="I11" s="185" t="s">
        <v>182</v>
      </c>
      <c r="J11" s="185" t="s">
        <v>85</v>
      </c>
    </row>
    <row r="12">
      <c r="B12" s="140">
        <v>45756.0</v>
      </c>
      <c r="C12" s="141" t="str">
        <f t="shared" si="1"/>
        <v>4-2025</v>
      </c>
      <c r="D12" s="28">
        <v>5769.4</v>
      </c>
      <c r="E12" s="28">
        <v>5775.2</v>
      </c>
      <c r="F12" s="54">
        <f t="shared" si="2"/>
        <v>5.8</v>
      </c>
      <c r="G12" s="54">
        <f t="shared" si="3"/>
        <v>-4.2</v>
      </c>
      <c r="I12" s="28" t="s">
        <v>183</v>
      </c>
      <c r="J12" s="185" t="s">
        <v>85</v>
      </c>
    </row>
    <row r="13">
      <c r="B13" s="140">
        <v>45757.0</v>
      </c>
      <c r="C13" s="141" t="str">
        <f t="shared" si="1"/>
        <v>4-2025</v>
      </c>
      <c r="D13" s="165">
        <f t="shared" ref="D13:D14" si="6">E12</f>
        <v>5775.2</v>
      </c>
      <c r="E13" s="28">
        <v>5785.6</v>
      </c>
      <c r="F13" s="54">
        <f t="shared" si="2"/>
        <v>10.4</v>
      </c>
      <c r="G13" s="54">
        <f t="shared" si="3"/>
        <v>0.4</v>
      </c>
      <c r="I13" s="28" t="s">
        <v>183</v>
      </c>
      <c r="J13" s="185" t="s">
        <v>85</v>
      </c>
    </row>
    <row r="14">
      <c r="B14" s="140">
        <v>45758.0</v>
      </c>
      <c r="C14" s="141" t="str">
        <f t="shared" si="1"/>
        <v>4-2025</v>
      </c>
      <c r="D14" s="165">
        <f t="shared" si="6"/>
        <v>5785.6</v>
      </c>
      <c r="E14" s="28">
        <v>5796.1</v>
      </c>
      <c r="F14" s="54">
        <f t="shared" si="2"/>
        <v>10.5</v>
      </c>
      <c r="G14" s="54">
        <f t="shared" si="3"/>
        <v>0.5</v>
      </c>
      <c r="I14" s="28" t="s">
        <v>183</v>
      </c>
      <c r="J14" s="185" t="s">
        <v>85</v>
      </c>
    </row>
    <row r="15">
      <c r="B15" s="152">
        <v>45759.0</v>
      </c>
      <c r="C15" s="141" t="str">
        <f t="shared" si="1"/>
        <v>4-2025</v>
      </c>
      <c r="F15" s="54">
        <f t="shared" si="2"/>
        <v>0</v>
      </c>
      <c r="G15" s="54">
        <f t="shared" si="3"/>
        <v>-10</v>
      </c>
      <c r="I15" s="28" t="s">
        <v>183</v>
      </c>
      <c r="J15" s="185" t="s">
        <v>85</v>
      </c>
    </row>
    <row r="16">
      <c r="B16" s="152">
        <v>45760.0</v>
      </c>
      <c r="C16" s="141" t="str">
        <f t="shared" si="1"/>
        <v>4-2025</v>
      </c>
      <c r="D16" s="165" t="str">
        <f>E15</f>
        <v/>
      </c>
      <c r="F16" s="54">
        <f t="shared" si="2"/>
        <v>0</v>
      </c>
      <c r="G16" s="54">
        <f t="shared" si="3"/>
        <v>-10</v>
      </c>
      <c r="I16" s="28" t="s">
        <v>183</v>
      </c>
      <c r="J16" s="185" t="s">
        <v>85</v>
      </c>
    </row>
    <row r="17">
      <c r="B17" s="140">
        <v>45761.0</v>
      </c>
      <c r="C17" s="141" t="str">
        <f t="shared" si="1"/>
        <v>4-2025</v>
      </c>
      <c r="D17" s="28">
        <v>5796.1</v>
      </c>
      <c r="E17" s="28">
        <v>5807.0</v>
      </c>
      <c r="F17" s="54">
        <f t="shared" si="2"/>
        <v>10.9</v>
      </c>
      <c r="G17" s="54">
        <f t="shared" si="3"/>
        <v>0.9</v>
      </c>
      <c r="H17" s="28">
        <v>200.0</v>
      </c>
      <c r="I17" s="28" t="s">
        <v>183</v>
      </c>
      <c r="J17" s="185" t="s">
        <v>85</v>
      </c>
    </row>
    <row r="18">
      <c r="B18" s="140">
        <v>45762.0</v>
      </c>
      <c r="C18" s="141" t="str">
        <f t="shared" si="1"/>
        <v>4-2025</v>
      </c>
      <c r="D18" s="165">
        <f>E17</f>
        <v>5807</v>
      </c>
      <c r="E18" s="28">
        <v>5817.4</v>
      </c>
      <c r="F18" s="54">
        <f t="shared" si="2"/>
        <v>10.4</v>
      </c>
      <c r="G18" s="54">
        <f t="shared" si="3"/>
        <v>0.4</v>
      </c>
      <c r="I18" s="28" t="s">
        <v>183</v>
      </c>
      <c r="J18" s="185" t="s">
        <v>85</v>
      </c>
    </row>
    <row r="19">
      <c r="B19" s="140">
        <v>45763.0</v>
      </c>
      <c r="C19" s="141" t="str">
        <f t="shared" si="1"/>
        <v>4-2025</v>
      </c>
      <c r="F19" s="54">
        <f t="shared" si="2"/>
        <v>0</v>
      </c>
      <c r="G19" s="54">
        <f t="shared" si="3"/>
        <v>-10</v>
      </c>
      <c r="I19" s="28" t="s">
        <v>183</v>
      </c>
      <c r="J19" s="185" t="s">
        <v>85</v>
      </c>
    </row>
    <row r="20">
      <c r="B20" s="140">
        <v>45764.0</v>
      </c>
      <c r="C20" s="141" t="str">
        <f t="shared" si="1"/>
        <v>4-2025</v>
      </c>
      <c r="D20" s="28">
        <v>5817.4</v>
      </c>
      <c r="E20" s="28">
        <v>5825.7</v>
      </c>
      <c r="F20" s="54">
        <f t="shared" si="2"/>
        <v>8.3</v>
      </c>
      <c r="G20" s="54">
        <f t="shared" si="3"/>
        <v>-1.7</v>
      </c>
      <c r="H20" s="28">
        <v>200.0</v>
      </c>
      <c r="I20" s="28" t="s">
        <v>183</v>
      </c>
      <c r="J20" s="185" t="s">
        <v>85</v>
      </c>
    </row>
    <row r="21">
      <c r="B21" s="153">
        <v>45765.0</v>
      </c>
      <c r="C21" s="141" t="str">
        <f t="shared" si="1"/>
        <v>4-2025</v>
      </c>
      <c r="F21" s="54">
        <f t="shared" si="2"/>
        <v>0</v>
      </c>
      <c r="G21" s="54">
        <f t="shared" si="3"/>
        <v>-10</v>
      </c>
      <c r="I21" s="28" t="s">
        <v>183</v>
      </c>
      <c r="J21" s="185" t="s">
        <v>85</v>
      </c>
    </row>
    <row r="22">
      <c r="B22" s="152">
        <v>45766.0</v>
      </c>
      <c r="C22" s="141" t="str">
        <f t="shared" si="1"/>
        <v>4-2025</v>
      </c>
      <c r="D22" s="165" t="str">
        <f t="shared" ref="D22:D23" si="7">E21</f>
        <v/>
      </c>
      <c r="F22" s="54">
        <f t="shared" si="2"/>
        <v>0</v>
      </c>
      <c r="G22" s="54">
        <f t="shared" si="3"/>
        <v>-10</v>
      </c>
      <c r="I22" s="28" t="s">
        <v>183</v>
      </c>
      <c r="J22" s="185" t="s">
        <v>85</v>
      </c>
    </row>
    <row r="23">
      <c r="B23" s="152">
        <v>45767.0</v>
      </c>
      <c r="C23" s="141" t="str">
        <f t="shared" si="1"/>
        <v>4-2025</v>
      </c>
      <c r="D23" s="165" t="str">
        <f t="shared" si="7"/>
        <v/>
      </c>
      <c r="F23" s="54">
        <f t="shared" si="2"/>
        <v>0</v>
      </c>
      <c r="G23" s="54">
        <f t="shared" si="3"/>
        <v>-10</v>
      </c>
      <c r="I23" s="28" t="s">
        <v>183</v>
      </c>
      <c r="J23" s="185" t="s">
        <v>85</v>
      </c>
    </row>
    <row r="24">
      <c r="B24" s="153">
        <v>45768.0</v>
      </c>
      <c r="C24" s="141" t="str">
        <f t="shared" si="1"/>
        <v>4-2025</v>
      </c>
      <c r="D24" s="28">
        <v>5825.7</v>
      </c>
      <c r="E24" s="28">
        <v>5837.0</v>
      </c>
      <c r="F24" s="54">
        <f t="shared" si="2"/>
        <v>11.3</v>
      </c>
      <c r="G24" s="54">
        <f t="shared" si="3"/>
        <v>1.3</v>
      </c>
      <c r="I24" s="28" t="s">
        <v>183</v>
      </c>
      <c r="J24" s="185" t="s">
        <v>85</v>
      </c>
    </row>
    <row r="25">
      <c r="B25" s="140">
        <v>45769.0</v>
      </c>
      <c r="C25" s="141" t="str">
        <f t="shared" si="1"/>
        <v>4-2025</v>
      </c>
      <c r="D25" s="165">
        <f t="shared" ref="D25:D29" si="8">E24</f>
        <v>5837</v>
      </c>
      <c r="E25" s="28">
        <v>5847.5</v>
      </c>
      <c r="F25" s="54">
        <f t="shared" si="2"/>
        <v>10.5</v>
      </c>
      <c r="G25" s="54">
        <f t="shared" si="3"/>
        <v>0.5</v>
      </c>
      <c r="H25" s="28">
        <v>203.0</v>
      </c>
      <c r="I25" s="28" t="s">
        <v>183</v>
      </c>
      <c r="J25" s="185" t="s">
        <v>85</v>
      </c>
    </row>
    <row r="26">
      <c r="B26" s="140">
        <v>45770.0</v>
      </c>
      <c r="C26" s="141" t="str">
        <f t="shared" si="1"/>
        <v>4-2025</v>
      </c>
      <c r="D26" s="165">
        <f t="shared" si="8"/>
        <v>5847.5</v>
      </c>
      <c r="E26" s="28">
        <v>5858.0</v>
      </c>
      <c r="F26" s="54">
        <f t="shared" si="2"/>
        <v>10.5</v>
      </c>
      <c r="G26" s="54">
        <f t="shared" si="3"/>
        <v>0.5</v>
      </c>
      <c r="I26" s="28" t="s">
        <v>183</v>
      </c>
      <c r="J26" s="185" t="s">
        <v>85</v>
      </c>
    </row>
    <row r="27">
      <c r="B27" s="140">
        <v>45771.0</v>
      </c>
      <c r="C27" s="141" t="str">
        <f t="shared" si="1"/>
        <v>4-2025</v>
      </c>
      <c r="D27" s="165">
        <f t="shared" si="8"/>
        <v>5858</v>
      </c>
      <c r="E27" s="28">
        <v>5868.5</v>
      </c>
      <c r="F27" s="54">
        <f t="shared" si="2"/>
        <v>10.5</v>
      </c>
      <c r="G27" s="54">
        <f t="shared" si="3"/>
        <v>0.5</v>
      </c>
      <c r="H27" s="28">
        <v>150.0</v>
      </c>
      <c r="I27" s="28" t="s">
        <v>183</v>
      </c>
      <c r="J27" s="185" t="s">
        <v>85</v>
      </c>
    </row>
    <row r="28">
      <c r="B28" s="140">
        <v>45772.0</v>
      </c>
      <c r="C28" s="141" t="str">
        <f t="shared" si="1"/>
        <v>4-2025</v>
      </c>
      <c r="D28" s="165">
        <f t="shared" si="8"/>
        <v>5868.5</v>
      </c>
      <c r="E28" s="28">
        <v>5879.2</v>
      </c>
      <c r="F28" s="54">
        <f t="shared" si="2"/>
        <v>10.7</v>
      </c>
      <c r="G28" s="54">
        <f t="shared" si="3"/>
        <v>0.7</v>
      </c>
      <c r="H28" s="28">
        <v>230.0</v>
      </c>
      <c r="I28" s="28" t="s">
        <v>183</v>
      </c>
      <c r="J28" s="185" t="s">
        <v>85</v>
      </c>
    </row>
    <row r="29">
      <c r="B29" s="152">
        <v>45773.0</v>
      </c>
      <c r="C29" s="141" t="str">
        <f t="shared" si="1"/>
        <v>4-2025</v>
      </c>
      <c r="D29" s="165">
        <f t="shared" si="8"/>
        <v>5879.2</v>
      </c>
      <c r="E29" s="28">
        <v>5886.1</v>
      </c>
      <c r="F29" s="54">
        <f t="shared" si="2"/>
        <v>6.9</v>
      </c>
      <c r="G29" s="54">
        <f t="shared" si="3"/>
        <v>-3.1</v>
      </c>
      <c r="I29" s="28" t="s">
        <v>183</v>
      </c>
      <c r="J29" s="185" t="s">
        <v>85</v>
      </c>
    </row>
    <row r="30">
      <c r="B30" s="152">
        <v>45774.0</v>
      </c>
      <c r="C30" s="141" t="str">
        <f t="shared" si="1"/>
        <v>4-2025</v>
      </c>
      <c r="F30" s="54">
        <f t="shared" si="2"/>
        <v>0</v>
      </c>
      <c r="G30" s="54">
        <f t="shared" si="3"/>
        <v>-10</v>
      </c>
      <c r="I30" s="28" t="s">
        <v>183</v>
      </c>
      <c r="J30" s="185" t="s">
        <v>85</v>
      </c>
    </row>
    <row r="31">
      <c r="B31" s="140">
        <v>45775.0</v>
      </c>
      <c r="C31" s="141" t="str">
        <f t="shared" si="1"/>
        <v>4-2025</v>
      </c>
      <c r="D31" s="28">
        <v>5886.1</v>
      </c>
      <c r="E31" s="28">
        <v>5894.7</v>
      </c>
      <c r="F31" s="54">
        <f t="shared" si="2"/>
        <v>8.6</v>
      </c>
      <c r="G31" s="54">
        <f t="shared" si="3"/>
        <v>-1.4</v>
      </c>
      <c r="H31" s="28">
        <v>250.0</v>
      </c>
      <c r="I31" s="28" t="s">
        <v>183</v>
      </c>
      <c r="J31" s="185" t="s">
        <v>85</v>
      </c>
    </row>
    <row r="32">
      <c r="B32" s="140">
        <v>45776.0</v>
      </c>
      <c r="C32" s="141" t="str">
        <f t="shared" si="1"/>
        <v>4-2025</v>
      </c>
      <c r="D32" s="165">
        <f t="shared" ref="D32:D33" si="9">E31</f>
        <v>5894.7</v>
      </c>
      <c r="E32" s="28">
        <v>5905.2</v>
      </c>
      <c r="F32" s="54">
        <f t="shared" si="2"/>
        <v>10.5</v>
      </c>
      <c r="G32" s="54">
        <f t="shared" si="3"/>
        <v>0.5</v>
      </c>
      <c r="I32" s="28" t="s">
        <v>183</v>
      </c>
      <c r="J32" s="185" t="s">
        <v>85</v>
      </c>
    </row>
    <row r="33">
      <c r="B33" s="140">
        <v>45777.0</v>
      </c>
      <c r="C33" s="141" t="str">
        <f t="shared" si="1"/>
        <v>4-2025</v>
      </c>
      <c r="D33" s="165">
        <f t="shared" si="9"/>
        <v>5905.2</v>
      </c>
      <c r="E33" s="28">
        <v>5917.0</v>
      </c>
      <c r="F33" s="54">
        <f t="shared" si="2"/>
        <v>11.8</v>
      </c>
      <c r="G33" s="54">
        <f t="shared" si="3"/>
        <v>1.8</v>
      </c>
      <c r="I33" s="28" t="s">
        <v>183</v>
      </c>
      <c r="J33" s="185" t="s">
        <v>85</v>
      </c>
    </row>
    <row r="34">
      <c r="B34" s="154">
        <v>45778.0</v>
      </c>
      <c r="C34" s="141" t="str">
        <f t="shared" si="1"/>
        <v>5-2025</v>
      </c>
      <c r="D34" s="28">
        <v>5917.0</v>
      </c>
      <c r="E34" s="28">
        <v>5925.8</v>
      </c>
      <c r="F34" s="54">
        <f t="shared" si="2"/>
        <v>8.8</v>
      </c>
      <c r="G34" s="54">
        <f t="shared" si="3"/>
        <v>-1.2</v>
      </c>
    </row>
    <row r="35">
      <c r="B35" s="140">
        <v>45779.0</v>
      </c>
      <c r="C35" s="141" t="str">
        <f t="shared" si="1"/>
        <v>5-2025</v>
      </c>
      <c r="D35" s="165">
        <f t="shared" ref="D35:D36" si="10">E34</f>
        <v>5925.8</v>
      </c>
      <c r="E35" s="28">
        <v>5937.5</v>
      </c>
      <c r="F35" s="54">
        <f t="shared" si="2"/>
        <v>11.7</v>
      </c>
      <c r="G35" s="54">
        <f t="shared" si="3"/>
        <v>1.7</v>
      </c>
    </row>
    <row r="36">
      <c r="B36" s="145">
        <v>45780.0</v>
      </c>
      <c r="C36" s="141" t="str">
        <f t="shared" si="1"/>
        <v>5-2025</v>
      </c>
      <c r="D36" s="165">
        <f t="shared" si="10"/>
        <v>5937.5</v>
      </c>
      <c r="E36" s="28">
        <v>5944.3</v>
      </c>
      <c r="F36" s="54">
        <f t="shared" si="2"/>
        <v>6.8</v>
      </c>
      <c r="G36" s="54">
        <f t="shared" si="3"/>
        <v>-3.2</v>
      </c>
    </row>
    <row r="37">
      <c r="B37" s="145">
        <v>45781.0</v>
      </c>
      <c r="C37" s="141" t="str">
        <f t="shared" si="1"/>
        <v>5-2025</v>
      </c>
      <c r="F37" s="54">
        <f t="shared" si="2"/>
        <v>0</v>
      </c>
      <c r="G37" s="54">
        <f t="shared" si="3"/>
        <v>-10</v>
      </c>
    </row>
    <row r="38">
      <c r="B38" s="140">
        <v>45782.0</v>
      </c>
      <c r="C38" s="141" t="str">
        <f t="shared" si="1"/>
        <v>5-2025</v>
      </c>
      <c r="D38" s="28">
        <v>5944.3</v>
      </c>
      <c r="E38" s="28">
        <v>5952.1</v>
      </c>
      <c r="F38" s="54">
        <f t="shared" si="2"/>
        <v>7.8</v>
      </c>
      <c r="G38" s="54">
        <f t="shared" si="3"/>
        <v>-2.2</v>
      </c>
    </row>
    <row r="39">
      <c r="B39" s="140">
        <v>45783.0</v>
      </c>
      <c r="C39" s="141" t="str">
        <f t="shared" si="1"/>
        <v>5-2025</v>
      </c>
      <c r="D39" s="165">
        <f t="shared" ref="D39:D42" si="11">E38</f>
        <v>5952.1</v>
      </c>
      <c r="E39" s="28">
        <v>5962.8</v>
      </c>
      <c r="F39" s="54">
        <f t="shared" si="2"/>
        <v>10.7</v>
      </c>
      <c r="G39" s="54">
        <f t="shared" si="3"/>
        <v>0.7</v>
      </c>
    </row>
    <row r="40">
      <c r="B40" s="140">
        <v>45784.0</v>
      </c>
      <c r="C40" s="141" t="str">
        <f t="shared" si="1"/>
        <v>5-2025</v>
      </c>
      <c r="D40" s="165">
        <f t="shared" si="11"/>
        <v>5962.8</v>
      </c>
      <c r="E40" s="28">
        <v>5974.1</v>
      </c>
      <c r="F40" s="54">
        <f t="shared" si="2"/>
        <v>11.3</v>
      </c>
      <c r="G40" s="54">
        <f t="shared" si="3"/>
        <v>1.3</v>
      </c>
    </row>
    <row r="41">
      <c r="B41" s="140">
        <v>45785.0</v>
      </c>
      <c r="C41" s="141" t="str">
        <f t="shared" si="1"/>
        <v>5-2025</v>
      </c>
      <c r="D41" s="165">
        <f t="shared" si="11"/>
        <v>5974.1</v>
      </c>
      <c r="E41" s="28">
        <v>5981.0</v>
      </c>
      <c r="F41" s="54">
        <f t="shared" si="2"/>
        <v>6.9</v>
      </c>
      <c r="G41" s="54">
        <f t="shared" si="3"/>
        <v>-3.1</v>
      </c>
    </row>
    <row r="42">
      <c r="B42" s="140">
        <v>45786.0</v>
      </c>
      <c r="C42" s="141" t="str">
        <f t="shared" si="1"/>
        <v>5-2025</v>
      </c>
      <c r="D42" s="165">
        <f t="shared" si="11"/>
        <v>5981</v>
      </c>
      <c r="E42" s="28">
        <v>5992.3</v>
      </c>
      <c r="F42" s="54">
        <f t="shared" si="2"/>
        <v>11.3</v>
      </c>
      <c r="G42" s="54">
        <f t="shared" si="3"/>
        <v>1.3</v>
      </c>
    </row>
    <row r="43">
      <c r="B43" s="145">
        <v>45787.0</v>
      </c>
      <c r="C43" s="141" t="str">
        <f t="shared" si="1"/>
        <v>5-2025</v>
      </c>
      <c r="F43" s="54">
        <f t="shared" si="2"/>
        <v>0</v>
      </c>
      <c r="G43" s="54">
        <f t="shared" si="3"/>
        <v>-10</v>
      </c>
    </row>
    <row r="44">
      <c r="B44" s="145">
        <v>45788.0</v>
      </c>
      <c r="C44" s="141" t="str">
        <f t="shared" si="1"/>
        <v>5-2025</v>
      </c>
      <c r="D44" s="165" t="str">
        <f t="shared" ref="D44:D51" si="12">E43</f>
        <v/>
      </c>
      <c r="F44" s="54">
        <f t="shared" si="2"/>
        <v>0</v>
      </c>
      <c r="G44" s="54">
        <f t="shared" si="3"/>
        <v>-10</v>
      </c>
    </row>
    <row r="45">
      <c r="B45" s="140">
        <v>45789.0</v>
      </c>
      <c r="C45" s="141" t="str">
        <f t="shared" si="1"/>
        <v>5-2025</v>
      </c>
      <c r="D45" s="165" t="str">
        <f t="shared" si="12"/>
        <v/>
      </c>
      <c r="F45" s="54">
        <f t="shared" si="2"/>
        <v>0</v>
      </c>
      <c r="G45" s="54">
        <f t="shared" si="3"/>
        <v>-10</v>
      </c>
    </row>
    <row r="46">
      <c r="B46" s="140">
        <v>45790.0</v>
      </c>
      <c r="C46" s="141" t="str">
        <f t="shared" si="1"/>
        <v>5-2025</v>
      </c>
      <c r="D46" s="165" t="str">
        <f t="shared" si="12"/>
        <v/>
      </c>
      <c r="F46" s="138">
        <v>10.5</v>
      </c>
      <c r="G46" s="54">
        <f t="shared" si="3"/>
        <v>0.5</v>
      </c>
    </row>
    <row r="47">
      <c r="B47" s="140">
        <v>45791.0</v>
      </c>
      <c r="C47" s="141" t="str">
        <f t="shared" si="1"/>
        <v>5-2025</v>
      </c>
      <c r="D47" s="165" t="str">
        <f t="shared" si="12"/>
        <v/>
      </c>
      <c r="F47" s="138">
        <v>10.0</v>
      </c>
      <c r="G47" s="54">
        <f t="shared" si="3"/>
        <v>0</v>
      </c>
    </row>
    <row r="48">
      <c r="B48" s="140">
        <v>45792.0</v>
      </c>
      <c r="C48" s="141" t="str">
        <f t="shared" si="1"/>
        <v>5-2025</v>
      </c>
      <c r="D48" s="165" t="str">
        <f t="shared" si="12"/>
        <v/>
      </c>
      <c r="F48" s="138">
        <v>10.0</v>
      </c>
      <c r="G48" s="54">
        <f t="shared" si="3"/>
        <v>0</v>
      </c>
    </row>
    <row r="49">
      <c r="B49" s="140">
        <v>45793.0</v>
      </c>
      <c r="C49" s="141" t="str">
        <f t="shared" si="1"/>
        <v>5-2025</v>
      </c>
      <c r="D49" s="165" t="str">
        <f t="shared" si="12"/>
        <v/>
      </c>
      <c r="F49" s="138">
        <v>10.0</v>
      </c>
      <c r="G49" s="54">
        <f t="shared" si="3"/>
        <v>0</v>
      </c>
    </row>
    <row r="50">
      <c r="B50" s="145">
        <v>45794.0</v>
      </c>
      <c r="C50" s="141" t="str">
        <f t="shared" si="1"/>
        <v>5-2025</v>
      </c>
      <c r="D50" s="165" t="str">
        <f t="shared" si="12"/>
        <v/>
      </c>
      <c r="F50" s="54">
        <f t="shared" ref="F50:F361" si="13">E50-D50</f>
        <v>0</v>
      </c>
      <c r="G50" s="54">
        <f t="shared" si="3"/>
        <v>-10</v>
      </c>
    </row>
    <row r="51">
      <c r="B51" s="145">
        <v>45795.0</v>
      </c>
      <c r="C51" s="141" t="str">
        <f t="shared" si="1"/>
        <v>5-2025</v>
      </c>
      <c r="D51" s="165" t="str">
        <f t="shared" si="12"/>
        <v/>
      </c>
      <c r="F51" s="54">
        <f t="shared" si="13"/>
        <v>0</v>
      </c>
      <c r="G51" s="54">
        <f t="shared" si="3"/>
        <v>-10</v>
      </c>
    </row>
    <row r="52">
      <c r="B52" s="140">
        <v>45796.0</v>
      </c>
      <c r="C52" s="141" t="str">
        <f t="shared" si="1"/>
        <v>5-2025</v>
      </c>
      <c r="D52" s="28">
        <v>5994.4</v>
      </c>
      <c r="E52" s="28">
        <v>6004.6</v>
      </c>
      <c r="F52" s="54">
        <f t="shared" si="13"/>
        <v>10.2</v>
      </c>
      <c r="G52" s="54">
        <f t="shared" si="3"/>
        <v>0.2</v>
      </c>
    </row>
    <row r="53">
      <c r="B53" s="140">
        <v>45797.0</v>
      </c>
      <c r="C53" s="141" t="str">
        <f t="shared" si="1"/>
        <v>5-2025</v>
      </c>
      <c r="D53" s="165">
        <f t="shared" ref="D53:D57" si="14">E52</f>
        <v>6004.6</v>
      </c>
      <c r="E53" s="28">
        <v>6015.9</v>
      </c>
      <c r="F53" s="54">
        <f t="shared" si="13"/>
        <v>11.3</v>
      </c>
      <c r="G53" s="54">
        <f t="shared" si="3"/>
        <v>1.3</v>
      </c>
    </row>
    <row r="54">
      <c r="B54" s="140">
        <v>45798.0</v>
      </c>
      <c r="C54" s="141" t="str">
        <f t="shared" si="1"/>
        <v>5-2025</v>
      </c>
      <c r="D54" s="165">
        <f t="shared" si="14"/>
        <v>6015.9</v>
      </c>
      <c r="E54" s="28">
        <v>6026.5</v>
      </c>
      <c r="F54" s="54">
        <f t="shared" si="13"/>
        <v>10.6</v>
      </c>
      <c r="G54" s="54">
        <f t="shared" si="3"/>
        <v>0.6</v>
      </c>
    </row>
    <row r="55">
      <c r="B55" s="140">
        <v>45799.0</v>
      </c>
      <c r="C55" s="141" t="str">
        <f t="shared" si="1"/>
        <v>5-2025</v>
      </c>
      <c r="D55" s="165">
        <f t="shared" si="14"/>
        <v>6026.5</v>
      </c>
      <c r="E55" s="28">
        <v>6037.6</v>
      </c>
      <c r="F55" s="54">
        <f t="shared" si="13"/>
        <v>11.1</v>
      </c>
      <c r="G55" s="54">
        <f t="shared" si="3"/>
        <v>1.1</v>
      </c>
    </row>
    <row r="56">
      <c r="B56" s="140">
        <v>45800.0</v>
      </c>
      <c r="C56" s="141" t="str">
        <f t="shared" si="1"/>
        <v>5-2025</v>
      </c>
      <c r="D56" s="165">
        <f t="shared" si="14"/>
        <v>6037.6</v>
      </c>
      <c r="E56" s="28">
        <v>6047.8</v>
      </c>
      <c r="F56" s="54">
        <f t="shared" si="13"/>
        <v>10.2</v>
      </c>
      <c r="G56" s="54">
        <f t="shared" si="3"/>
        <v>0.2</v>
      </c>
    </row>
    <row r="57">
      <c r="B57" s="145">
        <v>45801.0</v>
      </c>
      <c r="C57" s="141" t="str">
        <f t="shared" si="1"/>
        <v>5-2025</v>
      </c>
      <c r="D57" s="165">
        <f t="shared" si="14"/>
        <v>6047.8</v>
      </c>
      <c r="E57" s="28">
        <v>6055.1</v>
      </c>
      <c r="F57" s="54">
        <f t="shared" si="13"/>
        <v>7.3</v>
      </c>
      <c r="G57" s="54">
        <f t="shared" si="3"/>
        <v>-2.7</v>
      </c>
    </row>
    <row r="58">
      <c r="B58" s="145">
        <v>45802.0</v>
      </c>
      <c r="C58" s="141" t="str">
        <f t="shared" si="1"/>
        <v>5-2025</v>
      </c>
      <c r="F58" s="54">
        <f t="shared" si="13"/>
        <v>0</v>
      </c>
      <c r="G58" s="54">
        <f t="shared" si="3"/>
        <v>-10</v>
      </c>
    </row>
    <row r="59">
      <c r="B59" s="140">
        <v>45803.0</v>
      </c>
      <c r="C59" s="141" t="str">
        <f t="shared" si="1"/>
        <v>5-2025</v>
      </c>
      <c r="D59" s="28">
        <v>6055.1</v>
      </c>
      <c r="E59" s="28">
        <v>6065.6</v>
      </c>
      <c r="F59" s="54">
        <f t="shared" si="13"/>
        <v>10.5</v>
      </c>
      <c r="G59" s="54">
        <f t="shared" si="3"/>
        <v>0.5</v>
      </c>
    </row>
    <row r="60">
      <c r="B60" s="140">
        <v>45804.0</v>
      </c>
      <c r="C60" s="141" t="str">
        <f t="shared" si="1"/>
        <v>5-2025</v>
      </c>
      <c r="D60" s="165">
        <f t="shared" ref="D60:D64" si="15">E59</f>
        <v>6065.6</v>
      </c>
      <c r="E60" s="28">
        <v>6076.4</v>
      </c>
      <c r="F60" s="54">
        <f t="shared" si="13"/>
        <v>10.8</v>
      </c>
      <c r="G60" s="54">
        <f t="shared" si="3"/>
        <v>0.8</v>
      </c>
    </row>
    <row r="61">
      <c r="B61" s="140">
        <v>45805.0</v>
      </c>
      <c r="C61" s="141" t="str">
        <f t="shared" si="1"/>
        <v>5-2025</v>
      </c>
      <c r="D61" s="165">
        <f t="shared" si="15"/>
        <v>6076.4</v>
      </c>
      <c r="E61" s="28">
        <v>6086.5</v>
      </c>
      <c r="F61" s="54">
        <f t="shared" si="13"/>
        <v>10.1</v>
      </c>
      <c r="G61" s="54">
        <f t="shared" si="3"/>
        <v>0.1</v>
      </c>
    </row>
    <row r="62">
      <c r="B62" s="140">
        <v>45806.0</v>
      </c>
      <c r="C62" s="141" t="str">
        <f t="shared" si="1"/>
        <v>5-2025</v>
      </c>
      <c r="D62" s="165">
        <f t="shared" si="15"/>
        <v>6086.5</v>
      </c>
      <c r="E62" s="28">
        <v>6097.0</v>
      </c>
      <c r="F62" s="54">
        <f t="shared" si="13"/>
        <v>10.5</v>
      </c>
      <c r="G62" s="54">
        <f t="shared" si="3"/>
        <v>0.5</v>
      </c>
      <c r="I62" s="28" t="s">
        <v>84</v>
      </c>
    </row>
    <row r="63">
      <c r="B63" s="140">
        <v>45807.0</v>
      </c>
      <c r="C63" s="141" t="str">
        <f t="shared" si="1"/>
        <v>5-2025</v>
      </c>
      <c r="D63" s="165">
        <f t="shared" si="15"/>
        <v>6097</v>
      </c>
      <c r="E63" s="28">
        <v>6108.2</v>
      </c>
      <c r="F63" s="54">
        <f t="shared" si="13"/>
        <v>11.2</v>
      </c>
      <c r="G63" s="54">
        <f t="shared" si="3"/>
        <v>1.2</v>
      </c>
    </row>
    <row r="64">
      <c r="B64" s="145">
        <v>45808.0</v>
      </c>
      <c r="C64" s="141" t="str">
        <f t="shared" si="1"/>
        <v>5-2025</v>
      </c>
      <c r="D64" s="165">
        <f t="shared" si="15"/>
        <v>6108.2</v>
      </c>
      <c r="E64" s="28">
        <v>6119.8</v>
      </c>
      <c r="F64" s="54">
        <f t="shared" si="13"/>
        <v>11.6</v>
      </c>
      <c r="G64" s="54">
        <f t="shared" si="3"/>
        <v>1.6</v>
      </c>
    </row>
    <row r="65">
      <c r="B65" s="145">
        <v>45809.0</v>
      </c>
      <c r="C65" s="141" t="str">
        <f t="shared" si="1"/>
        <v>6-2025</v>
      </c>
      <c r="F65" s="54">
        <f t="shared" si="13"/>
        <v>0</v>
      </c>
      <c r="G65" s="54">
        <f t="shared" si="3"/>
        <v>-10</v>
      </c>
    </row>
    <row r="66">
      <c r="B66" s="140">
        <v>45810.0</v>
      </c>
      <c r="C66" s="141" t="str">
        <f t="shared" si="1"/>
        <v>6-2025</v>
      </c>
      <c r="D66" s="28">
        <v>6119.8</v>
      </c>
      <c r="E66" s="28">
        <v>6128.1</v>
      </c>
      <c r="F66" s="54">
        <f t="shared" si="13"/>
        <v>8.3</v>
      </c>
      <c r="G66" s="54">
        <f t="shared" si="3"/>
        <v>-1.7</v>
      </c>
    </row>
    <row r="67">
      <c r="B67" s="140">
        <v>45811.0</v>
      </c>
      <c r="C67" s="141" t="str">
        <f t="shared" si="1"/>
        <v>6-2025</v>
      </c>
      <c r="D67" s="165">
        <f t="shared" ref="D67:D70" si="16">E66</f>
        <v>6128.1</v>
      </c>
      <c r="E67" s="28">
        <v>6128.1</v>
      </c>
      <c r="F67" s="54">
        <f t="shared" si="13"/>
        <v>0</v>
      </c>
      <c r="G67" s="54">
        <f t="shared" si="3"/>
        <v>-10</v>
      </c>
    </row>
    <row r="68">
      <c r="B68" s="140">
        <v>45812.0</v>
      </c>
      <c r="C68" s="141" t="str">
        <f t="shared" si="1"/>
        <v>6-2025</v>
      </c>
      <c r="D68" s="165">
        <f t="shared" si="16"/>
        <v>6128.1</v>
      </c>
      <c r="E68" s="28">
        <v>6136.2</v>
      </c>
      <c r="F68" s="54">
        <f t="shared" si="13"/>
        <v>8.1</v>
      </c>
      <c r="G68" s="54">
        <f t="shared" si="3"/>
        <v>-1.9</v>
      </c>
    </row>
    <row r="69">
      <c r="B69" s="140">
        <v>45813.0</v>
      </c>
      <c r="C69" s="141" t="str">
        <f t="shared" si="1"/>
        <v>6-2025</v>
      </c>
      <c r="D69" s="165">
        <f t="shared" si="16"/>
        <v>6136.2</v>
      </c>
      <c r="E69" s="28">
        <v>6146.1</v>
      </c>
      <c r="F69" s="54">
        <f t="shared" si="13"/>
        <v>9.9</v>
      </c>
      <c r="G69" s="54">
        <f t="shared" si="3"/>
        <v>-0.1</v>
      </c>
    </row>
    <row r="70">
      <c r="B70" s="140">
        <v>45814.0</v>
      </c>
      <c r="C70" s="141" t="str">
        <f t="shared" si="1"/>
        <v>6-2025</v>
      </c>
      <c r="D70" s="165">
        <f t="shared" si="16"/>
        <v>6146.1</v>
      </c>
      <c r="E70" s="28">
        <v>6154.8</v>
      </c>
      <c r="F70" s="54">
        <f t="shared" si="13"/>
        <v>8.7</v>
      </c>
      <c r="G70" s="54">
        <f t="shared" si="3"/>
        <v>-1.3</v>
      </c>
    </row>
    <row r="71">
      <c r="B71" s="145">
        <v>45815.0</v>
      </c>
      <c r="C71" s="141" t="str">
        <f t="shared" si="1"/>
        <v>6-2025</v>
      </c>
      <c r="F71" s="54">
        <f t="shared" si="13"/>
        <v>0</v>
      </c>
      <c r="G71" s="54">
        <f t="shared" si="3"/>
        <v>-10</v>
      </c>
    </row>
    <row r="72">
      <c r="B72" s="145">
        <v>45816.0</v>
      </c>
      <c r="C72" s="141" t="str">
        <f t="shared" si="1"/>
        <v>6-2025</v>
      </c>
      <c r="D72" s="165" t="str">
        <f>E71</f>
        <v/>
      </c>
      <c r="F72" s="54">
        <f t="shared" si="13"/>
        <v>0</v>
      </c>
      <c r="G72" s="54">
        <f t="shared" si="3"/>
        <v>-10</v>
      </c>
    </row>
    <row r="73">
      <c r="B73" s="140">
        <v>45817.0</v>
      </c>
      <c r="C73" s="141" t="str">
        <f t="shared" si="1"/>
        <v>6-2025</v>
      </c>
      <c r="D73" s="28">
        <v>6154.8</v>
      </c>
      <c r="E73" s="28">
        <v>6166.3</v>
      </c>
      <c r="F73" s="54">
        <f t="shared" si="13"/>
        <v>11.5</v>
      </c>
      <c r="G73" s="54">
        <f t="shared" si="3"/>
        <v>1.5</v>
      </c>
    </row>
    <row r="74">
      <c r="B74" s="140">
        <v>45818.0</v>
      </c>
      <c r="C74" s="141" t="str">
        <f t="shared" si="1"/>
        <v>6-2025</v>
      </c>
      <c r="D74" s="165">
        <f t="shared" ref="D74:D77" si="17">E73</f>
        <v>6166.3</v>
      </c>
      <c r="E74" s="28">
        <v>6176.3</v>
      </c>
      <c r="F74" s="54">
        <f t="shared" si="13"/>
        <v>10</v>
      </c>
      <c r="G74" s="54">
        <f t="shared" si="3"/>
        <v>0</v>
      </c>
    </row>
    <row r="75">
      <c r="B75" s="140">
        <v>45819.0</v>
      </c>
      <c r="C75" s="141" t="str">
        <f t="shared" si="1"/>
        <v>6-2025</v>
      </c>
      <c r="D75" s="165">
        <f t="shared" si="17"/>
        <v>6176.3</v>
      </c>
      <c r="E75" s="28">
        <v>6184.9</v>
      </c>
      <c r="F75" s="54">
        <f t="shared" si="13"/>
        <v>8.6</v>
      </c>
      <c r="G75" s="54">
        <f t="shared" si="3"/>
        <v>-1.4</v>
      </c>
    </row>
    <row r="76">
      <c r="B76" s="140">
        <v>45820.0</v>
      </c>
      <c r="C76" s="141" t="str">
        <f t="shared" si="1"/>
        <v>6-2025</v>
      </c>
      <c r="D76" s="165">
        <f t="shared" si="17"/>
        <v>6184.9</v>
      </c>
      <c r="E76" s="28">
        <v>6195.2</v>
      </c>
      <c r="F76" s="54">
        <f t="shared" si="13"/>
        <v>10.3</v>
      </c>
      <c r="G76" s="54">
        <f t="shared" si="3"/>
        <v>0.3</v>
      </c>
    </row>
    <row r="77">
      <c r="B77" s="140">
        <v>45821.0</v>
      </c>
      <c r="C77" s="141" t="str">
        <f t="shared" si="1"/>
        <v>6-2025</v>
      </c>
      <c r="D77" s="165">
        <f t="shared" si="17"/>
        <v>6195.2</v>
      </c>
      <c r="E77" s="28">
        <v>6205.3</v>
      </c>
      <c r="F77" s="54">
        <f t="shared" si="13"/>
        <v>10.1</v>
      </c>
      <c r="G77" s="54">
        <f t="shared" si="3"/>
        <v>0.1</v>
      </c>
    </row>
    <row r="78">
      <c r="B78" s="145">
        <v>45822.0</v>
      </c>
      <c r="C78" s="141" t="str">
        <f t="shared" si="1"/>
        <v>6-2025</v>
      </c>
      <c r="F78" s="54">
        <f t="shared" si="13"/>
        <v>0</v>
      </c>
      <c r="G78" s="54">
        <f t="shared" si="3"/>
        <v>-10</v>
      </c>
    </row>
    <row r="79">
      <c r="B79" s="145">
        <v>45823.0</v>
      </c>
      <c r="C79" s="141" t="str">
        <f t="shared" si="1"/>
        <v>6-2025</v>
      </c>
      <c r="D79" s="165" t="str">
        <f>E78</f>
        <v/>
      </c>
      <c r="F79" s="54">
        <f t="shared" si="13"/>
        <v>0</v>
      </c>
      <c r="G79" s="54">
        <f t="shared" si="3"/>
        <v>-10</v>
      </c>
    </row>
    <row r="80">
      <c r="B80" s="140">
        <v>45824.0</v>
      </c>
      <c r="C80" s="141" t="str">
        <f t="shared" si="1"/>
        <v>6-2025</v>
      </c>
      <c r="D80" s="28">
        <v>6205.6</v>
      </c>
      <c r="E80" s="28">
        <v>6215.7</v>
      </c>
      <c r="F80" s="54">
        <f t="shared" si="13"/>
        <v>10.1</v>
      </c>
      <c r="G80" s="54">
        <f t="shared" si="3"/>
        <v>0.1</v>
      </c>
    </row>
    <row r="81">
      <c r="B81" s="140">
        <v>45825.0</v>
      </c>
      <c r="C81" s="141" t="str">
        <f t="shared" si="1"/>
        <v>6-2025</v>
      </c>
      <c r="D81" s="28">
        <v>6215.7</v>
      </c>
      <c r="E81" s="28">
        <v>6226.2</v>
      </c>
      <c r="F81" s="54">
        <f t="shared" si="13"/>
        <v>10.5</v>
      </c>
      <c r="G81" s="54">
        <f t="shared" si="3"/>
        <v>0.5</v>
      </c>
    </row>
    <row r="82">
      <c r="B82" s="140">
        <v>45826.0</v>
      </c>
      <c r="C82" s="141" t="str">
        <f t="shared" si="1"/>
        <v>6-2025</v>
      </c>
      <c r="D82" s="165">
        <f t="shared" ref="D82:D85" si="18">E81</f>
        <v>6226.2</v>
      </c>
      <c r="E82" s="28">
        <v>6237.3</v>
      </c>
      <c r="F82" s="54">
        <f t="shared" si="13"/>
        <v>11.1</v>
      </c>
      <c r="G82" s="54">
        <f t="shared" si="3"/>
        <v>1.1</v>
      </c>
    </row>
    <row r="83">
      <c r="B83" s="145">
        <v>45827.0</v>
      </c>
      <c r="C83" s="141" t="str">
        <f t="shared" si="1"/>
        <v>6-2025</v>
      </c>
      <c r="D83" s="165">
        <f t="shared" si="18"/>
        <v>6237.3</v>
      </c>
      <c r="E83" s="28">
        <v>6247.6</v>
      </c>
      <c r="F83" s="54">
        <f t="shared" si="13"/>
        <v>10.3</v>
      </c>
      <c r="G83" s="54">
        <f t="shared" si="3"/>
        <v>0.3</v>
      </c>
    </row>
    <row r="84">
      <c r="B84" s="140">
        <v>45828.0</v>
      </c>
      <c r="C84" s="141" t="str">
        <f t="shared" si="1"/>
        <v>6-2025</v>
      </c>
      <c r="D84" s="165">
        <f t="shared" si="18"/>
        <v>6247.6</v>
      </c>
      <c r="E84" s="28">
        <v>6258.4</v>
      </c>
      <c r="F84" s="54">
        <f t="shared" si="13"/>
        <v>10.8</v>
      </c>
      <c r="G84" s="54">
        <f t="shared" si="3"/>
        <v>0.8</v>
      </c>
    </row>
    <row r="85">
      <c r="B85" s="145">
        <v>45829.0</v>
      </c>
      <c r="C85" s="141" t="str">
        <f t="shared" si="1"/>
        <v>6-2025</v>
      </c>
      <c r="D85" s="165">
        <f t="shared" si="18"/>
        <v>6258.4</v>
      </c>
      <c r="E85" s="28">
        <v>6267.6</v>
      </c>
      <c r="F85" s="54">
        <f t="shared" si="13"/>
        <v>9.2</v>
      </c>
      <c r="G85" s="54">
        <f t="shared" si="3"/>
        <v>-0.8</v>
      </c>
    </row>
    <row r="86">
      <c r="B86" s="145">
        <v>45830.0</v>
      </c>
      <c r="C86" s="141" t="str">
        <f t="shared" si="1"/>
        <v>6-2025</v>
      </c>
      <c r="F86" s="54">
        <f t="shared" si="13"/>
        <v>0</v>
      </c>
      <c r="G86" s="54">
        <f t="shared" si="3"/>
        <v>-10</v>
      </c>
    </row>
    <row r="87">
      <c r="B87" s="140">
        <v>45831.0</v>
      </c>
      <c r="C87" s="141" t="str">
        <f t="shared" si="1"/>
        <v>6-2025</v>
      </c>
      <c r="D87" s="28">
        <v>6267.6</v>
      </c>
      <c r="E87" s="28">
        <v>6276.6</v>
      </c>
      <c r="F87" s="54">
        <f t="shared" si="13"/>
        <v>9</v>
      </c>
      <c r="G87" s="54">
        <f t="shared" si="3"/>
        <v>-1</v>
      </c>
    </row>
    <row r="88">
      <c r="B88" s="140">
        <v>45832.0</v>
      </c>
      <c r="C88" s="141" t="str">
        <f t="shared" si="1"/>
        <v>6-2025</v>
      </c>
      <c r="D88" s="165">
        <f t="shared" ref="D88:D93" si="19">E87</f>
        <v>6276.6</v>
      </c>
      <c r="E88" s="28">
        <v>6285.5</v>
      </c>
      <c r="F88" s="54">
        <f t="shared" si="13"/>
        <v>8.9</v>
      </c>
      <c r="G88" s="54">
        <f t="shared" si="3"/>
        <v>-1.1</v>
      </c>
    </row>
    <row r="89">
      <c r="B89" s="140">
        <v>45833.0</v>
      </c>
      <c r="C89" s="141" t="str">
        <f t="shared" si="1"/>
        <v>6-2025</v>
      </c>
      <c r="D89" s="165">
        <f t="shared" si="19"/>
        <v>6285.5</v>
      </c>
      <c r="E89" s="28">
        <v>6294.1</v>
      </c>
      <c r="F89" s="54">
        <f t="shared" si="13"/>
        <v>8.6</v>
      </c>
      <c r="G89" s="54">
        <f t="shared" si="3"/>
        <v>-1.4</v>
      </c>
    </row>
    <row r="90">
      <c r="B90" s="140">
        <v>45834.0</v>
      </c>
      <c r="C90" s="141" t="str">
        <f t="shared" si="1"/>
        <v>6-2025</v>
      </c>
      <c r="D90" s="165">
        <f t="shared" si="19"/>
        <v>6294.1</v>
      </c>
      <c r="E90" s="28">
        <v>6304.0</v>
      </c>
      <c r="F90" s="54">
        <f t="shared" si="13"/>
        <v>9.9</v>
      </c>
      <c r="G90" s="54">
        <f t="shared" si="3"/>
        <v>-0.1</v>
      </c>
    </row>
    <row r="91">
      <c r="B91" s="140">
        <v>45835.0</v>
      </c>
      <c r="C91" s="141" t="str">
        <f t="shared" si="1"/>
        <v>6-2025</v>
      </c>
      <c r="D91" s="165">
        <f t="shared" si="19"/>
        <v>6304</v>
      </c>
      <c r="E91" s="28">
        <v>6315.0</v>
      </c>
      <c r="F91" s="54">
        <f t="shared" si="13"/>
        <v>11</v>
      </c>
      <c r="G91" s="54">
        <f t="shared" si="3"/>
        <v>1</v>
      </c>
    </row>
    <row r="92">
      <c r="B92" s="145">
        <v>45836.0</v>
      </c>
      <c r="C92" s="141" t="str">
        <f t="shared" si="1"/>
        <v>6-2025</v>
      </c>
      <c r="D92" s="165">
        <f t="shared" si="19"/>
        <v>6315</v>
      </c>
      <c r="E92" s="28">
        <v>6322.8</v>
      </c>
      <c r="F92" s="54">
        <f t="shared" si="13"/>
        <v>7.8</v>
      </c>
      <c r="G92" s="54">
        <f t="shared" si="3"/>
        <v>-2.2</v>
      </c>
    </row>
    <row r="93">
      <c r="B93" s="145">
        <v>45837.0</v>
      </c>
      <c r="C93" s="141" t="str">
        <f t="shared" si="1"/>
        <v>6-2025</v>
      </c>
      <c r="D93" s="165">
        <f t="shared" si="19"/>
        <v>6322.8</v>
      </c>
      <c r="E93" s="28">
        <v>6331.1</v>
      </c>
      <c r="F93" s="54">
        <f t="shared" si="13"/>
        <v>8.3</v>
      </c>
      <c r="G93" s="54">
        <f t="shared" si="3"/>
        <v>-1.7</v>
      </c>
    </row>
    <row r="94">
      <c r="B94" s="140">
        <v>45838.0</v>
      </c>
      <c r="C94" s="141" t="str">
        <f t="shared" si="1"/>
        <v>6-2025</v>
      </c>
      <c r="F94" s="54">
        <f t="shared" si="13"/>
        <v>0</v>
      </c>
      <c r="G94" s="54">
        <f t="shared" si="3"/>
        <v>-10</v>
      </c>
    </row>
    <row r="95">
      <c r="B95" s="140">
        <v>45839.0</v>
      </c>
      <c r="C95" s="141" t="str">
        <f t="shared" si="1"/>
        <v>7-2025</v>
      </c>
      <c r="D95" s="28">
        <v>6331.1</v>
      </c>
      <c r="E95" s="28">
        <v>6338.2</v>
      </c>
      <c r="F95" s="54">
        <f t="shared" si="13"/>
        <v>7.1</v>
      </c>
      <c r="G95" s="54">
        <f t="shared" si="3"/>
        <v>-2.9</v>
      </c>
    </row>
    <row r="96">
      <c r="B96" s="140">
        <v>45840.0</v>
      </c>
      <c r="C96" s="141" t="str">
        <f t="shared" si="1"/>
        <v>7-2025</v>
      </c>
      <c r="D96" s="165">
        <f t="shared" ref="D96:D98" si="20">E95</f>
        <v>6338.2</v>
      </c>
      <c r="E96" s="28">
        <v>6347.1</v>
      </c>
      <c r="F96" s="54">
        <f t="shared" si="13"/>
        <v>8.9</v>
      </c>
      <c r="G96" s="54">
        <f t="shared" si="3"/>
        <v>-1.1</v>
      </c>
    </row>
    <row r="97">
      <c r="B97" s="140">
        <v>45841.0</v>
      </c>
      <c r="C97" s="141" t="str">
        <f t="shared" si="1"/>
        <v>7-2025</v>
      </c>
      <c r="D97" s="165">
        <f t="shared" si="20"/>
        <v>6347.1</v>
      </c>
      <c r="E97" s="28">
        <v>6354.0</v>
      </c>
      <c r="F97" s="54">
        <f t="shared" si="13"/>
        <v>6.9</v>
      </c>
      <c r="G97" s="54">
        <f t="shared" si="3"/>
        <v>-3.1</v>
      </c>
    </row>
    <row r="98">
      <c r="B98" s="140">
        <v>45842.0</v>
      </c>
      <c r="C98" s="141" t="str">
        <f t="shared" si="1"/>
        <v>7-2025</v>
      </c>
      <c r="D98" s="165">
        <f t="shared" si="20"/>
        <v>6354</v>
      </c>
      <c r="E98" s="28">
        <v>6363.7</v>
      </c>
      <c r="F98" s="54">
        <f t="shared" si="13"/>
        <v>9.7</v>
      </c>
      <c r="G98" s="54">
        <f t="shared" si="3"/>
        <v>-0.3</v>
      </c>
    </row>
    <row r="99">
      <c r="B99" s="145">
        <v>45843.0</v>
      </c>
      <c r="C99" s="141" t="str">
        <f t="shared" si="1"/>
        <v>7-2025</v>
      </c>
      <c r="F99" s="54">
        <f t="shared" si="13"/>
        <v>0</v>
      </c>
      <c r="G99" s="54">
        <f t="shared" si="3"/>
        <v>-10</v>
      </c>
    </row>
    <row r="100">
      <c r="B100" s="145">
        <v>45844.0</v>
      </c>
      <c r="C100" s="141" t="str">
        <f t="shared" si="1"/>
        <v>7-2025</v>
      </c>
      <c r="D100" s="165" t="str">
        <f>E99</f>
        <v/>
      </c>
      <c r="F100" s="54">
        <f t="shared" si="13"/>
        <v>0</v>
      </c>
      <c r="G100" s="54">
        <f t="shared" si="3"/>
        <v>-10</v>
      </c>
    </row>
    <row r="101">
      <c r="B101" s="140">
        <v>45845.0</v>
      </c>
      <c r="C101" s="141" t="str">
        <f t="shared" si="1"/>
        <v>7-2025</v>
      </c>
      <c r="D101" s="28">
        <v>6363.7</v>
      </c>
      <c r="E101" s="28">
        <v>6371.2</v>
      </c>
      <c r="F101" s="54">
        <f t="shared" si="13"/>
        <v>7.5</v>
      </c>
      <c r="G101" s="54">
        <f t="shared" si="3"/>
        <v>-2.5</v>
      </c>
    </row>
    <row r="102">
      <c r="B102" s="140">
        <v>45846.0</v>
      </c>
      <c r="C102" s="141" t="str">
        <f t="shared" si="1"/>
        <v>7-2025</v>
      </c>
      <c r="D102" s="165">
        <f t="shared" ref="D102:D105" si="21">E101</f>
        <v>6371.2</v>
      </c>
      <c r="E102" s="28">
        <v>6382.0</v>
      </c>
      <c r="F102" s="54">
        <f t="shared" si="13"/>
        <v>10.8</v>
      </c>
      <c r="G102" s="54">
        <f t="shared" si="3"/>
        <v>0.8</v>
      </c>
    </row>
    <row r="103">
      <c r="B103" s="140">
        <v>45847.0</v>
      </c>
      <c r="C103" s="141" t="str">
        <f t="shared" si="1"/>
        <v>7-2025</v>
      </c>
      <c r="D103" s="165">
        <f t="shared" si="21"/>
        <v>6382</v>
      </c>
      <c r="E103" s="28">
        <v>6392.7</v>
      </c>
      <c r="F103" s="54">
        <f t="shared" si="13"/>
        <v>10.7</v>
      </c>
      <c r="G103" s="54">
        <f t="shared" si="3"/>
        <v>0.7</v>
      </c>
    </row>
    <row r="104">
      <c r="B104" s="140">
        <v>45848.0</v>
      </c>
      <c r="C104" s="141" t="str">
        <f t="shared" si="1"/>
        <v>7-2025</v>
      </c>
      <c r="D104" s="165">
        <f t="shared" si="21"/>
        <v>6392.7</v>
      </c>
      <c r="E104" s="28">
        <v>6402.6</v>
      </c>
      <c r="F104" s="54">
        <f t="shared" si="13"/>
        <v>9.9</v>
      </c>
      <c r="G104" s="54">
        <f t="shared" si="3"/>
        <v>-0.1</v>
      </c>
    </row>
    <row r="105">
      <c r="B105" s="140">
        <v>45849.0</v>
      </c>
      <c r="C105" s="141" t="str">
        <f t="shared" si="1"/>
        <v>7-2025</v>
      </c>
      <c r="D105" s="165">
        <f t="shared" si="21"/>
        <v>6402.6</v>
      </c>
      <c r="E105" s="28">
        <v>6412.0</v>
      </c>
      <c r="F105" s="54">
        <f t="shared" si="13"/>
        <v>9.4</v>
      </c>
      <c r="G105" s="54">
        <f t="shared" si="3"/>
        <v>-0.6</v>
      </c>
    </row>
    <row r="106">
      <c r="B106" s="145">
        <v>45850.0</v>
      </c>
      <c r="C106" s="141" t="str">
        <f t="shared" si="1"/>
        <v>7-2025</v>
      </c>
      <c r="F106" s="54">
        <f t="shared" si="13"/>
        <v>0</v>
      </c>
      <c r="G106" s="54">
        <f t="shared" si="3"/>
        <v>-10</v>
      </c>
    </row>
    <row r="107">
      <c r="B107" s="145">
        <v>45851.0</v>
      </c>
      <c r="C107" s="141" t="str">
        <f t="shared" si="1"/>
        <v>7-2025</v>
      </c>
      <c r="D107" s="165" t="str">
        <f t="shared" ref="D107:D108" si="22">E106</f>
        <v/>
      </c>
      <c r="F107" s="54">
        <f t="shared" si="13"/>
        <v>0</v>
      </c>
      <c r="G107" s="54">
        <f t="shared" si="3"/>
        <v>-10</v>
      </c>
    </row>
    <row r="108">
      <c r="B108" s="140">
        <v>45852.0</v>
      </c>
      <c r="C108" s="141" t="str">
        <f t="shared" si="1"/>
        <v>7-2025</v>
      </c>
      <c r="D108" s="165" t="str">
        <f t="shared" si="22"/>
        <v/>
      </c>
      <c r="F108" s="54">
        <f t="shared" si="13"/>
        <v>0</v>
      </c>
      <c r="G108" s="54">
        <f t="shared" si="3"/>
        <v>-10</v>
      </c>
    </row>
    <row r="109">
      <c r="B109" s="140">
        <v>45853.0</v>
      </c>
      <c r="C109" s="141" t="str">
        <f t="shared" si="1"/>
        <v>7-2025</v>
      </c>
      <c r="D109" s="28">
        <v>6412.7</v>
      </c>
      <c r="E109" s="28">
        <v>6423.4</v>
      </c>
      <c r="F109" s="54">
        <f t="shared" si="13"/>
        <v>10.7</v>
      </c>
      <c r="G109" s="54">
        <f t="shared" si="3"/>
        <v>0.7</v>
      </c>
    </row>
    <row r="110">
      <c r="B110" s="140">
        <v>45854.0</v>
      </c>
      <c r="C110" s="141" t="str">
        <f t="shared" si="1"/>
        <v>7-2025</v>
      </c>
      <c r="D110" s="165">
        <f t="shared" ref="D110:D113" si="23">E109</f>
        <v>6423.4</v>
      </c>
      <c r="E110" s="28">
        <v>6434.4</v>
      </c>
      <c r="F110" s="54">
        <f t="shared" si="13"/>
        <v>11</v>
      </c>
      <c r="G110" s="54">
        <f t="shared" si="3"/>
        <v>1</v>
      </c>
    </row>
    <row r="111">
      <c r="B111" s="140">
        <v>45855.0</v>
      </c>
      <c r="C111" s="141" t="str">
        <f t="shared" si="1"/>
        <v>7-2025</v>
      </c>
      <c r="D111" s="165">
        <f t="shared" si="23"/>
        <v>6434.4</v>
      </c>
      <c r="E111" s="28">
        <v>6445.6</v>
      </c>
      <c r="F111" s="54">
        <f t="shared" si="13"/>
        <v>11.2</v>
      </c>
      <c r="G111" s="54">
        <f t="shared" si="3"/>
        <v>1.2</v>
      </c>
    </row>
    <row r="112">
      <c r="B112" s="140">
        <v>45856.0</v>
      </c>
      <c r="C112" s="141" t="str">
        <f t="shared" si="1"/>
        <v>7-2025</v>
      </c>
      <c r="D112" s="165">
        <f t="shared" si="23"/>
        <v>6445.6</v>
      </c>
      <c r="E112" s="28">
        <v>6456.8</v>
      </c>
      <c r="F112" s="54">
        <f t="shared" si="13"/>
        <v>11.2</v>
      </c>
      <c r="G112" s="54">
        <f t="shared" si="3"/>
        <v>1.2</v>
      </c>
    </row>
    <row r="113">
      <c r="B113" s="145">
        <v>45857.0</v>
      </c>
      <c r="C113" s="141" t="str">
        <f t="shared" si="1"/>
        <v>7-2025</v>
      </c>
      <c r="D113" s="165">
        <f t="shared" si="23"/>
        <v>6456.8</v>
      </c>
      <c r="E113" s="28">
        <v>6462.9</v>
      </c>
      <c r="F113" s="54">
        <f t="shared" si="13"/>
        <v>6.1</v>
      </c>
      <c r="G113" s="54">
        <f t="shared" si="3"/>
        <v>-3.9</v>
      </c>
    </row>
    <row r="114">
      <c r="B114" s="145">
        <v>45858.0</v>
      </c>
      <c r="C114" s="141" t="str">
        <f t="shared" si="1"/>
        <v>7-2025</v>
      </c>
      <c r="F114" s="54">
        <f t="shared" si="13"/>
        <v>0</v>
      </c>
      <c r="G114" s="54">
        <f t="shared" si="3"/>
        <v>-10</v>
      </c>
    </row>
    <row r="115">
      <c r="B115" s="140">
        <v>45859.0</v>
      </c>
      <c r="C115" s="141" t="str">
        <f t="shared" si="1"/>
        <v>7-2025</v>
      </c>
      <c r="D115" s="28">
        <v>6462.7</v>
      </c>
      <c r="E115" s="28">
        <v>6471.0</v>
      </c>
      <c r="F115" s="54">
        <f t="shared" si="13"/>
        <v>8.3</v>
      </c>
      <c r="G115" s="54">
        <f t="shared" si="3"/>
        <v>-1.7</v>
      </c>
    </row>
    <row r="116">
      <c r="B116" s="140">
        <v>45860.0</v>
      </c>
      <c r="C116" s="141" t="str">
        <f t="shared" si="1"/>
        <v>7-2025</v>
      </c>
      <c r="D116" s="165">
        <f t="shared" ref="D116:D119" si="24">E115</f>
        <v>6471</v>
      </c>
      <c r="E116" s="28">
        <v>6483.0</v>
      </c>
      <c r="F116" s="54">
        <f t="shared" si="13"/>
        <v>12</v>
      </c>
      <c r="G116" s="54">
        <f t="shared" si="3"/>
        <v>2</v>
      </c>
    </row>
    <row r="117">
      <c r="B117" s="140">
        <v>45861.0</v>
      </c>
      <c r="C117" s="141" t="str">
        <f t="shared" si="1"/>
        <v>7-2025</v>
      </c>
      <c r="D117" s="165">
        <f t="shared" si="24"/>
        <v>6483</v>
      </c>
      <c r="E117" s="28">
        <v>6495.0</v>
      </c>
      <c r="F117" s="54">
        <f t="shared" si="13"/>
        <v>12</v>
      </c>
      <c r="G117" s="54">
        <f t="shared" si="3"/>
        <v>2</v>
      </c>
    </row>
    <row r="118">
      <c r="B118" s="140">
        <v>45862.0</v>
      </c>
      <c r="C118" s="141" t="str">
        <f t="shared" si="1"/>
        <v>7-2025</v>
      </c>
      <c r="D118" s="165">
        <f t="shared" si="24"/>
        <v>6495</v>
      </c>
      <c r="E118" s="28">
        <v>6507.0</v>
      </c>
      <c r="F118" s="54">
        <f t="shared" si="13"/>
        <v>12</v>
      </c>
      <c r="G118" s="54">
        <f t="shared" si="3"/>
        <v>2</v>
      </c>
    </row>
    <row r="119">
      <c r="B119" s="140">
        <v>45863.0</v>
      </c>
      <c r="C119" s="141" t="str">
        <f t="shared" si="1"/>
        <v>7-2025</v>
      </c>
      <c r="D119" s="165">
        <f t="shared" si="24"/>
        <v>6507</v>
      </c>
      <c r="E119" s="28">
        <v>6517.0</v>
      </c>
      <c r="F119" s="54">
        <f t="shared" si="13"/>
        <v>10</v>
      </c>
      <c r="G119" s="54">
        <f t="shared" si="3"/>
        <v>0</v>
      </c>
    </row>
    <row r="120">
      <c r="B120" s="145">
        <v>45864.0</v>
      </c>
      <c r="C120" s="141" t="str">
        <f t="shared" si="1"/>
        <v>7-2025</v>
      </c>
      <c r="F120" s="54">
        <f t="shared" si="13"/>
        <v>0</v>
      </c>
      <c r="G120" s="54">
        <f t="shared" si="3"/>
        <v>-10</v>
      </c>
    </row>
    <row r="121">
      <c r="B121" s="145">
        <v>45865.0</v>
      </c>
      <c r="C121" s="141" t="str">
        <f t="shared" si="1"/>
        <v>7-2025</v>
      </c>
      <c r="D121" s="165" t="str">
        <f>E120</f>
        <v/>
      </c>
      <c r="F121" s="54">
        <f t="shared" si="13"/>
        <v>0</v>
      </c>
      <c r="G121" s="54">
        <f t="shared" si="3"/>
        <v>-10</v>
      </c>
    </row>
    <row r="122">
      <c r="B122" s="140">
        <v>45866.0</v>
      </c>
      <c r="C122" s="141" t="str">
        <f t="shared" si="1"/>
        <v>7-2025</v>
      </c>
      <c r="D122" s="28">
        <v>6517.6</v>
      </c>
      <c r="E122" s="28">
        <v>6522.1</v>
      </c>
      <c r="F122" s="54">
        <f t="shared" si="13"/>
        <v>4.5</v>
      </c>
      <c r="G122" s="54">
        <f t="shared" si="3"/>
        <v>-5.5</v>
      </c>
    </row>
    <row r="123">
      <c r="B123" s="140">
        <v>45867.0</v>
      </c>
      <c r="C123" s="141" t="str">
        <f t="shared" si="1"/>
        <v>7-2025</v>
      </c>
      <c r="D123" s="165">
        <f t="shared" ref="D123:D125" si="25">E122</f>
        <v>6522.1</v>
      </c>
      <c r="E123" s="28">
        <v>6533.5</v>
      </c>
      <c r="F123" s="54">
        <f t="shared" si="13"/>
        <v>11.4</v>
      </c>
      <c r="G123" s="54">
        <f t="shared" si="3"/>
        <v>1.4</v>
      </c>
    </row>
    <row r="124">
      <c r="B124" s="140">
        <v>45868.0</v>
      </c>
      <c r="C124" s="141" t="str">
        <f t="shared" si="1"/>
        <v>7-2025</v>
      </c>
      <c r="D124" s="165">
        <f t="shared" si="25"/>
        <v>6533.5</v>
      </c>
      <c r="E124" s="28">
        <v>6545.2</v>
      </c>
      <c r="F124" s="54">
        <f t="shared" si="13"/>
        <v>11.7</v>
      </c>
      <c r="G124" s="54">
        <f t="shared" si="3"/>
        <v>1.7</v>
      </c>
    </row>
    <row r="125">
      <c r="B125" s="140">
        <v>45869.0</v>
      </c>
      <c r="C125" s="141" t="str">
        <f t="shared" si="1"/>
        <v>7-2025</v>
      </c>
      <c r="D125" s="165">
        <f t="shared" si="25"/>
        <v>6545.2</v>
      </c>
      <c r="E125" s="28">
        <v>6562.3</v>
      </c>
      <c r="F125" s="54">
        <f t="shared" si="13"/>
        <v>17.1</v>
      </c>
      <c r="G125" s="54">
        <f t="shared" si="3"/>
        <v>7.1</v>
      </c>
    </row>
    <row r="126">
      <c r="B126" s="140">
        <v>45870.0</v>
      </c>
      <c r="C126" s="141" t="str">
        <f t="shared" si="1"/>
        <v>8-2025</v>
      </c>
      <c r="D126" s="28">
        <v>6562.3</v>
      </c>
      <c r="E126" s="28">
        <v>6567.6</v>
      </c>
      <c r="F126" s="54">
        <f t="shared" si="13"/>
        <v>5.3</v>
      </c>
      <c r="G126" s="54">
        <f t="shared" si="3"/>
        <v>-4.7</v>
      </c>
    </row>
    <row r="127">
      <c r="B127" s="140">
        <v>45871.0</v>
      </c>
      <c r="C127" s="141" t="str">
        <f t="shared" si="1"/>
        <v>8-2025</v>
      </c>
      <c r="D127" s="165">
        <f>E126</f>
        <v>6567.6</v>
      </c>
      <c r="E127" s="28">
        <v>6573.8</v>
      </c>
      <c r="F127" s="54">
        <f t="shared" si="13"/>
        <v>6.2</v>
      </c>
      <c r="G127" s="54">
        <f t="shared" si="3"/>
        <v>-3.8</v>
      </c>
    </row>
    <row r="128">
      <c r="B128" s="140">
        <v>45872.0</v>
      </c>
      <c r="C128" s="141" t="str">
        <f t="shared" si="1"/>
        <v>8-2025</v>
      </c>
      <c r="F128" s="54">
        <f t="shared" si="13"/>
        <v>0</v>
      </c>
      <c r="G128" s="54">
        <f t="shared" si="3"/>
        <v>-10</v>
      </c>
    </row>
    <row r="129">
      <c r="B129" s="140">
        <v>45873.0</v>
      </c>
      <c r="C129" s="141" t="str">
        <f t="shared" si="1"/>
        <v>8-2025</v>
      </c>
      <c r="D129" s="28">
        <v>6573.8</v>
      </c>
      <c r="E129" s="28">
        <v>6580.1</v>
      </c>
      <c r="F129" s="54">
        <f t="shared" si="13"/>
        <v>6.3</v>
      </c>
      <c r="G129" s="54">
        <f t="shared" si="3"/>
        <v>-3.7</v>
      </c>
    </row>
    <row r="130">
      <c r="B130" s="140">
        <v>45874.0</v>
      </c>
      <c r="C130" s="141" t="str">
        <f t="shared" si="1"/>
        <v>8-2025</v>
      </c>
      <c r="D130" s="165">
        <f t="shared" ref="D130:D131" si="26">E129</f>
        <v>6580.1</v>
      </c>
      <c r="E130" s="28">
        <v>6591.8</v>
      </c>
      <c r="F130" s="54">
        <f t="shared" si="13"/>
        <v>11.7</v>
      </c>
      <c r="G130" s="54">
        <f t="shared" si="3"/>
        <v>1.7</v>
      </c>
    </row>
    <row r="131">
      <c r="B131" s="140">
        <v>45875.0</v>
      </c>
      <c r="C131" s="141" t="str">
        <f t="shared" si="1"/>
        <v>8-2025</v>
      </c>
      <c r="D131" s="165">
        <f t="shared" si="26"/>
        <v>6591.8</v>
      </c>
      <c r="E131" s="28">
        <v>6602.3</v>
      </c>
      <c r="F131" s="54">
        <f t="shared" si="13"/>
        <v>10.5</v>
      </c>
      <c r="G131" s="54">
        <f t="shared" si="3"/>
        <v>0.5</v>
      </c>
    </row>
    <row r="132">
      <c r="B132" s="140">
        <v>45876.0</v>
      </c>
      <c r="C132" s="141" t="str">
        <f t="shared" si="1"/>
        <v>8-2025</v>
      </c>
      <c r="F132" s="54">
        <f t="shared" si="13"/>
        <v>0</v>
      </c>
      <c r="G132" s="54">
        <f t="shared" si="3"/>
        <v>-10</v>
      </c>
    </row>
    <row r="133">
      <c r="B133" s="140">
        <v>45877.0</v>
      </c>
      <c r="C133" s="141" t="str">
        <f t="shared" si="1"/>
        <v>8-2025</v>
      </c>
      <c r="D133" s="28">
        <v>6602.3</v>
      </c>
      <c r="E133" s="28">
        <v>6612.4</v>
      </c>
      <c r="F133" s="54">
        <f t="shared" si="13"/>
        <v>10.1</v>
      </c>
      <c r="G133" s="54">
        <f t="shared" si="3"/>
        <v>0.1</v>
      </c>
    </row>
    <row r="134">
      <c r="B134" s="140">
        <v>45878.0</v>
      </c>
      <c r="C134" s="141" t="str">
        <f t="shared" si="1"/>
        <v>8-2025</v>
      </c>
      <c r="F134" s="54">
        <f t="shared" si="13"/>
        <v>0</v>
      </c>
      <c r="G134" s="54">
        <f t="shared" si="3"/>
        <v>-10</v>
      </c>
    </row>
    <row r="135">
      <c r="B135" s="140">
        <v>45879.0</v>
      </c>
      <c r="C135" s="141" t="str">
        <f t="shared" si="1"/>
        <v>8-2025</v>
      </c>
      <c r="D135" s="165" t="str">
        <f>E134</f>
        <v/>
      </c>
      <c r="F135" s="54">
        <f t="shared" si="13"/>
        <v>0</v>
      </c>
      <c r="G135" s="54">
        <f t="shared" si="3"/>
        <v>-10</v>
      </c>
    </row>
    <row r="136">
      <c r="B136" s="140">
        <v>45880.0</v>
      </c>
      <c r="C136" s="141" t="str">
        <f t="shared" si="1"/>
        <v>8-2025</v>
      </c>
      <c r="D136" s="28">
        <v>6612.4</v>
      </c>
      <c r="E136" s="28">
        <v>6623.2</v>
      </c>
      <c r="F136" s="54">
        <f t="shared" si="13"/>
        <v>10.8</v>
      </c>
      <c r="G136" s="54">
        <f t="shared" si="3"/>
        <v>0.8</v>
      </c>
    </row>
    <row r="137">
      <c r="B137" s="140">
        <v>45881.0</v>
      </c>
      <c r="C137" s="141" t="str">
        <f t="shared" si="1"/>
        <v>8-2025</v>
      </c>
      <c r="D137" s="165">
        <f t="shared" ref="D137:D141" si="27">E136</f>
        <v>6623.2</v>
      </c>
      <c r="E137" s="28">
        <v>6635.0</v>
      </c>
      <c r="F137" s="54">
        <f t="shared" si="13"/>
        <v>11.8</v>
      </c>
      <c r="G137" s="54">
        <f t="shared" si="3"/>
        <v>1.8</v>
      </c>
    </row>
    <row r="138">
      <c r="B138" s="140">
        <v>45882.0</v>
      </c>
      <c r="C138" s="141" t="str">
        <f t="shared" si="1"/>
        <v>8-2025</v>
      </c>
      <c r="D138" s="165">
        <f t="shared" si="27"/>
        <v>6635</v>
      </c>
      <c r="E138" s="28">
        <v>6644.3</v>
      </c>
      <c r="F138" s="54">
        <f t="shared" si="13"/>
        <v>9.3</v>
      </c>
      <c r="G138" s="54">
        <f t="shared" si="3"/>
        <v>-0.7</v>
      </c>
    </row>
    <row r="139">
      <c r="B139" s="140">
        <v>45883.0</v>
      </c>
      <c r="C139" s="141" t="str">
        <f t="shared" si="1"/>
        <v>8-2025</v>
      </c>
      <c r="D139" s="165">
        <f t="shared" si="27"/>
        <v>6644.3</v>
      </c>
      <c r="E139" s="28">
        <v>6655.5</v>
      </c>
      <c r="F139" s="54">
        <f t="shared" si="13"/>
        <v>11.2</v>
      </c>
      <c r="G139" s="54">
        <f t="shared" si="3"/>
        <v>1.2</v>
      </c>
    </row>
    <row r="140">
      <c r="B140" s="140">
        <v>45884.0</v>
      </c>
      <c r="C140" s="141" t="str">
        <f t="shared" si="1"/>
        <v>8-2025</v>
      </c>
      <c r="D140" s="165">
        <f t="shared" si="27"/>
        <v>6655.5</v>
      </c>
      <c r="E140" s="28">
        <v>6667.0</v>
      </c>
      <c r="F140" s="54">
        <f t="shared" si="13"/>
        <v>11.5</v>
      </c>
      <c r="G140" s="54">
        <f t="shared" si="3"/>
        <v>1.5</v>
      </c>
    </row>
    <row r="141">
      <c r="B141" s="140">
        <v>45885.0</v>
      </c>
      <c r="C141" s="141" t="str">
        <f t="shared" si="1"/>
        <v>8-2025</v>
      </c>
      <c r="D141" s="165">
        <f t="shared" si="27"/>
        <v>6667</v>
      </c>
      <c r="E141" s="28">
        <v>6673.7</v>
      </c>
      <c r="F141" s="54">
        <f t="shared" si="13"/>
        <v>6.7</v>
      </c>
      <c r="G141" s="54">
        <f t="shared" si="3"/>
        <v>-3.3</v>
      </c>
    </row>
    <row r="142">
      <c r="B142" s="140">
        <v>45886.0</v>
      </c>
      <c r="C142" s="141" t="str">
        <f t="shared" si="1"/>
        <v>8-2025</v>
      </c>
      <c r="F142" s="54">
        <f t="shared" si="13"/>
        <v>0</v>
      </c>
      <c r="G142" s="54">
        <f t="shared" si="3"/>
        <v>-10</v>
      </c>
    </row>
    <row r="143">
      <c r="B143" s="140">
        <v>45887.0</v>
      </c>
      <c r="C143" s="141" t="str">
        <f t="shared" si="1"/>
        <v>8-2025</v>
      </c>
      <c r="D143" s="28">
        <v>6673.7</v>
      </c>
      <c r="E143" s="28">
        <v>6681.4</v>
      </c>
      <c r="F143" s="54">
        <f t="shared" si="13"/>
        <v>7.7</v>
      </c>
      <c r="G143" s="54">
        <f t="shared" si="3"/>
        <v>-2.3</v>
      </c>
    </row>
    <row r="144">
      <c r="B144" s="140">
        <v>45888.0</v>
      </c>
      <c r="C144" s="141" t="str">
        <f t="shared" si="1"/>
        <v>8-2025</v>
      </c>
      <c r="D144" s="28">
        <v>6681.4</v>
      </c>
      <c r="E144" s="28">
        <v>6693.2</v>
      </c>
      <c r="F144" s="54">
        <f t="shared" si="13"/>
        <v>11.8</v>
      </c>
      <c r="G144" s="54">
        <f t="shared" si="3"/>
        <v>1.8</v>
      </c>
    </row>
    <row r="145">
      <c r="B145" s="140">
        <v>45889.0</v>
      </c>
      <c r="C145" s="141" t="str">
        <f t="shared" si="1"/>
        <v>8-2025</v>
      </c>
      <c r="D145" s="28">
        <v>6693.2</v>
      </c>
      <c r="E145" s="28">
        <v>6703.0</v>
      </c>
      <c r="F145" s="54">
        <f t="shared" si="13"/>
        <v>9.8</v>
      </c>
      <c r="G145" s="54">
        <f t="shared" si="3"/>
        <v>-0.2</v>
      </c>
    </row>
    <row r="146">
      <c r="B146" s="140">
        <v>45890.0</v>
      </c>
      <c r="C146" s="141" t="str">
        <f t="shared" si="1"/>
        <v>8-2025</v>
      </c>
      <c r="D146" s="165">
        <f t="shared" ref="D146:D147" si="28">E145</f>
        <v>6703</v>
      </c>
      <c r="E146" s="28">
        <v>6714.4</v>
      </c>
      <c r="F146" s="54">
        <f t="shared" si="13"/>
        <v>11.4</v>
      </c>
      <c r="G146" s="54">
        <f t="shared" si="3"/>
        <v>1.4</v>
      </c>
    </row>
    <row r="147">
      <c r="B147" s="140">
        <v>45891.0</v>
      </c>
      <c r="C147" s="141" t="str">
        <f t="shared" si="1"/>
        <v>8-2025</v>
      </c>
      <c r="D147" s="165">
        <f t="shared" si="28"/>
        <v>6714.4</v>
      </c>
      <c r="E147" s="28">
        <v>6725.0</v>
      </c>
      <c r="F147" s="54">
        <f t="shared" si="13"/>
        <v>10.6</v>
      </c>
      <c r="G147" s="54">
        <f t="shared" si="3"/>
        <v>0.6</v>
      </c>
    </row>
    <row r="148">
      <c r="B148" s="140">
        <v>45892.0</v>
      </c>
      <c r="C148" s="141" t="str">
        <f t="shared" si="1"/>
        <v>8-2025</v>
      </c>
      <c r="F148" s="54">
        <f t="shared" si="13"/>
        <v>0</v>
      </c>
      <c r="G148" s="54">
        <f t="shared" si="3"/>
        <v>-10</v>
      </c>
    </row>
    <row r="149">
      <c r="B149" s="140">
        <v>45893.0</v>
      </c>
      <c r="C149" s="141" t="str">
        <f t="shared" si="1"/>
        <v>8-2025</v>
      </c>
      <c r="D149" s="165" t="str">
        <f>E148</f>
        <v/>
      </c>
      <c r="F149" s="54">
        <f t="shared" si="13"/>
        <v>0</v>
      </c>
      <c r="G149" s="54">
        <f t="shared" si="3"/>
        <v>-10</v>
      </c>
    </row>
    <row r="150">
      <c r="B150" s="140">
        <v>45894.0</v>
      </c>
      <c r="C150" s="141" t="str">
        <f t="shared" si="1"/>
        <v>8-2025</v>
      </c>
      <c r="D150" s="28">
        <v>6725.0</v>
      </c>
      <c r="E150" s="28">
        <v>6735.4</v>
      </c>
      <c r="F150" s="54">
        <f t="shared" si="13"/>
        <v>10.4</v>
      </c>
      <c r="G150" s="54">
        <f t="shared" si="3"/>
        <v>0.4</v>
      </c>
    </row>
    <row r="151">
      <c r="B151" s="140">
        <v>45895.0</v>
      </c>
      <c r="C151" s="141" t="str">
        <f t="shared" si="1"/>
        <v>8-2025</v>
      </c>
      <c r="D151" s="165">
        <f t="shared" ref="D151:D153" si="29">E150</f>
        <v>6735.4</v>
      </c>
      <c r="E151" s="28">
        <v>6747.3</v>
      </c>
      <c r="F151" s="54">
        <f t="shared" si="13"/>
        <v>11.9</v>
      </c>
      <c r="G151" s="54">
        <f t="shared" si="3"/>
        <v>1.9</v>
      </c>
    </row>
    <row r="152">
      <c r="B152" s="140">
        <v>45896.0</v>
      </c>
      <c r="C152" s="141" t="str">
        <f t="shared" si="1"/>
        <v>8-2025</v>
      </c>
      <c r="D152" s="165">
        <f t="shared" si="29"/>
        <v>6747.3</v>
      </c>
      <c r="E152" s="28">
        <v>6758.4</v>
      </c>
      <c r="F152" s="54">
        <f t="shared" si="13"/>
        <v>11.1</v>
      </c>
      <c r="G152" s="54">
        <f t="shared" si="3"/>
        <v>1.1</v>
      </c>
    </row>
    <row r="153">
      <c r="B153" s="140">
        <v>45897.0</v>
      </c>
      <c r="C153" s="141" t="str">
        <f t="shared" si="1"/>
        <v>8-2025</v>
      </c>
      <c r="D153" s="165">
        <f t="shared" si="29"/>
        <v>6758.4</v>
      </c>
      <c r="E153" s="28">
        <v>6766.6</v>
      </c>
      <c r="F153" s="54">
        <f t="shared" si="13"/>
        <v>8.2</v>
      </c>
      <c r="G153" s="54">
        <f t="shared" si="3"/>
        <v>-1.8</v>
      </c>
    </row>
    <row r="154">
      <c r="B154" s="140">
        <v>45898.0</v>
      </c>
      <c r="C154" s="141" t="str">
        <f t="shared" si="1"/>
        <v>8-2025</v>
      </c>
      <c r="D154" s="28">
        <v>6767.2</v>
      </c>
      <c r="E154" s="28">
        <v>6780.9</v>
      </c>
      <c r="F154" s="54">
        <f t="shared" si="13"/>
        <v>13.7</v>
      </c>
      <c r="G154" s="54">
        <f t="shared" si="3"/>
        <v>3.7</v>
      </c>
    </row>
    <row r="155">
      <c r="B155" s="140">
        <v>45899.0</v>
      </c>
      <c r="C155" s="141" t="str">
        <f t="shared" si="1"/>
        <v>8-2025</v>
      </c>
      <c r="F155" s="54">
        <f t="shared" si="13"/>
        <v>0</v>
      </c>
      <c r="G155" s="54">
        <f t="shared" si="3"/>
        <v>-10</v>
      </c>
    </row>
    <row r="156">
      <c r="B156" s="140">
        <v>45900.0</v>
      </c>
      <c r="C156" s="141" t="str">
        <f t="shared" si="1"/>
        <v>8-2025</v>
      </c>
      <c r="D156" s="165" t="str">
        <f>E156</f>
        <v/>
      </c>
      <c r="F156" s="54">
        <f t="shared" si="13"/>
        <v>0</v>
      </c>
      <c r="G156" s="54">
        <f t="shared" si="3"/>
        <v>-10</v>
      </c>
    </row>
    <row r="157">
      <c r="B157" s="140">
        <v>45901.0</v>
      </c>
      <c r="C157" s="141" t="str">
        <f t="shared" si="1"/>
        <v>9-2025</v>
      </c>
      <c r="D157" s="28">
        <v>3319.5</v>
      </c>
      <c r="E157" s="28">
        <v>3328.6</v>
      </c>
      <c r="F157" s="54">
        <f t="shared" si="13"/>
        <v>9.1</v>
      </c>
      <c r="G157" s="54">
        <f t="shared" si="3"/>
        <v>-0.9</v>
      </c>
      <c r="H157" s="28" t="s">
        <v>184</v>
      </c>
    </row>
    <row r="158">
      <c r="B158" s="140">
        <v>45902.0</v>
      </c>
      <c r="C158" s="141" t="str">
        <f t="shared" si="1"/>
        <v>9-2025</v>
      </c>
      <c r="D158" s="165">
        <f t="shared" ref="D158:D162" si="30">E157</f>
        <v>3328.6</v>
      </c>
      <c r="E158" s="28">
        <v>3339.1</v>
      </c>
      <c r="F158" s="54">
        <f t="shared" si="13"/>
        <v>10.5</v>
      </c>
      <c r="G158" s="54">
        <f t="shared" si="3"/>
        <v>0.5</v>
      </c>
      <c r="H158" s="28" t="s">
        <v>184</v>
      </c>
    </row>
    <row r="159">
      <c r="B159" s="140">
        <v>45903.0</v>
      </c>
      <c r="C159" s="141" t="str">
        <f t="shared" si="1"/>
        <v>9-2025</v>
      </c>
      <c r="D159" s="165">
        <f t="shared" si="30"/>
        <v>3339.1</v>
      </c>
      <c r="E159" s="28">
        <v>3349.4</v>
      </c>
      <c r="F159" s="54">
        <f t="shared" si="13"/>
        <v>10.3</v>
      </c>
      <c r="G159" s="54">
        <f t="shared" si="3"/>
        <v>0.3</v>
      </c>
      <c r="H159" s="28" t="s">
        <v>184</v>
      </c>
    </row>
    <row r="160">
      <c r="B160" s="140">
        <v>45904.0</v>
      </c>
      <c r="C160" s="141" t="str">
        <f t="shared" si="1"/>
        <v>9-2025</v>
      </c>
      <c r="D160" s="165">
        <f t="shared" si="30"/>
        <v>3349.4</v>
      </c>
      <c r="E160" s="28">
        <v>3359.7</v>
      </c>
      <c r="F160" s="54">
        <f t="shared" si="13"/>
        <v>10.3</v>
      </c>
      <c r="G160" s="54">
        <f t="shared" si="3"/>
        <v>0.3</v>
      </c>
      <c r="H160" s="28" t="s">
        <v>184</v>
      </c>
    </row>
    <row r="161">
      <c r="B161" s="140">
        <v>45905.0</v>
      </c>
      <c r="C161" s="141" t="str">
        <f t="shared" si="1"/>
        <v>9-2025</v>
      </c>
      <c r="D161" s="165">
        <f t="shared" si="30"/>
        <v>3359.7</v>
      </c>
      <c r="E161" s="28">
        <v>3368.5</v>
      </c>
      <c r="F161" s="54">
        <f t="shared" si="13"/>
        <v>8.8</v>
      </c>
      <c r="G161" s="54">
        <f t="shared" si="3"/>
        <v>-1.2</v>
      </c>
      <c r="H161" s="28" t="s">
        <v>184</v>
      </c>
    </row>
    <row r="162">
      <c r="B162" s="145">
        <v>45906.0</v>
      </c>
      <c r="C162" s="141" t="str">
        <f t="shared" si="1"/>
        <v>9-2025</v>
      </c>
      <c r="D162" s="165">
        <f t="shared" si="30"/>
        <v>3368.5</v>
      </c>
      <c r="E162" s="28">
        <v>3371.0</v>
      </c>
      <c r="F162" s="54">
        <f t="shared" si="13"/>
        <v>2.5</v>
      </c>
      <c r="G162" s="54">
        <f t="shared" si="3"/>
        <v>-7.5</v>
      </c>
      <c r="H162" s="28" t="s">
        <v>184</v>
      </c>
    </row>
    <row r="163">
      <c r="B163" s="145">
        <v>45907.0</v>
      </c>
      <c r="C163" s="141" t="str">
        <f t="shared" si="1"/>
        <v>9-2025</v>
      </c>
      <c r="F163" s="54">
        <f t="shared" si="13"/>
        <v>0</v>
      </c>
      <c r="G163" s="54">
        <f t="shared" si="3"/>
        <v>-10</v>
      </c>
    </row>
    <row r="164">
      <c r="B164" s="140">
        <v>45908.0</v>
      </c>
      <c r="C164" s="141" t="str">
        <f t="shared" si="1"/>
        <v>9-2025</v>
      </c>
      <c r="D164" s="28">
        <v>6832.5</v>
      </c>
      <c r="E164" s="28">
        <v>6841.0</v>
      </c>
      <c r="F164" s="54">
        <f t="shared" si="13"/>
        <v>8.5</v>
      </c>
      <c r="G164" s="54">
        <f t="shared" si="3"/>
        <v>-1.5</v>
      </c>
    </row>
    <row r="165">
      <c r="B165" s="140">
        <v>45909.0</v>
      </c>
      <c r="C165" s="141" t="str">
        <f t="shared" si="1"/>
        <v>9-2025</v>
      </c>
      <c r="D165" s="165">
        <f t="shared" ref="D165:D169" si="31">E164</f>
        <v>6841</v>
      </c>
      <c r="E165" s="28">
        <v>6852.0</v>
      </c>
      <c r="F165" s="54">
        <f t="shared" si="13"/>
        <v>11</v>
      </c>
      <c r="G165" s="54">
        <f t="shared" si="3"/>
        <v>1</v>
      </c>
    </row>
    <row r="166">
      <c r="B166" s="140">
        <v>45910.0</v>
      </c>
      <c r="C166" s="141" t="str">
        <f t="shared" si="1"/>
        <v>9-2025</v>
      </c>
      <c r="D166" s="165">
        <f t="shared" si="31"/>
        <v>6852</v>
      </c>
      <c r="E166" s="28">
        <v>6863.0</v>
      </c>
      <c r="F166" s="54">
        <f t="shared" si="13"/>
        <v>11</v>
      </c>
      <c r="G166" s="54">
        <f t="shared" si="3"/>
        <v>1</v>
      </c>
    </row>
    <row r="167">
      <c r="B167" s="140">
        <v>45911.0</v>
      </c>
      <c r="C167" s="141" t="str">
        <f t="shared" si="1"/>
        <v>9-2025</v>
      </c>
      <c r="D167" s="165">
        <f t="shared" si="31"/>
        <v>6863</v>
      </c>
      <c r="E167" s="28">
        <v>6874.0</v>
      </c>
      <c r="F167" s="54">
        <f t="shared" si="13"/>
        <v>11</v>
      </c>
      <c r="G167" s="54">
        <f t="shared" si="3"/>
        <v>1</v>
      </c>
    </row>
    <row r="168">
      <c r="B168" s="140">
        <v>45912.0</v>
      </c>
      <c r="C168" s="141" t="str">
        <f t="shared" si="1"/>
        <v>9-2025</v>
      </c>
      <c r="D168" s="165">
        <f t="shared" si="31"/>
        <v>6874</v>
      </c>
      <c r="E168" s="28">
        <v>6884.5</v>
      </c>
      <c r="F168" s="54">
        <f t="shared" si="13"/>
        <v>10.5</v>
      </c>
      <c r="G168" s="54">
        <f t="shared" si="3"/>
        <v>0.5</v>
      </c>
    </row>
    <row r="169">
      <c r="B169" s="145">
        <v>45913.0</v>
      </c>
      <c r="C169" s="141" t="str">
        <f t="shared" si="1"/>
        <v>9-2025</v>
      </c>
      <c r="D169" s="165">
        <f t="shared" si="31"/>
        <v>6884.5</v>
      </c>
      <c r="E169" s="28">
        <v>6888.5</v>
      </c>
      <c r="F169" s="54">
        <f t="shared" si="13"/>
        <v>4</v>
      </c>
      <c r="G169" s="54">
        <f t="shared" si="3"/>
        <v>-6</v>
      </c>
    </row>
    <row r="170">
      <c r="B170" s="145">
        <v>45914.0</v>
      </c>
      <c r="C170" s="141" t="str">
        <f t="shared" si="1"/>
        <v>9-2025</v>
      </c>
      <c r="F170" s="54">
        <f t="shared" si="13"/>
        <v>0</v>
      </c>
      <c r="G170" s="54">
        <f t="shared" si="3"/>
        <v>-10</v>
      </c>
    </row>
    <row r="171">
      <c r="B171" s="140">
        <v>45915.0</v>
      </c>
      <c r="C171" s="141" t="str">
        <f t="shared" si="1"/>
        <v>9-2025</v>
      </c>
      <c r="D171" s="28">
        <v>6888.5</v>
      </c>
      <c r="E171" s="28">
        <v>6899.5</v>
      </c>
      <c r="F171" s="54">
        <f t="shared" si="13"/>
        <v>11</v>
      </c>
      <c r="G171" s="54">
        <f t="shared" si="3"/>
        <v>1</v>
      </c>
    </row>
    <row r="172">
      <c r="B172" s="140">
        <v>45916.0</v>
      </c>
      <c r="C172" s="141" t="str">
        <f t="shared" si="1"/>
        <v>9-2025</v>
      </c>
      <c r="D172" s="165">
        <f t="shared" ref="D172:D174" si="32">E171</f>
        <v>6899.5</v>
      </c>
      <c r="E172" s="28">
        <v>6909.5</v>
      </c>
      <c r="F172" s="54">
        <f t="shared" si="13"/>
        <v>10</v>
      </c>
      <c r="G172" s="54">
        <f t="shared" si="3"/>
        <v>0</v>
      </c>
    </row>
    <row r="173">
      <c r="B173" s="140">
        <v>45917.0</v>
      </c>
      <c r="C173" s="141" t="str">
        <f t="shared" si="1"/>
        <v>9-2025</v>
      </c>
      <c r="D173" s="165">
        <f t="shared" si="32"/>
        <v>6909.5</v>
      </c>
      <c r="E173" s="28">
        <v>6920.5</v>
      </c>
      <c r="F173" s="54">
        <f t="shared" si="13"/>
        <v>11</v>
      </c>
      <c r="G173" s="54">
        <f t="shared" si="3"/>
        <v>1</v>
      </c>
    </row>
    <row r="174">
      <c r="B174" s="140">
        <v>45918.0</v>
      </c>
      <c r="C174" s="141" t="str">
        <f t="shared" si="1"/>
        <v>9-2025</v>
      </c>
      <c r="D174" s="165">
        <f t="shared" si="32"/>
        <v>6920.5</v>
      </c>
      <c r="E174" s="28">
        <v>6931.5</v>
      </c>
      <c r="F174" s="54">
        <f t="shared" si="13"/>
        <v>11</v>
      </c>
      <c r="G174" s="54">
        <f t="shared" si="3"/>
        <v>1</v>
      </c>
    </row>
    <row r="175">
      <c r="B175" s="140">
        <v>45919.0</v>
      </c>
      <c r="C175" s="141" t="str">
        <f t="shared" si="1"/>
        <v>9-2025</v>
      </c>
      <c r="F175" s="54">
        <f t="shared" si="13"/>
        <v>0</v>
      </c>
      <c r="G175" s="54">
        <f t="shared" si="3"/>
        <v>-10</v>
      </c>
    </row>
    <row r="176">
      <c r="B176" s="145">
        <v>45920.0</v>
      </c>
      <c r="C176" s="141" t="str">
        <f t="shared" si="1"/>
        <v>9-2025</v>
      </c>
      <c r="D176" s="165" t="str">
        <f t="shared" ref="D176:D177" si="33">E175</f>
        <v/>
      </c>
      <c r="F176" s="54">
        <f t="shared" si="13"/>
        <v>0</v>
      </c>
      <c r="G176" s="54">
        <f t="shared" si="3"/>
        <v>-10</v>
      </c>
    </row>
    <row r="177">
      <c r="B177" s="145">
        <v>45921.0</v>
      </c>
      <c r="C177" s="141" t="str">
        <f t="shared" si="1"/>
        <v>9-2025</v>
      </c>
      <c r="D177" s="165" t="str">
        <f t="shared" si="33"/>
        <v/>
      </c>
      <c r="F177" s="54">
        <f t="shared" si="13"/>
        <v>0</v>
      </c>
      <c r="G177" s="54">
        <f t="shared" si="3"/>
        <v>-10</v>
      </c>
    </row>
    <row r="178">
      <c r="B178" s="140">
        <v>45922.0</v>
      </c>
      <c r="C178" s="141" t="str">
        <f t="shared" si="1"/>
        <v>9-2025</v>
      </c>
      <c r="D178" s="28">
        <v>6931.5</v>
      </c>
      <c r="E178" s="28">
        <v>6941.5</v>
      </c>
      <c r="F178" s="54">
        <f t="shared" si="13"/>
        <v>10</v>
      </c>
      <c r="G178" s="54">
        <f t="shared" si="3"/>
        <v>0</v>
      </c>
    </row>
    <row r="179">
      <c r="B179" s="140">
        <v>45923.0</v>
      </c>
      <c r="C179" s="141" t="str">
        <f t="shared" si="1"/>
        <v>9-2025</v>
      </c>
      <c r="D179" s="165">
        <f t="shared" ref="D179:D182" si="34">E178</f>
        <v>6941.5</v>
      </c>
      <c r="E179" s="28">
        <v>6952.5</v>
      </c>
      <c r="F179" s="54">
        <f t="shared" si="13"/>
        <v>11</v>
      </c>
      <c r="G179" s="54">
        <f t="shared" si="3"/>
        <v>1</v>
      </c>
    </row>
    <row r="180">
      <c r="B180" s="140">
        <v>45924.0</v>
      </c>
      <c r="C180" s="141" t="str">
        <f t="shared" si="1"/>
        <v>9-2025</v>
      </c>
      <c r="D180" s="165">
        <f t="shared" si="34"/>
        <v>6952.5</v>
      </c>
      <c r="E180" s="28">
        <v>6963.5</v>
      </c>
      <c r="F180" s="54">
        <f t="shared" si="13"/>
        <v>11</v>
      </c>
      <c r="G180" s="54">
        <f t="shared" si="3"/>
        <v>1</v>
      </c>
    </row>
    <row r="181">
      <c r="B181" s="140">
        <v>45925.0</v>
      </c>
      <c r="C181" s="141" t="str">
        <f t="shared" si="1"/>
        <v>9-2025</v>
      </c>
      <c r="D181" s="165">
        <f t="shared" si="34"/>
        <v>6963.5</v>
      </c>
      <c r="E181" s="28">
        <v>6974.5</v>
      </c>
      <c r="F181" s="54">
        <f t="shared" si="13"/>
        <v>11</v>
      </c>
      <c r="G181" s="54">
        <f t="shared" si="3"/>
        <v>1</v>
      </c>
    </row>
    <row r="182">
      <c r="B182" s="140">
        <v>45926.0</v>
      </c>
      <c r="C182" s="141" t="str">
        <f t="shared" si="1"/>
        <v>9-2025</v>
      </c>
      <c r="D182" s="165">
        <f t="shared" si="34"/>
        <v>6974.5</v>
      </c>
      <c r="E182" s="28">
        <v>6984.0</v>
      </c>
      <c r="F182" s="54">
        <f t="shared" si="13"/>
        <v>9.5</v>
      </c>
      <c r="G182" s="54">
        <f t="shared" si="3"/>
        <v>-0.5</v>
      </c>
    </row>
    <row r="183">
      <c r="B183" s="145">
        <v>45927.0</v>
      </c>
      <c r="C183" s="141" t="str">
        <f t="shared" si="1"/>
        <v>9-2025</v>
      </c>
      <c r="F183" s="54">
        <f t="shared" si="13"/>
        <v>0</v>
      </c>
      <c r="G183" s="54">
        <f t="shared" si="3"/>
        <v>-10</v>
      </c>
    </row>
    <row r="184">
      <c r="B184" s="145">
        <v>45928.0</v>
      </c>
      <c r="C184" s="141" t="str">
        <f t="shared" si="1"/>
        <v>9-2025</v>
      </c>
      <c r="D184" s="165" t="str">
        <f>E183</f>
        <v/>
      </c>
      <c r="F184" s="54">
        <f t="shared" si="13"/>
        <v>0</v>
      </c>
      <c r="G184" s="54">
        <f t="shared" si="3"/>
        <v>-10</v>
      </c>
    </row>
    <row r="185">
      <c r="B185" s="140">
        <v>45929.0</v>
      </c>
      <c r="C185" s="141" t="str">
        <f t="shared" si="1"/>
        <v>9-2025</v>
      </c>
      <c r="D185" s="28">
        <v>6984.0</v>
      </c>
      <c r="E185" s="28">
        <v>6994.5</v>
      </c>
      <c r="F185" s="54">
        <f t="shared" si="13"/>
        <v>10.5</v>
      </c>
      <c r="G185" s="54">
        <f t="shared" si="3"/>
        <v>0.5</v>
      </c>
    </row>
    <row r="186">
      <c r="B186" s="140">
        <v>45930.0</v>
      </c>
      <c r="C186" s="141" t="str">
        <f t="shared" si="1"/>
        <v>9-2025</v>
      </c>
      <c r="D186" s="165">
        <f>E185</f>
        <v>6994.5</v>
      </c>
      <c r="E186" s="28">
        <v>7006.0</v>
      </c>
      <c r="F186" s="54">
        <f t="shared" si="13"/>
        <v>11.5</v>
      </c>
      <c r="G186" s="54">
        <f t="shared" si="3"/>
        <v>1.5</v>
      </c>
    </row>
    <row r="187">
      <c r="B187" s="140">
        <v>45931.0</v>
      </c>
      <c r="C187" s="141" t="str">
        <f t="shared" si="1"/>
        <v>10-2025</v>
      </c>
      <c r="D187" s="28">
        <v>7006.0</v>
      </c>
      <c r="E187" s="28">
        <v>7014.0</v>
      </c>
      <c r="F187" s="54">
        <f t="shared" si="13"/>
        <v>8</v>
      </c>
      <c r="G187" s="54">
        <f t="shared" si="3"/>
        <v>-2</v>
      </c>
    </row>
    <row r="188">
      <c r="B188" s="140">
        <v>45932.0</v>
      </c>
      <c r="C188" s="141" t="str">
        <f t="shared" si="1"/>
        <v>10-2025</v>
      </c>
      <c r="D188" s="165">
        <f t="shared" ref="D188:D189" si="35">E187</f>
        <v>7014</v>
      </c>
      <c r="E188" s="28">
        <v>7025.0</v>
      </c>
      <c r="F188" s="54">
        <f t="shared" si="13"/>
        <v>11</v>
      </c>
      <c r="G188" s="54">
        <f t="shared" si="3"/>
        <v>1</v>
      </c>
    </row>
    <row r="189">
      <c r="B189" s="140">
        <v>45933.0</v>
      </c>
      <c r="C189" s="141" t="str">
        <f t="shared" si="1"/>
        <v>10-2025</v>
      </c>
      <c r="D189" s="165">
        <f t="shared" si="35"/>
        <v>7025</v>
      </c>
      <c r="E189" s="28">
        <v>7036.0</v>
      </c>
      <c r="F189" s="54">
        <f t="shared" si="13"/>
        <v>11</v>
      </c>
      <c r="G189" s="54">
        <f t="shared" si="3"/>
        <v>1</v>
      </c>
    </row>
    <row r="190">
      <c r="A190" s="155" t="s">
        <v>121</v>
      </c>
      <c r="B190" s="151">
        <v>45934.0</v>
      </c>
      <c r="C190" s="156" t="str">
        <f t="shared" si="1"/>
        <v>10-2025</v>
      </c>
      <c r="D190" s="155">
        <v>7036.0</v>
      </c>
      <c r="E190" s="155">
        <v>7041.0</v>
      </c>
      <c r="F190" s="150">
        <f t="shared" si="13"/>
        <v>5</v>
      </c>
      <c r="G190" s="150">
        <f t="shared" si="3"/>
        <v>-5</v>
      </c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B191" s="140">
        <v>45935.0</v>
      </c>
      <c r="C191" s="141" t="str">
        <f t="shared" si="1"/>
        <v>10-2025</v>
      </c>
      <c r="F191" s="54">
        <f t="shared" si="13"/>
        <v>0</v>
      </c>
      <c r="G191" s="54">
        <f t="shared" si="3"/>
        <v>-10</v>
      </c>
    </row>
    <row r="192">
      <c r="B192" s="140">
        <v>45936.0</v>
      </c>
      <c r="C192" s="141" t="str">
        <f t="shared" si="1"/>
        <v>10-2025</v>
      </c>
      <c r="D192" s="28">
        <v>7041.0</v>
      </c>
      <c r="E192" s="28">
        <v>7051.0</v>
      </c>
      <c r="F192" s="54">
        <f t="shared" si="13"/>
        <v>10</v>
      </c>
      <c r="G192" s="54">
        <f t="shared" si="3"/>
        <v>0</v>
      </c>
    </row>
    <row r="193">
      <c r="B193" s="140">
        <v>45937.0</v>
      </c>
      <c r="C193" s="141" t="str">
        <f t="shared" si="1"/>
        <v>10-2025</v>
      </c>
      <c r="D193" s="165">
        <f t="shared" ref="D193:D196" si="36">E192</f>
        <v>7051</v>
      </c>
      <c r="E193" s="28">
        <v>7063.0</v>
      </c>
      <c r="F193" s="54">
        <f t="shared" si="13"/>
        <v>12</v>
      </c>
      <c r="G193" s="54">
        <f t="shared" si="3"/>
        <v>2</v>
      </c>
    </row>
    <row r="194">
      <c r="B194" s="140">
        <v>45938.0</v>
      </c>
      <c r="C194" s="141" t="str">
        <f t="shared" si="1"/>
        <v>10-2025</v>
      </c>
      <c r="D194" s="165">
        <f t="shared" si="36"/>
        <v>7063</v>
      </c>
      <c r="E194" s="28">
        <v>7075.0</v>
      </c>
      <c r="F194" s="54">
        <f t="shared" si="13"/>
        <v>12</v>
      </c>
      <c r="G194" s="54">
        <f t="shared" si="3"/>
        <v>2</v>
      </c>
    </row>
    <row r="195">
      <c r="B195" s="140">
        <v>45939.0</v>
      </c>
      <c r="C195" s="141" t="str">
        <f t="shared" si="1"/>
        <v>10-2025</v>
      </c>
      <c r="D195" s="165">
        <f t="shared" si="36"/>
        <v>7075</v>
      </c>
      <c r="E195" s="28">
        <v>7083.0</v>
      </c>
      <c r="F195" s="54">
        <f t="shared" si="13"/>
        <v>8</v>
      </c>
      <c r="G195" s="54">
        <f t="shared" si="3"/>
        <v>-2</v>
      </c>
    </row>
    <row r="196">
      <c r="B196" s="140">
        <v>45940.0</v>
      </c>
      <c r="C196" s="141" t="str">
        <f t="shared" si="1"/>
        <v>10-2025</v>
      </c>
      <c r="D196" s="165">
        <f t="shared" si="36"/>
        <v>7083</v>
      </c>
      <c r="E196" s="28">
        <v>7091.0</v>
      </c>
      <c r="F196" s="54">
        <f t="shared" si="13"/>
        <v>8</v>
      </c>
      <c r="G196" s="54">
        <f t="shared" si="3"/>
        <v>-2</v>
      </c>
    </row>
    <row r="197">
      <c r="B197" s="140">
        <v>45941.0</v>
      </c>
      <c r="C197" s="141" t="str">
        <f t="shared" si="1"/>
        <v>10-2025</v>
      </c>
      <c r="F197" s="54">
        <f t="shared" si="13"/>
        <v>0</v>
      </c>
      <c r="G197" s="54">
        <f t="shared" si="3"/>
        <v>-10</v>
      </c>
    </row>
    <row r="198">
      <c r="B198" s="140">
        <v>45942.0</v>
      </c>
      <c r="C198" s="141" t="str">
        <f t="shared" si="1"/>
        <v>10-2025</v>
      </c>
      <c r="D198" s="165" t="str">
        <f>E197</f>
        <v/>
      </c>
      <c r="F198" s="54">
        <f t="shared" si="13"/>
        <v>0</v>
      </c>
      <c r="G198" s="54">
        <f t="shared" si="3"/>
        <v>-10</v>
      </c>
    </row>
    <row r="199">
      <c r="B199" s="140">
        <v>45943.0</v>
      </c>
      <c r="C199" s="141" t="str">
        <f t="shared" si="1"/>
        <v>10-2025</v>
      </c>
      <c r="D199" s="28">
        <v>7091.0</v>
      </c>
      <c r="E199" s="28">
        <v>7100.0</v>
      </c>
      <c r="F199" s="54">
        <f t="shared" si="13"/>
        <v>9</v>
      </c>
      <c r="G199" s="54">
        <f t="shared" si="3"/>
        <v>-1</v>
      </c>
    </row>
    <row r="200">
      <c r="B200" s="140">
        <v>45944.0</v>
      </c>
      <c r="C200" s="141" t="str">
        <f t="shared" si="1"/>
        <v>10-2025</v>
      </c>
      <c r="D200" s="165">
        <f t="shared" ref="D200:D203" si="37">E199</f>
        <v>7100</v>
      </c>
      <c r="E200" s="28">
        <v>7111.0</v>
      </c>
      <c r="F200" s="54">
        <f t="shared" si="13"/>
        <v>11</v>
      </c>
      <c r="G200" s="54">
        <f t="shared" si="3"/>
        <v>1</v>
      </c>
    </row>
    <row r="201">
      <c r="B201" s="140">
        <v>45945.0</v>
      </c>
      <c r="C201" s="141" t="str">
        <f t="shared" si="1"/>
        <v>10-2025</v>
      </c>
      <c r="D201" s="165">
        <f t="shared" si="37"/>
        <v>7111</v>
      </c>
      <c r="E201" s="28">
        <v>7122.0</v>
      </c>
      <c r="F201" s="54">
        <f t="shared" si="13"/>
        <v>11</v>
      </c>
      <c r="G201" s="54">
        <f t="shared" si="3"/>
        <v>1</v>
      </c>
    </row>
    <row r="202">
      <c r="B202" s="140">
        <v>45946.0</v>
      </c>
      <c r="C202" s="141" t="str">
        <f t="shared" si="1"/>
        <v>10-2025</v>
      </c>
      <c r="D202" s="165">
        <f t="shared" si="37"/>
        <v>7122</v>
      </c>
      <c r="E202" s="28">
        <v>7133.0</v>
      </c>
      <c r="F202" s="54">
        <f t="shared" si="13"/>
        <v>11</v>
      </c>
      <c r="G202" s="54">
        <f t="shared" si="3"/>
        <v>1</v>
      </c>
    </row>
    <row r="203">
      <c r="B203" s="140">
        <v>45947.0</v>
      </c>
      <c r="C203" s="141" t="str">
        <f t="shared" si="1"/>
        <v>10-2025</v>
      </c>
      <c r="D203" s="165">
        <f t="shared" si="37"/>
        <v>7133</v>
      </c>
      <c r="E203" s="28">
        <v>7143.0</v>
      </c>
      <c r="F203" s="54">
        <f t="shared" si="13"/>
        <v>10</v>
      </c>
      <c r="G203" s="54">
        <f t="shared" si="3"/>
        <v>0</v>
      </c>
    </row>
    <row r="204">
      <c r="B204" s="140">
        <v>45948.0</v>
      </c>
      <c r="C204" s="141" t="str">
        <f t="shared" si="1"/>
        <v>10-2025</v>
      </c>
      <c r="F204" s="54">
        <f t="shared" si="13"/>
        <v>0</v>
      </c>
      <c r="G204" s="54">
        <f t="shared" si="3"/>
        <v>-10</v>
      </c>
    </row>
    <row r="205">
      <c r="B205" s="140">
        <v>45949.0</v>
      </c>
      <c r="C205" s="141" t="str">
        <f t="shared" si="1"/>
        <v>10-2025</v>
      </c>
      <c r="D205" s="165" t="str">
        <f>E204</f>
        <v/>
      </c>
      <c r="F205" s="54">
        <f t="shared" si="13"/>
        <v>0</v>
      </c>
      <c r="G205" s="54">
        <f t="shared" si="3"/>
        <v>-10</v>
      </c>
    </row>
    <row r="206">
      <c r="B206" s="140">
        <v>45950.0</v>
      </c>
      <c r="C206" s="141" t="str">
        <f t="shared" si="1"/>
        <v>10-2025</v>
      </c>
      <c r="D206" s="28">
        <v>7143.0</v>
      </c>
      <c r="E206" s="28">
        <v>7153.0</v>
      </c>
      <c r="F206" s="54">
        <f t="shared" si="13"/>
        <v>10</v>
      </c>
      <c r="G206" s="54">
        <f t="shared" si="3"/>
        <v>0</v>
      </c>
    </row>
    <row r="207">
      <c r="B207" s="140">
        <v>45951.0</v>
      </c>
      <c r="C207" s="141" t="str">
        <f t="shared" si="1"/>
        <v>10-2025</v>
      </c>
      <c r="D207" s="165">
        <f t="shared" ref="D207:D210" si="38">E206</f>
        <v>7153</v>
      </c>
      <c r="E207" s="28">
        <v>7164.0</v>
      </c>
      <c r="F207" s="54">
        <f t="shared" si="13"/>
        <v>11</v>
      </c>
      <c r="G207" s="54">
        <f t="shared" si="3"/>
        <v>1</v>
      </c>
    </row>
    <row r="208">
      <c r="B208" s="140">
        <v>45952.0</v>
      </c>
      <c r="C208" s="141" t="str">
        <f t="shared" si="1"/>
        <v>10-2025</v>
      </c>
      <c r="D208" s="165">
        <f t="shared" si="38"/>
        <v>7164</v>
      </c>
      <c r="E208" s="28">
        <v>7175.0</v>
      </c>
      <c r="F208" s="54">
        <f t="shared" si="13"/>
        <v>11</v>
      </c>
      <c r="G208" s="54">
        <f t="shared" si="3"/>
        <v>1</v>
      </c>
    </row>
    <row r="209">
      <c r="B209" s="140">
        <v>45953.0</v>
      </c>
      <c r="C209" s="141" t="str">
        <f t="shared" si="1"/>
        <v>10-2025</v>
      </c>
      <c r="D209" s="165">
        <f t="shared" si="38"/>
        <v>7175</v>
      </c>
      <c r="E209" s="28">
        <v>7185.0</v>
      </c>
      <c r="F209" s="54">
        <f t="shared" si="13"/>
        <v>10</v>
      </c>
      <c r="G209" s="54">
        <f t="shared" si="3"/>
        <v>0</v>
      </c>
    </row>
    <row r="210">
      <c r="B210" s="140">
        <v>45954.0</v>
      </c>
      <c r="C210" s="141" t="str">
        <f t="shared" si="1"/>
        <v>10-2025</v>
      </c>
      <c r="D210" s="165">
        <f t="shared" si="38"/>
        <v>7185</v>
      </c>
      <c r="E210" s="28">
        <v>7197.0</v>
      </c>
      <c r="F210" s="54">
        <f t="shared" si="13"/>
        <v>12</v>
      </c>
      <c r="G210" s="54">
        <f t="shared" si="3"/>
        <v>2</v>
      </c>
    </row>
    <row r="211">
      <c r="B211" s="140">
        <v>45955.0</v>
      </c>
      <c r="C211" s="141" t="str">
        <f t="shared" si="1"/>
        <v>10-2025</v>
      </c>
      <c r="F211" s="54">
        <f t="shared" si="13"/>
        <v>0</v>
      </c>
      <c r="G211" s="54">
        <f t="shared" si="3"/>
        <v>-10</v>
      </c>
    </row>
    <row r="212">
      <c r="B212" s="140">
        <v>45956.0</v>
      </c>
      <c r="C212" s="141" t="str">
        <f t="shared" si="1"/>
        <v>10-2025</v>
      </c>
      <c r="D212" s="165" t="str">
        <f>E211</f>
        <v/>
      </c>
      <c r="F212" s="54">
        <f t="shared" si="13"/>
        <v>0</v>
      </c>
      <c r="G212" s="54">
        <f t="shared" si="3"/>
        <v>-10</v>
      </c>
    </row>
    <row r="213">
      <c r="B213" s="140">
        <v>45957.0</v>
      </c>
      <c r="C213" s="141" t="str">
        <f t="shared" si="1"/>
        <v>10-2025</v>
      </c>
      <c r="D213" s="28">
        <v>7197.0</v>
      </c>
      <c r="E213" s="28">
        <v>7208.0</v>
      </c>
      <c r="F213" s="54">
        <f t="shared" si="13"/>
        <v>11</v>
      </c>
      <c r="G213" s="54">
        <f t="shared" si="3"/>
        <v>1</v>
      </c>
    </row>
    <row r="214">
      <c r="B214" s="140">
        <v>45958.0</v>
      </c>
      <c r="C214" s="141" t="str">
        <f t="shared" si="1"/>
        <v>10-2025</v>
      </c>
      <c r="D214" s="165">
        <f t="shared" ref="D214:D217" si="39">E213</f>
        <v>7208</v>
      </c>
      <c r="E214" s="28">
        <v>7219.0</v>
      </c>
      <c r="F214" s="54">
        <f t="shared" si="13"/>
        <v>11</v>
      </c>
      <c r="G214" s="54">
        <f t="shared" si="3"/>
        <v>1</v>
      </c>
    </row>
    <row r="215">
      <c r="B215" s="140">
        <v>45959.0</v>
      </c>
      <c r="C215" s="141" t="str">
        <f t="shared" si="1"/>
        <v>10-2025</v>
      </c>
      <c r="D215" s="165">
        <f t="shared" si="39"/>
        <v>7219</v>
      </c>
      <c r="E215" s="28">
        <v>7230.0</v>
      </c>
      <c r="F215" s="54">
        <f t="shared" si="13"/>
        <v>11</v>
      </c>
      <c r="G215" s="54">
        <f t="shared" si="3"/>
        <v>1</v>
      </c>
    </row>
    <row r="216">
      <c r="B216" s="140">
        <v>45960.0</v>
      </c>
      <c r="C216" s="141" t="str">
        <f t="shared" si="1"/>
        <v>10-2025</v>
      </c>
      <c r="D216" s="165">
        <f t="shared" si="39"/>
        <v>7230</v>
      </c>
      <c r="E216" s="28">
        <v>7241.0</v>
      </c>
      <c r="F216" s="54">
        <f t="shared" si="13"/>
        <v>11</v>
      </c>
      <c r="G216" s="54">
        <f t="shared" si="3"/>
        <v>1</v>
      </c>
    </row>
    <row r="217">
      <c r="B217" s="140">
        <v>45961.0</v>
      </c>
      <c r="C217" s="141" t="str">
        <f t="shared" si="1"/>
        <v>10-2025</v>
      </c>
      <c r="D217" s="165">
        <f t="shared" si="39"/>
        <v>7241</v>
      </c>
      <c r="E217" s="28">
        <v>7251.0</v>
      </c>
      <c r="F217" s="54">
        <f t="shared" si="13"/>
        <v>10</v>
      </c>
      <c r="G217" s="54">
        <f t="shared" si="3"/>
        <v>0</v>
      </c>
      <c r="H217" s="28" t="s">
        <v>185</v>
      </c>
    </row>
    <row r="218">
      <c r="A218" s="173" t="s">
        <v>186</v>
      </c>
      <c r="B218" s="171">
        <v>45962.0</v>
      </c>
      <c r="C218" s="172" t="str">
        <f t="shared" si="1"/>
        <v>11-2025</v>
      </c>
      <c r="D218" s="173">
        <v>7251.0</v>
      </c>
      <c r="E218" s="173">
        <v>7262.0</v>
      </c>
      <c r="F218" s="170">
        <f t="shared" si="13"/>
        <v>11</v>
      </c>
      <c r="G218" s="170">
        <f t="shared" si="3"/>
        <v>1</v>
      </c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>
      <c r="B219" s="140">
        <v>45963.0</v>
      </c>
      <c r="C219" s="141" t="str">
        <f t="shared" si="1"/>
        <v>11-2025</v>
      </c>
      <c r="F219" s="54">
        <f t="shared" si="13"/>
        <v>0</v>
      </c>
      <c r="G219" s="54">
        <f t="shared" si="3"/>
        <v>-10</v>
      </c>
    </row>
    <row r="220">
      <c r="B220" s="140">
        <v>45964.0</v>
      </c>
      <c r="C220" s="141" t="str">
        <f t="shared" si="1"/>
        <v>11-2025</v>
      </c>
      <c r="D220" s="28">
        <v>7251.0</v>
      </c>
      <c r="E220" s="28">
        <v>7262.0</v>
      </c>
      <c r="F220" s="54">
        <f t="shared" si="13"/>
        <v>11</v>
      </c>
      <c r="G220" s="54">
        <f t="shared" si="3"/>
        <v>1</v>
      </c>
    </row>
    <row r="221">
      <c r="B221" s="140">
        <v>45965.0</v>
      </c>
      <c r="C221" s="141" t="str">
        <f t="shared" si="1"/>
        <v>11-2025</v>
      </c>
      <c r="D221" s="165">
        <f>E220</f>
        <v>7262</v>
      </c>
      <c r="E221" s="28">
        <v>7272.0</v>
      </c>
      <c r="F221" s="54">
        <f t="shared" si="13"/>
        <v>10</v>
      </c>
      <c r="G221" s="54">
        <f t="shared" si="3"/>
        <v>0</v>
      </c>
    </row>
    <row r="222">
      <c r="B222" s="140">
        <v>45966.0</v>
      </c>
      <c r="C222" s="141" t="str">
        <f t="shared" si="1"/>
        <v>11-2025</v>
      </c>
      <c r="D222" s="28">
        <v>7272.0</v>
      </c>
      <c r="E222" s="28">
        <v>7278.0</v>
      </c>
      <c r="F222" s="54">
        <f t="shared" si="13"/>
        <v>6</v>
      </c>
      <c r="G222" s="54">
        <f t="shared" si="3"/>
        <v>-4</v>
      </c>
    </row>
    <row r="223">
      <c r="B223" s="140">
        <v>45967.0</v>
      </c>
      <c r="C223" s="141" t="str">
        <f t="shared" si="1"/>
        <v>11-2025</v>
      </c>
      <c r="D223" s="165">
        <f t="shared" ref="D223:D224" si="40">E222</f>
        <v>7278</v>
      </c>
      <c r="E223" s="28">
        <v>7287.0</v>
      </c>
      <c r="F223" s="54">
        <f t="shared" si="13"/>
        <v>9</v>
      </c>
      <c r="G223" s="54">
        <f t="shared" si="3"/>
        <v>-1</v>
      </c>
    </row>
    <row r="224">
      <c r="B224" s="140">
        <v>45968.0</v>
      </c>
      <c r="C224" s="141" t="str">
        <f t="shared" si="1"/>
        <v>11-2025</v>
      </c>
      <c r="D224" s="165">
        <f t="shared" si="40"/>
        <v>7287</v>
      </c>
      <c r="E224" s="28">
        <v>7296.0</v>
      </c>
      <c r="F224" s="54">
        <f t="shared" si="13"/>
        <v>9</v>
      </c>
      <c r="G224" s="54">
        <f t="shared" si="3"/>
        <v>-1</v>
      </c>
    </row>
    <row r="225">
      <c r="B225" s="140">
        <v>45969.0</v>
      </c>
      <c r="C225" s="141" t="str">
        <f t="shared" si="1"/>
        <v>11-2025</v>
      </c>
      <c r="F225" s="54">
        <f t="shared" si="13"/>
        <v>0</v>
      </c>
      <c r="G225" s="54">
        <f t="shared" si="3"/>
        <v>-10</v>
      </c>
    </row>
    <row r="226">
      <c r="A226" s="173" t="s">
        <v>187</v>
      </c>
      <c r="B226" s="171">
        <v>45970.0</v>
      </c>
      <c r="C226" s="172" t="str">
        <f t="shared" si="1"/>
        <v>11-2025</v>
      </c>
      <c r="D226" s="173">
        <v>7296.0</v>
      </c>
      <c r="E226" s="173">
        <v>7301.7</v>
      </c>
      <c r="F226" s="170">
        <f t="shared" si="13"/>
        <v>5.7</v>
      </c>
      <c r="G226" s="170">
        <f t="shared" si="3"/>
        <v>-4.3</v>
      </c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</row>
    <row r="227">
      <c r="B227" s="140">
        <v>45971.0</v>
      </c>
      <c r="C227" s="141" t="str">
        <f t="shared" si="1"/>
        <v>11-2025</v>
      </c>
      <c r="D227" s="165">
        <f t="shared" ref="D227:D231" si="41">E226</f>
        <v>7301.7</v>
      </c>
      <c r="E227" s="28">
        <v>7305.0</v>
      </c>
      <c r="F227" s="54">
        <f t="shared" si="13"/>
        <v>3.3</v>
      </c>
      <c r="G227" s="54">
        <f t="shared" si="3"/>
        <v>-6.7</v>
      </c>
    </row>
    <row r="228">
      <c r="B228" s="140">
        <v>45972.0</v>
      </c>
      <c r="C228" s="141" t="str">
        <f t="shared" si="1"/>
        <v>11-2025</v>
      </c>
      <c r="D228" s="165">
        <f t="shared" si="41"/>
        <v>7305</v>
      </c>
      <c r="E228" s="28">
        <v>7314.0</v>
      </c>
      <c r="F228" s="54">
        <f t="shared" si="13"/>
        <v>9</v>
      </c>
      <c r="G228" s="54">
        <f t="shared" si="3"/>
        <v>-1</v>
      </c>
    </row>
    <row r="229">
      <c r="B229" s="140">
        <v>45973.0</v>
      </c>
      <c r="C229" s="141" t="str">
        <f t="shared" si="1"/>
        <v>11-2025</v>
      </c>
      <c r="D229" s="165">
        <f t="shared" si="41"/>
        <v>7314</v>
      </c>
      <c r="E229" s="28">
        <v>7324.0</v>
      </c>
      <c r="F229" s="54">
        <f t="shared" si="13"/>
        <v>10</v>
      </c>
      <c r="G229" s="54">
        <f t="shared" si="3"/>
        <v>0</v>
      </c>
    </row>
    <row r="230">
      <c r="B230" s="140">
        <v>45974.0</v>
      </c>
      <c r="C230" s="141" t="str">
        <f t="shared" si="1"/>
        <v>11-2025</v>
      </c>
      <c r="D230" s="165">
        <f t="shared" si="41"/>
        <v>7324</v>
      </c>
      <c r="E230" s="28">
        <v>7335.0</v>
      </c>
      <c r="F230" s="54">
        <f t="shared" si="13"/>
        <v>11</v>
      </c>
      <c r="G230" s="54">
        <f t="shared" si="3"/>
        <v>1</v>
      </c>
    </row>
    <row r="231">
      <c r="B231" s="140">
        <v>45975.0</v>
      </c>
      <c r="C231" s="141" t="str">
        <f t="shared" si="1"/>
        <v>11-2025</v>
      </c>
      <c r="D231" s="165">
        <f t="shared" si="41"/>
        <v>7335</v>
      </c>
      <c r="E231" s="28">
        <v>7346.0</v>
      </c>
      <c r="F231" s="54">
        <f t="shared" si="13"/>
        <v>11</v>
      </c>
      <c r="G231" s="54">
        <f t="shared" si="3"/>
        <v>1</v>
      </c>
    </row>
    <row r="232">
      <c r="B232" s="140">
        <v>45976.0</v>
      </c>
      <c r="C232" s="141" t="str">
        <f t="shared" si="1"/>
        <v>11-2025</v>
      </c>
      <c r="F232" s="54">
        <f t="shared" si="13"/>
        <v>0</v>
      </c>
      <c r="G232" s="54">
        <f t="shared" si="3"/>
        <v>-10</v>
      </c>
    </row>
    <row r="233">
      <c r="B233" s="140">
        <v>45977.0</v>
      </c>
      <c r="C233" s="141" t="str">
        <f t="shared" si="1"/>
        <v>11-2025</v>
      </c>
      <c r="D233" s="165" t="str">
        <f>E232</f>
        <v/>
      </c>
      <c r="F233" s="54">
        <f t="shared" si="13"/>
        <v>0</v>
      </c>
      <c r="G233" s="54">
        <f t="shared" si="3"/>
        <v>-10</v>
      </c>
    </row>
    <row r="234">
      <c r="B234" s="140">
        <v>45978.0</v>
      </c>
      <c r="C234" s="141" t="str">
        <f t="shared" si="1"/>
        <v>11-2025</v>
      </c>
      <c r="D234" s="28">
        <v>7346.0</v>
      </c>
      <c r="E234" s="28">
        <v>7356.0</v>
      </c>
      <c r="F234" s="54">
        <f t="shared" si="13"/>
        <v>10</v>
      </c>
      <c r="G234" s="54">
        <f t="shared" si="3"/>
        <v>0</v>
      </c>
    </row>
    <row r="235">
      <c r="B235" s="140">
        <v>45979.0</v>
      </c>
      <c r="C235" s="141" t="str">
        <f t="shared" si="1"/>
        <v>11-2025</v>
      </c>
      <c r="D235" s="165">
        <f t="shared" ref="D235:D238" si="42">E234</f>
        <v>7356</v>
      </c>
      <c r="E235" s="28">
        <v>7368.0</v>
      </c>
      <c r="F235" s="54">
        <f t="shared" si="13"/>
        <v>12</v>
      </c>
      <c r="G235" s="54">
        <f t="shared" si="3"/>
        <v>2</v>
      </c>
    </row>
    <row r="236">
      <c r="B236" s="140">
        <v>45980.0</v>
      </c>
      <c r="C236" s="141" t="str">
        <f t="shared" si="1"/>
        <v>11-2025</v>
      </c>
      <c r="D236" s="165">
        <f t="shared" si="42"/>
        <v>7368</v>
      </c>
      <c r="E236" s="28">
        <v>7377.0</v>
      </c>
      <c r="F236" s="54">
        <f t="shared" si="13"/>
        <v>9</v>
      </c>
      <c r="G236" s="54">
        <f t="shared" si="3"/>
        <v>-1</v>
      </c>
    </row>
    <row r="237">
      <c r="B237" s="140">
        <v>45981.0</v>
      </c>
      <c r="C237" s="141" t="str">
        <f t="shared" si="1"/>
        <v>11-2025</v>
      </c>
      <c r="D237" s="165">
        <f t="shared" si="42"/>
        <v>7377</v>
      </c>
      <c r="E237" s="28">
        <v>7388.0</v>
      </c>
      <c r="F237" s="54">
        <f t="shared" si="13"/>
        <v>11</v>
      </c>
      <c r="G237" s="54">
        <f t="shared" si="3"/>
        <v>1</v>
      </c>
    </row>
    <row r="238">
      <c r="B238" s="140">
        <v>45982.0</v>
      </c>
      <c r="C238" s="141" t="str">
        <f t="shared" si="1"/>
        <v>11-2025</v>
      </c>
      <c r="D238" s="165">
        <f t="shared" si="42"/>
        <v>7388</v>
      </c>
      <c r="E238" s="28">
        <v>7397.0</v>
      </c>
      <c r="F238" s="54">
        <f t="shared" si="13"/>
        <v>9</v>
      </c>
      <c r="G238" s="54">
        <f t="shared" si="3"/>
        <v>-1</v>
      </c>
    </row>
    <row r="239">
      <c r="B239" s="140">
        <v>45983.0</v>
      </c>
      <c r="C239" s="141" t="str">
        <f t="shared" si="1"/>
        <v>11-2025</v>
      </c>
      <c r="F239" s="54">
        <f t="shared" si="13"/>
        <v>0</v>
      </c>
      <c r="G239" s="54">
        <f t="shared" si="3"/>
        <v>-10</v>
      </c>
    </row>
    <row r="240">
      <c r="B240" s="140">
        <v>45984.0</v>
      </c>
      <c r="C240" s="141" t="str">
        <f t="shared" si="1"/>
        <v>11-2025</v>
      </c>
      <c r="D240" s="165" t="str">
        <f>E239</f>
        <v/>
      </c>
      <c r="F240" s="54">
        <f t="shared" si="13"/>
        <v>0</v>
      </c>
      <c r="G240" s="54">
        <f t="shared" si="3"/>
        <v>-10</v>
      </c>
    </row>
    <row r="241">
      <c r="B241" s="140">
        <v>45985.0</v>
      </c>
      <c r="C241" s="141" t="str">
        <f t="shared" si="1"/>
        <v>11-2025</v>
      </c>
      <c r="D241" s="28">
        <v>7397.0</v>
      </c>
      <c r="E241" s="28">
        <v>7408.0</v>
      </c>
      <c r="F241" s="54">
        <f t="shared" si="13"/>
        <v>11</v>
      </c>
      <c r="G241" s="54">
        <f t="shared" si="3"/>
        <v>1</v>
      </c>
    </row>
    <row r="242">
      <c r="B242" s="140">
        <v>45986.0</v>
      </c>
      <c r="C242" s="141" t="str">
        <f t="shared" si="1"/>
        <v>11-2025</v>
      </c>
      <c r="D242" s="165">
        <f t="shared" ref="D242:D245" si="43">E241</f>
        <v>7408</v>
      </c>
      <c r="E242" s="28">
        <v>7419.0</v>
      </c>
      <c r="F242" s="54">
        <f t="shared" si="13"/>
        <v>11</v>
      </c>
      <c r="G242" s="54">
        <f t="shared" si="3"/>
        <v>1</v>
      </c>
    </row>
    <row r="243">
      <c r="B243" s="140">
        <v>45987.0</v>
      </c>
      <c r="C243" s="141" t="str">
        <f t="shared" si="1"/>
        <v>11-2025</v>
      </c>
      <c r="D243" s="165">
        <f t="shared" si="43"/>
        <v>7419</v>
      </c>
      <c r="E243" s="28">
        <v>7429.0</v>
      </c>
      <c r="F243" s="54">
        <f t="shared" si="13"/>
        <v>10</v>
      </c>
      <c r="G243" s="54">
        <f t="shared" si="3"/>
        <v>0</v>
      </c>
    </row>
    <row r="244">
      <c r="B244" s="140">
        <v>45988.0</v>
      </c>
      <c r="C244" s="141" t="str">
        <f t="shared" si="1"/>
        <v>11-2025</v>
      </c>
      <c r="D244" s="165">
        <f t="shared" si="43"/>
        <v>7429</v>
      </c>
      <c r="E244" s="28">
        <v>7440.0</v>
      </c>
      <c r="F244" s="54">
        <f t="shared" si="13"/>
        <v>11</v>
      </c>
      <c r="G244" s="54">
        <f t="shared" si="3"/>
        <v>1</v>
      </c>
    </row>
    <row r="245">
      <c r="B245" s="140">
        <v>45989.0</v>
      </c>
      <c r="C245" s="141" t="str">
        <f t="shared" si="1"/>
        <v>11-2025</v>
      </c>
      <c r="D245" s="165">
        <f t="shared" si="43"/>
        <v>7440</v>
      </c>
      <c r="E245" s="28">
        <v>7451.0</v>
      </c>
      <c r="F245" s="54">
        <f t="shared" si="13"/>
        <v>11</v>
      </c>
      <c r="G245" s="54">
        <f t="shared" si="3"/>
        <v>1</v>
      </c>
      <c r="H245" s="28">
        <v>2289.0</v>
      </c>
    </row>
    <row r="246">
      <c r="B246" s="140">
        <v>45990.0</v>
      </c>
      <c r="C246" s="141" t="str">
        <f t="shared" si="1"/>
        <v>11-2025</v>
      </c>
      <c r="F246" s="54">
        <f t="shared" si="13"/>
        <v>0</v>
      </c>
      <c r="G246" s="54">
        <f t="shared" si="3"/>
        <v>-10</v>
      </c>
    </row>
    <row r="247">
      <c r="B247" s="140">
        <v>45991.0</v>
      </c>
      <c r="C247" s="141" t="str">
        <f t="shared" si="1"/>
        <v>11-2025</v>
      </c>
      <c r="F247" s="54">
        <f t="shared" si="13"/>
        <v>0</v>
      </c>
      <c r="G247" s="54">
        <f t="shared" si="3"/>
        <v>-10</v>
      </c>
    </row>
    <row r="248">
      <c r="B248" s="140">
        <v>45992.0</v>
      </c>
      <c r="C248" s="141" t="str">
        <f t="shared" si="1"/>
        <v>12-2025</v>
      </c>
      <c r="D248" s="28">
        <v>7451.0</v>
      </c>
      <c r="E248" s="28">
        <v>7461.0</v>
      </c>
      <c r="F248" s="54">
        <f t="shared" si="13"/>
        <v>10</v>
      </c>
      <c r="G248" s="54">
        <f t="shared" si="3"/>
        <v>0</v>
      </c>
    </row>
    <row r="249">
      <c r="B249" s="140">
        <v>45993.0</v>
      </c>
      <c r="C249" s="141" t="str">
        <f t="shared" si="1"/>
        <v>12-2025</v>
      </c>
      <c r="D249" s="165">
        <f t="shared" ref="D249:D252" si="44">E248</f>
        <v>7461</v>
      </c>
      <c r="E249" s="28">
        <v>7468.0</v>
      </c>
      <c r="F249" s="54">
        <f t="shared" si="13"/>
        <v>7</v>
      </c>
      <c r="G249" s="54">
        <f t="shared" si="3"/>
        <v>-3</v>
      </c>
    </row>
    <row r="250">
      <c r="B250" s="140">
        <v>45994.0</v>
      </c>
      <c r="C250" s="141" t="str">
        <f t="shared" si="1"/>
        <v>12-2025</v>
      </c>
      <c r="D250" s="165">
        <f t="shared" si="44"/>
        <v>7468</v>
      </c>
      <c r="E250" s="28">
        <v>7477.5</v>
      </c>
      <c r="F250" s="54">
        <f t="shared" si="13"/>
        <v>9.5</v>
      </c>
      <c r="G250" s="54">
        <f t="shared" si="3"/>
        <v>-0.5</v>
      </c>
    </row>
    <row r="251">
      <c r="B251" s="140">
        <v>45995.0</v>
      </c>
      <c r="C251" s="141" t="str">
        <f t="shared" si="1"/>
        <v>12-2025</v>
      </c>
      <c r="D251" s="165">
        <f t="shared" si="44"/>
        <v>7477.5</v>
      </c>
      <c r="E251" s="28">
        <v>7486.5</v>
      </c>
      <c r="F251" s="54">
        <f t="shared" si="13"/>
        <v>9</v>
      </c>
      <c r="G251" s="54">
        <f t="shared" si="3"/>
        <v>-1</v>
      </c>
    </row>
    <row r="252">
      <c r="B252" s="140">
        <v>45996.0</v>
      </c>
      <c r="C252" s="141" t="str">
        <f t="shared" si="1"/>
        <v>12-2025</v>
      </c>
      <c r="D252" s="165">
        <f t="shared" si="44"/>
        <v>7486.5</v>
      </c>
      <c r="E252" s="28">
        <v>7497.0</v>
      </c>
      <c r="F252" s="54">
        <f t="shared" si="13"/>
        <v>10.5</v>
      </c>
      <c r="G252" s="54">
        <f t="shared" si="3"/>
        <v>0.5</v>
      </c>
    </row>
    <row r="253">
      <c r="B253" s="142">
        <v>45997.0</v>
      </c>
      <c r="C253" s="141" t="str">
        <f t="shared" si="1"/>
        <v>12-2025</v>
      </c>
      <c r="F253" s="54">
        <f t="shared" si="13"/>
        <v>0</v>
      </c>
      <c r="G253" s="54">
        <f t="shared" si="3"/>
        <v>-10</v>
      </c>
    </row>
    <row r="254">
      <c r="B254" s="142">
        <v>45998.0</v>
      </c>
      <c r="C254" s="141" t="str">
        <f t="shared" si="1"/>
        <v>12-2025</v>
      </c>
      <c r="D254" s="165" t="str">
        <f>E253</f>
        <v/>
      </c>
      <c r="F254" s="54">
        <f t="shared" si="13"/>
        <v>0</v>
      </c>
      <c r="G254" s="54">
        <f t="shared" si="3"/>
        <v>-10</v>
      </c>
    </row>
    <row r="255">
      <c r="B255" s="140">
        <v>45999.0</v>
      </c>
      <c r="C255" s="141" t="str">
        <f t="shared" si="1"/>
        <v>12-2025</v>
      </c>
      <c r="D255" s="28">
        <v>7497.0</v>
      </c>
      <c r="E255" s="28">
        <v>7507.0</v>
      </c>
      <c r="F255" s="54">
        <f t="shared" si="13"/>
        <v>10</v>
      </c>
      <c r="G255" s="54">
        <f t="shared" si="3"/>
        <v>0</v>
      </c>
    </row>
    <row r="256">
      <c r="B256" s="140">
        <v>46000.0</v>
      </c>
      <c r="C256" s="141" t="str">
        <f t="shared" si="1"/>
        <v>12-2025</v>
      </c>
      <c r="D256" s="165">
        <f t="shared" ref="D256:D258" si="45">E255</f>
        <v>7507</v>
      </c>
      <c r="E256" s="28">
        <v>7517.0</v>
      </c>
      <c r="F256" s="54">
        <f t="shared" si="13"/>
        <v>10</v>
      </c>
      <c r="G256" s="54">
        <f t="shared" si="3"/>
        <v>0</v>
      </c>
    </row>
    <row r="257">
      <c r="B257" s="140">
        <v>46001.0</v>
      </c>
      <c r="C257" s="141" t="str">
        <f t="shared" si="1"/>
        <v>12-2025</v>
      </c>
      <c r="D257" s="165">
        <f t="shared" si="45"/>
        <v>7517</v>
      </c>
      <c r="E257" s="28">
        <v>7527.0</v>
      </c>
      <c r="F257" s="54">
        <f t="shared" si="13"/>
        <v>10</v>
      </c>
      <c r="G257" s="54">
        <f t="shared" si="3"/>
        <v>0</v>
      </c>
    </row>
    <row r="258">
      <c r="B258" s="140">
        <v>46002.0</v>
      </c>
      <c r="C258" s="141" t="str">
        <f t="shared" si="1"/>
        <v>12-2025</v>
      </c>
      <c r="D258" s="165">
        <f t="shared" si="45"/>
        <v>7527</v>
      </c>
      <c r="E258" s="28">
        <v>7537.0</v>
      </c>
      <c r="F258" s="54">
        <f t="shared" si="13"/>
        <v>10</v>
      </c>
      <c r="G258" s="54">
        <f t="shared" si="3"/>
        <v>0</v>
      </c>
    </row>
    <row r="259">
      <c r="B259" s="140">
        <v>46003.0</v>
      </c>
      <c r="C259" s="141" t="str">
        <f t="shared" si="1"/>
        <v>12-2025</v>
      </c>
      <c r="F259" s="54">
        <f t="shared" si="13"/>
        <v>0</v>
      </c>
      <c r="G259" s="54">
        <f t="shared" si="3"/>
        <v>-10</v>
      </c>
    </row>
    <row r="260">
      <c r="B260" s="142">
        <v>46004.0</v>
      </c>
      <c r="C260" s="141" t="str">
        <f t="shared" si="1"/>
        <v>12-2025</v>
      </c>
      <c r="D260" s="165" t="str">
        <f t="shared" ref="D260:D261" si="46">E259</f>
        <v/>
      </c>
      <c r="F260" s="54">
        <f t="shared" si="13"/>
        <v>0</v>
      </c>
      <c r="G260" s="54">
        <f t="shared" si="3"/>
        <v>-10</v>
      </c>
    </row>
    <row r="261">
      <c r="B261" s="142">
        <v>46005.0</v>
      </c>
      <c r="C261" s="141" t="str">
        <f t="shared" si="1"/>
        <v>12-2025</v>
      </c>
      <c r="D261" s="165" t="str">
        <f t="shared" si="46"/>
        <v/>
      </c>
      <c r="F261" s="54">
        <f t="shared" si="13"/>
        <v>0</v>
      </c>
      <c r="G261" s="54">
        <f t="shared" si="3"/>
        <v>-10</v>
      </c>
    </row>
    <row r="262">
      <c r="B262" s="140">
        <v>46006.0</v>
      </c>
      <c r="C262" s="141" t="str">
        <f t="shared" si="1"/>
        <v>12-2025</v>
      </c>
      <c r="D262" s="28">
        <v>7537.0</v>
      </c>
      <c r="E262" s="28">
        <v>7545.0</v>
      </c>
      <c r="F262" s="54">
        <f t="shared" si="13"/>
        <v>8</v>
      </c>
      <c r="G262" s="54">
        <f t="shared" si="3"/>
        <v>-2</v>
      </c>
    </row>
    <row r="263">
      <c r="B263" s="140">
        <v>46007.0</v>
      </c>
      <c r="C263" s="141" t="str">
        <f t="shared" si="1"/>
        <v>12-2025</v>
      </c>
      <c r="D263" s="165">
        <f t="shared" ref="D263:D267" si="47">E262</f>
        <v>7545</v>
      </c>
      <c r="E263" s="28">
        <v>7554.0</v>
      </c>
      <c r="F263" s="54">
        <f t="shared" si="13"/>
        <v>9</v>
      </c>
      <c r="G263" s="54">
        <f t="shared" si="3"/>
        <v>-1</v>
      </c>
    </row>
    <row r="264">
      <c r="B264" s="140">
        <v>46008.0</v>
      </c>
      <c r="C264" s="141" t="str">
        <f t="shared" si="1"/>
        <v>12-2025</v>
      </c>
      <c r="D264" s="165">
        <f t="shared" si="47"/>
        <v>7554</v>
      </c>
      <c r="E264" s="28">
        <v>7564.0</v>
      </c>
      <c r="F264" s="54">
        <f t="shared" si="13"/>
        <v>10</v>
      </c>
      <c r="G264" s="54">
        <f t="shared" si="3"/>
        <v>0</v>
      </c>
    </row>
    <row r="265">
      <c r="B265" s="140">
        <v>46009.0</v>
      </c>
      <c r="C265" s="141" t="str">
        <f t="shared" si="1"/>
        <v>12-2025</v>
      </c>
      <c r="D265" s="165">
        <f t="shared" si="47"/>
        <v>7564</v>
      </c>
      <c r="E265" s="28">
        <v>7575.0</v>
      </c>
      <c r="F265" s="54">
        <f t="shared" si="13"/>
        <v>11</v>
      </c>
      <c r="G265" s="54">
        <f t="shared" si="3"/>
        <v>1</v>
      </c>
    </row>
    <row r="266">
      <c r="B266" s="140">
        <v>46010.0</v>
      </c>
      <c r="C266" s="141" t="str">
        <f t="shared" si="1"/>
        <v>12-2025</v>
      </c>
      <c r="D266" s="165">
        <f t="shared" si="47"/>
        <v>7575</v>
      </c>
      <c r="E266" s="28">
        <v>7585.0</v>
      </c>
      <c r="F266" s="54">
        <f t="shared" si="13"/>
        <v>10</v>
      </c>
      <c r="G266" s="54">
        <f t="shared" si="3"/>
        <v>0</v>
      </c>
    </row>
    <row r="267">
      <c r="B267" s="142">
        <v>46011.0</v>
      </c>
      <c r="C267" s="141" t="str">
        <f t="shared" si="1"/>
        <v>12-2025</v>
      </c>
      <c r="D267" s="165">
        <f t="shared" si="47"/>
        <v>7585</v>
      </c>
      <c r="E267" s="28">
        <v>7591.0</v>
      </c>
      <c r="F267" s="54">
        <f t="shared" si="13"/>
        <v>6</v>
      </c>
      <c r="G267" s="54">
        <f t="shared" si="3"/>
        <v>-4</v>
      </c>
    </row>
    <row r="268">
      <c r="B268" s="142">
        <v>46012.0</v>
      </c>
      <c r="C268" s="141" t="str">
        <f t="shared" si="1"/>
        <v>12-2025</v>
      </c>
      <c r="F268" s="54">
        <f t="shared" si="13"/>
        <v>0</v>
      </c>
      <c r="G268" s="54">
        <f t="shared" si="3"/>
        <v>-10</v>
      </c>
    </row>
    <row r="269">
      <c r="B269" s="140">
        <v>46013.0</v>
      </c>
      <c r="C269" s="141" t="str">
        <f t="shared" si="1"/>
        <v>12-2025</v>
      </c>
      <c r="D269" s="28">
        <v>7591.0</v>
      </c>
      <c r="E269" s="28">
        <v>7601.0</v>
      </c>
      <c r="F269" s="54">
        <f t="shared" si="13"/>
        <v>10</v>
      </c>
      <c r="G269" s="54">
        <f t="shared" si="3"/>
        <v>0</v>
      </c>
    </row>
    <row r="270">
      <c r="B270" s="140">
        <v>46014.0</v>
      </c>
      <c r="C270" s="141" t="str">
        <f t="shared" si="1"/>
        <v>12-2025</v>
      </c>
      <c r="D270" s="165">
        <f t="shared" ref="D270:D271" si="48">E269</f>
        <v>7601</v>
      </c>
      <c r="E270" s="28">
        <v>7612.0</v>
      </c>
      <c r="F270" s="54">
        <f t="shared" si="13"/>
        <v>11</v>
      </c>
      <c r="G270" s="54">
        <f t="shared" si="3"/>
        <v>1</v>
      </c>
    </row>
    <row r="271">
      <c r="B271" s="140">
        <v>46015.0</v>
      </c>
      <c r="C271" s="141" t="str">
        <f t="shared" si="1"/>
        <v>12-2025</v>
      </c>
      <c r="D271" s="165">
        <f t="shared" si="48"/>
        <v>7612</v>
      </c>
      <c r="E271" s="28">
        <v>7621.0</v>
      </c>
      <c r="F271" s="54">
        <f t="shared" si="13"/>
        <v>9</v>
      </c>
      <c r="G271" s="54">
        <f t="shared" si="3"/>
        <v>-1</v>
      </c>
    </row>
    <row r="272">
      <c r="B272" s="142">
        <v>46016.0</v>
      </c>
      <c r="C272" s="141" t="str">
        <f t="shared" si="1"/>
        <v>12-2025</v>
      </c>
      <c r="F272" s="54">
        <f t="shared" si="13"/>
        <v>0</v>
      </c>
      <c r="G272" s="54">
        <f t="shared" si="3"/>
        <v>-10</v>
      </c>
    </row>
    <row r="273">
      <c r="B273" s="140">
        <v>46017.0</v>
      </c>
      <c r="C273" s="141" t="str">
        <f t="shared" si="1"/>
        <v>12-2025</v>
      </c>
      <c r="D273" s="165" t="str">
        <f>E272</f>
        <v/>
      </c>
      <c r="F273" s="54">
        <f t="shared" si="13"/>
        <v>0</v>
      </c>
      <c r="G273" s="54">
        <f t="shared" si="3"/>
        <v>-10</v>
      </c>
    </row>
    <row r="274">
      <c r="B274" s="142">
        <v>46018.0</v>
      </c>
      <c r="C274" s="141" t="str">
        <f t="shared" si="1"/>
        <v>12-2025</v>
      </c>
      <c r="D274" s="28">
        <v>7621.0</v>
      </c>
      <c r="E274" s="28">
        <v>7631.9</v>
      </c>
      <c r="F274" s="54">
        <f t="shared" si="13"/>
        <v>10.9</v>
      </c>
      <c r="G274" s="54">
        <f t="shared" si="3"/>
        <v>0.9</v>
      </c>
      <c r="H274" s="28" t="s">
        <v>188</v>
      </c>
    </row>
    <row r="275">
      <c r="B275" s="142">
        <v>46019.0</v>
      </c>
      <c r="C275" s="141" t="str">
        <f t="shared" si="1"/>
        <v>12-2025</v>
      </c>
      <c r="F275" s="54">
        <f t="shared" si="13"/>
        <v>0</v>
      </c>
      <c r="G275" s="54">
        <f t="shared" si="3"/>
        <v>-10</v>
      </c>
    </row>
    <row r="276">
      <c r="B276" s="140">
        <v>46020.0</v>
      </c>
      <c r="C276" s="141" t="str">
        <f t="shared" si="1"/>
        <v>12-2025</v>
      </c>
      <c r="D276" s="28">
        <v>7631.9</v>
      </c>
      <c r="E276" s="28">
        <v>7642.6</v>
      </c>
      <c r="F276" s="54">
        <f t="shared" si="13"/>
        <v>10.7</v>
      </c>
      <c r="G276" s="54">
        <f t="shared" si="3"/>
        <v>0.7</v>
      </c>
    </row>
    <row r="277">
      <c r="B277" s="140">
        <v>46021.0</v>
      </c>
      <c r="C277" s="141" t="str">
        <f t="shared" si="1"/>
        <v>12-2025</v>
      </c>
      <c r="D277" s="165">
        <f t="shared" ref="D277:D278" si="49">E276</f>
        <v>7642.6</v>
      </c>
      <c r="E277" s="28">
        <v>7654.0</v>
      </c>
      <c r="F277" s="54">
        <f t="shared" si="13"/>
        <v>11.4</v>
      </c>
      <c r="G277" s="54">
        <f t="shared" si="3"/>
        <v>1.4</v>
      </c>
    </row>
    <row r="278">
      <c r="B278" s="140">
        <v>46022.0</v>
      </c>
      <c r="C278" s="141" t="str">
        <f t="shared" si="1"/>
        <v>12-2025</v>
      </c>
      <c r="D278" s="165">
        <f t="shared" si="49"/>
        <v>7654</v>
      </c>
      <c r="E278" s="28">
        <v>7658.5</v>
      </c>
      <c r="F278" s="54">
        <f t="shared" si="13"/>
        <v>4.5</v>
      </c>
      <c r="G278" s="54">
        <f t="shared" si="3"/>
        <v>-5.5</v>
      </c>
    </row>
    <row r="279">
      <c r="B279" s="140">
        <v>46023.0</v>
      </c>
      <c r="C279" s="141" t="str">
        <f t="shared" si="1"/>
        <v>1-2026</v>
      </c>
      <c r="F279" s="54">
        <f t="shared" si="13"/>
        <v>0</v>
      </c>
      <c r="G279" s="54">
        <f t="shared" si="3"/>
        <v>-10</v>
      </c>
    </row>
    <row r="280">
      <c r="B280" s="140">
        <v>46024.0</v>
      </c>
      <c r="C280" s="141" t="str">
        <f t="shared" si="1"/>
        <v>1-2026</v>
      </c>
      <c r="D280" s="165" t="str">
        <f t="shared" ref="D280:D282" si="50">E279</f>
        <v/>
      </c>
      <c r="F280" s="54">
        <f t="shared" si="13"/>
        <v>0</v>
      </c>
      <c r="G280" s="54">
        <f t="shared" si="3"/>
        <v>-10</v>
      </c>
    </row>
    <row r="281">
      <c r="B281" s="151">
        <v>46025.0</v>
      </c>
      <c r="C281" s="141" t="str">
        <f t="shared" si="1"/>
        <v>1-2026</v>
      </c>
      <c r="D281" s="165" t="str">
        <f t="shared" si="50"/>
        <v/>
      </c>
      <c r="F281" s="54">
        <f t="shared" si="13"/>
        <v>0</v>
      </c>
      <c r="G281" s="54">
        <f t="shared" si="3"/>
        <v>-10</v>
      </c>
    </row>
    <row r="282">
      <c r="B282" s="151">
        <v>46026.0</v>
      </c>
      <c r="C282" s="141" t="str">
        <f t="shared" si="1"/>
        <v>1-2026</v>
      </c>
      <c r="D282" s="165" t="str">
        <f t="shared" si="50"/>
        <v/>
      </c>
      <c r="F282" s="54">
        <f t="shared" si="13"/>
        <v>0</v>
      </c>
      <c r="G282" s="54">
        <f t="shared" si="3"/>
        <v>-10</v>
      </c>
    </row>
    <row r="283">
      <c r="B283" s="140">
        <v>46027.0</v>
      </c>
      <c r="C283" s="141" t="str">
        <f t="shared" si="1"/>
        <v>1-2026</v>
      </c>
      <c r="D283" s="28">
        <v>7676.5</v>
      </c>
      <c r="E283" s="28">
        <v>7685.0</v>
      </c>
      <c r="F283" s="54">
        <f t="shared" si="13"/>
        <v>8.5</v>
      </c>
      <c r="G283" s="54">
        <f t="shared" si="3"/>
        <v>-1.5</v>
      </c>
    </row>
    <row r="284">
      <c r="B284" s="140">
        <v>46028.0</v>
      </c>
      <c r="C284" s="141" t="str">
        <f t="shared" si="1"/>
        <v>1-2026</v>
      </c>
      <c r="D284" s="165">
        <f>E283</f>
        <v>7685</v>
      </c>
      <c r="E284" s="28">
        <v>7696.0</v>
      </c>
      <c r="F284" s="54">
        <f t="shared" si="13"/>
        <v>11</v>
      </c>
      <c r="G284" s="54">
        <f t="shared" si="3"/>
        <v>1</v>
      </c>
    </row>
    <row r="285">
      <c r="B285" s="140">
        <v>46029.0</v>
      </c>
      <c r="C285" s="141" t="str">
        <f t="shared" si="1"/>
        <v>1-2026</v>
      </c>
      <c r="D285" s="165">
        <f>E283</f>
        <v>7685</v>
      </c>
      <c r="E285" s="28">
        <v>7706.0</v>
      </c>
      <c r="F285" s="54">
        <f t="shared" si="13"/>
        <v>21</v>
      </c>
      <c r="G285" s="54">
        <f t="shared" si="3"/>
        <v>11</v>
      </c>
    </row>
    <row r="286">
      <c r="B286" s="140">
        <v>46030.0</v>
      </c>
      <c r="C286" s="141" t="str">
        <f t="shared" si="1"/>
        <v>1-2026</v>
      </c>
      <c r="D286" s="28">
        <v>7706.0</v>
      </c>
      <c r="E286" s="28">
        <v>7716.0</v>
      </c>
      <c r="F286" s="54">
        <f t="shared" si="13"/>
        <v>10</v>
      </c>
      <c r="G286" s="54">
        <f t="shared" si="3"/>
        <v>0</v>
      </c>
    </row>
    <row r="287">
      <c r="B287" s="140">
        <v>46031.0</v>
      </c>
      <c r="C287" s="141" t="str">
        <f t="shared" si="1"/>
        <v>1-2026</v>
      </c>
      <c r="D287" s="165">
        <f>E286</f>
        <v>7716</v>
      </c>
      <c r="E287" s="28">
        <v>7726.0</v>
      </c>
      <c r="F287" s="54">
        <f t="shared" si="13"/>
        <v>10</v>
      </c>
      <c r="G287" s="54">
        <f t="shared" si="3"/>
        <v>0</v>
      </c>
    </row>
    <row r="288">
      <c r="B288" s="151">
        <v>46032.0</v>
      </c>
      <c r="C288" s="141" t="str">
        <f t="shared" si="1"/>
        <v>1-2026</v>
      </c>
      <c r="F288" s="54">
        <f t="shared" si="13"/>
        <v>0</v>
      </c>
      <c r="G288" s="54">
        <f t="shared" si="3"/>
        <v>-10</v>
      </c>
    </row>
    <row r="289">
      <c r="B289" s="151">
        <v>46033.0</v>
      </c>
      <c r="C289" s="141" t="str">
        <f t="shared" si="1"/>
        <v>1-2026</v>
      </c>
      <c r="D289" s="165" t="str">
        <f>E288</f>
        <v/>
      </c>
      <c r="F289" s="54">
        <f t="shared" si="13"/>
        <v>0</v>
      </c>
      <c r="G289" s="54">
        <f t="shared" si="3"/>
        <v>-10</v>
      </c>
    </row>
    <row r="290">
      <c r="B290" s="140">
        <v>46034.0</v>
      </c>
      <c r="C290" s="141" t="str">
        <f t="shared" si="1"/>
        <v>1-2026</v>
      </c>
      <c r="D290" s="28">
        <v>7726.0</v>
      </c>
      <c r="E290" s="28">
        <v>7737.0</v>
      </c>
      <c r="F290" s="54">
        <f t="shared" si="13"/>
        <v>11</v>
      </c>
      <c r="G290" s="54">
        <f t="shared" si="3"/>
        <v>1</v>
      </c>
    </row>
    <row r="291">
      <c r="B291" s="140">
        <v>46035.0</v>
      </c>
      <c r="C291" s="141" t="str">
        <f t="shared" si="1"/>
        <v>1-2026</v>
      </c>
      <c r="D291" s="165">
        <f t="shared" ref="D291:D294" si="51">E290</f>
        <v>7737</v>
      </c>
      <c r="E291" s="28">
        <v>7748.0</v>
      </c>
      <c r="F291" s="54">
        <f t="shared" si="13"/>
        <v>11</v>
      </c>
      <c r="G291" s="54">
        <f t="shared" si="3"/>
        <v>1</v>
      </c>
    </row>
    <row r="292">
      <c r="B292" s="140">
        <v>46036.0</v>
      </c>
      <c r="C292" s="141" t="str">
        <f t="shared" si="1"/>
        <v>1-2026</v>
      </c>
      <c r="D292" s="165">
        <f t="shared" si="51"/>
        <v>7748</v>
      </c>
      <c r="E292" s="28">
        <v>7758.0</v>
      </c>
      <c r="F292" s="54">
        <f t="shared" si="13"/>
        <v>10</v>
      </c>
      <c r="G292" s="54">
        <f t="shared" si="3"/>
        <v>0</v>
      </c>
    </row>
    <row r="293">
      <c r="B293" s="140">
        <v>46037.0</v>
      </c>
      <c r="C293" s="141" t="str">
        <f t="shared" si="1"/>
        <v>1-2026</v>
      </c>
      <c r="D293" s="165">
        <f t="shared" si="51"/>
        <v>7758</v>
      </c>
      <c r="E293" s="28">
        <v>7768.0</v>
      </c>
      <c r="F293" s="54">
        <f t="shared" si="13"/>
        <v>10</v>
      </c>
      <c r="G293" s="54">
        <f t="shared" si="3"/>
        <v>0</v>
      </c>
    </row>
    <row r="294">
      <c r="B294" s="140">
        <v>46038.0</v>
      </c>
      <c r="C294" s="141" t="str">
        <f t="shared" si="1"/>
        <v>1-2026</v>
      </c>
      <c r="D294" s="165">
        <f t="shared" si="51"/>
        <v>7768</v>
      </c>
      <c r="E294" s="28">
        <v>7779.0</v>
      </c>
      <c r="F294" s="54">
        <f t="shared" si="13"/>
        <v>11</v>
      </c>
      <c r="G294" s="54">
        <f t="shared" si="3"/>
        <v>1</v>
      </c>
    </row>
    <row r="295">
      <c r="B295" s="151">
        <v>46039.0</v>
      </c>
      <c r="C295" s="141" t="str">
        <f t="shared" si="1"/>
        <v>1-2026</v>
      </c>
      <c r="F295" s="54">
        <f t="shared" si="13"/>
        <v>0</v>
      </c>
      <c r="G295" s="54">
        <f t="shared" si="3"/>
        <v>-10</v>
      </c>
    </row>
    <row r="296">
      <c r="B296" s="151">
        <v>46040.0</v>
      </c>
      <c r="C296" s="141" t="str">
        <f t="shared" si="1"/>
        <v>1-2026</v>
      </c>
      <c r="D296" s="165" t="str">
        <f>E295</f>
        <v/>
      </c>
      <c r="F296" s="54">
        <f t="shared" si="13"/>
        <v>0</v>
      </c>
      <c r="G296" s="54">
        <f t="shared" si="3"/>
        <v>-10</v>
      </c>
    </row>
    <row r="297">
      <c r="B297" s="140">
        <v>46041.0</v>
      </c>
      <c r="C297" s="141" t="str">
        <f t="shared" si="1"/>
        <v>1-2026</v>
      </c>
      <c r="D297" s="28">
        <v>7779.0</v>
      </c>
      <c r="E297" s="28">
        <v>7789.0</v>
      </c>
      <c r="F297" s="54">
        <f t="shared" si="13"/>
        <v>10</v>
      </c>
      <c r="G297" s="54">
        <f t="shared" si="3"/>
        <v>0</v>
      </c>
    </row>
    <row r="298">
      <c r="B298" s="140">
        <v>46042.0</v>
      </c>
      <c r="C298" s="141" t="str">
        <f t="shared" si="1"/>
        <v>1-2026</v>
      </c>
      <c r="D298" s="165">
        <f t="shared" ref="D298:D301" si="52">E297</f>
        <v>7789</v>
      </c>
      <c r="E298" s="28">
        <v>7800.0</v>
      </c>
      <c r="F298" s="54">
        <f t="shared" si="13"/>
        <v>11</v>
      </c>
      <c r="G298" s="54">
        <f t="shared" si="3"/>
        <v>1</v>
      </c>
    </row>
    <row r="299">
      <c r="B299" s="140">
        <v>46043.0</v>
      </c>
      <c r="C299" s="141" t="str">
        <f t="shared" si="1"/>
        <v>1-2026</v>
      </c>
      <c r="D299" s="165">
        <f t="shared" si="52"/>
        <v>7800</v>
      </c>
      <c r="E299" s="28">
        <v>7810.0</v>
      </c>
      <c r="F299" s="54">
        <f t="shared" si="13"/>
        <v>10</v>
      </c>
      <c r="G299" s="54">
        <f t="shared" si="3"/>
        <v>0</v>
      </c>
    </row>
    <row r="300">
      <c r="B300" s="140">
        <v>46044.0</v>
      </c>
      <c r="C300" s="141" t="str">
        <f t="shared" si="1"/>
        <v>1-2026</v>
      </c>
      <c r="D300" s="165">
        <f t="shared" si="52"/>
        <v>7810</v>
      </c>
      <c r="E300" s="28">
        <v>7820.0</v>
      </c>
      <c r="F300" s="54">
        <f t="shared" si="13"/>
        <v>10</v>
      </c>
      <c r="G300" s="54">
        <f t="shared" si="3"/>
        <v>0</v>
      </c>
    </row>
    <row r="301">
      <c r="B301" s="140">
        <v>46045.0</v>
      </c>
      <c r="C301" s="141" t="str">
        <f t="shared" si="1"/>
        <v>1-2026</v>
      </c>
      <c r="D301" s="165">
        <f t="shared" si="52"/>
        <v>7820</v>
      </c>
      <c r="E301" s="28">
        <v>7831.5</v>
      </c>
      <c r="F301" s="54">
        <f t="shared" si="13"/>
        <v>11.5</v>
      </c>
      <c r="G301" s="54">
        <f t="shared" si="3"/>
        <v>1.5</v>
      </c>
    </row>
    <row r="302">
      <c r="B302" s="151">
        <v>46046.0</v>
      </c>
      <c r="C302" s="141" t="str">
        <f t="shared" si="1"/>
        <v>1-2026</v>
      </c>
      <c r="F302" s="54">
        <f t="shared" si="13"/>
        <v>0</v>
      </c>
      <c r="G302" s="54">
        <f t="shared" si="3"/>
        <v>-10</v>
      </c>
    </row>
    <row r="303">
      <c r="B303" s="151">
        <v>46047.0</v>
      </c>
      <c r="C303" s="141" t="str">
        <f t="shared" si="1"/>
        <v>1-2026</v>
      </c>
      <c r="D303" s="165" t="str">
        <f t="shared" ref="D303:D304" si="53">E302</f>
        <v/>
      </c>
      <c r="F303" s="54">
        <f t="shared" si="13"/>
        <v>0</v>
      </c>
      <c r="G303" s="54">
        <f t="shared" si="3"/>
        <v>-10</v>
      </c>
    </row>
    <row r="304">
      <c r="B304" s="140">
        <v>46048.0</v>
      </c>
      <c r="C304" s="141" t="str">
        <f t="shared" si="1"/>
        <v>1-2026</v>
      </c>
      <c r="D304" s="165" t="str">
        <f t="shared" si="53"/>
        <v/>
      </c>
      <c r="F304" s="54">
        <f t="shared" si="13"/>
        <v>0</v>
      </c>
      <c r="G304" s="54">
        <f t="shared" si="3"/>
        <v>-10</v>
      </c>
    </row>
    <row r="305">
      <c r="B305" s="140">
        <v>46049.0</v>
      </c>
      <c r="C305" s="141" t="str">
        <f t="shared" si="1"/>
        <v>1-2026</v>
      </c>
      <c r="D305" s="28">
        <v>7831.5</v>
      </c>
      <c r="E305" s="28">
        <v>7839.5</v>
      </c>
      <c r="F305" s="54">
        <f t="shared" si="13"/>
        <v>8</v>
      </c>
      <c r="G305" s="54">
        <f t="shared" si="3"/>
        <v>-2</v>
      </c>
    </row>
    <row r="306">
      <c r="B306" s="140">
        <v>46050.0</v>
      </c>
      <c r="C306" s="141" t="str">
        <f t="shared" si="1"/>
        <v>1-2026</v>
      </c>
      <c r="D306" s="165">
        <f t="shared" ref="D306:D308" si="54">E305</f>
        <v>7839.5</v>
      </c>
      <c r="E306" s="28">
        <v>7853.0</v>
      </c>
      <c r="F306" s="54">
        <f t="shared" si="13"/>
        <v>13.5</v>
      </c>
      <c r="G306" s="54">
        <f t="shared" si="3"/>
        <v>3.5</v>
      </c>
    </row>
    <row r="307">
      <c r="B307" s="140">
        <v>46051.0</v>
      </c>
      <c r="C307" s="141" t="str">
        <f t="shared" si="1"/>
        <v>1-2026</v>
      </c>
      <c r="D307" s="165">
        <f t="shared" si="54"/>
        <v>7853</v>
      </c>
      <c r="E307" s="28">
        <v>7865.5</v>
      </c>
      <c r="F307" s="54">
        <f t="shared" si="13"/>
        <v>12.5</v>
      </c>
      <c r="G307" s="54">
        <f t="shared" si="3"/>
        <v>2.5</v>
      </c>
    </row>
    <row r="308">
      <c r="B308" s="140">
        <v>46052.0</v>
      </c>
      <c r="C308" s="141" t="str">
        <f t="shared" si="1"/>
        <v>1-2026</v>
      </c>
      <c r="D308" s="165">
        <f t="shared" si="54"/>
        <v>7865.5</v>
      </c>
      <c r="E308" s="28">
        <v>7876.5</v>
      </c>
      <c r="F308" s="54">
        <f t="shared" si="13"/>
        <v>11</v>
      </c>
      <c r="G308" s="54">
        <f t="shared" si="3"/>
        <v>1</v>
      </c>
    </row>
    <row r="309">
      <c r="B309" s="151">
        <v>46053.0</v>
      </c>
      <c r="C309" s="141" t="str">
        <f t="shared" si="1"/>
        <v>1-2026</v>
      </c>
      <c r="F309" s="54">
        <f t="shared" si="13"/>
        <v>0</v>
      </c>
      <c r="G309" s="54">
        <f t="shared" si="3"/>
        <v>-10</v>
      </c>
    </row>
    <row r="310">
      <c r="B310" s="140">
        <v>46054.0</v>
      </c>
      <c r="C310" s="141" t="str">
        <f t="shared" si="1"/>
        <v>2-2026</v>
      </c>
      <c r="D310" s="165" t="str">
        <f t="shared" ref="D310:D400" si="55">E309</f>
        <v/>
      </c>
      <c r="F310" s="54">
        <f t="shared" si="13"/>
        <v>0</v>
      </c>
      <c r="G310" s="54">
        <f t="shared" si="3"/>
        <v>-10</v>
      </c>
    </row>
    <row r="311">
      <c r="B311" s="140">
        <v>46055.0</v>
      </c>
      <c r="C311" s="141" t="str">
        <f t="shared" si="1"/>
        <v>2-2026</v>
      </c>
      <c r="D311" s="165" t="str">
        <f t="shared" si="55"/>
        <v/>
      </c>
      <c r="F311" s="54">
        <f t="shared" si="13"/>
        <v>0</v>
      </c>
      <c r="G311" s="54">
        <f t="shared" si="3"/>
        <v>-10</v>
      </c>
    </row>
    <row r="312">
      <c r="B312" s="140">
        <v>46056.0</v>
      </c>
      <c r="C312" s="141" t="str">
        <f t="shared" si="1"/>
        <v>2-2026</v>
      </c>
      <c r="D312" s="165" t="str">
        <f t="shared" si="55"/>
        <v/>
      </c>
      <c r="F312" s="54">
        <f t="shared" si="13"/>
        <v>0</v>
      </c>
      <c r="G312" s="54">
        <f t="shared" si="3"/>
        <v>-10</v>
      </c>
    </row>
    <row r="313">
      <c r="B313" s="140">
        <v>46057.0</v>
      </c>
      <c r="C313" s="141" t="str">
        <f t="shared" si="1"/>
        <v>2-2026</v>
      </c>
      <c r="D313" s="165" t="str">
        <f t="shared" si="55"/>
        <v/>
      </c>
      <c r="F313" s="54">
        <f t="shared" si="13"/>
        <v>0</v>
      </c>
      <c r="G313" s="54">
        <f t="shared" si="3"/>
        <v>-10</v>
      </c>
    </row>
    <row r="314">
      <c r="B314" s="140">
        <v>46058.0</v>
      </c>
      <c r="C314" s="141" t="str">
        <f t="shared" si="1"/>
        <v>2-2026</v>
      </c>
      <c r="D314" s="165" t="str">
        <f t="shared" si="55"/>
        <v/>
      </c>
      <c r="F314" s="54">
        <f t="shared" si="13"/>
        <v>0</v>
      </c>
      <c r="G314" s="54">
        <f t="shared" si="3"/>
        <v>-10</v>
      </c>
    </row>
    <row r="315">
      <c r="B315" s="140">
        <v>46059.0</v>
      </c>
      <c r="C315" s="141" t="str">
        <f t="shared" si="1"/>
        <v>2-2026</v>
      </c>
      <c r="D315" s="165" t="str">
        <f t="shared" si="55"/>
        <v/>
      </c>
      <c r="F315" s="54">
        <f t="shared" si="13"/>
        <v>0</v>
      </c>
      <c r="G315" s="54">
        <f t="shared" si="3"/>
        <v>-10</v>
      </c>
    </row>
    <row r="316">
      <c r="B316" s="140">
        <v>46060.0</v>
      </c>
      <c r="C316" s="141" t="str">
        <f t="shared" si="1"/>
        <v>2-2026</v>
      </c>
      <c r="D316" s="165" t="str">
        <f t="shared" si="55"/>
        <v/>
      </c>
      <c r="F316" s="54">
        <f t="shared" si="13"/>
        <v>0</v>
      </c>
      <c r="G316" s="54">
        <f t="shared" si="3"/>
        <v>-10</v>
      </c>
    </row>
    <row r="317">
      <c r="B317" s="140">
        <v>46061.0</v>
      </c>
      <c r="C317" s="141" t="str">
        <f t="shared" si="1"/>
        <v>2-2026</v>
      </c>
      <c r="D317" s="165" t="str">
        <f t="shared" si="55"/>
        <v/>
      </c>
      <c r="F317" s="54">
        <f t="shared" si="13"/>
        <v>0</v>
      </c>
      <c r="G317" s="54">
        <f t="shared" si="3"/>
        <v>-10</v>
      </c>
    </row>
    <row r="318">
      <c r="B318" s="140">
        <v>46062.0</v>
      </c>
      <c r="C318" s="141" t="str">
        <f t="shared" si="1"/>
        <v>2-2026</v>
      </c>
      <c r="D318" s="165" t="str">
        <f t="shared" si="55"/>
        <v/>
      </c>
      <c r="F318" s="54">
        <f t="shared" si="13"/>
        <v>0</v>
      </c>
      <c r="G318" s="54">
        <f t="shared" si="3"/>
        <v>-10</v>
      </c>
    </row>
    <row r="319">
      <c r="B319" s="140">
        <v>46063.0</v>
      </c>
      <c r="C319" s="141" t="str">
        <f t="shared" si="1"/>
        <v>2-2026</v>
      </c>
      <c r="D319" s="165" t="str">
        <f t="shared" si="55"/>
        <v/>
      </c>
      <c r="F319" s="54">
        <f t="shared" si="13"/>
        <v>0</v>
      </c>
      <c r="G319" s="54">
        <f t="shared" si="3"/>
        <v>-10</v>
      </c>
    </row>
    <row r="320">
      <c r="B320" s="140">
        <v>46064.0</v>
      </c>
      <c r="C320" s="141" t="str">
        <f t="shared" si="1"/>
        <v>2-2026</v>
      </c>
      <c r="D320" s="165" t="str">
        <f t="shared" si="55"/>
        <v/>
      </c>
      <c r="F320" s="54">
        <f t="shared" si="13"/>
        <v>0</v>
      </c>
      <c r="G320" s="54">
        <f t="shared" si="3"/>
        <v>-10</v>
      </c>
    </row>
    <row r="321">
      <c r="B321" s="140">
        <v>46065.0</v>
      </c>
      <c r="C321" s="141" t="str">
        <f t="shared" si="1"/>
        <v>2-2026</v>
      </c>
      <c r="D321" s="165" t="str">
        <f t="shared" si="55"/>
        <v/>
      </c>
      <c r="F321" s="54">
        <f t="shared" si="13"/>
        <v>0</v>
      </c>
      <c r="G321" s="54">
        <f t="shared" si="3"/>
        <v>-10</v>
      </c>
    </row>
    <row r="322">
      <c r="B322" s="140">
        <v>46066.0</v>
      </c>
      <c r="C322" s="141" t="str">
        <f t="shared" si="1"/>
        <v>2-2026</v>
      </c>
      <c r="D322" s="165" t="str">
        <f t="shared" si="55"/>
        <v/>
      </c>
      <c r="F322" s="54">
        <f t="shared" si="13"/>
        <v>0</v>
      </c>
      <c r="G322" s="54">
        <f t="shared" si="3"/>
        <v>-10</v>
      </c>
    </row>
    <row r="323">
      <c r="B323" s="140">
        <v>46067.0</v>
      </c>
      <c r="C323" s="141" t="str">
        <f t="shared" si="1"/>
        <v>2-2026</v>
      </c>
      <c r="D323" s="165" t="str">
        <f t="shared" si="55"/>
        <v/>
      </c>
      <c r="F323" s="54">
        <f t="shared" si="13"/>
        <v>0</v>
      </c>
      <c r="G323" s="54">
        <f t="shared" si="3"/>
        <v>-10</v>
      </c>
    </row>
    <row r="324">
      <c r="B324" s="140">
        <v>46068.0</v>
      </c>
      <c r="C324" s="141" t="str">
        <f t="shared" si="1"/>
        <v>2-2026</v>
      </c>
      <c r="D324" s="165" t="str">
        <f t="shared" si="55"/>
        <v/>
      </c>
      <c r="F324" s="54">
        <f t="shared" si="13"/>
        <v>0</v>
      </c>
      <c r="G324" s="54">
        <f t="shared" si="3"/>
        <v>-10</v>
      </c>
    </row>
    <row r="325">
      <c r="B325" s="140">
        <v>46069.0</v>
      </c>
      <c r="C325" s="141" t="str">
        <f t="shared" si="1"/>
        <v>2-2026</v>
      </c>
      <c r="D325" s="165" t="str">
        <f t="shared" si="55"/>
        <v/>
      </c>
      <c r="F325" s="54">
        <f t="shared" si="13"/>
        <v>0</v>
      </c>
      <c r="G325" s="54">
        <f t="shared" si="3"/>
        <v>-10</v>
      </c>
    </row>
    <row r="326">
      <c r="B326" s="140">
        <v>46070.0</v>
      </c>
      <c r="C326" s="141" t="str">
        <f t="shared" si="1"/>
        <v>2-2026</v>
      </c>
      <c r="D326" s="165" t="str">
        <f t="shared" si="55"/>
        <v/>
      </c>
      <c r="F326" s="54">
        <f t="shared" si="13"/>
        <v>0</v>
      </c>
      <c r="G326" s="54">
        <f t="shared" si="3"/>
        <v>-10</v>
      </c>
    </row>
    <row r="327">
      <c r="B327" s="140">
        <v>46071.0</v>
      </c>
      <c r="C327" s="141" t="str">
        <f t="shared" si="1"/>
        <v>2-2026</v>
      </c>
      <c r="D327" s="165" t="str">
        <f t="shared" si="55"/>
        <v/>
      </c>
      <c r="F327" s="54">
        <f t="shared" si="13"/>
        <v>0</v>
      </c>
      <c r="G327" s="54">
        <f t="shared" si="3"/>
        <v>-10</v>
      </c>
    </row>
    <row r="328">
      <c r="B328" s="140">
        <v>46072.0</v>
      </c>
      <c r="C328" s="141" t="str">
        <f t="shared" si="1"/>
        <v>2-2026</v>
      </c>
      <c r="D328" s="165" t="str">
        <f t="shared" si="55"/>
        <v/>
      </c>
      <c r="F328" s="54">
        <f t="shared" si="13"/>
        <v>0</v>
      </c>
      <c r="G328" s="54">
        <f t="shared" si="3"/>
        <v>-10</v>
      </c>
    </row>
    <row r="329">
      <c r="B329" s="140">
        <v>46073.0</v>
      </c>
      <c r="C329" s="141" t="str">
        <f t="shared" si="1"/>
        <v>2-2026</v>
      </c>
      <c r="D329" s="165" t="str">
        <f t="shared" si="55"/>
        <v/>
      </c>
      <c r="F329" s="54">
        <f t="shared" si="13"/>
        <v>0</v>
      </c>
      <c r="G329" s="54">
        <f t="shared" si="3"/>
        <v>-10</v>
      </c>
    </row>
    <row r="330">
      <c r="D330" s="165" t="str">
        <f t="shared" si="55"/>
        <v/>
      </c>
      <c r="F330" s="54">
        <f t="shared" si="13"/>
        <v>0</v>
      </c>
      <c r="G330" s="54">
        <f t="shared" si="3"/>
        <v>-10</v>
      </c>
    </row>
    <row r="331">
      <c r="D331" s="165" t="str">
        <f t="shared" si="55"/>
        <v/>
      </c>
      <c r="F331" s="54">
        <f t="shared" si="13"/>
        <v>0</v>
      </c>
      <c r="G331" s="54">
        <f t="shared" si="3"/>
        <v>-10</v>
      </c>
    </row>
    <row r="332">
      <c r="D332" s="165" t="str">
        <f t="shared" si="55"/>
        <v/>
      </c>
      <c r="F332" s="54">
        <f t="shared" si="13"/>
        <v>0</v>
      </c>
      <c r="G332" s="54">
        <f t="shared" si="3"/>
        <v>-10</v>
      </c>
    </row>
    <row r="333">
      <c r="D333" s="165" t="str">
        <f t="shared" si="55"/>
        <v/>
      </c>
      <c r="F333" s="54">
        <f t="shared" si="13"/>
        <v>0</v>
      </c>
      <c r="G333" s="54">
        <f t="shared" si="3"/>
        <v>-10</v>
      </c>
    </row>
    <row r="334">
      <c r="D334" s="165" t="str">
        <f t="shared" si="55"/>
        <v/>
      </c>
      <c r="F334" s="54">
        <f t="shared" si="13"/>
        <v>0</v>
      </c>
      <c r="G334" s="54">
        <f t="shared" si="3"/>
        <v>-10</v>
      </c>
    </row>
    <row r="335">
      <c r="D335" s="165" t="str">
        <f t="shared" si="55"/>
        <v/>
      </c>
      <c r="F335" s="54">
        <f t="shared" si="13"/>
        <v>0</v>
      </c>
      <c r="G335" s="54">
        <f t="shared" si="3"/>
        <v>-10</v>
      </c>
    </row>
    <row r="336">
      <c r="D336" s="165" t="str">
        <f t="shared" si="55"/>
        <v/>
      </c>
      <c r="F336" s="54">
        <f t="shared" si="13"/>
        <v>0</v>
      </c>
      <c r="G336" s="54">
        <f t="shared" si="3"/>
        <v>-10</v>
      </c>
    </row>
    <row r="337">
      <c r="D337" s="165" t="str">
        <f t="shared" si="55"/>
        <v/>
      </c>
      <c r="F337" s="54">
        <f t="shared" si="13"/>
        <v>0</v>
      </c>
      <c r="G337" s="54">
        <f t="shared" si="3"/>
        <v>-10</v>
      </c>
    </row>
    <row r="338">
      <c r="D338" s="165" t="str">
        <f t="shared" si="55"/>
        <v/>
      </c>
      <c r="F338" s="54">
        <f t="shared" si="13"/>
        <v>0</v>
      </c>
      <c r="G338" s="54">
        <f t="shared" si="3"/>
        <v>-10</v>
      </c>
    </row>
    <row r="339">
      <c r="D339" s="165" t="str">
        <f t="shared" si="55"/>
        <v/>
      </c>
      <c r="F339" s="54">
        <f t="shared" si="13"/>
        <v>0</v>
      </c>
      <c r="G339" s="54">
        <f t="shared" si="3"/>
        <v>-10</v>
      </c>
    </row>
    <row r="340">
      <c r="D340" s="165" t="str">
        <f t="shared" si="55"/>
        <v/>
      </c>
      <c r="F340" s="54">
        <f t="shared" si="13"/>
        <v>0</v>
      </c>
      <c r="G340" s="54">
        <f t="shared" si="3"/>
        <v>-10</v>
      </c>
    </row>
    <row r="341">
      <c r="D341" s="165" t="str">
        <f t="shared" si="55"/>
        <v/>
      </c>
      <c r="F341" s="54">
        <f t="shared" si="13"/>
        <v>0</v>
      </c>
      <c r="G341" s="54">
        <f t="shared" si="3"/>
        <v>-10</v>
      </c>
    </row>
    <row r="342">
      <c r="D342" s="165" t="str">
        <f t="shared" si="55"/>
        <v/>
      </c>
      <c r="F342" s="54">
        <f t="shared" si="13"/>
        <v>0</v>
      </c>
      <c r="G342" s="54">
        <f t="shared" si="3"/>
        <v>-10</v>
      </c>
    </row>
    <row r="343">
      <c r="D343" s="165" t="str">
        <f t="shared" si="55"/>
        <v/>
      </c>
      <c r="F343" s="54">
        <f t="shared" si="13"/>
        <v>0</v>
      </c>
      <c r="G343" s="54">
        <f t="shared" si="3"/>
        <v>-10</v>
      </c>
    </row>
    <row r="344">
      <c r="D344" s="165" t="str">
        <f t="shared" si="55"/>
        <v/>
      </c>
      <c r="F344" s="54">
        <f t="shared" si="13"/>
        <v>0</v>
      </c>
      <c r="G344" s="54">
        <f t="shared" si="3"/>
        <v>-10</v>
      </c>
    </row>
    <row r="345">
      <c r="D345" s="165" t="str">
        <f t="shared" si="55"/>
        <v/>
      </c>
      <c r="F345" s="54">
        <f t="shared" si="13"/>
        <v>0</v>
      </c>
      <c r="G345" s="54">
        <f t="shared" si="3"/>
        <v>-10</v>
      </c>
    </row>
    <row r="346">
      <c r="D346" s="165" t="str">
        <f t="shared" si="55"/>
        <v/>
      </c>
      <c r="F346" s="54">
        <f t="shared" si="13"/>
        <v>0</v>
      </c>
      <c r="G346" s="54">
        <f t="shared" si="3"/>
        <v>-10</v>
      </c>
    </row>
    <row r="347">
      <c r="D347" s="165" t="str">
        <f t="shared" si="55"/>
        <v/>
      </c>
      <c r="F347" s="54">
        <f t="shared" si="13"/>
        <v>0</v>
      </c>
      <c r="G347" s="54">
        <f t="shared" si="3"/>
        <v>-10</v>
      </c>
    </row>
    <row r="348">
      <c r="D348" s="165" t="str">
        <f t="shared" si="55"/>
        <v/>
      </c>
      <c r="F348" s="54">
        <f t="shared" si="13"/>
        <v>0</v>
      </c>
      <c r="G348" s="54">
        <f t="shared" si="3"/>
        <v>-10</v>
      </c>
    </row>
    <row r="349">
      <c r="D349" s="165" t="str">
        <f t="shared" si="55"/>
        <v/>
      </c>
      <c r="F349" s="54">
        <f t="shared" si="13"/>
        <v>0</v>
      </c>
      <c r="G349" s="54">
        <f t="shared" si="3"/>
        <v>-10</v>
      </c>
    </row>
    <row r="350">
      <c r="D350" s="165" t="str">
        <f t="shared" si="55"/>
        <v/>
      </c>
      <c r="F350" s="54">
        <f t="shared" si="13"/>
        <v>0</v>
      </c>
      <c r="G350" s="54">
        <f t="shared" si="3"/>
        <v>-10</v>
      </c>
    </row>
    <row r="351">
      <c r="D351" s="165" t="str">
        <f t="shared" si="55"/>
        <v/>
      </c>
      <c r="F351" s="54">
        <f t="shared" si="13"/>
        <v>0</v>
      </c>
      <c r="G351" s="54">
        <f t="shared" si="3"/>
        <v>-10</v>
      </c>
    </row>
    <row r="352">
      <c r="D352" s="165" t="str">
        <f t="shared" si="55"/>
        <v/>
      </c>
      <c r="F352" s="54">
        <f t="shared" si="13"/>
        <v>0</v>
      </c>
      <c r="G352" s="54">
        <f t="shared" si="3"/>
        <v>-10</v>
      </c>
    </row>
    <row r="353">
      <c r="D353" s="165" t="str">
        <f t="shared" si="55"/>
        <v/>
      </c>
      <c r="F353" s="54">
        <f t="shared" si="13"/>
        <v>0</v>
      </c>
      <c r="G353" s="54">
        <f t="shared" si="3"/>
        <v>-10</v>
      </c>
    </row>
    <row r="354">
      <c r="D354" s="165" t="str">
        <f t="shared" si="55"/>
        <v/>
      </c>
      <c r="F354" s="54">
        <f t="shared" si="13"/>
        <v>0</v>
      </c>
      <c r="G354" s="54">
        <f t="shared" si="3"/>
        <v>-10</v>
      </c>
    </row>
    <row r="355">
      <c r="D355" s="165" t="str">
        <f t="shared" si="55"/>
        <v/>
      </c>
      <c r="F355" s="54">
        <f t="shared" si="13"/>
        <v>0</v>
      </c>
      <c r="G355" s="54">
        <f t="shared" si="3"/>
        <v>-10</v>
      </c>
    </row>
    <row r="356">
      <c r="D356" s="165" t="str">
        <f t="shared" si="55"/>
        <v/>
      </c>
      <c r="F356" s="54">
        <f t="shared" si="13"/>
        <v>0</v>
      </c>
      <c r="G356" s="54">
        <f t="shared" si="3"/>
        <v>-10</v>
      </c>
    </row>
    <row r="357">
      <c r="D357" s="165" t="str">
        <f t="shared" si="55"/>
        <v/>
      </c>
      <c r="F357" s="54">
        <f t="shared" si="13"/>
        <v>0</v>
      </c>
      <c r="G357" s="54">
        <f t="shared" si="3"/>
        <v>-10</v>
      </c>
    </row>
    <row r="358">
      <c r="D358" s="165" t="str">
        <f t="shared" si="55"/>
        <v/>
      </c>
      <c r="F358" s="54">
        <f t="shared" si="13"/>
        <v>0</v>
      </c>
      <c r="G358" s="54">
        <f t="shared" si="3"/>
        <v>-10</v>
      </c>
    </row>
    <row r="359">
      <c r="D359" s="165" t="str">
        <f t="shared" si="55"/>
        <v/>
      </c>
      <c r="F359" s="54">
        <f t="shared" si="13"/>
        <v>0</v>
      </c>
      <c r="G359" s="54">
        <f t="shared" si="3"/>
        <v>-10</v>
      </c>
    </row>
    <row r="360">
      <c r="D360" s="165" t="str">
        <f t="shared" si="55"/>
        <v/>
      </c>
      <c r="F360" s="54">
        <f t="shared" si="13"/>
        <v>0</v>
      </c>
      <c r="G360" s="54">
        <f t="shared" si="3"/>
        <v>-10</v>
      </c>
    </row>
    <row r="361">
      <c r="D361" s="165" t="str">
        <f t="shared" si="55"/>
        <v/>
      </c>
      <c r="F361" s="54">
        <f t="shared" si="13"/>
        <v>0</v>
      </c>
      <c r="G361" s="54">
        <f t="shared" si="3"/>
        <v>-10</v>
      </c>
    </row>
    <row r="362">
      <c r="D362" s="165" t="str">
        <f t="shared" si="55"/>
        <v/>
      </c>
    </row>
    <row r="363">
      <c r="D363" s="165" t="str">
        <f t="shared" si="55"/>
        <v/>
      </c>
    </row>
    <row r="364">
      <c r="D364" s="165" t="str">
        <f t="shared" si="55"/>
        <v/>
      </c>
    </row>
    <row r="365">
      <c r="D365" s="165" t="str">
        <f t="shared" si="55"/>
        <v/>
      </c>
    </row>
    <row r="366">
      <c r="D366" s="165" t="str">
        <f t="shared" si="55"/>
        <v/>
      </c>
    </row>
    <row r="367">
      <c r="D367" s="165" t="str">
        <f t="shared" si="55"/>
        <v/>
      </c>
    </row>
    <row r="368">
      <c r="D368" s="165" t="str">
        <f t="shared" si="55"/>
        <v/>
      </c>
    </row>
    <row r="369">
      <c r="D369" s="165" t="str">
        <f t="shared" si="55"/>
        <v/>
      </c>
    </row>
    <row r="370">
      <c r="D370" s="165" t="str">
        <f t="shared" si="55"/>
        <v/>
      </c>
    </row>
    <row r="371">
      <c r="D371" s="165" t="str">
        <f t="shared" si="55"/>
        <v/>
      </c>
    </row>
    <row r="372">
      <c r="D372" s="165" t="str">
        <f t="shared" si="55"/>
        <v/>
      </c>
    </row>
    <row r="373">
      <c r="D373" s="165" t="str">
        <f t="shared" si="55"/>
        <v/>
      </c>
    </row>
    <row r="374">
      <c r="D374" s="165" t="str">
        <f t="shared" si="55"/>
        <v/>
      </c>
    </row>
    <row r="375">
      <c r="D375" s="165" t="str">
        <f t="shared" si="55"/>
        <v/>
      </c>
    </row>
    <row r="376">
      <c r="D376" s="165" t="str">
        <f t="shared" si="55"/>
        <v/>
      </c>
    </row>
    <row r="377">
      <c r="D377" s="165" t="str">
        <f t="shared" si="55"/>
        <v/>
      </c>
    </row>
    <row r="378">
      <c r="D378" s="165" t="str">
        <f t="shared" si="55"/>
        <v/>
      </c>
    </row>
    <row r="379">
      <c r="D379" s="165" t="str">
        <f t="shared" si="55"/>
        <v/>
      </c>
    </row>
    <row r="380">
      <c r="D380" s="165" t="str">
        <f t="shared" si="55"/>
        <v/>
      </c>
    </row>
    <row r="381">
      <c r="D381" s="165" t="str">
        <f t="shared" si="55"/>
        <v/>
      </c>
    </row>
    <row r="382">
      <c r="D382" s="165" t="str">
        <f t="shared" si="55"/>
        <v/>
      </c>
    </row>
    <row r="383">
      <c r="D383" s="165" t="str">
        <f t="shared" si="55"/>
        <v/>
      </c>
    </row>
    <row r="384">
      <c r="D384" s="165" t="str">
        <f t="shared" si="55"/>
        <v/>
      </c>
    </row>
    <row r="385">
      <c r="D385" s="165" t="str">
        <f t="shared" si="55"/>
        <v/>
      </c>
    </row>
    <row r="386">
      <c r="D386" s="165" t="str">
        <f t="shared" si="55"/>
        <v/>
      </c>
    </row>
    <row r="387">
      <c r="D387" s="165" t="str">
        <f t="shared" si="55"/>
        <v/>
      </c>
    </row>
    <row r="388">
      <c r="D388" s="165" t="str">
        <f t="shared" si="55"/>
        <v/>
      </c>
    </row>
    <row r="389">
      <c r="D389" s="165" t="str">
        <f t="shared" si="55"/>
        <v/>
      </c>
    </row>
    <row r="390">
      <c r="D390" s="165" t="str">
        <f t="shared" si="55"/>
        <v/>
      </c>
    </row>
    <row r="391">
      <c r="D391" s="165" t="str">
        <f t="shared" si="55"/>
        <v/>
      </c>
    </row>
    <row r="392">
      <c r="D392" s="165" t="str">
        <f t="shared" si="55"/>
        <v/>
      </c>
    </row>
    <row r="393">
      <c r="D393" s="165" t="str">
        <f t="shared" si="55"/>
        <v/>
      </c>
    </row>
    <row r="394">
      <c r="D394" s="165" t="str">
        <f t="shared" si="55"/>
        <v/>
      </c>
    </row>
    <row r="395">
      <c r="D395" s="165" t="str">
        <f t="shared" si="55"/>
        <v/>
      </c>
    </row>
    <row r="396">
      <c r="D396" s="165" t="str">
        <f t="shared" si="55"/>
        <v/>
      </c>
    </row>
    <row r="397">
      <c r="D397" s="165" t="str">
        <f t="shared" si="55"/>
        <v/>
      </c>
    </row>
    <row r="398">
      <c r="D398" s="165" t="str">
        <f t="shared" si="55"/>
        <v/>
      </c>
    </row>
    <row r="399">
      <c r="D399" s="165" t="str">
        <f t="shared" si="55"/>
        <v/>
      </c>
    </row>
    <row r="400">
      <c r="D400" s="165" t="str">
        <f t="shared" si="55"/>
        <v/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7.29"/>
  </cols>
  <sheetData>
    <row r="3">
      <c r="B3" s="192">
        <v>45962.0</v>
      </c>
      <c r="C3" s="141" t="str">
        <f t="shared" ref="C3:C208" si="1">MONTH(B3)&amp; "-" &amp;YEAR(B3)</f>
        <v>11-2025</v>
      </c>
      <c r="F3" s="54">
        <f t="shared" ref="F3:F215" si="2">E3-D3</f>
        <v>0</v>
      </c>
      <c r="G3" s="54">
        <f t="shared" ref="G3:G215" si="3">F3-10</f>
        <v>-10</v>
      </c>
    </row>
    <row r="4">
      <c r="B4" s="192">
        <v>45963.0</v>
      </c>
      <c r="C4" s="141" t="str">
        <f t="shared" si="1"/>
        <v>11-2025</v>
      </c>
      <c r="F4" s="54">
        <f t="shared" si="2"/>
        <v>0</v>
      </c>
      <c r="G4" s="54">
        <f t="shared" si="3"/>
        <v>-10</v>
      </c>
    </row>
    <row r="5">
      <c r="B5" s="192">
        <v>45964.0</v>
      </c>
      <c r="C5" s="141" t="str">
        <f t="shared" si="1"/>
        <v>11-2025</v>
      </c>
      <c r="F5" s="54">
        <f t="shared" si="2"/>
        <v>0</v>
      </c>
      <c r="G5" s="54">
        <f t="shared" si="3"/>
        <v>-10</v>
      </c>
    </row>
    <row r="6">
      <c r="B6" s="192">
        <v>45965.0</v>
      </c>
      <c r="C6" s="141" t="str">
        <f t="shared" si="1"/>
        <v>11-2025</v>
      </c>
      <c r="F6" s="54">
        <f t="shared" si="2"/>
        <v>0</v>
      </c>
      <c r="G6" s="54">
        <f t="shared" si="3"/>
        <v>-10</v>
      </c>
    </row>
    <row r="7">
      <c r="B7" s="192">
        <v>45966.0</v>
      </c>
      <c r="C7" s="141" t="str">
        <f t="shared" si="1"/>
        <v>11-2025</v>
      </c>
      <c r="F7" s="54">
        <f t="shared" si="2"/>
        <v>0</v>
      </c>
      <c r="G7" s="54">
        <f t="shared" si="3"/>
        <v>-10</v>
      </c>
    </row>
    <row r="8">
      <c r="B8" s="192">
        <v>45967.0</v>
      </c>
      <c r="C8" s="141" t="str">
        <f t="shared" si="1"/>
        <v>11-2025</v>
      </c>
      <c r="F8" s="54">
        <f t="shared" si="2"/>
        <v>0</v>
      </c>
      <c r="G8" s="54">
        <f t="shared" si="3"/>
        <v>-10</v>
      </c>
    </row>
    <row r="9">
      <c r="B9" s="192">
        <v>45968.0</v>
      </c>
      <c r="C9" s="141" t="str">
        <f t="shared" si="1"/>
        <v>11-2025</v>
      </c>
      <c r="F9" s="54">
        <f t="shared" si="2"/>
        <v>0</v>
      </c>
      <c r="G9" s="54">
        <f t="shared" si="3"/>
        <v>-10</v>
      </c>
    </row>
    <row r="10">
      <c r="B10" s="192">
        <v>45969.0</v>
      </c>
      <c r="C10" s="141" t="str">
        <f t="shared" si="1"/>
        <v>11-2025</v>
      </c>
      <c r="F10" s="54">
        <f t="shared" si="2"/>
        <v>0</v>
      </c>
      <c r="G10" s="54">
        <f t="shared" si="3"/>
        <v>-10</v>
      </c>
    </row>
    <row r="11">
      <c r="B11" s="192">
        <v>45970.0</v>
      </c>
      <c r="C11" s="141" t="str">
        <f t="shared" si="1"/>
        <v>11-2025</v>
      </c>
      <c r="F11" s="54">
        <f t="shared" si="2"/>
        <v>0</v>
      </c>
      <c r="G11" s="54">
        <f t="shared" si="3"/>
        <v>-10</v>
      </c>
    </row>
    <row r="12">
      <c r="B12" s="192">
        <v>45971.0</v>
      </c>
      <c r="C12" s="141" t="str">
        <f t="shared" si="1"/>
        <v>11-2025</v>
      </c>
      <c r="D12" s="28">
        <v>13970.0</v>
      </c>
      <c r="E12" s="28">
        <v>13977.0</v>
      </c>
      <c r="F12" s="54">
        <f t="shared" si="2"/>
        <v>7</v>
      </c>
      <c r="G12" s="54">
        <f t="shared" si="3"/>
        <v>-3</v>
      </c>
    </row>
    <row r="13">
      <c r="B13" s="192">
        <v>45972.0</v>
      </c>
      <c r="C13" s="141" t="str">
        <f t="shared" si="1"/>
        <v>11-2025</v>
      </c>
      <c r="D13" s="165">
        <f>E12</f>
        <v>13977</v>
      </c>
      <c r="E13" s="28">
        <v>13980.0</v>
      </c>
      <c r="F13" s="54">
        <f t="shared" si="2"/>
        <v>3</v>
      </c>
      <c r="G13" s="54">
        <f t="shared" si="3"/>
        <v>-7</v>
      </c>
    </row>
    <row r="14">
      <c r="B14" s="192">
        <v>45973.0</v>
      </c>
      <c r="C14" s="141" t="str">
        <f t="shared" si="1"/>
        <v>11-2025</v>
      </c>
      <c r="F14" s="54">
        <f t="shared" si="2"/>
        <v>0</v>
      </c>
      <c r="G14" s="54">
        <f t="shared" si="3"/>
        <v>-10</v>
      </c>
    </row>
    <row r="15">
      <c r="B15" s="192">
        <v>45974.0</v>
      </c>
      <c r="C15" s="141" t="str">
        <f t="shared" si="1"/>
        <v>11-2025</v>
      </c>
      <c r="D15" s="28">
        <v>13980.0</v>
      </c>
      <c r="E15" s="28">
        <v>13984.0</v>
      </c>
      <c r="F15" s="54">
        <f t="shared" si="2"/>
        <v>4</v>
      </c>
      <c r="G15" s="54">
        <f t="shared" si="3"/>
        <v>-6</v>
      </c>
    </row>
    <row r="16">
      <c r="B16" s="192">
        <v>45975.0</v>
      </c>
      <c r="C16" s="141" t="str">
        <f t="shared" si="1"/>
        <v>11-2025</v>
      </c>
      <c r="D16" s="165">
        <f>E15</f>
        <v>13984</v>
      </c>
      <c r="E16" s="28">
        <v>13992.6</v>
      </c>
      <c r="F16" s="54">
        <f t="shared" si="2"/>
        <v>8.6</v>
      </c>
      <c r="G16" s="54">
        <f t="shared" si="3"/>
        <v>-1.4</v>
      </c>
    </row>
    <row r="17">
      <c r="B17" s="192">
        <v>45976.0</v>
      </c>
      <c r="C17" s="141" t="str">
        <f t="shared" si="1"/>
        <v>11-2025</v>
      </c>
      <c r="F17" s="54">
        <f t="shared" si="2"/>
        <v>0</v>
      </c>
      <c r="G17" s="54">
        <f t="shared" si="3"/>
        <v>-10</v>
      </c>
    </row>
    <row r="18">
      <c r="B18" s="192">
        <v>45977.0</v>
      </c>
      <c r="C18" s="141" t="str">
        <f t="shared" si="1"/>
        <v>11-2025</v>
      </c>
      <c r="D18" s="165" t="str">
        <f t="shared" ref="D18:D19" si="4">E17</f>
        <v/>
      </c>
      <c r="F18" s="54">
        <f t="shared" si="2"/>
        <v>0</v>
      </c>
      <c r="G18" s="54">
        <f t="shared" si="3"/>
        <v>-10</v>
      </c>
    </row>
    <row r="19">
      <c r="B19" s="192">
        <v>45978.0</v>
      </c>
      <c r="C19" s="141" t="str">
        <f t="shared" si="1"/>
        <v>11-2025</v>
      </c>
      <c r="D19" s="165" t="str">
        <f t="shared" si="4"/>
        <v/>
      </c>
      <c r="F19" s="54">
        <f t="shared" si="2"/>
        <v>0</v>
      </c>
      <c r="G19" s="54">
        <f t="shared" si="3"/>
        <v>-10</v>
      </c>
    </row>
    <row r="20">
      <c r="B20" s="192">
        <v>45979.0</v>
      </c>
      <c r="C20" s="141" t="str">
        <f t="shared" si="1"/>
        <v>11-2025</v>
      </c>
      <c r="D20" s="28">
        <v>13992.6</v>
      </c>
      <c r="E20" s="28">
        <v>13995.9</v>
      </c>
      <c r="F20" s="54">
        <f t="shared" si="2"/>
        <v>3.3</v>
      </c>
      <c r="G20" s="54">
        <f t="shared" si="3"/>
        <v>-6.7</v>
      </c>
    </row>
    <row r="21">
      <c r="B21" s="192">
        <v>45980.0</v>
      </c>
      <c r="C21" s="141" t="str">
        <f t="shared" si="1"/>
        <v>11-2025</v>
      </c>
      <c r="D21" s="165">
        <f t="shared" ref="D21:D23" si="5">E20</f>
        <v>13995.9</v>
      </c>
      <c r="E21" s="28">
        <v>14002.6</v>
      </c>
      <c r="F21" s="54">
        <f t="shared" si="2"/>
        <v>6.7</v>
      </c>
      <c r="G21" s="54">
        <f t="shared" si="3"/>
        <v>-3.3</v>
      </c>
    </row>
    <row r="22">
      <c r="B22" s="192">
        <v>45981.0</v>
      </c>
      <c r="C22" s="141" t="str">
        <f t="shared" si="1"/>
        <v>11-2025</v>
      </c>
      <c r="D22" s="165">
        <f t="shared" si="5"/>
        <v>14002.6</v>
      </c>
      <c r="E22" s="28">
        <v>14010.7</v>
      </c>
      <c r="F22" s="54">
        <f t="shared" si="2"/>
        <v>8.1</v>
      </c>
      <c r="G22" s="54">
        <f t="shared" si="3"/>
        <v>-1.9</v>
      </c>
    </row>
    <row r="23">
      <c r="B23" s="192">
        <v>45982.0</v>
      </c>
      <c r="C23" s="141" t="str">
        <f t="shared" si="1"/>
        <v>11-2025</v>
      </c>
      <c r="D23" s="165">
        <f t="shared" si="5"/>
        <v>14010.7</v>
      </c>
      <c r="E23" s="28">
        <v>14019.6</v>
      </c>
      <c r="F23" s="54">
        <f t="shared" si="2"/>
        <v>8.9</v>
      </c>
      <c r="G23" s="54">
        <f t="shared" si="3"/>
        <v>-1.1</v>
      </c>
    </row>
    <row r="24">
      <c r="B24" s="192">
        <v>45983.0</v>
      </c>
      <c r="C24" s="141" t="str">
        <f t="shared" si="1"/>
        <v>11-2025</v>
      </c>
      <c r="F24" s="54">
        <f t="shared" si="2"/>
        <v>0</v>
      </c>
      <c r="G24" s="54">
        <f t="shared" si="3"/>
        <v>-10</v>
      </c>
    </row>
    <row r="25">
      <c r="B25" s="192">
        <v>45984.0</v>
      </c>
      <c r="C25" s="141" t="str">
        <f t="shared" si="1"/>
        <v>11-2025</v>
      </c>
      <c r="D25" s="165" t="str">
        <f t="shared" ref="D25:D26" si="6">E24</f>
        <v/>
      </c>
      <c r="F25" s="54">
        <f t="shared" si="2"/>
        <v>0</v>
      </c>
      <c r="G25" s="54">
        <f t="shared" si="3"/>
        <v>-10</v>
      </c>
    </row>
    <row r="26">
      <c r="B26" s="192">
        <v>45985.0</v>
      </c>
      <c r="C26" s="141" t="str">
        <f t="shared" si="1"/>
        <v>11-2025</v>
      </c>
      <c r="D26" s="165" t="str">
        <f t="shared" si="6"/>
        <v/>
      </c>
      <c r="F26" s="54">
        <f t="shared" si="2"/>
        <v>0</v>
      </c>
      <c r="G26" s="54">
        <f t="shared" si="3"/>
        <v>-10</v>
      </c>
    </row>
    <row r="27">
      <c r="B27" s="192">
        <v>45986.0</v>
      </c>
      <c r="C27" s="141" t="str">
        <f t="shared" si="1"/>
        <v>11-2025</v>
      </c>
      <c r="D27" s="28">
        <v>14019.6</v>
      </c>
      <c r="E27" s="28">
        <v>14027.6</v>
      </c>
      <c r="F27" s="54">
        <f t="shared" si="2"/>
        <v>8</v>
      </c>
      <c r="G27" s="54">
        <f t="shared" si="3"/>
        <v>-2</v>
      </c>
    </row>
    <row r="28">
      <c r="B28" s="192">
        <v>45987.0</v>
      </c>
      <c r="C28" s="141" t="str">
        <f t="shared" si="1"/>
        <v>11-2025</v>
      </c>
      <c r="D28" s="165">
        <f t="shared" ref="D28:D30" si="7">E27</f>
        <v>14027.6</v>
      </c>
      <c r="E28" s="28">
        <v>14035.1</v>
      </c>
      <c r="F28" s="54">
        <f t="shared" si="2"/>
        <v>7.5</v>
      </c>
      <c r="G28" s="54">
        <f t="shared" si="3"/>
        <v>-2.5</v>
      </c>
    </row>
    <row r="29">
      <c r="B29" s="192">
        <v>45988.0</v>
      </c>
      <c r="C29" s="141" t="str">
        <f t="shared" si="1"/>
        <v>11-2025</v>
      </c>
      <c r="D29" s="165">
        <f t="shared" si="7"/>
        <v>14035.1</v>
      </c>
      <c r="E29" s="28">
        <v>14042.6</v>
      </c>
      <c r="F29" s="54">
        <f t="shared" si="2"/>
        <v>7.5</v>
      </c>
      <c r="G29" s="54">
        <f t="shared" si="3"/>
        <v>-2.5</v>
      </c>
    </row>
    <row r="30">
      <c r="B30" s="192">
        <v>45989.0</v>
      </c>
      <c r="C30" s="141" t="str">
        <f t="shared" si="1"/>
        <v>11-2025</v>
      </c>
      <c r="D30" s="165">
        <f t="shared" si="7"/>
        <v>14042.6</v>
      </c>
      <c r="E30" s="28">
        <v>14051.7</v>
      </c>
      <c r="F30" s="54">
        <f t="shared" si="2"/>
        <v>9.1</v>
      </c>
      <c r="G30" s="54">
        <f t="shared" si="3"/>
        <v>-0.9</v>
      </c>
      <c r="H30" s="28">
        <v>1436.0</v>
      </c>
    </row>
    <row r="31">
      <c r="B31" s="192">
        <v>45990.0</v>
      </c>
      <c r="C31" s="141" t="str">
        <f t="shared" si="1"/>
        <v>11-2025</v>
      </c>
      <c r="F31" s="54">
        <f t="shared" si="2"/>
        <v>0</v>
      </c>
      <c r="G31" s="54">
        <f t="shared" si="3"/>
        <v>-10</v>
      </c>
    </row>
    <row r="32">
      <c r="B32" s="192">
        <v>45991.0</v>
      </c>
      <c r="C32" s="141" t="str">
        <f t="shared" si="1"/>
        <v>11-2025</v>
      </c>
      <c r="D32" s="165" t="str">
        <f t="shared" ref="D32:D63" si="8">E31</f>
        <v/>
      </c>
      <c r="F32" s="54">
        <f t="shared" si="2"/>
        <v>0</v>
      </c>
      <c r="G32" s="54">
        <f t="shared" si="3"/>
        <v>-10</v>
      </c>
    </row>
    <row r="33">
      <c r="B33" s="192">
        <v>45992.0</v>
      </c>
      <c r="C33" s="141" t="str">
        <f t="shared" si="1"/>
        <v>12-2025</v>
      </c>
      <c r="D33" s="165" t="str">
        <f t="shared" si="8"/>
        <v/>
      </c>
      <c r="F33" s="54">
        <f t="shared" si="2"/>
        <v>0</v>
      </c>
      <c r="G33" s="54">
        <f t="shared" si="3"/>
        <v>-10</v>
      </c>
    </row>
    <row r="34">
      <c r="B34" s="192">
        <v>45993.0</v>
      </c>
      <c r="C34" s="141" t="str">
        <f t="shared" si="1"/>
        <v>12-2025</v>
      </c>
      <c r="D34" s="165" t="str">
        <f t="shared" si="8"/>
        <v/>
      </c>
      <c r="F34" s="54">
        <f t="shared" si="2"/>
        <v>0</v>
      </c>
      <c r="G34" s="54">
        <f t="shared" si="3"/>
        <v>-10</v>
      </c>
    </row>
    <row r="35">
      <c r="B35" s="192">
        <v>45994.0</v>
      </c>
      <c r="C35" s="141" t="str">
        <f t="shared" si="1"/>
        <v>12-2025</v>
      </c>
      <c r="D35" s="165" t="str">
        <f t="shared" si="8"/>
        <v/>
      </c>
      <c r="F35" s="54">
        <f t="shared" si="2"/>
        <v>0</v>
      </c>
      <c r="G35" s="54">
        <f t="shared" si="3"/>
        <v>-10</v>
      </c>
    </row>
    <row r="36">
      <c r="B36" s="192">
        <v>45995.0</v>
      </c>
      <c r="C36" s="141" t="str">
        <f t="shared" si="1"/>
        <v>12-2025</v>
      </c>
      <c r="D36" s="165" t="str">
        <f t="shared" si="8"/>
        <v/>
      </c>
      <c r="F36" s="54">
        <f t="shared" si="2"/>
        <v>0</v>
      </c>
      <c r="G36" s="54">
        <f t="shared" si="3"/>
        <v>-10</v>
      </c>
    </row>
    <row r="37">
      <c r="B37" s="192">
        <v>45996.0</v>
      </c>
      <c r="C37" s="141" t="str">
        <f t="shared" si="1"/>
        <v>12-2025</v>
      </c>
      <c r="D37" s="165" t="str">
        <f t="shared" si="8"/>
        <v/>
      </c>
      <c r="F37" s="54">
        <f t="shared" si="2"/>
        <v>0</v>
      </c>
      <c r="G37" s="54">
        <f t="shared" si="3"/>
        <v>-10</v>
      </c>
    </row>
    <row r="38">
      <c r="B38" s="192">
        <v>45997.0</v>
      </c>
      <c r="C38" s="141" t="str">
        <f t="shared" si="1"/>
        <v>12-2025</v>
      </c>
      <c r="D38" s="165" t="str">
        <f t="shared" si="8"/>
        <v/>
      </c>
      <c r="F38" s="54">
        <f t="shared" si="2"/>
        <v>0</v>
      </c>
      <c r="G38" s="54">
        <f t="shared" si="3"/>
        <v>-10</v>
      </c>
    </row>
    <row r="39">
      <c r="B39" s="192">
        <v>45998.0</v>
      </c>
      <c r="C39" s="141" t="str">
        <f t="shared" si="1"/>
        <v>12-2025</v>
      </c>
      <c r="D39" s="165" t="str">
        <f t="shared" si="8"/>
        <v/>
      </c>
      <c r="F39" s="54">
        <f t="shared" si="2"/>
        <v>0</v>
      </c>
      <c r="G39" s="54">
        <f t="shared" si="3"/>
        <v>-10</v>
      </c>
    </row>
    <row r="40">
      <c r="B40" s="192">
        <v>45999.0</v>
      </c>
      <c r="C40" s="141" t="str">
        <f t="shared" si="1"/>
        <v>12-2025</v>
      </c>
      <c r="D40" s="165" t="str">
        <f t="shared" si="8"/>
        <v/>
      </c>
      <c r="F40" s="54">
        <f t="shared" si="2"/>
        <v>0</v>
      </c>
      <c r="G40" s="54">
        <f t="shared" si="3"/>
        <v>-10</v>
      </c>
    </row>
    <row r="41">
      <c r="B41" s="192">
        <v>46000.0</v>
      </c>
      <c r="C41" s="141" t="str">
        <f t="shared" si="1"/>
        <v>12-2025</v>
      </c>
      <c r="D41" s="165" t="str">
        <f t="shared" si="8"/>
        <v/>
      </c>
      <c r="F41" s="54">
        <f t="shared" si="2"/>
        <v>0</v>
      </c>
      <c r="G41" s="54">
        <f t="shared" si="3"/>
        <v>-10</v>
      </c>
    </row>
    <row r="42">
      <c r="B42" s="192">
        <v>46001.0</v>
      </c>
      <c r="C42" s="141" t="str">
        <f t="shared" si="1"/>
        <v>12-2025</v>
      </c>
      <c r="D42" s="165" t="str">
        <f t="shared" si="8"/>
        <v/>
      </c>
      <c r="F42" s="54">
        <f t="shared" si="2"/>
        <v>0</v>
      </c>
      <c r="G42" s="54">
        <f t="shared" si="3"/>
        <v>-10</v>
      </c>
    </row>
    <row r="43">
      <c r="B43" s="192">
        <v>46002.0</v>
      </c>
      <c r="C43" s="141" t="str">
        <f t="shared" si="1"/>
        <v>12-2025</v>
      </c>
      <c r="D43" s="165" t="str">
        <f t="shared" si="8"/>
        <v/>
      </c>
      <c r="F43" s="54">
        <f t="shared" si="2"/>
        <v>0</v>
      </c>
      <c r="G43" s="54">
        <f t="shared" si="3"/>
        <v>-10</v>
      </c>
    </row>
    <row r="44">
      <c r="B44" s="192">
        <v>46003.0</v>
      </c>
      <c r="C44" s="141" t="str">
        <f t="shared" si="1"/>
        <v>12-2025</v>
      </c>
      <c r="D44" s="165" t="str">
        <f t="shared" si="8"/>
        <v/>
      </c>
      <c r="F44" s="54">
        <f t="shared" si="2"/>
        <v>0</v>
      </c>
      <c r="G44" s="54">
        <f t="shared" si="3"/>
        <v>-10</v>
      </c>
    </row>
    <row r="45">
      <c r="B45" s="192">
        <v>46004.0</v>
      </c>
      <c r="C45" s="141" t="str">
        <f t="shared" si="1"/>
        <v>12-2025</v>
      </c>
      <c r="D45" s="165" t="str">
        <f t="shared" si="8"/>
        <v/>
      </c>
      <c r="F45" s="54">
        <f t="shared" si="2"/>
        <v>0</v>
      </c>
      <c r="G45" s="54">
        <f t="shared" si="3"/>
        <v>-10</v>
      </c>
    </row>
    <row r="46">
      <c r="B46" s="192">
        <v>46005.0</v>
      </c>
      <c r="C46" s="141" t="str">
        <f t="shared" si="1"/>
        <v>12-2025</v>
      </c>
      <c r="D46" s="165" t="str">
        <f t="shared" si="8"/>
        <v/>
      </c>
      <c r="F46" s="54">
        <f t="shared" si="2"/>
        <v>0</v>
      </c>
      <c r="G46" s="54">
        <f t="shared" si="3"/>
        <v>-10</v>
      </c>
    </row>
    <row r="47">
      <c r="B47" s="192">
        <v>46006.0</v>
      </c>
      <c r="C47" s="141" t="str">
        <f t="shared" si="1"/>
        <v>12-2025</v>
      </c>
      <c r="D47" s="165" t="str">
        <f t="shared" si="8"/>
        <v/>
      </c>
      <c r="F47" s="54">
        <f t="shared" si="2"/>
        <v>0</v>
      </c>
      <c r="G47" s="54">
        <f t="shared" si="3"/>
        <v>-10</v>
      </c>
    </row>
    <row r="48">
      <c r="B48" s="192">
        <v>46007.0</v>
      </c>
      <c r="C48" s="141" t="str">
        <f t="shared" si="1"/>
        <v>12-2025</v>
      </c>
      <c r="D48" s="165" t="str">
        <f t="shared" si="8"/>
        <v/>
      </c>
      <c r="F48" s="54">
        <f t="shared" si="2"/>
        <v>0</v>
      </c>
      <c r="G48" s="54">
        <f t="shared" si="3"/>
        <v>-10</v>
      </c>
    </row>
    <row r="49">
      <c r="B49" s="192">
        <v>46008.0</v>
      </c>
      <c r="C49" s="141" t="str">
        <f t="shared" si="1"/>
        <v>12-2025</v>
      </c>
      <c r="D49" s="165" t="str">
        <f t="shared" si="8"/>
        <v/>
      </c>
      <c r="F49" s="54">
        <f t="shared" si="2"/>
        <v>0</v>
      </c>
      <c r="G49" s="54">
        <f t="shared" si="3"/>
        <v>-10</v>
      </c>
    </row>
    <row r="50">
      <c r="B50" s="192">
        <v>46009.0</v>
      </c>
      <c r="C50" s="141" t="str">
        <f t="shared" si="1"/>
        <v>12-2025</v>
      </c>
      <c r="D50" s="165" t="str">
        <f t="shared" si="8"/>
        <v/>
      </c>
      <c r="F50" s="54">
        <f t="shared" si="2"/>
        <v>0</v>
      </c>
      <c r="G50" s="54">
        <f t="shared" si="3"/>
        <v>-10</v>
      </c>
    </row>
    <row r="51">
      <c r="B51" s="192">
        <v>46010.0</v>
      </c>
      <c r="C51" s="141" t="str">
        <f t="shared" si="1"/>
        <v>12-2025</v>
      </c>
      <c r="D51" s="165" t="str">
        <f t="shared" si="8"/>
        <v/>
      </c>
      <c r="F51" s="54">
        <f t="shared" si="2"/>
        <v>0</v>
      </c>
      <c r="G51" s="54">
        <f t="shared" si="3"/>
        <v>-10</v>
      </c>
    </row>
    <row r="52">
      <c r="B52" s="192">
        <v>46011.0</v>
      </c>
      <c r="C52" s="141" t="str">
        <f t="shared" si="1"/>
        <v>12-2025</v>
      </c>
      <c r="D52" s="165" t="str">
        <f t="shared" si="8"/>
        <v/>
      </c>
      <c r="F52" s="54">
        <f t="shared" si="2"/>
        <v>0</v>
      </c>
      <c r="G52" s="54">
        <f t="shared" si="3"/>
        <v>-10</v>
      </c>
    </row>
    <row r="53">
      <c r="B53" s="192">
        <v>46012.0</v>
      </c>
      <c r="C53" s="141" t="str">
        <f t="shared" si="1"/>
        <v>12-2025</v>
      </c>
      <c r="D53" s="165" t="str">
        <f t="shared" si="8"/>
        <v/>
      </c>
      <c r="F53" s="54">
        <f t="shared" si="2"/>
        <v>0</v>
      </c>
      <c r="G53" s="54">
        <f t="shared" si="3"/>
        <v>-10</v>
      </c>
    </row>
    <row r="54">
      <c r="B54" s="192">
        <v>46013.0</v>
      </c>
      <c r="C54" s="141" t="str">
        <f t="shared" si="1"/>
        <v>12-2025</v>
      </c>
      <c r="D54" s="165" t="str">
        <f t="shared" si="8"/>
        <v/>
      </c>
      <c r="F54" s="54">
        <f t="shared" si="2"/>
        <v>0</v>
      </c>
      <c r="G54" s="54">
        <f t="shared" si="3"/>
        <v>-10</v>
      </c>
    </row>
    <row r="55">
      <c r="B55" s="192">
        <v>46014.0</v>
      </c>
      <c r="C55" s="141" t="str">
        <f t="shared" si="1"/>
        <v>12-2025</v>
      </c>
      <c r="D55" s="165" t="str">
        <f t="shared" si="8"/>
        <v/>
      </c>
      <c r="F55" s="54">
        <f t="shared" si="2"/>
        <v>0</v>
      </c>
      <c r="G55" s="54">
        <f t="shared" si="3"/>
        <v>-10</v>
      </c>
    </row>
    <row r="56">
      <c r="B56" s="192">
        <v>46015.0</v>
      </c>
      <c r="C56" s="141" t="str">
        <f t="shared" si="1"/>
        <v>12-2025</v>
      </c>
      <c r="D56" s="165" t="str">
        <f t="shared" si="8"/>
        <v/>
      </c>
      <c r="F56" s="54">
        <f t="shared" si="2"/>
        <v>0</v>
      </c>
      <c r="G56" s="54">
        <f t="shared" si="3"/>
        <v>-10</v>
      </c>
    </row>
    <row r="57">
      <c r="B57" s="192">
        <v>46016.0</v>
      </c>
      <c r="C57" s="141" t="str">
        <f t="shared" si="1"/>
        <v>12-2025</v>
      </c>
      <c r="D57" s="165" t="str">
        <f t="shared" si="8"/>
        <v/>
      </c>
      <c r="F57" s="54">
        <f t="shared" si="2"/>
        <v>0</v>
      </c>
      <c r="G57" s="54">
        <f t="shared" si="3"/>
        <v>-10</v>
      </c>
    </row>
    <row r="58">
      <c r="B58" s="192">
        <v>46017.0</v>
      </c>
      <c r="C58" s="141" t="str">
        <f t="shared" si="1"/>
        <v>12-2025</v>
      </c>
      <c r="D58" s="165" t="str">
        <f t="shared" si="8"/>
        <v/>
      </c>
      <c r="F58" s="54">
        <f t="shared" si="2"/>
        <v>0</v>
      </c>
      <c r="G58" s="54">
        <f t="shared" si="3"/>
        <v>-10</v>
      </c>
    </row>
    <row r="59">
      <c r="B59" s="192">
        <v>46018.0</v>
      </c>
      <c r="C59" s="141" t="str">
        <f t="shared" si="1"/>
        <v>12-2025</v>
      </c>
      <c r="D59" s="165" t="str">
        <f t="shared" si="8"/>
        <v/>
      </c>
      <c r="F59" s="54">
        <f t="shared" si="2"/>
        <v>0</v>
      </c>
      <c r="G59" s="54">
        <f t="shared" si="3"/>
        <v>-10</v>
      </c>
    </row>
    <row r="60">
      <c r="B60" s="192">
        <v>46019.0</v>
      </c>
      <c r="C60" s="141" t="str">
        <f t="shared" si="1"/>
        <v>12-2025</v>
      </c>
      <c r="D60" s="165" t="str">
        <f t="shared" si="8"/>
        <v/>
      </c>
      <c r="F60" s="54">
        <f t="shared" si="2"/>
        <v>0</v>
      </c>
      <c r="G60" s="54">
        <f t="shared" si="3"/>
        <v>-10</v>
      </c>
    </row>
    <row r="61">
      <c r="B61" s="192">
        <v>46020.0</v>
      </c>
      <c r="C61" s="141" t="str">
        <f t="shared" si="1"/>
        <v>12-2025</v>
      </c>
      <c r="D61" s="165" t="str">
        <f t="shared" si="8"/>
        <v/>
      </c>
      <c r="F61" s="54">
        <f t="shared" si="2"/>
        <v>0</v>
      </c>
      <c r="G61" s="54">
        <f t="shared" si="3"/>
        <v>-10</v>
      </c>
    </row>
    <row r="62">
      <c r="B62" s="192">
        <v>46021.0</v>
      </c>
      <c r="C62" s="141" t="str">
        <f t="shared" si="1"/>
        <v>12-2025</v>
      </c>
      <c r="D62" s="165" t="str">
        <f t="shared" si="8"/>
        <v/>
      </c>
      <c r="F62" s="54">
        <f t="shared" si="2"/>
        <v>0</v>
      </c>
      <c r="G62" s="54">
        <f t="shared" si="3"/>
        <v>-10</v>
      </c>
    </row>
    <row r="63">
      <c r="B63" s="192">
        <v>46022.0</v>
      </c>
      <c r="C63" s="141" t="str">
        <f t="shared" si="1"/>
        <v>12-2025</v>
      </c>
      <c r="D63" s="165" t="str">
        <f t="shared" si="8"/>
        <v/>
      </c>
      <c r="F63" s="54">
        <f t="shared" si="2"/>
        <v>0</v>
      </c>
      <c r="G63" s="54">
        <f t="shared" si="3"/>
        <v>-10</v>
      </c>
    </row>
    <row r="64">
      <c r="B64" s="140">
        <v>46023.0</v>
      </c>
      <c r="C64" s="141" t="str">
        <f t="shared" si="1"/>
        <v>1-2026</v>
      </c>
      <c r="F64" s="54">
        <f t="shared" si="2"/>
        <v>0</v>
      </c>
      <c r="G64" s="54">
        <f t="shared" si="3"/>
        <v>-10</v>
      </c>
    </row>
    <row r="65">
      <c r="B65" s="140">
        <v>46024.0</v>
      </c>
      <c r="C65" s="141" t="str">
        <f t="shared" si="1"/>
        <v>1-2026</v>
      </c>
      <c r="F65" s="54">
        <f t="shared" si="2"/>
        <v>0</v>
      </c>
      <c r="G65" s="54">
        <f t="shared" si="3"/>
        <v>-10</v>
      </c>
    </row>
    <row r="66">
      <c r="B66" s="151">
        <v>46025.0</v>
      </c>
      <c r="C66" s="141" t="str">
        <f t="shared" si="1"/>
        <v>1-2026</v>
      </c>
      <c r="F66" s="54">
        <f t="shared" si="2"/>
        <v>0</v>
      </c>
      <c r="G66" s="54">
        <f t="shared" si="3"/>
        <v>-10</v>
      </c>
    </row>
    <row r="67">
      <c r="B67" s="151">
        <v>46026.0</v>
      </c>
      <c r="C67" s="141" t="str">
        <f t="shared" si="1"/>
        <v>1-2026</v>
      </c>
      <c r="F67" s="54">
        <f t="shared" si="2"/>
        <v>0</v>
      </c>
      <c r="G67" s="54">
        <f t="shared" si="3"/>
        <v>-10</v>
      </c>
    </row>
    <row r="68">
      <c r="B68" s="140">
        <v>46027.0</v>
      </c>
      <c r="C68" s="141" t="str">
        <f t="shared" si="1"/>
        <v>1-2026</v>
      </c>
      <c r="D68" s="165" t="str">
        <f>E67</f>
        <v/>
      </c>
      <c r="F68" s="54">
        <f t="shared" si="2"/>
        <v>0</v>
      </c>
      <c r="G68" s="54">
        <f t="shared" si="3"/>
        <v>-10</v>
      </c>
    </row>
    <row r="69">
      <c r="B69" s="140">
        <v>46028.0</v>
      </c>
      <c r="C69" s="141" t="str">
        <f t="shared" si="1"/>
        <v>1-2026</v>
      </c>
      <c r="D69" s="28">
        <v>14180.3</v>
      </c>
      <c r="E69" s="28">
        <v>14187.0</v>
      </c>
      <c r="F69" s="54">
        <f t="shared" si="2"/>
        <v>6.7</v>
      </c>
      <c r="G69" s="54">
        <f t="shared" si="3"/>
        <v>-3.3</v>
      </c>
    </row>
    <row r="70">
      <c r="B70" s="140">
        <v>46029.0</v>
      </c>
      <c r="C70" s="141" t="str">
        <f t="shared" si="1"/>
        <v>1-2026</v>
      </c>
      <c r="D70" s="165">
        <f t="shared" ref="D70:D73" si="9">E69</f>
        <v>14187</v>
      </c>
      <c r="E70" s="28">
        <v>14194.5</v>
      </c>
      <c r="F70" s="54">
        <f t="shared" si="2"/>
        <v>7.5</v>
      </c>
      <c r="G70" s="54">
        <f t="shared" si="3"/>
        <v>-2.5</v>
      </c>
    </row>
    <row r="71">
      <c r="B71" s="140">
        <v>46030.0</v>
      </c>
      <c r="C71" s="141" t="str">
        <f t="shared" si="1"/>
        <v>1-2026</v>
      </c>
      <c r="D71" s="165">
        <f t="shared" si="9"/>
        <v>14194.5</v>
      </c>
      <c r="E71" s="28">
        <v>14201.3</v>
      </c>
      <c r="F71" s="54">
        <f t="shared" si="2"/>
        <v>6.8</v>
      </c>
      <c r="G71" s="54">
        <f t="shared" si="3"/>
        <v>-3.2</v>
      </c>
    </row>
    <row r="72">
      <c r="B72" s="140">
        <v>46031.0</v>
      </c>
      <c r="C72" s="141" t="str">
        <f t="shared" si="1"/>
        <v>1-2026</v>
      </c>
      <c r="D72" s="165">
        <f t="shared" si="9"/>
        <v>14201.3</v>
      </c>
      <c r="E72" s="28">
        <v>14208.9</v>
      </c>
      <c r="F72" s="54">
        <f t="shared" si="2"/>
        <v>7.6</v>
      </c>
      <c r="G72" s="54">
        <f t="shared" si="3"/>
        <v>-2.4</v>
      </c>
    </row>
    <row r="73">
      <c r="B73" s="151">
        <v>46032.0</v>
      </c>
      <c r="C73" s="141" t="str">
        <f t="shared" si="1"/>
        <v>1-2026</v>
      </c>
      <c r="D73" s="165">
        <f t="shared" si="9"/>
        <v>14208.9</v>
      </c>
      <c r="E73" s="28">
        <v>14214.1</v>
      </c>
      <c r="F73" s="54">
        <f t="shared" si="2"/>
        <v>5.2</v>
      </c>
      <c r="G73" s="54">
        <f t="shared" si="3"/>
        <v>-4.8</v>
      </c>
    </row>
    <row r="74">
      <c r="B74" s="151">
        <v>46033.0</v>
      </c>
      <c r="C74" s="141" t="str">
        <f t="shared" si="1"/>
        <v>1-2026</v>
      </c>
      <c r="F74" s="54">
        <f t="shared" si="2"/>
        <v>0</v>
      </c>
      <c r="G74" s="54">
        <f t="shared" si="3"/>
        <v>-10</v>
      </c>
    </row>
    <row r="75">
      <c r="B75" s="140">
        <v>46034.0</v>
      </c>
      <c r="C75" s="141" t="str">
        <f t="shared" si="1"/>
        <v>1-2026</v>
      </c>
      <c r="D75" s="28">
        <v>14214.1</v>
      </c>
      <c r="E75" s="28">
        <v>14221.2</v>
      </c>
      <c r="F75" s="54">
        <f t="shared" si="2"/>
        <v>7.1</v>
      </c>
      <c r="G75" s="54">
        <f t="shared" si="3"/>
        <v>-2.9</v>
      </c>
    </row>
    <row r="76">
      <c r="B76" s="140">
        <v>46035.0</v>
      </c>
      <c r="C76" s="141" t="str">
        <f t="shared" si="1"/>
        <v>1-2026</v>
      </c>
      <c r="D76" s="165">
        <f t="shared" ref="D76:D79" si="10">E75</f>
        <v>14221.2</v>
      </c>
      <c r="E76" s="28">
        <v>14226.2</v>
      </c>
      <c r="F76" s="54">
        <f t="shared" si="2"/>
        <v>5</v>
      </c>
      <c r="G76" s="54">
        <f t="shared" si="3"/>
        <v>-5</v>
      </c>
    </row>
    <row r="77">
      <c r="B77" s="140">
        <v>46036.0</v>
      </c>
      <c r="C77" s="141" t="str">
        <f t="shared" si="1"/>
        <v>1-2026</v>
      </c>
      <c r="D77" s="165">
        <f t="shared" si="10"/>
        <v>14226.2</v>
      </c>
      <c r="E77" s="28">
        <v>14231.1</v>
      </c>
      <c r="F77" s="54">
        <f t="shared" si="2"/>
        <v>4.9</v>
      </c>
      <c r="G77" s="54">
        <f t="shared" si="3"/>
        <v>-5.1</v>
      </c>
    </row>
    <row r="78">
      <c r="B78" s="140">
        <v>46037.0</v>
      </c>
      <c r="C78" s="141" t="str">
        <f t="shared" si="1"/>
        <v>1-2026</v>
      </c>
      <c r="D78" s="165">
        <f t="shared" si="10"/>
        <v>14231.1</v>
      </c>
      <c r="E78" s="28">
        <v>14238.9</v>
      </c>
      <c r="F78" s="54">
        <f t="shared" si="2"/>
        <v>7.8</v>
      </c>
      <c r="G78" s="54">
        <f t="shared" si="3"/>
        <v>-2.2</v>
      </c>
    </row>
    <row r="79">
      <c r="B79" s="140">
        <v>46038.0</v>
      </c>
      <c r="C79" s="141" t="str">
        <f t="shared" si="1"/>
        <v>1-2026</v>
      </c>
      <c r="D79" s="165">
        <f t="shared" si="10"/>
        <v>14238.9</v>
      </c>
      <c r="E79" s="28">
        <v>14246.3</v>
      </c>
      <c r="F79" s="54">
        <f t="shared" si="2"/>
        <v>7.4</v>
      </c>
      <c r="G79" s="54">
        <f t="shared" si="3"/>
        <v>-2.6</v>
      </c>
      <c r="H79" s="28">
        <v>956.0</v>
      </c>
    </row>
    <row r="80">
      <c r="B80" s="151">
        <v>46039.0</v>
      </c>
      <c r="C80" s="141" t="str">
        <f t="shared" si="1"/>
        <v>1-2026</v>
      </c>
      <c r="F80" s="54">
        <f t="shared" si="2"/>
        <v>0</v>
      </c>
      <c r="G80" s="54">
        <f t="shared" si="3"/>
        <v>-10</v>
      </c>
    </row>
    <row r="81">
      <c r="B81" s="151">
        <v>46040.0</v>
      </c>
      <c r="C81" s="141" t="str">
        <f t="shared" si="1"/>
        <v>1-2026</v>
      </c>
      <c r="D81" s="165" t="str">
        <f t="shared" ref="D81:D257" si="11">E80</f>
        <v/>
      </c>
      <c r="F81" s="54">
        <f t="shared" si="2"/>
        <v>0</v>
      </c>
      <c r="G81" s="54">
        <f t="shared" si="3"/>
        <v>-10</v>
      </c>
    </row>
    <row r="82">
      <c r="B82" s="140">
        <v>46041.0</v>
      </c>
      <c r="C82" s="141" t="str">
        <f t="shared" si="1"/>
        <v>1-2026</v>
      </c>
      <c r="D82" s="165" t="str">
        <f t="shared" si="11"/>
        <v/>
      </c>
      <c r="F82" s="54">
        <f t="shared" si="2"/>
        <v>0</v>
      </c>
      <c r="G82" s="54">
        <f t="shared" si="3"/>
        <v>-10</v>
      </c>
    </row>
    <row r="83">
      <c r="B83" s="140">
        <v>46042.0</v>
      </c>
      <c r="C83" s="141" t="str">
        <f t="shared" si="1"/>
        <v>1-2026</v>
      </c>
      <c r="D83" s="165" t="str">
        <f t="shared" si="11"/>
        <v/>
      </c>
      <c r="F83" s="54">
        <f t="shared" si="2"/>
        <v>0</v>
      </c>
      <c r="G83" s="54">
        <f t="shared" si="3"/>
        <v>-10</v>
      </c>
    </row>
    <row r="84">
      <c r="B84" s="140">
        <v>46043.0</v>
      </c>
      <c r="C84" s="141" t="str">
        <f t="shared" si="1"/>
        <v>1-2026</v>
      </c>
      <c r="D84" s="165" t="str">
        <f t="shared" si="11"/>
        <v/>
      </c>
      <c r="F84" s="54">
        <f t="shared" si="2"/>
        <v>0</v>
      </c>
      <c r="G84" s="54">
        <f t="shared" si="3"/>
        <v>-10</v>
      </c>
    </row>
    <row r="85">
      <c r="B85" s="140">
        <v>46044.0</v>
      </c>
      <c r="C85" s="141" t="str">
        <f t="shared" si="1"/>
        <v>1-2026</v>
      </c>
      <c r="D85" s="165" t="str">
        <f t="shared" si="11"/>
        <v/>
      </c>
      <c r="F85" s="54">
        <f t="shared" si="2"/>
        <v>0</v>
      </c>
      <c r="G85" s="54">
        <f t="shared" si="3"/>
        <v>-10</v>
      </c>
    </row>
    <row r="86">
      <c r="B86" s="140">
        <v>46045.0</v>
      </c>
      <c r="C86" s="141" t="str">
        <f t="shared" si="1"/>
        <v>1-2026</v>
      </c>
      <c r="D86" s="165" t="str">
        <f t="shared" si="11"/>
        <v/>
      </c>
      <c r="F86" s="54">
        <f t="shared" si="2"/>
        <v>0</v>
      </c>
      <c r="G86" s="54">
        <f t="shared" si="3"/>
        <v>-10</v>
      </c>
    </row>
    <row r="87">
      <c r="B87" s="151">
        <v>46046.0</v>
      </c>
      <c r="C87" s="141" t="str">
        <f t="shared" si="1"/>
        <v>1-2026</v>
      </c>
      <c r="D87" s="165" t="str">
        <f t="shared" si="11"/>
        <v/>
      </c>
      <c r="F87" s="54">
        <f t="shared" si="2"/>
        <v>0</v>
      </c>
      <c r="G87" s="54">
        <f t="shared" si="3"/>
        <v>-10</v>
      </c>
    </row>
    <row r="88">
      <c r="B88" s="151">
        <v>46047.0</v>
      </c>
      <c r="C88" s="141" t="str">
        <f t="shared" si="1"/>
        <v>1-2026</v>
      </c>
      <c r="D88" s="165" t="str">
        <f t="shared" si="11"/>
        <v/>
      </c>
      <c r="F88" s="54">
        <f t="shared" si="2"/>
        <v>0</v>
      </c>
      <c r="G88" s="54">
        <f t="shared" si="3"/>
        <v>-10</v>
      </c>
    </row>
    <row r="89">
      <c r="B89" s="140">
        <v>46048.0</v>
      </c>
      <c r="C89" s="141" t="str">
        <f t="shared" si="1"/>
        <v>1-2026</v>
      </c>
      <c r="D89" s="165" t="str">
        <f t="shared" si="11"/>
        <v/>
      </c>
      <c r="F89" s="54">
        <f t="shared" si="2"/>
        <v>0</v>
      </c>
      <c r="G89" s="54">
        <f t="shared" si="3"/>
        <v>-10</v>
      </c>
    </row>
    <row r="90">
      <c r="B90" s="140">
        <v>46049.0</v>
      </c>
      <c r="C90" s="141" t="str">
        <f t="shared" si="1"/>
        <v>1-2026</v>
      </c>
      <c r="D90" s="165" t="str">
        <f t="shared" si="11"/>
        <v/>
      </c>
      <c r="F90" s="54">
        <f t="shared" si="2"/>
        <v>0</v>
      </c>
      <c r="G90" s="54">
        <f t="shared" si="3"/>
        <v>-10</v>
      </c>
    </row>
    <row r="91">
      <c r="B91" s="140">
        <v>46050.0</v>
      </c>
      <c r="C91" s="141" t="str">
        <f t="shared" si="1"/>
        <v>1-2026</v>
      </c>
      <c r="D91" s="165" t="str">
        <f t="shared" si="11"/>
        <v/>
      </c>
      <c r="F91" s="54">
        <f t="shared" si="2"/>
        <v>0</v>
      </c>
      <c r="G91" s="54">
        <f t="shared" si="3"/>
        <v>-10</v>
      </c>
    </row>
    <row r="92">
      <c r="B92" s="140">
        <v>46051.0</v>
      </c>
      <c r="C92" s="141" t="str">
        <f t="shared" si="1"/>
        <v>1-2026</v>
      </c>
      <c r="D92" s="165" t="str">
        <f t="shared" si="11"/>
        <v/>
      </c>
      <c r="F92" s="54">
        <f t="shared" si="2"/>
        <v>0</v>
      </c>
      <c r="G92" s="54">
        <f t="shared" si="3"/>
        <v>-10</v>
      </c>
    </row>
    <row r="93">
      <c r="B93" s="140">
        <v>46052.0</v>
      </c>
      <c r="C93" s="141" t="str">
        <f t="shared" si="1"/>
        <v>1-2026</v>
      </c>
      <c r="D93" s="165" t="str">
        <f t="shared" si="11"/>
        <v/>
      </c>
      <c r="F93" s="54">
        <f t="shared" si="2"/>
        <v>0</v>
      </c>
      <c r="G93" s="54">
        <f t="shared" si="3"/>
        <v>-10</v>
      </c>
    </row>
    <row r="94">
      <c r="B94" s="151">
        <v>46053.0</v>
      </c>
      <c r="C94" s="141" t="str">
        <f t="shared" si="1"/>
        <v>1-2026</v>
      </c>
      <c r="D94" s="165" t="str">
        <f t="shared" si="11"/>
        <v/>
      </c>
      <c r="F94" s="54">
        <f t="shared" si="2"/>
        <v>0</v>
      </c>
      <c r="G94" s="54">
        <f t="shared" si="3"/>
        <v>-10</v>
      </c>
    </row>
    <row r="95">
      <c r="B95" s="140">
        <v>46054.0</v>
      </c>
      <c r="C95" s="141" t="str">
        <f t="shared" si="1"/>
        <v>2-2026</v>
      </c>
      <c r="D95" s="165" t="str">
        <f t="shared" si="11"/>
        <v/>
      </c>
      <c r="F95" s="54">
        <f t="shared" si="2"/>
        <v>0</v>
      </c>
      <c r="G95" s="54">
        <f t="shared" si="3"/>
        <v>-10</v>
      </c>
    </row>
    <row r="96">
      <c r="B96" s="140">
        <v>46055.0</v>
      </c>
      <c r="C96" s="141" t="str">
        <f t="shared" si="1"/>
        <v>2-2026</v>
      </c>
      <c r="D96" s="165" t="str">
        <f t="shared" si="11"/>
        <v/>
      </c>
      <c r="F96" s="54">
        <f t="shared" si="2"/>
        <v>0</v>
      </c>
      <c r="G96" s="54">
        <f t="shared" si="3"/>
        <v>-10</v>
      </c>
    </row>
    <row r="97">
      <c r="B97" s="140">
        <v>46056.0</v>
      </c>
      <c r="C97" s="141" t="str">
        <f t="shared" si="1"/>
        <v>2-2026</v>
      </c>
      <c r="D97" s="165" t="str">
        <f t="shared" si="11"/>
        <v/>
      </c>
      <c r="F97" s="54">
        <f t="shared" si="2"/>
        <v>0</v>
      </c>
      <c r="G97" s="54">
        <f t="shared" si="3"/>
        <v>-10</v>
      </c>
    </row>
    <row r="98">
      <c r="B98" s="140">
        <v>46057.0</v>
      </c>
      <c r="C98" s="141" t="str">
        <f t="shared" si="1"/>
        <v>2-2026</v>
      </c>
      <c r="D98" s="165" t="str">
        <f t="shared" si="11"/>
        <v/>
      </c>
      <c r="F98" s="54">
        <f t="shared" si="2"/>
        <v>0</v>
      </c>
      <c r="G98" s="54">
        <f t="shared" si="3"/>
        <v>-10</v>
      </c>
    </row>
    <row r="99">
      <c r="B99" s="140">
        <v>46058.0</v>
      </c>
      <c r="C99" s="141" t="str">
        <f t="shared" si="1"/>
        <v>2-2026</v>
      </c>
      <c r="D99" s="165" t="str">
        <f t="shared" si="11"/>
        <v/>
      </c>
      <c r="F99" s="54">
        <f t="shared" si="2"/>
        <v>0</v>
      </c>
      <c r="G99" s="54">
        <f t="shared" si="3"/>
        <v>-10</v>
      </c>
    </row>
    <row r="100">
      <c r="B100" s="140">
        <v>46059.0</v>
      </c>
      <c r="C100" s="141" t="str">
        <f t="shared" si="1"/>
        <v>2-2026</v>
      </c>
      <c r="D100" s="165" t="str">
        <f t="shared" si="11"/>
        <v/>
      </c>
      <c r="F100" s="54">
        <f t="shared" si="2"/>
        <v>0</v>
      </c>
      <c r="G100" s="54">
        <f t="shared" si="3"/>
        <v>-10</v>
      </c>
    </row>
    <row r="101">
      <c r="B101" s="140">
        <v>46060.0</v>
      </c>
      <c r="C101" s="141" t="str">
        <f t="shared" si="1"/>
        <v>2-2026</v>
      </c>
      <c r="D101" s="165" t="str">
        <f t="shared" si="11"/>
        <v/>
      </c>
      <c r="F101" s="54">
        <f t="shared" si="2"/>
        <v>0</v>
      </c>
      <c r="G101" s="54">
        <f t="shared" si="3"/>
        <v>-10</v>
      </c>
    </row>
    <row r="102">
      <c r="B102" s="140">
        <v>46061.0</v>
      </c>
      <c r="C102" s="141" t="str">
        <f t="shared" si="1"/>
        <v>2-2026</v>
      </c>
      <c r="D102" s="165" t="str">
        <f t="shared" si="11"/>
        <v/>
      </c>
      <c r="F102" s="54">
        <f t="shared" si="2"/>
        <v>0</v>
      </c>
      <c r="G102" s="54">
        <f t="shared" si="3"/>
        <v>-10</v>
      </c>
    </row>
    <row r="103">
      <c r="B103" s="140">
        <v>46062.0</v>
      </c>
      <c r="C103" s="141" t="str">
        <f t="shared" si="1"/>
        <v>2-2026</v>
      </c>
      <c r="D103" s="165" t="str">
        <f t="shared" si="11"/>
        <v/>
      </c>
      <c r="F103" s="54">
        <f t="shared" si="2"/>
        <v>0</v>
      </c>
      <c r="G103" s="54">
        <f t="shared" si="3"/>
        <v>-10</v>
      </c>
    </row>
    <row r="104">
      <c r="B104" s="140">
        <v>46063.0</v>
      </c>
      <c r="C104" s="141" t="str">
        <f t="shared" si="1"/>
        <v>2-2026</v>
      </c>
      <c r="D104" s="165" t="str">
        <f t="shared" si="11"/>
        <v/>
      </c>
      <c r="F104" s="54">
        <f t="shared" si="2"/>
        <v>0</v>
      </c>
      <c r="G104" s="54">
        <f t="shared" si="3"/>
        <v>-10</v>
      </c>
    </row>
    <row r="105">
      <c r="B105" s="140">
        <v>46064.0</v>
      </c>
      <c r="C105" s="141" t="str">
        <f t="shared" si="1"/>
        <v>2-2026</v>
      </c>
      <c r="D105" s="165" t="str">
        <f t="shared" si="11"/>
        <v/>
      </c>
      <c r="F105" s="54">
        <f t="shared" si="2"/>
        <v>0</v>
      </c>
      <c r="G105" s="54">
        <f t="shared" si="3"/>
        <v>-10</v>
      </c>
    </row>
    <row r="106">
      <c r="B106" s="140">
        <v>46065.0</v>
      </c>
      <c r="C106" s="141" t="str">
        <f t="shared" si="1"/>
        <v>2-2026</v>
      </c>
      <c r="D106" s="165" t="str">
        <f t="shared" si="11"/>
        <v/>
      </c>
      <c r="F106" s="54">
        <f t="shared" si="2"/>
        <v>0</v>
      </c>
      <c r="G106" s="54">
        <f t="shared" si="3"/>
        <v>-10</v>
      </c>
    </row>
    <row r="107">
      <c r="B107" s="140">
        <v>46066.0</v>
      </c>
      <c r="C107" s="141" t="str">
        <f t="shared" si="1"/>
        <v>2-2026</v>
      </c>
      <c r="D107" s="165" t="str">
        <f t="shared" si="11"/>
        <v/>
      </c>
      <c r="F107" s="54">
        <f t="shared" si="2"/>
        <v>0</v>
      </c>
      <c r="G107" s="54">
        <f t="shared" si="3"/>
        <v>-10</v>
      </c>
    </row>
    <row r="108">
      <c r="B108" s="140">
        <v>46067.0</v>
      </c>
      <c r="C108" s="141" t="str">
        <f t="shared" si="1"/>
        <v>2-2026</v>
      </c>
      <c r="D108" s="165" t="str">
        <f t="shared" si="11"/>
        <v/>
      </c>
      <c r="F108" s="54">
        <f t="shared" si="2"/>
        <v>0</v>
      </c>
      <c r="G108" s="54">
        <f t="shared" si="3"/>
        <v>-10</v>
      </c>
    </row>
    <row r="109">
      <c r="B109" s="140">
        <v>46068.0</v>
      </c>
      <c r="C109" s="141" t="str">
        <f t="shared" si="1"/>
        <v>2-2026</v>
      </c>
      <c r="D109" s="165" t="str">
        <f t="shared" si="11"/>
        <v/>
      </c>
      <c r="F109" s="54">
        <f t="shared" si="2"/>
        <v>0</v>
      </c>
      <c r="G109" s="54">
        <f t="shared" si="3"/>
        <v>-10</v>
      </c>
    </row>
    <row r="110">
      <c r="B110" s="140">
        <v>46069.0</v>
      </c>
      <c r="C110" s="141" t="str">
        <f t="shared" si="1"/>
        <v>2-2026</v>
      </c>
      <c r="D110" s="165" t="str">
        <f t="shared" si="11"/>
        <v/>
      </c>
      <c r="F110" s="54">
        <f t="shared" si="2"/>
        <v>0</v>
      </c>
      <c r="G110" s="54">
        <f t="shared" si="3"/>
        <v>-10</v>
      </c>
    </row>
    <row r="111">
      <c r="B111" s="140">
        <v>46070.0</v>
      </c>
      <c r="C111" s="141" t="str">
        <f t="shared" si="1"/>
        <v>2-2026</v>
      </c>
      <c r="D111" s="165" t="str">
        <f t="shared" si="11"/>
        <v/>
      </c>
      <c r="F111" s="54">
        <f t="shared" si="2"/>
        <v>0</v>
      </c>
      <c r="G111" s="54">
        <f t="shared" si="3"/>
        <v>-10</v>
      </c>
    </row>
    <row r="112">
      <c r="B112" s="140">
        <v>46071.0</v>
      </c>
      <c r="C112" s="141" t="str">
        <f t="shared" si="1"/>
        <v>2-2026</v>
      </c>
      <c r="D112" s="165" t="str">
        <f t="shared" si="11"/>
        <v/>
      </c>
      <c r="F112" s="54">
        <f t="shared" si="2"/>
        <v>0</v>
      </c>
      <c r="G112" s="54">
        <f t="shared" si="3"/>
        <v>-10</v>
      </c>
    </row>
    <row r="113">
      <c r="B113" s="140">
        <v>46072.0</v>
      </c>
      <c r="C113" s="141" t="str">
        <f t="shared" si="1"/>
        <v>2-2026</v>
      </c>
      <c r="D113" s="165" t="str">
        <f t="shared" si="11"/>
        <v/>
      </c>
      <c r="F113" s="54">
        <f t="shared" si="2"/>
        <v>0</v>
      </c>
      <c r="G113" s="54">
        <f t="shared" si="3"/>
        <v>-10</v>
      </c>
    </row>
    <row r="114">
      <c r="B114" s="140">
        <v>46073.0</v>
      </c>
      <c r="C114" s="141" t="str">
        <f t="shared" si="1"/>
        <v>2-2026</v>
      </c>
      <c r="D114" s="165" t="str">
        <f t="shared" si="11"/>
        <v/>
      </c>
      <c r="F114" s="54">
        <f t="shared" si="2"/>
        <v>0</v>
      </c>
      <c r="G114" s="54">
        <f t="shared" si="3"/>
        <v>-10</v>
      </c>
    </row>
    <row r="115">
      <c r="B115" s="140">
        <v>46074.0</v>
      </c>
      <c r="C115" s="141" t="str">
        <f t="shared" si="1"/>
        <v>2-2026</v>
      </c>
      <c r="D115" s="165" t="str">
        <f t="shared" si="11"/>
        <v/>
      </c>
      <c r="F115" s="54">
        <f t="shared" si="2"/>
        <v>0</v>
      </c>
      <c r="G115" s="54">
        <f t="shared" si="3"/>
        <v>-10</v>
      </c>
    </row>
    <row r="116">
      <c r="B116" s="140">
        <v>46075.0</v>
      </c>
      <c r="C116" s="141" t="str">
        <f t="shared" si="1"/>
        <v>2-2026</v>
      </c>
      <c r="D116" s="165" t="str">
        <f t="shared" si="11"/>
        <v/>
      </c>
      <c r="F116" s="54">
        <f t="shared" si="2"/>
        <v>0</v>
      </c>
      <c r="G116" s="54">
        <f t="shared" si="3"/>
        <v>-10</v>
      </c>
    </row>
    <row r="117">
      <c r="B117" s="140">
        <v>46076.0</v>
      </c>
      <c r="C117" s="141" t="str">
        <f t="shared" si="1"/>
        <v>2-2026</v>
      </c>
      <c r="D117" s="165" t="str">
        <f t="shared" si="11"/>
        <v/>
      </c>
      <c r="F117" s="54">
        <f t="shared" si="2"/>
        <v>0</v>
      </c>
      <c r="G117" s="54">
        <f t="shared" si="3"/>
        <v>-10</v>
      </c>
    </row>
    <row r="118">
      <c r="B118" s="140">
        <v>46077.0</v>
      </c>
      <c r="C118" s="141" t="str">
        <f t="shared" si="1"/>
        <v>2-2026</v>
      </c>
      <c r="D118" s="165" t="str">
        <f t="shared" si="11"/>
        <v/>
      </c>
      <c r="F118" s="54">
        <f t="shared" si="2"/>
        <v>0</v>
      </c>
      <c r="G118" s="54">
        <f t="shared" si="3"/>
        <v>-10</v>
      </c>
    </row>
    <row r="119">
      <c r="B119" s="140">
        <v>46078.0</v>
      </c>
      <c r="C119" s="141" t="str">
        <f t="shared" si="1"/>
        <v>2-2026</v>
      </c>
      <c r="D119" s="165" t="str">
        <f t="shared" si="11"/>
        <v/>
      </c>
      <c r="F119" s="54">
        <f t="shared" si="2"/>
        <v>0</v>
      </c>
      <c r="G119" s="54">
        <f t="shared" si="3"/>
        <v>-10</v>
      </c>
    </row>
    <row r="120">
      <c r="B120" s="140">
        <v>46079.0</v>
      </c>
      <c r="C120" s="141" t="str">
        <f t="shared" si="1"/>
        <v>2-2026</v>
      </c>
      <c r="D120" s="165" t="str">
        <f t="shared" si="11"/>
        <v/>
      </c>
      <c r="F120" s="54">
        <f t="shared" si="2"/>
        <v>0</v>
      </c>
      <c r="G120" s="54">
        <f t="shared" si="3"/>
        <v>-10</v>
      </c>
    </row>
    <row r="121">
      <c r="B121" s="140">
        <v>46080.0</v>
      </c>
      <c r="C121" s="141" t="str">
        <f t="shared" si="1"/>
        <v>2-2026</v>
      </c>
      <c r="D121" s="165" t="str">
        <f t="shared" si="11"/>
        <v/>
      </c>
      <c r="F121" s="54">
        <f t="shared" si="2"/>
        <v>0</v>
      </c>
      <c r="G121" s="54">
        <f t="shared" si="3"/>
        <v>-10</v>
      </c>
    </row>
    <row r="122">
      <c r="B122" s="140">
        <v>46081.0</v>
      </c>
      <c r="C122" s="141" t="str">
        <f t="shared" si="1"/>
        <v>2-2026</v>
      </c>
      <c r="D122" s="165" t="str">
        <f t="shared" si="11"/>
        <v/>
      </c>
      <c r="F122" s="54">
        <f t="shared" si="2"/>
        <v>0</v>
      </c>
      <c r="G122" s="54">
        <f t="shared" si="3"/>
        <v>-10</v>
      </c>
    </row>
    <row r="123">
      <c r="B123" s="140">
        <v>46082.0</v>
      </c>
      <c r="C123" s="141" t="str">
        <f t="shared" si="1"/>
        <v>3-2026</v>
      </c>
      <c r="D123" s="165" t="str">
        <f t="shared" si="11"/>
        <v/>
      </c>
      <c r="F123" s="54">
        <f t="shared" si="2"/>
        <v>0</v>
      </c>
      <c r="G123" s="54">
        <f t="shared" si="3"/>
        <v>-10</v>
      </c>
    </row>
    <row r="124">
      <c r="B124" s="140">
        <v>46083.0</v>
      </c>
      <c r="C124" s="141" t="str">
        <f t="shared" si="1"/>
        <v>3-2026</v>
      </c>
      <c r="D124" s="165" t="str">
        <f t="shared" si="11"/>
        <v/>
      </c>
      <c r="F124" s="54">
        <f t="shared" si="2"/>
        <v>0</v>
      </c>
      <c r="G124" s="54">
        <f t="shared" si="3"/>
        <v>-10</v>
      </c>
    </row>
    <row r="125">
      <c r="B125" s="140">
        <v>46084.0</v>
      </c>
      <c r="C125" s="141" t="str">
        <f t="shared" si="1"/>
        <v>3-2026</v>
      </c>
      <c r="D125" s="165" t="str">
        <f t="shared" si="11"/>
        <v/>
      </c>
      <c r="F125" s="54">
        <f t="shared" si="2"/>
        <v>0</v>
      </c>
      <c r="G125" s="54">
        <f t="shared" si="3"/>
        <v>-10</v>
      </c>
    </row>
    <row r="126">
      <c r="B126" s="140">
        <v>46085.0</v>
      </c>
      <c r="C126" s="141" t="str">
        <f t="shared" si="1"/>
        <v>3-2026</v>
      </c>
      <c r="D126" s="165" t="str">
        <f t="shared" si="11"/>
        <v/>
      </c>
      <c r="F126" s="54">
        <f t="shared" si="2"/>
        <v>0</v>
      </c>
      <c r="G126" s="54">
        <f t="shared" si="3"/>
        <v>-10</v>
      </c>
    </row>
    <row r="127">
      <c r="B127" s="140">
        <v>46086.0</v>
      </c>
      <c r="C127" s="141" t="str">
        <f t="shared" si="1"/>
        <v>3-2026</v>
      </c>
      <c r="D127" s="165" t="str">
        <f t="shared" si="11"/>
        <v/>
      </c>
      <c r="F127" s="54">
        <f t="shared" si="2"/>
        <v>0</v>
      </c>
      <c r="G127" s="54">
        <f t="shared" si="3"/>
        <v>-10</v>
      </c>
    </row>
    <row r="128">
      <c r="B128" s="140">
        <v>46087.0</v>
      </c>
      <c r="C128" s="141" t="str">
        <f t="shared" si="1"/>
        <v>3-2026</v>
      </c>
      <c r="D128" s="165" t="str">
        <f t="shared" si="11"/>
        <v/>
      </c>
      <c r="F128" s="54">
        <f t="shared" si="2"/>
        <v>0</v>
      </c>
      <c r="G128" s="54">
        <f t="shared" si="3"/>
        <v>-10</v>
      </c>
    </row>
    <row r="129">
      <c r="B129" s="140">
        <v>46088.0</v>
      </c>
      <c r="C129" s="141" t="str">
        <f t="shared" si="1"/>
        <v>3-2026</v>
      </c>
      <c r="D129" s="165" t="str">
        <f t="shared" si="11"/>
        <v/>
      </c>
      <c r="F129" s="54">
        <f t="shared" si="2"/>
        <v>0</v>
      </c>
      <c r="G129" s="54">
        <f t="shared" si="3"/>
        <v>-10</v>
      </c>
    </row>
    <row r="130">
      <c r="B130" s="140">
        <v>46089.0</v>
      </c>
      <c r="C130" s="141" t="str">
        <f t="shared" si="1"/>
        <v>3-2026</v>
      </c>
      <c r="D130" s="165" t="str">
        <f t="shared" si="11"/>
        <v/>
      </c>
      <c r="F130" s="54">
        <f t="shared" si="2"/>
        <v>0</v>
      </c>
      <c r="G130" s="54">
        <f t="shared" si="3"/>
        <v>-10</v>
      </c>
    </row>
    <row r="131">
      <c r="B131" s="140">
        <v>46090.0</v>
      </c>
      <c r="C131" s="141" t="str">
        <f t="shared" si="1"/>
        <v>3-2026</v>
      </c>
      <c r="D131" s="165" t="str">
        <f t="shared" si="11"/>
        <v/>
      </c>
      <c r="F131" s="54">
        <f t="shared" si="2"/>
        <v>0</v>
      </c>
      <c r="G131" s="54">
        <f t="shared" si="3"/>
        <v>-10</v>
      </c>
    </row>
    <row r="132">
      <c r="B132" s="140">
        <v>46091.0</v>
      </c>
      <c r="C132" s="141" t="str">
        <f t="shared" si="1"/>
        <v>3-2026</v>
      </c>
      <c r="D132" s="165" t="str">
        <f t="shared" si="11"/>
        <v/>
      </c>
      <c r="F132" s="54">
        <f t="shared" si="2"/>
        <v>0</v>
      </c>
      <c r="G132" s="54">
        <f t="shared" si="3"/>
        <v>-10</v>
      </c>
    </row>
    <row r="133">
      <c r="B133" s="140">
        <v>46092.0</v>
      </c>
      <c r="C133" s="141" t="str">
        <f t="shared" si="1"/>
        <v>3-2026</v>
      </c>
      <c r="D133" s="165" t="str">
        <f t="shared" si="11"/>
        <v/>
      </c>
      <c r="F133" s="54">
        <f t="shared" si="2"/>
        <v>0</v>
      </c>
      <c r="G133" s="54">
        <f t="shared" si="3"/>
        <v>-10</v>
      </c>
    </row>
    <row r="134">
      <c r="B134" s="140">
        <v>46093.0</v>
      </c>
      <c r="C134" s="141" t="str">
        <f t="shared" si="1"/>
        <v>3-2026</v>
      </c>
      <c r="D134" s="165" t="str">
        <f t="shared" si="11"/>
        <v/>
      </c>
      <c r="F134" s="54">
        <f t="shared" si="2"/>
        <v>0</v>
      </c>
      <c r="G134" s="54">
        <f t="shared" si="3"/>
        <v>-10</v>
      </c>
    </row>
    <row r="135">
      <c r="B135" s="140">
        <v>46094.0</v>
      </c>
      <c r="C135" s="141" t="str">
        <f t="shared" si="1"/>
        <v>3-2026</v>
      </c>
      <c r="D135" s="165" t="str">
        <f t="shared" si="11"/>
        <v/>
      </c>
      <c r="F135" s="54">
        <f t="shared" si="2"/>
        <v>0</v>
      </c>
      <c r="G135" s="54">
        <f t="shared" si="3"/>
        <v>-10</v>
      </c>
    </row>
    <row r="136">
      <c r="B136" s="140">
        <v>46095.0</v>
      </c>
      <c r="C136" s="141" t="str">
        <f t="shared" si="1"/>
        <v>3-2026</v>
      </c>
      <c r="D136" s="165" t="str">
        <f t="shared" si="11"/>
        <v/>
      </c>
      <c r="F136" s="54">
        <f t="shared" si="2"/>
        <v>0</v>
      </c>
      <c r="G136" s="54">
        <f t="shared" si="3"/>
        <v>-10</v>
      </c>
    </row>
    <row r="137">
      <c r="B137" s="140">
        <v>46096.0</v>
      </c>
      <c r="C137" s="141" t="str">
        <f t="shared" si="1"/>
        <v>3-2026</v>
      </c>
      <c r="D137" s="165" t="str">
        <f t="shared" si="11"/>
        <v/>
      </c>
      <c r="F137" s="54">
        <f t="shared" si="2"/>
        <v>0</v>
      </c>
      <c r="G137" s="54">
        <f t="shared" si="3"/>
        <v>-10</v>
      </c>
    </row>
    <row r="138">
      <c r="B138" s="140">
        <v>46097.0</v>
      </c>
      <c r="C138" s="141" t="str">
        <f t="shared" si="1"/>
        <v>3-2026</v>
      </c>
      <c r="D138" s="165" t="str">
        <f t="shared" si="11"/>
        <v/>
      </c>
      <c r="F138" s="54">
        <f t="shared" si="2"/>
        <v>0</v>
      </c>
      <c r="G138" s="54">
        <f t="shared" si="3"/>
        <v>-10</v>
      </c>
    </row>
    <row r="139">
      <c r="B139" s="140">
        <v>46098.0</v>
      </c>
      <c r="C139" s="141" t="str">
        <f t="shared" si="1"/>
        <v>3-2026</v>
      </c>
      <c r="D139" s="165" t="str">
        <f t="shared" si="11"/>
        <v/>
      </c>
      <c r="F139" s="54">
        <f t="shared" si="2"/>
        <v>0</v>
      </c>
      <c r="G139" s="54">
        <f t="shared" si="3"/>
        <v>-10</v>
      </c>
    </row>
    <row r="140">
      <c r="B140" s="140">
        <v>46099.0</v>
      </c>
      <c r="C140" s="141" t="str">
        <f t="shared" si="1"/>
        <v>3-2026</v>
      </c>
      <c r="D140" s="165" t="str">
        <f t="shared" si="11"/>
        <v/>
      </c>
      <c r="F140" s="54">
        <f t="shared" si="2"/>
        <v>0</v>
      </c>
      <c r="G140" s="54">
        <f t="shared" si="3"/>
        <v>-10</v>
      </c>
    </row>
    <row r="141">
      <c r="B141" s="140">
        <v>46100.0</v>
      </c>
      <c r="C141" s="141" t="str">
        <f t="shared" si="1"/>
        <v>3-2026</v>
      </c>
      <c r="D141" s="165" t="str">
        <f t="shared" si="11"/>
        <v/>
      </c>
      <c r="F141" s="54">
        <f t="shared" si="2"/>
        <v>0</v>
      </c>
      <c r="G141" s="54">
        <f t="shared" si="3"/>
        <v>-10</v>
      </c>
    </row>
    <row r="142">
      <c r="B142" s="140">
        <v>46101.0</v>
      </c>
      <c r="C142" s="141" t="str">
        <f t="shared" si="1"/>
        <v>3-2026</v>
      </c>
      <c r="D142" s="165" t="str">
        <f t="shared" si="11"/>
        <v/>
      </c>
      <c r="F142" s="54">
        <f t="shared" si="2"/>
        <v>0</v>
      </c>
      <c r="G142" s="54">
        <f t="shared" si="3"/>
        <v>-10</v>
      </c>
    </row>
    <row r="143">
      <c r="B143" s="140">
        <v>46102.0</v>
      </c>
      <c r="C143" s="141" t="str">
        <f t="shared" si="1"/>
        <v>3-2026</v>
      </c>
      <c r="D143" s="165" t="str">
        <f t="shared" si="11"/>
        <v/>
      </c>
      <c r="F143" s="54">
        <f t="shared" si="2"/>
        <v>0</v>
      </c>
      <c r="G143" s="54">
        <f t="shared" si="3"/>
        <v>-10</v>
      </c>
    </row>
    <row r="144">
      <c r="B144" s="140">
        <v>46103.0</v>
      </c>
      <c r="C144" s="141" t="str">
        <f t="shared" si="1"/>
        <v>3-2026</v>
      </c>
      <c r="D144" s="165" t="str">
        <f t="shared" si="11"/>
        <v/>
      </c>
      <c r="F144" s="54">
        <f t="shared" si="2"/>
        <v>0</v>
      </c>
      <c r="G144" s="54">
        <f t="shared" si="3"/>
        <v>-10</v>
      </c>
    </row>
    <row r="145">
      <c r="B145" s="140">
        <v>46104.0</v>
      </c>
      <c r="C145" s="141" t="str">
        <f t="shared" si="1"/>
        <v>3-2026</v>
      </c>
      <c r="D145" s="165" t="str">
        <f t="shared" si="11"/>
        <v/>
      </c>
      <c r="F145" s="54">
        <f t="shared" si="2"/>
        <v>0</v>
      </c>
      <c r="G145" s="54">
        <f t="shared" si="3"/>
        <v>-10</v>
      </c>
    </row>
    <row r="146">
      <c r="B146" s="140">
        <v>46105.0</v>
      </c>
      <c r="C146" s="141" t="str">
        <f t="shared" si="1"/>
        <v>3-2026</v>
      </c>
      <c r="D146" s="165" t="str">
        <f t="shared" si="11"/>
        <v/>
      </c>
      <c r="F146" s="54">
        <f t="shared" si="2"/>
        <v>0</v>
      </c>
      <c r="G146" s="54">
        <f t="shared" si="3"/>
        <v>-10</v>
      </c>
    </row>
    <row r="147">
      <c r="B147" s="140">
        <v>46106.0</v>
      </c>
      <c r="C147" s="141" t="str">
        <f t="shared" si="1"/>
        <v>3-2026</v>
      </c>
      <c r="D147" s="165" t="str">
        <f t="shared" si="11"/>
        <v/>
      </c>
      <c r="F147" s="54">
        <f t="shared" si="2"/>
        <v>0</v>
      </c>
      <c r="G147" s="54">
        <f t="shared" si="3"/>
        <v>-10</v>
      </c>
    </row>
    <row r="148">
      <c r="B148" s="140">
        <v>46107.0</v>
      </c>
      <c r="C148" s="141" t="str">
        <f t="shared" si="1"/>
        <v>3-2026</v>
      </c>
      <c r="D148" s="165" t="str">
        <f t="shared" si="11"/>
        <v/>
      </c>
      <c r="F148" s="54">
        <f t="shared" si="2"/>
        <v>0</v>
      </c>
      <c r="G148" s="54">
        <f t="shared" si="3"/>
        <v>-10</v>
      </c>
    </row>
    <row r="149">
      <c r="B149" s="140">
        <v>46108.0</v>
      </c>
      <c r="C149" s="141" t="str">
        <f t="shared" si="1"/>
        <v>3-2026</v>
      </c>
      <c r="D149" s="165" t="str">
        <f t="shared" si="11"/>
        <v/>
      </c>
      <c r="F149" s="54">
        <f t="shared" si="2"/>
        <v>0</v>
      </c>
      <c r="G149" s="54">
        <f t="shared" si="3"/>
        <v>-10</v>
      </c>
    </row>
    <row r="150">
      <c r="B150" s="140">
        <v>46109.0</v>
      </c>
      <c r="C150" s="141" t="str">
        <f t="shared" si="1"/>
        <v>3-2026</v>
      </c>
      <c r="D150" s="165" t="str">
        <f t="shared" si="11"/>
        <v/>
      </c>
      <c r="F150" s="54">
        <f t="shared" si="2"/>
        <v>0</v>
      </c>
      <c r="G150" s="54">
        <f t="shared" si="3"/>
        <v>-10</v>
      </c>
    </row>
    <row r="151">
      <c r="B151" s="140">
        <v>46110.0</v>
      </c>
      <c r="C151" s="141" t="str">
        <f t="shared" si="1"/>
        <v>3-2026</v>
      </c>
      <c r="D151" s="165" t="str">
        <f t="shared" si="11"/>
        <v/>
      </c>
      <c r="F151" s="54">
        <f t="shared" si="2"/>
        <v>0</v>
      </c>
      <c r="G151" s="54">
        <f t="shared" si="3"/>
        <v>-10</v>
      </c>
    </row>
    <row r="152">
      <c r="B152" s="140">
        <v>46111.0</v>
      </c>
      <c r="C152" s="141" t="str">
        <f t="shared" si="1"/>
        <v>3-2026</v>
      </c>
      <c r="D152" s="165" t="str">
        <f t="shared" si="11"/>
        <v/>
      </c>
      <c r="F152" s="54">
        <f t="shared" si="2"/>
        <v>0</v>
      </c>
      <c r="G152" s="54">
        <f t="shared" si="3"/>
        <v>-10</v>
      </c>
    </row>
    <row r="153">
      <c r="B153" s="140">
        <v>46112.0</v>
      </c>
      <c r="C153" s="141" t="str">
        <f t="shared" si="1"/>
        <v>3-2026</v>
      </c>
      <c r="D153" s="165" t="str">
        <f t="shared" si="11"/>
        <v/>
      </c>
      <c r="F153" s="54">
        <f t="shared" si="2"/>
        <v>0</v>
      </c>
      <c r="G153" s="54">
        <f t="shared" si="3"/>
        <v>-10</v>
      </c>
    </row>
    <row r="154">
      <c r="B154" s="140">
        <v>46113.0</v>
      </c>
      <c r="C154" s="141" t="str">
        <f t="shared" si="1"/>
        <v>4-2026</v>
      </c>
      <c r="D154" s="165" t="str">
        <f t="shared" si="11"/>
        <v/>
      </c>
      <c r="F154" s="54">
        <f t="shared" si="2"/>
        <v>0</v>
      </c>
      <c r="G154" s="54">
        <f t="shared" si="3"/>
        <v>-10</v>
      </c>
    </row>
    <row r="155">
      <c r="B155" s="140">
        <v>46114.0</v>
      </c>
      <c r="C155" s="141" t="str">
        <f t="shared" si="1"/>
        <v>4-2026</v>
      </c>
      <c r="D155" s="165" t="str">
        <f t="shared" si="11"/>
        <v/>
      </c>
      <c r="F155" s="54">
        <f t="shared" si="2"/>
        <v>0</v>
      </c>
      <c r="G155" s="54">
        <f t="shared" si="3"/>
        <v>-10</v>
      </c>
    </row>
    <row r="156">
      <c r="B156" s="140">
        <v>46115.0</v>
      </c>
      <c r="C156" s="141" t="str">
        <f t="shared" si="1"/>
        <v>4-2026</v>
      </c>
      <c r="D156" s="165" t="str">
        <f t="shared" si="11"/>
        <v/>
      </c>
      <c r="F156" s="54">
        <f t="shared" si="2"/>
        <v>0</v>
      </c>
      <c r="G156" s="54">
        <f t="shared" si="3"/>
        <v>-10</v>
      </c>
    </row>
    <row r="157">
      <c r="B157" s="140">
        <v>46116.0</v>
      </c>
      <c r="C157" s="141" t="str">
        <f t="shared" si="1"/>
        <v>4-2026</v>
      </c>
      <c r="D157" s="165" t="str">
        <f t="shared" si="11"/>
        <v/>
      </c>
      <c r="F157" s="54">
        <f t="shared" si="2"/>
        <v>0</v>
      </c>
      <c r="G157" s="54">
        <f t="shared" si="3"/>
        <v>-10</v>
      </c>
    </row>
    <row r="158">
      <c r="B158" s="140">
        <v>46117.0</v>
      </c>
      <c r="C158" s="141" t="str">
        <f t="shared" si="1"/>
        <v>4-2026</v>
      </c>
      <c r="D158" s="165" t="str">
        <f t="shared" si="11"/>
        <v/>
      </c>
      <c r="F158" s="54">
        <f t="shared" si="2"/>
        <v>0</v>
      </c>
      <c r="G158" s="54">
        <f t="shared" si="3"/>
        <v>-10</v>
      </c>
    </row>
    <row r="159">
      <c r="B159" s="140">
        <v>46118.0</v>
      </c>
      <c r="C159" s="141" t="str">
        <f t="shared" si="1"/>
        <v>4-2026</v>
      </c>
      <c r="D159" s="165" t="str">
        <f t="shared" si="11"/>
        <v/>
      </c>
      <c r="F159" s="54">
        <f t="shared" si="2"/>
        <v>0</v>
      </c>
      <c r="G159" s="54">
        <f t="shared" si="3"/>
        <v>-10</v>
      </c>
    </row>
    <row r="160">
      <c r="B160" s="140">
        <v>46119.0</v>
      </c>
      <c r="C160" s="141" t="str">
        <f t="shared" si="1"/>
        <v>4-2026</v>
      </c>
      <c r="D160" s="165" t="str">
        <f t="shared" si="11"/>
        <v/>
      </c>
      <c r="F160" s="54">
        <f t="shared" si="2"/>
        <v>0</v>
      </c>
      <c r="G160" s="54">
        <f t="shared" si="3"/>
        <v>-10</v>
      </c>
    </row>
    <row r="161">
      <c r="B161" s="140">
        <v>46120.0</v>
      </c>
      <c r="C161" s="141" t="str">
        <f t="shared" si="1"/>
        <v>4-2026</v>
      </c>
      <c r="D161" s="165" t="str">
        <f t="shared" si="11"/>
        <v/>
      </c>
      <c r="F161" s="54">
        <f t="shared" si="2"/>
        <v>0</v>
      </c>
      <c r="G161" s="54">
        <f t="shared" si="3"/>
        <v>-10</v>
      </c>
    </row>
    <row r="162">
      <c r="B162" s="140">
        <v>46121.0</v>
      </c>
      <c r="C162" s="141" t="str">
        <f t="shared" si="1"/>
        <v>4-2026</v>
      </c>
      <c r="D162" s="165" t="str">
        <f t="shared" si="11"/>
        <v/>
      </c>
      <c r="F162" s="54">
        <f t="shared" si="2"/>
        <v>0</v>
      </c>
      <c r="G162" s="54">
        <f t="shared" si="3"/>
        <v>-10</v>
      </c>
    </row>
    <row r="163">
      <c r="B163" s="140">
        <v>46122.0</v>
      </c>
      <c r="C163" s="141" t="str">
        <f t="shared" si="1"/>
        <v>4-2026</v>
      </c>
      <c r="D163" s="165" t="str">
        <f t="shared" si="11"/>
        <v/>
      </c>
      <c r="F163" s="54">
        <f t="shared" si="2"/>
        <v>0</v>
      </c>
      <c r="G163" s="54">
        <f t="shared" si="3"/>
        <v>-10</v>
      </c>
    </row>
    <row r="164">
      <c r="B164" s="140">
        <v>46123.0</v>
      </c>
      <c r="C164" s="141" t="str">
        <f t="shared" si="1"/>
        <v>4-2026</v>
      </c>
      <c r="D164" s="165" t="str">
        <f t="shared" si="11"/>
        <v/>
      </c>
      <c r="F164" s="54">
        <f t="shared" si="2"/>
        <v>0</v>
      </c>
      <c r="G164" s="54">
        <f t="shared" si="3"/>
        <v>-10</v>
      </c>
    </row>
    <row r="165">
      <c r="B165" s="140">
        <v>46124.0</v>
      </c>
      <c r="C165" s="141" t="str">
        <f t="shared" si="1"/>
        <v>4-2026</v>
      </c>
      <c r="D165" s="165" t="str">
        <f t="shared" si="11"/>
        <v/>
      </c>
      <c r="F165" s="54">
        <f t="shared" si="2"/>
        <v>0</v>
      </c>
      <c r="G165" s="54">
        <f t="shared" si="3"/>
        <v>-10</v>
      </c>
    </row>
    <row r="166">
      <c r="B166" s="140">
        <v>46125.0</v>
      </c>
      <c r="C166" s="141" t="str">
        <f t="shared" si="1"/>
        <v>4-2026</v>
      </c>
      <c r="D166" s="165" t="str">
        <f t="shared" si="11"/>
        <v/>
      </c>
      <c r="F166" s="54">
        <f t="shared" si="2"/>
        <v>0</v>
      </c>
      <c r="G166" s="54">
        <f t="shared" si="3"/>
        <v>-10</v>
      </c>
    </row>
    <row r="167">
      <c r="B167" s="140">
        <v>46126.0</v>
      </c>
      <c r="C167" s="141" t="str">
        <f t="shared" si="1"/>
        <v>4-2026</v>
      </c>
      <c r="D167" s="165" t="str">
        <f t="shared" si="11"/>
        <v/>
      </c>
      <c r="F167" s="54">
        <f t="shared" si="2"/>
        <v>0</v>
      </c>
      <c r="G167" s="54">
        <f t="shared" si="3"/>
        <v>-10</v>
      </c>
    </row>
    <row r="168">
      <c r="B168" s="140">
        <v>46127.0</v>
      </c>
      <c r="C168" s="141" t="str">
        <f t="shared" si="1"/>
        <v>4-2026</v>
      </c>
      <c r="D168" s="165" t="str">
        <f t="shared" si="11"/>
        <v/>
      </c>
      <c r="F168" s="54">
        <f t="shared" si="2"/>
        <v>0</v>
      </c>
      <c r="G168" s="54">
        <f t="shared" si="3"/>
        <v>-10</v>
      </c>
    </row>
    <row r="169">
      <c r="B169" s="140">
        <v>46128.0</v>
      </c>
      <c r="C169" s="141" t="str">
        <f t="shared" si="1"/>
        <v>4-2026</v>
      </c>
      <c r="D169" s="165" t="str">
        <f t="shared" si="11"/>
        <v/>
      </c>
      <c r="F169" s="54">
        <f t="shared" si="2"/>
        <v>0</v>
      </c>
      <c r="G169" s="54">
        <f t="shared" si="3"/>
        <v>-10</v>
      </c>
    </row>
    <row r="170">
      <c r="B170" s="140">
        <v>46129.0</v>
      </c>
      <c r="C170" s="141" t="str">
        <f t="shared" si="1"/>
        <v>4-2026</v>
      </c>
      <c r="D170" s="165" t="str">
        <f t="shared" si="11"/>
        <v/>
      </c>
      <c r="F170" s="54">
        <f t="shared" si="2"/>
        <v>0</v>
      </c>
      <c r="G170" s="54">
        <f t="shared" si="3"/>
        <v>-10</v>
      </c>
    </row>
    <row r="171">
      <c r="B171" s="140">
        <v>46130.0</v>
      </c>
      <c r="C171" s="141" t="str">
        <f t="shared" si="1"/>
        <v>4-2026</v>
      </c>
      <c r="D171" s="165" t="str">
        <f t="shared" si="11"/>
        <v/>
      </c>
      <c r="F171" s="54">
        <f t="shared" si="2"/>
        <v>0</v>
      </c>
      <c r="G171" s="54">
        <f t="shared" si="3"/>
        <v>-10</v>
      </c>
    </row>
    <row r="172">
      <c r="B172" s="140">
        <v>46131.0</v>
      </c>
      <c r="C172" s="141" t="str">
        <f t="shared" si="1"/>
        <v>4-2026</v>
      </c>
      <c r="D172" s="165" t="str">
        <f t="shared" si="11"/>
        <v/>
      </c>
      <c r="F172" s="54">
        <f t="shared" si="2"/>
        <v>0</v>
      </c>
      <c r="G172" s="54">
        <f t="shared" si="3"/>
        <v>-10</v>
      </c>
    </row>
    <row r="173">
      <c r="B173" s="140">
        <v>46132.0</v>
      </c>
      <c r="C173" s="141" t="str">
        <f t="shared" si="1"/>
        <v>4-2026</v>
      </c>
      <c r="D173" s="165" t="str">
        <f t="shared" si="11"/>
        <v/>
      </c>
      <c r="F173" s="54">
        <f t="shared" si="2"/>
        <v>0</v>
      </c>
      <c r="G173" s="54">
        <f t="shared" si="3"/>
        <v>-10</v>
      </c>
    </row>
    <row r="174">
      <c r="B174" s="140">
        <v>46133.0</v>
      </c>
      <c r="C174" s="141" t="str">
        <f t="shared" si="1"/>
        <v>4-2026</v>
      </c>
      <c r="D174" s="165" t="str">
        <f t="shared" si="11"/>
        <v/>
      </c>
      <c r="F174" s="54">
        <f t="shared" si="2"/>
        <v>0</v>
      </c>
      <c r="G174" s="54">
        <f t="shared" si="3"/>
        <v>-10</v>
      </c>
    </row>
    <row r="175">
      <c r="B175" s="140">
        <v>46134.0</v>
      </c>
      <c r="C175" s="141" t="str">
        <f t="shared" si="1"/>
        <v>4-2026</v>
      </c>
      <c r="D175" s="165" t="str">
        <f t="shared" si="11"/>
        <v/>
      </c>
      <c r="F175" s="54">
        <f t="shared" si="2"/>
        <v>0</v>
      </c>
      <c r="G175" s="54">
        <f t="shared" si="3"/>
        <v>-10</v>
      </c>
    </row>
    <row r="176">
      <c r="B176" s="140">
        <v>46135.0</v>
      </c>
      <c r="C176" s="141" t="str">
        <f t="shared" si="1"/>
        <v>4-2026</v>
      </c>
      <c r="D176" s="165" t="str">
        <f t="shared" si="11"/>
        <v/>
      </c>
      <c r="F176" s="54">
        <f t="shared" si="2"/>
        <v>0</v>
      </c>
      <c r="G176" s="54">
        <f t="shared" si="3"/>
        <v>-10</v>
      </c>
    </row>
    <row r="177">
      <c r="B177" s="140">
        <v>46136.0</v>
      </c>
      <c r="C177" s="141" t="str">
        <f t="shared" si="1"/>
        <v>4-2026</v>
      </c>
      <c r="D177" s="165" t="str">
        <f t="shared" si="11"/>
        <v/>
      </c>
      <c r="F177" s="54">
        <f t="shared" si="2"/>
        <v>0</v>
      </c>
      <c r="G177" s="54">
        <f t="shared" si="3"/>
        <v>-10</v>
      </c>
    </row>
    <row r="178">
      <c r="B178" s="140">
        <v>46137.0</v>
      </c>
      <c r="C178" s="141" t="str">
        <f t="shared" si="1"/>
        <v>4-2026</v>
      </c>
      <c r="D178" s="165" t="str">
        <f t="shared" si="11"/>
        <v/>
      </c>
      <c r="F178" s="54">
        <f t="shared" si="2"/>
        <v>0</v>
      </c>
      <c r="G178" s="54">
        <f t="shared" si="3"/>
        <v>-10</v>
      </c>
    </row>
    <row r="179">
      <c r="B179" s="140">
        <v>46138.0</v>
      </c>
      <c r="C179" s="141" t="str">
        <f t="shared" si="1"/>
        <v>4-2026</v>
      </c>
      <c r="D179" s="165" t="str">
        <f t="shared" si="11"/>
        <v/>
      </c>
      <c r="F179" s="54">
        <f t="shared" si="2"/>
        <v>0</v>
      </c>
      <c r="G179" s="54">
        <f t="shared" si="3"/>
        <v>-10</v>
      </c>
    </row>
    <row r="180">
      <c r="B180" s="140">
        <v>46139.0</v>
      </c>
      <c r="C180" s="141" t="str">
        <f t="shared" si="1"/>
        <v>4-2026</v>
      </c>
      <c r="D180" s="165" t="str">
        <f t="shared" si="11"/>
        <v/>
      </c>
      <c r="F180" s="54">
        <f t="shared" si="2"/>
        <v>0</v>
      </c>
      <c r="G180" s="54">
        <f t="shared" si="3"/>
        <v>-10</v>
      </c>
    </row>
    <row r="181">
      <c r="B181" s="140">
        <v>46140.0</v>
      </c>
      <c r="C181" s="141" t="str">
        <f t="shared" si="1"/>
        <v>4-2026</v>
      </c>
      <c r="D181" s="165" t="str">
        <f t="shared" si="11"/>
        <v/>
      </c>
      <c r="F181" s="54">
        <f t="shared" si="2"/>
        <v>0</v>
      </c>
      <c r="G181" s="54">
        <f t="shared" si="3"/>
        <v>-10</v>
      </c>
    </row>
    <row r="182">
      <c r="B182" s="140">
        <v>46141.0</v>
      </c>
      <c r="C182" s="141" t="str">
        <f t="shared" si="1"/>
        <v>4-2026</v>
      </c>
      <c r="D182" s="165" t="str">
        <f t="shared" si="11"/>
        <v/>
      </c>
      <c r="F182" s="54">
        <f t="shared" si="2"/>
        <v>0</v>
      </c>
      <c r="G182" s="54">
        <f t="shared" si="3"/>
        <v>-10</v>
      </c>
    </row>
    <row r="183">
      <c r="B183" s="140">
        <v>46142.0</v>
      </c>
      <c r="C183" s="141" t="str">
        <f t="shared" si="1"/>
        <v>4-2026</v>
      </c>
      <c r="D183" s="165" t="str">
        <f t="shared" si="11"/>
        <v/>
      </c>
      <c r="F183" s="54">
        <f t="shared" si="2"/>
        <v>0</v>
      </c>
      <c r="G183" s="54">
        <f t="shared" si="3"/>
        <v>-10</v>
      </c>
    </row>
    <row r="184">
      <c r="B184" s="140">
        <v>46143.0</v>
      </c>
      <c r="C184" s="141" t="str">
        <f t="shared" si="1"/>
        <v>5-2026</v>
      </c>
      <c r="D184" s="165" t="str">
        <f t="shared" si="11"/>
        <v/>
      </c>
      <c r="F184" s="54">
        <f t="shared" si="2"/>
        <v>0</v>
      </c>
      <c r="G184" s="54">
        <f t="shared" si="3"/>
        <v>-10</v>
      </c>
    </row>
    <row r="185">
      <c r="B185" s="140">
        <v>46144.0</v>
      </c>
      <c r="C185" s="141" t="str">
        <f t="shared" si="1"/>
        <v>5-2026</v>
      </c>
      <c r="D185" s="165" t="str">
        <f t="shared" si="11"/>
        <v/>
      </c>
      <c r="F185" s="54">
        <f t="shared" si="2"/>
        <v>0</v>
      </c>
      <c r="G185" s="54">
        <f t="shared" si="3"/>
        <v>-10</v>
      </c>
    </row>
    <row r="186">
      <c r="B186" s="140">
        <v>46145.0</v>
      </c>
      <c r="C186" s="141" t="str">
        <f t="shared" si="1"/>
        <v>5-2026</v>
      </c>
      <c r="D186" s="165" t="str">
        <f t="shared" si="11"/>
        <v/>
      </c>
      <c r="F186" s="54">
        <f t="shared" si="2"/>
        <v>0</v>
      </c>
      <c r="G186" s="54">
        <f t="shared" si="3"/>
        <v>-10</v>
      </c>
    </row>
    <row r="187">
      <c r="B187" s="140">
        <v>46146.0</v>
      </c>
      <c r="C187" s="141" t="str">
        <f t="shared" si="1"/>
        <v>5-2026</v>
      </c>
      <c r="D187" s="165" t="str">
        <f t="shared" si="11"/>
        <v/>
      </c>
      <c r="F187" s="54">
        <f t="shared" si="2"/>
        <v>0</v>
      </c>
      <c r="G187" s="54">
        <f t="shared" si="3"/>
        <v>-10</v>
      </c>
    </row>
    <row r="188">
      <c r="B188" s="140">
        <v>46147.0</v>
      </c>
      <c r="C188" s="141" t="str">
        <f t="shared" si="1"/>
        <v>5-2026</v>
      </c>
      <c r="D188" s="165" t="str">
        <f t="shared" si="11"/>
        <v/>
      </c>
      <c r="F188" s="54">
        <f t="shared" si="2"/>
        <v>0</v>
      </c>
      <c r="G188" s="54">
        <f t="shared" si="3"/>
        <v>-10</v>
      </c>
    </row>
    <row r="189">
      <c r="B189" s="140">
        <v>46148.0</v>
      </c>
      <c r="C189" s="141" t="str">
        <f t="shared" si="1"/>
        <v>5-2026</v>
      </c>
      <c r="D189" s="165" t="str">
        <f t="shared" si="11"/>
        <v/>
      </c>
      <c r="F189" s="54">
        <f t="shared" si="2"/>
        <v>0</v>
      </c>
      <c r="G189" s="54">
        <f t="shared" si="3"/>
        <v>-10</v>
      </c>
    </row>
    <row r="190">
      <c r="B190" s="140">
        <v>46149.0</v>
      </c>
      <c r="C190" s="141" t="str">
        <f t="shared" si="1"/>
        <v>5-2026</v>
      </c>
      <c r="D190" s="165" t="str">
        <f t="shared" si="11"/>
        <v/>
      </c>
      <c r="F190" s="54">
        <f t="shared" si="2"/>
        <v>0</v>
      </c>
      <c r="G190" s="54">
        <f t="shared" si="3"/>
        <v>-10</v>
      </c>
    </row>
    <row r="191">
      <c r="B191" s="140">
        <v>46150.0</v>
      </c>
      <c r="C191" s="141" t="str">
        <f t="shared" si="1"/>
        <v>5-2026</v>
      </c>
      <c r="D191" s="165" t="str">
        <f t="shared" si="11"/>
        <v/>
      </c>
      <c r="F191" s="54">
        <f t="shared" si="2"/>
        <v>0</v>
      </c>
      <c r="G191" s="54">
        <f t="shared" si="3"/>
        <v>-10</v>
      </c>
    </row>
    <row r="192">
      <c r="B192" s="140">
        <v>46151.0</v>
      </c>
      <c r="C192" s="141" t="str">
        <f t="shared" si="1"/>
        <v>5-2026</v>
      </c>
      <c r="D192" s="165" t="str">
        <f t="shared" si="11"/>
        <v/>
      </c>
      <c r="F192" s="54">
        <f t="shared" si="2"/>
        <v>0</v>
      </c>
      <c r="G192" s="54">
        <f t="shared" si="3"/>
        <v>-10</v>
      </c>
    </row>
    <row r="193">
      <c r="B193" s="140">
        <v>46152.0</v>
      </c>
      <c r="C193" s="141" t="str">
        <f t="shared" si="1"/>
        <v>5-2026</v>
      </c>
      <c r="D193" s="165" t="str">
        <f t="shared" si="11"/>
        <v/>
      </c>
      <c r="F193" s="54">
        <f t="shared" si="2"/>
        <v>0</v>
      </c>
      <c r="G193" s="54">
        <f t="shared" si="3"/>
        <v>-10</v>
      </c>
    </row>
    <row r="194">
      <c r="B194" s="140">
        <v>46153.0</v>
      </c>
      <c r="C194" s="141" t="str">
        <f t="shared" si="1"/>
        <v>5-2026</v>
      </c>
      <c r="D194" s="165" t="str">
        <f t="shared" si="11"/>
        <v/>
      </c>
      <c r="F194" s="54">
        <f t="shared" si="2"/>
        <v>0</v>
      </c>
      <c r="G194" s="54">
        <f t="shared" si="3"/>
        <v>-10</v>
      </c>
    </row>
    <row r="195">
      <c r="B195" s="140">
        <v>46154.0</v>
      </c>
      <c r="C195" s="141" t="str">
        <f t="shared" si="1"/>
        <v>5-2026</v>
      </c>
      <c r="D195" s="165" t="str">
        <f t="shared" si="11"/>
        <v/>
      </c>
      <c r="F195" s="54">
        <f t="shared" si="2"/>
        <v>0</v>
      </c>
      <c r="G195" s="54">
        <f t="shared" si="3"/>
        <v>-10</v>
      </c>
    </row>
    <row r="196">
      <c r="B196" s="140">
        <v>46155.0</v>
      </c>
      <c r="C196" s="141" t="str">
        <f t="shared" si="1"/>
        <v>5-2026</v>
      </c>
      <c r="D196" s="165" t="str">
        <f t="shared" si="11"/>
        <v/>
      </c>
      <c r="F196" s="54">
        <f t="shared" si="2"/>
        <v>0</v>
      </c>
      <c r="G196" s="54">
        <f t="shared" si="3"/>
        <v>-10</v>
      </c>
    </row>
    <row r="197">
      <c r="B197" s="140">
        <v>46156.0</v>
      </c>
      <c r="C197" s="141" t="str">
        <f t="shared" si="1"/>
        <v>5-2026</v>
      </c>
      <c r="D197" s="165" t="str">
        <f t="shared" si="11"/>
        <v/>
      </c>
      <c r="F197" s="54">
        <f t="shared" si="2"/>
        <v>0</v>
      </c>
      <c r="G197" s="54">
        <f t="shared" si="3"/>
        <v>-10</v>
      </c>
    </row>
    <row r="198">
      <c r="B198" s="140">
        <v>46157.0</v>
      </c>
      <c r="C198" s="141" t="str">
        <f t="shared" si="1"/>
        <v>5-2026</v>
      </c>
      <c r="D198" s="165" t="str">
        <f t="shared" si="11"/>
        <v/>
      </c>
      <c r="F198" s="54">
        <f t="shared" si="2"/>
        <v>0</v>
      </c>
      <c r="G198" s="54">
        <f t="shared" si="3"/>
        <v>-10</v>
      </c>
    </row>
    <row r="199">
      <c r="B199" s="140">
        <v>46158.0</v>
      </c>
      <c r="C199" s="141" t="str">
        <f t="shared" si="1"/>
        <v>5-2026</v>
      </c>
      <c r="D199" s="165" t="str">
        <f t="shared" si="11"/>
        <v/>
      </c>
      <c r="F199" s="54">
        <f t="shared" si="2"/>
        <v>0</v>
      </c>
      <c r="G199" s="54">
        <f t="shared" si="3"/>
        <v>-10</v>
      </c>
    </row>
    <row r="200">
      <c r="B200" s="140">
        <v>46159.0</v>
      </c>
      <c r="C200" s="141" t="str">
        <f t="shared" si="1"/>
        <v>5-2026</v>
      </c>
      <c r="D200" s="165" t="str">
        <f t="shared" si="11"/>
        <v/>
      </c>
      <c r="F200" s="54">
        <f t="shared" si="2"/>
        <v>0</v>
      </c>
      <c r="G200" s="54">
        <f t="shared" si="3"/>
        <v>-10</v>
      </c>
    </row>
    <row r="201">
      <c r="B201" s="140">
        <v>46160.0</v>
      </c>
      <c r="C201" s="141" t="str">
        <f t="shared" si="1"/>
        <v>5-2026</v>
      </c>
      <c r="D201" s="165" t="str">
        <f t="shared" si="11"/>
        <v/>
      </c>
      <c r="F201" s="54">
        <f t="shared" si="2"/>
        <v>0</v>
      </c>
      <c r="G201" s="54">
        <f t="shared" si="3"/>
        <v>-10</v>
      </c>
    </row>
    <row r="202">
      <c r="B202" s="140">
        <v>46161.0</v>
      </c>
      <c r="C202" s="141" t="str">
        <f t="shared" si="1"/>
        <v>5-2026</v>
      </c>
      <c r="D202" s="165" t="str">
        <f t="shared" si="11"/>
        <v/>
      </c>
      <c r="F202" s="54">
        <f t="shared" si="2"/>
        <v>0</v>
      </c>
      <c r="G202" s="54">
        <f t="shared" si="3"/>
        <v>-10</v>
      </c>
    </row>
    <row r="203">
      <c r="B203" s="140">
        <v>46162.0</v>
      </c>
      <c r="C203" s="141" t="str">
        <f t="shared" si="1"/>
        <v>5-2026</v>
      </c>
      <c r="D203" s="165" t="str">
        <f t="shared" si="11"/>
        <v/>
      </c>
      <c r="F203" s="54">
        <f t="shared" si="2"/>
        <v>0</v>
      </c>
      <c r="G203" s="54">
        <f t="shared" si="3"/>
        <v>-10</v>
      </c>
    </row>
    <row r="204">
      <c r="B204" s="140">
        <v>46163.0</v>
      </c>
      <c r="C204" s="141" t="str">
        <f t="shared" si="1"/>
        <v>5-2026</v>
      </c>
      <c r="D204" s="165" t="str">
        <f t="shared" si="11"/>
        <v/>
      </c>
      <c r="F204" s="54">
        <f t="shared" si="2"/>
        <v>0</v>
      </c>
      <c r="G204" s="54">
        <f t="shared" si="3"/>
        <v>-10</v>
      </c>
    </row>
    <row r="205">
      <c r="B205" s="140">
        <v>46164.0</v>
      </c>
      <c r="C205" s="141" t="str">
        <f t="shared" si="1"/>
        <v>5-2026</v>
      </c>
      <c r="D205" s="165" t="str">
        <f t="shared" si="11"/>
        <v/>
      </c>
      <c r="F205" s="54">
        <f t="shared" si="2"/>
        <v>0</v>
      </c>
      <c r="G205" s="54">
        <f t="shared" si="3"/>
        <v>-10</v>
      </c>
    </row>
    <row r="206">
      <c r="B206" s="140">
        <v>46165.0</v>
      </c>
      <c r="C206" s="141" t="str">
        <f t="shared" si="1"/>
        <v>5-2026</v>
      </c>
      <c r="D206" s="165" t="str">
        <f t="shared" si="11"/>
        <v/>
      </c>
      <c r="F206" s="54">
        <f t="shared" si="2"/>
        <v>0</v>
      </c>
      <c r="G206" s="54">
        <f t="shared" si="3"/>
        <v>-10</v>
      </c>
    </row>
    <row r="207">
      <c r="B207" s="140">
        <v>46166.0</v>
      </c>
      <c r="C207" s="141" t="str">
        <f t="shared" si="1"/>
        <v>5-2026</v>
      </c>
      <c r="D207" s="165" t="str">
        <f t="shared" si="11"/>
        <v/>
      </c>
      <c r="F207" s="54">
        <f t="shared" si="2"/>
        <v>0</v>
      </c>
      <c r="G207" s="54">
        <f t="shared" si="3"/>
        <v>-10</v>
      </c>
    </row>
    <row r="208">
      <c r="B208" s="140">
        <v>46167.0</v>
      </c>
      <c r="C208" s="141" t="str">
        <f t="shared" si="1"/>
        <v>5-2026</v>
      </c>
      <c r="D208" s="165" t="str">
        <f t="shared" si="11"/>
        <v/>
      </c>
      <c r="F208" s="54">
        <f t="shared" si="2"/>
        <v>0</v>
      </c>
      <c r="G208" s="54">
        <f t="shared" si="3"/>
        <v>-10</v>
      </c>
    </row>
    <row r="209">
      <c r="B209" s="140">
        <v>46168.0</v>
      </c>
      <c r="D209" s="165" t="str">
        <f t="shared" si="11"/>
        <v/>
      </c>
      <c r="F209" s="54">
        <f t="shared" si="2"/>
        <v>0</v>
      </c>
      <c r="G209" s="54">
        <f t="shared" si="3"/>
        <v>-10</v>
      </c>
    </row>
    <row r="210">
      <c r="B210" s="140">
        <v>46169.0</v>
      </c>
      <c r="D210" s="165" t="str">
        <f t="shared" si="11"/>
        <v/>
      </c>
      <c r="F210" s="54">
        <f t="shared" si="2"/>
        <v>0</v>
      </c>
      <c r="G210" s="54">
        <f t="shared" si="3"/>
        <v>-10</v>
      </c>
    </row>
    <row r="211">
      <c r="B211" s="140">
        <v>46170.0</v>
      </c>
      <c r="D211" s="165" t="str">
        <f t="shared" si="11"/>
        <v/>
      </c>
      <c r="F211" s="54">
        <f t="shared" si="2"/>
        <v>0</v>
      </c>
      <c r="G211" s="54">
        <f t="shared" si="3"/>
        <v>-10</v>
      </c>
    </row>
    <row r="212">
      <c r="B212" s="140">
        <v>46171.0</v>
      </c>
      <c r="D212" s="165" t="str">
        <f t="shared" si="11"/>
        <v/>
      </c>
      <c r="F212" s="54">
        <f t="shared" si="2"/>
        <v>0</v>
      </c>
      <c r="G212" s="54">
        <f t="shared" si="3"/>
        <v>-10</v>
      </c>
    </row>
    <row r="213">
      <c r="B213" s="140">
        <v>46172.0</v>
      </c>
      <c r="D213" s="165" t="str">
        <f t="shared" si="11"/>
        <v/>
      </c>
      <c r="F213" s="54">
        <f t="shared" si="2"/>
        <v>0</v>
      </c>
      <c r="G213" s="54">
        <f t="shared" si="3"/>
        <v>-10</v>
      </c>
    </row>
    <row r="214">
      <c r="B214" s="140">
        <v>46173.0</v>
      </c>
      <c r="D214" s="165" t="str">
        <f t="shared" si="11"/>
        <v/>
      </c>
      <c r="F214" s="54">
        <f t="shared" si="2"/>
        <v>0</v>
      </c>
      <c r="G214" s="54">
        <f t="shared" si="3"/>
        <v>-10</v>
      </c>
    </row>
    <row r="215">
      <c r="B215" s="140">
        <v>46174.0</v>
      </c>
      <c r="D215" s="165" t="str">
        <f t="shared" si="11"/>
        <v/>
      </c>
      <c r="F215" s="54">
        <f t="shared" si="2"/>
        <v>0</v>
      </c>
      <c r="G215" s="54">
        <f t="shared" si="3"/>
        <v>-10</v>
      </c>
    </row>
    <row r="216">
      <c r="B216" s="140">
        <v>46175.0</v>
      </c>
      <c r="D216" s="165" t="str">
        <f t="shared" si="11"/>
        <v/>
      </c>
    </row>
    <row r="217">
      <c r="B217" s="140">
        <v>46176.0</v>
      </c>
      <c r="D217" s="165" t="str">
        <f t="shared" si="11"/>
        <v/>
      </c>
    </row>
    <row r="218">
      <c r="B218" s="140">
        <v>46177.0</v>
      </c>
      <c r="D218" s="165" t="str">
        <f t="shared" si="11"/>
        <v/>
      </c>
    </row>
    <row r="219">
      <c r="B219" s="140">
        <v>46178.0</v>
      </c>
      <c r="D219" s="165" t="str">
        <f t="shared" si="11"/>
        <v/>
      </c>
    </row>
    <row r="220">
      <c r="B220" s="140">
        <v>46179.0</v>
      </c>
      <c r="D220" s="165" t="str">
        <f t="shared" si="11"/>
        <v/>
      </c>
    </row>
    <row r="221">
      <c r="B221" s="140">
        <v>46180.0</v>
      </c>
      <c r="D221" s="165" t="str">
        <f t="shared" si="11"/>
        <v/>
      </c>
    </row>
    <row r="222">
      <c r="B222" s="140">
        <v>46181.0</v>
      </c>
      <c r="D222" s="165" t="str">
        <f t="shared" si="11"/>
        <v/>
      </c>
    </row>
    <row r="223">
      <c r="B223" s="140">
        <v>46182.0</v>
      </c>
      <c r="D223" s="165" t="str">
        <f t="shared" si="11"/>
        <v/>
      </c>
    </row>
    <row r="224">
      <c r="B224" s="140">
        <v>46183.0</v>
      </c>
      <c r="D224" s="165" t="str">
        <f t="shared" si="11"/>
        <v/>
      </c>
    </row>
    <row r="225">
      <c r="B225" s="140">
        <v>46184.0</v>
      </c>
      <c r="D225" s="165" t="str">
        <f t="shared" si="11"/>
        <v/>
      </c>
    </row>
    <row r="226">
      <c r="B226" s="140">
        <v>46185.0</v>
      </c>
      <c r="D226" s="165" t="str">
        <f t="shared" si="11"/>
        <v/>
      </c>
    </row>
    <row r="227">
      <c r="B227" s="140">
        <v>46186.0</v>
      </c>
      <c r="D227" s="165" t="str">
        <f t="shared" si="11"/>
        <v/>
      </c>
    </row>
    <row r="228">
      <c r="B228" s="140">
        <v>46187.0</v>
      </c>
      <c r="D228" s="165" t="str">
        <f t="shared" si="11"/>
        <v/>
      </c>
    </row>
    <row r="229">
      <c r="B229" s="140">
        <v>46188.0</v>
      </c>
      <c r="D229" s="165" t="str">
        <f t="shared" si="11"/>
        <v/>
      </c>
    </row>
    <row r="230">
      <c r="B230" s="140">
        <v>46189.0</v>
      </c>
      <c r="D230" s="165" t="str">
        <f t="shared" si="11"/>
        <v/>
      </c>
    </row>
    <row r="231">
      <c r="B231" s="140">
        <v>46190.0</v>
      </c>
      <c r="D231" s="165" t="str">
        <f t="shared" si="11"/>
        <v/>
      </c>
    </row>
    <row r="232">
      <c r="B232" s="140">
        <v>46191.0</v>
      </c>
      <c r="D232" s="165" t="str">
        <f t="shared" si="11"/>
        <v/>
      </c>
    </row>
    <row r="233">
      <c r="B233" s="140">
        <v>46192.0</v>
      </c>
      <c r="D233" s="165" t="str">
        <f t="shared" si="11"/>
        <v/>
      </c>
    </row>
    <row r="234">
      <c r="B234" s="140">
        <v>46193.0</v>
      </c>
      <c r="D234" s="165" t="str">
        <f t="shared" si="11"/>
        <v/>
      </c>
    </row>
    <row r="235">
      <c r="B235" s="140">
        <v>46194.0</v>
      </c>
      <c r="D235" s="165" t="str">
        <f t="shared" si="11"/>
        <v/>
      </c>
    </row>
    <row r="236">
      <c r="B236" s="140">
        <v>46195.0</v>
      </c>
      <c r="D236" s="165" t="str">
        <f t="shared" si="11"/>
        <v/>
      </c>
    </row>
    <row r="237">
      <c r="B237" s="140">
        <v>46196.0</v>
      </c>
      <c r="D237" s="165" t="str">
        <f t="shared" si="11"/>
        <v/>
      </c>
    </row>
    <row r="238">
      <c r="B238" s="140">
        <v>46197.0</v>
      </c>
      <c r="D238" s="165" t="str">
        <f t="shared" si="11"/>
        <v/>
      </c>
    </row>
    <row r="239">
      <c r="B239" s="140">
        <v>46198.0</v>
      </c>
      <c r="D239" s="165" t="str">
        <f t="shared" si="11"/>
        <v/>
      </c>
    </row>
    <row r="240">
      <c r="B240" s="140">
        <v>46199.0</v>
      </c>
      <c r="D240" s="165" t="str">
        <f t="shared" si="11"/>
        <v/>
      </c>
    </row>
    <row r="241">
      <c r="B241" s="140">
        <v>46200.0</v>
      </c>
      <c r="D241" s="165" t="str">
        <f t="shared" si="11"/>
        <v/>
      </c>
    </row>
    <row r="242">
      <c r="B242" s="140">
        <v>46201.0</v>
      </c>
      <c r="D242" s="165" t="str">
        <f t="shared" si="11"/>
        <v/>
      </c>
    </row>
    <row r="243">
      <c r="B243" s="140">
        <v>46202.0</v>
      </c>
      <c r="D243" s="165" t="str">
        <f t="shared" si="11"/>
        <v/>
      </c>
    </row>
    <row r="244">
      <c r="B244" s="140">
        <v>46203.0</v>
      </c>
      <c r="D244" s="165" t="str">
        <f t="shared" si="11"/>
        <v/>
      </c>
    </row>
    <row r="245">
      <c r="B245" s="140">
        <v>46204.0</v>
      </c>
      <c r="D245" s="165" t="str">
        <f t="shared" si="11"/>
        <v/>
      </c>
    </row>
    <row r="246">
      <c r="B246" s="140">
        <v>46205.0</v>
      </c>
      <c r="D246" s="165" t="str">
        <f t="shared" si="11"/>
        <v/>
      </c>
    </row>
    <row r="247">
      <c r="B247" s="140">
        <v>46206.0</v>
      </c>
      <c r="D247" s="165" t="str">
        <f t="shared" si="11"/>
        <v/>
      </c>
    </row>
    <row r="248">
      <c r="B248" s="140">
        <v>46207.0</v>
      </c>
      <c r="D248" s="165" t="str">
        <f t="shared" si="11"/>
        <v/>
      </c>
    </row>
    <row r="249">
      <c r="B249" s="140">
        <v>46208.0</v>
      </c>
      <c r="D249" s="165" t="str">
        <f t="shared" si="11"/>
        <v/>
      </c>
    </row>
    <row r="250">
      <c r="B250" s="140">
        <v>46209.0</v>
      </c>
      <c r="D250" s="165" t="str">
        <f t="shared" si="11"/>
        <v/>
      </c>
    </row>
    <row r="251">
      <c r="B251" s="140">
        <v>46210.0</v>
      </c>
      <c r="D251" s="165" t="str">
        <f t="shared" si="11"/>
        <v/>
      </c>
    </row>
    <row r="252">
      <c r="B252" s="140">
        <v>46211.0</v>
      </c>
      <c r="D252" s="165" t="str">
        <f t="shared" si="11"/>
        <v/>
      </c>
    </row>
    <row r="253">
      <c r="B253" s="140">
        <v>46212.0</v>
      </c>
      <c r="D253" s="165" t="str">
        <f t="shared" si="11"/>
        <v/>
      </c>
    </row>
    <row r="254">
      <c r="B254" s="140">
        <v>46213.0</v>
      </c>
      <c r="D254" s="165" t="str">
        <f t="shared" si="11"/>
        <v/>
      </c>
    </row>
    <row r="255">
      <c r="B255" s="140">
        <v>46214.0</v>
      </c>
      <c r="D255" s="165" t="str">
        <f t="shared" si="11"/>
        <v/>
      </c>
    </row>
    <row r="256">
      <c r="B256" s="140">
        <v>46215.0</v>
      </c>
      <c r="D256" s="165" t="str">
        <f t="shared" si="11"/>
        <v/>
      </c>
    </row>
    <row r="257">
      <c r="B257" s="140">
        <v>46216.0</v>
      </c>
      <c r="D257" s="165" t="str">
        <f t="shared" si="11"/>
        <v/>
      </c>
    </row>
    <row r="258">
      <c r="B258" s="140">
        <v>46217.0</v>
      </c>
    </row>
    <row r="259">
      <c r="B259" s="140">
        <v>46218.0</v>
      </c>
    </row>
    <row r="260">
      <c r="B260" s="140">
        <v>46219.0</v>
      </c>
    </row>
    <row r="261">
      <c r="B261" s="140">
        <v>46220.0</v>
      </c>
    </row>
    <row r="262">
      <c r="B262" s="140">
        <v>46221.0</v>
      </c>
    </row>
    <row r="263">
      <c r="B263" s="140">
        <v>46222.0</v>
      </c>
    </row>
    <row r="264">
      <c r="B264" s="140">
        <v>46223.0</v>
      </c>
    </row>
    <row r="265">
      <c r="B265" s="140">
        <v>46224.0</v>
      </c>
    </row>
    <row r="266">
      <c r="B266" s="140">
        <v>46225.0</v>
      </c>
    </row>
    <row r="267">
      <c r="B267" s="140">
        <v>46226.0</v>
      </c>
    </row>
    <row r="268">
      <c r="B268" s="140">
        <v>46227.0</v>
      </c>
    </row>
    <row r="269">
      <c r="B269" s="140">
        <v>46228.0</v>
      </c>
    </row>
    <row r="270">
      <c r="B270" s="140">
        <v>46229.0</v>
      </c>
    </row>
    <row r="271">
      <c r="B271" s="140">
        <v>46230.0</v>
      </c>
    </row>
    <row r="272">
      <c r="B272" s="140">
        <v>46231.0</v>
      </c>
    </row>
    <row r="273">
      <c r="B273" s="140">
        <v>46232.0</v>
      </c>
    </row>
    <row r="274">
      <c r="B274" s="140">
        <v>46233.0</v>
      </c>
    </row>
    <row r="275">
      <c r="B275" s="140">
        <v>46234.0</v>
      </c>
    </row>
    <row r="276">
      <c r="B276" s="140">
        <v>46235.0</v>
      </c>
    </row>
    <row r="277">
      <c r="B277" s="140">
        <v>46236.0</v>
      </c>
    </row>
    <row r="278">
      <c r="B278" s="140">
        <v>46237.0</v>
      </c>
    </row>
    <row r="279">
      <c r="B279" s="140">
        <v>46238.0</v>
      </c>
    </row>
    <row r="280">
      <c r="B280" s="140">
        <v>46239.0</v>
      </c>
    </row>
    <row r="281">
      <c r="B281" s="140">
        <v>46240.0</v>
      </c>
    </row>
    <row r="282">
      <c r="B282" s="140">
        <v>46241.0</v>
      </c>
    </row>
    <row r="283">
      <c r="B283" s="140">
        <v>46242.0</v>
      </c>
    </row>
    <row r="284">
      <c r="B284" s="140">
        <v>46243.0</v>
      </c>
    </row>
    <row r="285">
      <c r="B285" s="140">
        <v>46244.0</v>
      </c>
    </row>
    <row r="286">
      <c r="B286" s="140">
        <v>46245.0</v>
      </c>
    </row>
    <row r="287">
      <c r="B287" s="140">
        <v>46246.0</v>
      </c>
    </row>
    <row r="288">
      <c r="B288" s="140">
        <v>46247.0</v>
      </c>
    </row>
    <row r="289">
      <c r="B289" s="140">
        <v>46248.0</v>
      </c>
    </row>
    <row r="290">
      <c r="B290" s="140">
        <v>46249.0</v>
      </c>
    </row>
    <row r="291">
      <c r="B291" s="140">
        <v>46250.0</v>
      </c>
    </row>
    <row r="292">
      <c r="B292" s="140">
        <v>46251.0</v>
      </c>
    </row>
    <row r="293">
      <c r="B293" s="140">
        <v>46252.0</v>
      </c>
    </row>
    <row r="294">
      <c r="B294" s="140">
        <v>46253.0</v>
      </c>
    </row>
    <row r="295">
      <c r="B295" s="140">
        <v>46254.0</v>
      </c>
    </row>
    <row r="296">
      <c r="B296" s="140">
        <v>46255.0</v>
      </c>
    </row>
    <row r="297">
      <c r="B297" s="140">
        <v>46256.0</v>
      </c>
    </row>
    <row r="298">
      <c r="B298" s="140">
        <v>46257.0</v>
      </c>
    </row>
    <row r="299">
      <c r="B299" s="140">
        <v>46258.0</v>
      </c>
    </row>
    <row r="300">
      <c r="B300" s="140">
        <v>46259.0</v>
      </c>
    </row>
    <row r="301">
      <c r="B301" s="140">
        <v>46260.0</v>
      </c>
    </row>
    <row r="302">
      <c r="B302" s="140">
        <v>46261.0</v>
      </c>
    </row>
    <row r="303">
      <c r="B303" s="140">
        <v>46262.0</v>
      </c>
    </row>
    <row r="304">
      <c r="B304" s="140">
        <v>46263.0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7" width="8.71"/>
    <col customWidth="1" min="8" max="8" width="19.57"/>
    <col customWidth="1" min="9" max="9" width="171.71"/>
  </cols>
  <sheetData>
    <row r="1" ht="14.25" customHeight="1">
      <c r="B1" s="54"/>
      <c r="C1" s="135"/>
      <c r="D1" s="135"/>
    </row>
    <row r="2" ht="14.25" customHeight="1">
      <c r="A2" s="140"/>
      <c r="B2" s="54"/>
      <c r="C2" s="141" t="str">
        <f t="shared" ref="C2:C560" si="1">MONTH(B2)&amp; "-" &amp;YEAR(B2)</f>
        <v>12-1899</v>
      </c>
      <c r="D2" s="138">
        <v>223.9</v>
      </c>
      <c r="E2" s="28">
        <v>234.0</v>
      </c>
      <c r="F2" s="54">
        <f t="shared" ref="F2:F560" si="2">E2-D2</f>
        <v>10.1</v>
      </c>
      <c r="G2" s="54">
        <f t="shared" ref="G2:G560" si="3">F2-10</f>
        <v>0.1</v>
      </c>
    </row>
    <row r="3" ht="14.25" customHeight="1">
      <c r="A3" s="140"/>
      <c r="B3" s="54"/>
      <c r="C3" s="141" t="str">
        <f t="shared" si="1"/>
        <v>12-1899</v>
      </c>
      <c r="D3" s="54">
        <f>E2</f>
        <v>234</v>
      </c>
      <c r="E3" s="28">
        <v>239.9</v>
      </c>
      <c r="F3" s="54">
        <f t="shared" si="2"/>
        <v>5.9</v>
      </c>
      <c r="G3" s="54">
        <f t="shared" si="3"/>
        <v>-4.1</v>
      </c>
      <c r="H3" s="135"/>
      <c r="I3" s="135"/>
    </row>
    <row r="4" ht="14.25" hidden="1" customHeight="1">
      <c r="A4" s="140">
        <v>45903.0</v>
      </c>
      <c r="B4" s="54"/>
      <c r="C4" s="141" t="str">
        <f t="shared" si="1"/>
        <v>12-1899</v>
      </c>
      <c r="D4" s="54"/>
      <c r="F4" s="54">
        <f t="shared" si="2"/>
        <v>0</v>
      </c>
      <c r="G4" s="54">
        <f t="shared" si="3"/>
        <v>-10</v>
      </c>
      <c r="H4" s="135"/>
      <c r="I4" s="135"/>
    </row>
    <row r="5" ht="14.25" hidden="1" customHeight="1">
      <c r="A5" s="140">
        <v>45904.0</v>
      </c>
      <c r="B5" s="54"/>
      <c r="C5" s="141" t="str">
        <f t="shared" si="1"/>
        <v>12-1899</v>
      </c>
      <c r="D5" s="54"/>
      <c r="F5" s="54">
        <f t="shared" si="2"/>
        <v>0</v>
      </c>
      <c r="G5" s="54">
        <f t="shared" si="3"/>
        <v>-10</v>
      </c>
      <c r="H5" s="135"/>
      <c r="I5" s="135"/>
    </row>
    <row r="6" ht="14.25" hidden="1" customHeight="1">
      <c r="A6" s="140">
        <v>45905.0</v>
      </c>
      <c r="B6" s="54"/>
      <c r="C6" s="141" t="str">
        <f t="shared" si="1"/>
        <v>12-1899</v>
      </c>
      <c r="D6" s="54"/>
      <c r="F6" s="54">
        <f t="shared" si="2"/>
        <v>0</v>
      </c>
      <c r="G6" s="54">
        <f t="shared" si="3"/>
        <v>-10</v>
      </c>
      <c r="H6" s="135"/>
      <c r="I6" s="135"/>
    </row>
    <row r="7" ht="14.25" hidden="1" customHeight="1">
      <c r="A7" s="145">
        <v>45906.0</v>
      </c>
      <c r="B7" s="54"/>
      <c r="C7" s="141" t="str">
        <f t="shared" si="1"/>
        <v>12-1899</v>
      </c>
      <c r="D7" s="54"/>
      <c r="F7" s="54">
        <f t="shared" si="2"/>
        <v>0</v>
      </c>
      <c r="G7" s="54">
        <f t="shared" si="3"/>
        <v>-10</v>
      </c>
      <c r="H7" s="135"/>
      <c r="I7" s="135"/>
    </row>
    <row r="8" ht="14.25" hidden="1" customHeight="1">
      <c r="A8" s="145">
        <v>45907.0</v>
      </c>
      <c r="B8" s="54"/>
      <c r="C8" s="141" t="str">
        <f t="shared" si="1"/>
        <v>12-1899</v>
      </c>
      <c r="D8" s="54"/>
      <c r="F8" s="54">
        <f t="shared" si="2"/>
        <v>0</v>
      </c>
      <c r="G8" s="54">
        <f t="shared" si="3"/>
        <v>-10</v>
      </c>
      <c r="H8" s="135"/>
      <c r="I8" s="135"/>
    </row>
    <row r="9" ht="14.25" hidden="1" customHeight="1">
      <c r="A9" s="140">
        <v>45908.0</v>
      </c>
      <c r="B9" s="54"/>
      <c r="C9" s="141" t="str">
        <f t="shared" si="1"/>
        <v>12-1899</v>
      </c>
      <c r="D9" s="54"/>
      <c r="F9" s="54">
        <f t="shared" si="2"/>
        <v>0</v>
      </c>
      <c r="G9" s="54">
        <f t="shared" si="3"/>
        <v>-10</v>
      </c>
      <c r="H9" s="135"/>
      <c r="I9" s="135"/>
    </row>
    <row r="10" ht="14.25" hidden="1" customHeight="1">
      <c r="A10" s="140">
        <v>45909.0</v>
      </c>
      <c r="B10" s="54"/>
      <c r="C10" s="141" t="str">
        <f t="shared" si="1"/>
        <v>12-1899</v>
      </c>
      <c r="D10" s="54"/>
      <c r="F10" s="54">
        <f t="shared" si="2"/>
        <v>0</v>
      </c>
      <c r="G10" s="54">
        <f t="shared" si="3"/>
        <v>-10</v>
      </c>
      <c r="H10" s="135"/>
      <c r="I10" s="135"/>
    </row>
    <row r="11" ht="14.25" hidden="1" customHeight="1">
      <c r="A11" s="140">
        <v>45910.0</v>
      </c>
      <c r="B11" s="54"/>
      <c r="C11" s="141" t="str">
        <f t="shared" si="1"/>
        <v>12-1899</v>
      </c>
      <c r="D11" s="54"/>
      <c r="F11" s="54">
        <f t="shared" si="2"/>
        <v>0</v>
      </c>
      <c r="G11" s="54">
        <f t="shared" si="3"/>
        <v>-10</v>
      </c>
      <c r="H11" s="135"/>
      <c r="I11" s="135"/>
    </row>
    <row r="12" ht="14.25" hidden="1" customHeight="1">
      <c r="A12" s="140">
        <v>45911.0</v>
      </c>
      <c r="B12" s="54"/>
      <c r="C12" s="141" t="str">
        <f t="shared" si="1"/>
        <v>12-1899</v>
      </c>
      <c r="D12" s="54"/>
      <c r="F12" s="54">
        <f t="shared" si="2"/>
        <v>0</v>
      </c>
      <c r="G12" s="54">
        <f t="shared" si="3"/>
        <v>-10</v>
      </c>
      <c r="H12" s="135"/>
      <c r="I12" s="135"/>
    </row>
    <row r="13" ht="14.25" hidden="1" customHeight="1">
      <c r="A13" s="140">
        <v>45912.0</v>
      </c>
      <c r="B13" s="54"/>
      <c r="C13" s="141" t="str">
        <f t="shared" si="1"/>
        <v>12-1899</v>
      </c>
      <c r="D13" s="54"/>
      <c r="F13" s="54">
        <f t="shared" si="2"/>
        <v>0</v>
      </c>
      <c r="G13" s="54">
        <f t="shared" si="3"/>
        <v>-10</v>
      </c>
      <c r="H13" s="135"/>
      <c r="I13" s="135"/>
    </row>
    <row r="14" ht="14.25" hidden="1" customHeight="1">
      <c r="A14" s="145">
        <v>45913.0</v>
      </c>
      <c r="B14" s="54"/>
      <c r="C14" s="141" t="str">
        <f t="shared" si="1"/>
        <v>12-1899</v>
      </c>
      <c r="D14" s="54"/>
      <c r="F14" s="54">
        <f t="shared" si="2"/>
        <v>0</v>
      </c>
      <c r="G14" s="54">
        <f t="shared" si="3"/>
        <v>-10</v>
      </c>
      <c r="H14" s="135"/>
      <c r="I14" s="135"/>
    </row>
    <row r="15" ht="14.25" hidden="1" customHeight="1">
      <c r="A15" s="145">
        <v>45914.0</v>
      </c>
      <c r="B15" s="54"/>
      <c r="C15" s="141" t="str">
        <f t="shared" si="1"/>
        <v>12-1899</v>
      </c>
      <c r="D15" s="54"/>
      <c r="F15" s="54">
        <f t="shared" si="2"/>
        <v>0</v>
      </c>
      <c r="G15" s="54">
        <f t="shared" si="3"/>
        <v>-10</v>
      </c>
      <c r="H15" s="135"/>
      <c r="I15" s="135"/>
    </row>
    <row r="16" ht="14.25" hidden="1" customHeight="1">
      <c r="A16" s="140">
        <v>45915.0</v>
      </c>
      <c r="B16" s="54"/>
      <c r="C16" s="141" t="str">
        <f t="shared" si="1"/>
        <v>12-1899</v>
      </c>
      <c r="D16" s="54"/>
      <c r="F16" s="54">
        <f t="shared" si="2"/>
        <v>0</v>
      </c>
      <c r="G16" s="54">
        <f t="shared" si="3"/>
        <v>-10</v>
      </c>
      <c r="H16" s="135"/>
      <c r="I16" s="135"/>
    </row>
    <row r="17" ht="14.25" hidden="1" customHeight="1">
      <c r="A17" s="140">
        <v>45916.0</v>
      </c>
      <c r="B17" s="54"/>
      <c r="C17" s="141" t="str">
        <f t="shared" si="1"/>
        <v>12-1899</v>
      </c>
      <c r="D17" s="54"/>
      <c r="F17" s="54">
        <f t="shared" si="2"/>
        <v>0</v>
      </c>
      <c r="G17" s="54">
        <f t="shared" si="3"/>
        <v>-10</v>
      </c>
      <c r="H17" s="135"/>
      <c r="I17" s="135"/>
    </row>
    <row r="18" ht="14.25" hidden="1" customHeight="1">
      <c r="A18" s="140">
        <v>45917.0</v>
      </c>
      <c r="B18" s="54"/>
      <c r="C18" s="141" t="str">
        <f t="shared" si="1"/>
        <v>12-1899</v>
      </c>
      <c r="D18" s="54"/>
      <c r="F18" s="54">
        <f t="shared" si="2"/>
        <v>0</v>
      </c>
      <c r="G18" s="54">
        <f t="shared" si="3"/>
        <v>-10</v>
      </c>
      <c r="H18" s="135"/>
      <c r="I18" s="135"/>
    </row>
    <row r="19" ht="14.25" hidden="1" customHeight="1">
      <c r="A19" s="140">
        <v>45918.0</v>
      </c>
      <c r="B19" s="54"/>
      <c r="C19" s="141" t="str">
        <f t="shared" si="1"/>
        <v>12-1899</v>
      </c>
      <c r="D19" s="54"/>
      <c r="F19" s="54">
        <f t="shared" si="2"/>
        <v>0</v>
      </c>
      <c r="G19" s="54">
        <f t="shared" si="3"/>
        <v>-10</v>
      </c>
      <c r="H19" s="135"/>
      <c r="I19" s="135"/>
    </row>
    <row r="20" ht="14.25" hidden="1" customHeight="1">
      <c r="A20" s="140">
        <v>45919.0</v>
      </c>
      <c r="B20" s="54"/>
      <c r="C20" s="141" t="str">
        <f t="shared" si="1"/>
        <v>12-1899</v>
      </c>
      <c r="D20" s="54"/>
      <c r="F20" s="54">
        <f t="shared" si="2"/>
        <v>0</v>
      </c>
      <c r="G20" s="54">
        <f t="shared" si="3"/>
        <v>-10</v>
      </c>
      <c r="H20" s="135"/>
      <c r="I20" s="135"/>
    </row>
    <row r="21" ht="14.25" hidden="1" customHeight="1">
      <c r="A21" s="145">
        <v>45920.0</v>
      </c>
      <c r="B21" s="54"/>
      <c r="C21" s="141" t="str">
        <f t="shared" si="1"/>
        <v>12-1899</v>
      </c>
      <c r="D21" s="54"/>
      <c r="F21" s="54">
        <f t="shared" si="2"/>
        <v>0</v>
      </c>
      <c r="G21" s="54">
        <f t="shared" si="3"/>
        <v>-10</v>
      </c>
      <c r="H21" s="135"/>
      <c r="I21" s="135"/>
    </row>
    <row r="22" ht="14.25" hidden="1" customHeight="1">
      <c r="A22" s="145">
        <v>45921.0</v>
      </c>
      <c r="B22" s="54"/>
      <c r="C22" s="141" t="str">
        <f t="shared" si="1"/>
        <v>12-1899</v>
      </c>
      <c r="D22" s="54"/>
      <c r="F22" s="54">
        <f t="shared" si="2"/>
        <v>0</v>
      </c>
      <c r="G22" s="54">
        <f t="shared" si="3"/>
        <v>-10</v>
      </c>
      <c r="H22" s="135"/>
      <c r="I22" s="135"/>
    </row>
    <row r="23" ht="14.25" hidden="1" customHeight="1">
      <c r="A23" s="140">
        <v>45922.0</v>
      </c>
      <c r="B23" s="54"/>
      <c r="C23" s="141" t="str">
        <f t="shared" si="1"/>
        <v>12-1899</v>
      </c>
      <c r="D23" s="54"/>
      <c r="F23" s="54">
        <f t="shared" si="2"/>
        <v>0</v>
      </c>
      <c r="G23" s="54">
        <f t="shared" si="3"/>
        <v>-10</v>
      </c>
      <c r="H23" s="135"/>
      <c r="I23" s="135"/>
    </row>
    <row r="24" ht="14.25" hidden="1" customHeight="1">
      <c r="A24" s="140">
        <v>45923.0</v>
      </c>
      <c r="B24" s="54"/>
      <c r="C24" s="141" t="str">
        <f t="shared" si="1"/>
        <v>12-1899</v>
      </c>
      <c r="D24" s="54"/>
      <c r="F24" s="54">
        <f t="shared" si="2"/>
        <v>0</v>
      </c>
      <c r="G24" s="54">
        <f t="shared" si="3"/>
        <v>-10</v>
      </c>
      <c r="H24" s="135"/>
      <c r="I24" s="135"/>
    </row>
    <row r="25" ht="14.25" hidden="1" customHeight="1">
      <c r="A25" s="140">
        <v>45924.0</v>
      </c>
      <c r="B25" s="54"/>
      <c r="C25" s="141" t="str">
        <f t="shared" si="1"/>
        <v>12-1899</v>
      </c>
      <c r="D25" s="54"/>
      <c r="F25" s="54">
        <f t="shared" si="2"/>
        <v>0</v>
      </c>
      <c r="G25" s="54">
        <f t="shared" si="3"/>
        <v>-10</v>
      </c>
      <c r="H25" s="135"/>
      <c r="I25" s="135"/>
    </row>
    <row r="26" ht="14.25" hidden="1" customHeight="1">
      <c r="A26" s="140">
        <v>45925.0</v>
      </c>
      <c r="B26" s="54"/>
      <c r="C26" s="141" t="str">
        <f t="shared" si="1"/>
        <v>12-1899</v>
      </c>
      <c r="D26" s="54"/>
      <c r="F26" s="54">
        <f t="shared" si="2"/>
        <v>0</v>
      </c>
      <c r="G26" s="54">
        <f t="shared" si="3"/>
        <v>-10</v>
      </c>
      <c r="H26" s="135"/>
      <c r="I26" s="135"/>
    </row>
    <row r="27" ht="14.25" hidden="1" customHeight="1">
      <c r="A27" s="140">
        <v>45926.0</v>
      </c>
      <c r="B27" s="54"/>
      <c r="C27" s="141" t="str">
        <f t="shared" si="1"/>
        <v>12-1899</v>
      </c>
      <c r="D27" s="54"/>
      <c r="F27" s="54">
        <f t="shared" si="2"/>
        <v>0</v>
      </c>
      <c r="G27" s="54">
        <f t="shared" si="3"/>
        <v>-10</v>
      </c>
      <c r="H27" s="135"/>
      <c r="I27" s="135"/>
    </row>
    <row r="28" ht="14.25" hidden="1" customHeight="1">
      <c r="A28" s="145">
        <v>45927.0</v>
      </c>
      <c r="B28" s="54"/>
      <c r="C28" s="141" t="str">
        <f t="shared" si="1"/>
        <v>12-1899</v>
      </c>
      <c r="D28" s="54"/>
      <c r="F28" s="54">
        <f t="shared" si="2"/>
        <v>0</v>
      </c>
      <c r="G28" s="54">
        <f t="shared" si="3"/>
        <v>-10</v>
      </c>
      <c r="H28" s="135"/>
      <c r="I28" s="135"/>
    </row>
    <row r="29" ht="14.25" hidden="1" customHeight="1">
      <c r="A29" s="145">
        <v>45928.0</v>
      </c>
      <c r="B29" s="54"/>
      <c r="C29" s="141" t="str">
        <f t="shared" si="1"/>
        <v>12-1899</v>
      </c>
      <c r="D29" s="54"/>
      <c r="F29" s="54">
        <f t="shared" si="2"/>
        <v>0</v>
      </c>
      <c r="G29" s="54">
        <f t="shared" si="3"/>
        <v>-10</v>
      </c>
      <c r="H29" s="135"/>
      <c r="I29" s="135"/>
    </row>
    <row r="30" ht="14.25" hidden="1" customHeight="1">
      <c r="A30" s="140">
        <v>45929.0</v>
      </c>
      <c r="B30" s="54"/>
      <c r="C30" s="141" t="str">
        <f t="shared" si="1"/>
        <v>12-1899</v>
      </c>
      <c r="D30" s="54"/>
      <c r="F30" s="54">
        <f t="shared" si="2"/>
        <v>0</v>
      </c>
      <c r="G30" s="54">
        <f t="shared" si="3"/>
        <v>-10</v>
      </c>
      <c r="H30" s="135"/>
      <c r="I30" s="135"/>
    </row>
    <row r="31" ht="14.25" hidden="1" customHeight="1">
      <c r="A31" s="140">
        <v>45930.0</v>
      </c>
      <c r="B31" s="54"/>
      <c r="C31" s="141" t="str">
        <f t="shared" si="1"/>
        <v>12-1899</v>
      </c>
      <c r="D31" s="54"/>
      <c r="F31" s="54">
        <f t="shared" si="2"/>
        <v>0</v>
      </c>
      <c r="G31" s="54">
        <f t="shared" si="3"/>
        <v>-10</v>
      </c>
      <c r="H31" s="135"/>
      <c r="I31" s="135"/>
    </row>
    <row r="32" ht="14.25" hidden="1" customHeight="1">
      <c r="B32" s="54"/>
      <c r="C32" s="141" t="str">
        <f t="shared" si="1"/>
        <v>12-1899</v>
      </c>
      <c r="D32" s="54"/>
      <c r="F32" s="54">
        <f t="shared" si="2"/>
        <v>0</v>
      </c>
      <c r="G32" s="54">
        <f t="shared" si="3"/>
        <v>-10</v>
      </c>
      <c r="H32" s="135"/>
      <c r="I32" s="135"/>
    </row>
    <row r="33" ht="14.25" hidden="1" customHeight="1">
      <c r="B33" s="54"/>
      <c r="C33" s="141" t="str">
        <f t="shared" si="1"/>
        <v>12-1899</v>
      </c>
      <c r="D33" s="54"/>
      <c r="F33" s="54">
        <f t="shared" si="2"/>
        <v>0</v>
      </c>
      <c r="G33" s="54">
        <f t="shared" si="3"/>
        <v>-10</v>
      </c>
      <c r="H33" s="135"/>
      <c r="I33" s="135"/>
    </row>
    <row r="34" ht="14.25" customHeight="1">
      <c r="B34" s="54"/>
      <c r="C34" s="141" t="str">
        <f t="shared" si="1"/>
        <v>12-1899</v>
      </c>
      <c r="D34" s="54"/>
      <c r="E34" s="54"/>
      <c r="F34" s="54">
        <f t="shared" si="2"/>
        <v>0</v>
      </c>
      <c r="G34" s="54">
        <f t="shared" si="3"/>
        <v>-10</v>
      </c>
      <c r="H34" s="54"/>
      <c r="I34" s="54"/>
    </row>
    <row r="35" ht="14.25" customHeight="1">
      <c r="B35" s="54"/>
      <c r="C35" s="141" t="str">
        <f t="shared" si="1"/>
        <v>12-1899</v>
      </c>
      <c r="D35" s="54" t="str">
        <f>E4</f>
        <v/>
      </c>
      <c r="E35" s="138"/>
      <c r="F35" s="54">
        <f t="shared" si="2"/>
        <v>0</v>
      </c>
      <c r="G35" s="54">
        <f t="shared" si="3"/>
        <v>-10</v>
      </c>
      <c r="H35" s="54"/>
      <c r="I35" s="54"/>
    </row>
    <row r="36" ht="14.25" customHeight="1">
      <c r="B36" s="54"/>
      <c r="C36" s="141" t="str">
        <f t="shared" si="1"/>
        <v>12-1899</v>
      </c>
      <c r="D36" s="138">
        <v>239.9</v>
      </c>
      <c r="E36" s="138">
        <v>248.9</v>
      </c>
      <c r="F36" s="54">
        <f t="shared" si="2"/>
        <v>9</v>
      </c>
      <c r="G36" s="54">
        <f t="shared" si="3"/>
        <v>-1</v>
      </c>
      <c r="H36" s="54"/>
      <c r="I36" s="54"/>
    </row>
    <row r="37" ht="14.25" customHeight="1">
      <c r="B37" s="54"/>
      <c r="C37" s="141" t="str">
        <f t="shared" si="1"/>
        <v>12-1899</v>
      </c>
      <c r="D37" s="54">
        <f t="shared" ref="D37:D40" si="4">E36</f>
        <v>248.9</v>
      </c>
      <c r="E37" s="138">
        <v>259.7</v>
      </c>
      <c r="F37" s="54">
        <f t="shared" si="2"/>
        <v>10.8</v>
      </c>
      <c r="G37" s="54">
        <f t="shared" si="3"/>
        <v>0.8</v>
      </c>
      <c r="H37" s="54"/>
      <c r="I37" s="54"/>
    </row>
    <row r="38" ht="14.25" customHeight="1">
      <c r="B38" s="54"/>
      <c r="C38" s="141" t="str">
        <f t="shared" si="1"/>
        <v>12-1899</v>
      </c>
      <c r="D38" s="54">
        <f t="shared" si="4"/>
        <v>259.7</v>
      </c>
      <c r="E38" s="138">
        <v>271.0</v>
      </c>
      <c r="F38" s="54">
        <f t="shared" si="2"/>
        <v>11.3</v>
      </c>
      <c r="G38" s="54">
        <f t="shared" si="3"/>
        <v>1.3</v>
      </c>
      <c r="H38" s="54"/>
      <c r="I38" s="54"/>
    </row>
    <row r="39" ht="14.25" customHeight="1">
      <c r="B39" s="54"/>
      <c r="C39" s="141" t="str">
        <f t="shared" si="1"/>
        <v>12-1899</v>
      </c>
      <c r="D39" s="54">
        <f t="shared" si="4"/>
        <v>271</v>
      </c>
      <c r="E39" s="138">
        <v>281.7</v>
      </c>
      <c r="F39" s="54">
        <f t="shared" si="2"/>
        <v>10.7</v>
      </c>
      <c r="G39" s="54">
        <f t="shared" si="3"/>
        <v>0.7</v>
      </c>
      <c r="H39" s="54"/>
      <c r="I39" s="54"/>
    </row>
    <row r="40" ht="14.25" customHeight="1">
      <c r="B40" s="54"/>
      <c r="C40" s="141" t="str">
        <f t="shared" si="1"/>
        <v>12-1899</v>
      </c>
      <c r="D40" s="54">
        <f t="shared" si="4"/>
        <v>281.7</v>
      </c>
      <c r="E40" s="138">
        <v>283.7</v>
      </c>
      <c r="F40" s="54">
        <f t="shared" si="2"/>
        <v>2</v>
      </c>
      <c r="G40" s="54">
        <f t="shared" si="3"/>
        <v>-8</v>
      </c>
      <c r="H40" s="54"/>
      <c r="I40" s="54"/>
    </row>
    <row r="41" ht="14.25" customHeight="1">
      <c r="B41" s="54"/>
      <c r="C41" s="141" t="str">
        <f t="shared" si="1"/>
        <v>12-1899</v>
      </c>
      <c r="D41" s="54"/>
      <c r="E41" s="138"/>
      <c r="F41" s="54">
        <f t="shared" si="2"/>
        <v>0</v>
      </c>
      <c r="G41" s="54">
        <f t="shared" si="3"/>
        <v>-10</v>
      </c>
      <c r="H41" s="54"/>
      <c r="I41" s="54"/>
    </row>
    <row r="42" ht="14.25" customHeight="1">
      <c r="B42" s="54"/>
      <c r="C42" s="141" t="str">
        <f t="shared" si="1"/>
        <v>12-1899</v>
      </c>
      <c r="D42" s="54" t="str">
        <f t="shared" ref="D42:D43" si="5">E41</f>
        <v/>
      </c>
      <c r="E42" s="138"/>
      <c r="F42" s="54">
        <f t="shared" si="2"/>
        <v>0</v>
      </c>
      <c r="G42" s="54">
        <f t="shared" si="3"/>
        <v>-10</v>
      </c>
      <c r="H42" s="54"/>
      <c r="I42" s="54"/>
    </row>
    <row r="43" ht="14.25" customHeight="1">
      <c r="B43" s="54"/>
      <c r="C43" s="141" t="str">
        <f t="shared" si="1"/>
        <v>12-1899</v>
      </c>
      <c r="D43" s="54" t="str">
        <f t="shared" si="5"/>
        <v/>
      </c>
      <c r="E43" s="138"/>
      <c r="F43" s="54">
        <f t="shared" si="2"/>
        <v>0</v>
      </c>
      <c r="G43" s="54">
        <f t="shared" si="3"/>
        <v>-10</v>
      </c>
      <c r="H43" s="54"/>
      <c r="I43" s="54"/>
    </row>
    <row r="44" ht="14.25" customHeight="1">
      <c r="B44" s="54"/>
      <c r="C44" s="141" t="str">
        <f t="shared" si="1"/>
        <v>12-1899</v>
      </c>
      <c r="D44" s="138">
        <v>283.7</v>
      </c>
      <c r="E44" s="138">
        <v>292.7</v>
      </c>
      <c r="F44" s="54">
        <f t="shared" si="2"/>
        <v>9</v>
      </c>
      <c r="G44" s="54">
        <f t="shared" si="3"/>
        <v>-1</v>
      </c>
      <c r="H44" s="54"/>
      <c r="I44" s="54"/>
    </row>
    <row r="45" ht="14.25" customHeight="1">
      <c r="B45" s="54"/>
      <c r="C45" s="141" t="str">
        <f t="shared" si="1"/>
        <v>12-1899</v>
      </c>
      <c r="D45" s="54">
        <f t="shared" ref="D45:D48" si="6">E44</f>
        <v>292.7</v>
      </c>
      <c r="E45" s="138">
        <v>303.7</v>
      </c>
      <c r="F45" s="54">
        <f t="shared" si="2"/>
        <v>11</v>
      </c>
      <c r="G45" s="54">
        <f t="shared" si="3"/>
        <v>1</v>
      </c>
      <c r="H45" s="54"/>
      <c r="I45" s="54"/>
    </row>
    <row r="46" ht="14.25" customHeight="1">
      <c r="B46" s="54"/>
      <c r="C46" s="141" t="str">
        <f t="shared" si="1"/>
        <v>12-1899</v>
      </c>
      <c r="D46" s="54">
        <f t="shared" si="6"/>
        <v>303.7</v>
      </c>
      <c r="E46" s="138">
        <v>314.0</v>
      </c>
      <c r="F46" s="54">
        <f t="shared" si="2"/>
        <v>10.3</v>
      </c>
      <c r="G46" s="54">
        <f t="shared" si="3"/>
        <v>0.3</v>
      </c>
      <c r="H46" s="54"/>
      <c r="I46" s="54"/>
    </row>
    <row r="47" ht="14.25" customHeight="1">
      <c r="B47" s="54"/>
      <c r="C47" s="141" t="str">
        <f t="shared" si="1"/>
        <v>12-1899</v>
      </c>
      <c r="D47" s="54">
        <f t="shared" si="6"/>
        <v>314</v>
      </c>
      <c r="E47" s="138">
        <v>324.0</v>
      </c>
      <c r="F47" s="54">
        <f t="shared" si="2"/>
        <v>10</v>
      </c>
      <c r="G47" s="54">
        <f t="shared" si="3"/>
        <v>0</v>
      </c>
      <c r="H47" s="54"/>
      <c r="I47" s="54"/>
    </row>
    <row r="48" ht="14.25" customHeight="1">
      <c r="B48" s="54"/>
      <c r="C48" s="141" t="str">
        <f t="shared" si="1"/>
        <v>12-1899</v>
      </c>
      <c r="D48" s="54">
        <f t="shared" si="6"/>
        <v>324</v>
      </c>
      <c r="E48" s="138">
        <v>328.1</v>
      </c>
      <c r="F48" s="54">
        <f t="shared" si="2"/>
        <v>4.1</v>
      </c>
      <c r="G48" s="54">
        <f t="shared" si="3"/>
        <v>-5.9</v>
      </c>
      <c r="H48" s="54"/>
      <c r="I48" s="54"/>
    </row>
    <row r="49" ht="14.25" customHeight="1">
      <c r="B49" s="54"/>
      <c r="C49" s="141" t="str">
        <f t="shared" si="1"/>
        <v>12-1899</v>
      </c>
      <c r="D49" s="54"/>
      <c r="E49" s="138"/>
      <c r="F49" s="54">
        <f t="shared" si="2"/>
        <v>0</v>
      </c>
      <c r="G49" s="54">
        <f t="shared" si="3"/>
        <v>-10</v>
      </c>
      <c r="H49" s="54"/>
      <c r="I49" s="54"/>
    </row>
    <row r="50" ht="14.25" customHeight="1">
      <c r="B50" s="54"/>
      <c r="C50" s="141" t="str">
        <f t="shared" si="1"/>
        <v>12-1899</v>
      </c>
      <c r="D50" s="138">
        <v>328.1</v>
      </c>
      <c r="E50" s="138">
        <v>338.5</v>
      </c>
      <c r="F50" s="54">
        <f t="shared" si="2"/>
        <v>10.4</v>
      </c>
      <c r="G50" s="54">
        <f t="shared" si="3"/>
        <v>0.4</v>
      </c>
      <c r="H50" s="54"/>
      <c r="I50" s="54"/>
    </row>
    <row r="51" ht="14.25" customHeight="1">
      <c r="B51" s="54"/>
      <c r="C51" s="141" t="str">
        <f t="shared" si="1"/>
        <v>12-1899</v>
      </c>
      <c r="D51" s="54">
        <f t="shared" ref="D51:D54" si="7">E50</f>
        <v>338.5</v>
      </c>
      <c r="E51" s="138">
        <v>349.0</v>
      </c>
      <c r="F51" s="54">
        <f t="shared" si="2"/>
        <v>10.5</v>
      </c>
      <c r="G51" s="54">
        <f t="shared" si="3"/>
        <v>0.5</v>
      </c>
      <c r="H51" s="54"/>
      <c r="I51" s="54"/>
    </row>
    <row r="52" ht="14.25" customHeight="1">
      <c r="B52" s="54"/>
      <c r="C52" s="141" t="str">
        <f t="shared" si="1"/>
        <v>12-1899</v>
      </c>
      <c r="D52" s="54">
        <f t="shared" si="7"/>
        <v>349</v>
      </c>
      <c r="E52" s="138">
        <v>356.8</v>
      </c>
      <c r="F52" s="54">
        <f t="shared" si="2"/>
        <v>7.8</v>
      </c>
      <c r="G52" s="54">
        <f t="shared" si="3"/>
        <v>-2.2</v>
      </c>
      <c r="H52" s="54"/>
      <c r="I52" s="54"/>
    </row>
    <row r="53" ht="14.25" customHeight="1">
      <c r="B53" s="54"/>
      <c r="C53" s="141" t="str">
        <f t="shared" si="1"/>
        <v>12-1899</v>
      </c>
      <c r="D53" s="54">
        <f t="shared" si="7"/>
        <v>356.8</v>
      </c>
      <c r="E53" s="138">
        <v>368.8</v>
      </c>
      <c r="F53" s="54">
        <f t="shared" si="2"/>
        <v>12</v>
      </c>
      <c r="G53" s="54">
        <f t="shared" si="3"/>
        <v>2</v>
      </c>
      <c r="H53" s="54"/>
      <c r="I53" s="54"/>
    </row>
    <row r="54" ht="14.25" customHeight="1">
      <c r="B54" s="54"/>
      <c r="C54" s="141" t="str">
        <f t="shared" si="1"/>
        <v>12-1899</v>
      </c>
      <c r="D54" s="54">
        <f t="shared" si="7"/>
        <v>368.8</v>
      </c>
      <c r="E54" s="138">
        <v>378.0</v>
      </c>
      <c r="F54" s="54">
        <f t="shared" si="2"/>
        <v>9.2</v>
      </c>
      <c r="G54" s="54">
        <f t="shared" si="3"/>
        <v>-0.8</v>
      </c>
      <c r="H54" s="54"/>
      <c r="I54" s="54"/>
    </row>
    <row r="55" ht="14.25" customHeight="1">
      <c r="B55" s="54"/>
      <c r="C55" s="141" t="str">
        <f t="shared" si="1"/>
        <v>12-1899</v>
      </c>
      <c r="D55" s="54"/>
      <c r="E55" s="138"/>
      <c r="F55" s="54">
        <f t="shared" si="2"/>
        <v>0</v>
      </c>
      <c r="G55" s="54">
        <f t="shared" si="3"/>
        <v>-10</v>
      </c>
      <c r="H55" s="54"/>
      <c r="I55" s="54"/>
    </row>
    <row r="56" ht="14.25" customHeight="1">
      <c r="B56" s="54"/>
      <c r="C56" s="141" t="str">
        <f t="shared" si="1"/>
        <v>12-1899</v>
      </c>
      <c r="D56" s="54" t="str">
        <f>E55</f>
        <v/>
      </c>
      <c r="E56" s="138"/>
      <c r="F56" s="54">
        <f t="shared" si="2"/>
        <v>0</v>
      </c>
      <c r="G56" s="54">
        <f t="shared" si="3"/>
        <v>-10</v>
      </c>
      <c r="H56" s="54"/>
      <c r="I56" s="54"/>
    </row>
    <row r="57" ht="14.25" customHeight="1">
      <c r="B57" s="54"/>
      <c r="C57" s="141" t="str">
        <f t="shared" si="1"/>
        <v>12-1899</v>
      </c>
      <c r="D57" s="138">
        <v>378.0</v>
      </c>
      <c r="E57" s="138">
        <v>388.5</v>
      </c>
      <c r="F57" s="54">
        <f t="shared" si="2"/>
        <v>10.5</v>
      </c>
      <c r="G57" s="54">
        <f t="shared" si="3"/>
        <v>0.5</v>
      </c>
      <c r="H57" s="54"/>
      <c r="I57" s="54"/>
    </row>
    <row r="58" ht="14.25" customHeight="1">
      <c r="B58" s="54"/>
      <c r="C58" s="141" t="str">
        <f t="shared" si="1"/>
        <v>12-1899</v>
      </c>
      <c r="D58" s="54">
        <f t="shared" ref="D58:D62" si="8">E57</f>
        <v>388.5</v>
      </c>
      <c r="E58" s="138">
        <v>399.0</v>
      </c>
      <c r="F58" s="54">
        <f t="shared" si="2"/>
        <v>10.5</v>
      </c>
      <c r="G58" s="54">
        <f t="shared" si="3"/>
        <v>0.5</v>
      </c>
      <c r="H58" s="54"/>
      <c r="I58" s="54"/>
    </row>
    <row r="59" ht="14.25" customHeight="1">
      <c r="B59" s="54"/>
      <c r="C59" s="141" t="str">
        <f t="shared" si="1"/>
        <v>12-1899</v>
      </c>
      <c r="D59" s="54">
        <f t="shared" si="8"/>
        <v>399</v>
      </c>
      <c r="E59" s="138">
        <v>409.0</v>
      </c>
      <c r="F59" s="54">
        <f t="shared" si="2"/>
        <v>10</v>
      </c>
      <c r="G59" s="54">
        <f t="shared" si="3"/>
        <v>0</v>
      </c>
      <c r="H59" s="54"/>
      <c r="I59" s="54"/>
    </row>
    <row r="60" ht="14.25" customHeight="1">
      <c r="B60" s="54"/>
      <c r="C60" s="141" t="str">
        <f t="shared" si="1"/>
        <v>12-1899</v>
      </c>
      <c r="D60" s="54">
        <f t="shared" si="8"/>
        <v>409</v>
      </c>
      <c r="E60" s="138">
        <v>420.0</v>
      </c>
      <c r="F60" s="54">
        <f t="shared" si="2"/>
        <v>11</v>
      </c>
      <c r="G60" s="54">
        <f t="shared" si="3"/>
        <v>1</v>
      </c>
      <c r="H60" s="54"/>
      <c r="I60" s="54"/>
    </row>
    <row r="61" ht="14.25" customHeight="1">
      <c r="B61" s="54"/>
      <c r="C61" s="141" t="str">
        <f t="shared" si="1"/>
        <v>12-1899</v>
      </c>
      <c r="D61" s="54">
        <f t="shared" si="8"/>
        <v>420</v>
      </c>
      <c r="E61" s="138">
        <v>431.0</v>
      </c>
      <c r="F61" s="54">
        <f t="shared" si="2"/>
        <v>11</v>
      </c>
      <c r="G61" s="54">
        <f t="shared" si="3"/>
        <v>1</v>
      </c>
      <c r="H61" s="54"/>
      <c r="I61" s="54"/>
    </row>
    <row r="62" ht="14.25" customHeight="1">
      <c r="B62" s="54"/>
      <c r="C62" s="141" t="str">
        <f t="shared" si="1"/>
        <v>12-1899</v>
      </c>
      <c r="D62" s="54">
        <f t="shared" si="8"/>
        <v>431</v>
      </c>
      <c r="E62" s="138">
        <v>434.0</v>
      </c>
      <c r="F62" s="54">
        <f t="shared" si="2"/>
        <v>3</v>
      </c>
      <c r="G62" s="54">
        <f t="shared" si="3"/>
        <v>-7</v>
      </c>
      <c r="H62" s="54"/>
      <c r="I62" s="54"/>
    </row>
    <row r="63" ht="14.25" customHeight="1">
      <c r="B63" s="54"/>
      <c r="C63" s="141" t="str">
        <f t="shared" si="1"/>
        <v>12-1899</v>
      </c>
      <c r="D63" s="54"/>
      <c r="E63" s="54"/>
      <c r="F63" s="54">
        <f t="shared" si="2"/>
        <v>0</v>
      </c>
      <c r="G63" s="54">
        <f t="shared" si="3"/>
        <v>-10</v>
      </c>
      <c r="H63" s="54"/>
      <c r="I63" s="54"/>
    </row>
    <row r="64" ht="14.25" customHeight="1">
      <c r="B64" s="140">
        <v>45901.0</v>
      </c>
      <c r="C64" s="141" t="str">
        <f t="shared" si="1"/>
        <v>9-2025</v>
      </c>
      <c r="D64" s="138">
        <v>434.0</v>
      </c>
      <c r="E64" s="138">
        <v>444.0</v>
      </c>
      <c r="F64" s="54">
        <f t="shared" si="2"/>
        <v>10</v>
      </c>
      <c r="G64" s="54">
        <f t="shared" si="3"/>
        <v>0</v>
      </c>
      <c r="H64" s="54"/>
      <c r="I64" s="54"/>
    </row>
    <row r="65" ht="14.25" customHeight="1">
      <c r="B65" s="140">
        <v>45902.0</v>
      </c>
      <c r="C65" s="141" t="str">
        <f t="shared" si="1"/>
        <v>9-2025</v>
      </c>
      <c r="D65" s="54">
        <f t="shared" ref="D65:D68" si="9">E64</f>
        <v>444</v>
      </c>
      <c r="E65" s="138">
        <v>454.0</v>
      </c>
      <c r="F65" s="54">
        <f t="shared" si="2"/>
        <v>10</v>
      </c>
      <c r="G65" s="54">
        <f t="shared" si="3"/>
        <v>0</v>
      </c>
      <c r="H65" s="54"/>
      <c r="I65" s="54"/>
    </row>
    <row r="66" ht="14.25" customHeight="1">
      <c r="B66" s="140">
        <v>45903.0</v>
      </c>
      <c r="C66" s="141" t="str">
        <f t="shared" si="1"/>
        <v>9-2025</v>
      </c>
      <c r="D66" s="54">
        <f t="shared" si="9"/>
        <v>454</v>
      </c>
      <c r="E66" s="138">
        <v>464.0</v>
      </c>
      <c r="F66" s="54">
        <f t="shared" si="2"/>
        <v>10</v>
      </c>
      <c r="G66" s="54">
        <f t="shared" si="3"/>
        <v>0</v>
      </c>
      <c r="H66" s="54"/>
      <c r="I66" s="54"/>
    </row>
    <row r="67" ht="14.25" customHeight="1">
      <c r="B67" s="140">
        <v>45904.0</v>
      </c>
      <c r="C67" s="141" t="str">
        <f t="shared" si="1"/>
        <v>9-2025</v>
      </c>
      <c r="D67" s="54">
        <f t="shared" si="9"/>
        <v>464</v>
      </c>
      <c r="E67" s="138">
        <v>474.0</v>
      </c>
      <c r="F67" s="54">
        <f t="shared" si="2"/>
        <v>10</v>
      </c>
      <c r="G67" s="54">
        <f t="shared" si="3"/>
        <v>0</v>
      </c>
      <c r="H67" s="54"/>
      <c r="I67" s="54"/>
    </row>
    <row r="68" ht="14.25" customHeight="1">
      <c r="B68" s="140">
        <v>45905.0</v>
      </c>
      <c r="C68" s="141" t="str">
        <f t="shared" si="1"/>
        <v>9-2025</v>
      </c>
      <c r="D68" s="54">
        <f t="shared" si="9"/>
        <v>474</v>
      </c>
      <c r="E68" s="138">
        <v>484.0</v>
      </c>
      <c r="F68" s="54">
        <f t="shared" si="2"/>
        <v>10</v>
      </c>
      <c r="G68" s="54">
        <f t="shared" si="3"/>
        <v>0</v>
      </c>
      <c r="H68" s="54"/>
      <c r="I68" s="54"/>
    </row>
    <row r="69" ht="14.25" customHeight="1">
      <c r="B69" s="145">
        <v>45906.0</v>
      </c>
      <c r="C69" s="141" t="str">
        <f t="shared" si="1"/>
        <v>9-2025</v>
      </c>
      <c r="D69" s="54"/>
      <c r="E69" s="138"/>
      <c r="F69" s="54">
        <f t="shared" si="2"/>
        <v>0</v>
      </c>
      <c r="G69" s="54">
        <f t="shared" si="3"/>
        <v>-10</v>
      </c>
      <c r="H69" s="54"/>
      <c r="I69" s="54"/>
    </row>
    <row r="70" ht="14.25" customHeight="1">
      <c r="B70" s="145">
        <v>45907.0</v>
      </c>
      <c r="C70" s="141" t="str">
        <f t="shared" si="1"/>
        <v>9-2025</v>
      </c>
      <c r="D70" s="54" t="str">
        <f>E69</f>
        <v/>
      </c>
      <c r="E70" s="138"/>
      <c r="F70" s="54">
        <f t="shared" si="2"/>
        <v>0</v>
      </c>
      <c r="G70" s="54">
        <f t="shared" si="3"/>
        <v>-10</v>
      </c>
      <c r="H70" s="54"/>
      <c r="I70" s="54"/>
    </row>
    <row r="71" ht="14.25" customHeight="1">
      <c r="B71" s="140">
        <v>45908.0</v>
      </c>
      <c r="C71" s="141" t="str">
        <f t="shared" si="1"/>
        <v>9-2025</v>
      </c>
      <c r="D71" s="138">
        <v>484.0</v>
      </c>
      <c r="E71" s="138">
        <v>493.0</v>
      </c>
      <c r="F71" s="54">
        <f t="shared" si="2"/>
        <v>9</v>
      </c>
      <c r="G71" s="54">
        <f t="shared" si="3"/>
        <v>-1</v>
      </c>
      <c r="H71" s="54"/>
      <c r="I71" s="54"/>
    </row>
    <row r="72" ht="14.25" customHeight="1">
      <c r="B72" s="140">
        <v>45909.0</v>
      </c>
      <c r="C72" s="141" t="str">
        <f t="shared" si="1"/>
        <v>9-2025</v>
      </c>
      <c r="D72" s="54">
        <f t="shared" ref="D72:D75" si="10">E71</f>
        <v>493</v>
      </c>
      <c r="E72" s="138">
        <v>503.0</v>
      </c>
      <c r="F72" s="54">
        <f t="shared" si="2"/>
        <v>10</v>
      </c>
      <c r="G72" s="54">
        <f t="shared" si="3"/>
        <v>0</v>
      </c>
      <c r="H72" s="54"/>
      <c r="I72" s="54"/>
    </row>
    <row r="73" ht="14.25" customHeight="1">
      <c r="B73" s="140">
        <v>45910.0</v>
      </c>
      <c r="C73" s="141" t="str">
        <f t="shared" si="1"/>
        <v>9-2025</v>
      </c>
      <c r="D73" s="54">
        <f t="shared" si="10"/>
        <v>503</v>
      </c>
      <c r="E73" s="138">
        <v>512.0</v>
      </c>
      <c r="F73" s="54">
        <f t="shared" si="2"/>
        <v>9</v>
      </c>
      <c r="G73" s="54">
        <f t="shared" si="3"/>
        <v>-1</v>
      </c>
      <c r="H73" s="54"/>
      <c r="I73" s="54"/>
    </row>
    <row r="74" ht="14.25" customHeight="1">
      <c r="B74" s="140">
        <v>45911.0</v>
      </c>
      <c r="C74" s="141" t="str">
        <f t="shared" si="1"/>
        <v>9-2025</v>
      </c>
      <c r="D74" s="54">
        <f t="shared" si="10"/>
        <v>512</v>
      </c>
      <c r="E74" s="138">
        <v>522.0</v>
      </c>
      <c r="F74" s="54">
        <f t="shared" si="2"/>
        <v>10</v>
      </c>
      <c r="G74" s="54">
        <f t="shared" si="3"/>
        <v>0</v>
      </c>
      <c r="H74" s="54"/>
      <c r="I74" s="54"/>
    </row>
    <row r="75" ht="14.25" customHeight="1">
      <c r="B75" s="140">
        <v>45912.0</v>
      </c>
      <c r="C75" s="141" t="str">
        <f t="shared" si="1"/>
        <v>9-2025</v>
      </c>
      <c r="D75" s="54">
        <f t="shared" si="10"/>
        <v>522</v>
      </c>
      <c r="E75" s="138">
        <v>527.5</v>
      </c>
      <c r="F75" s="54">
        <f t="shared" si="2"/>
        <v>5.5</v>
      </c>
      <c r="G75" s="54">
        <f t="shared" si="3"/>
        <v>-4.5</v>
      </c>
      <c r="H75" s="54"/>
      <c r="I75" s="54"/>
    </row>
    <row r="76" ht="14.25" customHeight="1">
      <c r="B76" s="145">
        <v>45913.0</v>
      </c>
      <c r="C76" s="141" t="str">
        <f t="shared" si="1"/>
        <v>9-2025</v>
      </c>
      <c r="D76" s="54"/>
      <c r="E76" s="54"/>
      <c r="F76" s="54">
        <f t="shared" si="2"/>
        <v>0</v>
      </c>
      <c r="G76" s="54">
        <f t="shared" si="3"/>
        <v>-10</v>
      </c>
      <c r="H76" s="54"/>
      <c r="I76" s="54"/>
    </row>
    <row r="77" ht="14.25" customHeight="1">
      <c r="B77" s="145">
        <v>45914.0</v>
      </c>
      <c r="C77" s="141" t="str">
        <f t="shared" si="1"/>
        <v>9-2025</v>
      </c>
      <c r="D77" s="54" t="str">
        <f>E76</f>
        <v/>
      </c>
      <c r="E77" s="138"/>
      <c r="F77" s="54">
        <f t="shared" si="2"/>
        <v>0</v>
      </c>
      <c r="G77" s="54">
        <f t="shared" si="3"/>
        <v>-10</v>
      </c>
      <c r="H77" s="54"/>
      <c r="I77" s="54"/>
    </row>
    <row r="78" ht="14.25" customHeight="1">
      <c r="B78" s="140">
        <v>45915.0</v>
      </c>
      <c r="C78" s="141" t="str">
        <f t="shared" si="1"/>
        <v>9-2025</v>
      </c>
      <c r="D78" s="138">
        <v>527.5</v>
      </c>
      <c r="E78" s="138">
        <v>536.0</v>
      </c>
      <c r="F78" s="54">
        <f t="shared" si="2"/>
        <v>8.5</v>
      </c>
      <c r="G78" s="54">
        <f t="shared" si="3"/>
        <v>-1.5</v>
      </c>
      <c r="H78" s="54"/>
      <c r="I78" s="54"/>
    </row>
    <row r="79" ht="14.25" customHeight="1">
      <c r="B79" s="140">
        <v>45916.0</v>
      </c>
      <c r="C79" s="141" t="str">
        <f t="shared" si="1"/>
        <v>9-2025</v>
      </c>
      <c r="D79" s="54">
        <f t="shared" ref="D79:D82" si="11">E78</f>
        <v>536</v>
      </c>
      <c r="E79" s="138">
        <v>540.0</v>
      </c>
      <c r="F79" s="54">
        <f t="shared" si="2"/>
        <v>4</v>
      </c>
      <c r="G79" s="54">
        <f t="shared" si="3"/>
        <v>-6</v>
      </c>
      <c r="H79" s="54"/>
      <c r="I79" s="54"/>
    </row>
    <row r="80" ht="14.25" customHeight="1">
      <c r="B80" s="140">
        <v>45917.0</v>
      </c>
      <c r="C80" s="141" t="str">
        <f t="shared" si="1"/>
        <v>9-2025</v>
      </c>
      <c r="D80" s="54">
        <f t="shared" si="11"/>
        <v>540</v>
      </c>
      <c r="E80" s="138">
        <v>543.0</v>
      </c>
      <c r="F80" s="54">
        <f t="shared" si="2"/>
        <v>3</v>
      </c>
      <c r="G80" s="54">
        <f t="shared" si="3"/>
        <v>-7</v>
      </c>
      <c r="H80" s="54"/>
      <c r="I80" s="54"/>
    </row>
    <row r="81" ht="14.25" customHeight="1">
      <c r="B81" s="140">
        <v>45918.0</v>
      </c>
      <c r="C81" s="141" t="str">
        <f t="shared" si="1"/>
        <v>9-2025</v>
      </c>
      <c r="D81" s="54">
        <f t="shared" si="11"/>
        <v>543</v>
      </c>
      <c r="E81" s="138">
        <v>553.5</v>
      </c>
      <c r="F81" s="54">
        <f t="shared" si="2"/>
        <v>10.5</v>
      </c>
      <c r="G81" s="54">
        <f t="shared" si="3"/>
        <v>0.5</v>
      </c>
      <c r="H81" s="54"/>
      <c r="I81" s="54"/>
    </row>
    <row r="82" ht="14.25" customHeight="1">
      <c r="B82" s="140">
        <v>45919.0</v>
      </c>
      <c r="C82" s="141" t="str">
        <f t="shared" si="1"/>
        <v>9-2025</v>
      </c>
      <c r="D82" s="54">
        <f t="shared" si="11"/>
        <v>553.5</v>
      </c>
      <c r="E82" s="138">
        <v>563.8</v>
      </c>
      <c r="F82" s="54">
        <f t="shared" si="2"/>
        <v>10.3</v>
      </c>
      <c r="G82" s="54">
        <f t="shared" si="3"/>
        <v>0.3</v>
      </c>
      <c r="H82" s="54"/>
      <c r="I82" s="54"/>
    </row>
    <row r="83" ht="14.25" customHeight="1">
      <c r="B83" s="145">
        <v>45920.0</v>
      </c>
      <c r="C83" s="141" t="str">
        <f t="shared" si="1"/>
        <v>9-2025</v>
      </c>
      <c r="D83" s="54"/>
      <c r="E83" s="138"/>
      <c r="F83" s="54">
        <f t="shared" si="2"/>
        <v>0</v>
      </c>
      <c r="G83" s="54">
        <f t="shared" si="3"/>
        <v>-10</v>
      </c>
      <c r="H83" s="54"/>
      <c r="I83" s="54"/>
    </row>
    <row r="84" ht="14.25" customHeight="1">
      <c r="B84" s="145">
        <v>45921.0</v>
      </c>
      <c r="C84" s="141" t="str">
        <f t="shared" si="1"/>
        <v>9-2025</v>
      </c>
      <c r="D84" s="54" t="str">
        <f>E83</f>
        <v/>
      </c>
      <c r="E84" s="138"/>
      <c r="F84" s="54">
        <f t="shared" si="2"/>
        <v>0</v>
      </c>
      <c r="G84" s="54">
        <f t="shared" si="3"/>
        <v>-10</v>
      </c>
      <c r="H84" s="54"/>
      <c r="I84" s="54"/>
    </row>
    <row r="85" ht="14.25" customHeight="1">
      <c r="B85" s="140">
        <v>45922.0</v>
      </c>
      <c r="C85" s="141" t="str">
        <f t="shared" si="1"/>
        <v>9-2025</v>
      </c>
      <c r="D85" s="138">
        <v>563.8</v>
      </c>
      <c r="E85" s="138">
        <v>572.5</v>
      </c>
      <c r="F85" s="54">
        <f t="shared" si="2"/>
        <v>8.7</v>
      </c>
      <c r="G85" s="54">
        <f t="shared" si="3"/>
        <v>-1.3</v>
      </c>
      <c r="H85" s="54"/>
      <c r="I85" s="54"/>
    </row>
    <row r="86" ht="14.25" customHeight="1">
      <c r="B86" s="140">
        <v>45923.0</v>
      </c>
      <c r="C86" s="141" t="str">
        <f t="shared" si="1"/>
        <v>9-2025</v>
      </c>
      <c r="D86" s="54">
        <f t="shared" ref="D86:D89" si="12">E85</f>
        <v>572.5</v>
      </c>
      <c r="E86" s="138">
        <v>584.0</v>
      </c>
      <c r="F86" s="54">
        <f t="shared" si="2"/>
        <v>11.5</v>
      </c>
      <c r="G86" s="54">
        <f t="shared" si="3"/>
        <v>1.5</v>
      </c>
      <c r="H86" s="54"/>
      <c r="I86" s="54"/>
    </row>
    <row r="87" ht="14.25" customHeight="1">
      <c r="B87" s="140">
        <v>45924.0</v>
      </c>
      <c r="C87" s="141" t="str">
        <f t="shared" si="1"/>
        <v>9-2025</v>
      </c>
      <c r="D87" s="54">
        <f t="shared" si="12"/>
        <v>584</v>
      </c>
      <c r="E87" s="138">
        <v>594.5</v>
      </c>
      <c r="F87" s="54">
        <f t="shared" si="2"/>
        <v>10.5</v>
      </c>
      <c r="G87" s="54">
        <f t="shared" si="3"/>
        <v>0.5</v>
      </c>
      <c r="H87" s="54"/>
      <c r="I87" s="54"/>
    </row>
    <row r="88" ht="14.25" customHeight="1">
      <c r="B88" s="140">
        <v>45925.0</v>
      </c>
      <c r="C88" s="141" t="str">
        <f t="shared" si="1"/>
        <v>9-2025</v>
      </c>
      <c r="D88" s="54">
        <f t="shared" si="12"/>
        <v>594.5</v>
      </c>
      <c r="E88" s="138">
        <v>604.0</v>
      </c>
      <c r="F88" s="54">
        <f t="shared" si="2"/>
        <v>9.5</v>
      </c>
      <c r="G88" s="54">
        <f t="shared" si="3"/>
        <v>-0.5</v>
      </c>
      <c r="H88" s="54"/>
      <c r="I88" s="54"/>
    </row>
    <row r="89" ht="14.25" customHeight="1">
      <c r="B89" s="140">
        <v>45926.0</v>
      </c>
      <c r="C89" s="141" t="str">
        <f t="shared" si="1"/>
        <v>9-2025</v>
      </c>
      <c r="D89" s="54">
        <f t="shared" si="12"/>
        <v>604</v>
      </c>
      <c r="E89" s="138">
        <v>614.0</v>
      </c>
      <c r="F89" s="54">
        <f t="shared" si="2"/>
        <v>10</v>
      </c>
      <c r="G89" s="54">
        <f t="shared" si="3"/>
        <v>0</v>
      </c>
      <c r="H89" s="54"/>
      <c r="I89" s="54"/>
    </row>
    <row r="90" ht="14.25" customHeight="1">
      <c r="B90" s="145">
        <v>45927.0</v>
      </c>
      <c r="C90" s="141" t="str">
        <f t="shared" si="1"/>
        <v>9-2025</v>
      </c>
      <c r="D90" s="54"/>
      <c r="E90" s="138"/>
      <c r="F90" s="54">
        <f t="shared" si="2"/>
        <v>0</v>
      </c>
      <c r="G90" s="54">
        <f t="shared" si="3"/>
        <v>-10</v>
      </c>
      <c r="H90" s="54"/>
      <c r="I90" s="54"/>
    </row>
    <row r="91" ht="14.25" customHeight="1">
      <c r="B91" s="145">
        <v>45928.0</v>
      </c>
      <c r="C91" s="141" t="str">
        <f t="shared" si="1"/>
        <v>9-2025</v>
      </c>
      <c r="D91" s="54" t="str">
        <f>E90</f>
        <v/>
      </c>
      <c r="E91" s="138"/>
      <c r="F91" s="54">
        <f t="shared" si="2"/>
        <v>0</v>
      </c>
      <c r="G91" s="54">
        <f t="shared" si="3"/>
        <v>-10</v>
      </c>
      <c r="H91" s="54"/>
      <c r="I91" s="54"/>
    </row>
    <row r="92" ht="14.25" customHeight="1">
      <c r="B92" s="140">
        <v>45929.0</v>
      </c>
      <c r="C92" s="141" t="str">
        <f t="shared" si="1"/>
        <v>9-2025</v>
      </c>
      <c r="D92" s="138">
        <v>614.0</v>
      </c>
      <c r="E92" s="138">
        <v>624.0</v>
      </c>
      <c r="F92" s="54">
        <f t="shared" si="2"/>
        <v>10</v>
      </c>
      <c r="G92" s="54">
        <f t="shared" si="3"/>
        <v>0</v>
      </c>
      <c r="H92" s="54"/>
      <c r="I92" s="54"/>
    </row>
    <row r="93" ht="14.25" customHeight="1">
      <c r="B93" s="140">
        <v>45930.0</v>
      </c>
      <c r="C93" s="141" t="str">
        <f t="shared" si="1"/>
        <v>9-2025</v>
      </c>
      <c r="D93" s="54">
        <f t="shared" ref="D93:D148" si="13">E92</f>
        <v>624</v>
      </c>
      <c r="E93" s="138">
        <v>634.0</v>
      </c>
      <c r="F93" s="54">
        <f t="shared" si="2"/>
        <v>10</v>
      </c>
      <c r="G93" s="54">
        <f t="shared" si="3"/>
        <v>0</v>
      </c>
      <c r="H93" s="54"/>
      <c r="I93" s="54"/>
    </row>
    <row r="94" ht="14.25" customHeight="1">
      <c r="B94" s="140">
        <v>45931.0</v>
      </c>
      <c r="C94" s="141" t="str">
        <f t="shared" si="1"/>
        <v>10-2025</v>
      </c>
      <c r="D94" s="54">
        <f t="shared" si="13"/>
        <v>634</v>
      </c>
      <c r="E94" s="138"/>
      <c r="F94" s="54">
        <f t="shared" si="2"/>
        <v>-634</v>
      </c>
      <c r="G94" s="54">
        <f t="shared" si="3"/>
        <v>-644</v>
      </c>
      <c r="H94" s="54"/>
      <c r="I94" s="54"/>
    </row>
    <row r="95" ht="14.25" customHeight="1">
      <c r="B95" s="140">
        <v>45932.0</v>
      </c>
      <c r="C95" s="141" t="str">
        <f t="shared" si="1"/>
        <v>10-2025</v>
      </c>
      <c r="D95" s="54" t="str">
        <f t="shared" si="13"/>
        <v/>
      </c>
      <c r="E95" s="54"/>
      <c r="F95" s="54">
        <f t="shared" si="2"/>
        <v>0</v>
      </c>
      <c r="G95" s="54">
        <f t="shared" si="3"/>
        <v>-10</v>
      </c>
      <c r="H95" s="54"/>
      <c r="I95" s="54"/>
    </row>
    <row r="96" ht="14.25" customHeight="1">
      <c r="B96" s="140">
        <v>45933.0</v>
      </c>
      <c r="C96" s="141" t="str">
        <f t="shared" si="1"/>
        <v>10-2025</v>
      </c>
      <c r="D96" s="54" t="str">
        <f t="shared" si="13"/>
        <v/>
      </c>
      <c r="E96" s="54"/>
      <c r="F96" s="54">
        <f t="shared" si="2"/>
        <v>0</v>
      </c>
      <c r="G96" s="54">
        <f t="shared" si="3"/>
        <v>-10</v>
      </c>
      <c r="H96" s="54"/>
      <c r="I96" s="54"/>
    </row>
    <row r="97" ht="14.25" customHeight="1">
      <c r="B97" s="140">
        <v>45934.0</v>
      </c>
      <c r="C97" s="141" t="str">
        <f t="shared" si="1"/>
        <v>10-2025</v>
      </c>
      <c r="D97" s="54" t="str">
        <f t="shared" si="13"/>
        <v/>
      </c>
      <c r="E97" s="138"/>
      <c r="F97" s="54">
        <f t="shared" si="2"/>
        <v>0</v>
      </c>
      <c r="G97" s="54">
        <f t="shared" si="3"/>
        <v>-10</v>
      </c>
      <c r="H97" s="54"/>
      <c r="I97" s="54"/>
    </row>
    <row r="98" ht="14.25" customHeight="1">
      <c r="B98" s="140">
        <v>45935.0</v>
      </c>
      <c r="C98" s="141" t="str">
        <f t="shared" si="1"/>
        <v>10-2025</v>
      </c>
      <c r="D98" s="54" t="str">
        <f t="shared" si="13"/>
        <v/>
      </c>
      <c r="E98" s="138"/>
      <c r="F98" s="54">
        <f t="shared" si="2"/>
        <v>0</v>
      </c>
      <c r="G98" s="54">
        <f t="shared" si="3"/>
        <v>-10</v>
      </c>
      <c r="H98" s="54"/>
      <c r="I98" s="54"/>
    </row>
    <row r="99" ht="14.25" customHeight="1">
      <c r="B99" s="140">
        <v>45936.0</v>
      </c>
      <c r="C99" s="141" t="str">
        <f t="shared" si="1"/>
        <v>10-2025</v>
      </c>
      <c r="D99" s="54" t="str">
        <f t="shared" si="13"/>
        <v/>
      </c>
      <c r="E99" s="138"/>
      <c r="F99" s="54">
        <f t="shared" si="2"/>
        <v>0</v>
      </c>
      <c r="G99" s="54">
        <f t="shared" si="3"/>
        <v>-10</v>
      </c>
      <c r="H99" s="54"/>
      <c r="I99" s="54"/>
    </row>
    <row r="100" ht="14.25" customHeight="1">
      <c r="B100" s="140">
        <v>45937.0</v>
      </c>
      <c r="C100" s="141" t="str">
        <f t="shared" si="1"/>
        <v>10-2025</v>
      </c>
      <c r="D100" s="54" t="str">
        <f t="shared" si="13"/>
        <v/>
      </c>
      <c r="E100" s="54"/>
      <c r="F100" s="54">
        <f t="shared" si="2"/>
        <v>0</v>
      </c>
      <c r="G100" s="54">
        <f t="shared" si="3"/>
        <v>-10</v>
      </c>
      <c r="H100" s="54"/>
      <c r="I100" s="54"/>
    </row>
    <row r="101" ht="14.25" customHeight="1">
      <c r="B101" s="140">
        <v>45938.0</v>
      </c>
      <c r="C101" s="141" t="str">
        <f t="shared" si="1"/>
        <v>10-2025</v>
      </c>
      <c r="D101" s="54" t="str">
        <f t="shared" si="13"/>
        <v/>
      </c>
      <c r="E101" s="54"/>
      <c r="F101" s="54">
        <f t="shared" si="2"/>
        <v>0</v>
      </c>
      <c r="G101" s="54">
        <f t="shared" si="3"/>
        <v>-10</v>
      </c>
      <c r="H101" s="54"/>
      <c r="I101" s="54"/>
    </row>
    <row r="102" ht="14.25" customHeight="1">
      <c r="B102" s="140">
        <v>45939.0</v>
      </c>
      <c r="C102" s="141" t="str">
        <f t="shared" si="1"/>
        <v>10-2025</v>
      </c>
      <c r="D102" s="54" t="str">
        <f t="shared" si="13"/>
        <v/>
      </c>
      <c r="E102" s="54"/>
      <c r="F102" s="54">
        <f t="shared" si="2"/>
        <v>0</v>
      </c>
      <c r="G102" s="54">
        <f t="shared" si="3"/>
        <v>-10</v>
      </c>
      <c r="H102" s="54"/>
      <c r="I102" s="54"/>
    </row>
    <row r="103" ht="14.25" customHeight="1">
      <c r="B103" s="140">
        <v>45940.0</v>
      </c>
      <c r="C103" s="141" t="str">
        <f t="shared" si="1"/>
        <v>10-2025</v>
      </c>
      <c r="D103" s="54" t="str">
        <f t="shared" si="13"/>
        <v/>
      </c>
      <c r="E103" s="54"/>
      <c r="F103" s="54">
        <f t="shared" si="2"/>
        <v>0</v>
      </c>
      <c r="G103" s="54">
        <f t="shared" si="3"/>
        <v>-10</v>
      </c>
      <c r="H103" s="54"/>
      <c r="I103" s="54"/>
    </row>
    <row r="104" ht="14.25" customHeight="1">
      <c r="B104" s="140">
        <v>45941.0</v>
      </c>
      <c r="C104" s="141" t="str">
        <f t="shared" si="1"/>
        <v>10-2025</v>
      </c>
      <c r="D104" s="54" t="str">
        <f t="shared" si="13"/>
        <v/>
      </c>
      <c r="E104" s="54"/>
      <c r="F104" s="54">
        <f t="shared" si="2"/>
        <v>0</v>
      </c>
      <c r="G104" s="54">
        <f t="shared" si="3"/>
        <v>-10</v>
      </c>
      <c r="H104" s="54"/>
      <c r="I104" s="54"/>
    </row>
    <row r="105" ht="14.25" customHeight="1">
      <c r="B105" s="140">
        <v>45942.0</v>
      </c>
      <c r="C105" s="141" t="str">
        <f t="shared" si="1"/>
        <v>10-2025</v>
      </c>
      <c r="D105" s="54" t="str">
        <f t="shared" si="13"/>
        <v/>
      </c>
      <c r="E105" s="54"/>
      <c r="F105" s="54">
        <f t="shared" si="2"/>
        <v>0</v>
      </c>
      <c r="G105" s="54">
        <f t="shared" si="3"/>
        <v>-10</v>
      </c>
      <c r="H105" s="54"/>
      <c r="I105" s="54"/>
    </row>
    <row r="106" ht="14.25" customHeight="1">
      <c r="B106" s="140">
        <v>45943.0</v>
      </c>
      <c r="C106" s="141" t="str">
        <f t="shared" si="1"/>
        <v>10-2025</v>
      </c>
      <c r="D106" s="54" t="str">
        <f t="shared" si="13"/>
        <v/>
      </c>
      <c r="E106" s="54"/>
      <c r="F106" s="54">
        <f t="shared" si="2"/>
        <v>0</v>
      </c>
      <c r="G106" s="54">
        <f t="shared" si="3"/>
        <v>-10</v>
      </c>
      <c r="H106" s="54"/>
      <c r="I106" s="54"/>
    </row>
    <row r="107" ht="14.25" customHeight="1">
      <c r="B107" s="140">
        <v>45944.0</v>
      </c>
      <c r="C107" s="141" t="str">
        <f t="shared" si="1"/>
        <v>10-2025</v>
      </c>
      <c r="D107" s="54" t="str">
        <f t="shared" si="13"/>
        <v/>
      </c>
      <c r="E107" s="54"/>
      <c r="F107" s="54">
        <f t="shared" si="2"/>
        <v>0</v>
      </c>
      <c r="G107" s="54">
        <f t="shared" si="3"/>
        <v>-10</v>
      </c>
      <c r="H107" s="54"/>
      <c r="I107" s="54"/>
    </row>
    <row r="108" ht="14.25" customHeight="1">
      <c r="B108" s="140">
        <v>45945.0</v>
      </c>
      <c r="C108" s="141" t="str">
        <f t="shared" si="1"/>
        <v>10-2025</v>
      </c>
      <c r="D108" s="54" t="str">
        <f t="shared" si="13"/>
        <v/>
      </c>
      <c r="E108" s="54"/>
      <c r="F108" s="54">
        <f t="shared" si="2"/>
        <v>0</v>
      </c>
      <c r="G108" s="54">
        <f t="shared" si="3"/>
        <v>-10</v>
      </c>
      <c r="H108" s="54"/>
      <c r="I108" s="54"/>
    </row>
    <row r="109" ht="14.25" customHeight="1">
      <c r="B109" s="140">
        <v>45946.0</v>
      </c>
      <c r="C109" s="141" t="str">
        <f t="shared" si="1"/>
        <v>10-2025</v>
      </c>
      <c r="D109" s="54" t="str">
        <f t="shared" si="13"/>
        <v/>
      </c>
      <c r="E109" s="54"/>
      <c r="F109" s="54">
        <f t="shared" si="2"/>
        <v>0</v>
      </c>
      <c r="G109" s="54">
        <f t="shared" si="3"/>
        <v>-10</v>
      </c>
      <c r="H109" s="54"/>
      <c r="I109" s="54"/>
    </row>
    <row r="110" ht="14.25" customHeight="1">
      <c r="B110" s="140">
        <v>45947.0</v>
      </c>
      <c r="C110" s="141" t="str">
        <f t="shared" si="1"/>
        <v>10-2025</v>
      </c>
      <c r="D110" s="54" t="str">
        <f t="shared" si="13"/>
        <v/>
      </c>
      <c r="E110" s="54"/>
      <c r="F110" s="54">
        <f t="shared" si="2"/>
        <v>0</v>
      </c>
      <c r="G110" s="54">
        <f t="shared" si="3"/>
        <v>-10</v>
      </c>
      <c r="H110" s="54"/>
      <c r="I110" s="54"/>
    </row>
    <row r="111" ht="14.25" customHeight="1">
      <c r="B111" s="140">
        <v>45948.0</v>
      </c>
      <c r="C111" s="141" t="str">
        <f t="shared" si="1"/>
        <v>10-2025</v>
      </c>
      <c r="D111" s="54" t="str">
        <f t="shared" si="13"/>
        <v/>
      </c>
      <c r="E111" s="54"/>
      <c r="F111" s="54">
        <f t="shared" si="2"/>
        <v>0</v>
      </c>
      <c r="G111" s="54">
        <f t="shared" si="3"/>
        <v>-10</v>
      </c>
      <c r="H111" s="54"/>
      <c r="I111" s="54"/>
    </row>
    <row r="112" ht="14.25" customHeight="1">
      <c r="B112" s="140">
        <v>45949.0</v>
      </c>
      <c r="C112" s="141" t="str">
        <f t="shared" si="1"/>
        <v>10-2025</v>
      </c>
      <c r="D112" s="54" t="str">
        <f t="shared" si="13"/>
        <v/>
      </c>
      <c r="E112" s="54"/>
      <c r="F112" s="54">
        <f t="shared" si="2"/>
        <v>0</v>
      </c>
      <c r="G112" s="54">
        <f t="shared" si="3"/>
        <v>-10</v>
      </c>
      <c r="H112" s="54"/>
      <c r="I112" s="54"/>
    </row>
    <row r="113" ht="14.25" customHeight="1">
      <c r="B113" s="140">
        <v>45950.0</v>
      </c>
      <c r="C113" s="141" t="str">
        <f t="shared" si="1"/>
        <v>10-2025</v>
      </c>
      <c r="D113" s="54" t="str">
        <f t="shared" si="13"/>
        <v/>
      </c>
      <c r="E113" s="54"/>
      <c r="F113" s="54">
        <f t="shared" si="2"/>
        <v>0</v>
      </c>
      <c r="G113" s="54">
        <f t="shared" si="3"/>
        <v>-10</v>
      </c>
      <c r="H113" s="54"/>
      <c r="I113" s="54"/>
    </row>
    <row r="114" ht="14.25" customHeight="1">
      <c r="B114" s="140">
        <v>45951.0</v>
      </c>
      <c r="C114" s="141" t="str">
        <f t="shared" si="1"/>
        <v>10-2025</v>
      </c>
      <c r="D114" s="54" t="str">
        <f t="shared" si="13"/>
        <v/>
      </c>
      <c r="E114" s="54"/>
      <c r="F114" s="54">
        <f t="shared" si="2"/>
        <v>0</v>
      </c>
      <c r="G114" s="54">
        <f t="shared" si="3"/>
        <v>-10</v>
      </c>
      <c r="H114" s="54"/>
      <c r="I114" s="54"/>
    </row>
    <row r="115" ht="14.25" customHeight="1">
      <c r="B115" s="54"/>
      <c r="C115" s="141" t="str">
        <f t="shared" si="1"/>
        <v>12-1899</v>
      </c>
      <c r="D115" s="54" t="str">
        <f t="shared" si="13"/>
        <v/>
      </c>
      <c r="E115" s="54"/>
      <c r="F115" s="54">
        <f t="shared" si="2"/>
        <v>0</v>
      </c>
      <c r="G115" s="54">
        <f t="shared" si="3"/>
        <v>-10</v>
      </c>
      <c r="H115" s="54"/>
      <c r="I115" s="54"/>
    </row>
    <row r="116" ht="14.25" customHeight="1">
      <c r="B116" s="54"/>
      <c r="C116" s="141" t="str">
        <f t="shared" si="1"/>
        <v>12-1899</v>
      </c>
      <c r="D116" s="54" t="str">
        <f t="shared" si="13"/>
        <v/>
      </c>
      <c r="E116" s="54"/>
      <c r="F116" s="54">
        <f t="shared" si="2"/>
        <v>0</v>
      </c>
      <c r="G116" s="54">
        <f t="shared" si="3"/>
        <v>-10</v>
      </c>
      <c r="H116" s="54"/>
      <c r="I116" s="54"/>
    </row>
    <row r="117" ht="14.25" customHeight="1">
      <c r="B117" s="54"/>
      <c r="C117" s="141" t="str">
        <f t="shared" si="1"/>
        <v>12-1899</v>
      </c>
      <c r="D117" s="54" t="str">
        <f t="shared" si="13"/>
        <v/>
      </c>
      <c r="E117" s="54"/>
      <c r="F117" s="54">
        <f t="shared" si="2"/>
        <v>0</v>
      </c>
      <c r="G117" s="54">
        <f t="shared" si="3"/>
        <v>-10</v>
      </c>
      <c r="H117" s="54"/>
      <c r="I117" s="54"/>
    </row>
    <row r="118" ht="14.25" customHeight="1">
      <c r="B118" s="54"/>
      <c r="C118" s="141" t="str">
        <f t="shared" si="1"/>
        <v>12-1899</v>
      </c>
      <c r="D118" s="54" t="str">
        <f t="shared" si="13"/>
        <v/>
      </c>
      <c r="E118" s="54"/>
      <c r="F118" s="54">
        <f t="shared" si="2"/>
        <v>0</v>
      </c>
      <c r="G118" s="54">
        <f t="shared" si="3"/>
        <v>-10</v>
      </c>
      <c r="H118" s="54"/>
      <c r="I118" s="54"/>
    </row>
    <row r="119" ht="14.25" customHeight="1">
      <c r="B119" s="54"/>
      <c r="C119" s="141" t="str">
        <f t="shared" si="1"/>
        <v>12-1899</v>
      </c>
      <c r="D119" s="54" t="str">
        <f t="shared" si="13"/>
        <v/>
      </c>
      <c r="E119" s="54"/>
      <c r="F119" s="54">
        <f t="shared" si="2"/>
        <v>0</v>
      </c>
      <c r="G119" s="54">
        <f t="shared" si="3"/>
        <v>-10</v>
      </c>
      <c r="H119" s="54"/>
      <c r="I119" s="54"/>
    </row>
    <row r="120" ht="14.25" customHeight="1">
      <c r="B120" s="54"/>
      <c r="C120" s="141" t="str">
        <f t="shared" si="1"/>
        <v>12-1899</v>
      </c>
      <c r="D120" s="54" t="str">
        <f t="shared" si="13"/>
        <v/>
      </c>
      <c r="E120" s="54"/>
      <c r="F120" s="54">
        <f t="shared" si="2"/>
        <v>0</v>
      </c>
      <c r="G120" s="54">
        <f t="shared" si="3"/>
        <v>-10</v>
      </c>
      <c r="H120" s="54"/>
      <c r="I120" s="54"/>
    </row>
    <row r="121" ht="14.25" customHeight="1">
      <c r="B121" s="54"/>
      <c r="C121" s="141" t="str">
        <f t="shared" si="1"/>
        <v>12-1899</v>
      </c>
      <c r="D121" s="54" t="str">
        <f t="shared" si="13"/>
        <v/>
      </c>
      <c r="E121" s="138"/>
      <c r="F121" s="54">
        <f t="shared" si="2"/>
        <v>0</v>
      </c>
      <c r="G121" s="54">
        <f t="shared" si="3"/>
        <v>-10</v>
      </c>
      <c r="H121" s="54"/>
      <c r="I121" s="54"/>
    </row>
    <row r="122" ht="14.25" customHeight="1">
      <c r="B122" s="54"/>
      <c r="C122" s="141" t="str">
        <f t="shared" si="1"/>
        <v>12-1899</v>
      </c>
      <c r="D122" s="54" t="str">
        <f t="shared" si="13"/>
        <v/>
      </c>
      <c r="E122" s="138"/>
      <c r="F122" s="54">
        <f t="shared" si="2"/>
        <v>0</v>
      </c>
      <c r="G122" s="54">
        <f t="shared" si="3"/>
        <v>-10</v>
      </c>
      <c r="H122" s="54"/>
      <c r="I122" s="54"/>
    </row>
    <row r="123" ht="14.25" customHeight="1">
      <c r="B123" s="54"/>
      <c r="C123" s="141" t="str">
        <f t="shared" si="1"/>
        <v>12-1899</v>
      </c>
      <c r="D123" s="54" t="str">
        <f t="shared" si="13"/>
        <v/>
      </c>
      <c r="E123" s="138"/>
      <c r="F123" s="54">
        <f t="shared" si="2"/>
        <v>0</v>
      </c>
      <c r="G123" s="54">
        <f t="shared" si="3"/>
        <v>-10</v>
      </c>
      <c r="H123" s="54"/>
      <c r="I123" s="54"/>
    </row>
    <row r="124" ht="14.25" customHeight="1">
      <c r="B124" s="54"/>
      <c r="C124" s="141" t="str">
        <f t="shared" si="1"/>
        <v>12-1899</v>
      </c>
      <c r="D124" s="54" t="str">
        <f t="shared" si="13"/>
        <v/>
      </c>
      <c r="E124" s="138"/>
      <c r="F124" s="54">
        <f t="shared" si="2"/>
        <v>0</v>
      </c>
      <c r="G124" s="54">
        <f t="shared" si="3"/>
        <v>-10</v>
      </c>
      <c r="H124" s="54"/>
      <c r="I124" s="54"/>
    </row>
    <row r="125" ht="14.25" customHeight="1">
      <c r="B125" s="54"/>
      <c r="C125" s="141" t="str">
        <f t="shared" si="1"/>
        <v>12-1899</v>
      </c>
      <c r="D125" s="54" t="str">
        <f t="shared" si="13"/>
        <v/>
      </c>
      <c r="E125" s="138"/>
      <c r="F125" s="54">
        <f t="shared" si="2"/>
        <v>0</v>
      </c>
      <c r="G125" s="54">
        <f t="shared" si="3"/>
        <v>-10</v>
      </c>
      <c r="H125" s="54"/>
      <c r="I125" s="54"/>
    </row>
    <row r="126" ht="14.25" customHeight="1">
      <c r="B126" s="54"/>
      <c r="C126" s="141" t="str">
        <f t="shared" si="1"/>
        <v>12-1899</v>
      </c>
      <c r="D126" s="54" t="str">
        <f t="shared" si="13"/>
        <v/>
      </c>
      <c r="E126" s="138"/>
      <c r="F126" s="54">
        <f t="shared" si="2"/>
        <v>0</v>
      </c>
      <c r="G126" s="54">
        <f t="shared" si="3"/>
        <v>-10</v>
      </c>
      <c r="H126" s="54"/>
      <c r="I126" s="54"/>
    </row>
    <row r="127" ht="14.25" customHeight="1">
      <c r="B127" s="54"/>
      <c r="C127" s="141" t="str">
        <f t="shared" si="1"/>
        <v>12-1899</v>
      </c>
      <c r="D127" s="54" t="str">
        <f t="shared" si="13"/>
        <v/>
      </c>
      <c r="E127" s="138"/>
      <c r="F127" s="54">
        <f t="shared" si="2"/>
        <v>0</v>
      </c>
      <c r="G127" s="54">
        <f t="shared" si="3"/>
        <v>-10</v>
      </c>
      <c r="H127" s="54"/>
      <c r="I127" s="54"/>
    </row>
    <row r="128" ht="14.25" customHeight="1">
      <c r="B128" s="54"/>
      <c r="C128" s="141" t="str">
        <f t="shared" si="1"/>
        <v>12-1899</v>
      </c>
      <c r="D128" s="54" t="str">
        <f t="shared" si="13"/>
        <v/>
      </c>
      <c r="E128" s="138"/>
      <c r="F128" s="54">
        <f t="shared" si="2"/>
        <v>0</v>
      </c>
      <c r="G128" s="54">
        <f t="shared" si="3"/>
        <v>-10</v>
      </c>
      <c r="H128" s="54"/>
      <c r="I128" s="54"/>
    </row>
    <row r="129" ht="14.25" customHeight="1">
      <c r="B129" s="54"/>
      <c r="C129" s="141" t="str">
        <f t="shared" si="1"/>
        <v>12-1899</v>
      </c>
      <c r="D129" s="54" t="str">
        <f t="shared" si="13"/>
        <v/>
      </c>
      <c r="E129" s="138"/>
      <c r="F129" s="54">
        <f t="shared" si="2"/>
        <v>0</v>
      </c>
      <c r="G129" s="54">
        <f t="shared" si="3"/>
        <v>-10</v>
      </c>
      <c r="H129" s="54"/>
      <c r="I129" s="54"/>
    </row>
    <row r="130" ht="14.25" customHeight="1">
      <c r="B130" s="54"/>
      <c r="C130" s="141" t="str">
        <f t="shared" si="1"/>
        <v>12-1899</v>
      </c>
      <c r="D130" s="54" t="str">
        <f t="shared" si="13"/>
        <v/>
      </c>
      <c r="E130" s="138"/>
      <c r="F130" s="54">
        <f t="shared" si="2"/>
        <v>0</v>
      </c>
      <c r="G130" s="54">
        <f t="shared" si="3"/>
        <v>-10</v>
      </c>
      <c r="H130" s="54"/>
      <c r="I130" s="54"/>
    </row>
    <row r="131" ht="14.25" customHeight="1">
      <c r="B131" s="54"/>
      <c r="C131" s="141" t="str">
        <f t="shared" si="1"/>
        <v>12-1899</v>
      </c>
      <c r="D131" s="54" t="str">
        <f t="shared" si="13"/>
        <v/>
      </c>
      <c r="E131" s="138"/>
      <c r="F131" s="54">
        <f t="shared" si="2"/>
        <v>0</v>
      </c>
      <c r="G131" s="54">
        <f t="shared" si="3"/>
        <v>-10</v>
      </c>
      <c r="H131" s="54"/>
      <c r="I131" s="54"/>
    </row>
    <row r="132" ht="14.25" customHeight="1">
      <c r="B132" s="54"/>
      <c r="C132" s="141" t="str">
        <f t="shared" si="1"/>
        <v>12-1899</v>
      </c>
      <c r="D132" s="54" t="str">
        <f t="shared" si="13"/>
        <v/>
      </c>
      <c r="E132" s="138"/>
      <c r="F132" s="54">
        <f t="shared" si="2"/>
        <v>0</v>
      </c>
      <c r="G132" s="54">
        <f t="shared" si="3"/>
        <v>-10</v>
      </c>
      <c r="H132" s="54"/>
      <c r="I132" s="54"/>
    </row>
    <row r="133" ht="14.25" customHeight="1">
      <c r="B133" s="54"/>
      <c r="C133" s="141" t="str">
        <f t="shared" si="1"/>
        <v>12-1899</v>
      </c>
      <c r="D133" s="54" t="str">
        <f t="shared" si="13"/>
        <v/>
      </c>
      <c r="E133" s="138"/>
      <c r="F133" s="54">
        <f t="shared" si="2"/>
        <v>0</v>
      </c>
      <c r="G133" s="54">
        <f t="shared" si="3"/>
        <v>-10</v>
      </c>
      <c r="H133" s="54"/>
      <c r="I133" s="54"/>
    </row>
    <row r="134" ht="14.25" customHeight="1">
      <c r="B134" s="54"/>
      <c r="C134" s="141" t="str">
        <f t="shared" si="1"/>
        <v>12-1899</v>
      </c>
      <c r="D134" s="54" t="str">
        <f t="shared" si="13"/>
        <v/>
      </c>
      <c r="E134" s="138"/>
      <c r="F134" s="54">
        <f t="shared" si="2"/>
        <v>0</v>
      </c>
      <c r="G134" s="54">
        <f t="shared" si="3"/>
        <v>-10</v>
      </c>
      <c r="H134" s="54"/>
      <c r="I134" s="54"/>
    </row>
    <row r="135" ht="14.25" customHeight="1">
      <c r="B135" s="54"/>
      <c r="C135" s="141" t="str">
        <f t="shared" si="1"/>
        <v>12-1899</v>
      </c>
      <c r="D135" s="54" t="str">
        <f t="shared" si="13"/>
        <v/>
      </c>
      <c r="E135" s="138"/>
      <c r="F135" s="54">
        <f t="shared" si="2"/>
        <v>0</v>
      </c>
      <c r="G135" s="54">
        <f t="shared" si="3"/>
        <v>-10</v>
      </c>
      <c r="H135" s="54"/>
      <c r="I135" s="54"/>
    </row>
    <row r="136" ht="14.25" customHeight="1">
      <c r="B136" s="54"/>
      <c r="C136" s="141" t="str">
        <f t="shared" si="1"/>
        <v>12-1899</v>
      </c>
      <c r="D136" s="54" t="str">
        <f t="shared" si="13"/>
        <v/>
      </c>
      <c r="E136" s="138"/>
      <c r="F136" s="54">
        <f t="shared" si="2"/>
        <v>0</v>
      </c>
      <c r="G136" s="54">
        <f t="shared" si="3"/>
        <v>-10</v>
      </c>
      <c r="H136" s="54"/>
      <c r="I136" s="54"/>
    </row>
    <row r="137" ht="14.25" customHeight="1">
      <c r="B137" s="54"/>
      <c r="C137" s="141" t="str">
        <f t="shared" si="1"/>
        <v>12-1899</v>
      </c>
      <c r="D137" s="54" t="str">
        <f t="shared" si="13"/>
        <v/>
      </c>
      <c r="E137" s="54"/>
      <c r="F137" s="54">
        <f t="shared" si="2"/>
        <v>0</v>
      </c>
      <c r="G137" s="54">
        <f t="shared" si="3"/>
        <v>-10</v>
      </c>
      <c r="H137" s="54"/>
      <c r="I137" s="54"/>
    </row>
    <row r="138" ht="14.25" customHeight="1">
      <c r="B138" s="54"/>
      <c r="C138" s="141" t="str">
        <f t="shared" si="1"/>
        <v>12-1899</v>
      </c>
      <c r="D138" s="54" t="str">
        <f t="shared" si="13"/>
        <v/>
      </c>
      <c r="E138" s="54"/>
      <c r="F138" s="54">
        <f t="shared" si="2"/>
        <v>0</v>
      </c>
      <c r="G138" s="54">
        <f t="shared" si="3"/>
        <v>-10</v>
      </c>
      <c r="H138" s="54"/>
      <c r="I138" s="54"/>
    </row>
    <row r="139" ht="14.25" customHeight="1">
      <c r="B139" s="54"/>
      <c r="C139" s="141" t="str">
        <f t="shared" si="1"/>
        <v>12-1899</v>
      </c>
      <c r="D139" s="54" t="str">
        <f t="shared" si="13"/>
        <v/>
      </c>
      <c r="E139" s="138"/>
      <c r="F139" s="54">
        <f t="shared" si="2"/>
        <v>0</v>
      </c>
      <c r="G139" s="54">
        <f t="shared" si="3"/>
        <v>-10</v>
      </c>
      <c r="H139" s="54"/>
      <c r="I139" s="54"/>
    </row>
    <row r="140" ht="14.25" customHeight="1">
      <c r="B140" s="54"/>
      <c r="C140" s="141" t="str">
        <f t="shared" si="1"/>
        <v>12-1899</v>
      </c>
      <c r="D140" s="54" t="str">
        <f t="shared" si="13"/>
        <v/>
      </c>
      <c r="E140" s="138"/>
      <c r="F140" s="54">
        <f t="shared" si="2"/>
        <v>0</v>
      </c>
      <c r="G140" s="54">
        <f t="shared" si="3"/>
        <v>-10</v>
      </c>
      <c r="H140" s="54"/>
      <c r="I140" s="54"/>
    </row>
    <row r="141" ht="14.25" customHeight="1">
      <c r="B141" s="54"/>
      <c r="C141" s="141" t="str">
        <f t="shared" si="1"/>
        <v>12-1899</v>
      </c>
      <c r="D141" s="54" t="str">
        <f t="shared" si="13"/>
        <v/>
      </c>
      <c r="E141" s="138"/>
      <c r="F141" s="54">
        <f t="shared" si="2"/>
        <v>0</v>
      </c>
      <c r="G141" s="54">
        <f t="shared" si="3"/>
        <v>-10</v>
      </c>
      <c r="H141" s="54"/>
      <c r="I141" s="54"/>
    </row>
    <row r="142" ht="14.25" customHeight="1">
      <c r="B142" s="54"/>
      <c r="C142" s="141" t="str">
        <f t="shared" si="1"/>
        <v>12-1899</v>
      </c>
      <c r="D142" s="54" t="str">
        <f t="shared" si="13"/>
        <v/>
      </c>
      <c r="E142" s="138"/>
      <c r="F142" s="54">
        <f t="shared" si="2"/>
        <v>0</v>
      </c>
      <c r="G142" s="54">
        <f t="shared" si="3"/>
        <v>-10</v>
      </c>
      <c r="H142" s="54"/>
      <c r="I142" s="54"/>
    </row>
    <row r="143" ht="14.25" customHeight="1">
      <c r="B143" s="54"/>
      <c r="C143" s="141" t="str">
        <f t="shared" si="1"/>
        <v>12-1899</v>
      </c>
      <c r="D143" s="54" t="str">
        <f t="shared" si="13"/>
        <v/>
      </c>
      <c r="E143" s="138"/>
      <c r="F143" s="54">
        <f t="shared" si="2"/>
        <v>0</v>
      </c>
      <c r="G143" s="54">
        <f t="shared" si="3"/>
        <v>-10</v>
      </c>
      <c r="H143" s="54"/>
      <c r="I143" s="54"/>
    </row>
    <row r="144" ht="14.25" customHeight="1">
      <c r="B144" s="54"/>
      <c r="C144" s="141" t="str">
        <f t="shared" si="1"/>
        <v>12-1899</v>
      </c>
      <c r="D144" s="54" t="str">
        <f t="shared" si="13"/>
        <v/>
      </c>
      <c r="E144" s="54"/>
      <c r="F144" s="54">
        <f t="shared" si="2"/>
        <v>0</v>
      </c>
      <c r="G144" s="54">
        <f t="shared" si="3"/>
        <v>-10</v>
      </c>
      <c r="H144" s="54"/>
      <c r="I144" s="54"/>
    </row>
    <row r="145" ht="14.25" customHeight="1">
      <c r="B145" s="54"/>
      <c r="C145" s="141" t="str">
        <f t="shared" si="1"/>
        <v>12-1899</v>
      </c>
      <c r="D145" s="54" t="str">
        <f t="shared" si="13"/>
        <v/>
      </c>
      <c r="E145" s="54"/>
      <c r="F145" s="54">
        <f t="shared" si="2"/>
        <v>0</v>
      </c>
      <c r="G145" s="54">
        <f t="shared" si="3"/>
        <v>-10</v>
      </c>
      <c r="H145" s="54"/>
      <c r="I145" s="54"/>
    </row>
    <row r="146" ht="14.25" customHeight="1">
      <c r="B146" s="54"/>
      <c r="C146" s="141" t="str">
        <f t="shared" si="1"/>
        <v>12-1899</v>
      </c>
      <c r="D146" s="54" t="str">
        <f t="shared" si="13"/>
        <v/>
      </c>
      <c r="E146" s="138"/>
      <c r="F146" s="54">
        <f t="shared" si="2"/>
        <v>0</v>
      </c>
      <c r="G146" s="54">
        <f t="shared" si="3"/>
        <v>-10</v>
      </c>
      <c r="H146" s="54"/>
      <c r="I146" s="54"/>
    </row>
    <row r="147" ht="14.25" customHeight="1">
      <c r="B147" s="54"/>
      <c r="C147" s="141" t="str">
        <f t="shared" si="1"/>
        <v>12-1899</v>
      </c>
      <c r="D147" s="54" t="str">
        <f t="shared" si="13"/>
        <v/>
      </c>
      <c r="E147" s="138"/>
      <c r="F147" s="54">
        <f t="shared" si="2"/>
        <v>0</v>
      </c>
      <c r="G147" s="54">
        <f t="shared" si="3"/>
        <v>-10</v>
      </c>
      <c r="H147" s="54"/>
      <c r="I147" s="54"/>
    </row>
    <row r="148" ht="14.25" customHeight="1">
      <c r="B148" s="54"/>
      <c r="C148" s="141" t="str">
        <f t="shared" si="1"/>
        <v>12-1899</v>
      </c>
      <c r="D148" s="54" t="str">
        <f t="shared" si="13"/>
        <v/>
      </c>
      <c r="E148" s="138"/>
      <c r="F148" s="54">
        <f t="shared" si="2"/>
        <v>0</v>
      </c>
      <c r="G148" s="54">
        <f t="shared" si="3"/>
        <v>-10</v>
      </c>
      <c r="H148" s="54"/>
      <c r="I148" s="54"/>
    </row>
    <row r="149" ht="14.25" customHeight="1">
      <c r="B149" s="54"/>
      <c r="C149" s="141" t="str">
        <f t="shared" si="1"/>
        <v>12-1899</v>
      </c>
      <c r="D149" s="54" t="str">
        <f t="shared" ref="D149:D586" si="14">E118</f>
        <v/>
      </c>
      <c r="E149" s="138"/>
      <c r="F149" s="54">
        <f t="shared" si="2"/>
        <v>0</v>
      </c>
      <c r="G149" s="54">
        <f t="shared" si="3"/>
        <v>-10</v>
      </c>
      <c r="H149" s="54"/>
      <c r="I149" s="54"/>
    </row>
    <row r="150" ht="14.25" customHeight="1">
      <c r="B150" s="54"/>
      <c r="C150" s="141" t="str">
        <f t="shared" si="1"/>
        <v>12-1899</v>
      </c>
      <c r="D150" s="54" t="str">
        <f t="shared" si="14"/>
        <v/>
      </c>
      <c r="E150" s="54"/>
      <c r="F150" s="54">
        <f t="shared" si="2"/>
        <v>0</v>
      </c>
      <c r="G150" s="54">
        <f t="shared" si="3"/>
        <v>-10</v>
      </c>
      <c r="H150" s="54"/>
      <c r="I150" s="54"/>
    </row>
    <row r="151" ht="14.25" customHeight="1">
      <c r="B151" s="54"/>
      <c r="C151" s="141" t="str">
        <f t="shared" si="1"/>
        <v>12-1899</v>
      </c>
      <c r="D151" s="54" t="str">
        <f t="shared" si="14"/>
        <v/>
      </c>
      <c r="E151" s="54"/>
      <c r="F151" s="54">
        <f t="shared" si="2"/>
        <v>0</v>
      </c>
      <c r="G151" s="54">
        <f t="shared" si="3"/>
        <v>-10</v>
      </c>
      <c r="H151" s="54"/>
      <c r="I151" s="54"/>
    </row>
    <row r="152" ht="14.25" customHeight="1">
      <c r="B152" s="54"/>
      <c r="C152" s="141" t="str">
        <f t="shared" si="1"/>
        <v>12-1899</v>
      </c>
      <c r="D152" s="54" t="str">
        <f t="shared" si="14"/>
        <v/>
      </c>
      <c r="E152" s="54"/>
      <c r="F152" s="54">
        <f t="shared" si="2"/>
        <v>0</v>
      </c>
      <c r="G152" s="54">
        <f t="shared" si="3"/>
        <v>-10</v>
      </c>
      <c r="H152" s="54"/>
      <c r="I152" s="54"/>
    </row>
    <row r="153" ht="14.25" customHeight="1">
      <c r="B153" s="54"/>
      <c r="C153" s="141" t="str">
        <f t="shared" si="1"/>
        <v>12-1899</v>
      </c>
      <c r="D153" s="54" t="str">
        <f t="shared" si="14"/>
        <v/>
      </c>
      <c r="E153" s="54"/>
      <c r="F153" s="54">
        <f t="shared" si="2"/>
        <v>0</v>
      </c>
      <c r="G153" s="54">
        <f t="shared" si="3"/>
        <v>-10</v>
      </c>
      <c r="H153" s="54"/>
      <c r="I153" s="54"/>
    </row>
    <row r="154" ht="14.25" customHeight="1">
      <c r="B154" s="54"/>
      <c r="C154" s="141" t="str">
        <f t="shared" si="1"/>
        <v>12-1899</v>
      </c>
      <c r="D154" s="54" t="str">
        <f t="shared" si="14"/>
        <v/>
      </c>
      <c r="E154" s="54"/>
      <c r="F154" s="54">
        <f t="shared" si="2"/>
        <v>0</v>
      </c>
      <c r="G154" s="54">
        <f t="shared" si="3"/>
        <v>-10</v>
      </c>
      <c r="H154" s="54"/>
      <c r="I154" s="54"/>
    </row>
    <row r="155" ht="14.25" customHeight="1">
      <c r="B155" s="54"/>
      <c r="C155" s="141" t="str">
        <f t="shared" si="1"/>
        <v>12-1899</v>
      </c>
      <c r="D155" s="54" t="str">
        <f t="shared" si="14"/>
        <v/>
      </c>
      <c r="E155" s="54"/>
      <c r="F155" s="54">
        <f t="shared" si="2"/>
        <v>0</v>
      </c>
      <c r="G155" s="54">
        <f t="shared" si="3"/>
        <v>-10</v>
      </c>
      <c r="H155" s="54"/>
      <c r="I155" s="54"/>
    </row>
    <row r="156" ht="14.25" customHeight="1">
      <c r="B156" s="54"/>
      <c r="C156" s="141" t="str">
        <f t="shared" si="1"/>
        <v>12-1899</v>
      </c>
      <c r="D156" s="54" t="str">
        <f t="shared" si="14"/>
        <v/>
      </c>
      <c r="E156" s="138"/>
      <c r="F156" s="54">
        <f t="shared" si="2"/>
        <v>0</v>
      </c>
      <c r="G156" s="54">
        <f t="shared" si="3"/>
        <v>-10</v>
      </c>
      <c r="H156" s="54"/>
      <c r="I156" s="54"/>
    </row>
    <row r="157" ht="14.25" customHeight="1">
      <c r="B157" s="54"/>
      <c r="C157" s="141" t="str">
        <f t="shared" si="1"/>
        <v>12-1899</v>
      </c>
      <c r="D157" s="54" t="str">
        <f t="shared" si="14"/>
        <v/>
      </c>
      <c r="E157" s="138"/>
      <c r="F157" s="54">
        <f t="shared" si="2"/>
        <v>0</v>
      </c>
      <c r="G157" s="54">
        <f t="shared" si="3"/>
        <v>-10</v>
      </c>
      <c r="H157" s="54"/>
      <c r="I157" s="54"/>
    </row>
    <row r="158" ht="14.25" customHeight="1">
      <c r="B158" s="54"/>
      <c r="C158" s="141" t="str">
        <f t="shared" si="1"/>
        <v>12-1899</v>
      </c>
      <c r="D158" s="54" t="str">
        <f t="shared" si="14"/>
        <v/>
      </c>
      <c r="E158" s="138"/>
      <c r="F158" s="54">
        <f t="shared" si="2"/>
        <v>0</v>
      </c>
      <c r="G158" s="54">
        <f t="shared" si="3"/>
        <v>-10</v>
      </c>
      <c r="H158" s="54"/>
      <c r="I158" s="54"/>
    </row>
    <row r="159" ht="14.25" customHeight="1">
      <c r="B159" s="54"/>
      <c r="C159" s="141" t="str">
        <f t="shared" si="1"/>
        <v>12-1899</v>
      </c>
      <c r="D159" s="54" t="str">
        <f t="shared" si="14"/>
        <v/>
      </c>
      <c r="E159" s="138"/>
      <c r="F159" s="54">
        <f t="shared" si="2"/>
        <v>0</v>
      </c>
      <c r="G159" s="54">
        <f t="shared" si="3"/>
        <v>-10</v>
      </c>
      <c r="H159" s="54"/>
      <c r="I159" s="54"/>
    </row>
    <row r="160" ht="14.25" customHeight="1">
      <c r="B160" s="54"/>
      <c r="C160" s="141" t="str">
        <f t="shared" si="1"/>
        <v>12-1899</v>
      </c>
      <c r="D160" s="54" t="str">
        <f t="shared" si="14"/>
        <v/>
      </c>
      <c r="E160" s="138"/>
      <c r="F160" s="54">
        <f t="shared" si="2"/>
        <v>0</v>
      </c>
      <c r="G160" s="54">
        <f t="shared" si="3"/>
        <v>-10</v>
      </c>
      <c r="H160" s="54"/>
      <c r="I160" s="54"/>
    </row>
    <row r="161" ht="14.25" customHeight="1">
      <c r="B161" s="54"/>
      <c r="C161" s="141" t="str">
        <f t="shared" si="1"/>
        <v>12-1899</v>
      </c>
      <c r="D161" s="54" t="str">
        <f t="shared" si="14"/>
        <v/>
      </c>
      <c r="E161" s="138"/>
      <c r="F161" s="54">
        <f t="shared" si="2"/>
        <v>0</v>
      </c>
      <c r="G161" s="54">
        <f t="shared" si="3"/>
        <v>-10</v>
      </c>
      <c r="H161" s="54"/>
      <c r="I161" s="54"/>
    </row>
    <row r="162" ht="14.25" customHeight="1">
      <c r="B162" s="54"/>
      <c r="C162" s="141" t="str">
        <f t="shared" si="1"/>
        <v>12-1899</v>
      </c>
      <c r="D162" s="54" t="str">
        <f t="shared" si="14"/>
        <v/>
      </c>
      <c r="E162" s="138"/>
      <c r="F162" s="54">
        <f t="shared" si="2"/>
        <v>0</v>
      </c>
      <c r="G162" s="54">
        <f t="shared" si="3"/>
        <v>-10</v>
      </c>
      <c r="H162" s="54"/>
      <c r="I162" s="54"/>
    </row>
    <row r="163" ht="14.25" customHeight="1">
      <c r="B163" s="54"/>
      <c r="C163" s="141" t="str">
        <f t="shared" si="1"/>
        <v>12-1899</v>
      </c>
      <c r="D163" s="54" t="str">
        <f t="shared" si="14"/>
        <v/>
      </c>
      <c r="E163" s="138"/>
      <c r="F163" s="54">
        <f t="shared" si="2"/>
        <v>0</v>
      </c>
      <c r="G163" s="54">
        <f t="shared" si="3"/>
        <v>-10</v>
      </c>
      <c r="H163" s="54"/>
      <c r="I163" s="54"/>
    </row>
    <row r="164" ht="14.25" customHeight="1">
      <c r="B164" s="54"/>
      <c r="C164" s="141" t="str">
        <f t="shared" si="1"/>
        <v>12-1899</v>
      </c>
      <c r="D164" s="54" t="str">
        <f t="shared" si="14"/>
        <v/>
      </c>
      <c r="E164" s="138"/>
      <c r="F164" s="54">
        <f t="shared" si="2"/>
        <v>0</v>
      </c>
      <c r="G164" s="54">
        <f t="shared" si="3"/>
        <v>-10</v>
      </c>
      <c r="H164" s="54"/>
      <c r="I164" s="54"/>
    </row>
    <row r="165" ht="14.25" customHeight="1">
      <c r="B165" s="54"/>
      <c r="C165" s="141" t="str">
        <f t="shared" si="1"/>
        <v>12-1899</v>
      </c>
      <c r="D165" s="54" t="str">
        <f t="shared" si="14"/>
        <v/>
      </c>
      <c r="E165" s="138"/>
      <c r="F165" s="54">
        <f t="shared" si="2"/>
        <v>0</v>
      </c>
      <c r="G165" s="54">
        <f t="shared" si="3"/>
        <v>-10</v>
      </c>
      <c r="H165" s="54"/>
      <c r="I165" s="54"/>
    </row>
    <row r="166" ht="14.25" customHeight="1">
      <c r="B166" s="54"/>
      <c r="C166" s="141" t="str">
        <f t="shared" si="1"/>
        <v>12-1899</v>
      </c>
      <c r="D166" s="54" t="str">
        <f t="shared" si="14"/>
        <v/>
      </c>
      <c r="E166" s="54"/>
      <c r="F166" s="54">
        <f t="shared" si="2"/>
        <v>0</v>
      </c>
      <c r="G166" s="54">
        <f t="shared" si="3"/>
        <v>-10</v>
      </c>
      <c r="H166" s="54"/>
      <c r="I166" s="54"/>
    </row>
    <row r="167" ht="14.25" customHeight="1">
      <c r="B167" s="54"/>
      <c r="C167" s="141" t="str">
        <f t="shared" si="1"/>
        <v>12-1899</v>
      </c>
      <c r="D167" s="54" t="str">
        <f t="shared" si="14"/>
        <v/>
      </c>
      <c r="E167" s="138"/>
      <c r="F167" s="54">
        <f t="shared" si="2"/>
        <v>0</v>
      </c>
      <c r="G167" s="54">
        <f t="shared" si="3"/>
        <v>-10</v>
      </c>
      <c r="H167" s="54"/>
      <c r="I167" s="54"/>
    </row>
    <row r="168" ht="14.25" customHeight="1">
      <c r="B168" s="54"/>
      <c r="C168" s="141" t="str">
        <f t="shared" si="1"/>
        <v>12-1899</v>
      </c>
      <c r="D168" s="54" t="str">
        <f t="shared" si="14"/>
        <v/>
      </c>
      <c r="E168" s="138"/>
      <c r="F168" s="54">
        <f t="shared" si="2"/>
        <v>0</v>
      </c>
      <c r="G168" s="54">
        <f t="shared" si="3"/>
        <v>-10</v>
      </c>
      <c r="H168" s="54"/>
      <c r="I168" s="54"/>
    </row>
    <row r="169" ht="14.25" customHeight="1">
      <c r="B169" s="54"/>
      <c r="C169" s="141" t="str">
        <f t="shared" si="1"/>
        <v>12-1899</v>
      </c>
      <c r="D169" s="54" t="str">
        <f t="shared" si="14"/>
        <v/>
      </c>
      <c r="E169" s="138"/>
      <c r="F169" s="54">
        <f t="shared" si="2"/>
        <v>0</v>
      </c>
      <c r="G169" s="54">
        <f t="shared" si="3"/>
        <v>-10</v>
      </c>
      <c r="H169" s="54"/>
      <c r="I169" s="54"/>
    </row>
    <row r="170" ht="14.25" customHeight="1">
      <c r="B170" s="54"/>
      <c r="C170" s="141" t="str">
        <f t="shared" si="1"/>
        <v>12-1899</v>
      </c>
      <c r="D170" s="54" t="str">
        <f t="shared" si="14"/>
        <v/>
      </c>
      <c r="E170" s="54"/>
      <c r="F170" s="54">
        <f t="shared" si="2"/>
        <v>0</v>
      </c>
      <c r="G170" s="54">
        <f t="shared" si="3"/>
        <v>-10</v>
      </c>
      <c r="H170" s="54"/>
      <c r="I170" s="54"/>
    </row>
    <row r="171" ht="14.25" customHeight="1">
      <c r="B171" s="54"/>
      <c r="C171" s="141" t="str">
        <f t="shared" si="1"/>
        <v>12-1899</v>
      </c>
      <c r="D171" s="54" t="str">
        <f t="shared" si="14"/>
        <v/>
      </c>
      <c r="E171" s="54"/>
      <c r="F171" s="54">
        <f t="shared" si="2"/>
        <v>0</v>
      </c>
      <c r="G171" s="54">
        <f t="shared" si="3"/>
        <v>-10</v>
      </c>
      <c r="H171" s="54"/>
      <c r="I171" s="54"/>
    </row>
    <row r="172" ht="14.25" customHeight="1">
      <c r="B172" s="54"/>
      <c r="C172" s="141" t="str">
        <f t="shared" si="1"/>
        <v>12-1899</v>
      </c>
      <c r="D172" s="54" t="str">
        <f t="shared" si="14"/>
        <v/>
      </c>
      <c r="E172" s="54"/>
      <c r="F172" s="54">
        <f t="shared" si="2"/>
        <v>0</v>
      </c>
      <c r="G172" s="54">
        <f t="shared" si="3"/>
        <v>-10</v>
      </c>
      <c r="H172" s="54"/>
      <c r="I172" s="54"/>
    </row>
    <row r="173" ht="14.25" customHeight="1">
      <c r="B173" s="54"/>
      <c r="C173" s="141" t="str">
        <f t="shared" si="1"/>
        <v>12-1899</v>
      </c>
      <c r="D173" s="54" t="str">
        <f t="shared" si="14"/>
        <v/>
      </c>
      <c r="E173" s="54"/>
      <c r="F173" s="54">
        <f t="shared" si="2"/>
        <v>0</v>
      </c>
      <c r="G173" s="54">
        <f t="shared" si="3"/>
        <v>-10</v>
      </c>
      <c r="H173" s="54"/>
      <c r="I173" s="54"/>
    </row>
    <row r="174" ht="14.25" customHeight="1">
      <c r="B174" s="54"/>
      <c r="C174" s="141" t="str">
        <f t="shared" si="1"/>
        <v>12-1899</v>
      </c>
      <c r="D174" s="54" t="str">
        <f t="shared" si="14"/>
        <v/>
      </c>
      <c r="E174" s="138"/>
      <c r="F174" s="54">
        <f t="shared" si="2"/>
        <v>0</v>
      </c>
      <c r="G174" s="54">
        <f t="shared" si="3"/>
        <v>-10</v>
      </c>
      <c r="H174" s="54"/>
      <c r="I174" s="54"/>
    </row>
    <row r="175" ht="14.25" customHeight="1">
      <c r="B175" s="54"/>
      <c r="C175" s="141" t="str">
        <f t="shared" si="1"/>
        <v>12-1899</v>
      </c>
      <c r="D175" s="54" t="str">
        <f t="shared" si="14"/>
        <v/>
      </c>
      <c r="E175" s="138"/>
      <c r="F175" s="54">
        <f t="shared" si="2"/>
        <v>0</v>
      </c>
      <c r="G175" s="54">
        <f t="shared" si="3"/>
        <v>-10</v>
      </c>
      <c r="H175" s="54"/>
      <c r="I175" s="54"/>
    </row>
    <row r="176" ht="14.25" customHeight="1">
      <c r="B176" s="54"/>
      <c r="C176" s="141" t="str">
        <f t="shared" si="1"/>
        <v>12-1899</v>
      </c>
      <c r="D176" s="54" t="str">
        <f t="shared" si="14"/>
        <v/>
      </c>
      <c r="E176" s="138"/>
      <c r="F176" s="54">
        <f t="shared" si="2"/>
        <v>0</v>
      </c>
      <c r="G176" s="54">
        <f t="shared" si="3"/>
        <v>-10</v>
      </c>
      <c r="H176" s="54"/>
      <c r="I176" s="54"/>
    </row>
    <row r="177" ht="14.25" customHeight="1">
      <c r="B177" s="54"/>
      <c r="C177" s="141" t="str">
        <f t="shared" si="1"/>
        <v>12-1899</v>
      </c>
      <c r="D177" s="54" t="str">
        <f t="shared" si="14"/>
        <v/>
      </c>
      <c r="E177" s="138"/>
      <c r="F177" s="54">
        <f t="shared" si="2"/>
        <v>0</v>
      </c>
      <c r="G177" s="54">
        <f t="shared" si="3"/>
        <v>-10</v>
      </c>
      <c r="H177" s="54"/>
      <c r="I177" s="54"/>
    </row>
    <row r="178" ht="14.25" customHeight="1">
      <c r="B178" s="54"/>
      <c r="C178" s="141" t="str">
        <f t="shared" si="1"/>
        <v>12-1899</v>
      </c>
      <c r="D178" s="54" t="str">
        <f t="shared" si="14"/>
        <v/>
      </c>
      <c r="E178" s="138"/>
      <c r="F178" s="54">
        <f t="shared" si="2"/>
        <v>0</v>
      </c>
      <c r="G178" s="54">
        <f t="shared" si="3"/>
        <v>-10</v>
      </c>
      <c r="H178" s="54"/>
      <c r="I178" s="54"/>
    </row>
    <row r="179" ht="14.25" customHeight="1">
      <c r="B179" s="54"/>
      <c r="C179" s="141" t="str">
        <f t="shared" si="1"/>
        <v>12-1899</v>
      </c>
      <c r="D179" s="54" t="str">
        <f t="shared" si="14"/>
        <v/>
      </c>
      <c r="E179" s="54"/>
      <c r="F179" s="54">
        <f t="shared" si="2"/>
        <v>0</v>
      </c>
      <c r="G179" s="54">
        <f t="shared" si="3"/>
        <v>-10</v>
      </c>
      <c r="H179" s="54"/>
      <c r="I179" s="54"/>
    </row>
    <row r="180" ht="14.25" customHeight="1">
      <c r="B180" s="54"/>
      <c r="C180" s="141" t="str">
        <f t="shared" si="1"/>
        <v>12-1899</v>
      </c>
      <c r="D180" s="54" t="str">
        <f t="shared" si="14"/>
        <v/>
      </c>
      <c r="E180" s="54"/>
      <c r="F180" s="54">
        <f t="shared" si="2"/>
        <v>0</v>
      </c>
      <c r="G180" s="54">
        <f t="shared" si="3"/>
        <v>-10</v>
      </c>
      <c r="H180" s="54"/>
      <c r="I180" s="54"/>
    </row>
    <row r="181" ht="14.25" customHeight="1">
      <c r="B181" s="54"/>
      <c r="C181" s="141" t="str">
        <f t="shared" si="1"/>
        <v>12-1899</v>
      </c>
      <c r="D181" s="54" t="str">
        <f t="shared" si="14"/>
        <v/>
      </c>
      <c r="E181" s="138"/>
      <c r="F181" s="54">
        <f t="shared" si="2"/>
        <v>0</v>
      </c>
      <c r="G181" s="54">
        <f t="shared" si="3"/>
        <v>-10</v>
      </c>
      <c r="H181" s="138"/>
      <c r="I181" s="54"/>
    </row>
    <row r="182" ht="14.25" customHeight="1">
      <c r="B182" s="54"/>
      <c r="C182" s="141" t="str">
        <f t="shared" si="1"/>
        <v>12-1899</v>
      </c>
      <c r="D182" s="54" t="str">
        <f t="shared" si="14"/>
        <v/>
      </c>
      <c r="E182" s="138"/>
      <c r="F182" s="54">
        <f t="shared" si="2"/>
        <v>0</v>
      </c>
      <c r="G182" s="54">
        <f t="shared" si="3"/>
        <v>-10</v>
      </c>
      <c r="H182" s="54"/>
      <c r="I182" s="54"/>
    </row>
    <row r="183" ht="14.25" customHeight="1">
      <c r="B183" s="54"/>
      <c r="C183" s="141" t="str">
        <f t="shared" si="1"/>
        <v>12-1899</v>
      </c>
      <c r="D183" s="54" t="str">
        <f t="shared" si="14"/>
        <v/>
      </c>
      <c r="E183" s="138"/>
      <c r="F183" s="54">
        <f t="shared" si="2"/>
        <v>0</v>
      </c>
      <c r="G183" s="54">
        <f t="shared" si="3"/>
        <v>-10</v>
      </c>
      <c r="H183" s="54"/>
      <c r="I183" s="54"/>
    </row>
    <row r="184" ht="14.25" customHeight="1">
      <c r="B184" s="54"/>
      <c r="C184" s="141" t="str">
        <f t="shared" si="1"/>
        <v>12-1899</v>
      </c>
      <c r="D184" s="54" t="str">
        <f t="shared" si="14"/>
        <v/>
      </c>
      <c r="E184" s="138"/>
      <c r="F184" s="54">
        <f t="shared" si="2"/>
        <v>0</v>
      </c>
      <c r="G184" s="54">
        <f t="shared" si="3"/>
        <v>-10</v>
      </c>
      <c r="H184" s="54"/>
      <c r="I184" s="54"/>
    </row>
    <row r="185" ht="14.25" customHeight="1">
      <c r="B185" s="54"/>
      <c r="C185" s="141" t="str">
        <f t="shared" si="1"/>
        <v>12-1899</v>
      </c>
      <c r="D185" s="54" t="str">
        <f t="shared" si="14"/>
        <v/>
      </c>
      <c r="E185" s="138"/>
      <c r="F185" s="54">
        <f t="shared" si="2"/>
        <v>0</v>
      </c>
      <c r="G185" s="54">
        <f t="shared" si="3"/>
        <v>-10</v>
      </c>
      <c r="H185" s="54"/>
      <c r="I185" s="54"/>
    </row>
    <row r="186" ht="14.25" customHeight="1">
      <c r="B186" s="54"/>
      <c r="C186" s="141" t="str">
        <f t="shared" si="1"/>
        <v>12-1899</v>
      </c>
      <c r="D186" s="54" t="str">
        <f t="shared" si="14"/>
        <v/>
      </c>
      <c r="E186" s="138"/>
      <c r="F186" s="54">
        <f t="shared" si="2"/>
        <v>0</v>
      </c>
      <c r="G186" s="54">
        <f t="shared" si="3"/>
        <v>-10</v>
      </c>
      <c r="H186" s="54"/>
      <c r="I186" s="54"/>
    </row>
    <row r="187" ht="14.25" customHeight="1">
      <c r="B187" s="54"/>
      <c r="C187" s="141" t="str">
        <f t="shared" si="1"/>
        <v>12-1899</v>
      </c>
      <c r="D187" s="54" t="str">
        <f t="shared" si="14"/>
        <v/>
      </c>
      <c r="E187" s="54"/>
      <c r="F187" s="54">
        <f t="shared" si="2"/>
        <v>0</v>
      </c>
      <c r="G187" s="54">
        <f t="shared" si="3"/>
        <v>-10</v>
      </c>
      <c r="H187" s="54"/>
      <c r="I187" s="54"/>
    </row>
    <row r="188" ht="14.25" customHeight="1">
      <c r="B188" s="54"/>
      <c r="C188" s="141" t="str">
        <f t="shared" si="1"/>
        <v>12-1899</v>
      </c>
      <c r="D188" s="54" t="str">
        <f t="shared" si="14"/>
        <v/>
      </c>
      <c r="E188" s="138"/>
      <c r="F188" s="54">
        <f t="shared" si="2"/>
        <v>0</v>
      </c>
      <c r="G188" s="54">
        <f t="shared" si="3"/>
        <v>-10</v>
      </c>
      <c r="H188" s="54"/>
      <c r="I188" s="54"/>
    </row>
    <row r="189" ht="14.25" customHeight="1">
      <c r="B189" s="54"/>
      <c r="C189" s="141" t="str">
        <f t="shared" si="1"/>
        <v>12-1899</v>
      </c>
      <c r="D189" s="54" t="str">
        <f t="shared" si="14"/>
        <v/>
      </c>
      <c r="E189" s="138"/>
      <c r="F189" s="54">
        <f t="shared" si="2"/>
        <v>0</v>
      </c>
      <c r="G189" s="54">
        <f t="shared" si="3"/>
        <v>-10</v>
      </c>
      <c r="H189" s="54"/>
      <c r="I189" s="54"/>
    </row>
    <row r="190" ht="14.25" customHeight="1">
      <c r="B190" s="54"/>
      <c r="C190" s="141" t="str">
        <f t="shared" si="1"/>
        <v>12-1899</v>
      </c>
      <c r="D190" s="54" t="str">
        <f t="shared" si="14"/>
        <v/>
      </c>
      <c r="E190" s="138"/>
      <c r="F190" s="54">
        <f t="shared" si="2"/>
        <v>0</v>
      </c>
      <c r="G190" s="54">
        <f t="shared" si="3"/>
        <v>-10</v>
      </c>
      <c r="H190" s="54"/>
      <c r="I190" s="54"/>
    </row>
    <row r="191" ht="14.25" customHeight="1">
      <c r="B191" s="54"/>
      <c r="C191" s="141" t="str">
        <f t="shared" si="1"/>
        <v>12-1899</v>
      </c>
      <c r="D191" s="54" t="str">
        <f t="shared" si="14"/>
        <v/>
      </c>
      <c r="E191" s="138"/>
      <c r="F191" s="54">
        <f t="shared" si="2"/>
        <v>0</v>
      </c>
      <c r="G191" s="54">
        <f t="shared" si="3"/>
        <v>-10</v>
      </c>
      <c r="H191" s="54"/>
      <c r="I191" s="54"/>
    </row>
    <row r="192" ht="14.25" customHeight="1">
      <c r="B192" s="54"/>
      <c r="C192" s="141" t="str">
        <f t="shared" si="1"/>
        <v>12-1899</v>
      </c>
      <c r="D192" s="54" t="str">
        <f t="shared" si="14"/>
        <v/>
      </c>
      <c r="E192" s="138"/>
      <c r="F192" s="54">
        <f t="shared" si="2"/>
        <v>0</v>
      </c>
      <c r="G192" s="54">
        <f t="shared" si="3"/>
        <v>-10</v>
      </c>
      <c r="H192" s="54"/>
      <c r="I192" s="54"/>
    </row>
    <row r="193" ht="14.25" customHeight="1">
      <c r="B193" s="54"/>
      <c r="C193" s="141" t="str">
        <f t="shared" si="1"/>
        <v>12-1899</v>
      </c>
      <c r="D193" s="54" t="str">
        <f t="shared" si="14"/>
        <v/>
      </c>
      <c r="E193" s="54"/>
      <c r="F193" s="54">
        <f t="shared" si="2"/>
        <v>0</v>
      </c>
      <c r="G193" s="54">
        <f t="shared" si="3"/>
        <v>-10</v>
      </c>
      <c r="H193" s="54"/>
      <c r="I193" s="54"/>
    </row>
    <row r="194" ht="14.25" customHeight="1">
      <c r="B194" s="54"/>
      <c r="C194" s="141" t="str">
        <f t="shared" si="1"/>
        <v>12-1899</v>
      </c>
      <c r="D194" s="54" t="str">
        <f t="shared" si="14"/>
        <v/>
      </c>
      <c r="E194" s="54"/>
      <c r="F194" s="54">
        <f t="shared" si="2"/>
        <v>0</v>
      </c>
      <c r="G194" s="54">
        <f t="shared" si="3"/>
        <v>-10</v>
      </c>
      <c r="H194" s="54"/>
      <c r="I194" s="54"/>
    </row>
    <row r="195" ht="14.25" customHeight="1">
      <c r="B195" s="54"/>
      <c r="C195" s="141" t="str">
        <f t="shared" si="1"/>
        <v>12-1899</v>
      </c>
      <c r="D195" s="54" t="str">
        <f t="shared" si="14"/>
        <v/>
      </c>
      <c r="E195" s="138"/>
      <c r="F195" s="54">
        <f t="shared" si="2"/>
        <v>0</v>
      </c>
      <c r="G195" s="54">
        <f t="shared" si="3"/>
        <v>-10</v>
      </c>
      <c r="H195" s="54"/>
      <c r="I195" s="54"/>
    </row>
    <row r="196" ht="14.25" customHeight="1">
      <c r="B196" s="54"/>
      <c r="C196" s="141" t="str">
        <f t="shared" si="1"/>
        <v>12-1899</v>
      </c>
      <c r="D196" s="54" t="str">
        <f t="shared" si="14"/>
        <v/>
      </c>
      <c r="E196" s="138"/>
      <c r="F196" s="54">
        <f t="shared" si="2"/>
        <v>0</v>
      </c>
      <c r="G196" s="54">
        <f t="shared" si="3"/>
        <v>-10</v>
      </c>
      <c r="H196" s="54"/>
      <c r="I196" s="54"/>
    </row>
    <row r="197" ht="14.25" customHeight="1">
      <c r="B197" s="54"/>
      <c r="C197" s="141" t="str">
        <f t="shared" si="1"/>
        <v>12-1899</v>
      </c>
      <c r="D197" s="54" t="str">
        <f t="shared" si="14"/>
        <v/>
      </c>
      <c r="E197" s="138"/>
      <c r="F197" s="54">
        <f t="shared" si="2"/>
        <v>0</v>
      </c>
      <c r="G197" s="54">
        <f t="shared" si="3"/>
        <v>-10</v>
      </c>
      <c r="H197" s="54"/>
      <c r="I197" s="54"/>
    </row>
    <row r="198" ht="14.25" customHeight="1">
      <c r="B198" s="54"/>
      <c r="C198" s="141" t="str">
        <f t="shared" si="1"/>
        <v>12-1899</v>
      </c>
      <c r="D198" s="54" t="str">
        <f t="shared" si="14"/>
        <v/>
      </c>
      <c r="E198" s="54"/>
      <c r="F198" s="54">
        <f t="shared" si="2"/>
        <v>0</v>
      </c>
      <c r="G198" s="54">
        <f t="shared" si="3"/>
        <v>-10</v>
      </c>
      <c r="H198" s="54"/>
      <c r="I198" s="54"/>
    </row>
    <row r="199" ht="14.25" customHeight="1">
      <c r="B199" s="54"/>
      <c r="C199" s="141" t="str">
        <f t="shared" si="1"/>
        <v>12-1899</v>
      </c>
      <c r="D199" s="54" t="str">
        <f t="shared" si="14"/>
        <v/>
      </c>
      <c r="E199" s="138"/>
      <c r="F199" s="54">
        <f t="shared" si="2"/>
        <v>0</v>
      </c>
      <c r="G199" s="54">
        <f t="shared" si="3"/>
        <v>-10</v>
      </c>
      <c r="H199" s="54"/>
      <c r="I199" s="54"/>
    </row>
    <row r="200" ht="14.25" customHeight="1">
      <c r="B200" s="54"/>
      <c r="C200" s="141" t="str">
        <f t="shared" si="1"/>
        <v>12-1899</v>
      </c>
      <c r="D200" s="54" t="str">
        <f t="shared" si="14"/>
        <v/>
      </c>
      <c r="E200" s="54"/>
      <c r="F200" s="54">
        <f t="shared" si="2"/>
        <v>0</v>
      </c>
      <c r="G200" s="54">
        <f t="shared" si="3"/>
        <v>-10</v>
      </c>
      <c r="H200" s="54"/>
      <c r="I200" s="54"/>
    </row>
    <row r="201" ht="14.25" customHeight="1">
      <c r="B201" s="54"/>
      <c r="C201" s="141" t="str">
        <f t="shared" si="1"/>
        <v>12-1899</v>
      </c>
      <c r="D201" s="54" t="str">
        <f t="shared" si="14"/>
        <v/>
      </c>
      <c r="E201" s="54"/>
      <c r="F201" s="54">
        <f t="shared" si="2"/>
        <v>0</v>
      </c>
      <c r="G201" s="54">
        <f t="shared" si="3"/>
        <v>-10</v>
      </c>
      <c r="H201" s="54"/>
      <c r="I201" s="54"/>
    </row>
    <row r="202" ht="14.25" customHeight="1">
      <c r="B202" s="54"/>
      <c r="C202" s="141" t="str">
        <f t="shared" si="1"/>
        <v>12-1899</v>
      </c>
      <c r="D202" s="54" t="str">
        <f t="shared" si="14"/>
        <v/>
      </c>
      <c r="E202" s="138"/>
      <c r="F202" s="54">
        <f t="shared" si="2"/>
        <v>0</v>
      </c>
      <c r="G202" s="54">
        <f t="shared" si="3"/>
        <v>-10</v>
      </c>
      <c r="H202" s="54"/>
      <c r="I202" s="54"/>
    </row>
    <row r="203" ht="14.25" customHeight="1">
      <c r="B203" s="54"/>
      <c r="C203" s="141" t="str">
        <f t="shared" si="1"/>
        <v>12-1899</v>
      </c>
      <c r="D203" s="54" t="str">
        <f t="shared" si="14"/>
        <v/>
      </c>
      <c r="E203" s="138"/>
      <c r="F203" s="54">
        <f t="shared" si="2"/>
        <v>0</v>
      </c>
      <c r="G203" s="54">
        <f t="shared" si="3"/>
        <v>-10</v>
      </c>
      <c r="H203" s="54"/>
      <c r="I203" s="54"/>
    </row>
    <row r="204" ht="14.25" customHeight="1">
      <c r="B204" s="54"/>
      <c r="C204" s="141" t="str">
        <f t="shared" si="1"/>
        <v>12-1899</v>
      </c>
      <c r="D204" s="54" t="str">
        <f t="shared" si="14"/>
        <v/>
      </c>
      <c r="E204" s="138"/>
      <c r="F204" s="54">
        <f t="shared" si="2"/>
        <v>0</v>
      </c>
      <c r="G204" s="54">
        <f t="shared" si="3"/>
        <v>-10</v>
      </c>
      <c r="H204" s="54"/>
      <c r="I204" s="54"/>
    </row>
    <row r="205" ht="14.25" customHeight="1">
      <c r="B205" s="54"/>
      <c r="C205" s="141" t="str">
        <f t="shared" si="1"/>
        <v>12-1899</v>
      </c>
      <c r="D205" s="54" t="str">
        <f t="shared" si="14"/>
        <v/>
      </c>
      <c r="E205" s="54"/>
      <c r="F205" s="54">
        <f t="shared" si="2"/>
        <v>0</v>
      </c>
      <c r="G205" s="54">
        <f t="shared" si="3"/>
        <v>-10</v>
      </c>
      <c r="H205" s="54"/>
      <c r="I205" s="54"/>
    </row>
    <row r="206" ht="14.25" customHeight="1">
      <c r="B206" s="54"/>
      <c r="C206" s="141" t="str">
        <f t="shared" si="1"/>
        <v>12-1899</v>
      </c>
      <c r="D206" s="54" t="str">
        <f t="shared" si="14"/>
        <v/>
      </c>
      <c r="E206" s="138"/>
      <c r="F206" s="54">
        <f t="shared" si="2"/>
        <v>0</v>
      </c>
      <c r="G206" s="54">
        <f t="shared" si="3"/>
        <v>-10</v>
      </c>
      <c r="H206" s="54"/>
      <c r="I206" s="54"/>
    </row>
    <row r="207" ht="14.25" customHeight="1">
      <c r="B207" s="54"/>
      <c r="C207" s="141" t="str">
        <f t="shared" si="1"/>
        <v>12-1899</v>
      </c>
      <c r="D207" s="54" t="str">
        <f t="shared" si="14"/>
        <v/>
      </c>
      <c r="E207" s="54"/>
      <c r="F207" s="54">
        <f t="shared" si="2"/>
        <v>0</v>
      </c>
      <c r="G207" s="54">
        <f t="shared" si="3"/>
        <v>-10</v>
      </c>
      <c r="H207" s="54"/>
      <c r="I207" s="54"/>
    </row>
    <row r="208" ht="14.25" customHeight="1">
      <c r="B208" s="54"/>
      <c r="C208" s="141" t="str">
        <f t="shared" si="1"/>
        <v>12-1899</v>
      </c>
      <c r="D208" s="54" t="str">
        <f t="shared" si="14"/>
        <v/>
      </c>
      <c r="E208" s="54"/>
      <c r="F208" s="54">
        <f t="shared" si="2"/>
        <v>0</v>
      </c>
      <c r="G208" s="54">
        <f t="shared" si="3"/>
        <v>-10</v>
      </c>
      <c r="H208" s="54"/>
      <c r="I208" s="54"/>
    </row>
    <row r="209" ht="14.25" customHeight="1">
      <c r="B209" s="54"/>
      <c r="C209" s="141" t="str">
        <f t="shared" si="1"/>
        <v>12-1899</v>
      </c>
      <c r="D209" s="54" t="str">
        <f t="shared" si="14"/>
        <v/>
      </c>
      <c r="E209" s="138"/>
      <c r="F209" s="54">
        <f t="shared" si="2"/>
        <v>0</v>
      </c>
      <c r="G209" s="54">
        <f t="shared" si="3"/>
        <v>-10</v>
      </c>
      <c r="H209" s="54"/>
      <c r="I209" s="54"/>
    </row>
    <row r="210" ht="14.25" customHeight="1">
      <c r="B210" s="54"/>
      <c r="C210" s="141" t="str">
        <f t="shared" si="1"/>
        <v>12-1899</v>
      </c>
      <c r="D210" s="54" t="str">
        <f t="shared" si="14"/>
        <v/>
      </c>
      <c r="E210" s="138"/>
      <c r="F210" s="54">
        <f t="shared" si="2"/>
        <v>0</v>
      </c>
      <c r="G210" s="54">
        <f t="shared" si="3"/>
        <v>-10</v>
      </c>
      <c r="H210" s="54"/>
      <c r="I210" s="54"/>
    </row>
    <row r="211" ht="14.25" customHeight="1">
      <c r="B211" s="54"/>
      <c r="C211" s="141" t="str">
        <f t="shared" si="1"/>
        <v>12-1899</v>
      </c>
      <c r="D211" s="54" t="str">
        <f t="shared" si="14"/>
        <v/>
      </c>
      <c r="E211" s="138"/>
      <c r="F211" s="54">
        <f t="shared" si="2"/>
        <v>0</v>
      </c>
      <c r="G211" s="54">
        <f t="shared" si="3"/>
        <v>-10</v>
      </c>
      <c r="H211" s="54"/>
      <c r="I211" s="54"/>
    </row>
    <row r="212" ht="14.25" customHeight="1">
      <c r="B212" s="54"/>
      <c r="C212" s="141" t="str">
        <f t="shared" si="1"/>
        <v>12-1899</v>
      </c>
      <c r="D212" s="54" t="str">
        <f t="shared" si="14"/>
        <v/>
      </c>
      <c r="E212" s="138"/>
      <c r="F212" s="54">
        <f t="shared" si="2"/>
        <v>0</v>
      </c>
      <c r="G212" s="54">
        <f t="shared" si="3"/>
        <v>-10</v>
      </c>
      <c r="H212" s="54"/>
      <c r="I212" s="54"/>
    </row>
    <row r="213" ht="14.25" customHeight="1">
      <c r="B213" s="54"/>
      <c r="C213" s="141" t="str">
        <f t="shared" si="1"/>
        <v>12-1899</v>
      </c>
      <c r="D213" s="54" t="str">
        <f t="shared" si="14"/>
        <v/>
      </c>
      <c r="E213" s="138"/>
      <c r="F213" s="54">
        <f t="shared" si="2"/>
        <v>0</v>
      </c>
      <c r="G213" s="54">
        <f t="shared" si="3"/>
        <v>-10</v>
      </c>
      <c r="H213" s="54"/>
      <c r="I213" s="54"/>
    </row>
    <row r="214" ht="14.25" customHeight="1">
      <c r="B214" s="54"/>
      <c r="C214" s="141" t="str">
        <f t="shared" si="1"/>
        <v>12-1899</v>
      </c>
      <c r="D214" s="54" t="str">
        <f t="shared" si="14"/>
        <v/>
      </c>
      <c r="E214" s="138"/>
      <c r="F214" s="54">
        <f t="shared" si="2"/>
        <v>0</v>
      </c>
      <c r="G214" s="54">
        <f t="shared" si="3"/>
        <v>-10</v>
      </c>
      <c r="H214" s="54"/>
      <c r="I214" s="54"/>
    </row>
    <row r="215" ht="14.25" customHeight="1">
      <c r="B215" s="54"/>
      <c r="C215" s="141" t="str">
        <f t="shared" si="1"/>
        <v>12-1899</v>
      </c>
      <c r="D215" s="54" t="str">
        <f t="shared" si="14"/>
        <v/>
      </c>
      <c r="E215" s="138"/>
      <c r="F215" s="54">
        <f t="shared" si="2"/>
        <v>0</v>
      </c>
      <c r="G215" s="54">
        <f t="shared" si="3"/>
        <v>-10</v>
      </c>
      <c r="H215" s="54"/>
      <c r="I215" s="54"/>
    </row>
    <row r="216" ht="14.25" customHeight="1">
      <c r="B216" s="54"/>
      <c r="C216" s="141" t="str">
        <f t="shared" si="1"/>
        <v>12-1899</v>
      </c>
      <c r="D216" s="54" t="str">
        <f t="shared" si="14"/>
        <v/>
      </c>
      <c r="E216" s="138"/>
      <c r="F216" s="54">
        <f t="shared" si="2"/>
        <v>0</v>
      </c>
      <c r="G216" s="54">
        <f t="shared" si="3"/>
        <v>-10</v>
      </c>
      <c r="H216" s="54"/>
      <c r="I216" s="54"/>
    </row>
    <row r="217" ht="14.25" customHeight="1">
      <c r="B217" s="54"/>
      <c r="C217" s="141" t="str">
        <f t="shared" si="1"/>
        <v>12-1899</v>
      </c>
      <c r="D217" s="54" t="str">
        <f t="shared" si="14"/>
        <v/>
      </c>
      <c r="E217" s="138"/>
      <c r="F217" s="54">
        <f t="shared" si="2"/>
        <v>0</v>
      </c>
      <c r="G217" s="54">
        <f t="shared" si="3"/>
        <v>-10</v>
      </c>
      <c r="H217" s="54"/>
      <c r="I217" s="54"/>
    </row>
    <row r="218" ht="14.25" customHeight="1">
      <c r="B218" s="54"/>
      <c r="C218" s="141" t="str">
        <f t="shared" si="1"/>
        <v>12-1899</v>
      </c>
      <c r="D218" s="54" t="str">
        <f t="shared" si="14"/>
        <v/>
      </c>
      <c r="E218" s="54"/>
      <c r="F218" s="54">
        <f t="shared" si="2"/>
        <v>0</v>
      </c>
      <c r="G218" s="54">
        <f t="shared" si="3"/>
        <v>-10</v>
      </c>
      <c r="H218" s="54"/>
      <c r="I218" s="54"/>
    </row>
    <row r="219" ht="14.25" customHeight="1">
      <c r="B219" s="54"/>
      <c r="C219" s="141" t="str">
        <f t="shared" si="1"/>
        <v>12-1899</v>
      </c>
      <c r="D219" s="54" t="str">
        <f t="shared" si="14"/>
        <v/>
      </c>
      <c r="E219" s="138"/>
      <c r="F219" s="54">
        <f t="shared" si="2"/>
        <v>0</v>
      </c>
      <c r="G219" s="54">
        <f t="shared" si="3"/>
        <v>-10</v>
      </c>
      <c r="H219" s="54"/>
      <c r="I219" s="54"/>
    </row>
    <row r="220" ht="14.25" customHeight="1">
      <c r="B220" s="54"/>
      <c r="C220" s="141" t="str">
        <f t="shared" si="1"/>
        <v>12-1899</v>
      </c>
      <c r="D220" s="54" t="str">
        <f t="shared" si="14"/>
        <v/>
      </c>
      <c r="E220" s="138"/>
      <c r="F220" s="54">
        <f t="shared" si="2"/>
        <v>0</v>
      </c>
      <c r="G220" s="54">
        <f t="shared" si="3"/>
        <v>-10</v>
      </c>
      <c r="H220" s="54"/>
      <c r="I220" s="54"/>
    </row>
    <row r="221" ht="14.25" customHeight="1">
      <c r="B221" s="54"/>
      <c r="C221" s="141" t="str">
        <f t="shared" si="1"/>
        <v>12-1899</v>
      </c>
      <c r="D221" s="54" t="str">
        <f t="shared" si="14"/>
        <v/>
      </c>
      <c r="E221" s="138"/>
      <c r="F221" s="54">
        <f t="shared" si="2"/>
        <v>0</v>
      </c>
      <c r="G221" s="54">
        <f t="shared" si="3"/>
        <v>-10</v>
      </c>
      <c r="H221" s="54"/>
      <c r="I221" s="54"/>
    </row>
    <row r="222" ht="14.25" customHeight="1">
      <c r="B222" s="54"/>
      <c r="C222" s="141" t="str">
        <f t="shared" si="1"/>
        <v>12-1899</v>
      </c>
      <c r="D222" s="54" t="str">
        <f t="shared" si="14"/>
        <v/>
      </c>
      <c r="E222" s="54"/>
      <c r="F222" s="54">
        <f t="shared" si="2"/>
        <v>0</v>
      </c>
      <c r="G222" s="54">
        <f t="shared" si="3"/>
        <v>-10</v>
      </c>
      <c r="H222" s="54"/>
      <c r="I222" s="54"/>
    </row>
    <row r="223" ht="14.25" customHeight="1">
      <c r="B223" s="54"/>
      <c r="C223" s="141" t="str">
        <f t="shared" si="1"/>
        <v>12-1899</v>
      </c>
      <c r="D223" s="54" t="str">
        <f t="shared" si="14"/>
        <v/>
      </c>
      <c r="E223" s="138"/>
      <c r="F223" s="54">
        <f t="shared" si="2"/>
        <v>0</v>
      </c>
      <c r="G223" s="54">
        <f t="shared" si="3"/>
        <v>-10</v>
      </c>
      <c r="H223" s="54"/>
      <c r="I223" s="54"/>
    </row>
    <row r="224" ht="14.25" customHeight="1">
      <c r="B224" s="54"/>
      <c r="C224" s="141" t="str">
        <f t="shared" si="1"/>
        <v>12-1899</v>
      </c>
      <c r="D224" s="54" t="str">
        <f t="shared" si="14"/>
        <v/>
      </c>
      <c r="E224" s="138"/>
      <c r="F224" s="54">
        <f t="shared" si="2"/>
        <v>0</v>
      </c>
      <c r="G224" s="54">
        <f t="shared" si="3"/>
        <v>-10</v>
      </c>
      <c r="H224" s="54"/>
      <c r="I224" s="54"/>
    </row>
    <row r="225" ht="14.25" customHeight="1">
      <c r="B225" s="54"/>
      <c r="C225" s="141" t="str">
        <f t="shared" si="1"/>
        <v>12-1899</v>
      </c>
      <c r="D225" s="54" t="str">
        <f t="shared" si="14"/>
        <v/>
      </c>
      <c r="E225" s="138"/>
      <c r="F225" s="54">
        <f t="shared" si="2"/>
        <v>0</v>
      </c>
      <c r="G225" s="54">
        <f t="shared" si="3"/>
        <v>-10</v>
      </c>
      <c r="H225" s="54"/>
      <c r="I225" s="54"/>
    </row>
    <row r="226" ht="14.25" customHeight="1">
      <c r="B226" s="54"/>
      <c r="C226" s="141" t="str">
        <f t="shared" si="1"/>
        <v>12-1899</v>
      </c>
      <c r="D226" s="54" t="str">
        <f t="shared" si="14"/>
        <v/>
      </c>
      <c r="E226" s="138"/>
      <c r="F226" s="54">
        <f t="shared" si="2"/>
        <v>0</v>
      </c>
      <c r="G226" s="54">
        <f t="shared" si="3"/>
        <v>-10</v>
      </c>
      <c r="H226" s="54"/>
      <c r="I226" s="54"/>
    </row>
    <row r="227" ht="14.25" customHeight="1">
      <c r="B227" s="54"/>
      <c r="C227" s="141" t="str">
        <f t="shared" si="1"/>
        <v>12-1899</v>
      </c>
      <c r="D227" s="54" t="str">
        <f t="shared" si="14"/>
        <v/>
      </c>
      <c r="E227" s="138"/>
      <c r="F227" s="54">
        <f t="shared" si="2"/>
        <v>0</v>
      </c>
      <c r="G227" s="54">
        <f t="shared" si="3"/>
        <v>-10</v>
      </c>
      <c r="H227" s="54"/>
      <c r="I227" s="54"/>
    </row>
    <row r="228" ht="14.25" customHeight="1">
      <c r="B228" s="54"/>
      <c r="C228" s="141" t="str">
        <f t="shared" si="1"/>
        <v>12-1899</v>
      </c>
      <c r="D228" s="54" t="str">
        <f t="shared" si="14"/>
        <v/>
      </c>
      <c r="E228" s="54"/>
      <c r="F228" s="54">
        <f t="shared" si="2"/>
        <v>0</v>
      </c>
      <c r="G228" s="54">
        <f t="shared" si="3"/>
        <v>-10</v>
      </c>
      <c r="H228" s="54"/>
      <c r="I228" s="54"/>
    </row>
    <row r="229" ht="14.25" customHeight="1">
      <c r="B229" s="54"/>
      <c r="C229" s="141" t="str">
        <f t="shared" si="1"/>
        <v>12-1899</v>
      </c>
      <c r="D229" s="54" t="str">
        <f t="shared" si="14"/>
        <v/>
      </c>
      <c r="E229" s="54"/>
      <c r="F229" s="54">
        <f t="shared" si="2"/>
        <v>0</v>
      </c>
      <c r="G229" s="54">
        <f t="shared" si="3"/>
        <v>-10</v>
      </c>
      <c r="H229" s="54"/>
      <c r="I229" s="54"/>
    </row>
    <row r="230" ht="14.25" customHeight="1">
      <c r="B230" s="54"/>
      <c r="C230" s="141" t="str">
        <f t="shared" si="1"/>
        <v>12-1899</v>
      </c>
      <c r="D230" s="54" t="str">
        <f t="shared" si="14"/>
        <v/>
      </c>
      <c r="E230" s="138"/>
      <c r="F230" s="54">
        <f t="shared" si="2"/>
        <v>0</v>
      </c>
      <c r="G230" s="54">
        <f t="shared" si="3"/>
        <v>-10</v>
      </c>
      <c r="H230" s="54"/>
      <c r="I230" s="54"/>
    </row>
    <row r="231" ht="14.25" customHeight="1">
      <c r="B231" s="54"/>
      <c r="C231" s="141" t="str">
        <f t="shared" si="1"/>
        <v>12-1899</v>
      </c>
      <c r="D231" s="54" t="str">
        <f t="shared" si="14"/>
        <v/>
      </c>
      <c r="E231" s="54"/>
      <c r="F231" s="54">
        <f t="shared" si="2"/>
        <v>0</v>
      </c>
      <c r="G231" s="54">
        <f t="shared" si="3"/>
        <v>-10</v>
      </c>
      <c r="H231" s="54"/>
      <c r="I231" s="54"/>
    </row>
    <row r="232" ht="14.25" customHeight="1">
      <c r="B232" s="54"/>
      <c r="C232" s="141" t="str">
        <f t="shared" si="1"/>
        <v>12-1899</v>
      </c>
      <c r="D232" s="54" t="str">
        <f t="shared" si="14"/>
        <v/>
      </c>
      <c r="E232" s="138"/>
      <c r="F232" s="54">
        <f t="shared" si="2"/>
        <v>0</v>
      </c>
      <c r="G232" s="54">
        <f t="shared" si="3"/>
        <v>-10</v>
      </c>
      <c r="H232" s="54"/>
      <c r="I232" s="54"/>
    </row>
    <row r="233" ht="14.25" customHeight="1">
      <c r="B233" s="54"/>
      <c r="C233" s="141" t="str">
        <f t="shared" si="1"/>
        <v>12-1899</v>
      </c>
      <c r="D233" s="54" t="str">
        <f t="shared" si="14"/>
        <v/>
      </c>
      <c r="E233" s="138"/>
      <c r="F233" s="54">
        <f t="shared" si="2"/>
        <v>0</v>
      </c>
      <c r="G233" s="54">
        <f t="shared" si="3"/>
        <v>-10</v>
      </c>
      <c r="H233" s="54"/>
      <c r="I233" s="54"/>
    </row>
    <row r="234" ht="14.25" customHeight="1">
      <c r="B234" s="54"/>
      <c r="C234" s="141" t="str">
        <f t="shared" si="1"/>
        <v>12-1899</v>
      </c>
      <c r="D234" s="54" t="str">
        <f t="shared" si="14"/>
        <v/>
      </c>
      <c r="E234" s="138"/>
      <c r="F234" s="54">
        <f t="shared" si="2"/>
        <v>0</v>
      </c>
      <c r="G234" s="54">
        <f t="shared" si="3"/>
        <v>-10</v>
      </c>
      <c r="H234" s="54"/>
      <c r="I234" s="54"/>
    </row>
    <row r="235" ht="14.25" customHeight="1">
      <c r="B235" s="54"/>
      <c r="C235" s="141" t="str">
        <f t="shared" si="1"/>
        <v>12-1899</v>
      </c>
      <c r="D235" s="54" t="str">
        <f t="shared" si="14"/>
        <v/>
      </c>
      <c r="E235" s="138"/>
      <c r="F235" s="54">
        <f t="shared" si="2"/>
        <v>0</v>
      </c>
      <c r="G235" s="54">
        <f t="shared" si="3"/>
        <v>-10</v>
      </c>
      <c r="H235" s="54"/>
      <c r="I235" s="54"/>
    </row>
    <row r="236" ht="14.25" customHeight="1">
      <c r="B236" s="54"/>
      <c r="C236" s="141" t="str">
        <f t="shared" si="1"/>
        <v>12-1899</v>
      </c>
      <c r="D236" s="54" t="str">
        <f t="shared" si="14"/>
        <v/>
      </c>
      <c r="E236" s="54"/>
      <c r="F236" s="54">
        <f t="shared" si="2"/>
        <v>0</v>
      </c>
      <c r="G236" s="54">
        <f t="shared" si="3"/>
        <v>-10</v>
      </c>
      <c r="H236" s="54"/>
      <c r="I236" s="54"/>
    </row>
    <row r="237" ht="14.25" customHeight="1">
      <c r="B237" s="54"/>
      <c r="C237" s="141" t="str">
        <f t="shared" si="1"/>
        <v>12-1899</v>
      </c>
      <c r="D237" s="54" t="str">
        <f t="shared" si="14"/>
        <v/>
      </c>
      <c r="E237" s="138"/>
      <c r="F237" s="54">
        <f t="shared" si="2"/>
        <v>0</v>
      </c>
      <c r="G237" s="54">
        <f t="shared" si="3"/>
        <v>-10</v>
      </c>
      <c r="H237" s="54"/>
      <c r="I237" s="54"/>
    </row>
    <row r="238" ht="14.25" customHeight="1">
      <c r="B238" s="54"/>
      <c r="C238" s="141" t="str">
        <f t="shared" si="1"/>
        <v>12-1899</v>
      </c>
      <c r="D238" s="54" t="str">
        <f t="shared" si="14"/>
        <v/>
      </c>
      <c r="E238" s="138"/>
      <c r="F238" s="54">
        <f t="shared" si="2"/>
        <v>0</v>
      </c>
      <c r="G238" s="54">
        <f t="shared" si="3"/>
        <v>-10</v>
      </c>
      <c r="H238" s="54"/>
      <c r="I238" s="54"/>
    </row>
    <row r="239" ht="14.25" customHeight="1">
      <c r="B239" s="54"/>
      <c r="C239" s="141" t="str">
        <f t="shared" si="1"/>
        <v>12-1899</v>
      </c>
      <c r="D239" s="54" t="str">
        <f t="shared" si="14"/>
        <v/>
      </c>
      <c r="E239" s="138"/>
      <c r="F239" s="54">
        <f t="shared" si="2"/>
        <v>0</v>
      </c>
      <c r="G239" s="54">
        <f t="shared" si="3"/>
        <v>-10</v>
      </c>
      <c r="H239" s="54"/>
      <c r="I239" s="54"/>
    </row>
    <row r="240" ht="14.25" customHeight="1">
      <c r="B240" s="54"/>
      <c r="C240" s="141" t="str">
        <f t="shared" si="1"/>
        <v>12-1899</v>
      </c>
      <c r="D240" s="54" t="str">
        <f t="shared" si="14"/>
        <v/>
      </c>
      <c r="E240" s="138"/>
      <c r="F240" s="54">
        <f t="shared" si="2"/>
        <v>0</v>
      </c>
      <c r="G240" s="54">
        <f t="shared" si="3"/>
        <v>-10</v>
      </c>
      <c r="H240" s="54"/>
      <c r="I240" s="54"/>
    </row>
    <row r="241" ht="14.25" customHeight="1">
      <c r="B241" s="54"/>
      <c r="C241" s="141" t="str">
        <f t="shared" si="1"/>
        <v>12-1899</v>
      </c>
      <c r="D241" s="54" t="str">
        <f t="shared" si="14"/>
        <v/>
      </c>
      <c r="E241" s="138"/>
      <c r="F241" s="54">
        <f t="shared" si="2"/>
        <v>0</v>
      </c>
      <c r="G241" s="54">
        <f t="shared" si="3"/>
        <v>-10</v>
      </c>
      <c r="H241" s="54"/>
      <c r="I241" s="54"/>
    </row>
    <row r="242" ht="14.25" customHeight="1">
      <c r="B242" s="54"/>
      <c r="C242" s="141" t="str">
        <f t="shared" si="1"/>
        <v>12-1899</v>
      </c>
      <c r="D242" s="54" t="str">
        <f t="shared" si="14"/>
        <v/>
      </c>
      <c r="E242" s="138"/>
      <c r="F242" s="54">
        <f t="shared" si="2"/>
        <v>0</v>
      </c>
      <c r="G242" s="54">
        <f t="shared" si="3"/>
        <v>-10</v>
      </c>
      <c r="H242" s="54"/>
      <c r="I242" s="54"/>
    </row>
    <row r="243" ht="14.25" customHeight="1">
      <c r="B243" s="54"/>
      <c r="C243" s="141" t="str">
        <f t="shared" si="1"/>
        <v>12-1899</v>
      </c>
      <c r="D243" s="54" t="str">
        <f t="shared" si="14"/>
        <v/>
      </c>
      <c r="E243" s="54"/>
      <c r="F243" s="54">
        <f t="shared" si="2"/>
        <v>0</v>
      </c>
      <c r="G243" s="54">
        <f t="shared" si="3"/>
        <v>-10</v>
      </c>
      <c r="H243" s="54"/>
      <c r="I243" s="54"/>
    </row>
    <row r="244" ht="14.25" customHeight="1">
      <c r="B244" s="54"/>
      <c r="C244" s="141" t="str">
        <f t="shared" si="1"/>
        <v>12-1899</v>
      </c>
      <c r="D244" s="54" t="str">
        <f t="shared" si="14"/>
        <v/>
      </c>
      <c r="E244" s="54"/>
      <c r="F244" s="54">
        <f t="shared" si="2"/>
        <v>0</v>
      </c>
      <c r="G244" s="54">
        <f t="shared" si="3"/>
        <v>-10</v>
      </c>
      <c r="H244" s="54"/>
      <c r="I244" s="54"/>
    </row>
    <row r="245" ht="14.25" customHeight="1">
      <c r="B245" s="54"/>
      <c r="C245" s="141" t="str">
        <f t="shared" si="1"/>
        <v>12-1899</v>
      </c>
      <c r="D245" s="54" t="str">
        <f t="shared" si="14"/>
        <v/>
      </c>
      <c r="E245" s="54"/>
      <c r="F245" s="54">
        <f t="shared" si="2"/>
        <v>0</v>
      </c>
      <c r="G245" s="54">
        <f t="shared" si="3"/>
        <v>-10</v>
      </c>
      <c r="H245" s="54"/>
      <c r="I245" s="54"/>
    </row>
    <row r="246" ht="14.25" customHeight="1">
      <c r="B246" s="54"/>
      <c r="C246" s="141" t="str">
        <f t="shared" si="1"/>
        <v>12-1899</v>
      </c>
      <c r="D246" s="54" t="str">
        <f t="shared" si="14"/>
        <v/>
      </c>
      <c r="E246" s="54"/>
      <c r="F246" s="54">
        <f t="shared" si="2"/>
        <v>0</v>
      </c>
      <c r="G246" s="54">
        <f t="shared" si="3"/>
        <v>-10</v>
      </c>
      <c r="H246" s="54"/>
      <c r="I246" s="54"/>
    </row>
    <row r="247" ht="14.25" customHeight="1">
      <c r="B247" s="54"/>
      <c r="C247" s="141" t="str">
        <f t="shared" si="1"/>
        <v>12-1899</v>
      </c>
      <c r="D247" s="54" t="str">
        <f t="shared" si="14"/>
        <v/>
      </c>
      <c r="E247" s="54"/>
      <c r="F247" s="54">
        <f t="shared" si="2"/>
        <v>0</v>
      </c>
      <c r="G247" s="54">
        <f t="shared" si="3"/>
        <v>-10</v>
      </c>
      <c r="H247" s="54"/>
      <c r="I247" s="54"/>
    </row>
    <row r="248" ht="14.25" customHeight="1">
      <c r="B248" s="54"/>
      <c r="C248" s="141" t="str">
        <f t="shared" si="1"/>
        <v>12-1899</v>
      </c>
      <c r="D248" s="54" t="str">
        <f t="shared" si="14"/>
        <v/>
      </c>
      <c r="E248" s="54"/>
      <c r="F248" s="54">
        <f t="shared" si="2"/>
        <v>0</v>
      </c>
      <c r="G248" s="54">
        <f t="shared" si="3"/>
        <v>-10</v>
      </c>
      <c r="H248" s="54"/>
      <c r="I248" s="54"/>
    </row>
    <row r="249" ht="14.25" customHeight="1">
      <c r="B249" s="54"/>
      <c r="C249" s="141" t="str">
        <f t="shared" si="1"/>
        <v>12-1899</v>
      </c>
      <c r="D249" s="54" t="str">
        <f t="shared" si="14"/>
        <v/>
      </c>
      <c r="E249" s="54"/>
      <c r="F249" s="54">
        <f t="shared" si="2"/>
        <v>0</v>
      </c>
      <c r="G249" s="54">
        <f t="shared" si="3"/>
        <v>-10</v>
      </c>
      <c r="H249" s="54"/>
      <c r="I249" s="54"/>
    </row>
    <row r="250" ht="14.25" customHeight="1">
      <c r="B250" s="54"/>
      <c r="C250" s="141" t="str">
        <f t="shared" si="1"/>
        <v>12-1899</v>
      </c>
      <c r="D250" s="54" t="str">
        <f t="shared" si="14"/>
        <v/>
      </c>
      <c r="E250" s="54"/>
      <c r="F250" s="54">
        <f t="shared" si="2"/>
        <v>0</v>
      </c>
      <c r="G250" s="54">
        <f t="shared" si="3"/>
        <v>-10</v>
      </c>
      <c r="H250" s="54"/>
      <c r="I250" s="54"/>
    </row>
    <row r="251" ht="14.25" customHeight="1">
      <c r="B251" s="54"/>
      <c r="C251" s="141" t="str">
        <f t="shared" si="1"/>
        <v>12-1899</v>
      </c>
      <c r="D251" s="54" t="str">
        <f t="shared" si="14"/>
        <v/>
      </c>
      <c r="E251" s="54"/>
      <c r="F251" s="54">
        <f t="shared" si="2"/>
        <v>0</v>
      </c>
      <c r="G251" s="54">
        <f t="shared" si="3"/>
        <v>-10</v>
      </c>
      <c r="H251" s="54"/>
      <c r="I251" s="54"/>
    </row>
    <row r="252" ht="14.25" customHeight="1">
      <c r="B252" s="54"/>
      <c r="C252" s="141" t="str">
        <f t="shared" si="1"/>
        <v>12-1899</v>
      </c>
      <c r="D252" s="54" t="str">
        <f t="shared" si="14"/>
        <v/>
      </c>
      <c r="E252" s="54"/>
      <c r="F252" s="54">
        <f t="shared" si="2"/>
        <v>0</v>
      </c>
      <c r="G252" s="54">
        <f t="shared" si="3"/>
        <v>-10</v>
      </c>
      <c r="H252" s="54"/>
      <c r="I252" s="54"/>
    </row>
    <row r="253" ht="14.25" customHeight="1">
      <c r="B253" s="54"/>
      <c r="C253" s="141" t="str">
        <f t="shared" si="1"/>
        <v>12-1899</v>
      </c>
      <c r="D253" s="54" t="str">
        <f t="shared" si="14"/>
        <v/>
      </c>
      <c r="E253" s="54"/>
      <c r="F253" s="54">
        <f t="shared" si="2"/>
        <v>0</v>
      </c>
      <c r="G253" s="54">
        <f t="shared" si="3"/>
        <v>-10</v>
      </c>
      <c r="H253" s="54"/>
      <c r="I253" s="54"/>
    </row>
    <row r="254" ht="14.25" customHeight="1">
      <c r="B254" s="54"/>
      <c r="C254" s="141" t="str">
        <f t="shared" si="1"/>
        <v>12-1899</v>
      </c>
      <c r="D254" s="54" t="str">
        <f t="shared" si="14"/>
        <v/>
      </c>
      <c r="E254" s="54"/>
      <c r="F254" s="54">
        <f t="shared" si="2"/>
        <v>0</v>
      </c>
      <c r="G254" s="54">
        <f t="shared" si="3"/>
        <v>-10</v>
      </c>
      <c r="H254" s="54"/>
      <c r="I254" s="54"/>
    </row>
    <row r="255" ht="14.25" customHeight="1">
      <c r="B255" s="54"/>
      <c r="C255" s="141" t="str">
        <f t="shared" si="1"/>
        <v>12-1899</v>
      </c>
      <c r="D255" s="54" t="str">
        <f t="shared" si="14"/>
        <v/>
      </c>
      <c r="E255" s="54"/>
      <c r="F255" s="54">
        <f t="shared" si="2"/>
        <v>0</v>
      </c>
      <c r="G255" s="54">
        <f t="shared" si="3"/>
        <v>-10</v>
      </c>
      <c r="H255" s="54"/>
      <c r="I255" s="54"/>
    </row>
    <row r="256" ht="14.25" customHeight="1">
      <c r="B256" s="54"/>
      <c r="C256" s="141" t="str">
        <f t="shared" si="1"/>
        <v>12-1899</v>
      </c>
      <c r="D256" s="54" t="str">
        <f t="shared" si="14"/>
        <v/>
      </c>
      <c r="E256" s="54"/>
      <c r="F256" s="54">
        <f t="shared" si="2"/>
        <v>0</v>
      </c>
      <c r="G256" s="54">
        <f t="shared" si="3"/>
        <v>-10</v>
      </c>
      <c r="H256" s="54"/>
      <c r="I256" s="54"/>
    </row>
    <row r="257" ht="14.25" customHeight="1">
      <c r="B257" s="54"/>
      <c r="C257" s="141" t="str">
        <f t="shared" si="1"/>
        <v>12-1899</v>
      </c>
      <c r="D257" s="54" t="str">
        <f t="shared" si="14"/>
        <v/>
      </c>
      <c r="E257" s="54"/>
      <c r="F257" s="54">
        <f t="shared" si="2"/>
        <v>0</v>
      </c>
      <c r="G257" s="54">
        <f t="shared" si="3"/>
        <v>-10</v>
      </c>
      <c r="H257" s="54"/>
      <c r="I257" s="54"/>
    </row>
    <row r="258" ht="14.25" customHeight="1">
      <c r="B258" s="54"/>
      <c r="C258" s="141" t="str">
        <f t="shared" si="1"/>
        <v>12-1899</v>
      </c>
      <c r="D258" s="54" t="str">
        <f t="shared" si="14"/>
        <v/>
      </c>
      <c r="E258" s="54"/>
      <c r="F258" s="54">
        <f t="shared" si="2"/>
        <v>0</v>
      </c>
      <c r="G258" s="54">
        <f t="shared" si="3"/>
        <v>-10</v>
      </c>
      <c r="H258" s="54"/>
      <c r="I258" s="54"/>
    </row>
    <row r="259" ht="14.25" customHeight="1">
      <c r="B259" s="54"/>
      <c r="C259" s="141" t="str">
        <f t="shared" si="1"/>
        <v>12-1899</v>
      </c>
      <c r="D259" s="54" t="str">
        <f t="shared" si="14"/>
        <v/>
      </c>
      <c r="E259" s="54"/>
      <c r="F259" s="54">
        <f t="shared" si="2"/>
        <v>0</v>
      </c>
      <c r="G259" s="54">
        <f t="shared" si="3"/>
        <v>-10</v>
      </c>
      <c r="H259" s="54"/>
      <c r="I259" s="54"/>
    </row>
    <row r="260" ht="14.25" customHeight="1">
      <c r="B260" s="54"/>
      <c r="C260" s="141" t="str">
        <f t="shared" si="1"/>
        <v>12-1899</v>
      </c>
      <c r="D260" s="54" t="str">
        <f t="shared" si="14"/>
        <v/>
      </c>
      <c r="E260" s="54"/>
      <c r="F260" s="54">
        <f t="shared" si="2"/>
        <v>0</v>
      </c>
      <c r="G260" s="54">
        <f t="shared" si="3"/>
        <v>-10</v>
      </c>
      <c r="H260" s="54"/>
      <c r="I260" s="54"/>
    </row>
    <row r="261" ht="14.25" customHeight="1">
      <c r="B261" s="54"/>
      <c r="C261" s="141" t="str">
        <f t="shared" si="1"/>
        <v>12-1899</v>
      </c>
      <c r="D261" s="54" t="str">
        <f t="shared" si="14"/>
        <v/>
      </c>
      <c r="E261" s="54"/>
      <c r="F261" s="54">
        <f t="shared" si="2"/>
        <v>0</v>
      </c>
      <c r="G261" s="54">
        <f t="shared" si="3"/>
        <v>-10</v>
      </c>
      <c r="H261" s="54"/>
      <c r="I261" s="54"/>
    </row>
    <row r="262" ht="14.25" customHeight="1">
      <c r="B262" s="54"/>
      <c r="C262" s="141" t="str">
        <f t="shared" si="1"/>
        <v>12-1899</v>
      </c>
      <c r="D262" s="54" t="str">
        <f t="shared" si="14"/>
        <v/>
      </c>
      <c r="E262" s="54"/>
      <c r="F262" s="54">
        <f t="shared" si="2"/>
        <v>0</v>
      </c>
      <c r="G262" s="54">
        <f t="shared" si="3"/>
        <v>-10</v>
      </c>
      <c r="H262" s="54"/>
      <c r="I262" s="54"/>
    </row>
    <row r="263" ht="14.25" customHeight="1">
      <c r="B263" s="54"/>
      <c r="C263" s="141" t="str">
        <f t="shared" si="1"/>
        <v>12-1899</v>
      </c>
      <c r="D263" s="54" t="str">
        <f t="shared" si="14"/>
        <v/>
      </c>
      <c r="E263" s="54"/>
      <c r="F263" s="54">
        <f t="shared" si="2"/>
        <v>0</v>
      </c>
      <c r="G263" s="54">
        <f t="shared" si="3"/>
        <v>-10</v>
      </c>
      <c r="H263" s="54"/>
      <c r="I263" s="54"/>
    </row>
    <row r="264" ht="14.25" customHeight="1">
      <c r="B264" s="54"/>
      <c r="C264" s="141" t="str">
        <f t="shared" si="1"/>
        <v>12-1899</v>
      </c>
      <c r="D264" s="54" t="str">
        <f t="shared" si="14"/>
        <v/>
      </c>
      <c r="E264" s="54"/>
      <c r="F264" s="54">
        <f t="shared" si="2"/>
        <v>0</v>
      </c>
      <c r="G264" s="54">
        <f t="shared" si="3"/>
        <v>-10</v>
      </c>
      <c r="H264" s="54"/>
      <c r="I264" s="54"/>
    </row>
    <row r="265" ht="14.25" customHeight="1">
      <c r="B265" s="54"/>
      <c r="C265" s="141" t="str">
        <f t="shared" si="1"/>
        <v>12-1899</v>
      </c>
      <c r="D265" s="54" t="str">
        <f t="shared" si="14"/>
        <v/>
      </c>
      <c r="E265" s="54"/>
      <c r="F265" s="54">
        <f t="shared" si="2"/>
        <v>0</v>
      </c>
      <c r="G265" s="54">
        <f t="shared" si="3"/>
        <v>-10</v>
      </c>
      <c r="H265" s="54"/>
      <c r="I265" s="54"/>
    </row>
    <row r="266" ht="14.25" customHeight="1">
      <c r="B266" s="54"/>
      <c r="C266" s="141" t="str">
        <f t="shared" si="1"/>
        <v>12-1899</v>
      </c>
      <c r="D266" s="54" t="str">
        <f t="shared" si="14"/>
        <v/>
      </c>
      <c r="E266" s="54"/>
      <c r="F266" s="54">
        <f t="shared" si="2"/>
        <v>0</v>
      </c>
      <c r="G266" s="54">
        <f t="shared" si="3"/>
        <v>-10</v>
      </c>
      <c r="H266" s="54"/>
      <c r="I266" s="54"/>
    </row>
    <row r="267" ht="14.25" customHeight="1">
      <c r="B267" s="54"/>
      <c r="C267" s="141" t="str">
        <f t="shared" si="1"/>
        <v>12-1899</v>
      </c>
      <c r="D267" s="54" t="str">
        <f t="shared" si="14"/>
        <v/>
      </c>
      <c r="E267" s="54"/>
      <c r="F267" s="54">
        <f t="shared" si="2"/>
        <v>0</v>
      </c>
      <c r="G267" s="54">
        <f t="shared" si="3"/>
        <v>-10</v>
      </c>
      <c r="H267" s="54"/>
      <c r="I267" s="54"/>
    </row>
    <row r="268" ht="14.25" customHeight="1">
      <c r="B268" s="54"/>
      <c r="C268" s="141" t="str">
        <f t="shared" si="1"/>
        <v>12-1899</v>
      </c>
      <c r="D268" s="54" t="str">
        <f t="shared" si="14"/>
        <v/>
      </c>
      <c r="E268" s="54"/>
      <c r="F268" s="54">
        <f t="shared" si="2"/>
        <v>0</v>
      </c>
      <c r="G268" s="54">
        <f t="shared" si="3"/>
        <v>-10</v>
      </c>
      <c r="H268" s="54"/>
      <c r="I268" s="54"/>
    </row>
    <row r="269" ht="14.25" customHeight="1">
      <c r="B269" s="54"/>
      <c r="C269" s="141" t="str">
        <f t="shared" si="1"/>
        <v>12-1899</v>
      </c>
      <c r="D269" s="54" t="str">
        <f t="shared" si="14"/>
        <v/>
      </c>
      <c r="E269" s="54"/>
      <c r="F269" s="54">
        <f t="shared" si="2"/>
        <v>0</v>
      </c>
      <c r="G269" s="54">
        <f t="shared" si="3"/>
        <v>-10</v>
      </c>
      <c r="H269" s="54"/>
      <c r="I269" s="54"/>
    </row>
    <row r="270" ht="14.25" customHeight="1">
      <c r="B270" s="54"/>
      <c r="C270" s="141" t="str">
        <f t="shared" si="1"/>
        <v>12-1899</v>
      </c>
      <c r="D270" s="54" t="str">
        <f t="shared" si="14"/>
        <v/>
      </c>
      <c r="E270" s="54"/>
      <c r="F270" s="54">
        <f t="shared" si="2"/>
        <v>0</v>
      </c>
      <c r="G270" s="54">
        <f t="shared" si="3"/>
        <v>-10</v>
      </c>
      <c r="H270" s="54"/>
      <c r="I270" s="54"/>
    </row>
    <row r="271" ht="14.25" customHeight="1">
      <c r="B271" s="54"/>
      <c r="C271" s="141" t="str">
        <f t="shared" si="1"/>
        <v>12-1899</v>
      </c>
      <c r="D271" s="54" t="str">
        <f t="shared" si="14"/>
        <v/>
      </c>
      <c r="E271" s="54"/>
      <c r="F271" s="54">
        <f t="shared" si="2"/>
        <v>0</v>
      </c>
      <c r="G271" s="54">
        <f t="shared" si="3"/>
        <v>-10</v>
      </c>
      <c r="H271" s="54"/>
      <c r="I271" s="54"/>
    </row>
    <row r="272" ht="14.25" customHeight="1">
      <c r="B272" s="54"/>
      <c r="C272" s="141" t="str">
        <f t="shared" si="1"/>
        <v>12-1899</v>
      </c>
      <c r="D272" s="54" t="str">
        <f t="shared" si="14"/>
        <v/>
      </c>
      <c r="E272" s="54"/>
      <c r="F272" s="54">
        <f t="shared" si="2"/>
        <v>0</v>
      </c>
      <c r="G272" s="54">
        <f t="shared" si="3"/>
        <v>-10</v>
      </c>
      <c r="H272" s="54"/>
      <c r="I272" s="54"/>
    </row>
    <row r="273" ht="14.25" customHeight="1">
      <c r="B273" s="54"/>
      <c r="C273" s="141" t="str">
        <f t="shared" si="1"/>
        <v>12-1899</v>
      </c>
      <c r="D273" s="54" t="str">
        <f t="shared" si="14"/>
        <v/>
      </c>
      <c r="E273" s="54"/>
      <c r="F273" s="54">
        <f t="shared" si="2"/>
        <v>0</v>
      </c>
      <c r="G273" s="54">
        <f t="shared" si="3"/>
        <v>-10</v>
      </c>
      <c r="H273" s="54"/>
      <c r="I273" s="54"/>
    </row>
    <row r="274" ht="14.25" customHeight="1">
      <c r="B274" s="54"/>
      <c r="C274" s="141" t="str">
        <f t="shared" si="1"/>
        <v>12-1899</v>
      </c>
      <c r="D274" s="54" t="str">
        <f t="shared" si="14"/>
        <v/>
      </c>
      <c r="E274" s="54"/>
      <c r="F274" s="54">
        <f t="shared" si="2"/>
        <v>0</v>
      </c>
      <c r="G274" s="54">
        <f t="shared" si="3"/>
        <v>-10</v>
      </c>
      <c r="H274" s="54"/>
      <c r="I274" s="54"/>
    </row>
    <row r="275" ht="14.25" customHeight="1">
      <c r="B275" s="54"/>
      <c r="C275" s="141" t="str">
        <f t="shared" si="1"/>
        <v>12-1899</v>
      </c>
      <c r="D275" s="54" t="str">
        <f t="shared" si="14"/>
        <v/>
      </c>
      <c r="E275" s="54"/>
      <c r="F275" s="54">
        <f t="shared" si="2"/>
        <v>0</v>
      </c>
      <c r="G275" s="54">
        <f t="shared" si="3"/>
        <v>-10</v>
      </c>
      <c r="H275" s="54"/>
      <c r="I275" s="54"/>
    </row>
    <row r="276" ht="14.25" customHeight="1">
      <c r="B276" s="54"/>
      <c r="C276" s="141" t="str">
        <f t="shared" si="1"/>
        <v>12-1899</v>
      </c>
      <c r="D276" s="54" t="str">
        <f t="shared" si="14"/>
        <v/>
      </c>
      <c r="E276" s="54"/>
      <c r="F276" s="54">
        <f t="shared" si="2"/>
        <v>0</v>
      </c>
      <c r="G276" s="54">
        <f t="shared" si="3"/>
        <v>-10</v>
      </c>
      <c r="H276" s="54"/>
      <c r="I276" s="54"/>
    </row>
    <row r="277" ht="14.25" customHeight="1">
      <c r="B277" s="54"/>
      <c r="C277" s="141" t="str">
        <f t="shared" si="1"/>
        <v>12-1899</v>
      </c>
      <c r="D277" s="54" t="str">
        <f t="shared" si="14"/>
        <v/>
      </c>
      <c r="E277" s="54"/>
      <c r="F277" s="54">
        <f t="shared" si="2"/>
        <v>0</v>
      </c>
      <c r="G277" s="54">
        <f t="shared" si="3"/>
        <v>-10</v>
      </c>
      <c r="H277" s="54"/>
      <c r="I277" s="54"/>
    </row>
    <row r="278" ht="14.25" customHeight="1">
      <c r="B278" s="54"/>
      <c r="C278" s="141" t="str">
        <f t="shared" si="1"/>
        <v>12-1899</v>
      </c>
      <c r="D278" s="54" t="str">
        <f t="shared" si="14"/>
        <v/>
      </c>
      <c r="E278" s="54"/>
      <c r="F278" s="54">
        <f t="shared" si="2"/>
        <v>0</v>
      </c>
      <c r="G278" s="54">
        <f t="shared" si="3"/>
        <v>-10</v>
      </c>
      <c r="H278" s="54"/>
      <c r="I278" s="54"/>
    </row>
    <row r="279" ht="14.25" customHeight="1">
      <c r="B279" s="54"/>
      <c r="C279" s="141" t="str">
        <f t="shared" si="1"/>
        <v>12-1899</v>
      </c>
      <c r="D279" s="54" t="str">
        <f t="shared" si="14"/>
        <v/>
      </c>
      <c r="E279" s="54"/>
      <c r="F279" s="54">
        <f t="shared" si="2"/>
        <v>0</v>
      </c>
      <c r="G279" s="54">
        <f t="shared" si="3"/>
        <v>-10</v>
      </c>
      <c r="H279" s="54"/>
      <c r="I279" s="54"/>
    </row>
    <row r="280" ht="14.25" customHeight="1">
      <c r="B280" s="54"/>
      <c r="C280" s="141" t="str">
        <f t="shared" si="1"/>
        <v>12-1899</v>
      </c>
      <c r="D280" s="54" t="str">
        <f t="shared" si="14"/>
        <v/>
      </c>
      <c r="E280" s="54"/>
      <c r="F280" s="54">
        <f t="shared" si="2"/>
        <v>0</v>
      </c>
      <c r="G280" s="54">
        <f t="shared" si="3"/>
        <v>-10</v>
      </c>
      <c r="H280" s="54"/>
      <c r="I280" s="54"/>
    </row>
    <row r="281" ht="14.25" customHeight="1">
      <c r="B281" s="54"/>
      <c r="C281" s="141" t="str">
        <f t="shared" si="1"/>
        <v>12-1899</v>
      </c>
      <c r="D281" s="54" t="str">
        <f t="shared" si="14"/>
        <v/>
      </c>
      <c r="E281" s="54"/>
      <c r="F281" s="54">
        <f t="shared" si="2"/>
        <v>0</v>
      </c>
      <c r="G281" s="54">
        <f t="shared" si="3"/>
        <v>-10</v>
      </c>
      <c r="H281" s="54"/>
      <c r="I281" s="54"/>
    </row>
    <row r="282" ht="14.25" customHeight="1">
      <c r="B282" s="54"/>
      <c r="C282" s="141" t="str">
        <f t="shared" si="1"/>
        <v>12-1899</v>
      </c>
      <c r="D282" s="54" t="str">
        <f t="shared" si="14"/>
        <v/>
      </c>
      <c r="E282" s="54"/>
      <c r="F282" s="54">
        <f t="shared" si="2"/>
        <v>0</v>
      </c>
      <c r="G282" s="54">
        <f t="shared" si="3"/>
        <v>-10</v>
      </c>
      <c r="H282" s="54"/>
      <c r="I282" s="54"/>
    </row>
    <row r="283" ht="14.25" customHeight="1">
      <c r="B283" s="54"/>
      <c r="C283" s="141" t="str">
        <f t="shared" si="1"/>
        <v>12-1899</v>
      </c>
      <c r="D283" s="54" t="str">
        <f t="shared" si="14"/>
        <v/>
      </c>
      <c r="E283" s="54"/>
      <c r="F283" s="54">
        <f t="shared" si="2"/>
        <v>0</v>
      </c>
      <c r="G283" s="54">
        <f t="shared" si="3"/>
        <v>-10</v>
      </c>
      <c r="H283" s="54"/>
      <c r="I283" s="54"/>
    </row>
    <row r="284" ht="14.25" customHeight="1">
      <c r="B284" s="54"/>
      <c r="C284" s="141" t="str">
        <f t="shared" si="1"/>
        <v>12-1899</v>
      </c>
      <c r="D284" s="54" t="str">
        <f t="shared" si="14"/>
        <v/>
      </c>
      <c r="E284" s="54"/>
      <c r="F284" s="54">
        <f t="shared" si="2"/>
        <v>0</v>
      </c>
      <c r="G284" s="54">
        <f t="shared" si="3"/>
        <v>-10</v>
      </c>
      <c r="H284" s="54"/>
      <c r="I284" s="54"/>
    </row>
    <row r="285" ht="14.25" customHeight="1">
      <c r="B285" s="54"/>
      <c r="C285" s="141" t="str">
        <f t="shared" si="1"/>
        <v>12-1899</v>
      </c>
      <c r="D285" s="54" t="str">
        <f t="shared" si="14"/>
        <v/>
      </c>
      <c r="E285" s="54"/>
      <c r="F285" s="54">
        <f t="shared" si="2"/>
        <v>0</v>
      </c>
      <c r="G285" s="54">
        <f t="shared" si="3"/>
        <v>-10</v>
      </c>
      <c r="H285" s="54"/>
      <c r="I285" s="54"/>
    </row>
    <row r="286" ht="14.25" customHeight="1">
      <c r="B286" s="54"/>
      <c r="C286" s="141" t="str">
        <f t="shared" si="1"/>
        <v>12-1899</v>
      </c>
      <c r="D286" s="54" t="str">
        <f t="shared" si="14"/>
        <v/>
      </c>
      <c r="E286" s="54"/>
      <c r="F286" s="54">
        <f t="shared" si="2"/>
        <v>0</v>
      </c>
      <c r="G286" s="54">
        <f t="shared" si="3"/>
        <v>-10</v>
      </c>
      <c r="H286" s="54"/>
      <c r="I286" s="54"/>
    </row>
    <row r="287" ht="14.25" customHeight="1">
      <c r="B287" s="54"/>
      <c r="C287" s="141" t="str">
        <f t="shared" si="1"/>
        <v>12-1899</v>
      </c>
      <c r="D287" s="54" t="str">
        <f t="shared" si="14"/>
        <v/>
      </c>
      <c r="E287" s="54"/>
      <c r="F287" s="54">
        <f t="shared" si="2"/>
        <v>0</v>
      </c>
      <c r="G287" s="54">
        <f t="shared" si="3"/>
        <v>-10</v>
      </c>
      <c r="H287" s="54"/>
      <c r="I287" s="54"/>
    </row>
    <row r="288" ht="14.25" customHeight="1">
      <c r="B288" s="54"/>
      <c r="C288" s="141" t="str">
        <f t="shared" si="1"/>
        <v>12-1899</v>
      </c>
      <c r="D288" s="54" t="str">
        <f t="shared" si="14"/>
        <v/>
      </c>
      <c r="E288" s="54"/>
      <c r="F288" s="54">
        <f t="shared" si="2"/>
        <v>0</v>
      </c>
      <c r="G288" s="54">
        <f t="shared" si="3"/>
        <v>-10</v>
      </c>
      <c r="H288" s="54"/>
      <c r="I288" s="54"/>
    </row>
    <row r="289" ht="14.25" customHeight="1">
      <c r="B289" s="54"/>
      <c r="C289" s="141" t="str">
        <f t="shared" si="1"/>
        <v>12-1899</v>
      </c>
      <c r="D289" s="54" t="str">
        <f t="shared" si="14"/>
        <v/>
      </c>
      <c r="E289" s="54"/>
      <c r="F289" s="54">
        <f t="shared" si="2"/>
        <v>0</v>
      </c>
      <c r="G289" s="54">
        <f t="shared" si="3"/>
        <v>-10</v>
      </c>
      <c r="H289" s="54"/>
      <c r="I289" s="54"/>
    </row>
    <row r="290" ht="14.25" customHeight="1">
      <c r="B290" s="54"/>
      <c r="C290" s="141" t="str">
        <f t="shared" si="1"/>
        <v>12-1899</v>
      </c>
      <c r="D290" s="54" t="str">
        <f t="shared" si="14"/>
        <v/>
      </c>
      <c r="E290" s="54"/>
      <c r="F290" s="54">
        <f t="shared" si="2"/>
        <v>0</v>
      </c>
      <c r="G290" s="54">
        <f t="shared" si="3"/>
        <v>-10</v>
      </c>
      <c r="H290" s="54"/>
      <c r="I290" s="54"/>
    </row>
    <row r="291" ht="14.25" customHeight="1">
      <c r="B291" s="54"/>
      <c r="C291" s="141" t="str">
        <f t="shared" si="1"/>
        <v>12-1899</v>
      </c>
      <c r="D291" s="54" t="str">
        <f t="shared" si="14"/>
        <v/>
      </c>
      <c r="E291" s="54"/>
      <c r="F291" s="54">
        <f t="shared" si="2"/>
        <v>0</v>
      </c>
      <c r="G291" s="54">
        <f t="shared" si="3"/>
        <v>-10</v>
      </c>
      <c r="H291" s="54"/>
      <c r="I291" s="54"/>
    </row>
    <row r="292" ht="14.25" customHeight="1">
      <c r="B292" s="54"/>
      <c r="C292" s="141" t="str">
        <f t="shared" si="1"/>
        <v>12-1899</v>
      </c>
      <c r="D292" s="54" t="str">
        <f t="shared" si="14"/>
        <v/>
      </c>
      <c r="E292" s="54"/>
      <c r="F292" s="54">
        <f t="shared" si="2"/>
        <v>0</v>
      </c>
      <c r="G292" s="54">
        <f t="shared" si="3"/>
        <v>-10</v>
      </c>
      <c r="H292" s="54"/>
      <c r="I292" s="54"/>
    </row>
    <row r="293" ht="14.25" customHeight="1">
      <c r="B293" s="54"/>
      <c r="C293" s="141" t="str">
        <f t="shared" si="1"/>
        <v>12-1899</v>
      </c>
      <c r="D293" s="54" t="str">
        <f t="shared" si="14"/>
        <v/>
      </c>
      <c r="E293" s="54"/>
      <c r="F293" s="54">
        <f t="shared" si="2"/>
        <v>0</v>
      </c>
      <c r="G293" s="54">
        <f t="shared" si="3"/>
        <v>-10</v>
      </c>
      <c r="H293" s="54"/>
      <c r="I293" s="54"/>
    </row>
    <row r="294" ht="14.25" customHeight="1">
      <c r="B294" s="54"/>
      <c r="C294" s="141" t="str">
        <f t="shared" si="1"/>
        <v>12-1899</v>
      </c>
      <c r="D294" s="54" t="str">
        <f t="shared" si="14"/>
        <v/>
      </c>
      <c r="E294" s="54"/>
      <c r="F294" s="54">
        <f t="shared" si="2"/>
        <v>0</v>
      </c>
      <c r="G294" s="54">
        <f t="shared" si="3"/>
        <v>-10</v>
      </c>
      <c r="H294" s="54"/>
      <c r="I294" s="54"/>
    </row>
    <row r="295" ht="14.25" customHeight="1">
      <c r="B295" s="54"/>
      <c r="C295" s="141" t="str">
        <f t="shared" si="1"/>
        <v>12-1899</v>
      </c>
      <c r="D295" s="54" t="str">
        <f t="shared" si="14"/>
        <v/>
      </c>
      <c r="E295" s="54"/>
      <c r="F295" s="54">
        <f t="shared" si="2"/>
        <v>0</v>
      </c>
      <c r="G295" s="54">
        <f t="shared" si="3"/>
        <v>-10</v>
      </c>
      <c r="H295" s="54"/>
      <c r="I295" s="54"/>
    </row>
    <row r="296" ht="14.25" customHeight="1">
      <c r="B296" s="54"/>
      <c r="C296" s="141" t="str">
        <f t="shared" si="1"/>
        <v>12-1899</v>
      </c>
      <c r="D296" s="54" t="str">
        <f t="shared" si="14"/>
        <v/>
      </c>
      <c r="E296" s="54"/>
      <c r="F296" s="54">
        <f t="shared" si="2"/>
        <v>0</v>
      </c>
      <c r="G296" s="54">
        <f t="shared" si="3"/>
        <v>-10</v>
      </c>
      <c r="H296" s="54"/>
      <c r="I296" s="54"/>
    </row>
    <row r="297" ht="14.25" customHeight="1">
      <c r="B297" s="54"/>
      <c r="C297" s="141" t="str">
        <f t="shared" si="1"/>
        <v>12-1899</v>
      </c>
      <c r="D297" s="54" t="str">
        <f t="shared" si="14"/>
        <v/>
      </c>
      <c r="E297" s="54"/>
      <c r="F297" s="54">
        <f t="shared" si="2"/>
        <v>0</v>
      </c>
      <c r="G297" s="54">
        <f t="shared" si="3"/>
        <v>-10</v>
      </c>
      <c r="H297" s="54"/>
      <c r="I297" s="54"/>
    </row>
    <row r="298" ht="14.25" customHeight="1">
      <c r="B298" s="54"/>
      <c r="C298" s="141" t="str">
        <f t="shared" si="1"/>
        <v>12-1899</v>
      </c>
      <c r="D298" s="54" t="str">
        <f t="shared" si="14"/>
        <v/>
      </c>
      <c r="E298" s="54"/>
      <c r="F298" s="54">
        <f t="shared" si="2"/>
        <v>0</v>
      </c>
      <c r="G298" s="54">
        <f t="shared" si="3"/>
        <v>-10</v>
      </c>
      <c r="H298" s="54"/>
      <c r="I298" s="54"/>
    </row>
    <row r="299" ht="14.25" customHeight="1">
      <c r="B299" s="54"/>
      <c r="C299" s="141" t="str">
        <f t="shared" si="1"/>
        <v>12-1899</v>
      </c>
      <c r="D299" s="54" t="str">
        <f t="shared" si="14"/>
        <v/>
      </c>
      <c r="E299" s="54"/>
      <c r="F299" s="54">
        <f t="shared" si="2"/>
        <v>0</v>
      </c>
      <c r="G299" s="54">
        <f t="shared" si="3"/>
        <v>-10</v>
      </c>
      <c r="H299" s="54"/>
      <c r="I299" s="54"/>
    </row>
    <row r="300" ht="14.25" customHeight="1">
      <c r="B300" s="54"/>
      <c r="C300" s="141" t="str">
        <f t="shared" si="1"/>
        <v>12-1899</v>
      </c>
      <c r="D300" s="54" t="str">
        <f t="shared" si="14"/>
        <v/>
      </c>
      <c r="E300" s="54"/>
      <c r="F300" s="54">
        <f t="shared" si="2"/>
        <v>0</v>
      </c>
      <c r="G300" s="54">
        <f t="shared" si="3"/>
        <v>-10</v>
      </c>
      <c r="H300" s="54"/>
      <c r="I300" s="54"/>
    </row>
    <row r="301" ht="14.25" customHeight="1">
      <c r="B301" s="54"/>
      <c r="C301" s="141" t="str">
        <f t="shared" si="1"/>
        <v>12-1899</v>
      </c>
      <c r="D301" s="54" t="str">
        <f t="shared" si="14"/>
        <v/>
      </c>
      <c r="E301" s="54"/>
      <c r="F301" s="54">
        <f t="shared" si="2"/>
        <v>0</v>
      </c>
      <c r="G301" s="54">
        <f t="shared" si="3"/>
        <v>-10</v>
      </c>
      <c r="H301" s="54"/>
      <c r="I301" s="54"/>
    </row>
    <row r="302" ht="14.25" customHeight="1">
      <c r="B302" s="54"/>
      <c r="C302" s="141" t="str">
        <f t="shared" si="1"/>
        <v>12-1899</v>
      </c>
      <c r="D302" s="54" t="str">
        <f t="shared" si="14"/>
        <v/>
      </c>
      <c r="E302" s="54"/>
      <c r="F302" s="54">
        <f t="shared" si="2"/>
        <v>0</v>
      </c>
      <c r="G302" s="54">
        <f t="shared" si="3"/>
        <v>-10</v>
      </c>
      <c r="H302" s="54"/>
      <c r="I302" s="54"/>
    </row>
    <row r="303" ht="14.25" customHeight="1">
      <c r="B303" s="54"/>
      <c r="C303" s="141" t="str">
        <f t="shared" si="1"/>
        <v>12-1899</v>
      </c>
      <c r="D303" s="54" t="str">
        <f t="shared" si="14"/>
        <v/>
      </c>
      <c r="E303" s="54"/>
      <c r="F303" s="54">
        <f t="shared" si="2"/>
        <v>0</v>
      </c>
      <c r="G303" s="54">
        <f t="shared" si="3"/>
        <v>-10</v>
      </c>
      <c r="H303" s="54"/>
      <c r="I303" s="54"/>
    </row>
    <row r="304" ht="14.25" customHeight="1">
      <c r="B304" s="54"/>
      <c r="C304" s="141" t="str">
        <f t="shared" si="1"/>
        <v>12-1899</v>
      </c>
      <c r="D304" s="54" t="str">
        <f t="shared" si="14"/>
        <v/>
      </c>
      <c r="E304" s="54"/>
      <c r="F304" s="54">
        <f t="shared" si="2"/>
        <v>0</v>
      </c>
      <c r="G304" s="54">
        <f t="shared" si="3"/>
        <v>-10</v>
      </c>
      <c r="H304" s="54"/>
      <c r="I304" s="54"/>
    </row>
    <row r="305" ht="14.25" customHeight="1">
      <c r="B305" s="54"/>
      <c r="C305" s="141" t="str">
        <f t="shared" si="1"/>
        <v>12-1899</v>
      </c>
      <c r="D305" s="54" t="str">
        <f t="shared" si="14"/>
        <v/>
      </c>
      <c r="E305" s="54"/>
      <c r="F305" s="54">
        <f t="shared" si="2"/>
        <v>0</v>
      </c>
      <c r="G305" s="54">
        <f t="shared" si="3"/>
        <v>-10</v>
      </c>
      <c r="H305" s="54"/>
      <c r="I305" s="54"/>
    </row>
    <row r="306" ht="14.25" customHeight="1">
      <c r="B306" s="54"/>
      <c r="C306" s="141" t="str">
        <f t="shared" si="1"/>
        <v>12-1899</v>
      </c>
      <c r="D306" s="54" t="str">
        <f t="shared" si="14"/>
        <v/>
      </c>
      <c r="E306" s="54"/>
      <c r="F306" s="54">
        <f t="shared" si="2"/>
        <v>0</v>
      </c>
      <c r="G306" s="54">
        <f t="shared" si="3"/>
        <v>-10</v>
      </c>
      <c r="H306" s="54"/>
      <c r="I306" s="54"/>
    </row>
    <row r="307" ht="14.25" customHeight="1">
      <c r="B307" s="54"/>
      <c r="C307" s="141" t="str">
        <f t="shared" si="1"/>
        <v>12-1899</v>
      </c>
      <c r="D307" s="54" t="str">
        <f t="shared" si="14"/>
        <v/>
      </c>
      <c r="E307" s="54"/>
      <c r="F307" s="54">
        <f t="shared" si="2"/>
        <v>0</v>
      </c>
      <c r="G307" s="54">
        <f t="shared" si="3"/>
        <v>-10</v>
      </c>
      <c r="H307" s="54"/>
      <c r="I307" s="54"/>
    </row>
    <row r="308" ht="14.25" customHeight="1">
      <c r="B308" s="54"/>
      <c r="C308" s="141" t="str">
        <f t="shared" si="1"/>
        <v>12-1899</v>
      </c>
      <c r="D308" s="54" t="str">
        <f t="shared" si="14"/>
        <v/>
      </c>
      <c r="E308" s="54"/>
      <c r="F308" s="54">
        <f t="shared" si="2"/>
        <v>0</v>
      </c>
      <c r="G308" s="54">
        <f t="shared" si="3"/>
        <v>-10</v>
      </c>
      <c r="H308" s="54"/>
      <c r="I308" s="54"/>
    </row>
    <row r="309" ht="14.25" customHeight="1">
      <c r="B309" s="54"/>
      <c r="C309" s="141" t="str">
        <f t="shared" si="1"/>
        <v>12-1899</v>
      </c>
      <c r="D309" s="54" t="str">
        <f t="shared" si="14"/>
        <v/>
      </c>
      <c r="E309" s="54"/>
      <c r="F309" s="54">
        <f t="shared" si="2"/>
        <v>0</v>
      </c>
      <c r="G309" s="54">
        <f t="shared" si="3"/>
        <v>-10</v>
      </c>
      <c r="H309" s="54"/>
      <c r="I309" s="54"/>
    </row>
    <row r="310" ht="14.25" customHeight="1">
      <c r="B310" s="54"/>
      <c r="C310" s="141" t="str">
        <f t="shared" si="1"/>
        <v>12-1899</v>
      </c>
      <c r="D310" s="54" t="str">
        <f t="shared" si="14"/>
        <v/>
      </c>
      <c r="E310" s="54"/>
      <c r="F310" s="54">
        <f t="shared" si="2"/>
        <v>0</v>
      </c>
      <c r="G310" s="54">
        <f t="shared" si="3"/>
        <v>-10</v>
      </c>
      <c r="H310" s="54"/>
      <c r="I310" s="54"/>
    </row>
    <row r="311" ht="14.25" customHeight="1">
      <c r="B311" s="54"/>
      <c r="C311" s="141" t="str">
        <f t="shared" si="1"/>
        <v>12-1899</v>
      </c>
      <c r="D311" s="54" t="str">
        <f t="shared" si="14"/>
        <v/>
      </c>
      <c r="E311" s="54"/>
      <c r="F311" s="54">
        <f t="shared" si="2"/>
        <v>0</v>
      </c>
      <c r="G311" s="54">
        <f t="shared" si="3"/>
        <v>-10</v>
      </c>
      <c r="H311" s="54"/>
      <c r="I311" s="54"/>
    </row>
    <row r="312" ht="14.25" customHeight="1">
      <c r="B312" s="54"/>
      <c r="C312" s="141" t="str">
        <f t="shared" si="1"/>
        <v>12-1899</v>
      </c>
      <c r="D312" s="54" t="str">
        <f t="shared" si="14"/>
        <v/>
      </c>
      <c r="E312" s="54"/>
      <c r="F312" s="54">
        <f t="shared" si="2"/>
        <v>0</v>
      </c>
      <c r="G312" s="54">
        <f t="shared" si="3"/>
        <v>-10</v>
      </c>
      <c r="H312" s="54"/>
      <c r="I312" s="54"/>
    </row>
    <row r="313" ht="14.25" customHeight="1">
      <c r="B313" s="54"/>
      <c r="C313" s="141" t="str">
        <f t="shared" si="1"/>
        <v>12-1899</v>
      </c>
      <c r="D313" s="54" t="str">
        <f t="shared" si="14"/>
        <v/>
      </c>
      <c r="E313" s="54"/>
      <c r="F313" s="54">
        <f t="shared" si="2"/>
        <v>0</v>
      </c>
      <c r="G313" s="54">
        <f t="shared" si="3"/>
        <v>-10</v>
      </c>
      <c r="H313" s="54"/>
      <c r="I313" s="54"/>
    </row>
    <row r="314" ht="14.25" customHeight="1">
      <c r="B314" s="54"/>
      <c r="C314" s="141" t="str">
        <f t="shared" si="1"/>
        <v>12-1899</v>
      </c>
      <c r="D314" s="54" t="str">
        <f t="shared" si="14"/>
        <v/>
      </c>
      <c r="E314" s="54"/>
      <c r="F314" s="54">
        <f t="shared" si="2"/>
        <v>0</v>
      </c>
      <c r="G314" s="54">
        <f t="shared" si="3"/>
        <v>-10</v>
      </c>
      <c r="H314" s="54"/>
      <c r="I314" s="54"/>
    </row>
    <row r="315" ht="14.25" customHeight="1">
      <c r="B315" s="54"/>
      <c r="C315" s="141" t="str">
        <f t="shared" si="1"/>
        <v>12-1899</v>
      </c>
      <c r="D315" s="54" t="str">
        <f t="shared" si="14"/>
        <v/>
      </c>
      <c r="E315" s="54"/>
      <c r="F315" s="54">
        <f t="shared" si="2"/>
        <v>0</v>
      </c>
      <c r="G315" s="54">
        <f t="shared" si="3"/>
        <v>-10</v>
      </c>
      <c r="H315" s="54"/>
      <c r="I315" s="54"/>
    </row>
    <row r="316" ht="14.25" customHeight="1">
      <c r="B316" s="54"/>
      <c r="C316" s="141" t="str">
        <f t="shared" si="1"/>
        <v>12-1899</v>
      </c>
      <c r="D316" s="54" t="str">
        <f t="shared" si="14"/>
        <v/>
      </c>
      <c r="E316" s="54"/>
      <c r="F316" s="54">
        <f t="shared" si="2"/>
        <v>0</v>
      </c>
      <c r="G316" s="54">
        <f t="shared" si="3"/>
        <v>-10</v>
      </c>
      <c r="H316" s="54"/>
      <c r="I316" s="54"/>
    </row>
    <row r="317" ht="14.25" customHeight="1">
      <c r="B317" s="54"/>
      <c r="C317" s="141" t="str">
        <f t="shared" si="1"/>
        <v>12-1899</v>
      </c>
      <c r="D317" s="54" t="str">
        <f t="shared" si="14"/>
        <v/>
      </c>
      <c r="E317" s="54"/>
      <c r="F317" s="54">
        <f t="shared" si="2"/>
        <v>0</v>
      </c>
      <c r="G317" s="54">
        <f t="shared" si="3"/>
        <v>-10</v>
      </c>
      <c r="H317" s="54"/>
      <c r="I317" s="54"/>
    </row>
    <row r="318" ht="14.25" customHeight="1">
      <c r="B318" s="54"/>
      <c r="C318" s="141" t="str">
        <f t="shared" si="1"/>
        <v>12-1899</v>
      </c>
      <c r="D318" s="54" t="str">
        <f t="shared" si="14"/>
        <v/>
      </c>
      <c r="E318" s="54"/>
      <c r="F318" s="54">
        <f t="shared" si="2"/>
        <v>0</v>
      </c>
      <c r="G318" s="54">
        <f t="shared" si="3"/>
        <v>-10</v>
      </c>
      <c r="H318" s="54"/>
      <c r="I318" s="54"/>
    </row>
    <row r="319" ht="14.25" customHeight="1">
      <c r="B319" s="54"/>
      <c r="C319" s="141" t="str">
        <f t="shared" si="1"/>
        <v>12-1899</v>
      </c>
      <c r="D319" s="54" t="str">
        <f t="shared" si="14"/>
        <v/>
      </c>
      <c r="E319" s="54"/>
      <c r="F319" s="54">
        <f t="shared" si="2"/>
        <v>0</v>
      </c>
      <c r="G319" s="54">
        <f t="shared" si="3"/>
        <v>-10</v>
      </c>
      <c r="H319" s="54"/>
      <c r="I319" s="54"/>
    </row>
    <row r="320" ht="14.25" customHeight="1">
      <c r="B320" s="54"/>
      <c r="C320" s="141" t="str">
        <f t="shared" si="1"/>
        <v>12-1899</v>
      </c>
      <c r="D320" s="54" t="str">
        <f t="shared" si="14"/>
        <v/>
      </c>
      <c r="E320" s="54"/>
      <c r="F320" s="54">
        <f t="shared" si="2"/>
        <v>0</v>
      </c>
      <c r="G320" s="54">
        <f t="shared" si="3"/>
        <v>-10</v>
      </c>
      <c r="H320" s="54"/>
      <c r="I320" s="54"/>
    </row>
    <row r="321" ht="14.25" customHeight="1">
      <c r="B321" s="54"/>
      <c r="C321" s="141" t="str">
        <f t="shared" si="1"/>
        <v>12-1899</v>
      </c>
      <c r="D321" s="54" t="str">
        <f t="shared" si="14"/>
        <v/>
      </c>
      <c r="E321" s="54"/>
      <c r="F321" s="54">
        <f t="shared" si="2"/>
        <v>0</v>
      </c>
      <c r="G321" s="54">
        <f t="shared" si="3"/>
        <v>-10</v>
      </c>
      <c r="H321" s="54"/>
      <c r="I321" s="54"/>
    </row>
    <row r="322" ht="14.25" customHeight="1">
      <c r="B322" s="54"/>
      <c r="C322" s="141" t="str">
        <f t="shared" si="1"/>
        <v>12-1899</v>
      </c>
      <c r="D322" s="54" t="str">
        <f t="shared" si="14"/>
        <v/>
      </c>
      <c r="E322" s="54"/>
      <c r="F322" s="54">
        <f t="shared" si="2"/>
        <v>0</v>
      </c>
      <c r="G322" s="54">
        <f t="shared" si="3"/>
        <v>-10</v>
      </c>
      <c r="H322" s="54"/>
      <c r="I322" s="54"/>
    </row>
    <row r="323" ht="14.25" customHeight="1">
      <c r="B323" s="54"/>
      <c r="C323" s="141" t="str">
        <f t="shared" si="1"/>
        <v>12-1899</v>
      </c>
      <c r="D323" s="54" t="str">
        <f t="shared" si="14"/>
        <v/>
      </c>
      <c r="E323" s="54"/>
      <c r="F323" s="54">
        <f t="shared" si="2"/>
        <v>0</v>
      </c>
      <c r="G323" s="54">
        <f t="shared" si="3"/>
        <v>-10</v>
      </c>
      <c r="H323" s="54"/>
      <c r="I323" s="54"/>
    </row>
    <row r="324" ht="14.25" customHeight="1">
      <c r="B324" s="54"/>
      <c r="C324" s="141" t="str">
        <f t="shared" si="1"/>
        <v>12-1899</v>
      </c>
      <c r="D324" s="54" t="str">
        <f t="shared" si="14"/>
        <v/>
      </c>
      <c r="E324" s="54"/>
      <c r="F324" s="54">
        <f t="shared" si="2"/>
        <v>0</v>
      </c>
      <c r="G324" s="54">
        <f t="shared" si="3"/>
        <v>-10</v>
      </c>
      <c r="H324" s="54"/>
      <c r="I324" s="54"/>
    </row>
    <row r="325" ht="14.25" customHeight="1">
      <c r="B325" s="54"/>
      <c r="C325" s="141" t="str">
        <f t="shared" si="1"/>
        <v>12-1899</v>
      </c>
      <c r="D325" s="54" t="str">
        <f t="shared" si="14"/>
        <v/>
      </c>
      <c r="E325" s="54"/>
      <c r="F325" s="54">
        <f t="shared" si="2"/>
        <v>0</v>
      </c>
      <c r="G325" s="54">
        <f t="shared" si="3"/>
        <v>-10</v>
      </c>
      <c r="H325" s="54"/>
      <c r="I325" s="54"/>
    </row>
    <row r="326" ht="14.25" customHeight="1">
      <c r="B326" s="54"/>
      <c r="C326" s="141" t="str">
        <f t="shared" si="1"/>
        <v>12-1899</v>
      </c>
      <c r="D326" s="54" t="str">
        <f t="shared" si="14"/>
        <v/>
      </c>
      <c r="E326" s="54"/>
      <c r="F326" s="54">
        <f t="shared" si="2"/>
        <v>0</v>
      </c>
      <c r="G326" s="54">
        <f t="shared" si="3"/>
        <v>-10</v>
      </c>
      <c r="H326" s="54"/>
      <c r="I326" s="54"/>
    </row>
    <row r="327" ht="14.25" customHeight="1">
      <c r="B327" s="54"/>
      <c r="C327" s="141" t="str">
        <f t="shared" si="1"/>
        <v>12-1899</v>
      </c>
      <c r="D327" s="54" t="str">
        <f t="shared" si="14"/>
        <v/>
      </c>
      <c r="E327" s="54"/>
      <c r="F327" s="54">
        <f t="shared" si="2"/>
        <v>0</v>
      </c>
      <c r="G327" s="54">
        <f t="shared" si="3"/>
        <v>-10</v>
      </c>
      <c r="H327" s="54"/>
      <c r="I327" s="54"/>
    </row>
    <row r="328" ht="14.25" customHeight="1">
      <c r="B328" s="54"/>
      <c r="C328" s="141" t="str">
        <f t="shared" si="1"/>
        <v>12-1899</v>
      </c>
      <c r="D328" s="54" t="str">
        <f t="shared" si="14"/>
        <v/>
      </c>
      <c r="E328" s="54"/>
      <c r="F328" s="54">
        <f t="shared" si="2"/>
        <v>0</v>
      </c>
      <c r="G328" s="54">
        <f t="shared" si="3"/>
        <v>-10</v>
      </c>
      <c r="H328" s="54"/>
      <c r="I328" s="54"/>
    </row>
    <row r="329" ht="14.25" customHeight="1">
      <c r="B329" s="54"/>
      <c r="C329" s="141" t="str">
        <f t="shared" si="1"/>
        <v>12-1899</v>
      </c>
      <c r="D329" s="54" t="str">
        <f t="shared" si="14"/>
        <v/>
      </c>
      <c r="E329" s="54"/>
      <c r="F329" s="54">
        <f t="shared" si="2"/>
        <v>0</v>
      </c>
      <c r="G329" s="54">
        <f t="shared" si="3"/>
        <v>-10</v>
      </c>
      <c r="H329" s="54"/>
      <c r="I329" s="54"/>
    </row>
    <row r="330" ht="14.25" customHeight="1">
      <c r="B330" s="54"/>
      <c r="C330" s="141" t="str">
        <f t="shared" si="1"/>
        <v>12-1899</v>
      </c>
      <c r="D330" s="54" t="str">
        <f t="shared" si="14"/>
        <v/>
      </c>
      <c r="E330" s="54"/>
      <c r="F330" s="54">
        <f t="shared" si="2"/>
        <v>0</v>
      </c>
      <c r="G330" s="54">
        <f t="shared" si="3"/>
        <v>-10</v>
      </c>
      <c r="H330" s="54"/>
      <c r="I330" s="54"/>
    </row>
    <row r="331" ht="14.25" customHeight="1">
      <c r="B331" s="54"/>
      <c r="C331" s="141" t="str">
        <f t="shared" si="1"/>
        <v>12-1899</v>
      </c>
      <c r="D331" s="54" t="str">
        <f t="shared" si="14"/>
        <v/>
      </c>
      <c r="E331" s="54"/>
      <c r="F331" s="54">
        <f t="shared" si="2"/>
        <v>0</v>
      </c>
      <c r="G331" s="54">
        <f t="shared" si="3"/>
        <v>-10</v>
      </c>
      <c r="H331" s="54"/>
      <c r="I331" s="54"/>
    </row>
    <row r="332" ht="14.25" customHeight="1">
      <c r="B332" s="54"/>
      <c r="C332" s="141" t="str">
        <f t="shared" si="1"/>
        <v>12-1899</v>
      </c>
      <c r="D332" s="54" t="str">
        <f t="shared" si="14"/>
        <v/>
      </c>
      <c r="E332" s="54"/>
      <c r="F332" s="54">
        <f t="shared" si="2"/>
        <v>0</v>
      </c>
      <c r="G332" s="54">
        <f t="shared" si="3"/>
        <v>-10</v>
      </c>
      <c r="H332" s="54"/>
      <c r="I332" s="54"/>
    </row>
    <row r="333" ht="14.25" customHeight="1">
      <c r="B333" s="54"/>
      <c r="C333" s="141" t="str">
        <f t="shared" si="1"/>
        <v>12-1899</v>
      </c>
      <c r="D333" s="54" t="str">
        <f t="shared" si="14"/>
        <v/>
      </c>
      <c r="E333" s="54"/>
      <c r="F333" s="54">
        <f t="shared" si="2"/>
        <v>0</v>
      </c>
      <c r="G333" s="54">
        <f t="shared" si="3"/>
        <v>-10</v>
      </c>
      <c r="H333" s="54"/>
      <c r="I333" s="54"/>
    </row>
    <row r="334" ht="14.25" customHeight="1">
      <c r="B334" s="54"/>
      <c r="C334" s="141" t="str">
        <f t="shared" si="1"/>
        <v>12-1899</v>
      </c>
      <c r="D334" s="54" t="str">
        <f t="shared" si="14"/>
        <v/>
      </c>
      <c r="E334" s="54"/>
      <c r="F334" s="54">
        <f t="shared" si="2"/>
        <v>0</v>
      </c>
      <c r="G334" s="54">
        <f t="shared" si="3"/>
        <v>-10</v>
      </c>
      <c r="H334" s="54"/>
      <c r="I334" s="54"/>
    </row>
    <row r="335" ht="14.25" customHeight="1">
      <c r="B335" s="54"/>
      <c r="C335" s="141" t="str">
        <f t="shared" si="1"/>
        <v>12-1899</v>
      </c>
      <c r="D335" s="54" t="str">
        <f t="shared" si="14"/>
        <v/>
      </c>
      <c r="E335" s="54"/>
      <c r="F335" s="54">
        <f t="shared" si="2"/>
        <v>0</v>
      </c>
      <c r="G335" s="54">
        <f t="shared" si="3"/>
        <v>-10</v>
      </c>
      <c r="H335" s="54"/>
      <c r="I335" s="54"/>
    </row>
    <row r="336" ht="14.25" customHeight="1">
      <c r="B336" s="54"/>
      <c r="C336" s="141" t="str">
        <f t="shared" si="1"/>
        <v>12-1899</v>
      </c>
      <c r="D336" s="54" t="str">
        <f t="shared" si="14"/>
        <v/>
      </c>
      <c r="E336" s="54"/>
      <c r="F336" s="54">
        <f t="shared" si="2"/>
        <v>0</v>
      </c>
      <c r="G336" s="54">
        <f t="shared" si="3"/>
        <v>-10</v>
      </c>
      <c r="H336" s="54"/>
      <c r="I336" s="54"/>
    </row>
    <row r="337" ht="14.25" customHeight="1">
      <c r="B337" s="54"/>
      <c r="C337" s="141" t="str">
        <f t="shared" si="1"/>
        <v>12-1899</v>
      </c>
      <c r="D337" s="54" t="str">
        <f t="shared" si="14"/>
        <v/>
      </c>
      <c r="E337" s="54"/>
      <c r="F337" s="54">
        <f t="shared" si="2"/>
        <v>0</v>
      </c>
      <c r="G337" s="54">
        <f t="shared" si="3"/>
        <v>-10</v>
      </c>
      <c r="H337" s="54"/>
      <c r="I337" s="54"/>
    </row>
    <row r="338" ht="14.25" customHeight="1">
      <c r="B338" s="54"/>
      <c r="C338" s="141" t="str">
        <f t="shared" si="1"/>
        <v>12-1899</v>
      </c>
      <c r="D338" s="54" t="str">
        <f t="shared" si="14"/>
        <v/>
      </c>
      <c r="E338" s="54"/>
      <c r="F338" s="54">
        <f t="shared" si="2"/>
        <v>0</v>
      </c>
      <c r="G338" s="54">
        <f t="shared" si="3"/>
        <v>-10</v>
      </c>
      <c r="H338" s="54"/>
      <c r="I338" s="54"/>
    </row>
    <row r="339" ht="14.25" customHeight="1">
      <c r="B339" s="54"/>
      <c r="C339" s="141" t="str">
        <f t="shared" si="1"/>
        <v>12-1899</v>
      </c>
      <c r="D339" s="54" t="str">
        <f t="shared" si="14"/>
        <v/>
      </c>
      <c r="E339" s="54"/>
      <c r="F339" s="54">
        <f t="shared" si="2"/>
        <v>0</v>
      </c>
      <c r="G339" s="54">
        <f t="shared" si="3"/>
        <v>-10</v>
      </c>
      <c r="H339" s="54"/>
      <c r="I339" s="54"/>
    </row>
    <row r="340" ht="14.25" customHeight="1">
      <c r="B340" s="54"/>
      <c r="C340" s="141" t="str">
        <f t="shared" si="1"/>
        <v>12-1899</v>
      </c>
      <c r="D340" s="54" t="str">
        <f t="shared" si="14"/>
        <v/>
      </c>
      <c r="E340" s="54"/>
      <c r="F340" s="54">
        <f t="shared" si="2"/>
        <v>0</v>
      </c>
      <c r="G340" s="54">
        <f t="shared" si="3"/>
        <v>-10</v>
      </c>
      <c r="H340" s="54"/>
      <c r="I340" s="54"/>
    </row>
    <row r="341" ht="14.25" customHeight="1">
      <c r="B341" s="54"/>
      <c r="C341" s="141" t="str">
        <f t="shared" si="1"/>
        <v>12-1899</v>
      </c>
      <c r="D341" s="54" t="str">
        <f t="shared" si="14"/>
        <v/>
      </c>
      <c r="E341" s="54"/>
      <c r="F341" s="54">
        <f t="shared" si="2"/>
        <v>0</v>
      </c>
      <c r="G341" s="54">
        <f t="shared" si="3"/>
        <v>-10</v>
      </c>
      <c r="H341" s="54"/>
      <c r="I341" s="54"/>
    </row>
    <row r="342" ht="14.25" customHeight="1">
      <c r="B342" s="54"/>
      <c r="C342" s="141" t="str">
        <f t="shared" si="1"/>
        <v>12-1899</v>
      </c>
      <c r="D342" s="54" t="str">
        <f t="shared" si="14"/>
        <v/>
      </c>
      <c r="E342" s="54"/>
      <c r="F342" s="54">
        <f t="shared" si="2"/>
        <v>0</v>
      </c>
      <c r="G342" s="54">
        <f t="shared" si="3"/>
        <v>-10</v>
      </c>
      <c r="H342" s="54"/>
      <c r="I342" s="54"/>
    </row>
    <row r="343" ht="14.25" customHeight="1">
      <c r="B343" s="54"/>
      <c r="C343" s="141" t="str">
        <f t="shared" si="1"/>
        <v>12-1899</v>
      </c>
      <c r="D343" s="54" t="str">
        <f t="shared" si="14"/>
        <v/>
      </c>
      <c r="E343" s="54"/>
      <c r="F343" s="54">
        <f t="shared" si="2"/>
        <v>0</v>
      </c>
      <c r="G343" s="54">
        <f t="shared" si="3"/>
        <v>-10</v>
      </c>
      <c r="H343" s="54"/>
      <c r="I343" s="54"/>
    </row>
    <row r="344" ht="14.25" customHeight="1">
      <c r="B344" s="54"/>
      <c r="C344" s="141" t="str">
        <f t="shared" si="1"/>
        <v>12-1899</v>
      </c>
      <c r="D344" s="54" t="str">
        <f t="shared" si="14"/>
        <v/>
      </c>
      <c r="E344" s="54"/>
      <c r="F344" s="54">
        <f t="shared" si="2"/>
        <v>0</v>
      </c>
      <c r="G344" s="54">
        <f t="shared" si="3"/>
        <v>-10</v>
      </c>
      <c r="H344" s="54"/>
      <c r="I344" s="54"/>
    </row>
    <row r="345" ht="14.25" customHeight="1">
      <c r="B345" s="54"/>
      <c r="C345" s="141" t="str">
        <f t="shared" si="1"/>
        <v>12-1899</v>
      </c>
      <c r="D345" s="54" t="str">
        <f t="shared" si="14"/>
        <v/>
      </c>
      <c r="E345" s="54"/>
      <c r="F345" s="54">
        <f t="shared" si="2"/>
        <v>0</v>
      </c>
      <c r="G345" s="54">
        <f t="shared" si="3"/>
        <v>-10</v>
      </c>
      <c r="H345" s="54"/>
      <c r="I345" s="54"/>
    </row>
    <row r="346" ht="14.25" customHeight="1">
      <c r="B346" s="54"/>
      <c r="C346" s="141" t="str">
        <f t="shared" si="1"/>
        <v>12-1899</v>
      </c>
      <c r="D346" s="54" t="str">
        <f t="shared" si="14"/>
        <v/>
      </c>
      <c r="E346" s="54"/>
      <c r="F346" s="54">
        <f t="shared" si="2"/>
        <v>0</v>
      </c>
      <c r="G346" s="54">
        <f t="shared" si="3"/>
        <v>-10</v>
      </c>
      <c r="H346" s="54"/>
      <c r="I346" s="54"/>
    </row>
    <row r="347" ht="14.25" customHeight="1">
      <c r="B347" s="54"/>
      <c r="C347" s="141" t="str">
        <f t="shared" si="1"/>
        <v>12-1899</v>
      </c>
      <c r="D347" s="54" t="str">
        <f t="shared" si="14"/>
        <v/>
      </c>
      <c r="E347" s="54"/>
      <c r="F347" s="54">
        <f t="shared" si="2"/>
        <v>0</v>
      </c>
      <c r="G347" s="54">
        <f t="shared" si="3"/>
        <v>-10</v>
      </c>
      <c r="H347" s="54"/>
      <c r="I347" s="54"/>
    </row>
    <row r="348" ht="14.25" customHeight="1">
      <c r="B348" s="54"/>
      <c r="C348" s="141" t="str">
        <f t="shared" si="1"/>
        <v>12-1899</v>
      </c>
      <c r="D348" s="54" t="str">
        <f t="shared" si="14"/>
        <v/>
      </c>
      <c r="E348" s="54"/>
      <c r="F348" s="54">
        <f t="shared" si="2"/>
        <v>0</v>
      </c>
      <c r="G348" s="54">
        <f t="shared" si="3"/>
        <v>-10</v>
      </c>
      <c r="H348" s="54"/>
      <c r="I348" s="54"/>
    </row>
    <row r="349" ht="14.25" customHeight="1">
      <c r="B349" s="54"/>
      <c r="C349" s="141" t="str">
        <f t="shared" si="1"/>
        <v>12-1899</v>
      </c>
      <c r="D349" s="54" t="str">
        <f t="shared" si="14"/>
        <v/>
      </c>
      <c r="E349" s="54"/>
      <c r="F349" s="54">
        <f t="shared" si="2"/>
        <v>0</v>
      </c>
      <c r="G349" s="54">
        <f t="shared" si="3"/>
        <v>-10</v>
      </c>
      <c r="H349" s="54"/>
      <c r="I349" s="54"/>
    </row>
    <row r="350" ht="14.25" customHeight="1">
      <c r="B350" s="54"/>
      <c r="C350" s="141" t="str">
        <f t="shared" si="1"/>
        <v>12-1899</v>
      </c>
      <c r="D350" s="54" t="str">
        <f t="shared" si="14"/>
        <v/>
      </c>
      <c r="E350" s="54"/>
      <c r="F350" s="54">
        <f t="shared" si="2"/>
        <v>0</v>
      </c>
      <c r="G350" s="54">
        <f t="shared" si="3"/>
        <v>-10</v>
      </c>
      <c r="H350" s="54"/>
      <c r="I350" s="54"/>
    </row>
    <row r="351" ht="14.25" customHeight="1">
      <c r="B351" s="54"/>
      <c r="C351" s="141" t="str">
        <f t="shared" si="1"/>
        <v>12-1899</v>
      </c>
      <c r="D351" s="54" t="str">
        <f t="shared" si="14"/>
        <v/>
      </c>
      <c r="E351" s="54"/>
      <c r="F351" s="54">
        <f t="shared" si="2"/>
        <v>0</v>
      </c>
      <c r="G351" s="54">
        <f t="shared" si="3"/>
        <v>-10</v>
      </c>
      <c r="H351" s="54"/>
      <c r="I351" s="54"/>
    </row>
    <row r="352" ht="14.25" customHeight="1">
      <c r="B352" s="54"/>
      <c r="C352" s="141" t="str">
        <f t="shared" si="1"/>
        <v>12-1899</v>
      </c>
      <c r="D352" s="54" t="str">
        <f t="shared" si="14"/>
        <v/>
      </c>
      <c r="E352" s="54"/>
      <c r="F352" s="54">
        <f t="shared" si="2"/>
        <v>0</v>
      </c>
      <c r="G352" s="54">
        <f t="shared" si="3"/>
        <v>-10</v>
      </c>
      <c r="H352" s="54"/>
      <c r="I352" s="54"/>
    </row>
    <row r="353" ht="14.25" customHeight="1">
      <c r="B353" s="54"/>
      <c r="C353" s="141" t="str">
        <f t="shared" si="1"/>
        <v>12-1899</v>
      </c>
      <c r="D353" s="54" t="str">
        <f t="shared" si="14"/>
        <v/>
      </c>
      <c r="E353" s="54"/>
      <c r="F353" s="54">
        <f t="shared" si="2"/>
        <v>0</v>
      </c>
      <c r="G353" s="54">
        <f t="shared" si="3"/>
        <v>-10</v>
      </c>
      <c r="H353" s="54"/>
      <c r="I353" s="54"/>
    </row>
    <row r="354" ht="14.25" customHeight="1">
      <c r="B354" s="54"/>
      <c r="C354" s="141" t="str">
        <f t="shared" si="1"/>
        <v>12-1899</v>
      </c>
      <c r="D354" s="54" t="str">
        <f t="shared" si="14"/>
        <v/>
      </c>
      <c r="E354" s="54"/>
      <c r="F354" s="54">
        <f t="shared" si="2"/>
        <v>0</v>
      </c>
      <c r="G354" s="54">
        <f t="shared" si="3"/>
        <v>-10</v>
      </c>
      <c r="H354" s="54"/>
      <c r="I354" s="54"/>
    </row>
    <row r="355" ht="14.25" customHeight="1">
      <c r="B355" s="54"/>
      <c r="C355" s="141" t="str">
        <f t="shared" si="1"/>
        <v>12-1899</v>
      </c>
      <c r="D355" s="54" t="str">
        <f t="shared" si="14"/>
        <v/>
      </c>
      <c r="E355" s="54"/>
      <c r="F355" s="54">
        <f t="shared" si="2"/>
        <v>0</v>
      </c>
      <c r="G355" s="54">
        <f t="shared" si="3"/>
        <v>-10</v>
      </c>
      <c r="H355" s="54"/>
      <c r="I355" s="54"/>
    </row>
    <row r="356" ht="14.25" customHeight="1">
      <c r="B356" s="54"/>
      <c r="C356" s="141" t="str">
        <f t="shared" si="1"/>
        <v>12-1899</v>
      </c>
      <c r="D356" s="54" t="str">
        <f t="shared" si="14"/>
        <v/>
      </c>
      <c r="E356" s="54"/>
      <c r="F356" s="54">
        <f t="shared" si="2"/>
        <v>0</v>
      </c>
      <c r="G356" s="54">
        <f t="shared" si="3"/>
        <v>-10</v>
      </c>
      <c r="H356" s="54"/>
      <c r="I356" s="54"/>
    </row>
    <row r="357" ht="14.25" customHeight="1">
      <c r="B357" s="54"/>
      <c r="C357" s="141" t="str">
        <f t="shared" si="1"/>
        <v>12-1899</v>
      </c>
      <c r="D357" s="54" t="str">
        <f t="shared" si="14"/>
        <v/>
      </c>
      <c r="E357" s="54"/>
      <c r="F357" s="54">
        <f t="shared" si="2"/>
        <v>0</v>
      </c>
      <c r="G357" s="54">
        <f t="shared" si="3"/>
        <v>-10</v>
      </c>
      <c r="H357" s="54"/>
      <c r="I357" s="54"/>
    </row>
    <row r="358" ht="14.25" customHeight="1">
      <c r="B358" s="54"/>
      <c r="C358" s="141" t="str">
        <f t="shared" si="1"/>
        <v>12-1899</v>
      </c>
      <c r="D358" s="54" t="str">
        <f t="shared" si="14"/>
        <v/>
      </c>
      <c r="E358" s="54"/>
      <c r="F358" s="54">
        <f t="shared" si="2"/>
        <v>0</v>
      </c>
      <c r="G358" s="54">
        <f t="shared" si="3"/>
        <v>-10</v>
      </c>
      <c r="H358" s="54"/>
      <c r="I358" s="54"/>
    </row>
    <row r="359" ht="14.25" customHeight="1">
      <c r="B359" s="54"/>
      <c r="C359" s="141" t="str">
        <f t="shared" si="1"/>
        <v>12-1899</v>
      </c>
      <c r="D359" s="54" t="str">
        <f t="shared" si="14"/>
        <v/>
      </c>
      <c r="E359" s="54"/>
      <c r="F359" s="54">
        <f t="shared" si="2"/>
        <v>0</v>
      </c>
      <c r="G359" s="54">
        <f t="shared" si="3"/>
        <v>-10</v>
      </c>
      <c r="H359" s="54"/>
      <c r="I359" s="54"/>
    </row>
    <row r="360" ht="14.25" customHeight="1">
      <c r="B360" s="54"/>
      <c r="C360" s="141" t="str">
        <f t="shared" si="1"/>
        <v>12-1899</v>
      </c>
      <c r="D360" s="54" t="str">
        <f t="shared" si="14"/>
        <v/>
      </c>
      <c r="E360" s="54"/>
      <c r="F360" s="54">
        <f t="shared" si="2"/>
        <v>0</v>
      </c>
      <c r="G360" s="54">
        <f t="shared" si="3"/>
        <v>-10</v>
      </c>
      <c r="H360" s="54"/>
      <c r="I360" s="54"/>
    </row>
    <row r="361" ht="14.25" customHeight="1">
      <c r="B361" s="54"/>
      <c r="C361" s="141" t="str">
        <f t="shared" si="1"/>
        <v>12-1899</v>
      </c>
      <c r="D361" s="54" t="str">
        <f t="shared" si="14"/>
        <v/>
      </c>
      <c r="E361" s="54"/>
      <c r="F361" s="54">
        <f t="shared" si="2"/>
        <v>0</v>
      </c>
      <c r="G361" s="54">
        <f t="shared" si="3"/>
        <v>-10</v>
      </c>
      <c r="H361" s="54"/>
      <c r="I361" s="54"/>
    </row>
    <row r="362" ht="14.25" customHeight="1">
      <c r="B362" s="54"/>
      <c r="C362" s="141" t="str">
        <f t="shared" si="1"/>
        <v>12-1899</v>
      </c>
      <c r="D362" s="54" t="str">
        <f t="shared" si="14"/>
        <v/>
      </c>
      <c r="E362" s="54"/>
      <c r="F362" s="54">
        <f t="shared" si="2"/>
        <v>0</v>
      </c>
      <c r="G362" s="54">
        <f t="shared" si="3"/>
        <v>-10</v>
      </c>
      <c r="H362" s="54"/>
      <c r="I362" s="54"/>
    </row>
    <row r="363" ht="14.25" customHeight="1">
      <c r="B363" s="54"/>
      <c r="C363" s="141" t="str">
        <f t="shared" si="1"/>
        <v>12-1899</v>
      </c>
      <c r="D363" s="54" t="str">
        <f t="shared" si="14"/>
        <v/>
      </c>
      <c r="E363" s="54"/>
      <c r="F363" s="54">
        <f t="shared" si="2"/>
        <v>0</v>
      </c>
      <c r="G363" s="54">
        <f t="shared" si="3"/>
        <v>-10</v>
      </c>
      <c r="H363" s="54"/>
      <c r="I363" s="54"/>
    </row>
    <row r="364" ht="14.25" customHeight="1">
      <c r="B364" s="54"/>
      <c r="C364" s="141" t="str">
        <f t="shared" si="1"/>
        <v>12-1899</v>
      </c>
      <c r="D364" s="54" t="str">
        <f t="shared" si="14"/>
        <v/>
      </c>
      <c r="E364" s="54"/>
      <c r="F364" s="54">
        <f t="shared" si="2"/>
        <v>0</v>
      </c>
      <c r="G364" s="54">
        <f t="shared" si="3"/>
        <v>-10</v>
      </c>
      <c r="H364" s="54"/>
      <c r="I364" s="54"/>
    </row>
    <row r="365" ht="14.25" customHeight="1">
      <c r="B365" s="54"/>
      <c r="C365" s="141" t="str">
        <f t="shared" si="1"/>
        <v>12-1899</v>
      </c>
      <c r="D365" s="54" t="str">
        <f t="shared" si="14"/>
        <v/>
      </c>
      <c r="E365" s="54"/>
      <c r="F365" s="54">
        <f t="shared" si="2"/>
        <v>0</v>
      </c>
      <c r="G365" s="54">
        <f t="shared" si="3"/>
        <v>-10</v>
      </c>
      <c r="H365" s="54"/>
      <c r="I365" s="54"/>
    </row>
    <row r="366" ht="14.25" customHeight="1">
      <c r="B366" s="54"/>
      <c r="C366" s="141" t="str">
        <f t="shared" si="1"/>
        <v>12-1899</v>
      </c>
      <c r="D366" s="54" t="str">
        <f t="shared" si="14"/>
        <v/>
      </c>
      <c r="E366" s="54"/>
      <c r="F366" s="54">
        <f t="shared" si="2"/>
        <v>0</v>
      </c>
      <c r="G366" s="54">
        <f t="shared" si="3"/>
        <v>-10</v>
      </c>
      <c r="H366" s="54"/>
      <c r="I366" s="54"/>
    </row>
    <row r="367" ht="14.25" customHeight="1">
      <c r="B367" s="54"/>
      <c r="C367" s="141" t="str">
        <f t="shared" si="1"/>
        <v>12-1899</v>
      </c>
      <c r="D367" s="54" t="str">
        <f t="shared" si="14"/>
        <v/>
      </c>
      <c r="E367" s="54"/>
      <c r="F367" s="54">
        <f t="shared" si="2"/>
        <v>0</v>
      </c>
      <c r="G367" s="54">
        <f t="shared" si="3"/>
        <v>-10</v>
      </c>
      <c r="H367" s="54"/>
      <c r="I367" s="54"/>
    </row>
    <row r="368" ht="14.25" customHeight="1">
      <c r="B368" s="54"/>
      <c r="C368" s="141" t="str">
        <f t="shared" si="1"/>
        <v>12-1899</v>
      </c>
      <c r="D368" s="54" t="str">
        <f t="shared" si="14"/>
        <v/>
      </c>
      <c r="E368" s="54"/>
      <c r="F368" s="54">
        <f t="shared" si="2"/>
        <v>0</v>
      </c>
      <c r="G368" s="54">
        <f t="shared" si="3"/>
        <v>-10</v>
      </c>
      <c r="H368" s="54"/>
      <c r="I368" s="54"/>
    </row>
    <row r="369" ht="14.25" customHeight="1">
      <c r="B369" s="54"/>
      <c r="C369" s="141" t="str">
        <f t="shared" si="1"/>
        <v>12-1899</v>
      </c>
      <c r="D369" s="54" t="str">
        <f t="shared" si="14"/>
        <v/>
      </c>
      <c r="E369" s="54"/>
      <c r="F369" s="54">
        <f t="shared" si="2"/>
        <v>0</v>
      </c>
      <c r="G369" s="54">
        <f t="shared" si="3"/>
        <v>-10</v>
      </c>
      <c r="H369" s="54"/>
      <c r="I369" s="54"/>
    </row>
    <row r="370" ht="14.25" customHeight="1">
      <c r="B370" s="54"/>
      <c r="C370" s="141" t="str">
        <f t="shared" si="1"/>
        <v>12-1899</v>
      </c>
      <c r="D370" s="54" t="str">
        <f t="shared" si="14"/>
        <v/>
      </c>
      <c r="E370" s="54"/>
      <c r="F370" s="54">
        <f t="shared" si="2"/>
        <v>0</v>
      </c>
      <c r="G370" s="54">
        <f t="shared" si="3"/>
        <v>-10</v>
      </c>
      <c r="H370" s="54"/>
      <c r="I370" s="54"/>
    </row>
    <row r="371" ht="14.25" customHeight="1">
      <c r="B371" s="54"/>
      <c r="C371" s="141" t="str">
        <f t="shared" si="1"/>
        <v>12-1899</v>
      </c>
      <c r="D371" s="54" t="str">
        <f t="shared" si="14"/>
        <v/>
      </c>
      <c r="E371" s="54"/>
      <c r="F371" s="54">
        <f t="shared" si="2"/>
        <v>0</v>
      </c>
      <c r="G371" s="54">
        <f t="shared" si="3"/>
        <v>-10</v>
      </c>
      <c r="H371" s="54"/>
      <c r="I371" s="54"/>
    </row>
    <row r="372" ht="14.25" customHeight="1">
      <c r="B372" s="54"/>
      <c r="C372" s="141" t="str">
        <f t="shared" si="1"/>
        <v>12-1899</v>
      </c>
      <c r="D372" s="54" t="str">
        <f t="shared" si="14"/>
        <v/>
      </c>
      <c r="E372" s="54"/>
      <c r="F372" s="54">
        <f t="shared" si="2"/>
        <v>0</v>
      </c>
      <c r="G372" s="54">
        <f t="shared" si="3"/>
        <v>-10</v>
      </c>
      <c r="H372" s="54"/>
      <c r="I372" s="54"/>
    </row>
    <row r="373" ht="14.25" customHeight="1">
      <c r="B373" s="54"/>
      <c r="C373" s="141" t="str">
        <f t="shared" si="1"/>
        <v>12-1899</v>
      </c>
      <c r="D373" s="54" t="str">
        <f t="shared" si="14"/>
        <v/>
      </c>
      <c r="E373" s="54"/>
      <c r="F373" s="54">
        <f t="shared" si="2"/>
        <v>0</v>
      </c>
      <c r="G373" s="54">
        <f t="shared" si="3"/>
        <v>-10</v>
      </c>
      <c r="H373" s="54"/>
      <c r="I373" s="54"/>
    </row>
    <row r="374" ht="14.25" customHeight="1">
      <c r="B374" s="54"/>
      <c r="C374" s="141" t="str">
        <f t="shared" si="1"/>
        <v>12-1899</v>
      </c>
      <c r="D374" s="54" t="str">
        <f t="shared" si="14"/>
        <v/>
      </c>
      <c r="E374" s="54"/>
      <c r="F374" s="54">
        <f t="shared" si="2"/>
        <v>0</v>
      </c>
      <c r="G374" s="54">
        <f t="shared" si="3"/>
        <v>-10</v>
      </c>
      <c r="H374" s="54"/>
      <c r="I374" s="54"/>
    </row>
    <row r="375" ht="14.25" customHeight="1">
      <c r="B375" s="54"/>
      <c r="C375" s="141" t="str">
        <f t="shared" si="1"/>
        <v>12-1899</v>
      </c>
      <c r="D375" s="54" t="str">
        <f t="shared" si="14"/>
        <v/>
      </c>
      <c r="E375" s="54"/>
      <c r="F375" s="54">
        <f t="shared" si="2"/>
        <v>0</v>
      </c>
      <c r="G375" s="54">
        <f t="shared" si="3"/>
        <v>-10</v>
      </c>
      <c r="H375" s="54"/>
      <c r="I375" s="54"/>
    </row>
    <row r="376" ht="14.25" customHeight="1">
      <c r="B376" s="54"/>
      <c r="C376" s="141" t="str">
        <f t="shared" si="1"/>
        <v>12-1899</v>
      </c>
      <c r="D376" s="54" t="str">
        <f t="shared" si="14"/>
        <v/>
      </c>
      <c r="E376" s="54"/>
      <c r="F376" s="54">
        <f t="shared" si="2"/>
        <v>0</v>
      </c>
      <c r="G376" s="54">
        <f t="shared" si="3"/>
        <v>-10</v>
      </c>
      <c r="H376" s="54"/>
      <c r="I376" s="54"/>
    </row>
    <row r="377" ht="14.25" customHeight="1">
      <c r="B377" s="54"/>
      <c r="C377" s="141" t="str">
        <f t="shared" si="1"/>
        <v>12-1899</v>
      </c>
      <c r="D377" s="54" t="str">
        <f t="shared" si="14"/>
        <v/>
      </c>
      <c r="E377" s="54"/>
      <c r="F377" s="54">
        <f t="shared" si="2"/>
        <v>0</v>
      </c>
      <c r="G377" s="54">
        <f t="shared" si="3"/>
        <v>-10</v>
      </c>
      <c r="H377" s="54"/>
      <c r="I377" s="54"/>
    </row>
    <row r="378" ht="14.25" customHeight="1">
      <c r="B378" s="54"/>
      <c r="C378" s="141" t="str">
        <f t="shared" si="1"/>
        <v>12-1899</v>
      </c>
      <c r="D378" s="54" t="str">
        <f t="shared" si="14"/>
        <v/>
      </c>
      <c r="E378" s="54"/>
      <c r="F378" s="54">
        <f t="shared" si="2"/>
        <v>0</v>
      </c>
      <c r="G378" s="54">
        <f t="shared" si="3"/>
        <v>-10</v>
      </c>
      <c r="H378" s="54"/>
      <c r="I378" s="54"/>
    </row>
    <row r="379" ht="14.25" customHeight="1">
      <c r="B379" s="54"/>
      <c r="C379" s="141" t="str">
        <f t="shared" si="1"/>
        <v>12-1899</v>
      </c>
      <c r="D379" s="54" t="str">
        <f t="shared" si="14"/>
        <v/>
      </c>
      <c r="E379" s="54"/>
      <c r="F379" s="54">
        <f t="shared" si="2"/>
        <v>0</v>
      </c>
      <c r="G379" s="54">
        <f t="shared" si="3"/>
        <v>-10</v>
      </c>
      <c r="H379" s="54"/>
      <c r="I379" s="54"/>
    </row>
    <row r="380" ht="14.25" customHeight="1">
      <c r="B380" s="54"/>
      <c r="C380" s="141" t="str">
        <f t="shared" si="1"/>
        <v>12-1899</v>
      </c>
      <c r="D380" s="54" t="str">
        <f t="shared" si="14"/>
        <v/>
      </c>
      <c r="E380" s="54"/>
      <c r="F380" s="54">
        <f t="shared" si="2"/>
        <v>0</v>
      </c>
      <c r="G380" s="54">
        <f t="shared" si="3"/>
        <v>-10</v>
      </c>
      <c r="H380" s="54"/>
      <c r="I380" s="54"/>
    </row>
    <row r="381" ht="14.25" customHeight="1">
      <c r="B381" s="54"/>
      <c r="C381" s="141" t="str">
        <f t="shared" si="1"/>
        <v>12-1899</v>
      </c>
      <c r="D381" s="54" t="str">
        <f t="shared" si="14"/>
        <v/>
      </c>
      <c r="E381" s="54"/>
      <c r="F381" s="54">
        <f t="shared" si="2"/>
        <v>0</v>
      </c>
      <c r="G381" s="54">
        <f t="shared" si="3"/>
        <v>-10</v>
      </c>
      <c r="H381" s="54"/>
      <c r="I381" s="54"/>
    </row>
    <row r="382" ht="14.25" customHeight="1">
      <c r="B382" s="54"/>
      <c r="C382" s="141" t="str">
        <f t="shared" si="1"/>
        <v>12-1899</v>
      </c>
      <c r="D382" s="54" t="str">
        <f t="shared" si="14"/>
        <v/>
      </c>
      <c r="E382" s="54"/>
      <c r="F382" s="54">
        <f t="shared" si="2"/>
        <v>0</v>
      </c>
      <c r="G382" s="54">
        <f t="shared" si="3"/>
        <v>-10</v>
      </c>
      <c r="H382" s="54"/>
      <c r="I382" s="54"/>
    </row>
    <row r="383" ht="14.25" customHeight="1">
      <c r="B383" s="54"/>
      <c r="C383" s="141" t="str">
        <f t="shared" si="1"/>
        <v>12-1899</v>
      </c>
      <c r="D383" s="54" t="str">
        <f t="shared" si="14"/>
        <v/>
      </c>
      <c r="E383" s="54"/>
      <c r="F383" s="54">
        <f t="shared" si="2"/>
        <v>0</v>
      </c>
      <c r="G383" s="54">
        <f t="shared" si="3"/>
        <v>-10</v>
      </c>
      <c r="H383" s="54"/>
      <c r="I383" s="54"/>
    </row>
    <row r="384" ht="14.25" customHeight="1">
      <c r="B384" s="54"/>
      <c r="C384" s="141" t="str">
        <f t="shared" si="1"/>
        <v>12-1899</v>
      </c>
      <c r="D384" s="54" t="str">
        <f t="shared" si="14"/>
        <v/>
      </c>
      <c r="E384" s="54"/>
      <c r="F384" s="54">
        <f t="shared" si="2"/>
        <v>0</v>
      </c>
      <c r="G384" s="54">
        <f t="shared" si="3"/>
        <v>-10</v>
      </c>
      <c r="H384" s="54"/>
      <c r="I384" s="54"/>
    </row>
    <row r="385" ht="14.25" customHeight="1">
      <c r="B385" s="54"/>
      <c r="C385" s="141" t="str">
        <f t="shared" si="1"/>
        <v>12-1899</v>
      </c>
      <c r="D385" s="54" t="str">
        <f t="shared" si="14"/>
        <v/>
      </c>
      <c r="E385" s="54"/>
      <c r="F385" s="54">
        <f t="shared" si="2"/>
        <v>0</v>
      </c>
      <c r="G385" s="54">
        <f t="shared" si="3"/>
        <v>-10</v>
      </c>
      <c r="H385" s="54"/>
      <c r="I385" s="54"/>
    </row>
    <row r="386" ht="14.25" customHeight="1">
      <c r="B386" s="54"/>
      <c r="C386" s="141" t="str">
        <f t="shared" si="1"/>
        <v>12-1899</v>
      </c>
      <c r="D386" s="54" t="str">
        <f t="shared" si="14"/>
        <v/>
      </c>
      <c r="E386" s="54"/>
      <c r="F386" s="54">
        <f t="shared" si="2"/>
        <v>0</v>
      </c>
      <c r="G386" s="54">
        <f t="shared" si="3"/>
        <v>-10</v>
      </c>
      <c r="H386" s="54"/>
      <c r="I386" s="54"/>
    </row>
    <row r="387" ht="14.25" customHeight="1">
      <c r="B387" s="54"/>
      <c r="C387" s="141" t="str">
        <f t="shared" si="1"/>
        <v>12-1899</v>
      </c>
      <c r="D387" s="54" t="str">
        <f t="shared" si="14"/>
        <v/>
      </c>
      <c r="E387" s="54"/>
      <c r="F387" s="54">
        <f t="shared" si="2"/>
        <v>0</v>
      </c>
      <c r="G387" s="54">
        <f t="shared" si="3"/>
        <v>-10</v>
      </c>
      <c r="H387" s="54"/>
      <c r="I387" s="54"/>
    </row>
    <row r="388" ht="14.25" customHeight="1">
      <c r="B388" s="54"/>
      <c r="C388" s="141" t="str">
        <f t="shared" si="1"/>
        <v>12-1899</v>
      </c>
      <c r="D388" s="54" t="str">
        <f t="shared" si="14"/>
        <v/>
      </c>
      <c r="E388" s="54"/>
      <c r="F388" s="54">
        <f t="shared" si="2"/>
        <v>0</v>
      </c>
      <c r="G388" s="54">
        <f t="shared" si="3"/>
        <v>-10</v>
      </c>
      <c r="H388" s="54"/>
      <c r="I388" s="54"/>
    </row>
    <row r="389" ht="14.25" customHeight="1">
      <c r="B389" s="54"/>
      <c r="C389" s="141" t="str">
        <f t="shared" si="1"/>
        <v>12-1899</v>
      </c>
      <c r="D389" s="54" t="str">
        <f t="shared" si="14"/>
        <v/>
      </c>
      <c r="E389" s="54"/>
      <c r="F389" s="54">
        <f t="shared" si="2"/>
        <v>0</v>
      </c>
      <c r="G389" s="54">
        <f t="shared" si="3"/>
        <v>-10</v>
      </c>
      <c r="H389" s="54"/>
      <c r="I389" s="54"/>
    </row>
    <row r="390" ht="14.25" customHeight="1">
      <c r="B390" s="54"/>
      <c r="C390" s="141" t="str">
        <f t="shared" si="1"/>
        <v>12-1899</v>
      </c>
      <c r="D390" s="54" t="str">
        <f t="shared" si="14"/>
        <v/>
      </c>
      <c r="E390" s="54"/>
      <c r="F390" s="54">
        <f t="shared" si="2"/>
        <v>0</v>
      </c>
      <c r="G390" s="54">
        <f t="shared" si="3"/>
        <v>-10</v>
      </c>
      <c r="H390" s="54"/>
      <c r="I390" s="54"/>
    </row>
    <row r="391" ht="14.25" customHeight="1">
      <c r="B391" s="54"/>
      <c r="C391" s="141" t="str">
        <f t="shared" si="1"/>
        <v>12-1899</v>
      </c>
      <c r="D391" s="54" t="str">
        <f t="shared" si="14"/>
        <v/>
      </c>
      <c r="E391" s="54"/>
      <c r="F391" s="54">
        <f t="shared" si="2"/>
        <v>0</v>
      </c>
      <c r="G391" s="54">
        <f t="shared" si="3"/>
        <v>-10</v>
      </c>
      <c r="H391" s="54"/>
      <c r="I391" s="54"/>
    </row>
    <row r="392" ht="14.25" customHeight="1">
      <c r="B392" s="54"/>
      <c r="C392" s="141" t="str">
        <f t="shared" si="1"/>
        <v>12-1899</v>
      </c>
      <c r="D392" s="54" t="str">
        <f t="shared" si="14"/>
        <v/>
      </c>
      <c r="E392" s="54"/>
      <c r="F392" s="54">
        <f t="shared" si="2"/>
        <v>0</v>
      </c>
      <c r="G392" s="54">
        <f t="shared" si="3"/>
        <v>-10</v>
      </c>
      <c r="H392" s="54"/>
      <c r="I392" s="54"/>
    </row>
    <row r="393" ht="14.25" customHeight="1">
      <c r="B393" s="54"/>
      <c r="C393" s="141" t="str">
        <f t="shared" si="1"/>
        <v>12-1899</v>
      </c>
      <c r="D393" s="54" t="str">
        <f t="shared" si="14"/>
        <v/>
      </c>
      <c r="E393" s="54"/>
      <c r="F393" s="54">
        <f t="shared" si="2"/>
        <v>0</v>
      </c>
      <c r="G393" s="54">
        <f t="shared" si="3"/>
        <v>-10</v>
      </c>
      <c r="H393" s="54"/>
      <c r="I393" s="54"/>
    </row>
    <row r="394" ht="14.25" customHeight="1">
      <c r="B394" s="54"/>
      <c r="C394" s="141" t="str">
        <f t="shared" si="1"/>
        <v>12-1899</v>
      </c>
      <c r="D394" s="54" t="str">
        <f t="shared" si="14"/>
        <v/>
      </c>
      <c r="E394" s="54"/>
      <c r="F394" s="54">
        <f t="shared" si="2"/>
        <v>0</v>
      </c>
      <c r="G394" s="54">
        <f t="shared" si="3"/>
        <v>-10</v>
      </c>
      <c r="H394" s="54"/>
      <c r="I394" s="54"/>
    </row>
    <row r="395" ht="14.25" customHeight="1">
      <c r="B395" s="54"/>
      <c r="C395" s="141" t="str">
        <f t="shared" si="1"/>
        <v>12-1899</v>
      </c>
      <c r="D395" s="54" t="str">
        <f t="shared" si="14"/>
        <v/>
      </c>
      <c r="E395" s="54"/>
      <c r="F395" s="54">
        <f t="shared" si="2"/>
        <v>0</v>
      </c>
      <c r="G395" s="54">
        <f t="shared" si="3"/>
        <v>-10</v>
      </c>
      <c r="H395" s="54"/>
      <c r="I395" s="54"/>
    </row>
    <row r="396" ht="14.25" customHeight="1">
      <c r="B396" s="54"/>
      <c r="C396" s="141" t="str">
        <f t="shared" si="1"/>
        <v>12-1899</v>
      </c>
      <c r="D396" s="54" t="str">
        <f t="shared" si="14"/>
        <v/>
      </c>
      <c r="E396" s="54"/>
      <c r="F396" s="54">
        <f t="shared" si="2"/>
        <v>0</v>
      </c>
      <c r="G396" s="54">
        <f t="shared" si="3"/>
        <v>-10</v>
      </c>
      <c r="H396" s="54"/>
      <c r="I396" s="54"/>
    </row>
    <row r="397" ht="14.25" customHeight="1">
      <c r="B397" s="54"/>
      <c r="C397" s="141" t="str">
        <f t="shared" si="1"/>
        <v>12-1899</v>
      </c>
      <c r="D397" s="54" t="str">
        <f t="shared" si="14"/>
        <v/>
      </c>
      <c r="E397" s="54"/>
      <c r="F397" s="54">
        <f t="shared" si="2"/>
        <v>0</v>
      </c>
      <c r="G397" s="54">
        <f t="shared" si="3"/>
        <v>-10</v>
      </c>
      <c r="H397" s="54"/>
      <c r="I397" s="54"/>
    </row>
    <row r="398" ht="14.25" customHeight="1">
      <c r="B398" s="54"/>
      <c r="C398" s="141" t="str">
        <f t="shared" si="1"/>
        <v>12-1899</v>
      </c>
      <c r="D398" s="54" t="str">
        <f t="shared" si="14"/>
        <v/>
      </c>
      <c r="E398" s="54"/>
      <c r="F398" s="54">
        <f t="shared" si="2"/>
        <v>0</v>
      </c>
      <c r="G398" s="54">
        <f t="shared" si="3"/>
        <v>-10</v>
      </c>
      <c r="H398" s="54"/>
      <c r="I398" s="54"/>
    </row>
    <row r="399" ht="14.25" customHeight="1">
      <c r="B399" s="54"/>
      <c r="C399" s="141" t="str">
        <f t="shared" si="1"/>
        <v>12-1899</v>
      </c>
      <c r="D399" s="54" t="str">
        <f t="shared" si="14"/>
        <v/>
      </c>
      <c r="E399" s="54"/>
      <c r="F399" s="54">
        <f t="shared" si="2"/>
        <v>0</v>
      </c>
      <c r="G399" s="54">
        <f t="shared" si="3"/>
        <v>-10</v>
      </c>
      <c r="H399" s="54"/>
      <c r="I399" s="54"/>
    </row>
    <row r="400" ht="14.25" customHeight="1">
      <c r="B400" s="54"/>
      <c r="C400" s="141" t="str">
        <f t="shared" si="1"/>
        <v>12-1899</v>
      </c>
      <c r="D400" s="54" t="str">
        <f t="shared" si="14"/>
        <v/>
      </c>
      <c r="E400" s="54"/>
      <c r="F400" s="54">
        <f t="shared" si="2"/>
        <v>0</v>
      </c>
      <c r="G400" s="54">
        <f t="shared" si="3"/>
        <v>-10</v>
      </c>
      <c r="H400" s="54"/>
      <c r="I400" s="54"/>
    </row>
    <row r="401" ht="14.25" customHeight="1">
      <c r="B401" s="54"/>
      <c r="C401" s="141" t="str">
        <f t="shared" si="1"/>
        <v>12-1899</v>
      </c>
      <c r="D401" s="54" t="str">
        <f t="shared" si="14"/>
        <v/>
      </c>
      <c r="E401" s="54"/>
      <c r="F401" s="54">
        <f t="shared" si="2"/>
        <v>0</v>
      </c>
      <c r="G401" s="54">
        <f t="shared" si="3"/>
        <v>-10</v>
      </c>
      <c r="H401" s="54"/>
      <c r="I401" s="54"/>
    </row>
    <row r="402" ht="14.25" customHeight="1">
      <c r="B402" s="54"/>
      <c r="C402" s="141" t="str">
        <f t="shared" si="1"/>
        <v>12-1899</v>
      </c>
      <c r="D402" s="54" t="str">
        <f t="shared" si="14"/>
        <v/>
      </c>
      <c r="E402" s="54"/>
      <c r="F402" s="54">
        <f t="shared" si="2"/>
        <v>0</v>
      </c>
      <c r="G402" s="54">
        <f t="shared" si="3"/>
        <v>-10</v>
      </c>
      <c r="H402" s="54"/>
      <c r="I402" s="54"/>
    </row>
    <row r="403" ht="14.25" customHeight="1">
      <c r="B403" s="54"/>
      <c r="C403" s="141" t="str">
        <f t="shared" si="1"/>
        <v>12-1899</v>
      </c>
      <c r="D403" s="54" t="str">
        <f t="shared" si="14"/>
        <v/>
      </c>
      <c r="E403" s="54"/>
      <c r="F403" s="54">
        <f t="shared" si="2"/>
        <v>0</v>
      </c>
      <c r="G403" s="54">
        <f t="shared" si="3"/>
        <v>-10</v>
      </c>
      <c r="H403" s="54"/>
      <c r="I403" s="54"/>
    </row>
    <row r="404" ht="14.25" customHeight="1">
      <c r="B404" s="54"/>
      <c r="C404" s="141" t="str">
        <f t="shared" si="1"/>
        <v>12-1899</v>
      </c>
      <c r="D404" s="54" t="str">
        <f t="shared" si="14"/>
        <v/>
      </c>
      <c r="E404" s="54"/>
      <c r="F404" s="54">
        <f t="shared" si="2"/>
        <v>0</v>
      </c>
      <c r="G404" s="54">
        <f t="shared" si="3"/>
        <v>-10</v>
      </c>
      <c r="H404" s="54"/>
      <c r="I404" s="54"/>
    </row>
    <row r="405" ht="14.25" customHeight="1">
      <c r="B405" s="54"/>
      <c r="C405" s="141" t="str">
        <f t="shared" si="1"/>
        <v>12-1899</v>
      </c>
      <c r="D405" s="54" t="str">
        <f t="shared" si="14"/>
        <v/>
      </c>
      <c r="E405" s="54"/>
      <c r="F405" s="54">
        <f t="shared" si="2"/>
        <v>0</v>
      </c>
      <c r="G405" s="54">
        <f t="shared" si="3"/>
        <v>-10</v>
      </c>
      <c r="H405" s="54"/>
      <c r="I405" s="54"/>
    </row>
    <row r="406" ht="14.25" customHeight="1">
      <c r="B406" s="54"/>
      <c r="C406" s="141" t="str">
        <f t="shared" si="1"/>
        <v>12-1899</v>
      </c>
      <c r="D406" s="54" t="str">
        <f t="shared" si="14"/>
        <v/>
      </c>
      <c r="E406" s="54"/>
      <c r="F406" s="54">
        <f t="shared" si="2"/>
        <v>0</v>
      </c>
      <c r="G406" s="54">
        <f t="shared" si="3"/>
        <v>-10</v>
      </c>
      <c r="H406" s="54"/>
      <c r="I406" s="54"/>
    </row>
    <row r="407" ht="14.25" customHeight="1">
      <c r="B407" s="54"/>
      <c r="C407" s="141" t="str">
        <f t="shared" si="1"/>
        <v>12-1899</v>
      </c>
      <c r="D407" s="54" t="str">
        <f t="shared" si="14"/>
        <v/>
      </c>
      <c r="E407" s="54"/>
      <c r="F407" s="54">
        <f t="shared" si="2"/>
        <v>0</v>
      </c>
      <c r="G407" s="54">
        <f t="shared" si="3"/>
        <v>-10</v>
      </c>
      <c r="H407" s="54"/>
      <c r="I407" s="54"/>
    </row>
    <row r="408" ht="14.25" customHeight="1">
      <c r="B408" s="54"/>
      <c r="C408" s="141" t="str">
        <f t="shared" si="1"/>
        <v>12-1899</v>
      </c>
      <c r="D408" s="54" t="str">
        <f t="shared" si="14"/>
        <v/>
      </c>
      <c r="E408" s="54"/>
      <c r="F408" s="54">
        <f t="shared" si="2"/>
        <v>0</v>
      </c>
      <c r="G408" s="54">
        <f t="shared" si="3"/>
        <v>-10</v>
      </c>
      <c r="H408" s="54"/>
      <c r="I408" s="54"/>
    </row>
    <row r="409" ht="14.25" customHeight="1">
      <c r="B409" s="54"/>
      <c r="C409" s="141" t="str">
        <f t="shared" si="1"/>
        <v>12-1899</v>
      </c>
      <c r="D409" s="54" t="str">
        <f t="shared" si="14"/>
        <v/>
      </c>
      <c r="E409" s="54"/>
      <c r="F409" s="54">
        <f t="shared" si="2"/>
        <v>0</v>
      </c>
      <c r="G409" s="54">
        <f t="shared" si="3"/>
        <v>-10</v>
      </c>
      <c r="H409" s="54"/>
      <c r="I409" s="54"/>
    </row>
    <row r="410" ht="14.25" customHeight="1">
      <c r="B410" s="54"/>
      <c r="C410" s="141" t="str">
        <f t="shared" si="1"/>
        <v>12-1899</v>
      </c>
      <c r="D410" s="54" t="str">
        <f t="shared" si="14"/>
        <v/>
      </c>
      <c r="E410" s="54"/>
      <c r="F410" s="54">
        <f t="shared" si="2"/>
        <v>0</v>
      </c>
      <c r="G410" s="54">
        <f t="shared" si="3"/>
        <v>-10</v>
      </c>
      <c r="H410" s="54"/>
      <c r="I410" s="54"/>
    </row>
    <row r="411" ht="14.25" customHeight="1">
      <c r="B411" s="54"/>
      <c r="C411" s="141" t="str">
        <f t="shared" si="1"/>
        <v>12-1899</v>
      </c>
      <c r="D411" s="54" t="str">
        <f t="shared" si="14"/>
        <v/>
      </c>
      <c r="E411" s="54"/>
      <c r="F411" s="54">
        <f t="shared" si="2"/>
        <v>0</v>
      </c>
      <c r="G411" s="54">
        <f t="shared" si="3"/>
        <v>-10</v>
      </c>
      <c r="H411" s="54"/>
      <c r="I411" s="54"/>
    </row>
    <row r="412" ht="14.25" customHeight="1">
      <c r="B412" s="54"/>
      <c r="C412" s="141" t="str">
        <f t="shared" si="1"/>
        <v>12-1899</v>
      </c>
      <c r="D412" s="54" t="str">
        <f t="shared" si="14"/>
        <v/>
      </c>
      <c r="E412" s="54"/>
      <c r="F412" s="54">
        <f t="shared" si="2"/>
        <v>0</v>
      </c>
      <c r="G412" s="54">
        <f t="shared" si="3"/>
        <v>-10</v>
      </c>
      <c r="H412" s="54"/>
      <c r="I412" s="54"/>
    </row>
    <row r="413" ht="14.25" customHeight="1">
      <c r="B413" s="54"/>
      <c r="C413" s="141" t="str">
        <f t="shared" si="1"/>
        <v>12-1899</v>
      </c>
      <c r="D413" s="54" t="str">
        <f t="shared" si="14"/>
        <v/>
      </c>
      <c r="E413" s="54"/>
      <c r="F413" s="54">
        <f t="shared" si="2"/>
        <v>0</v>
      </c>
      <c r="G413" s="54">
        <f t="shared" si="3"/>
        <v>-10</v>
      </c>
      <c r="H413" s="54"/>
      <c r="I413" s="54"/>
    </row>
    <row r="414" ht="14.25" customHeight="1">
      <c r="B414" s="54"/>
      <c r="C414" s="141" t="str">
        <f t="shared" si="1"/>
        <v>12-1899</v>
      </c>
      <c r="D414" s="54" t="str">
        <f t="shared" si="14"/>
        <v/>
      </c>
      <c r="E414" s="54"/>
      <c r="F414" s="54">
        <f t="shared" si="2"/>
        <v>0</v>
      </c>
      <c r="G414" s="54">
        <f t="shared" si="3"/>
        <v>-10</v>
      </c>
      <c r="H414" s="54"/>
      <c r="I414" s="54"/>
    </row>
    <row r="415" ht="14.25" customHeight="1">
      <c r="B415" s="54"/>
      <c r="C415" s="141" t="str">
        <f t="shared" si="1"/>
        <v>12-1899</v>
      </c>
      <c r="D415" s="54" t="str">
        <f t="shared" si="14"/>
        <v/>
      </c>
      <c r="E415" s="54"/>
      <c r="F415" s="54">
        <f t="shared" si="2"/>
        <v>0</v>
      </c>
      <c r="G415" s="54">
        <f t="shared" si="3"/>
        <v>-10</v>
      </c>
      <c r="H415" s="54"/>
      <c r="I415" s="54"/>
    </row>
    <row r="416" ht="14.25" customHeight="1">
      <c r="B416" s="54"/>
      <c r="C416" s="141" t="str">
        <f t="shared" si="1"/>
        <v>12-1899</v>
      </c>
      <c r="D416" s="54" t="str">
        <f t="shared" si="14"/>
        <v/>
      </c>
      <c r="E416" s="54"/>
      <c r="F416" s="54">
        <f t="shared" si="2"/>
        <v>0</v>
      </c>
      <c r="G416" s="54">
        <f t="shared" si="3"/>
        <v>-10</v>
      </c>
      <c r="H416" s="54"/>
      <c r="I416" s="54"/>
    </row>
    <row r="417" ht="14.25" customHeight="1">
      <c r="B417" s="54"/>
      <c r="C417" s="141" t="str">
        <f t="shared" si="1"/>
        <v>12-1899</v>
      </c>
      <c r="D417" s="54" t="str">
        <f t="shared" si="14"/>
        <v/>
      </c>
      <c r="E417" s="54"/>
      <c r="F417" s="54">
        <f t="shared" si="2"/>
        <v>0</v>
      </c>
      <c r="G417" s="54">
        <f t="shared" si="3"/>
        <v>-10</v>
      </c>
      <c r="H417" s="54"/>
      <c r="I417" s="54"/>
    </row>
    <row r="418" ht="14.25" customHeight="1">
      <c r="B418" s="54"/>
      <c r="C418" s="141" t="str">
        <f t="shared" si="1"/>
        <v>12-1899</v>
      </c>
      <c r="D418" s="54" t="str">
        <f t="shared" si="14"/>
        <v/>
      </c>
      <c r="E418" s="54"/>
      <c r="F418" s="54">
        <f t="shared" si="2"/>
        <v>0</v>
      </c>
      <c r="G418" s="54">
        <f t="shared" si="3"/>
        <v>-10</v>
      </c>
      <c r="H418" s="54"/>
      <c r="I418" s="54"/>
    </row>
    <row r="419" ht="14.25" customHeight="1">
      <c r="B419" s="54"/>
      <c r="C419" s="141" t="str">
        <f t="shared" si="1"/>
        <v>12-1899</v>
      </c>
      <c r="D419" s="54" t="str">
        <f t="shared" si="14"/>
        <v/>
      </c>
      <c r="E419" s="54"/>
      <c r="F419" s="54">
        <f t="shared" si="2"/>
        <v>0</v>
      </c>
      <c r="G419" s="54">
        <f t="shared" si="3"/>
        <v>-10</v>
      </c>
      <c r="H419" s="54"/>
      <c r="I419" s="54"/>
    </row>
    <row r="420" ht="14.25" customHeight="1">
      <c r="B420" s="54"/>
      <c r="C420" s="141" t="str">
        <f t="shared" si="1"/>
        <v>12-1899</v>
      </c>
      <c r="D420" s="54" t="str">
        <f t="shared" si="14"/>
        <v/>
      </c>
      <c r="E420" s="54"/>
      <c r="F420" s="54">
        <f t="shared" si="2"/>
        <v>0</v>
      </c>
      <c r="G420" s="54">
        <f t="shared" si="3"/>
        <v>-10</v>
      </c>
      <c r="H420" s="54"/>
      <c r="I420" s="54"/>
    </row>
    <row r="421" ht="14.25" customHeight="1">
      <c r="B421" s="54"/>
      <c r="C421" s="141" t="str">
        <f t="shared" si="1"/>
        <v>12-1899</v>
      </c>
      <c r="D421" s="54" t="str">
        <f t="shared" si="14"/>
        <v/>
      </c>
      <c r="E421" s="54"/>
      <c r="F421" s="54">
        <f t="shared" si="2"/>
        <v>0</v>
      </c>
      <c r="G421" s="54">
        <f t="shared" si="3"/>
        <v>-10</v>
      </c>
      <c r="H421" s="54"/>
      <c r="I421" s="54"/>
    </row>
    <row r="422" ht="14.25" customHeight="1">
      <c r="B422" s="54"/>
      <c r="C422" s="141" t="str">
        <f t="shared" si="1"/>
        <v>12-1899</v>
      </c>
      <c r="D422" s="54" t="str">
        <f t="shared" si="14"/>
        <v/>
      </c>
      <c r="E422" s="54"/>
      <c r="F422" s="54">
        <f t="shared" si="2"/>
        <v>0</v>
      </c>
      <c r="G422" s="54">
        <f t="shared" si="3"/>
        <v>-10</v>
      </c>
      <c r="H422" s="54"/>
      <c r="I422" s="54"/>
    </row>
    <row r="423" ht="14.25" customHeight="1">
      <c r="B423" s="54"/>
      <c r="C423" s="141" t="str">
        <f t="shared" si="1"/>
        <v>12-1899</v>
      </c>
      <c r="D423" s="54" t="str">
        <f t="shared" si="14"/>
        <v/>
      </c>
      <c r="E423" s="54"/>
      <c r="F423" s="54">
        <f t="shared" si="2"/>
        <v>0</v>
      </c>
      <c r="G423" s="54">
        <f t="shared" si="3"/>
        <v>-10</v>
      </c>
      <c r="H423" s="54"/>
      <c r="I423" s="54"/>
    </row>
    <row r="424" ht="14.25" customHeight="1">
      <c r="B424" s="54"/>
      <c r="C424" s="141" t="str">
        <f t="shared" si="1"/>
        <v>12-1899</v>
      </c>
      <c r="D424" s="54" t="str">
        <f t="shared" si="14"/>
        <v/>
      </c>
      <c r="E424" s="54"/>
      <c r="F424" s="54">
        <f t="shared" si="2"/>
        <v>0</v>
      </c>
      <c r="G424" s="54">
        <f t="shared" si="3"/>
        <v>-10</v>
      </c>
      <c r="H424" s="54"/>
      <c r="I424" s="54"/>
    </row>
    <row r="425" ht="14.25" customHeight="1">
      <c r="B425" s="54"/>
      <c r="C425" s="141" t="str">
        <f t="shared" si="1"/>
        <v>12-1899</v>
      </c>
      <c r="D425" s="54" t="str">
        <f t="shared" si="14"/>
        <v/>
      </c>
      <c r="E425" s="54"/>
      <c r="F425" s="54">
        <f t="shared" si="2"/>
        <v>0</v>
      </c>
      <c r="G425" s="54">
        <f t="shared" si="3"/>
        <v>-10</v>
      </c>
      <c r="H425" s="54"/>
      <c r="I425" s="54"/>
    </row>
    <row r="426" ht="14.25" customHeight="1">
      <c r="B426" s="54"/>
      <c r="C426" s="141" t="str">
        <f t="shared" si="1"/>
        <v>12-1899</v>
      </c>
      <c r="D426" s="54" t="str">
        <f t="shared" si="14"/>
        <v/>
      </c>
      <c r="E426" s="54"/>
      <c r="F426" s="54">
        <f t="shared" si="2"/>
        <v>0</v>
      </c>
      <c r="G426" s="54">
        <f t="shared" si="3"/>
        <v>-10</v>
      </c>
      <c r="H426" s="54"/>
      <c r="I426" s="54"/>
    </row>
    <row r="427" ht="14.25" customHeight="1">
      <c r="B427" s="54"/>
      <c r="C427" s="141" t="str">
        <f t="shared" si="1"/>
        <v>12-1899</v>
      </c>
      <c r="D427" s="54" t="str">
        <f t="shared" si="14"/>
        <v/>
      </c>
      <c r="E427" s="54"/>
      <c r="F427" s="54">
        <f t="shared" si="2"/>
        <v>0</v>
      </c>
      <c r="G427" s="54">
        <f t="shared" si="3"/>
        <v>-10</v>
      </c>
      <c r="H427" s="54"/>
      <c r="I427" s="54"/>
    </row>
    <row r="428" ht="14.25" customHeight="1">
      <c r="B428" s="54"/>
      <c r="C428" s="141" t="str">
        <f t="shared" si="1"/>
        <v>12-1899</v>
      </c>
      <c r="D428" s="54" t="str">
        <f t="shared" si="14"/>
        <v/>
      </c>
      <c r="E428" s="54"/>
      <c r="F428" s="54">
        <f t="shared" si="2"/>
        <v>0</v>
      </c>
      <c r="G428" s="54">
        <f t="shared" si="3"/>
        <v>-10</v>
      </c>
      <c r="H428" s="54"/>
      <c r="I428" s="54"/>
    </row>
    <row r="429" ht="14.25" customHeight="1">
      <c r="B429" s="54"/>
      <c r="C429" s="141" t="str">
        <f t="shared" si="1"/>
        <v>12-1899</v>
      </c>
      <c r="D429" s="54" t="str">
        <f t="shared" si="14"/>
        <v/>
      </c>
      <c r="E429" s="54"/>
      <c r="F429" s="54">
        <f t="shared" si="2"/>
        <v>0</v>
      </c>
      <c r="G429" s="54">
        <f t="shared" si="3"/>
        <v>-10</v>
      </c>
      <c r="H429" s="54"/>
      <c r="I429" s="54"/>
    </row>
    <row r="430" ht="14.25" customHeight="1">
      <c r="B430" s="54"/>
      <c r="C430" s="141" t="str">
        <f t="shared" si="1"/>
        <v>12-1899</v>
      </c>
      <c r="D430" s="54" t="str">
        <f t="shared" si="14"/>
        <v/>
      </c>
      <c r="E430" s="54"/>
      <c r="F430" s="54">
        <f t="shared" si="2"/>
        <v>0</v>
      </c>
      <c r="G430" s="54">
        <f t="shared" si="3"/>
        <v>-10</v>
      </c>
      <c r="H430" s="54"/>
      <c r="I430" s="54"/>
    </row>
    <row r="431" ht="14.25" customHeight="1">
      <c r="B431" s="54"/>
      <c r="C431" s="141" t="str">
        <f t="shared" si="1"/>
        <v>12-1899</v>
      </c>
      <c r="D431" s="54" t="str">
        <f t="shared" si="14"/>
        <v/>
      </c>
      <c r="E431" s="54"/>
      <c r="F431" s="54">
        <f t="shared" si="2"/>
        <v>0</v>
      </c>
      <c r="G431" s="54">
        <f t="shared" si="3"/>
        <v>-10</v>
      </c>
      <c r="H431" s="54"/>
      <c r="I431" s="54"/>
    </row>
    <row r="432" ht="14.25" customHeight="1">
      <c r="B432" s="54"/>
      <c r="C432" s="141" t="str">
        <f t="shared" si="1"/>
        <v>12-1899</v>
      </c>
      <c r="D432" s="54" t="str">
        <f t="shared" si="14"/>
        <v/>
      </c>
      <c r="E432" s="54"/>
      <c r="F432" s="54">
        <f t="shared" si="2"/>
        <v>0</v>
      </c>
      <c r="G432" s="54">
        <f t="shared" si="3"/>
        <v>-10</v>
      </c>
      <c r="H432" s="54"/>
      <c r="I432" s="54"/>
    </row>
    <row r="433" ht="14.25" customHeight="1">
      <c r="B433" s="54"/>
      <c r="C433" s="141" t="str">
        <f t="shared" si="1"/>
        <v>12-1899</v>
      </c>
      <c r="D433" s="54" t="str">
        <f t="shared" si="14"/>
        <v/>
      </c>
      <c r="E433" s="54"/>
      <c r="F433" s="54">
        <f t="shared" si="2"/>
        <v>0</v>
      </c>
      <c r="G433" s="54">
        <f t="shared" si="3"/>
        <v>-10</v>
      </c>
      <c r="H433" s="54"/>
      <c r="I433" s="54"/>
    </row>
    <row r="434" ht="14.25" customHeight="1">
      <c r="B434" s="54"/>
      <c r="C434" s="141" t="str">
        <f t="shared" si="1"/>
        <v>12-1899</v>
      </c>
      <c r="D434" s="54" t="str">
        <f t="shared" si="14"/>
        <v/>
      </c>
      <c r="E434" s="54"/>
      <c r="F434" s="54">
        <f t="shared" si="2"/>
        <v>0</v>
      </c>
      <c r="G434" s="54">
        <f t="shared" si="3"/>
        <v>-10</v>
      </c>
      <c r="H434" s="54"/>
      <c r="I434" s="54"/>
    </row>
    <row r="435" ht="14.25" customHeight="1">
      <c r="B435" s="54"/>
      <c r="C435" s="141" t="str">
        <f t="shared" si="1"/>
        <v>12-1899</v>
      </c>
      <c r="D435" s="54" t="str">
        <f t="shared" si="14"/>
        <v/>
      </c>
      <c r="E435" s="54"/>
      <c r="F435" s="54">
        <f t="shared" si="2"/>
        <v>0</v>
      </c>
      <c r="G435" s="54">
        <f t="shared" si="3"/>
        <v>-10</v>
      </c>
      <c r="H435" s="54"/>
      <c r="I435" s="54"/>
    </row>
    <row r="436" ht="14.25" customHeight="1">
      <c r="B436" s="54"/>
      <c r="C436" s="141" t="str">
        <f t="shared" si="1"/>
        <v>12-1899</v>
      </c>
      <c r="D436" s="54" t="str">
        <f t="shared" si="14"/>
        <v/>
      </c>
      <c r="E436" s="54"/>
      <c r="F436" s="54">
        <f t="shared" si="2"/>
        <v>0</v>
      </c>
      <c r="G436" s="54">
        <f t="shared" si="3"/>
        <v>-10</v>
      </c>
      <c r="H436" s="54"/>
      <c r="I436" s="54"/>
    </row>
    <row r="437" ht="14.25" customHeight="1">
      <c r="B437" s="54"/>
      <c r="C437" s="141" t="str">
        <f t="shared" si="1"/>
        <v>12-1899</v>
      </c>
      <c r="D437" s="54" t="str">
        <f t="shared" si="14"/>
        <v/>
      </c>
      <c r="E437" s="54"/>
      <c r="F437" s="54">
        <f t="shared" si="2"/>
        <v>0</v>
      </c>
      <c r="G437" s="54">
        <f t="shared" si="3"/>
        <v>-10</v>
      </c>
      <c r="H437" s="54"/>
      <c r="I437" s="54"/>
    </row>
    <row r="438" ht="14.25" customHeight="1">
      <c r="B438" s="54"/>
      <c r="C438" s="141" t="str">
        <f t="shared" si="1"/>
        <v>12-1899</v>
      </c>
      <c r="D438" s="54" t="str">
        <f t="shared" si="14"/>
        <v/>
      </c>
      <c r="E438" s="54"/>
      <c r="F438" s="54">
        <f t="shared" si="2"/>
        <v>0</v>
      </c>
      <c r="G438" s="54">
        <f t="shared" si="3"/>
        <v>-10</v>
      </c>
      <c r="H438" s="54"/>
      <c r="I438" s="54"/>
    </row>
    <row r="439" ht="14.25" customHeight="1">
      <c r="B439" s="54"/>
      <c r="C439" s="141" t="str">
        <f t="shared" si="1"/>
        <v>12-1899</v>
      </c>
      <c r="D439" s="54" t="str">
        <f t="shared" si="14"/>
        <v/>
      </c>
      <c r="E439" s="54"/>
      <c r="F439" s="54">
        <f t="shared" si="2"/>
        <v>0</v>
      </c>
      <c r="G439" s="54">
        <f t="shared" si="3"/>
        <v>-10</v>
      </c>
      <c r="H439" s="54"/>
      <c r="I439" s="54"/>
    </row>
    <row r="440" ht="14.25" customHeight="1">
      <c r="B440" s="54"/>
      <c r="C440" s="141" t="str">
        <f t="shared" si="1"/>
        <v>12-1899</v>
      </c>
      <c r="D440" s="54" t="str">
        <f t="shared" si="14"/>
        <v/>
      </c>
      <c r="E440" s="54"/>
      <c r="F440" s="54">
        <f t="shared" si="2"/>
        <v>0</v>
      </c>
      <c r="G440" s="54">
        <f t="shared" si="3"/>
        <v>-10</v>
      </c>
      <c r="H440" s="54"/>
      <c r="I440" s="54"/>
    </row>
    <row r="441" ht="14.25" customHeight="1">
      <c r="B441" s="54"/>
      <c r="C441" s="141" t="str">
        <f t="shared" si="1"/>
        <v>12-1899</v>
      </c>
      <c r="D441" s="54" t="str">
        <f t="shared" si="14"/>
        <v/>
      </c>
      <c r="E441" s="54"/>
      <c r="F441" s="54">
        <f t="shared" si="2"/>
        <v>0</v>
      </c>
      <c r="G441" s="54">
        <f t="shared" si="3"/>
        <v>-10</v>
      </c>
      <c r="H441" s="54"/>
      <c r="I441" s="54"/>
    </row>
    <row r="442" ht="14.25" customHeight="1">
      <c r="B442" s="54"/>
      <c r="C442" s="141" t="str">
        <f t="shared" si="1"/>
        <v>12-1899</v>
      </c>
      <c r="D442" s="54" t="str">
        <f t="shared" si="14"/>
        <v/>
      </c>
      <c r="E442" s="54"/>
      <c r="F442" s="54">
        <f t="shared" si="2"/>
        <v>0</v>
      </c>
      <c r="G442" s="54">
        <f t="shared" si="3"/>
        <v>-10</v>
      </c>
      <c r="H442" s="54"/>
      <c r="I442" s="54"/>
    </row>
    <row r="443" ht="14.25" customHeight="1">
      <c r="B443" s="54"/>
      <c r="C443" s="141" t="str">
        <f t="shared" si="1"/>
        <v>12-1899</v>
      </c>
      <c r="D443" s="54" t="str">
        <f t="shared" si="14"/>
        <v/>
      </c>
      <c r="E443" s="54"/>
      <c r="F443" s="54">
        <f t="shared" si="2"/>
        <v>0</v>
      </c>
      <c r="G443" s="54">
        <f t="shared" si="3"/>
        <v>-10</v>
      </c>
      <c r="H443" s="54"/>
      <c r="I443" s="54"/>
    </row>
    <row r="444" ht="14.25" customHeight="1">
      <c r="B444" s="54"/>
      <c r="C444" s="141" t="str">
        <f t="shared" si="1"/>
        <v>12-1899</v>
      </c>
      <c r="D444" s="54" t="str">
        <f t="shared" si="14"/>
        <v/>
      </c>
      <c r="E444" s="54"/>
      <c r="F444" s="54">
        <f t="shared" si="2"/>
        <v>0</v>
      </c>
      <c r="G444" s="54">
        <f t="shared" si="3"/>
        <v>-10</v>
      </c>
      <c r="H444" s="54"/>
      <c r="I444" s="54"/>
    </row>
    <row r="445" ht="14.25" customHeight="1">
      <c r="B445" s="54"/>
      <c r="C445" s="141" t="str">
        <f t="shared" si="1"/>
        <v>12-1899</v>
      </c>
      <c r="D445" s="54" t="str">
        <f t="shared" si="14"/>
        <v/>
      </c>
      <c r="E445" s="54"/>
      <c r="F445" s="54">
        <f t="shared" si="2"/>
        <v>0</v>
      </c>
      <c r="G445" s="54">
        <f t="shared" si="3"/>
        <v>-10</v>
      </c>
      <c r="H445" s="54"/>
      <c r="I445" s="54"/>
    </row>
    <row r="446" ht="14.25" customHeight="1">
      <c r="B446" s="54"/>
      <c r="C446" s="141" t="str">
        <f t="shared" si="1"/>
        <v>12-1899</v>
      </c>
      <c r="D446" s="54" t="str">
        <f t="shared" si="14"/>
        <v/>
      </c>
      <c r="E446" s="54"/>
      <c r="F446" s="54">
        <f t="shared" si="2"/>
        <v>0</v>
      </c>
      <c r="G446" s="54">
        <f t="shared" si="3"/>
        <v>-10</v>
      </c>
      <c r="H446" s="54"/>
      <c r="I446" s="54"/>
    </row>
    <row r="447" ht="14.25" customHeight="1">
      <c r="B447" s="54"/>
      <c r="C447" s="141" t="str">
        <f t="shared" si="1"/>
        <v>12-1899</v>
      </c>
      <c r="D447" s="54" t="str">
        <f t="shared" si="14"/>
        <v/>
      </c>
      <c r="E447" s="54"/>
      <c r="F447" s="54">
        <f t="shared" si="2"/>
        <v>0</v>
      </c>
      <c r="G447" s="54">
        <f t="shared" si="3"/>
        <v>-10</v>
      </c>
      <c r="H447" s="54"/>
      <c r="I447" s="54"/>
    </row>
    <row r="448" ht="14.25" customHeight="1">
      <c r="B448" s="54"/>
      <c r="C448" s="141" t="str">
        <f t="shared" si="1"/>
        <v>12-1899</v>
      </c>
      <c r="D448" s="54" t="str">
        <f t="shared" si="14"/>
        <v/>
      </c>
      <c r="E448" s="54"/>
      <c r="F448" s="54">
        <f t="shared" si="2"/>
        <v>0</v>
      </c>
      <c r="G448" s="54">
        <f t="shared" si="3"/>
        <v>-10</v>
      </c>
      <c r="H448" s="54"/>
      <c r="I448" s="54"/>
    </row>
    <row r="449" ht="14.25" customHeight="1">
      <c r="B449" s="54"/>
      <c r="C449" s="141" t="str">
        <f t="shared" si="1"/>
        <v>12-1899</v>
      </c>
      <c r="D449" s="54" t="str">
        <f t="shared" si="14"/>
        <v/>
      </c>
      <c r="E449" s="54"/>
      <c r="F449" s="54">
        <f t="shared" si="2"/>
        <v>0</v>
      </c>
      <c r="G449" s="54">
        <f t="shared" si="3"/>
        <v>-10</v>
      </c>
      <c r="H449" s="54"/>
      <c r="I449" s="54"/>
    </row>
    <row r="450" ht="14.25" customHeight="1">
      <c r="B450" s="54"/>
      <c r="C450" s="141" t="str">
        <f t="shared" si="1"/>
        <v>12-1899</v>
      </c>
      <c r="D450" s="54" t="str">
        <f t="shared" si="14"/>
        <v/>
      </c>
      <c r="E450" s="54"/>
      <c r="F450" s="54">
        <f t="shared" si="2"/>
        <v>0</v>
      </c>
      <c r="G450" s="54">
        <f t="shared" si="3"/>
        <v>-10</v>
      </c>
      <c r="H450" s="54"/>
      <c r="I450" s="54"/>
    </row>
    <row r="451" ht="14.25" customHeight="1">
      <c r="B451" s="54"/>
      <c r="C451" s="141" t="str">
        <f t="shared" si="1"/>
        <v>12-1899</v>
      </c>
      <c r="D451" s="54" t="str">
        <f t="shared" si="14"/>
        <v/>
      </c>
      <c r="E451" s="54"/>
      <c r="F451" s="54">
        <f t="shared" si="2"/>
        <v>0</v>
      </c>
      <c r="G451" s="54">
        <f t="shared" si="3"/>
        <v>-10</v>
      </c>
      <c r="H451" s="54"/>
      <c r="I451" s="54"/>
    </row>
    <row r="452" ht="14.25" customHeight="1">
      <c r="B452" s="54"/>
      <c r="C452" s="141" t="str">
        <f t="shared" si="1"/>
        <v>12-1899</v>
      </c>
      <c r="D452" s="54" t="str">
        <f t="shared" si="14"/>
        <v/>
      </c>
      <c r="E452" s="54"/>
      <c r="F452" s="54">
        <f t="shared" si="2"/>
        <v>0</v>
      </c>
      <c r="G452" s="54">
        <f t="shared" si="3"/>
        <v>-10</v>
      </c>
      <c r="H452" s="54"/>
      <c r="I452" s="54"/>
    </row>
    <row r="453" ht="14.25" customHeight="1">
      <c r="B453" s="54"/>
      <c r="C453" s="141" t="str">
        <f t="shared" si="1"/>
        <v>12-1899</v>
      </c>
      <c r="D453" s="54" t="str">
        <f t="shared" si="14"/>
        <v/>
      </c>
      <c r="E453" s="54"/>
      <c r="F453" s="54">
        <f t="shared" si="2"/>
        <v>0</v>
      </c>
      <c r="G453" s="54">
        <f t="shared" si="3"/>
        <v>-10</v>
      </c>
      <c r="H453" s="54"/>
      <c r="I453" s="54"/>
    </row>
    <row r="454" ht="14.25" customHeight="1">
      <c r="B454" s="54"/>
      <c r="C454" s="141" t="str">
        <f t="shared" si="1"/>
        <v>12-1899</v>
      </c>
      <c r="D454" s="54" t="str">
        <f t="shared" si="14"/>
        <v/>
      </c>
      <c r="E454" s="54"/>
      <c r="F454" s="54">
        <f t="shared" si="2"/>
        <v>0</v>
      </c>
      <c r="G454" s="54">
        <f t="shared" si="3"/>
        <v>-10</v>
      </c>
      <c r="H454" s="54"/>
      <c r="I454" s="54"/>
    </row>
    <row r="455" ht="14.25" customHeight="1">
      <c r="B455" s="54"/>
      <c r="C455" s="141" t="str">
        <f t="shared" si="1"/>
        <v>12-1899</v>
      </c>
      <c r="D455" s="54" t="str">
        <f t="shared" si="14"/>
        <v/>
      </c>
      <c r="E455" s="54"/>
      <c r="F455" s="54">
        <f t="shared" si="2"/>
        <v>0</v>
      </c>
      <c r="G455" s="54">
        <f t="shared" si="3"/>
        <v>-10</v>
      </c>
      <c r="H455" s="54"/>
      <c r="I455" s="54"/>
    </row>
    <row r="456" ht="14.25" customHeight="1">
      <c r="B456" s="54"/>
      <c r="C456" s="141" t="str">
        <f t="shared" si="1"/>
        <v>12-1899</v>
      </c>
      <c r="D456" s="54" t="str">
        <f t="shared" si="14"/>
        <v/>
      </c>
      <c r="E456" s="54"/>
      <c r="F456" s="54">
        <f t="shared" si="2"/>
        <v>0</v>
      </c>
      <c r="G456" s="54">
        <f t="shared" si="3"/>
        <v>-10</v>
      </c>
      <c r="H456" s="54"/>
      <c r="I456" s="54"/>
    </row>
    <row r="457" ht="14.25" customHeight="1">
      <c r="B457" s="54"/>
      <c r="C457" s="141" t="str">
        <f t="shared" si="1"/>
        <v>12-1899</v>
      </c>
      <c r="D457" s="54" t="str">
        <f t="shared" si="14"/>
        <v/>
      </c>
      <c r="E457" s="54"/>
      <c r="F457" s="54">
        <f t="shared" si="2"/>
        <v>0</v>
      </c>
      <c r="G457" s="54">
        <f t="shared" si="3"/>
        <v>-10</v>
      </c>
      <c r="H457" s="54"/>
      <c r="I457" s="54"/>
    </row>
    <row r="458" ht="14.25" customHeight="1">
      <c r="B458" s="54"/>
      <c r="C458" s="141" t="str">
        <f t="shared" si="1"/>
        <v>12-1899</v>
      </c>
      <c r="D458" s="54" t="str">
        <f t="shared" si="14"/>
        <v/>
      </c>
      <c r="E458" s="54"/>
      <c r="F458" s="54">
        <f t="shared" si="2"/>
        <v>0</v>
      </c>
      <c r="G458" s="54">
        <f t="shared" si="3"/>
        <v>-10</v>
      </c>
      <c r="H458" s="54"/>
      <c r="I458" s="54"/>
    </row>
    <row r="459" ht="14.25" customHeight="1">
      <c r="B459" s="54"/>
      <c r="C459" s="141" t="str">
        <f t="shared" si="1"/>
        <v>12-1899</v>
      </c>
      <c r="D459" s="54" t="str">
        <f t="shared" si="14"/>
        <v/>
      </c>
      <c r="E459" s="54"/>
      <c r="F459" s="54">
        <f t="shared" si="2"/>
        <v>0</v>
      </c>
      <c r="G459" s="54">
        <f t="shared" si="3"/>
        <v>-10</v>
      </c>
      <c r="H459" s="54"/>
      <c r="I459" s="54"/>
    </row>
    <row r="460" ht="14.25" customHeight="1">
      <c r="B460" s="54"/>
      <c r="C460" s="141" t="str">
        <f t="shared" si="1"/>
        <v>12-1899</v>
      </c>
      <c r="D460" s="54" t="str">
        <f t="shared" si="14"/>
        <v/>
      </c>
      <c r="E460" s="54"/>
      <c r="F460" s="54">
        <f t="shared" si="2"/>
        <v>0</v>
      </c>
      <c r="G460" s="54">
        <f t="shared" si="3"/>
        <v>-10</v>
      </c>
      <c r="H460" s="54"/>
      <c r="I460" s="54"/>
    </row>
    <row r="461" ht="14.25" customHeight="1">
      <c r="B461" s="54"/>
      <c r="C461" s="141" t="str">
        <f t="shared" si="1"/>
        <v>12-1899</v>
      </c>
      <c r="D461" s="54" t="str">
        <f t="shared" si="14"/>
        <v/>
      </c>
      <c r="E461" s="54"/>
      <c r="F461" s="54">
        <f t="shared" si="2"/>
        <v>0</v>
      </c>
      <c r="G461" s="54">
        <f t="shared" si="3"/>
        <v>-10</v>
      </c>
      <c r="H461" s="54"/>
      <c r="I461" s="54"/>
    </row>
    <row r="462" ht="14.25" customHeight="1">
      <c r="B462" s="54"/>
      <c r="C462" s="141" t="str">
        <f t="shared" si="1"/>
        <v>12-1899</v>
      </c>
      <c r="D462" s="54" t="str">
        <f t="shared" si="14"/>
        <v/>
      </c>
      <c r="E462" s="54"/>
      <c r="F462" s="54">
        <f t="shared" si="2"/>
        <v>0</v>
      </c>
      <c r="G462" s="54">
        <f t="shared" si="3"/>
        <v>-10</v>
      </c>
      <c r="H462" s="54"/>
      <c r="I462" s="54"/>
    </row>
    <row r="463" ht="14.25" customHeight="1">
      <c r="B463" s="54"/>
      <c r="C463" s="141" t="str">
        <f t="shared" si="1"/>
        <v>12-1899</v>
      </c>
      <c r="D463" s="54" t="str">
        <f t="shared" si="14"/>
        <v/>
      </c>
      <c r="E463" s="54"/>
      <c r="F463" s="54">
        <f t="shared" si="2"/>
        <v>0</v>
      </c>
      <c r="G463" s="54">
        <f t="shared" si="3"/>
        <v>-10</v>
      </c>
      <c r="H463" s="54"/>
      <c r="I463" s="54"/>
    </row>
    <row r="464" ht="14.25" customHeight="1">
      <c r="B464" s="54"/>
      <c r="C464" s="141" t="str">
        <f t="shared" si="1"/>
        <v>12-1899</v>
      </c>
      <c r="D464" s="54" t="str">
        <f t="shared" si="14"/>
        <v/>
      </c>
      <c r="E464" s="54"/>
      <c r="F464" s="54">
        <f t="shared" si="2"/>
        <v>0</v>
      </c>
      <c r="G464" s="54">
        <f t="shared" si="3"/>
        <v>-10</v>
      </c>
      <c r="H464" s="54"/>
      <c r="I464" s="54"/>
    </row>
    <row r="465" ht="14.25" customHeight="1">
      <c r="B465" s="54"/>
      <c r="C465" s="141" t="str">
        <f t="shared" si="1"/>
        <v>12-1899</v>
      </c>
      <c r="D465" s="54" t="str">
        <f t="shared" si="14"/>
        <v/>
      </c>
      <c r="E465" s="54"/>
      <c r="F465" s="54">
        <f t="shared" si="2"/>
        <v>0</v>
      </c>
      <c r="G465" s="54">
        <f t="shared" si="3"/>
        <v>-10</v>
      </c>
      <c r="H465" s="54"/>
      <c r="I465" s="54"/>
    </row>
    <row r="466" ht="14.25" customHeight="1">
      <c r="B466" s="54"/>
      <c r="C466" s="141" t="str">
        <f t="shared" si="1"/>
        <v>12-1899</v>
      </c>
      <c r="D466" s="54" t="str">
        <f t="shared" si="14"/>
        <v/>
      </c>
      <c r="E466" s="54"/>
      <c r="F466" s="54">
        <f t="shared" si="2"/>
        <v>0</v>
      </c>
      <c r="G466" s="54">
        <f t="shared" si="3"/>
        <v>-10</v>
      </c>
      <c r="H466" s="54"/>
      <c r="I466" s="54"/>
    </row>
    <row r="467" ht="14.25" customHeight="1">
      <c r="B467" s="54"/>
      <c r="C467" s="141" t="str">
        <f t="shared" si="1"/>
        <v>12-1899</v>
      </c>
      <c r="D467" s="54" t="str">
        <f t="shared" si="14"/>
        <v/>
      </c>
      <c r="E467" s="54"/>
      <c r="F467" s="54">
        <f t="shared" si="2"/>
        <v>0</v>
      </c>
      <c r="G467" s="54">
        <f t="shared" si="3"/>
        <v>-10</v>
      </c>
      <c r="H467" s="54"/>
      <c r="I467" s="54"/>
    </row>
    <row r="468" ht="14.25" customHeight="1">
      <c r="B468" s="54"/>
      <c r="C468" s="141" t="str">
        <f t="shared" si="1"/>
        <v>12-1899</v>
      </c>
      <c r="D468" s="54" t="str">
        <f t="shared" si="14"/>
        <v/>
      </c>
      <c r="E468" s="54"/>
      <c r="F468" s="54">
        <f t="shared" si="2"/>
        <v>0</v>
      </c>
      <c r="G468" s="54">
        <f t="shared" si="3"/>
        <v>-10</v>
      </c>
      <c r="H468" s="54"/>
      <c r="I468" s="54"/>
    </row>
    <row r="469" ht="14.25" customHeight="1">
      <c r="B469" s="54"/>
      <c r="C469" s="141" t="str">
        <f t="shared" si="1"/>
        <v>12-1899</v>
      </c>
      <c r="D469" s="54" t="str">
        <f t="shared" si="14"/>
        <v/>
      </c>
      <c r="E469" s="54"/>
      <c r="F469" s="54">
        <f t="shared" si="2"/>
        <v>0</v>
      </c>
      <c r="G469" s="54">
        <f t="shared" si="3"/>
        <v>-10</v>
      </c>
      <c r="H469" s="54"/>
      <c r="I469" s="54"/>
    </row>
    <row r="470" ht="14.25" customHeight="1">
      <c r="B470" s="54"/>
      <c r="C470" s="141" t="str">
        <f t="shared" si="1"/>
        <v>12-1899</v>
      </c>
      <c r="D470" s="54" t="str">
        <f t="shared" si="14"/>
        <v/>
      </c>
      <c r="E470" s="54"/>
      <c r="F470" s="54">
        <f t="shared" si="2"/>
        <v>0</v>
      </c>
      <c r="G470" s="54">
        <f t="shared" si="3"/>
        <v>-10</v>
      </c>
      <c r="H470" s="54"/>
      <c r="I470" s="54"/>
    </row>
    <row r="471" ht="14.25" customHeight="1">
      <c r="B471" s="54"/>
      <c r="C471" s="141" t="str">
        <f t="shared" si="1"/>
        <v>12-1899</v>
      </c>
      <c r="D471" s="54" t="str">
        <f t="shared" si="14"/>
        <v/>
      </c>
      <c r="E471" s="54"/>
      <c r="F471" s="54">
        <f t="shared" si="2"/>
        <v>0</v>
      </c>
      <c r="G471" s="54">
        <f t="shared" si="3"/>
        <v>-10</v>
      </c>
      <c r="H471" s="54"/>
      <c r="I471" s="54"/>
    </row>
    <row r="472" ht="14.25" customHeight="1">
      <c r="B472" s="54"/>
      <c r="C472" s="141" t="str">
        <f t="shared" si="1"/>
        <v>12-1899</v>
      </c>
      <c r="D472" s="54" t="str">
        <f t="shared" si="14"/>
        <v/>
      </c>
      <c r="E472" s="54"/>
      <c r="F472" s="54">
        <f t="shared" si="2"/>
        <v>0</v>
      </c>
      <c r="G472" s="54">
        <f t="shared" si="3"/>
        <v>-10</v>
      </c>
      <c r="H472" s="54"/>
      <c r="I472" s="54"/>
    </row>
    <row r="473" ht="14.25" customHeight="1">
      <c r="B473" s="54"/>
      <c r="C473" s="141" t="str">
        <f t="shared" si="1"/>
        <v>12-1899</v>
      </c>
      <c r="D473" s="54" t="str">
        <f t="shared" si="14"/>
        <v/>
      </c>
      <c r="E473" s="54"/>
      <c r="F473" s="54">
        <f t="shared" si="2"/>
        <v>0</v>
      </c>
      <c r="G473" s="54">
        <f t="shared" si="3"/>
        <v>-10</v>
      </c>
      <c r="H473" s="54"/>
      <c r="I473" s="54"/>
    </row>
    <row r="474" ht="14.25" customHeight="1">
      <c r="B474" s="54"/>
      <c r="C474" s="141" t="str">
        <f t="shared" si="1"/>
        <v>12-1899</v>
      </c>
      <c r="D474" s="54" t="str">
        <f t="shared" si="14"/>
        <v/>
      </c>
      <c r="E474" s="54"/>
      <c r="F474" s="54">
        <f t="shared" si="2"/>
        <v>0</v>
      </c>
      <c r="G474" s="54">
        <f t="shared" si="3"/>
        <v>-10</v>
      </c>
      <c r="H474" s="54"/>
      <c r="I474" s="54"/>
    </row>
    <row r="475" ht="14.25" customHeight="1">
      <c r="B475" s="54"/>
      <c r="C475" s="141" t="str">
        <f t="shared" si="1"/>
        <v>12-1899</v>
      </c>
      <c r="D475" s="54" t="str">
        <f t="shared" si="14"/>
        <v/>
      </c>
      <c r="E475" s="54"/>
      <c r="F475" s="54">
        <f t="shared" si="2"/>
        <v>0</v>
      </c>
      <c r="G475" s="54">
        <f t="shared" si="3"/>
        <v>-10</v>
      </c>
      <c r="H475" s="54"/>
      <c r="I475" s="54"/>
    </row>
    <row r="476" ht="14.25" customHeight="1">
      <c r="B476" s="54"/>
      <c r="C476" s="141" t="str">
        <f t="shared" si="1"/>
        <v>12-1899</v>
      </c>
      <c r="D476" s="54" t="str">
        <f t="shared" si="14"/>
        <v/>
      </c>
      <c r="E476" s="54"/>
      <c r="F476" s="54">
        <f t="shared" si="2"/>
        <v>0</v>
      </c>
      <c r="G476" s="54">
        <f t="shared" si="3"/>
        <v>-10</v>
      </c>
      <c r="H476" s="54"/>
      <c r="I476" s="54"/>
    </row>
    <row r="477" ht="14.25" customHeight="1">
      <c r="B477" s="54"/>
      <c r="C477" s="141" t="str">
        <f t="shared" si="1"/>
        <v>12-1899</v>
      </c>
      <c r="D477" s="54" t="str">
        <f t="shared" si="14"/>
        <v/>
      </c>
      <c r="E477" s="54"/>
      <c r="F477" s="54">
        <f t="shared" si="2"/>
        <v>0</v>
      </c>
      <c r="G477" s="54">
        <f t="shared" si="3"/>
        <v>-10</v>
      </c>
      <c r="H477" s="54"/>
      <c r="I477" s="54"/>
    </row>
    <row r="478" ht="14.25" customHeight="1">
      <c r="B478" s="54"/>
      <c r="C478" s="141" t="str">
        <f t="shared" si="1"/>
        <v>12-1899</v>
      </c>
      <c r="D478" s="54" t="str">
        <f t="shared" si="14"/>
        <v/>
      </c>
      <c r="E478" s="54"/>
      <c r="F478" s="54">
        <f t="shared" si="2"/>
        <v>0</v>
      </c>
      <c r="G478" s="54">
        <f t="shared" si="3"/>
        <v>-10</v>
      </c>
      <c r="H478" s="54"/>
      <c r="I478" s="54"/>
    </row>
    <row r="479" ht="14.25" customHeight="1">
      <c r="B479" s="54"/>
      <c r="C479" s="141" t="str">
        <f t="shared" si="1"/>
        <v>12-1899</v>
      </c>
      <c r="D479" s="54" t="str">
        <f t="shared" si="14"/>
        <v/>
      </c>
      <c r="E479" s="54"/>
      <c r="F479" s="54">
        <f t="shared" si="2"/>
        <v>0</v>
      </c>
      <c r="G479" s="54">
        <f t="shared" si="3"/>
        <v>-10</v>
      </c>
      <c r="H479" s="54"/>
      <c r="I479" s="54"/>
    </row>
    <row r="480" ht="14.25" customHeight="1">
      <c r="B480" s="54"/>
      <c r="C480" s="141" t="str">
        <f t="shared" si="1"/>
        <v>12-1899</v>
      </c>
      <c r="D480" s="54" t="str">
        <f t="shared" si="14"/>
        <v/>
      </c>
      <c r="E480" s="54"/>
      <c r="F480" s="54">
        <f t="shared" si="2"/>
        <v>0</v>
      </c>
      <c r="G480" s="54">
        <f t="shared" si="3"/>
        <v>-10</v>
      </c>
      <c r="H480" s="54"/>
      <c r="I480" s="54"/>
    </row>
    <row r="481" ht="14.25" customHeight="1">
      <c r="B481" s="54"/>
      <c r="C481" s="141" t="str">
        <f t="shared" si="1"/>
        <v>12-1899</v>
      </c>
      <c r="D481" s="54" t="str">
        <f t="shared" si="14"/>
        <v/>
      </c>
      <c r="E481" s="54"/>
      <c r="F481" s="54">
        <f t="shared" si="2"/>
        <v>0</v>
      </c>
      <c r="G481" s="54">
        <f t="shared" si="3"/>
        <v>-10</v>
      </c>
      <c r="H481" s="54"/>
      <c r="I481" s="54"/>
    </row>
    <row r="482" ht="14.25" customHeight="1">
      <c r="B482" s="54"/>
      <c r="C482" s="141" t="str">
        <f t="shared" si="1"/>
        <v>12-1899</v>
      </c>
      <c r="D482" s="54" t="str">
        <f t="shared" si="14"/>
        <v/>
      </c>
      <c r="E482" s="54"/>
      <c r="F482" s="54">
        <f t="shared" si="2"/>
        <v>0</v>
      </c>
      <c r="G482" s="54">
        <f t="shared" si="3"/>
        <v>-10</v>
      </c>
      <c r="H482" s="54"/>
      <c r="I482" s="54"/>
    </row>
    <row r="483" ht="14.25" customHeight="1">
      <c r="B483" s="54"/>
      <c r="C483" s="141" t="str">
        <f t="shared" si="1"/>
        <v>12-1899</v>
      </c>
      <c r="D483" s="54" t="str">
        <f t="shared" si="14"/>
        <v/>
      </c>
      <c r="E483" s="54"/>
      <c r="F483" s="54">
        <f t="shared" si="2"/>
        <v>0</v>
      </c>
      <c r="G483" s="54">
        <f t="shared" si="3"/>
        <v>-10</v>
      </c>
      <c r="H483" s="54"/>
      <c r="I483" s="54"/>
    </row>
    <row r="484" ht="14.25" customHeight="1">
      <c r="B484" s="54"/>
      <c r="C484" s="141" t="str">
        <f t="shared" si="1"/>
        <v>12-1899</v>
      </c>
      <c r="D484" s="54" t="str">
        <f t="shared" si="14"/>
        <v/>
      </c>
      <c r="E484" s="54"/>
      <c r="F484" s="54">
        <f t="shared" si="2"/>
        <v>0</v>
      </c>
      <c r="G484" s="54">
        <f t="shared" si="3"/>
        <v>-10</v>
      </c>
      <c r="H484" s="54"/>
      <c r="I484" s="54"/>
    </row>
    <row r="485" ht="14.25" customHeight="1">
      <c r="B485" s="54"/>
      <c r="C485" s="141" t="str">
        <f t="shared" si="1"/>
        <v>12-1899</v>
      </c>
      <c r="D485" s="54" t="str">
        <f t="shared" si="14"/>
        <v/>
      </c>
      <c r="E485" s="54"/>
      <c r="F485" s="54">
        <f t="shared" si="2"/>
        <v>0</v>
      </c>
      <c r="G485" s="54">
        <f t="shared" si="3"/>
        <v>-10</v>
      </c>
      <c r="H485" s="54"/>
      <c r="I485" s="54"/>
    </row>
    <row r="486" ht="14.25" customHeight="1">
      <c r="B486" s="54"/>
      <c r="C486" s="141" t="str">
        <f t="shared" si="1"/>
        <v>12-1899</v>
      </c>
      <c r="D486" s="54" t="str">
        <f t="shared" si="14"/>
        <v/>
      </c>
      <c r="E486" s="54"/>
      <c r="F486" s="54">
        <f t="shared" si="2"/>
        <v>0</v>
      </c>
      <c r="G486" s="54">
        <f t="shared" si="3"/>
        <v>-10</v>
      </c>
      <c r="H486" s="54"/>
      <c r="I486" s="54"/>
    </row>
    <row r="487" ht="14.25" customHeight="1">
      <c r="B487" s="54"/>
      <c r="C487" s="141" t="str">
        <f t="shared" si="1"/>
        <v>12-1899</v>
      </c>
      <c r="D487" s="54" t="str">
        <f t="shared" si="14"/>
        <v/>
      </c>
      <c r="E487" s="54"/>
      <c r="F487" s="54">
        <f t="shared" si="2"/>
        <v>0</v>
      </c>
      <c r="G487" s="54">
        <f t="shared" si="3"/>
        <v>-10</v>
      </c>
      <c r="H487" s="54"/>
      <c r="I487" s="54"/>
    </row>
    <row r="488" ht="14.25" customHeight="1">
      <c r="B488" s="54"/>
      <c r="C488" s="141" t="str">
        <f t="shared" si="1"/>
        <v>12-1899</v>
      </c>
      <c r="D488" s="54" t="str">
        <f t="shared" si="14"/>
        <v/>
      </c>
      <c r="E488" s="54"/>
      <c r="F488" s="54">
        <f t="shared" si="2"/>
        <v>0</v>
      </c>
      <c r="G488" s="54">
        <f t="shared" si="3"/>
        <v>-10</v>
      </c>
      <c r="H488" s="54"/>
      <c r="I488" s="54"/>
    </row>
    <row r="489" ht="14.25" customHeight="1">
      <c r="B489" s="54"/>
      <c r="C489" s="141" t="str">
        <f t="shared" si="1"/>
        <v>12-1899</v>
      </c>
      <c r="D489" s="54" t="str">
        <f t="shared" si="14"/>
        <v/>
      </c>
      <c r="E489" s="54"/>
      <c r="F489" s="54">
        <f t="shared" si="2"/>
        <v>0</v>
      </c>
      <c r="G489" s="54">
        <f t="shared" si="3"/>
        <v>-10</v>
      </c>
      <c r="H489" s="54"/>
      <c r="I489" s="54"/>
    </row>
    <row r="490" ht="14.25" customHeight="1">
      <c r="B490" s="54"/>
      <c r="C490" s="141" t="str">
        <f t="shared" si="1"/>
        <v>12-1899</v>
      </c>
      <c r="D490" s="54" t="str">
        <f t="shared" si="14"/>
        <v/>
      </c>
      <c r="E490" s="54"/>
      <c r="F490" s="54">
        <f t="shared" si="2"/>
        <v>0</v>
      </c>
      <c r="G490" s="54">
        <f t="shared" si="3"/>
        <v>-10</v>
      </c>
      <c r="H490" s="54"/>
      <c r="I490" s="54"/>
    </row>
    <row r="491" ht="14.25" customHeight="1">
      <c r="B491" s="54"/>
      <c r="C491" s="141" t="str">
        <f t="shared" si="1"/>
        <v>12-1899</v>
      </c>
      <c r="D491" s="54" t="str">
        <f t="shared" si="14"/>
        <v/>
      </c>
      <c r="E491" s="54"/>
      <c r="F491" s="54">
        <f t="shared" si="2"/>
        <v>0</v>
      </c>
      <c r="G491" s="54">
        <f t="shared" si="3"/>
        <v>-10</v>
      </c>
      <c r="H491" s="54"/>
      <c r="I491" s="54"/>
    </row>
    <row r="492" ht="14.25" customHeight="1">
      <c r="B492" s="54"/>
      <c r="C492" s="141" t="str">
        <f t="shared" si="1"/>
        <v>12-1899</v>
      </c>
      <c r="D492" s="54" t="str">
        <f t="shared" si="14"/>
        <v/>
      </c>
      <c r="E492" s="54"/>
      <c r="F492" s="54">
        <f t="shared" si="2"/>
        <v>0</v>
      </c>
      <c r="G492" s="54">
        <f t="shared" si="3"/>
        <v>-10</v>
      </c>
      <c r="H492" s="54"/>
      <c r="I492" s="54"/>
    </row>
    <row r="493" ht="14.25" customHeight="1">
      <c r="B493" s="54"/>
      <c r="C493" s="141" t="str">
        <f t="shared" si="1"/>
        <v>12-1899</v>
      </c>
      <c r="D493" s="54" t="str">
        <f t="shared" si="14"/>
        <v/>
      </c>
      <c r="E493" s="54"/>
      <c r="F493" s="54">
        <f t="shared" si="2"/>
        <v>0</v>
      </c>
      <c r="G493" s="54">
        <f t="shared" si="3"/>
        <v>-10</v>
      </c>
      <c r="H493" s="54"/>
      <c r="I493" s="54"/>
    </row>
    <row r="494" ht="14.25" customHeight="1">
      <c r="B494" s="54"/>
      <c r="C494" s="141" t="str">
        <f t="shared" si="1"/>
        <v>12-1899</v>
      </c>
      <c r="D494" s="54" t="str">
        <f t="shared" si="14"/>
        <v/>
      </c>
      <c r="E494" s="54"/>
      <c r="F494" s="54">
        <f t="shared" si="2"/>
        <v>0</v>
      </c>
      <c r="G494" s="54">
        <f t="shared" si="3"/>
        <v>-10</v>
      </c>
      <c r="H494" s="54"/>
      <c r="I494" s="54"/>
    </row>
    <row r="495" ht="14.25" customHeight="1">
      <c r="B495" s="54"/>
      <c r="C495" s="141" t="str">
        <f t="shared" si="1"/>
        <v>12-1899</v>
      </c>
      <c r="D495" s="54" t="str">
        <f t="shared" si="14"/>
        <v/>
      </c>
      <c r="E495" s="54"/>
      <c r="F495" s="54">
        <f t="shared" si="2"/>
        <v>0</v>
      </c>
      <c r="G495" s="54">
        <f t="shared" si="3"/>
        <v>-10</v>
      </c>
      <c r="H495" s="54"/>
      <c r="I495" s="54"/>
    </row>
    <row r="496" ht="14.25" customHeight="1">
      <c r="B496" s="54"/>
      <c r="C496" s="141" t="str">
        <f t="shared" si="1"/>
        <v>12-1899</v>
      </c>
      <c r="D496" s="54" t="str">
        <f t="shared" si="14"/>
        <v/>
      </c>
      <c r="E496" s="54"/>
      <c r="F496" s="54">
        <f t="shared" si="2"/>
        <v>0</v>
      </c>
      <c r="G496" s="54">
        <f t="shared" si="3"/>
        <v>-10</v>
      </c>
      <c r="H496" s="54"/>
      <c r="I496" s="54"/>
    </row>
    <row r="497" ht="14.25" customHeight="1">
      <c r="B497" s="54"/>
      <c r="C497" s="141" t="str">
        <f t="shared" si="1"/>
        <v>12-1899</v>
      </c>
      <c r="D497" s="54" t="str">
        <f t="shared" si="14"/>
        <v/>
      </c>
      <c r="E497" s="54"/>
      <c r="F497" s="54">
        <f t="shared" si="2"/>
        <v>0</v>
      </c>
      <c r="G497" s="54">
        <f t="shared" si="3"/>
        <v>-10</v>
      </c>
      <c r="H497" s="54"/>
      <c r="I497" s="54"/>
    </row>
    <row r="498" ht="14.25" customHeight="1">
      <c r="B498" s="54"/>
      <c r="C498" s="141" t="str">
        <f t="shared" si="1"/>
        <v>12-1899</v>
      </c>
      <c r="D498" s="54" t="str">
        <f t="shared" si="14"/>
        <v/>
      </c>
      <c r="E498" s="54"/>
      <c r="F498" s="54">
        <f t="shared" si="2"/>
        <v>0</v>
      </c>
      <c r="G498" s="54">
        <f t="shared" si="3"/>
        <v>-10</v>
      </c>
      <c r="H498" s="54"/>
      <c r="I498" s="54"/>
    </row>
    <row r="499" ht="14.25" customHeight="1">
      <c r="B499" s="54"/>
      <c r="C499" s="141" t="str">
        <f t="shared" si="1"/>
        <v>12-1899</v>
      </c>
      <c r="D499" s="54" t="str">
        <f t="shared" si="14"/>
        <v/>
      </c>
      <c r="E499" s="54"/>
      <c r="F499" s="54">
        <f t="shared" si="2"/>
        <v>0</v>
      </c>
      <c r="G499" s="54">
        <f t="shared" si="3"/>
        <v>-10</v>
      </c>
      <c r="H499" s="54"/>
      <c r="I499" s="54"/>
    </row>
    <row r="500" ht="14.25" customHeight="1">
      <c r="B500" s="54"/>
      <c r="C500" s="141" t="str">
        <f t="shared" si="1"/>
        <v>12-1899</v>
      </c>
      <c r="D500" s="54" t="str">
        <f t="shared" si="14"/>
        <v/>
      </c>
      <c r="E500" s="54"/>
      <c r="F500" s="54">
        <f t="shared" si="2"/>
        <v>0</v>
      </c>
      <c r="G500" s="54">
        <f t="shared" si="3"/>
        <v>-10</v>
      </c>
      <c r="H500" s="54"/>
      <c r="I500" s="54"/>
    </row>
    <row r="501" ht="14.25" customHeight="1">
      <c r="B501" s="54"/>
      <c r="C501" s="141" t="str">
        <f t="shared" si="1"/>
        <v>12-1899</v>
      </c>
      <c r="D501" s="54" t="str">
        <f t="shared" si="14"/>
        <v/>
      </c>
      <c r="E501" s="54"/>
      <c r="F501" s="54">
        <f t="shared" si="2"/>
        <v>0</v>
      </c>
      <c r="G501" s="54">
        <f t="shared" si="3"/>
        <v>-10</v>
      </c>
      <c r="H501" s="54"/>
      <c r="I501" s="54"/>
    </row>
    <row r="502" ht="14.25" customHeight="1">
      <c r="B502" s="54"/>
      <c r="C502" s="141" t="str">
        <f t="shared" si="1"/>
        <v>12-1899</v>
      </c>
      <c r="D502" s="54" t="str">
        <f t="shared" si="14"/>
        <v/>
      </c>
      <c r="E502" s="54"/>
      <c r="F502" s="54">
        <f t="shared" si="2"/>
        <v>0</v>
      </c>
      <c r="G502" s="54">
        <f t="shared" si="3"/>
        <v>-10</v>
      </c>
      <c r="H502" s="54"/>
      <c r="I502" s="54"/>
    </row>
    <row r="503" ht="14.25" customHeight="1">
      <c r="B503" s="54"/>
      <c r="C503" s="141" t="str">
        <f t="shared" si="1"/>
        <v>12-1899</v>
      </c>
      <c r="D503" s="54" t="str">
        <f t="shared" si="14"/>
        <v/>
      </c>
      <c r="E503" s="54"/>
      <c r="F503" s="54">
        <f t="shared" si="2"/>
        <v>0</v>
      </c>
      <c r="G503" s="54">
        <f t="shared" si="3"/>
        <v>-10</v>
      </c>
      <c r="H503" s="54"/>
      <c r="I503" s="54"/>
    </row>
    <row r="504" ht="14.25" customHeight="1">
      <c r="B504" s="54"/>
      <c r="C504" s="141" t="str">
        <f t="shared" si="1"/>
        <v>12-1899</v>
      </c>
      <c r="D504" s="54" t="str">
        <f t="shared" si="14"/>
        <v/>
      </c>
      <c r="E504" s="54"/>
      <c r="F504" s="54">
        <f t="shared" si="2"/>
        <v>0</v>
      </c>
      <c r="G504" s="54">
        <f t="shared" si="3"/>
        <v>-10</v>
      </c>
      <c r="H504" s="54"/>
      <c r="I504" s="54"/>
    </row>
    <row r="505" ht="14.25" customHeight="1">
      <c r="B505" s="54"/>
      <c r="C505" s="141" t="str">
        <f t="shared" si="1"/>
        <v>12-1899</v>
      </c>
      <c r="D505" s="54" t="str">
        <f t="shared" si="14"/>
        <v/>
      </c>
      <c r="E505" s="54"/>
      <c r="F505" s="54">
        <f t="shared" si="2"/>
        <v>0</v>
      </c>
      <c r="G505" s="54">
        <f t="shared" si="3"/>
        <v>-10</v>
      </c>
      <c r="H505" s="54"/>
      <c r="I505" s="54"/>
    </row>
    <row r="506" ht="14.25" customHeight="1">
      <c r="B506" s="54"/>
      <c r="C506" s="141" t="str">
        <f t="shared" si="1"/>
        <v>12-1899</v>
      </c>
      <c r="D506" s="54" t="str">
        <f t="shared" si="14"/>
        <v/>
      </c>
      <c r="E506" s="54"/>
      <c r="F506" s="54">
        <f t="shared" si="2"/>
        <v>0</v>
      </c>
      <c r="G506" s="54">
        <f t="shared" si="3"/>
        <v>-10</v>
      </c>
      <c r="H506" s="54"/>
      <c r="I506" s="54"/>
    </row>
    <row r="507" ht="14.25" customHeight="1">
      <c r="B507" s="54"/>
      <c r="C507" s="141" t="str">
        <f t="shared" si="1"/>
        <v>12-1899</v>
      </c>
      <c r="D507" s="54" t="str">
        <f t="shared" si="14"/>
        <v/>
      </c>
      <c r="E507" s="54"/>
      <c r="F507" s="54">
        <f t="shared" si="2"/>
        <v>0</v>
      </c>
      <c r="G507" s="54">
        <f t="shared" si="3"/>
        <v>-10</v>
      </c>
      <c r="H507" s="54"/>
      <c r="I507" s="54"/>
    </row>
    <row r="508" ht="14.25" customHeight="1">
      <c r="B508" s="54"/>
      <c r="C508" s="141" t="str">
        <f t="shared" si="1"/>
        <v>12-1899</v>
      </c>
      <c r="D508" s="54" t="str">
        <f t="shared" si="14"/>
        <v/>
      </c>
      <c r="E508" s="54"/>
      <c r="F508" s="54">
        <f t="shared" si="2"/>
        <v>0</v>
      </c>
      <c r="G508" s="54">
        <f t="shared" si="3"/>
        <v>-10</v>
      </c>
      <c r="H508" s="54"/>
      <c r="I508" s="54"/>
    </row>
    <row r="509" ht="14.25" customHeight="1">
      <c r="B509" s="54"/>
      <c r="C509" s="141" t="str">
        <f t="shared" si="1"/>
        <v>12-1899</v>
      </c>
      <c r="D509" s="54" t="str">
        <f t="shared" si="14"/>
        <v/>
      </c>
      <c r="E509" s="54"/>
      <c r="F509" s="54">
        <f t="shared" si="2"/>
        <v>0</v>
      </c>
      <c r="G509" s="54">
        <f t="shared" si="3"/>
        <v>-10</v>
      </c>
      <c r="H509" s="54"/>
      <c r="I509" s="54"/>
    </row>
    <row r="510" ht="14.25" customHeight="1">
      <c r="B510" s="54"/>
      <c r="C510" s="141" t="str">
        <f t="shared" si="1"/>
        <v>12-1899</v>
      </c>
      <c r="D510" s="54" t="str">
        <f t="shared" si="14"/>
        <v/>
      </c>
      <c r="E510" s="54"/>
      <c r="F510" s="54">
        <f t="shared" si="2"/>
        <v>0</v>
      </c>
      <c r="G510" s="54">
        <f t="shared" si="3"/>
        <v>-10</v>
      </c>
      <c r="H510" s="54"/>
      <c r="I510" s="54"/>
    </row>
    <row r="511" ht="14.25" customHeight="1">
      <c r="B511" s="54"/>
      <c r="C511" s="141" t="str">
        <f t="shared" si="1"/>
        <v>12-1899</v>
      </c>
      <c r="D511" s="54" t="str">
        <f t="shared" si="14"/>
        <v/>
      </c>
      <c r="E511" s="54"/>
      <c r="F511" s="54">
        <f t="shared" si="2"/>
        <v>0</v>
      </c>
      <c r="G511" s="54">
        <f t="shared" si="3"/>
        <v>-10</v>
      </c>
      <c r="H511" s="54"/>
      <c r="I511" s="54"/>
    </row>
    <row r="512" ht="14.25" customHeight="1">
      <c r="B512" s="54"/>
      <c r="C512" s="141" t="str">
        <f t="shared" si="1"/>
        <v>12-1899</v>
      </c>
      <c r="D512" s="54" t="str">
        <f t="shared" si="14"/>
        <v/>
      </c>
      <c r="E512" s="54"/>
      <c r="F512" s="54">
        <f t="shared" si="2"/>
        <v>0</v>
      </c>
      <c r="G512" s="54">
        <f t="shared" si="3"/>
        <v>-10</v>
      </c>
      <c r="H512" s="54"/>
      <c r="I512" s="54"/>
    </row>
    <row r="513" ht="14.25" customHeight="1">
      <c r="B513" s="54"/>
      <c r="C513" s="141" t="str">
        <f t="shared" si="1"/>
        <v>12-1899</v>
      </c>
      <c r="D513" s="54" t="str">
        <f t="shared" si="14"/>
        <v/>
      </c>
      <c r="E513" s="54"/>
      <c r="F513" s="54">
        <f t="shared" si="2"/>
        <v>0</v>
      </c>
      <c r="G513" s="54">
        <f t="shared" si="3"/>
        <v>-10</v>
      </c>
      <c r="H513" s="54"/>
      <c r="I513" s="54"/>
    </row>
    <row r="514" ht="14.25" customHeight="1">
      <c r="B514" s="54"/>
      <c r="C514" s="141" t="str">
        <f t="shared" si="1"/>
        <v>12-1899</v>
      </c>
      <c r="D514" s="54" t="str">
        <f t="shared" si="14"/>
        <v/>
      </c>
      <c r="E514" s="54"/>
      <c r="F514" s="54">
        <f t="shared" si="2"/>
        <v>0</v>
      </c>
      <c r="G514" s="54">
        <f t="shared" si="3"/>
        <v>-10</v>
      </c>
      <c r="H514" s="54"/>
      <c r="I514" s="54"/>
    </row>
    <row r="515" ht="14.25" customHeight="1">
      <c r="B515" s="54"/>
      <c r="C515" s="141" t="str">
        <f t="shared" si="1"/>
        <v>12-1899</v>
      </c>
      <c r="D515" s="54" t="str">
        <f t="shared" si="14"/>
        <v/>
      </c>
      <c r="E515" s="54"/>
      <c r="F515" s="54">
        <f t="shared" si="2"/>
        <v>0</v>
      </c>
      <c r="G515" s="54">
        <f t="shared" si="3"/>
        <v>-10</v>
      </c>
      <c r="H515" s="54"/>
      <c r="I515" s="54"/>
    </row>
    <row r="516" ht="14.25" customHeight="1">
      <c r="B516" s="54"/>
      <c r="C516" s="141" t="str">
        <f t="shared" si="1"/>
        <v>12-1899</v>
      </c>
      <c r="D516" s="54" t="str">
        <f t="shared" si="14"/>
        <v/>
      </c>
      <c r="E516" s="54"/>
      <c r="F516" s="54">
        <f t="shared" si="2"/>
        <v>0</v>
      </c>
      <c r="G516" s="54">
        <f t="shared" si="3"/>
        <v>-10</v>
      </c>
      <c r="H516" s="54"/>
      <c r="I516" s="54"/>
    </row>
    <row r="517" ht="14.25" customHeight="1">
      <c r="B517" s="54"/>
      <c r="C517" s="141" t="str">
        <f t="shared" si="1"/>
        <v>12-1899</v>
      </c>
      <c r="D517" s="54" t="str">
        <f t="shared" si="14"/>
        <v/>
      </c>
      <c r="E517" s="54"/>
      <c r="F517" s="54">
        <f t="shared" si="2"/>
        <v>0</v>
      </c>
      <c r="G517" s="54">
        <f t="shared" si="3"/>
        <v>-10</v>
      </c>
      <c r="H517" s="54"/>
      <c r="I517" s="54"/>
    </row>
    <row r="518" ht="14.25" customHeight="1">
      <c r="B518" s="54"/>
      <c r="C518" s="141" t="str">
        <f t="shared" si="1"/>
        <v>12-1899</v>
      </c>
      <c r="D518" s="54" t="str">
        <f t="shared" si="14"/>
        <v/>
      </c>
      <c r="E518" s="54"/>
      <c r="F518" s="54">
        <f t="shared" si="2"/>
        <v>0</v>
      </c>
      <c r="G518" s="54">
        <f t="shared" si="3"/>
        <v>-10</v>
      </c>
      <c r="H518" s="54"/>
      <c r="I518" s="54"/>
    </row>
    <row r="519" ht="14.25" customHeight="1">
      <c r="B519" s="54"/>
      <c r="C519" s="141" t="str">
        <f t="shared" si="1"/>
        <v>12-1899</v>
      </c>
      <c r="D519" s="54" t="str">
        <f t="shared" si="14"/>
        <v/>
      </c>
      <c r="E519" s="54"/>
      <c r="F519" s="54">
        <f t="shared" si="2"/>
        <v>0</v>
      </c>
      <c r="G519" s="54">
        <f t="shared" si="3"/>
        <v>-10</v>
      </c>
      <c r="H519" s="54"/>
      <c r="I519" s="54"/>
    </row>
    <row r="520" ht="14.25" customHeight="1">
      <c r="B520" s="54"/>
      <c r="C520" s="141" t="str">
        <f t="shared" si="1"/>
        <v>12-1899</v>
      </c>
      <c r="D520" s="54" t="str">
        <f t="shared" si="14"/>
        <v/>
      </c>
      <c r="E520" s="54"/>
      <c r="F520" s="54">
        <f t="shared" si="2"/>
        <v>0</v>
      </c>
      <c r="G520" s="54">
        <f t="shared" si="3"/>
        <v>-10</v>
      </c>
      <c r="H520" s="54"/>
      <c r="I520" s="54"/>
    </row>
    <row r="521" ht="14.25" customHeight="1">
      <c r="B521" s="54"/>
      <c r="C521" s="141" t="str">
        <f t="shared" si="1"/>
        <v>12-1899</v>
      </c>
      <c r="D521" s="54" t="str">
        <f t="shared" si="14"/>
        <v/>
      </c>
      <c r="E521" s="54"/>
      <c r="F521" s="54">
        <f t="shared" si="2"/>
        <v>0</v>
      </c>
      <c r="G521" s="54">
        <f t="shared" si="3"/>
        <v>-10</v>
      </c>
      <c r="H521" s="54"/>
      <c r="I521" s="54"/>
    </row>
    <row r="522" ht="14.25" customHeight="1">
      <c r="B522" s="54"/>
      <c r="C522" s="141" t="str">
        <f t="shared" si="1"/>
        <v>12-1899</v>
      </c>
      <c r="D522" s="54" t="str">
        <f t="shared" si="14"/>
        <v/>
      </c>
      <c r="E522" s="54"/>
      <c r="F522" s="54">
        <f t="shared" si="2"/>
        <v>0</v>
      </c>
      <c r="G522" s="54">
        <f t="shared" si="3"/>
        <v>-10</v>
      </c>
      <c r="H522" s="54"/>
      <c r="I522" s="54"/>
    </row>
    <row r="523" ht="14.25" customHeight="1">
      <c r="B523" s="54"/>
      <c r="C523" s="141" t="str">
        <f t="shared" si="1"/>
        <v>12-1899</v>
      </c>
      <c r="D523" s="54" t="str">
        <f t="shared" si="14"/>
        <v/>
      </c>
      <c r="E523" s="54"/>
      <c r="F523" s="54">
        <f t="shared" si="2"/>
        <v>0</v>
      </c>
      <c r="G523" s="54">
        <f t="shared" si="3"/>
        <v>-10</v>
      </c>
      <c r="H523" s="54"/>
      <c r="I523" s="54"/>
    </row>
    <row r="524" ht="14.25" customHeight="1">
      <c r="B524" s="54"/>
      <c r="C524" s="141" t="str">
        <f t="shared" si="1"/>
        <v>12-1899</v>
      </c>
      <c r="D524" s="54" t="str">
        <f t="shared" si="14"/>
        <v/>
      </c>
      <c r="E524" s="54"/>
      <c r="F524" s="54">
        <f t="shared" si="2"/>
        <v>0</v>
      </c>
      <c r="G524" s="54">
        <f t="shared" si="3"/>
        <v>-10</v>
      </c>
      <c r="H524" s="54"/>
      <c r="I524" s="54"/>
    </row>
    <row r="525" ht="14.25" customHeight="1">
      <c r="B525" s="54"/>
      <c r="C525" s="141" t="str">
        <f t="shared" si="1"/>
        <v>12-1899</v>
      </c>
      <c r="D525" s="54" t="str">
        <f t="shared" si="14"/>
        <v/>
      </c>
      <c r="E525" s="54"/>
      <c r="F525" s="54">
        <f t="shared" si="2"/>
        <v>0</v>
      </c>
      <c r="G525" s="54">
        <f t="shared" si="3"/>
        <v>-10</v>
      </c>
      <c r="H525" s="54"/>
      <c r="I525" s="54"/>
    </row>
    <row r="526" ht="14.25" customHeight="1">
      <c r="B526" s="54"/>
      <c r="C526" s="141" t="str">
        <f t="shared" si="1"/>
        <v>12-1899</v>
      </c>
      <c r="D526" s="54" t="str">
        <f t="shared" si="14"/>
        <v/>
      </c>
      <c r="E526" s="54"/>
      <c r="F526" s="54">
        <f t="shared" si="2"/>
        <v>0</v>
      </c>
      <c r="G526" s="54">
        <f t="shared" si="3"/>
        <v>-10</v>
      </c>
      <c r="H526" s="54"/>
      <c r="I526" s="54"/>
    </row>
    <row r="527" ht="14.25" customHeight="1">
      <c r="B527" s="54"/>
      <c r="C527" s="141" t="str">
        <f t="shared" si="1"/>
        <v>12-1899</v>
      </c>
      <c r="D527" s="54" t="str">
        <f t="shared" si="14"/>
        <v/>
      </c>
      <c r="E527" s="54"/>
      <c r="F527" s="54">
        <f t="shared" si="2"/>
        <v>0</v>
      </c>
      <c r="G527" s="54">
        <f t="shared" si="3"/>
        <v>-10</v>
      </c>
      <c r="H527" s="54"/>
      <c r="I527" s="54"/>
    </row>
    <row r="528" ht="14.25" customHeight="1">
      <c r="B528" s="54"/>
      <c r="C528" s="141" t="str">
        <f t="shared" si="1"/>
        <v>12-1899</v>
      </c>
      <c r="D528" s="54" t="str">
        <f t="shared" si="14"/>
        <v/>
      </c>
      <c r="E528" s="54"/>
      <c r="F528" s="54">
        <f t="shared" si="2"/>
        <v>0</v>
      </c>
      <c r="G528" s="54">
        <f t="shared" si="3"/>
        <v>-10</v>
      </c>
      <c r="H528" s="54"/>
      <c r="I528" s="54"/>
    </row>
    <row r="529" ht="14.25" customHeight="1">
      <c r="B529" s="54"/>
      <c r="C529" s="141" t="str">
        <f t="shared" si="1"/>
        <v>12-1899</v>
      </c>
      <c r="D529" s="54" t="str">
        <f t="shared" si="14"/>
        <v/>
      </c>
      <c r="E529" s="54"/>
      <c r="F529" s="54">
        <f t="shared" si="2"/>
        <v>0</v>
      </c>
      <c r="G529" s="54">
        <f t="shared" si="3"/>
        <v>-10</v>
      </c>
      <c r="H529" s="54"/>
      <c r="I529" s="54"/>
    </row>
    <row r="530" ht="14.25" customHeight="1">
      <c r="B530" s="54"/>
      <c r="C530" s="141" t="str">
        <f t="shared" si="1"/>
        <v>12-1899</v>
      </c>
      <c r="D530" s="54" t="str">
        <f t="shared" si="14"/>
        <v/>
      </c>
      <c r="E530" s="54"/>
      <c r="F530" s="54">
        <f t="shared" si="2"/>
        <v>0</v>
      </c>
      <c r="G530" s="54">
        <f t="shared" si="3"/>
        <v>-10</v>
      </c>
    </row>
    <row r="531" ht="14.25" customHeight="1">
      <c r="B531" s="54"/>
      <c r="C531" s="141" t="str">
        <f t="shared" si="1"/>
        <v>12-1899</v>
      </c>
      <c r="D531" s="54" t="str">
        <f t="shared" si="14"/>
        <v/>
      </c>
      <c r="E531" s="54"/>
      <c r="F531" s="54">
        <f t="shared" si="2"/>
        <v>0</v>
      </c>
      <c r="G531" s="54">
        <f t="shared" si="3"/>
        <v>-10</v>
      </c>
    </row>
    <row r="532" ht="14.25" customHeight="1">
      <c r="B532" s="54"/>
      <c r="C532" s="141" t="str">
        <f t="shared" si="1"/>
        <v>12-1899</v>
      </c>
      <c r="D532" s="54" t="str">
        <f t="shared" si="14"/>
        <v/>
      </c>
      <c r="E532" s="54"/>
      <c r="F532" s="54">
        <f t="shared" si="2"/>
        <v>0</v>
      </c>
      <c r="G532" s="54">
        <f t="shared" si="3"/>
        <v>-10</v>
      </c>
    </row>
    <row r="533" ht="14.25" customHeight="1">
      <c r="B533" s="54"/>
      <c r="C533" s="141" t="str">
        <f t="shared" si="1"/>
        <v>12-1899</v>
      </c>
      <c r="D533" s="54" t="str">
        <f t="shared" si="14"/>
        <v/>
      </c>
      <c r="E533" s="54"/>
      <c r="F533" s="54">
        <f t="shared" si="2"/>
        <v>0</v>
      </c>
      <c r="G533" s="54">
        <f t="shared" si="3"/>
        <v>-10</v>
      </c>
    </row>
    <row r="534" ht="14.25" customHeight="1">
      <c r="B534" s="54"/>
      <c r="C534" s="141" t="str">
        <f t="shared" si="1"/>
        <v>12-1899</v>
      </c>
      <c r="D534" s="54" t="str">
        <f t="shared" si="14"/>
        <v/>
      </c>
      <c r="E534" s="54"/>
      <c r="F534" s="54">
        <f t="shared" si="2"/>
        <v>0</v>
      </c>
      <c r="G534" s="54">
        <f t="shared" si="3"/>
        <v>-10</v>
      </c>
    </row>
    <row r="535" ht="14.25" customHeight="1">
      <c r="B535" s="54"/>
      <c r="C535" s="141" t="str">
        <f t="shared" si="1"/>
        <v>12-1899</v>
      </c>
      <c r="D535" s="54" t="str">
        <f t="shared" si="14"/>
        <v/>
      </c>
      <c r="E535" s="54"/>
      <c r="F535" s="54">
        <f t="shared" si="2"/>
        <v>0</v>
      </c>
      <c r="G535" s="54">
        <f t="shared" si="3"/>
        <v>-10</v>
      </c>
    </row>
    <row r="536" ht="14.25" customHeight="1">
      <c r="B536" s="54"/>
      <c r="C536" s="141" t="str">
        <f t="shared" si="1"/>
        <v>12-1899</v>
      </c>
      <c r="D536" s="54" t="str">
        <f t="shared" si="14"/>
        <v/>
      </c>
      <c r="E536" s="54"/>
      <c r="F536" s="54">
        <f t="shared" si="2"/>
        <v>0</v>
      </c>
      <c r="G536" s="54">
        <f t="shared" si="3"/>
        <v>-10</v>
      </c>
    </row>
    <row r="537" ht="14.25" customHeight="1">
      <c r="B537" s="54"/>
      <c r="C537" s="141" t="str">
        <f t="shared" si="1"/>
        <v>12-1899</v>
      </c>
      <c r="D537" s="54" t="str">
        <f t="shared" si="14"/>
        <v/>
      </c>
      <c r="E537" s="54"/>
      <c r="F537" s="54">
        <f t="shared" si="2"/>
        <v>0</v>
      </c>
      <c r="G537" s="54">
        <f t="shared" si="3"/>
        <v>-10</v>
      </c>
    </row>
    <row r="538" ht="14.25" customHeight="1">
      <c r="B538" s="54"/>
      <c r="C538" s="141" t="str">
        <f t="shared" si="1"/>
        <v>12-1899</v>
      </c>
      <c r="D538" s="54" t="str">
        <f t="shared" si="14"/>
        <v/>
      </c>
      <c r="E538" s="54"/>
      <c r="F538" s="54">
        <f t="shared" si="2"/>
        <v>0</v>
      </c>
      <c r="G538" s="54">
        <f t="shared" si="3"/>
        <v>-10</v>
      </c>
    </row>
    <row r="539" ht="14.25" customHeight="1">
      <c r="B539" s="54"/>
      <c r="C539" s="141" t="str">
        <f t="shared" si="1"/>
        <v>12-1899</v>
      </c>
      <c r="D539" s="54" t="str">
        <f t="shared" si="14"/>
        <v/>
      </c>
      <c r="E539" s="54"/>
      <c r="F539" s="54">
        <f t="shared" si="2"/>
        <v>0</v>
      </c>
      <c r="G539" s="54">
        <f t="shared" si="3"/>
        <v>-10</v>
      </c>
    </row>
    <row r="540" ht="14.25" customHeight="1">
      <c r="B540" s="54"/>
      <c r="C540" s="141" t="str">
        <f t="shared" si="1"/>
        <v>12-1899</v>
      </c>
      <c r="D540" s="54" t="str">
        <f t="shared" si="14"/>
        <v/>
      </c>
      <c r="E540" s="54"/>
      <c r="F540" s="54">
        <f t="shared" si="2"/>
        <v>0</v>
      </c>
      <c r="G540" s="54">
        <f t="shared" si="3"/>
        <v>-10</v>
      </c>
    </row>
    <row r="541" ht="14.25" customHeight="1">
      <c r="B541" s="54"/>
      <c r="C541" s="141" t="str">
        <f t="shared" si="1"/>
        <v>12-1899</v>
      </c>
      <c r="D541" s="54" t="str">
        <f t="shared" si="14"/>
        <v/>
      </c>
      <c r="E541" s="54"/>
      <c r="F541" s="54">
        <f t="shared" si="2"/>
        <v>0</v>
      </c>
      <c r="G541" s="54">
        <f t="shared" si="3"/>
        <v>-10</v>
      </c>
    </row>
    <row r="542" ht="14.25" customHeight="1">
      <c r="B542" s="54"/>
      <c r="C542" s="141" t="str">
        <f t="shared" si="1"/>
        <v>12-1899</v>
      </c>
      <c r="D542" s="54" t="str">
        <f t="shared" si="14"/>
        <v/>
      </c>
      <c r="E542" s="54"/>
      <c r="F542" s="54">
        <f t="shared" si="2"/>
        <v>0</v>
      </c>
      <c r="G542" s="54">
        <f t="shared" si="3"/>
        <v>-10</v>
      </c>
    </row>
    <row r="543" ht="14.25" customHeight="1">
      <c r="B543" s="54"/>
      <c r="C543" s="141" t="str">
        <f t="shared" si="1"/>
        <v>12-1899</v>
      </c>
      <c r="D543" s="54" t="str">
        <f t="shared" si="14"/>
        <v/>
      </c>
      <c r="E543" s="54"/>
      <c r="F543" s="54">
        <f t="shared" si="2"/>
        <v>0</v>
      </c>
      <c r="G543" s="54">
        <f t="shared" si="3"/>
        <v>-10</v>
      </c>
    </row>
    <row r="544" ht="14.25" customHeight="1">
      <c r="B544" s="54"/>
      <c r="C544" s="141" t="str">
        <f t="shared" si="1"/>
        <v>12-1899</v>
      </c>
      <c r="D544" s="54" t="str">
        <f t="shared" si="14"/>
        <v/>
      </c>
      <c r="E544" s="54"/>
      <c r="F544" s="54">
        <f t="shared" si="2"/>
        <v>0</v>
      </c>
      <c r="G544" s="54">
        <f t="shared" si="3"/>
        <v>-10</v>
      </c>
    </row>
    <row r="545" ht="14.25" customHeight="1">
      <c r="B545" s="54"/>
      <c r="C545" s="141" t="str">
        <f t="shared" si="1"/>
        <v>12-1899</v>
      </c>
      <c r="D545" s="54" t="str">
        <f t="shared" si="14"/>
        <v/>
      </c>
      <c r="E545" s="54"/>
      <c r="F545" s="54">
        <f t="shared" si="2"/>
        <v>0</v>
      </c>
      <c r="G545" s="54">
        <f t="shared" si="3"/>
        <v>-10</v>
      </c>
    </row>
    <row r="546" ht="14.25" customHeight="1">
      <c r="B546" s="54"/>
      <c r="C546" s="141" t="str">
        <f t="shared" si="1"/>
        <v>12-1899</v>
      </c>
      <c r="D546" s="54" t="str">
        <f t="shared" si="14"/>
        <v/>
      </c>
      <c r="E546" s="54"/>
      <c r="F546" s="54">
        <f t="shared" si="2"/>
        <v>0</v>
      </c>
      <c r="G546" s="54">
        <f t="shared" si="3"/>
        <v>-10</v>
      </c>
    </row>
    <row r="547" ht="14.25" customHeight="1">
      <c r="B547" s="54"/>
      <c r="C547" s="141" t="str">
        <f t="shared" si="1"/>
        <v>12-1899</v>
      </c>
      <c r="D547" s="54" t="str">
        <f t="shared" si="14"/>
        <v/>
      </c>
      <c r="E547" s="54"/>
      <c r="F547" s="54">
        <f t="shared" si="2"/>
        <v>0</v>
      </c>
      <c r="G547" s="54">
        <f t="shared" si="3"/>
        <v>-10</v>
      </c>
    </row>
    <row r="548" ht="14.25" customHeight="1">
      <c r="B548" s="54"/>
      <c r="C548" s="141" t="str">
        <f t="shared" si="1"/>
        <v>12-1899</v>
      </c>
      <c r="D548" s="54" t="str">
        <f t="shared" si="14"/>
        <v/>
      </c>
      <c r="E548" s="54"/>
      <c r="F548" s="54">
        <f t="shared" si="2"/>
        <v>0</v>
      </c>
      <c r="G548" s="54">
        <f t="shared" si="3"/>
        <v>-10</v>
      </c>
    </row>
    <row r="549" ht="14.25" customHeight="1">
      <c r="B549" s="54"/>
      <c r="C549" s="141" t="str">
        <f t="shared" si="1"/>
        <v>12-1899</v>
      </c>
      <c r="D549" s="54" t="str">
        <f t="shared" si="14"/>
        <v/>
      </c>
      <c r="E549" s="54"/>
      <c r="F549" s="54">
        <f t="shared" si="2"/>
        <v>0</v>
      </c>
      <c r="G549" s="54">
        <f t="shared" si="3"/>
        <v>-10</v>
      </c>
    </row>
    <row r="550" ht="14.25" customHeight="1">
      <c r="B550" s="54"/>
      <c r="C550" s="141" t="str">
        <f t="shared" si="1"/>
        <v>12-1899</v>
      </c>
      <c r="D550" s="54" t="str">
        <f t="shared" si="14"/>
        <v/>
      </c>
      <c r="E550" s="54"/>
      <c r="F550" s="54">
        <f t="shared" si="2"/>
        <v>0</v>
      </c>
      <c r="G550" s="54">
        <f t="shared" si="3"/>
        <v>-10</v>
      </c>
    </row>
    <row r="551" ht="14.25" customHeight="1">
      <c r="B551" s="54"/>
      <c r="C551" s="141" t="str">
        <f t="shared" si="1"/>
        <v>12-1899</v>
      </c>
      <c r="D551" s="54" t="str">
        <f t="shared" si="14"/>
        <v/>
      </c>
      <c r="E551" s="54"/>
      <c r="F551" s="54">
        <f t="shared" si="2"/>
        <v>0</v>
      </c>
      <c r="G551" s="54">
        <f t="shared" si="3"/>
        <v>-10</v>
      </c>
    </row>
    <row r="552" ht="14.25" customHeight="1">
      <c r="B552" s="54"/>
      <c r="C552" s="141" t="str">
        <f t="shared" si="1"/>
        <v>12-1899</v>
      </c>
      <c r="D552" s="54" t="str">
        <f t="shared" si="14"/>
        <v/>
      </c>
      <c r="E552" s="54"/>
      <c r="F552" s="54">
        <f t="shared" si="2"/>
        <v>0</v>
      </c>
      <c r="G552" s="54">
        <f t="shared" si="3"/>
        <v>-10</v>
      </c>
    </row>
    <row r="553" ht="14.25" customHeight="1">
      <c r="B553" s="54"/>
      <c r="C553" s="141" t="str">
        <f t="shared" si="1"/>
        <v>12-1899</v>
      </c>
      <c r="D553" s="54" t="str">
        <f t="shared" si="14"/>
        <v/>
      </c>
      <c r="E553" s="54"/>
      <c r="F553" s="54">
        <f t="shared" si="2"/>
        <v>0</v>
      </c>
      <c r="G553" s="54">
        <f t="shared" si="3"/>
        <v>-10</v>
      </c>
    </row>
    <row r="554" ht="14.25" customHeight="1">
      <c r="B554" s="54"/>
      <c r="C554" s="141" t="str">
        <f t="shared" si="1"/>
        <v>12-1899</v>
      </c>
      <c r="D554" s="54" t="str">
        <f t="shared" si="14"/>
        <v/>
      </c>
      <c r="E554" s="54"/>
      <c r="F554" s="54">
        <f t="shared" si="2"/>
        <v>0</v>
      </c>
      <c r="G554" s="54">
        <f t="shared" si="3"/>
        <v>-10</v>
      </c>
    </row>
    <row r="555" ht="14.25" customHeight="1">
      <c r="B555" s="54"/>
      <c r="C555" s="141" t="str">
        <f t="shared" si="1"/>
        <v>12-1899</v>
      </c>
      <c r="D555" s="54" t="str">
        <f t="shared" si="14"/>
        <v/>
      </c>
      <c r="E555" s="54"/>
      <c r="F555" s="54">
        <f t="shared" si="2"/>
        <v>0</v>
      </c>
      <c r="G555" s="54">
        <f t="shared" si="3"/>
        <v>-10</v>
      </c>
    </row>
    <row r="556" ht="14.25" customHeight="1">
      <c r="B556" s="54"/>
      <c r="C556" s="141" t="str">
        <f t="shared" si="1"/>
        <v>12-1899</v>
      </c>
      <c r="D556" s="54" t="str">
        <f t="shared" si="14"/>
        <v/>
      </c>
      <c r="E556" s="54"/>
      <c r="F556" s="54">
        <f t="shared" si="2"/>
        <v>0</v>
      </c>
      <c r="G556" s="54">
        <f t="shared" si="3"/>
        <v>-10</v>
      </c>
    </row>
    <row r="557" ht="14.25" customHeight="1">
      <c r="B557" s="54"/>
      <c r="C557" s="141" t="str">
        <f t="shared" si="1"/>
        <v>12-1899</v>
      </c>
      <c r="D557" s="54" t="str">
        <f t="shared" si="14"/>
        <v/>
      </c>
      <c r="E557" s="54"/>
      <c r="F557" s="54">
        <f t="shared" si="2"/>
        <v>0</v>
      </c>
      <c r="G557" s="54">
        <f t="shared" si="3"/>
        <v>-10</v>
      </c>
    </row>
    <row r="558" ht="14.25" customHeight="1">
      <c r="B558" s="54"/>
      <c r="C558" s="141" t="str">
        <f t="shared" si="1"/>
        <v>12-1899</v>
      </c>
      <c r="D558" s="54" t="str">
        <f t="shared" si="14"/>
        <v/>
      </c>
      <c r="E558" s="54"/>
      <c r="F558" s="54">
        <f t="shared" si="2"/>
        <v>0</v>
      </c>
      <c r="G558" s="54">
        <f t="shared" si="3"/>
        <v>-10</v>
      </c>
    </row>
    <row r="559" ht="14.25" customHeight="1">
      <c r="B559" s="54"/>
      <c r="C559" s="141" t="str">
        <f t="shared" si="1"/>
        <v>12-1899</v>
      </c>
      <c r="D559" s="54" t="str">
        <f t="shared" si="14"/>
        <v/>
      </c>
      <c r="E559" s="54"/>
      <c r="F559" s="54">
        <f t="shared" si="2"/>
        <v>0</v>
      </c>
      <c r="G559" s="54">
        <f t="shared" si="3"/>
        <v>-10</v>
      </c>
    </row>
    <row r="560" ht="14.25" customHeight="1">
      <c r="B560" s="54"/>
      <c r="C560" s="141" t="str">
        <f t="shared" si="1"/>
        <v>12-1899</v>
      </c>
      <c r="D560" s="54" t="str">
        <f t="shared" si="14"/>
        <v/>
      </c>
      <c r="E560" s="54"/>
      <c r="F560" s="54">
        <f t="shared" si="2"/>
        <v>0</v>
      </c>
      <c r="G560" s="54">
        <f t="shared" si="3"/>
        <v>-10</v>
      </c>
    </row>
    <row r="561" ht="14.25" customHeight="1">
      <c r="B561" s="54"/>
      <c r="C561" s="139"/>
      <c r="D561" s="54" t="str">
        <f t="shared" si="14"/>
        <v/>
      </c>
      <c r="F561" s="54"/>
      <c r="G561" s="54"/>
    </row>
    <row r="562" ht="14.25" customHeight="1">
      <c r="B562" s="54"/>
      <c r="C562" s="139"/>
      <c r="D562" s="54" t="str">
        <f t="shared" si="14"/>
        <v/>
      </c>
      <c r="F562" s="54"/>
      <c r="G562" s="54"/>
    </row>
    <row r="563" ht="14.25" customHeight="1">
      <c r="B563" s="54"/>
      <c r="C563" s="139"/>
      <c r="D563" s="54" t="str">
        <f t="shared" si="14"/>
        <v/>
      </c>
      <c r="F563" s="54"/>
      <c r="G563" s="54"/>
    </row>
    <row r="564" ht="14.25" customHeight="1">
      <c r="B564" s="54"/>
      <c r="C564" s="139"/>
      <c r="D564" s="54" t="str">
        <f t="shared" si="14"/>
        <v/>
      </c>
      <c r="F564" s="54"/>
      <c r="G564" s="54"/>
    </row>
    <row r="565" ht="14.25" customHeight="1">
      <c r="B565" s="54"/>
      <c r="C565" s="139"/>
      <c r="D565" s="54" t="str">
        <f t="shared" si="14"/>
        <v/>
      </c>
      <c r="F565" s="54"/>
      <c r="G565" s="54"/>
    </row>
    <row r="566" ht="14.25" customHeight="1">
      <c r="B566" s="54"/>
      <c r="C566" s="139"/>
      <c r="D566" s="54" t="str">
        <f t="shared" si="14"/>
        <v/>
      </c>
      <c r="F566" s="54"/>
      <c r="G566" s="54"/>
    </row>
    <row r="567" ht="14.25" customHeight="1">
      <c r="B567" s="54"/>
      <c r="C567" s="139"/>
      <c r="D567" s="54" t="str">
        <f t="shared" si="14"/>
        <v/>
      </c>
      <c r="F567" s="54"/>
      <c r="G567" s="54"/>
    </row>
    <row r="568" ht="14.25" customHeight="1">
      <c r="B568" s="54"/>
      <c r="C568" s="139"/>
      <c r="D568" s="54" t="str">
        <f t="shared" si="14"/>
        <v/>
      </c>
      <c r="F568" s="54"/>
      <c r="G568" s="54"/>
    </row>
    <row r="569" ht="14.25" customHeight="1">
      <c r="B569" s="54"/>
      <c r="C569" s="139"/>
      <c r="D569" s="54" t="str">
        <f t="shared" si="14"/>
        <v/>
      </c>
      <c r="F569" s="54"/>
      <c r="G569" s="54"/>
    </row>
    <row r="570" ht="14.25" customHeight="1">
      <c r="B570" s="54"/>
      <c r="C570" s="139"/>
      <c r="D570" s="54" t="str">
        <f t="shared" si="14"/>
        <v/>
      </c>
      <c r="F570" s="54"/>
      <c r="G570" s="54"/>
    </row>
    <row r="571" ht="14.25" customHeight="1">
      <c r="B571" s="54"/>
      <c r="C571" s="139"/>
      <c r="D571" s="54" t="str">
        <f t="shared" si="14"/>
        <v/>
      </c>
      <c r="F571" s="54"/>
      <c r="G571" s="54"/>
    </row>
    <row r="572" ht="14.25" customHeight="1">
      <c r="B572" s="54"/>
      <c r="C572" s="139"/>
      <c r="D572" s="54" t="str">
        <f t="shared" si="14"/>
        <v/>
      </c>
      <c r="F572" s="54"/>
      <c r="G572" s="54"/>
    </row>
    <row r="573" ht="14.25" customHeight="1">
      <c r="B573" s="54"/>
      <c r="C573" s="139"/>
      <c r="D573" s="54" t="str">
        <f t="shared" si="14"/>
        <v/>
      </c>
      <c r="F573" s="54"/>
      <c r="G573" s="54"/>
    </row>
    <row r="574" ht="14.25" customHeight="1">
      <c r="B574" s="54"/>
      <c r="C574" s="139"/>
      <c r="D574" s="54" t="str">
        <f t="shared" si="14"/>
        <v/>
      </c>
      <c r="F574" s="54"/>
      <c r="G574" s="54"/>
    </row>
    <row r="575" ht="14.25" customHeight="1">
      <c r="B575" s="54"/>
      <c r="C575" s="139"/>
      <c r="D575" s="54" t="str">
        <f t="shared" si="14"/>
        <v/>
      </c>
      <c r="F575" s="54"/>
      <c r="G575" s="54"/>
    </row>
    <row r="576" ht="14.25" customHeight="1">
      <c r="B576" s="54"/>
      <c r="C576" s="139"/>
      <c r="D576" s="54" t="str">
        <f t="shared" si="14"/>
        <v/>
      </c>
      <c r="F576" s="54"/>
      <c r="G576" s="54"/>
    </row>
    <row r="577" ht="14.25" customHeight="1">
      <c r="B577" s="54"/>
      <c r="C577" s="139"/>
      <c r="D577" s="54" t="str">
        <f t="shared" si="14"/>
        <v/>
      </c>
      <c r="F577" s="54"/>
      <c r="G577" s="54"/>
    </row>
    <row r="578" ht="14.25" customHeight="1">
      <c r="B578" s="54"/>
      <c r="C578" s="139"/>
      <c r="D578" s="54" t="str">
        <f t="shared" si="14"/>
        <v/>
      </c>
      <c r="F578" s="54"/>
      <c r="G578" s="54"/>
    </row>
    <row r="579" ht="14.25" customHeight="1">
      <c r="B579" s="54"/>
      <c r="C579" s="139"/>
      <c r="D579" s="54" t="str">
        <f t="shared" si="14"/>
        <v/>
      </c>
      <c r="F579" s="54"/>
      <c r="G579" s="54"/>
    </row>
    <row r="580" ht="14.25" customHeight="1">
      <c r="B580" s="54"/>
      <c r="C580" s="139"/>
      <c r="D580" s="54" t="str">
        <f t="shared" si="14"/>
        <v/>
      </c>
      <c r="F580" s="54"/>
      <c r="G580" s="54"/>
    </row>
    <row r="581" ht="14.25" customHeight="1">
      <c r="B581" s="54"/>
      <c r="C581" s="141"/>
      <c r="D581" s="54" t="str">
        <f t="shared" si="14"/>
        <v/>
      </c>
      <c r="F581" s="54"/>
      <c r="G581" s="54"/>
    </row>
    <row r="582" ht="14.25" customHeight="1">
      <c r="B582" s="54"/>
      <c r="C582" s="141"/>
      <c r="D582" s="54" t="str">
        <f t="shared" si="14"/>
        <v/>
      </c>
      <c r="F582" s="54"/>
      <c r="G582" s="54"/>
    </row>
    <row r="583" ht="14.25" customHeight="1">
      <c r="B583" s="54"/>
      <c r="C583" s="141"/>
      <c r="D583" s="54" t="str">
        <f t="shared" si="14"/>
        <v/>
      </c>
      <c r="F583" s="54"/>
      <c r="G583" s="54"/>
    </row>
    <row r="584" ht="14.25" customHeight="1">
      <c r="B584" s="54"/>
      <c r="C584" s="141"/>
      <c r="D584" s="54" t="str">
        <f t="shared" si="14"/>
        <v/>
      </c>
      <c r="F584" s="54"/>
      <c r="G584" s="54"/>
    </row>
    <row r="585" ht="14.25" customHeight="1">
      <c r="B585" s="54"/>
      <c r="C585" s="141"/>
      <c r="D585" s="54" t="str">
        <f t="shared" si="14"/>
        <v/>
      </c>
      <c r="E585" s="193"/>
      <c r="F585" s="54"/>
      <c r="G585" s="54"/>
      <c r="H585" s="185"/>
    </row>
    <row r="586" ht="14.25" customHeight="1">
      <c r="B586" s="54"/>
      <c r="C586" s="141"/>
      <c r="D586" s="54" t="str">
        <f t="shared" si="14"/>
        <v/>
      </c>
      <c r="F586" s="54"/>
      <c r="G586" s="54"/>
    </row>
    <row r="587" ht="14.25" customHeight="1">
      <c r="B587" s="54"/>
      <c r="C587" s="141"/>
      <c r="F587" s="54"/>
      <c r="G587" s="54"/>
    </row>
    <row r="588" ht="14.25" customHeight="1">
      <c r="B588" s="54"/>
      <c r="C588" s="141"/>
      <c r="F588" s="54"/>
      <c r="G588" s="54"/>
    </row>
    <row r="589" ht="14.25" customHeight="1">
      <c r="B589" s="54"/>
      <c r="C589" s="141"/>
      <c r="F589" s="54"/>
      <c r="G589" s="54"/>
    </row>
    <row r="590" ht="14.25" customHeight="1">
      <c r="B590" s="54"/>
      <c r="C590" s="141"/>
      <c r="F590" s="54"/>
      <c r="G590" s="54"/>
    </row>
    <row r="591" ht="14.25" customHeight="1">
      <c r="B591" s="54"/>
      <c r="C591" s="141"/>
      <c r="F591" s="54"/>
      <c r="G591" s="54"/>
    </row>
    <row r="592" ht="14.25" customHeight="1">
      <c r="B592" s="54"/>
      <c r="C592" s="141"/>
      <c r="F592" s="54"/>
      <c r="G592" s="54"/>
    </row>
    <row r="593" ht="14.25" customHeight="1">
      <c r="B593" s="54"/>
      <c r="C593" s="141"/>
      <c r="F593" s="54"/>
      <c r="G593" s="54"/>
    </row>
    <row r="594" ht="14.25" customHeight="1">
      <c r="B594" s="54"/>
      <c r="C594" s="141"/>
      <c r="F594" s="54"/>
      <c r="G594" s="54"/>
    </row>
    <row r="595" ht="14.25" customHeight="1">
      <c r="B595" s="54"/>
      <c r="C595" s="141"/>
      <c r="F595" s="54"/>
      <c r="G595" s="54"/>
    </row>
    <row r="596" ht="14.25" customHeight="1">
      <c r="B596" s="54"/>
      <c r="C596" s="141"/>
      <c r="F596" s="54"/>
      <c r="G596" s="54"/>
    </row>
    <row r="597" ht="14.25" customHeight="1">
      <c r="B597" s="54"/>
      <c r="C597" s="141"/>
      <c r="F597" s="54"/>
      <c r="G597" s="54"/>
    </row>
    <row r="598" ht="14.25" customHeight="1">
      <c r="B598" s="54"/>
      <c r="C598" s="141"/>
      <c r="F598" s="54"/>
      <c r="G598" s="54"/>
    </row>
    <row r="599" ht="14.25" customHeight="1">
      <c r="B599" s="54"/>
      <c r="C599" s="141"/>
      <c r="F599" s="54"/>
      <c r="G599" s="54"/>
    </row>
    <row r="600">
      <c r="B600" s="54"/>
      <c r="C600" s="141"/>
      <c r="F600" s="54"/>
      <c r="G600" s="54"/>
    </row>
    <row r="601" ht="14.25" customHeight="1">
      <c r="B601" s="54"/>
      <c r="C601" s="141"/>
      <c r="F601" s="54"/>
      <c r="G601" s="54"/>
    </row>
    <row r="602" ht="14.25" customHeight="1">
      <c r="B602" s="54"/>
      <c r="C602" s="141"/>
      <c r="F602" s="54"/>
      <c r="G602" s="54"/>
    </row>
    <row r="603" ht="14.25" customHeight="1">
      <c r="B603" s="54"/>
      <c r="C603" s="141"/>
      <c r="F603" s="54"/>
      <c r="G603" s="54"/>
    </row>
    <row r="604" ht="14.25" customHeight="1">
      <c r="B604" s="54"/>
      <c r="C604" s="141"/>
      <c r="F604" s="54"/>
      <c r="G604" s="54"/>
    </row>
    <row r="605" ht="14.25" customHeight="1">
      <c r="B605" s="54"/>
      <c r="C605" s="141"/>
      <c r="F605" s="54"/>
      <c r="G605" s="54"/>
    </row>
    <row r="606" ht="14.25" customHeight="1">
      <c r="B606" s="54"/>
      <c r="C606" s="141"/>
      <c r="F606" s="54"/>
      <c r="G606" s="54"/>
    </row>
    <row r="607" ht="14.25" customHeight="1">
      <c r="B607" s="54"/>
      <c r="C607" s="141"/>
      <c r="F607" s="54"/>
      <c r="G607" s="54"/>
    </row>
    <row r="608" ht="14.25" customHeight="1">
      <c r="B608" s="54"/>
      <c r="C608" s="141"/>
      <c r="F608" s="54"/>
      <c r="G608" s="54"/>
    </row>
    <row r="609" ht="14.25" customHeight="1">
      <c r="B609" s="54"/>
      <c r="C609" s="141"/>
      <c r="F609" s="54"/>
      <c r="G609" s="54"/>
    </row>
    <row r="610" ht="14.25" customHeight="1">
      <c r="B610" s="54"/>
      <c r="C610" s="141"/>
      <c r="F610" s="54"/>
      <c r="G610" s="54"/>
    </row>
    <row r="611" ht="14.25" customHeight="1">
      <c r="B611" s="54"/>
      <c r="C611" s="143"/>
      <c r="D611" s="144"/>
      <c r="E611" s="144"/>
      <c r="F611" s="92"/>
      <c r="G611" s="92"/>
    </row>
    <row r="612" ht="14.25" customHeight="1">
      <c r="B612" s="54"/>
      <c r="C612" s="141"/>
      <c r="F612" s="54"/>
      <c r="G612" s="54"/>
    </row>
    <row r="613" ht="14.25" customHeight="1">
      <c r="B613" s="54"/>
      <c r="C613" s="141"/>
      <c r="F613" s="54"/>
      <c r="G613" s="54"/>
    </row>
    <row r="614" ht="14.25" customHeight="1">
      <c r="B614" s="54"/>
      <c r="C614" s="166"/>
      <c r="D614" s="167"/>
      <c r="E614" s="168"/>
      <c r="F614" s="167"/>
      <c r="G614" s="167"/>
    </row>
    <row r="615" ht="14.25" customHeight="1">
      <c r="B615" s="54"/>
      <c r="C615" s="166"/>
      <c r="D615" s="167"/>
      <c r="E615" s="167"/>
      <c r="F615" s="167"/>
      <c r="G615" s="167"/>
    </row>
    <row r="616" ht="14.25" customHeight="1">
      <c r="B616" s="54"/>
      <c r="C616" s="141"/>
      <c r="F616" s="54"/>
      <c r="G616" s="54"/>
    </row>
    <row r="617" ht="14.25" customHeight="1">
      <c r="B617" s="54"/>
      <c r="C617" s="141"/>
      <c r="F617" s="54"/>
      <c r="G617" s="54"/>
    </row>
    <row r="618" ht="14.25" customHeight="1">
      <c r="B618" s="54"/>
      <c r="C618" s="141"/>
      <c r="F618" s="54"/>
      <c r="G618" s="54"/>
    </row>
    <row r="619" ht="14.25" customHeight="1">
      <c r="B619" s="54"/>
      <c r="C619" s="141"/>
      <c r="F619" s="54"/>
      <c r="G619" s="54"/>
    </row>
    <row r="620" ht="14.25" customHeight="1">
      <c r="B620" s="54"/>
      <c r="C620" s="141"/>
      <c r="F620" s="54"/>
      <c r="G620" s="54"/>
    </row>
    <row r="621" ht="14.25" customHeight="1">
      <c r="B621" s="54"/>
      <c r="C621" s="166"/>
      <c r="D621" s="167"/>
      <c r="E621" s="167"/>
      <c r="F621" s="167"/>
      <c r="G621" s="167"/>
    </row>
    <row r="622" ht="14.25" customHeight="1">
      <c r="B622" s="54"/>
      <c r="C622" s="166"/>
      <c r="D622" s="167"/>
      <c r="E622" s="167"/>
      <c r="F622" s="167"/>
      <c r="G622" s="167"/>
    </row>
    <row r="623" ht="14.25" customHeight="1">
      <c r="B623" s="54"/>
      <c r="C623" s="141"/>
      <c r="F623" s="54"/>
      <c r="G623" s="54"/>
    </row>
    <row r="624" ht="14.25" customHeight="1">
      <c r="B624" s="54"/>
      <c r="C624" s="141"/>
      <c r="F624" s="54"/>
      <c r="G624" s="54"/>
    </row>
    <row r="625" ht="14.25" customHeight="1">
      <c r="B625" s="54"/>
      <c r="C625" s="141"/>
      <c r="F625" s="54"/>
      <c r="G625" s="54"/>
    </row>
    <row r="626" ht="14.25" customHeight="1">
      <c r="B626" s="54"/>
      <c r="C626" s="141"/>
      <c r="F626" s="54"/>
      <c r="G626" s="54"/>
    </row>
    <row r="627" ht="14.25" customHeight="1">
      <c r="B627" s="54"/>
      <c r="C627" s="141"/>
      <c r="F627" s="54"/>
      <c r="G627" s="54"/>
    </row>
    <row r="628" ht="14.25" customHeight="1">
      <c r="B628" s="54"/>
      <c r="C628" s="166"/>
      <c r="D628" s="167"/>
      <c r="E628" s="167"/>
      <c r="F628" s="167"/>
      <c r="G628" s="167"/>
    </row>
    <row r="629" ht="14.25" customHeight="1">
      <c r="B629" s="54"/>
      <c r="C629" s="166"/>
      <c r="D629" s="167"/>
      <c r="E629" s="167"/>
      <c r="F629" s="167"/>
      <c r="G629" s="167"/>
    </row>
    <row r="630" ht="14.25" customHeight="1">
      <c r="B630" s="140"/>
      <c r="C630" s="141"/>
      <c r="F630" s="54"/>
      <c r="G630" s="54"/>
    </row>
    <row r="631" ht="14.25" customHeight="1">
      <c r="B631" s="140"/>
      <c r="C631" s="141"/>
      <c r="F631" s="54"/>
      <c r="G631" s="54"/>
    </row>
    <row r="632" ht="14.25" customHeight="1">
      <c r="B632" s="140"/>
      <c r="C632" s="141"/>
      <c r="F632" s="54"/>
      <c r="G632" s="54"/>
    </row>
    <row r="633" ht="14.25" customHeight="1">
      <c r="B633" s="140"/>
      <c r="C633" s="141"/>
      <c r="F633" s="54"/>
      <c r="G633" s="54"/>
    </row>
    <row r="634" ht="14.25" customHeight="1">
      <c r="B634" s="140"/>
      <c r="C634" s="141"/>
      <c r="F634" s="54"/>
      <c r="G634" s="54"/>
    </row>
    <row r="635" ht="14.25" customHeight="1">
      <c r="B635" s="140"/>
      <c r="C635" s="166"/>
      <c r="D635" s="168"/>
      <c r="E635" s="168"/>
      <c r="F635" s="167"/>
      <c r="G635" s="167"/>
    </row>
    <row r="636" ht="14.25" customHeight="1">
      <c r="B636" s="140"/>
      <c r="C636" s="166"/>
      <c r="D636" s="167"/>
      <c r="E636" s="167"/>
      <c r="F636" s="167"/>
      <c r="G636" s="167"/>
    </row>
    <row r="637" ht="14.25" customHeight="1">
      <c r="B637" s="140"/>
      <c r="C637" s="141"/>
      <c r="F637" s="54"/>
      <c r="G637" s="54"/>
    </row>
    <row r="638" ht="14.25" customHeight="1">
      <c r="B638" s="140"/>
      <c r="C638" s="141"/>
      <c r="F638" s="54"/>
      <c r="G638" s="54"/>
    </row>
    <row r="639" ht="14.25" customHeight="1">
      <c r="B639" s="140"/>
      <c r="C639" s="141"/>
      <c r="F639" s="54"/>
      <c r="G639" s="54"/>
    </row>
    <row r="640" ht="14.25" customHeight="1">
      <c r="B640" s="140"/>
      <c r="C640" s="143"/>
      <c r="D640" s="92"/>
      <c r="E640" s="92"/>
      <c r="F640" s="92"/>
      <c r="G640" s="92"/>
    </row>
    <row r="641" ht="14.25" customHeight="1">
      <c r="B641" s="140"/>
      <c r="C641" s="141"/>
      <c r="F641" s="54"/>
      <c r="G641" s="54"/>
    </row>
    <row r="642" ht="14.25" customHeight="1">
      <c r="B642" s="140"/>
      <c r="C642" s="166"/>
      <c r="D642" s="138"/>
      <c r="E642" s="138"/>
      <c r="F642" s="54"/>
      <c r="G642" s="54"/>
    </row>
    <row r="643" ht="14.25" customHeight="1">
      <c r="B643" s="140"/>
      <c r="C643" s="166"/>
      <c r="D643" s="54"/>
      <c r="E643" s="54"/>
      <c r="F643" s="54"/>
      <c r="G643" s="54"/>
    </row>
    <row r="644" ht="14.25" customHeight="1">
      <c r="B644" s="140"/>
      <c r="C644" s="141"/>
      <c r="D644" s="138"/>
      <c r="E644" s="138"/>
      <c r="F644" s="54"/>
      <c r="G644" s="54"/>
    </row>
    <row r="645" ht="14.25" customHeight="1">
      <c r="B645" s="140"/>
      <c r="C645" s="141"/>
      <c r="D645" s="54"/>
      <c r="E645" s="138"/>
      <c r="F645" s="54"/>
      <c r="G645" s="54"/>
    </row>
    <row r="646" ht="14.25" customHeight="1">
      <c r="B646" s="140"/>
      <c r="C646" s="141"/>
      <c r="D646" s="54"/>
      <c r="E646" s="138"/>
      <c r="F646" s="54"/>
      <c r="G646" s="54"/>
    </row>
    <row r="647" ht="14.25" customHeight="1">
      <c r="B647" s="140"/>
      <c r="C647" s="141"/>
      <c r="D647" s="54"/>
      <c r="E647" s="138"/>
      <c r="F647" s="54"/>
      <c r="G647" s="54"/>
    </row>
    <row r="648" ht="14.25" customHeight="1">
      <c r="B648" s="140"/>
      <c r="C648" s="141"/>
      <c r="D648" s="54"/>
      <c r="E648" s="138"/>
      <c r="F648" s="54"/>
      <c r="G648" s="54"/>
    </row>
    <row r="649" ht="14.25" customHeight="1">
      <c r="B649" s="140"/>
      <c r="C649" s="166"/>
      <c r="D649" s="54"/>
      <c r="E649" s="138"/>
      <c r="F649" s="54"/>
      <c r="G649" s="54"/>
    </row>
    <row r="650" ht="14.25" customHeight="1">
      <c r="B650" s="140"/>
      <c r="C650" s="166"/>
      <c r="D650" s="54"/>
      <c r="E650" s="54"/>
      <c r="F650" s="54"/>
      <c r="G650" s="54"/>
    </row>
    <row r="651" ht="14.25" customHeight="1">
      <c r="B651" s="140"/>
      <c r="C651" s="141"/>
      <c r="D651" s="138"/>
      <c r="E651" s="138"/>
      <c r="F651" s="54"/>
      <c r="G651" s="54"/>
    </row>
    <row r="652" ht="14.25" customHeight="1">
      <c r="B652" s="140"/>
      <c r="C652" s="141"/>
      <c r="D652" s="54"/>
      <c r="E652" s="138"/>
      <c r="F652" s="54"/>
      <c r="G652" s="54"/>
    </row>
    <row r="653" ht="14.25" customHeight="1">
      <c r="B653" s="140"/>
      <c r="C653" s="141"/>
      <c r="D653" s="54"/>
      <c r="E653" s="138"/>
      <c r="F653" s="54"/>
      <c r="G653" s="54"/>
    </row>
    <row r="654" ht="14.25" customHeight="1">
      <c r="B654" s="140"/>
      <c r="C654" s="141"/>
      <c r="D654" s="54"/>
      <c r="E654" s="138"/>
      <c r="F654" s="54"/>
      <c r="G654" s="54"/>
    </row>
    <row r="655" ht="14.25" customHeight="1">
      <c r="B655" s="140"/>
      <c r="C655" s="141"/>
      <c r="D655" s="54"/>
      <c r="E655" s="138"/>
      <c r="F655" s="54"/>
      <c r="G655" s="54"/>
    </row>
    <row r="656" ht="14.25" customHeight="1">
      <c r="B656" s="140"/>
      <c r="C656" s="166"/>
      <c r="D656" s="54"/>
      <c r="E656" s="138"/>
      <c r="F656" s="54"/>
      <c r="G656" s="54"/>
    </row>
    <row r="657" ht="14.25" customHeight="1">
      <c r="B657" s="140"/>
      <c r="C657" s="166"/>
      <c r="D657" s="54"/>
      <c r="E657" s="54"/>
      <c r="F657" s="54"/>
      <c r="G657" s="54"/>
    </row>
    <row r="658" ht="14.25" customHeight="1">
      <c r="B658" s="140"/>
      <c r="C658" s="141"/>
      <c r="D658" s="138"/>
      <c r="E658" s="138"/>
      <c r="F658" s="54"/>
      <c r="G658" s="54"/>
    </row>
    <row r="659" ht="14.25" customHeight="1">
      <c r="B659" s="140"/>
      <c r="C659" s="141"/>
      <c r="D659" s="54"/>
      <c r="E659" s="138"/>
      <c r="F659" s="54"/>
      <c r="G659" s="54"/>
    </row>
    <row r="660" ht="14.25" customHeight="1">
      <c r="B660" s="140"/>
      <c r="C660" s="141"/>
      <c r="D660" s="54"/>
      <c r="E660" s="138"/>
      <c r="F660" s="54"/>
      <c r="G660" s="54"/>
    </row>
    <row r="661" ht="14.25" customHeight="1">
      <c r="B661" s="140"/>
      <c r="C661" s="141"/>
      <c r="D661" s="138"/>
      <c r="E661" s="138"/>
      <c r="F661" s="54"/>
      <c r="G661" s="54"/>
    </row>
    <row r="662" ht="14.25" customHeight="1">
      <c r="B662" s="140"/>
      <c r="C662" s="141"/>
      <c r="D662" s="54"/>
      <c r="E662" s="138"/>
      <c r="F662" s="54"/>
      <c r="G662" s="54"/>
    </row>
    <row r="663" ht="14.25" customHeight="1">
      <c r="B663" s="140"/>
      <c r="C663" s="166"/>
      <c r="D663" s="54"/>
      <c r="E663" s="138"/>
      <c r="F663" s="54"/>
      <c r="G663" s="54"/>
    </row>
    <row r="664" ht="14.25" customHeight="1">
      <c r="B664" s="140"/>
      <c r="C664" s="166"/>
      <c r="D664" s="54"/>
      <c r="E664" s="54"/>
      <c r="F664" s="54"/>
      <c r="G664" s="54"/>
    </row>
    <row r="665" ht="14.25" customHeight="1">
      <c r="B665" s="140"/>
      <c r="C665" s="141"/>
      <c r="D665" s="138"/>
      <c r="E665" s="138"/>
      <c r="F665" s="54"/>
      <c r="G665" s="54"/>
    </row>
    <row r="666" ht="14.25" customHeight="1">
      <c r="B666" s="140"/>
      <c r="C666" s="141"/>
      <c r="D666" s="54"/>
      <c r="E666" s="138"/>
      <c r="F666" s="54"/>
      <c r="G666" s="54"/>
    </row>
    <row r="667" ht="14.25" customHeight="1">
      <c r="B667" s="140"/>
      <c r="C667" s="141"/>
      <c r="D667" s="54"/>
      <c r="E667" s="138"/>
      <c r="F667" s="54"/>
      <c r="G667" s="54"/>
    </row>
    <row r="668" ht="14.25" customHeight="1">
      <c r="B668" s="140"/>
      <c r="C668" s="141"/>
      <c r="D668" s="54"/>
      <c r="E668" s="54"/>
      <c r="F668" s="54"/>
      <c r="G668" s="54"/>
    </row>
    <row r="669" ht="14.25" customHeight="1">
      <c r="B669" s="140"/>
      <c r="C669" s="141"/>
      <c r="D669" s="138"/>
      <c r="E669" s="138"/>
      <c r="F669" s="54"/>
      <c r="G669" s="54"/>
    </row>
    <row r="670" ht="14.25" customHeight="1">
      <c r="B670" s="140"/>
      <c r="C670" s="166"/>
      <c r="D670" s="54"/>
      <c r="E670" s="138"/>
      <c r="F670" s="54"/>
      <c r="G670" s="54"/>
    </row>
    <row r="671" ht="14.25" customHeight="1">
      <c r="B671" s="140"/>
      <c r="C671" s="166"/>
      <c r="D671" s="54"/>
      <c r="E671" s="54"/>
      <c r="F671" s="54"/>
      <c r="G671" s="54"/>
    </row>
    <row r="672" ht="14.25" customHeight="1">
      <c r="B672" s="140"/>
      <c r="C672" s="141"/>
      <c r="D672" s="54"/>
      <c r="E672" s="54"/>
      <c r="F672" s="54"/>
      <c r="G672" s="54"/>
    </row>
    <row r="673" ht="14.25" customHeight="1">
      <c r="B673" s="140"/>
      <c r="C673" s="141"/>
      <c r="D673" s="54"/>
      <c r="E673" s="54"/>
      <c r="F673" s="54"/>
      <c r="G673" s="54"/>
    </row>
    <row r="674" ht="14.25" customHeight="1">
      <c r="B674" s="140"/>
      <c r="C674" s="141"/>
      <c r="D674" s="54"/>
      <c r="E674" s="54"/>
      <c r="F674" s="54"/>
      <c r="G674" s="54"/>
    </row>
    <row r="675" ht="14.25" customHeight="1">
      <c r="B675" s="147"/>
      <c r="C675" s="141"/>
      <c r="D675" s="54"/>
      <c r="E675" s="54"/>
      <c r="F675" s="54"/>
      <c r="G675" s="54"/>
    </row>
    <row r="676" ht="14.25" customHeight="1">
      <c r="B676" s="147"/>
      <c r="C676" s="141"/>
      <c r="D676" s="54"/>
      <c r="E676" s="54"/>
      <c r="F676" s="54"/>
      <c r="G676" s="54"/>
    </row>
    <row r="677" ht="14.25" customHeight="1">
      <c r="B677" s="140"/>
      <c r="C677" s="141"/>
      <c r="D677" s="54"/>
      <c r="E677" s="54"/>
      <c r="F677" s="54"/>
      <c r="G677" s="54"/>
    </row>
    <row r="678" ht="14.25" customHeight="1">
      <c r="B678" s="140"/>
      <c r="C678" s="141"/>
      <c r="D678" s="54"/>
      <c r="E678" s="54"/>
      <c r="F678" s="54"/>
      <c r="G678" s="54"/>
    </row>
    <row r="679" ht="14.25" customHeight="1">
      <c r="B679" s="140"/>
      <c r="C679" s="141"/>
      <c r="D679" s="54"/>
      <c r="E679" s="54"/>
      <c r="F679" s="54"/>
      <c r="G679" s="54"/>
    </row>
    <row r="680" ht="14.25" customHeight="1">
      <c r="B680" s="140"/>
      <c r="C680" s="141"/>
      <c r="D680" s="54"/>
      <c r="E680" s="54"/>
      <c r="F680" s="54"/>
      <c r="G680" s="54"/>
    </row>
    <row r="681" ht="14.25" customHeight="1">
      <c r="B681" s="140"/>
      <c r="C681" s="141"/>
      <c r="D681" s="54"/>
      <c r="E681" s="54"/>
      <c r="F681" s="54"/>
      <c r="G681" s="54"/>
    </row>
    <row r="682" ht="14.25" customHeight="1">
      <c r="B682" s="140"/>
      <c r="C682" s="141"/>
      <c r="D682" s="54"/>
      <c r="E682" s="54"/>
      <c r="F682" s="54"/>
      <c r="G682" s="54"/>
    </row>
    <row r="683" ht="14.25" customHeight="1">
      <c r="B683" s="140"/>
      <c r="C683" s="141"/>
      <c r="D683" s="54"/>
      <c r="E683" s="54"/>
      <c r="F683" s="54"/>
      <c r="G683" s="54"/>
    </row>
    <row r="684" ht="14.25" customHeight="1">
      <c r="B684" s="140"/>
      <c r="C684" s="141"/>
      <c r="D684" s="54"/>
      <c r="E684" s="54"/>
      <c r="F684" s="54"/>
      <c r="G684" s="54"/>
    </row>
    <row r="685" ht="14.25" customHeight="1">
      <c r="B685" s="140"/>
      <c r="C685" s="141"/>
      <c r="D685" s="54"/>
      <c r="E685" s="54"/>
      <c r="F685" s="54"/>
      <c r="G685" s="54"/>
    </row>
    <row r="686" ht="14.25" customHeight="1">
      <c r="B686" s="140"/>
      <c r="C686" s="141"/>
      <c r="D686" s="54"/>
      <c r="E686" s="54"/>
      <c r="F686" s="54"/>
      <c r="G686" s="54"/>
    </row>
    <row r="687" ht="14.25" customHeight="1">
      <c r="B687" s="140"/>
      <c r="C687" s="141"/>
      <c r="D687" s="54"/>
      <c r="E687" s="54"/>
      <c r="F687" s="54"/>
      <c r="G687" s="54"/>
    </row>
    <row r="688" ht="14.25" customHeight="1">
      <c r="B688" s="140"/>
      <c r="C688" s="141"/>
      <c r="D688" s="54"/>
      <c r="E688" s="54"/>
      <c r="F688" s="54"/>
      <c r="G688" s="54"/>
    </row>
    <row r="689" ht="14.25" customHeight="1">
      <c r="B689" s="140"/>
      <c r="C689" s="141"/>
      <c r="D689" s="54"/>
      <c r="E689" s="54"/>
      <c r="F689" s="54"/>
      <c r="G689" s="54"/>
    </row>
    <row r="690" ht="14.25" customHeight="1">
      <c r="B690" s="140"/>
      <c r="C690" s="141"/>
      <c r="D690" s="54"/>
      <c r="E690" s="54"/>
      <c r="F690" s="54"/>
      <c r="G690" s="54"/>
    </row>
    <row r="691" ht="14.25" customHeight="1">
      <c r="B691" s="140"/>
      <c r="C691" s="141"/>
      <c r="D691" s="54"/>
      <c r="E691" s="54"/>
      <c r="F691" s="54"/>
      <c r="G691" s="54"/>
    </row>
    <row r="692" ht="14.25" customHeight="1">
      <c r="B692" s="140"/>
      <c r="C692" s="141"/>
      <c r="D692" s="54"/>
      <c r="E692" s="54"/>
      <c r="F692" s="54"/>
      <c r="G692" s="54"/>
    </row>
    <row r="693" ht="14.25" customHeight="1">
      <c r="B693" s="140"/>
      <c r="C693" s="141"/>
      <c r="D693" s="54"/>
      <c r="E693" s="54"/>
      <c r="F693" s="54"/>
      <c r="G693" s="54"/>
    </row>
    <row r="694" ht="14.25" customHeight="1">
      <c r="B694" s="140"/>
      <c r="C694" s="141"/>
      <c r="D694" s="54"/>
      <c r="E694" s="54"/>
      <c r="F694" s="54"/>
      <c r="G694" s="54"/>
    </row>
    <row r="695" ht="14.25" customHeight="1">
      <c r="B695" s="140"/>
      <c r="C695" s="141"/>
      <c r="D695" s="54"/>
      <c r="E695" s="54"/>
      <c r="F695" s="54"/>
      <c r="G695" s="54"/>
    </row>
    <row r="696" ht="14.25" customHeight="1">
      <c r="B696" s="140"/>
      <c r="C696" s="141"/>
      <c r="D696" s="54"/>
      <c r="E696" s="54"/>
      <c r="F696" s="54"/>
      <c r="G696" s="54"/>
    </row>
    <row r="697" ht="14.25" customHeight="1">
      <c r="B697" s="140"/>
      <c r="C697" s="141"/>
      <c r="D697" s="54"/>
      <c r="E697" s="54"/>
      <c r="F697" s="54"/>
      <c r="G697" s="54"/>
    </row>
    <row r="698" ht="14.25" customHeight="1">
      <c r="B698" s="140"/>
      <c r="C698" s="141"/>
      <c r="D698" s="54"/>
      <c r="E698" s="54"/>
      <c r="F698" s="54"/>
      <c r="G698" s="54"/>
    </row>
    <row r="699" ht="14.25" customHeight="1">
      <c r="B699" s="140"/>
      <c r="C699" s="141"/>
      <c r="D699" s="54"/>
      <c r="E699" s="54"/>
      <c r="F699" s="54"/>
      <c r="G699" s="54"/>
    </row>
    <row r="700" ht="14.25" customHeight="1">
      <c r="B700" s="140"/>
      <c r="C700" s="141"/>
      <c r="D700" s="54"/>
      <c r="E700" s="54"/>
      <c r="F700" s="54"/>
      <c r="G700" s="54"/>
    </row>
    <row r="701" ht="14.25" customHeight="1">
      <c r="B701" s="140"/>
      <c r="C701" s="141"/>
      <c r="D701" s="54"/>
      <c r="E701" s="54"/>
      <c r="F701" s="54"/>
      <c r="G701" s="54"/>
    </row>
    <row r="702" ht="14.25" customHeight="1">
      <c r="B702" s="140"/>
      <c r="C702" s="141"/>
      <c r="D702" s="54"/>
      <c r="E702" s="54"/>
      <c r="F702" s="54"/>
      <c r="G702" s="54"/>
    </row>
    <row r="703" ht="14.25" customHeight="1">
      <c r="B703" s="140"/>
      <c r="C703" s="141"/>
      <c r="D703" s="54"/>
      <c r="E703" s="54"/>
      <c r="F703" s="54"/>
      <c r="G703" s="54"/>
    </row>
    <row r="704" ht="14.25" customHeight="1">
      <c r="B704" s="140"/>
      <c r="C704" s="141"/>
      <c r="D704" s="54"/>
      <c r="E704" s="54"/>
      <c r="F704" s="54"/>
      <c r="G704" s="54"/>
    </row>
    <row r="705" ht="14.25" customHeight="1">
      <c r="B705" s="140"/>
      <c r="C705" s="141"/>
      <c r="D705" s="54"/>
      <c r="E705" s="54"/>
      <c r="F705" s="54"/>
      <c r="G705" s="54"/>
    </row>
    <row r="706" ht="14.25" customHeight="1">
      <c r="B706" s="140"/>
      <c r="C706" s="141"/>
      <c r="D706" s="54"/>
      <c r="E706" s="54"/>
      <c r="F706" s="54"/>
      <c r="G706" s="54"/>
    </row>
    <row r="707" ht="14.25" customHeight="1">
      <c r="B707" s="140"/>
      <c r="C707" s="141"/>
      <c r="D707" s="54"/>
      <c r="E707" s="54"/>
      <c r="F707" s="54"/>
      <c r="G707" s="54"/>
    </row>
    <row r="708" ht="14.25" customHeight="1">
      <c r="B708" s="140"/>
      <c r="C708" s="141"/>
      <c r="D708" s="54"/>
      <c r="E708" s="54"/>
      <c r="F708" s="54"/>
      <c r="G708" s="54"/>
    </row>
    <row r="709" ht="14.25" customHeight="1">
      <c r="B709" s="140"/>
      <c r="C709" s="141"/>
      <c r="D709" s="54"/>
      <c r="E709" s="54"/>
      <c r="F709" s="54"/>
      <c r="G709" s="54"/>
    </row>
    <row r="710" ht="14.25" customHeight="1">
      <c r="B710" s="140"/>
      <c r="C710" s="141"/>
      <c r="D710" s="54"/>
      <c r="E710" s="54"/>
      <c r="F710" s="54"/>
      <c r="G710" s="54"/>
    </row>
    <row r="711" ht="14.25" customHeight="1">
      <c r="B711" s="140"/>
      <c r="C711" s="141"/>
      <c r="D711" s="54"/>
      <c r="E711" s="54"/>
      <c r="F711" s="54"/>
      <c r="G711" s="54"/>
    </row>
    <row r="712" ht="14.25" customHeight="1">
      <c r="B712" s="140"/>
      <c r="C712" s="141"/>
      <c r="D712" s="54"/>
      <c r="E712" s="54"/>
      <c r="F712" s="54"/>
      <c r="G712" s="54"/>
    </row>
    <row r="713" ht="14.25" customHeight="1">
      <c r="B713" s="140"/>
      <c r="C713" s="141"/>
      <c r="D713" s="54"/>
      <c r="E713" s="54"/>
      <c r="F713" s="54"/>
      <c r="G713" s="54"/>
    </row>
    <row r="714" ht="14.25" customHeight="1">
      <c r="B714" s="140"/>
      <c r="C714" s="141"/>
      <c r="D714" s="54"/>
      <c r="E714" s="54"/>
      <c r="F714" s="54"/>
      <c r="G714" s="54"/>
    </row>
    <row r="715" ht="14.25" customHeight="1">
      <c r="B715" s="140"/>
      <c r="C715" s="141"/>
      <c r="D715" s="54"/>
      <c r="E715" s="54"/>
      <c r="F715" s="54"/>
      <c r="G715" s="54"/>
    </row>
    <row r="716" ht="14.25" customHeight="1">
      <c r="B716" s="140"/>
      <c r="C716" s="141"/>
      <c r="D716" s="54"/>
      <c r="E716" s="54"/>
      <c r="F716" s="54"/>
      <c r="G716" s="54"/>
    </row>
    <row r="717" ht="14.25" customHeight="1">
      <c r="B717" s="140"/>
      <c r="C717" s="141"/>
      <c r="D717" s="54"/>
      <c r="E717" s="54"/>
      <c r="F717" s="54"/>
      <c r="G717" s="54"/>
    </row>
    <row r="718" ht="14.25" customHeight="1">
      <c r="B718" s="140"/>
      <c r="C718" s="141"/>
      <c r="D718" s="54"/>
      <c r="E718" s="54"/>
      <c r="F718" s="54"/>
      <c r="G718" s="54"/>
    </row>
    <row r="719" ht="14.25" customHeight="1">
      <c r="B719" s="140"/>
      <c r="C719" s="141"/>
      <c r="D719" s="54"/>
      <c r="E719" s="54"/>
      <c r="F719" s="54"/>
      <c r="G719" s="54"/>
    </row>
    <row r="720" ht="14.25" customHeight="1">
      <c r="B720" s="140"/>
      <c r="C720" s="141"/>
      <c r="D720" s="54"/>
      <c r="E720" s="54"/>
      <c r="F720" s="54"/>
      <c r="G720" s="54"/>
    </row>
    <row r="721" ht="14.25" customHeight="1">
      <c r="B721" s="140"/>
      <c r="C721" s="141"/>
      <c r="D721" s="54"/>
      <c r="E721" s="54"/>
      <c r="F721" s="54"/>
      <c r="G721" s="54"/>
    </row>
    <row r="722" ht="14.25" customHeight="1">
      <c r="B722" s="140"/>
      <c r="C722" s="141"/>
      <c r="D722" s="54"/>
      <c r="E722" s="54"/>
      <c r="F722" s="54"/>
      <c r="G722" s="54"/>
    </row>
    <row r="723" ht="14.25" customHeight="1">
      <c r="B723" s="140"/>
      <c r="C723" s="141"/>
      <c r="D723" s="54"/>
      <c r="E723" s="54"/>
      <c r="F723" s="54"/>
      <c r="G723" s="54"/>
    </row>
    <row r="724" ht="14.25" customHeight="1">
      <c r="B724" s="140"/>
      <c r="C724" s="141"/>
      <c r="D724" s="54"/>
      <c r="E724" s="54"/>
      <c r="F724" s="54"/>
      <c r="G724" s="54"/>
    </row>
    <row r="725" ht="14.25" customHeight="1">
      <c r="B725" s="140"/>
      <c r="C725" s="141"/>
      <c r="D725" s="54"/>
      <c r="E725" s="54"/>
      <c r="F725" s="54"/>
      <c r="G725" s="54"/>
    </row>
    <row r="726" ht="14.25" customHeight="1">
      <c r="B726" s="140"/>
      <c r="C726" s="141"/>
      <c r="D726" s="54"/>
      <c r="E726" s="54"/>
      <c r="F726" s="54"/>
      <c r="G726" s="54"/>
    </row>
    <row r="727" ht="14.25" customHeight="1">
      <c r="B727" s="140"/>
      <c r="C727" s="141"/>
      <c r="D727" s="54"/>
      <c r="E727" s="54"/>
      <c r="F727" s="54"/>
      <c r="G727" s="54"/>
    </row>
    <row r="728" ht="14.25" customHeight="1">
      <c r="B728" s="140"/>
      <c r="C728" s="141"/>
      <c r="D728" s="54"/>
      <c r="E728" s="54"/>
      <c r="F728" s="54"/>
      <c r="G728" s="54"/>
    </row>
    <row r="729" ht="14.25" customHeight="1">
      <c r="B729" s="140"/>
      <c r="C729" s="141"/>
      <c r="D729" s="54"/>
      <c r="E729" s="54"/>
      <c r="F729" s="54"/>
      <c r="G729" s="54"/>
    </row>
    <row r="730" ht="14.25" customHeight="1">
      <c r="B730" s="140"/>
      <c r="C730" s="141"/>
      <c r="D730" s="54"/>
      <c r="E730" s="54"/>
      <c r="F730" s="54"/>
      <c r="G730" s="54"/>
    </row>
    <row r="731" ht="14.25" customHeight="1">
      <c r="B731" s="140"/>
      <c r="C731" s="141"/>
      <c r="D731" s="54"/>
      <c r="E731" s="54"/>
      <c r="F731" s="54"/>
      <c r="G731" s="54"/>
    </row>
    <row r="732" ht="14.25" customHeight="1">
      <c r="B732" s="140"/>
      <c r="C732" s="141"/>
      <c r="D732" s="54"/>
      <c r="E732" s="54"/>
      <c r="F732" s="54"/>
      <c r="G732" s="54"/>
    </row>
    <row r="733" ht="14.25" customHeight="1">
      <c r="B733" s="140"/>
      <c r="C733" s="141"/>
      <c r="D733" s="54"/>
      <c r="E733" s="54"/>
      <c r="F733" s="54"/>
      <c r="G733" s="54"/>
    </row>
    <row r="734" ht="14.25" customHeight="1">
      <c r="B734" s="140"/>
      <c r="C734" s="141"/>
      <c r="D734" s="138"/>
      <c r="E734" s="138"/>
      <c r="F734" s="54"/>
      <c r="G734" s="54"/>
    </row>
    <row r="735" ht="14.25" customHeight="1">
      <c r="B735" s="140"/>
      <c r="C735" s="141"/>
      <c r="D735" s="138"/>
      <c r="E735" s="138"/>
      <c r="F735" s="54"/>
      <c r="G735" s="54"/>
    </row>
    <row r="736" ht="14.25" customHeight="1">
      <c r="B736" s="140"/>
      <c r="C736" s="141"/>
      <c r="D736" s="54"/>
      <c r="E736" s="138"/>
      <c r="F736" s="54"/>
      <c r="G736" s="54"/>
    </row>
    <row r="737" ht="14.25" customHeight="1">
      <c r="B737" s="140"/>
      <c r="C737" s="141"/>
      <c r="D737" s="54"/>
      <c r="E737" s="138"/>
      <c r="F737" s="54"/>
      <c r="G737" s="54"/>
    </row>
    <row r="738" ht="14.25" customHeight="1">
      <c r="B738" s="140"/>
      <c r="C738" s="141"/>
      <c r="D738" s="54"/>
      <c r="E738" s="138"/>
      <c r="F738" s="54"/>
      <c r="G738" s="54"/>
    </row>
    <row r="739" ht="14.25" customHeight="1">
      <c r="B739" s="140"/>
      <c r="C739" s="141"/>
      <c r="D739" s="138"/>
      <c r="E739" s="138"/>
      <c r="F739" s="54"/>
      <c r="G739" s="54"/>
    </row>
    <row r="740" ht="14.25" customHeight="1">
      <c r="B740" s="140"/>
      <c r="C740" s="141"/>
      <c r="D740" s="54"/>
      <c r="E740" s="54"/>
      <c r="F740" s="54"/>
      <c r="G740" s="54"/>
    </row>
    <row r="741" ht="14.25" customHeight="1">
      <c r="B741" s="140"/>
      <c r="C741" s="141"/>
      <c r="D741" s="54"/>
      <c r="E741" s="54"/>
      <c r="F741" s="54"/>
      <c r="G741" s="54"/>
    </row>
    <row r="742" ht="14.25" customHeight="1">
      <c r="B742" s="140"/>
      <c r="C742" s="141"/>
      <c r="D742" s="138"/>
      <c r="E742" s="138"/>
      <c r="F742" s="54"/>
      <c r="G742" s="54"/>
    </row>
    <row r="743" ht="14.25" customHeight="1">
      <c r="B743" s="140"/>
      <c r="C743" s="141"/>
      <c r="D743" s="54"/>
      <c r="E743" s="138"/>
      <c r="F743" s="54"/>
      <c r="G743" s="54"/>
    </row>
    <row r="744" ht="14.25" customHeight="1">
      <c r="B744" s="140"/>
      <c r="C744" s="141"/>
      <c r="D744" s="138"/>
      <c r="E744" s="138"/>
      <c r="F744" s="54"/>
      <c r="G744" s="54"/>
    </row>
    <row r="745" ht="14.25" customHeight="1">
      <c r="B745" s="140"/>
      <c r="C745" s="141"/>
      <c r="D745" s="54"/>
      <c r="E745" s="138"/>
      <c r="F745" s="54"/>
      <c r="G745" s="54"/>
    </row>
    <row r="746" ht="14.25" customHeight="1">
      <c r="B746" s="140"/>
      <c r="C746" s="141"/>
      <c r="D746" s="54"/>
      <c r="E746" s="138"/>
      <c r="F746" s="54"/>
      <c r="G746" s="54"/>
    </row>
    <row r="747" ht="14.25" customHeight="1">
      <c r="B747" s="140"/>
      <c r="C747" s="141"/>
      <c r="D747" s="54"/>
      <c r="E747" s="138"/>
      <c r="F747" s="54"/>
      <c r="G747" s="54"/>
    </row>
    <row r="748" ht="14.25" customHeight="1">
      <c r="B748" s="140"/>
      <c r="C748" s="141"/>
      <c r="D748" s="54"/>
      <c r="E748" s="138"/>
      <c r="F748" s="54"/>
      <c r="G748" s="54"/>
    </row>
    <row r="749" ht="14.25" customHeight="1">
      <c r="B749" s="140"/>
      <c r="C749" s="141"/>
      <c r="D749" s="54"/>
      <c r="E749" s="138"/>
      <c r="F749" s="54"/>
      <c r="G749" s="54"/>
    </row>
    <row r="750" ht="14.25" customHeight="1">
      <c r="B750" s="140"/>
      <c r="C750" s="141"/>
      <c r="D750" s="54"/>
      <c r="E750" s="138"/>
      <c r="F750" s="54"/>
      <c r="G750" s="54"/>
    </row>
    <row r="751" ht="14.25" customHeight="1">
      <c r="B751" s="140"/>
      <c r="C751" s="141"/>
      <c r="D751" s="54"/>
      <c r="E751" s="138"/>
      <c r="F751" s="54"/>
      <c r="G751" s="54"/>
    </row>
    <row r="752" ht="14.25" customHeight="1">
      <c r="B752" s="140"/>
      <c r="C752" s="141"/>
      <c r="D752" s="54"/>
      <c r="E752" s="138"/>
      <c r="F752" s="54"/>
      <c r="G752" s="54"/>
    </row>
    <row r="753" ht="14.25" customHeight="1">
      <c r="B753" s="140"/>
      <c r="C753" s="141"/>
      <c r="D753" s="54"/>
      <c r="E753" s="138"/>
      <c r="F753" s="54"/>
      <c r="G753" s="54"/>
    </row>
    <row r="754" ht="14.25" customHeight="1">
      <c r="B754" s="140"/>
      <c r="C754" s="141"/>
      <c r="D754" s="54"/>
      <c r="E754" s="54"/>
      <c r="F754" s="54"/>
      <c r="G754" s="54"/>
    </row>
    <row r="755" ht="14.25" customHeight="1">
      <c r="B755" s="140"/>
      <c r="C755" s="141"/>
      <c r="D755" s="54"/>
      <c r="E755" s="54"/>
      <c r="F755" s="54"/>
      <c r="G755" s="54"/>
    </row>
    <row r="756" ht="14.25" customHeight="1">
      <c r="B756" s="140"/>
      <c r="C756" s="141"/>
      <c r="D756" s="138"/>
      <c r="E756" s="138"/>
      <c r="F756" s="54"/>
      <c r="G756" s="54"/>
    </row>
    <row r="757" ht="14.25" customHeight="1">
      <c r="B757" s="140"/>
      <c r="C757" s="141"/>
      <c r="D757" s="54"/>
      <c r="E757" s="138"/>
      <c r="F757" s="54"/>
      <c r="G757" s="54"/>
    </row>
    <row r="758" ht="14.25" customHeight="1">
      <c r="B758" s="140"/>
      <c r="C758" s="141"/>
      <c r="D758" s="54"/>
      <c r="E758" s="138"/>
      <c r="F758" s="54"/>
      <c r="G758" s="54"/>
    </row>
    <row r="759" ht="14.25" customHeight="1">
      <c r="B759" s="140"/>
      <c r="C759" s="141"/>
      <c r="D759" s="54"/>
      <c r="E759" s="138"/>
      <c r="F759" s="54"/>
      <c r="G759" s="54"/>
    </row>
    <row r="760" ht="14.25" customHeight="1">
      <c r="B760" s="140"/>
      <c r="C760" s="141"/>
      <c r="D760" s="54"/>
      <c r="E760" s="138"/>
      <c r="F760" s="54"/>
      <c r="G760" s="54"/>
    </row>
    <row r="761" ht="14.25" customHeight="1">
      <c r="B761" s="140"/>
      <c r="C761" s="141"/>
      <c r="D761" s="54"/>
      <c r="E761" s="54"/>
      <c r="F761" s="54"/>
      <c r="G761" s="54"/>
    </row>
    <row r="762" ht="14.25" customHeight="1">
      <c r="B762" s="140"/>
      <c r="C762" s="141"/>
      <c r="D762" s="54"/>
      <c r="E762" s="54"/>
      <c r="F762" s="54"/>
      <c r="G762" s="54"/>
    </row>
    <row r="763" ht="14.25" customHeight="1">
      <c r="B763" s="140"/>
      <c r="C763" s="141"/>
      <c r="D763" s="138"/>
      <c r="E763" s="138"/>
      <c r="F763" s="54"/>
      <c r="G763" s="54"/>
    </row>
    <row r="764" ht="14.25" customHeight="1">
      <c r="B764" s="140"/>
      <c r="C764" s="141"/>
      <c r="D764" s="138"/>
      <c r="E764" s="138"/>
      <c r="F764" s="54"/>
      <c r="G764" s="54"/>
    </row>
    <row r="765" ht="14.25" customHeight="1">
      <c r="B765" s="140"/>
      <c r="C765" s="141"/>
      <c r="D765" s="138"/>
      <c r="E765" s="138"/>
      <c r="F765" s="54"/>
      <c r="G765" s="54"/>
    </row>
    <row r="766" ht="14.25" customHeight="1">
      <c r="B766" s="140"/>
      <c r="C766" s="141"/>
      <c r="D766" s="54"/>
      <c r="E766" s="138"/>
      <c r="F766" s="54"/>
      <c r="G766" s="54"/>
    </row>
    <row r="767" ht="14.25" customHeight="1">
      <c r="B767" s="140"/>
      <c r="C767" s="141"/>
      <c r="D767" s="54"/>
      <c r="E767" s="138"/>
      <c r="F767" s="54"/>
      <c r="G767" s="54"/>
    </row>
    <row r="768" ht="14.25" customHeight="1">
      <c r="B768" s="140"/>
      <c r="C768" s="141"/>
      <c r="D768" s="54"/>
      <c r="E768" s="138"/>
      <c r="F768" s="54"/>
      <c r="G768" s="54"/>
    </row>
    <row r="769" ht="14.25" customHeight="1">
      <c r="B769" s="140"/>
      <c r="C769" s="141"/>
      <c r="D769" s="54"/>
      <c r="E769" s="54"/>
      <c r="F769" s="54"/>
      <c r="G769" s="54"/>
    </row>
    <row r="770" ht="14.25" customHeight="1">
      <c r="B770" s="140"/>
      <c r="C770" s="141"/>
      <c r="D770" s="138"/>
      <c r="E770" s="138"/>
      <c r="F770" s="54"/>
      <c r="G770" s="54"/>
    </row>
    <row r="771" ht="14.25" customHeight="1">
      <c r="B771" s="140"/>
      <c r="C771" s="141"/>
      <c r="D771" s="54"/>
      <c r="E771" s="138"/>
      <c r="F771" s="54"/>
      <c r="G771" s="54"/>
    </row>
    <row r="772" ht="14.25" customHeight="1">
      <c r="B772" s="140"/>
      <c r="C772" s="141"/>
      <c r="D772" s="54"/>
      <c r="E772" s="138"/>
      <c r="F772" s="54"/>
      <c r="G772" s="54"/>
    </row>
    <row r="773" ht="14.25" customHeight="1">
      <c r="B773" s="140"/>
      <c r="C773" s="141"/>
      <c r="D773" s="138"/>
      <c r="E773" s="138"/>
      <c r="F773" s="54"/>
      <c r="G773" s="54"/>
    </row>
    <row r="774" ht="14.25" customHeight="1">
      <c r="B774" s="140"/>
      <c r="C774" s="141"/>
      <c r="D774" s="54"/>
      <c r="E774" s="138"/>
      <c r="F774" s="54"/>
      <c r="G774" s="54"/>
    </row>
    <row r="775" ht="14.25" customHeight="1">
      <c r="B775" s="140"/>
      <c r="C775" s="141"/>
      <c r="D775" s="54"/>
      <c r="E775" s="138"/>
      <c r="F775" s="54"/>
      <c r="G775" s="54"/>
    </row>
    <row r="776" ht="14.25" customHeight="1">
      <c r="B776" s="140"/>
      <c r="C776" s="141"/>
      <c r="D776" s="54"/>
      <c r="E776" s="138"/>
      <c r="F776" s="54"/>
      <c r="G776" s="54"/>
    </row>
    <row r="777" ht="14.25" customHeight="1">
      <c r="B777" s="140"/>
      <c r="C777" s="141"/>
      <c r="D777" s="138"/>
      <c r="E777" s="138"/>
      <c r="F777" s="54"/>
      <c r="G777" s="54"/>
    </row>
    <row r="778" ht="14.25" customHeight="1">
      <c r="B778" s="140"/>
      <c r="C778" s="141"/>
      <c r="D778" s="54"/>
      <c r="E778" s="138"/>
      <c r="F778" s="54"/>
      <c r="G778" s="54"/>
    </row>
    <row r="779" ht="14.25" customHeight="1">
      <c r="B779" s="140"/>
      <c r="C779" s="141"/>
      <c r="D779" s="54"/>
      <c r="E779" s="138"/>
      <c r="F779" s="54"/>
      <c r="G779" s="54"/>
    </row>
    <row r="780" ht="14.25" customHeight="1">
      <c r="B780" s="140"/>
      <c r="C780" s="141"/>
      <c r="D780" s="54"/>
      <c r="E780" s="138"/>
      <c r="F780" s="54"/>
      <c r="G780" s="54"/>
    </row>
    <row r="781" ht="14.25" customHeight="1">
      <c r="B781" s="140"/>
      <c r="C781" s="141"/>
      <c r="D781" s="138"/>
      <c r="E781" s="54"/>
      <c r="F781" s="54"/>
      <c r="G781" s="54"/>
    </row>
    <row r="782" ht="14.25" customHeight="1">
      <c r="B782" s="140"/>
      <c r="C782" s="141"/>
      <c r="D782" s="138"/>
      <c r="E782" s="138"/>
      <c r="F782" s="54"/>
      <c r="G782" s="54"/>
    </row>
    <row r="783" ht="14.25" customHeight="1">
      <c r="B783" s="140"/>
      <c r="C783" s="141"/>
      <c r="D783" s="54"/>
      <c r="E783" s="54"/>
      <c r="F783" s="54"/>
      <c r="G783" s="54"/>
    </row>
    <row r="784" ht="14.25" customHeight="1">
      <c r="B784" s="140"/>
      <c r="C784" s="141"/>
      <c r="D784" s="138"/>
      <c r="E784" s="138"/>
      <c r="F784" s="54"/>
      <c r="G784" s="54"/>
    </row>
    <row r="785" ht="14.25" customHeight="1">
      <c r="B785" s="140"/>
      <c r="C785" s="141"/>
      <c r="D785" s="54"/>
      <c r="E785" s="138"/>
      <c r="F785" s="54"/>
      <c r="G785" s="54"/>
    </row>
    <row r="786" ht="14.25" customHeight="1">
      <c r="B786" s="140"/>
      <c r="C786" s="141"/>
      <c r="D786" s="54"/>
      <c r="E786" s="138"/>
      <c r="F786" s="54"/>
      <c r="G786" s="54"/>
    </row>
    <row r="787" ht="14.25" customHeight="1">
      <c r="B787" s="140"/>
      <c r="C787" s="141"/>
      <c r="D787" s="54"/>
      <c r="E787" s="138"/>
      <c r="F787" s="54"/>
      <c r="G787" s="54"/>
    </row>
    <row r="788" ht="14.25" customHeight="1">
      <c r="B788" s="140"/>
      <c r="C788" s="141"/>
      <c r="D788" s="54"/>
      <c r="E788" s="138"/>
      <c r="F788" s="54"/>
      <c r="G788" s="54"/>
    </row>
    <row r="789" ht="14.25" customHeight="1">
      <c r="B789" s="140"/>
      <c r="C789" s="141"/>
      <c r="D789" s="138"/>
      <c r="E789" s="138"/>
      <c r="F789" s="54"/>
      <c r="G789" s="54"/>
    </row>
    <row r="790" ht="14.25" customHeight="1">
      <c r="B790" s="140"/>
      <c r="C790" s="141"/>
      <c r="D790" s="54"/>
      <c r="E790" s="138"/>
      <c r="F790" s="54"/>
      <c r="G790" s="54"/>
    </row>
    <row r="791" ht="14.25" customHeight="1">
      <c r="B791" s="140"/>
      <c r="C791" s="141"/>
      <c r="D791" s="138"/>
      <c r="E791" s="138"/>
      <c r="F791" s="54"/>
      <c r="G791" s="54"/>
    </row>
    <row r="792" ht="14.25" customHeight="1">
      <c r="B792" s="140"/>
      <c r="C792" s="141"/>
      <c r="D792" s="54"/>
      <c r="E792" s="138"/>
      <c r="F792" s="54"/>
      <c r="G792" s="54"/>
    </row>
    <row r="793" ht="14.25" customHeight="1">
      <c r="B793" s="140"/>
      <c r="C793" s="141"/>
      <c r="D793" s="54"/>
      <c r="E793" s="138"/>
      <c r="F793" s="54"/>
      <c r="G793" s="54"/>
    </row>
    <row r="794" ht="14.25" customHeight="1">
      <c r="B794" s="140"/>
      <c r="C794" s="141"/>
      <c r="D794" s="54"/>
      <c r="E794" s="138"/>
      <c r="F794" s="54"/>
      <c r="G794" s="54"/>
    </row>
    <row r="795" ht="14.25" customHeight="1">
      <c r="B795" s="140"/>
      <c r="C795" s="141"/>
      <c r="D795" s="138"/>
      <c r="E795" s="138"/>
      <c r="F795" s="54"/>
      <c r="G795" s="54"/>
    </row>
    <row r="796" ht="14.25" customHeight="1">
      <c r="B796" s="140"/>
      <c r="C796" s="148"/>
      <c r="D796" s="54"/>
      <c r="E796" s="138"/>
      <c r="F796" s="54"/>
      <c r="G796" s="54"/>
    </row>
    <row r="797" ht="14.25" customHeight="1">
      <c r="B797" s="140"/>
      <c r="C797" s="141"/>
      <c r="D797" s="54"/>
      <c r="E797" s="54"/>
      <c r="F797" s="54"/>
      <c r="G797" s="54"/>
    </row>
    <row r="798" ht="14.25" customHeight="1">
      <c r="B798" s="140"/>
      <c r="C798" s="141"/>
      <c r="D798" s="54"/>
      <c r="E798" s="54"/>
      <c r="F798" s="54"/>
      <c r="G798" s="54"/>
    </row>
    <row r="799" ht="14.25" customHeight="1">
      <c r="B799" s="140"/>
      <c r="C799" s="141"/>
      <c r="D799" s="138"/>
      <c r="E799" s="138"/>
      <c r="F799" s="54"/>
      <c r="G799" s="54"/>
    </row>
    <row r="800" ht="14.25" customHeight="1">
      <c r="B800" s="140"/>
      <c r="C800" s="141"/>
      <c r="D800" s="54"/>
      <c r="E800" s="138"/>
      <c r="F800" s="54"/>
      <c r="G800" s="54"/>
    </row>
    <row r="801" ht="14.25" customHeight="1">
      <c r="B801" s="140"/>
      <c r="C801" s="141"/>
      <c r="D801" s="54"/>
      <c r="E801" s="138"/>
      <c r="F801" s="54"/>
      <c r="G801" s="54"/>
    </row>
    <row r="802" ht="14.25" customHeight="1">
      <c r="B802" s="140"/>
      <c r="C802" s="141"/>
      <c r="D802" s="54"/>
      <c r="E802" s="138"/>
      <c r="F802" s="54"/>
      <c r="G802" s="54"/>
    </row>
    <row r="803" ht="14.25" customHeight="1">
      <c r="B803" s="140"/>
      <c r="C803" s="141"/>
      <c r="D803" s="54"/>
      <c r="E803" s="138"/>
      <c r="F803" s="54"/>
      <c r="G803" s="54"/>
    </row>
    <row r="804" ht="14.25" customHeight="1">
      <c r="B804" s="140"/>
      <c r="C804" s="141"/>
      <c r="D804" s="54"/>
      <c r="E804" s="54"/>
      <c r="F804" s="54"/>
      <c r="G804" s="54"/>
    </row>
    <row r="805" ht="14.25" customHeight="1">
      <c r="B805" s="140"/>
      <c r="C805" s="141"/>
      <c r="D805" s="138"/>
      <c r="E805" s="138"/>
      <c r="F805" s="54"/>
      <c r="G805" s="54"/>
    </row>
    <row r="806" ht="14.25" customHeight="1">
      <c r="B806" s="140"/>
      <c r="C806" s="141"/>
      <c r="D806" s="54"/>
      <c r="E806" s="138"/>
      <c r="F806" s="54"/>
      <c r="G806" s="54"/>
    </row>
    <row r="807" ht="14.25" customHeight="1">
      <c r="B807" s="140"/>
      <c r="C807" s="141"/>
      <c r="D807" s="54"/>
      <c r="E807" s="138"/>
      <c r="F807" s="54"/>
      <c r="G807" s="54"/>
    </row>
    <row r="808" ht="14.25" customHeight="1">
      <c r="B808" s="140"/>
      <c r="C808" s="141"/>
      <c r="D808" s="54"/>
      <c r="E808" s="138"/>
      <c r="F808" s="54"/>
      <c r="G808" s="54"/>
    </row>
    <row r="809" ht="14.25" customHeight="1">
      <c r="B809" s="140"/>
      <c r="C809" s="148"/>
      <c r="D809" s="54"/>
      <c r="E809" s="138"/>
      <c r="F809" s="54"/>
      <c r="G809" s="54"/>
    </row>
    <row r="810" ht="14.25" customHeight="1">
      <c r="B810" s="140"/>
      <c r="C810" s="141"/>
      <c r="D810" s="54"/>
      <c r="E810" s="54"/>
      <c r="F810" s="54"/>
      <c r="G810" s="54"/>
    </row>
    <row r="811" ht="14.25" customHeight="1">
      <c r="B811" s="140"/>
      <c r="C811" s="141"/>
      <c r="D811" s="54"/>
      <c r="E811" s="54"/>
      <c r="F811" s="54"/>
      <c r="G811" s="54"/>
    </row>
    <row r="812" ht="14.25" customHeight="1">
      <c r="B812" s="140"/>
      <c r="C812" s="141"/>
      <c r="D812" s="138"/>
      <c r="E812" s="138"/>
      <c r="F812" s="54"/>
      <c r="G812" s="54"/>
    </row>
    <row r="813" ht="14.25" customHeight="1">
      <c r="B813" s="140"/>
      <c r="C813" s="141"/>
      <c r="D813" s="54"/>
      <c r="E813" s="138"/>
      <c r="F813" s="54"/>
      <c r="G813" s="54"/>
    </row>
    <row r="814" ht="14.25" customHeight="1">
      <c r="B814" s="140"/>
      <c r="C814" s="148"/>
      <c r="D814" s="54"/>
      <c r="E814" s="138"/>
      <c r="F814" s="54"/>
      <c r="G814" s="54"/>
    </row>
    <row r="815" ht="14.25" customHeight="1">
      <c r="B815" s="140"/>
      <c r="C815" s="141"/>
      <c r="D815" s="138"/>
      <c r="E815" s="138"/>
      <c r="F815" s="54"/>
      <c r="G815" s="54"/>
    </row>
    <row r="816" ht="14.25" customHeight="1">
      <c r="B816" s="140"/>
      <c r="C816" s="141"/>
      <c r="D816" s="138"/>
      <c r="E816" s="138"/>
      <c r="F816" s="54"/>
      <c r="G816" s="54"/>
    </row>
    <row r="817" ht="14.25" customHeight="1">
      <c r="B817" s="140"/>
      <c r="C817" s="141"/>
      <c r="D817" s="54"/>
      <c r="E817" s="138"/>
      <c r="F817" s="54"/>
      <c r="G817" s="54"/>
    </row>
    <row r="818" ht="14.25" customHeight="1">
      <c r="B818" s="140"/>
      <c r="C818" s="141"/>
      <c r="D818" s="54"/>
      <c r="E818" s="138"/>
      <c r="F818" s="54"/>
      <c r="G818" s="54"/>
    </row>
    <row r="819" ht="14.25" customHeight="1">
      <c r="B819" s="140"/>
      <c r="C819" s="141"/>
      <c r="D819" s="54"/>
      <c r="E819" s="138"/>
      <c r="F819" s="54"/>
      <c r="G819" s="54"/>
    </row>
    <row r="820" ht="14.25" customHeight="1">
      <c r="B820" s="140"/>
      <c r="C820" s="141"/>
      <c r="D820" s="138"/>
      <c r="E820" s="138"/>
      <c r="F820" s="54"/>
      <c r="G820" s="54"/>
    </row>
    <row r="821" ht="14.25" customHeight="1">
      <c r="B821" s="140"/>
      <c r="C821" s="141"/>
      <c r="D821" s="54"/>
      <c r="E821" s="138"/>
      <c r="F821" s="54"/>
      <c r="G821" s="54"/>
    </row>
    <row r="822" ht="14.25" customHeight="1">
      <c r="B822" s="140"/>
      <c r="C822" s="141"/>
      <c r="D822" s="54"/>
      <c r="E822" s="138"/>
      <c r="F822" s="54"/>
      <c r="G822" s="54"/>
    </row>
    <row r="823" ht="14.25" customHeight="1">
      <c r="B823" s="140"/>
      <c r="C823" s="141"/>
      <c r="D823" s="138"/>
      <c r="E823" s="138"/>
      <c r="F823" s="54"/>
      <c r="G823" s="54"/>
    </row>
    <row r="824" ht="14.25" customHeight="1">
      <c r="B824" s="140"/>
      <c r="C824" s="141"/>
      <c r="D824" s="138"/>
      <c r="E824" s="138"/>
      <c r="F824" s="54"/>
      <c r="G824" s="54"/>
    </row>
    <row r="825" ht="14.25" customHeight="1">
      <c r="B825" s="140"/>
      <c r="C825" s="141"/>
      <c r="D825" s="54"/>
      <c r="E825" s="54"/>
      <c r="F825" s="54"/>
      <c r="G825" s="54"/>
    </row>
    <row r="826" ht="14.25" customHeight="1">
      <c r="B826" s="140"/>
      <c r="C826" s="141"/>
      <c r="D826" s="138"/>
      <c r="E826" s="138"/>
      <c r="F826" s="54"/>
      <c r="G826" s="54"/>
    </row>
    <row r="827" ht="14.25" customHeight="1">
      <c r="B827" s="140"/>
      <c r="C827" s="141"/>
      <c r="D827" s="54"/>
      <c r="E827" s="138"/>
      <c r="F827" s="54"/>
      <c r="G827" s="54"/>
    </row>
    <row r="828" ht="14.25" customHeight="1">
      <c r="B828" s="140"/>
      <c r="C828" s="141"/>
      <c r="D828" s="54"/>
      <c r="E828" s="138"/>
      <c r="F828" s="54"/>
      <c r="G828" s="54"/>
    </row>
    <row r="829" ht="14.25" customHeight="1">
      <c r="B829" s="140"/>
      <c r="C829" s="141"/>
      <c r="D829" s="54"/>
      <c r="E829" s="138"/>
      <c r="F829" s="54"/>
      <c r="G829" s="54"/>
    </row>
    <row r="830" ht="14.25" customHeight="1">
      <c r="B830" s="140"/>
      <c r="C830" s="141"/>
      <c r="D830" s="138"/>
      <c r="E830" s="138"/>
      <c r="F830" s="54"/>
      <c r="G830" s="54"/>
    </row>
    <row r="831" ht="14.25" customHeight="1">
      <c r="B831" s="140"/>
      <c r="C831" s="141"/>
      <c r="D831" s="54"/>
      <c r="E831" s="138"/>
      <c r="F831" s="54"/>
      <c r="G831" s="54"/>
    </row>
    <row r="832" ht="14.25" customHeight="1">
      <c r="B832" s="140"/>
      <c r="C832" s="141"/>
      <c r="D832" s="54"/>
      <c r="E832" s="138"/>
      <c r="F832" s="54"/>
      <c r="G832" s="54"/>
    </row>
    <row r="833" ht="14.25" customHeight="1">
      <c r="B833" s="140"/>
      <c r="C833" s="141"/>
      <c r="D833" s="54"/>
      <c r="E833" s="138"/>
      <c r="F833" s="54"/>
      <c r="G833" s="54"/>
    </row>
    <row r="834" ht="14.25" customHeight="1">
      <c r="B834" s="140"/>
      <c r="C834" s="141"/>
      <c r="D834" s="54"/>
      <c r="E834" s="54"/>
      <c r="F834" s="54"/>
      <c r="G834" s="54"/>
    </row>
    <row r="835" ht="14.25" customHeight="1">
      <c r="B835" s="140"/>
      <c r="C835" s="141"/>
      <c r="D835" s="54"/>
      <c r="E835" s="54"/>
      <c r="F835" s="54"/>
      <c r="G835" s="54"/>
    </row>
    <row r="836" ht="14.25" customHeight="1">
      <c r="B836" s="140"/>
      <c r="C836" s="141"/>
      <c r="D836" s="54"/>
      <c r="E836" s="54"/>
      <c r="F836" s="54"/>
      <c r="G836" s="54"/>
    </row>
    <row r="837" ht="14.25" customHeight="1">
      <c r="B837" s="140"/>
      <c r="C837" s="141"/>
      <c r="D837" s="54"/>
      <c r="E837" s="54"/>
      <c r="F837" s="54"/>
      <c r="G837" s="54"/>
    </row>
    <row r="838" ht="14.25" customHeight="1">
      <c r="B838" s="140"/>
      <c r="C838" s="141"/>
      <c r="D838" s="138"/>
      <c r="E838" s="138"/>
      <c r="F838" s="54"/>
      <c r="G838" s="54"/>
    </row>
    <row r="839" ht="14.25" customHeight="1">
      <c r="B839" s="140"/>
      <c r="C839" s="141"/>
      <c r="D839" s="54"/>
      <c r="E839" s="54"/>
      <c r="F839" s="54"/>
      <c r="G839" s="54"/>
    </row>
    <row r="840" ht="14.25" customHeight="1">
      <c r="B840" s="140"/>
      <c r="C840" s="141"/>
      <c r="D840" s="54"/>
      <c r="E840" s="54"/>
      <c r="F840" s="54"/>
      <c r="G840" s="54"/>
    </row>
    <row r="841" ht="14.25" customHeight="1">
      <c r="B841" s="140"/>
      <c r="C841" s="141"/>
      <c r="D841" s="54"/>
      <c r="E841" s="54"/>
      <c r="F841" s="54"/>
      <c r="G841" s="54"/>
    </row>
    <row r="842" ht="14.25" customHeight="1">
      <c r="B842" s="140"/>
      <c r="C842" s="141"/>
      <c r="D842" s="54"/>
      <c r="E842" s="54"/>
      <c r="F842" s="54"/>
      <c r="G842" s="54"/>
    </row>
    <row r="843" ht="14.25" customHeight="1">
      <c r="B843" s="140"/>
      <c r="C843" s="141"/>
      <c r="D843" s="54"/>
      <c r="E843" s="54"/>
      <c r="F843" s="54"/>
      <c r="G843" s="54"/>
    </row>
    <row r="844" ht="14.25" customHeight="1">
      <c r="B844" s="140"/>
      <c r="C844" s="141"/>
      <c r="D844" s="54"/>
      <c r="E844" s="54"/>
      <c r="F844" s="54"/>
      <c r="G844" s="54"/>
    </row>
    <row r="845" ht="14.25" customHeight="1">
      <c r="B845" s="140"/>
      <c r="C845" s="141"/>
      <c r="D845" s="54"/>
      <c r="E845" s="54"/>
      <c r="F845" s="54"/>
      <c r="G845" s="54"/>
    </row>
    <row r="846" ht="14.25" customHeight="1">
      <c r="B846" s="140"/>
      <c r="C846" s="141"/>
      <c r="D846" s="54"/>
      <c r="E846" s="54"/>
      <c r="F846" s="54"/>
      <c r="G846" s="54"/>
    </row>
    <row r="847" ht="14.25" customHeight="1">
      <c r="B847" s="140"/>
      <c r="C847" s="141"/>
      <c r="D847" s="54"/>
      <c r="E847" s="54"/>
      <c r="F847" s="54"/>
      <c r="G847" s="54"/>
    </row>
    <row r="848" ht="14.25" customHeight="1">
      <c r="B848" s="140"/>
      <c r="C848" s="141"/>
      <c r="D848" s="54"/>
      <c r="E848" s="54"/>
      <c r="F848" s="54"/>
      <c r="G848" s="54"/>
    </row>
    <row r="849" ht="14.25" customHeight="1">
      <c r="B849" s="140"/>
      <c r="C849" s="141"/>
      <c r="D849" s="54"/>
      <c r="E849" s="54"/>
      <c r="F849" s="54"/>
      <c r="G849" s="54"/>
    </row>
    <row r="850" ht="14.25" customHeight="1">
      <c r="B850" s="140"/>
      <c r="C850" s="141"/>
      <c r="D850" s="54"/>
      <c r="E850" s="54"/>
      <c r="F850" s="54"/>
      <c r="G850" s="54"/>
    </row>
    <row r="851" ht="14.25" customHeight="1">
      <c r="B851" s="140"/>
      <c r="C851" s="141"/>
      <c r="D851" s="54"/>
      <c r="E851" s="54"/>
      <c r="F851" s="54"/>
      <c r="G851" s="54"/>
    </row>
    <row r="852" ht="14.25" customHeight="1">
      <c r="B852" s="140"/>
      <c r="C852" s="141"/>
      <c r="D852" s="54"/>
      <c r="E852" s="54"/>
      <c r="F852" s="54"/>
      <c r="G852" s="54"/>
    </row>
    <row r="853" ht="14.25" customHeight="1">
      <c r="B853" s="140"/>
      <c r="C853" s="141"/>
      <c r="D853" s="54"/>
      <c r="E853" s="54"/>
      <c r="F853" s="54"/>
      <c r="G853" s="54"/>
    </row>
    <row r="854" ht="14.25" customHeight="1">
      <c r="B854" s="140"/>
    </row>
    <row r="855" ht="14.25" customHeight="1">
      <c r="B855" s="140"/>
    </row>
    <row r="856" ht="14.25" customHeight="1">
      <c r="B856" s="140"/>
    </row>
    <row r="857" ht="14.25" customHeight="1">
      <c r="B857" s="54"/>
    </row>
    <row r="858" ht="14.25" customHeight="1">
      <c r="B858" s="54"/>
    </row>
    <row r="859" ht="14.25" customHeight="1">
      <c r="B859" s="54"/>
    </row>
    <row r="860" ht="14.25" customHeight="1">
      <c r="B860" s="54"/>
    </row>
    <row r="861" ht="14.25" customHeight="1">
      <c r="B861" s="54"/>
    </row>
    <row r="862" ht="14.25" customHeight="1">
      <c r="B862" s="54"/>
    </row>
    <row r="863" ht="14.25" customHeight="1">
      <c r="B863" s="54"/>
    </row>
    <row r="864" ht="14.25" customHeight="1">
      <c r="B864" s="54"/>
    </row>
    <row r="865" ht="14.25" customHeight="1">
      <c r="B865" s="54"/>
    </row>
    <row r="866" ht="14.25" customHeight="1">
      <c r="B866" s="54"/>
    </row>
    <row r="867" ht="14.25" customHeight="1">
      <c r="B867" s="54"/>
    </row>
    <row r="868" ht="14.25" customHeight="1">
      <c r="B868" s="54"/>
    </row>
    <row r="869" ht="14.25" customHeight="1">
      <c r="B869" s="54"/>
    </row>
    <row r="870" ht="14.25" customHeight="1">
      <c r="B870" s="54"/>
    </row>
    <row r="871" ht="14.25" customHeight="1">
      <c r="B871" s="54"/>
    </row>
    <row r="872" ht="14.25" customHeight="1">
      <c r="B872" s="54"/>
    </row>
    <row r="873" ht="14.25" customHeight="1">
      <c r="B873" s="54"/>
    </row>
    <row r="874" ht="14.25" customHeight="1">
      <c r="B874" s="54"/>
    </row>
    <row r="875" ht="14.25" customHeight="1">
      <c r="B875" s="54"/>
    </row>
    <row r="876" ht="14.25" customHeight="1">
      <c r="B876" s="54"/>
    </row>
    <row r="877" ht="14.25" customHeight="1">
      <c r="B877" s="54"/>
    </row>
    <row r="878" ht="14.25" customHeight="1">
      <c r="B878" s="54"/>
    </row>
    <row r="879" ht="14.25" customHeight="1">
      <c r="B879" s="54"/>
    </row>
    <row r="880" ht="14.25" customHeight="1">
      <c r="B880" s="54"/>
    </row>
    <row r="881" ht="14.25" customHeight="1">
      <c r="B881" s="54"/>
    </row>
    <row r="882" ht="14.25" customHeight="1">
      <c r="B882" s="54"/>
    </row>
    <row r="883" ht="14.25" customHeight="1">
      <c r="B883" s="54"/>
    </row>
    <row r="884" ht="14.25" customHeight="1">
      <c r="B884" s="54"/>
    </row>
    <row r="885" ht="14.25" customHeight="1">
      <c r="B885" s="54"/>
    </row>
    <row r="886" ht="14.25" customHeight="1">
      <c r="B886" s="54"/>
    </row>
    <row r="887" ht="14.25" customHeight="1">
      <c r="B887" s="54"/>
    </row>
    <row r="888" ht="14.25" customHeight="1">
      <c r="B888" s="54"/>
    </row>
    <row r="889" ht="14.25" customHeight="1">
      <c r="B889" s="54"/>
    </row>
    <row r="890" ht="14.25" customHeight="1">
      <c r="B890" s="54"/>
    </row>
    <row r="891" ht="14.25" customHeight="1">
      <c r="B891" s="54"/>
    </row>
    <row r="892" ht="14.25" customHeight="1">
      <c r="B892" s="54"/>
    </row>
    <row r="893" ht="14.25" customHeight="1">
      <c r="B893" s="54"/>
    </row>
    <row r="894" ht="14.25" customHeight="1">
      <c r="B894" s="54"/>
    </row>
    <row r="895" ht="14.25" customHeight="1">
      <c r="B895" s="54"/>
    </row>
    <row r="896" ht="14.25" customHeight="1">
      <c r="B896" s="54"/>
    </row>
    <row r="897" ht="14.25" customHeight="1">
      <c r="B897" s="54"/>
    </row>
    <row r="898" ht="14.25" customHeight="1">
      <c r="B898" s="54"/>
    </row>
    <row r="899" ht="14.25" customHeight="1">
      <c r="B899" s="54"/>
    </row>
    <row r="900" ht="14.25" customHeight="1">
      <c r="B900" s="54"/>
    </row>
    <row r="901" ht="14.25" customHeight="1">
      <c r="B901" s="54"/>
    </row>
    <row r="902" ht="14.25" customHeight="1">
      <c r="B902" s="54"/>
    </row>
    <row r="903" ht="14.25" customHeight="1">
      <c r="B903" s="54"/>
    </row>
    <row r="904" ht="14.25" customHeight="1">
      <c r="B904" s="54"/>
    </row>
    <row r="905" ht="14.25" customHeight="1">
      <c r="B905" s="54"/>
    </row>
    <row r="906" ht="14.25" customHeight="1">
      <c r="B906" s="54"/>
    </row>
    <row r="907" ht="14.25" customHeight="1">
      <c r="B907" s="54"/>
    </row>
    <row r="908" ht="14.25" customHeight="1">
      <c r="B908" s="54"/>
    </row>
    <row r="909" ht="14.25" customHeight="1">
      <c r="B909" s="54"/>
    </row>
    <row r="910" ht="14.25" customHeight="1">
      <c r="B910" s="54"/>
    </row>
    <row r="911" ht="14.25" customHeight="1">
      <c r="B911" s="54"/>
    </row>
    <row r="912" ht="14.25" customHeight="1">
      <c r="B912" s="54"/>
    </row>
    <row r="913" ht="14.25" customHeight="1">
      <c r="B913" s="54"/>
    </row>
    <row r="914" ht="14.25" customHeight="1">
      <c r="B914" s="54"/>
    </row>
    <row r="915" ht="14.25" customHeight="1">
      <c r="B915" s="54"/>
    </row>
    <row r="916" ht="14.25" customHeight="1">
      <c r="B916" s="54"/>
    </row>
    <row r="917" ht="14.25" customHeight="1">
      <c r="B917" s="54"/>
    </row>
    <row r="918" ht="14.25" customHeight="1">
      <c r="B918" s="54"/>
    </row>
    <row r="919" ht="14.25" customHeight="1">
      <c r="B919" s="54"/>
    </row>
    <row r="920" ht="14.25" customHeight="1">
      <c r="B920" s="54"/>
    </row>
    <row r="921" ht="14.25" customHeight="1">
      <c r="B921" s="54"/>
    </row>
    <row r="922" ht="14.25" customHeight="1">
      <c r="B922" s="54"/>
    </row>
    <row r="923" ht="14.25" customHeight="1">
      <c r="B923" s="54"/>
    </row>
    <row r="924" ht="14.25" customHeight="1">
      <c r="B924" s="54"/>
    </row>
    <row r="925" ht="14.25" customHeight="1">
      <c r="B925" s="54"/>
    </row>
    <row r="926" ht="14.25" customHeight="1">
      <c r="B926" s="54"/>
    </row>
    <row r="927" ht="14.25" customHeight="1">
      <c r="B927" s="54"/>
    </row>
    <row r="928" ht="14.25" customHeight="1">
      <c r="B928" s="54"/>
    </row>
    <row r="929" ht="14.25" customHeight="1">
      <c r="B929" s="54"/>
    </row>
    <row r="930" ht="14.25" customHeight="1">
      <c r="B930" s="54"/>
    </row>
    <row r="931" ht="14.25" customHeight="1">
      <c r="B931" s="54"/>
    </row>
    <row r="932" ht="14.25" customHeight="1">
      <c r="B932" s="54"/>
    </row>
    <row r="933" ht="14.25" customHeight="1">
      <c r="B933" s="54"/>
    </row>
    <row r="934" ht="14.25" customHeight="1">
      <c r="B934" s="54"/>
    </row>
    <row r="935" ht="14.25" customHeight="1">
      <c r="B935" s="54"/>
    </row>
    <row r="936" ht="14.25" customHeight="1">
      <c r="B936" s="54"/>
    </row>
    <row r="937" ht="14.25" customHeight="1">
      <c r="B937" s="54"/>
    </row>
    <row r="938" ht="14.25" customHeight="1">
      <c r="B938" s="54"/>
    </row>
    <row r="939" ht="14.25" customHeight="1">
      <c r="B939" s="54"/>
    </row>
    <row r="940" ht="14.25" customHeight="1">
      <c r="B940" s="54"/>
    </row>
    <row r="941" ht="14.25" customHeight="1">
      <c r="B941" s="54"/>
    </row>
    <row r="942" ht="14.25" customHeight="1">
      <c r="B942" s="54"/>
    </row>
    <row r="943" ht="14.25" customHeight="1">
      <c r="B943" s="54"/>
    </row>
    <row r="944" ht="14.25" customHeight="1">
      <c r="B944" s="54"/>
    </row>
    <row r="945" ht="14.25" customHeight="1">
      <c r="B945" s="54"/>
    </row>
    <row r="946" ht="14.25" customHeight="1">
      <c r="B946" s="54"/>
    </row>
    <row r="947" ht="14.25" customHeight="1">
      <c r="B947" s="54"/>
    </row>
    <row r="948" ht="14.25" customHeight="1">
      <c r="B948" s="54"/>
    </row>
    <row r="949" ht="14.25" customHeight="1">
      <c r="B949" s="54"/>
    </row>
    <row r="950" ht="14.25" customHeight="1">
      <c r="B950" s="54"/>
    </row>
    <row r="951" ht="14.25" customHeight="1">
      <c r="B951" s="54"/>
    </row>
    <row r="952" ht="14.25" customHeight="1">
      <c r="B952" s="54"/>
    </row>
    <row r="953" ht="14.25" customHeight="1">
      <c r="B953" s="54"/>
    </row>
    <row r="954" ht="14.25" customHeight="1">
      <c r="B954" s="54"/>
    </row>
    <row r="955" ht="14.25" customHeight="1">
      <c r="B955" s="54"/>
    </row>
    <row r="956" ht="14.25" customHeight="1">
      <c r="B956" s="54"/>
    </row>
    <row r="957" ht="14.25" customHeight="1">
      <c r="B957" s="54"/>
    </row>
    <row r="958" ht="14.25" customHeight="1">
      <c r="B958" s="54"/>
    </row>
    <row r="959" ht="14.25" customHeight="1">
      <c r="B959" s="54"/>
    </row>
    <row r="960" ht="14.25" customHeight="1">
      <c r="B960" s="54"/>
    </row>
    <row r="961" ht="14.25" customHeight="1">
      <c r="B961" s="54"/>
    </row>
    <row r="962" ht="14.25" customHeight="1">
      <c r="B962" s="54"/>
    </row>
    <row r="963" ht="14.25" customHeight="1">
      <c r="B963" s="54"/>
    </row>
    <row r="964" ht="14.25" customHeight="1">
      <c r="B964" s="54"/>
    </row>
    <row r="965" ht="14.25" customHeight="1">
      <c r="B965" s="54"/>
    </row>
    <row r="966" ht="14.25" customHeight="1">
      <c r="B966" s="54"/>
    </row>
    <row r="967" ht="14.25" customHeight="1">
      <c r="B967" s="54"/>
    </row>
    <row r="968" ht="14.25" customHeight="1">
      <c r="B968" s="54"/>
    </row>
    <row r="969" ht="14.25" customHeight="1">
      <c r="B969" s="54"/>
    </row>
    <row r="970" ht="14.25" customHeight="1">
      <c r="B970" s="54"/>
    </row>
    <row r="971" ht="14.25" customHeight="1">
      <c r="B971" s="54"/>
    </row>
    <row r="972" ht="14.25" customHeight="1">
      <c r="B972" s="54"/>
    </row>
    <row r="973" ht="14.25" customHeight="1">
      <c r="B973" s="54"/>
    </row>
    <row r="974" ht="14.25" customHeight="1">
      <c r="B974" s="54"/>
    </row>
    <row r="975" ht="14.25" customHeight="1">
      <c r="B975" s="54"/>
    </row>
    <row r="976" ht="14.25" customHeight="1">
      <c r="B976" s="54"/>
    </row>
    <row r="977" ht="14.25" customHeight="1">
      <c r="B977" s="54"/>
    </row>
    <row r="978" ht="14.25" customHeight="1">
      <c r="B978" s="54"/>
    </row>
    <row r="979" ht="14.25" customHeight="1">
      <c r="B979" s="54"/>
    </row>
    <row r="980" ht="14.25" customHeight="1">
      <c r="B980" s="54"/>
    </row>
    <row r="981" ht="14.25" customHeight="1">
      <c r="B981" s="54"/>
    </row>
    <row r="982" ht="14.25" customHeight="1">
      <c r="B982" s="54"/>
    </row>
    <row r="983" ht="14.25" customHeight="1">
      <c r="B983" s="54"/>
    </row>
    <row r="984" ht="14.25" customHeight="1">
      <c r="B984" s="54"/>
    </row>
    <row r="985" ht="14.25" customHeight="1">
      <c r="B985" s="54"/>
    </row>
    <row r="986" ht="14.25" customHeight="1">
      <c r="B986" s="54"/>
    </row>
    <row r="987" ht="14.25" customHeight="1">
      <c r="B987" s="54"/>
    </row>
  </sheetData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145">
        <v>45627.0</v>
      </c>
      <c r="C3" s="141" t="str">
        <f t="shared" ref="C3:C145" si="1">MONTH(B3)&amp; "-" &amp;YEAR(B3)</f>
        <v>12-2024</v>
      </c>
      <c r="D3" s="54" t="str">
        <f>E2</f>
        <v/>
      </c>
      <c r="E3" s="54"/>
      <c r="F3" s="54">
        <f t="shared" ref="F3:F145" si="2">E3-D3</f>
        <v>0</v>
      </c>
      <c r="G3" s="54">
        <f t="shared" ref="G3:G145" si="3">F3-10</f>
        <v>-10</v>
      </c>
    </row>
    <row r="4">
      <c r="B4" s="140">
        <v>45628.0</v>
      </c>
      <c r="C4" s="141" t="str">
        <f t="shared" si="1"/>
        <v>12-2024</v>
      </c>
      <c r="D4" s="138">
        <v>2086.0</v>
      </c>
      <c r="E4" s="138">
        <v>2088.3</v>
      </c>
      <c r="F4" s="54">
        <f t="shared" si="2"/>
        <v>2.3</v>
      </c>
      <c r="G4" s="54">
        <f t="shared" si="3"/>
        <v>-7.7</v>
      </c>
    </row>
    <row r="5">
      <c r="B5" s="140">
        <v>45629.0</v>
      </c>
      <c r="C5" s="141" t="str">
        <f t="shared" si="1"/>
        <v>12-2024</v>
      </c>
      <c r="D5" s="54"/>
      <c r="E5" s="54"/>
      <c r="F5" s="54">
        <f t="shared" si="2"/>
        <v>0</v>
      </c>
      <c r="G5" s="54">
        <f t="shared" si="3"/>
        <v>-10</v>
      </c>
    </row>
    <row r="6">
      <c r="B6" s="140">
        <v>45630.0</v>
      </c>
      <c r="C6" s="141" t="str">
        <f t="shared" si="1"/>
        <v>12-2024</v>
      </c>
      <c r="D6" s="54" t="str">
        <f t="shared" ref="D6:D7" si="4">E5</f>
        <v/>
      </c>
      <c r="E6" s="54"/>
      <c r="F6" s="54">
        <f t="shared" si="2"/>
        <v>0</v>
      </c>
      <c r="G6" s="54">
        <f t="shared" si="3"/>
        <v>-10</v>
      </c>
    </row>
    <row r="7">
      <c r="B7" s="140">
        <v>45631.0</v>
      </c>
      <c r="C7" s="141" t="str">
        <f t="shared" si="1"/>
        <v>12-2024</v>
      </c>
      <c r="D7" s="54" t="str">
        <f t="shared" si="4"/>
        <v/>
      </c>
      <c r="E7" s="54"/>
      <c r="F7" s="54">
        <f t="shared" si="2"/>
        <v>0</v>
      </c>
      <c r="G7" s="54">
        <f t="shared" si="3"/>
        <v>-10</v>
      </c>
    </row>
    <row r="8">
      <c r="B8" s="140">
        <v>45632.0</v>
      </c>
      <c r="C8" s="141" t="str">
        <f t="shared" si="1"/>
        <v>12-2024</v>
      </c>
      <c r="D8" s="138">
        <v>2088.3</v>
      </c>
      <c r="E8" s="138">
        <v>2096.2</v>
      </c>
      <c r="F8" s="54">
        <f t="shared" si="2"/>
        <v>7.9</v>
      </c>
      <c r="G8" s="54">
        <f t="shared" si="3"/>
        <v>-2.1</v>
      </c>
    </row>
    <row r="9">
      <c r="B9" s="145">
        <v>45633.0</v>
      </c>
      <c r="C9" s="141" t="str">
        <f t="shared" si="1"/>
        <v>12-2024</v>
      </c>
      <c r="D9" s="54">
        <f t="shared" ref="D9:D15" si="5">E8</f>
        <v>2096.2</v>
      </c>
      <c r="E9" s="138">
        <v>2104.1</v>
      </c>
      <c r="F9" s="54">
        <f t="shared" si="2"/>
        <v>7.9</v>
      </c>
      <c r="G9" s="54">
        <f t="shared" si="3"/>
        <v>-2.1</v>
      </c>
    </row>
    <row r="10">
      <c r="B10" s="145">
        <v>45634.0</v>
      </c>
      <c r="C10" s="141" t="str">
        <f t="shared" si="1"/>
        <v>12-2024</v>
      </c>
      <c r="D10" s="54">
        <f t="shared" si="5"/>
        <v>2104.1</v>
      </c>
      <c r="E10" s="138">
        <v>2111.0</v>
      </c>
      <c r="F10" s="54">
        <f t="shared" si="2"/>
        <v>6.9</v>
      </c>
      <c r="G10" s="54">
        <f t="shared" si="3"/>
        <v>-3.1</v>
      </c>
    </row>
    <row r="11">
      <c r="B11" s="140">
        <v>45635.0</v>
      </c>
      <c r="C11" s="141" t="str">
        <f t="shared" si="1"/>
        <v>12-2024</v>
      </c>
      <c r="D11" s="54">
        <f t="shared" si="5"/>
        <v>2111</v>
      </c>
      <c r="E11" s="138">
        <v>2117.0</v>
      </c>
      <c r="F11" s="54">
        <f t="shared" si="2"/>
        <v>6</v>
      </c>
      <c r="G11" s="54">
        <f t="shared" si="3"/>
        <v>-4</v>
      </c>
    </row>
    <row r="12">
      <c r="B12" s="140">
        <v>45636.0</v>
      </c>
      <c r="C12" s="141" t="str">
        <f t="shared" si="1"/>
        <v>12-2024</v>
      </c>
      <c r="D12" s="54">
        <f t="shared" si="5"/>
        <v>2117</v>
      </c>
      <c r="E12" s="138">
        <v>2124.2</v>
      </c>
      <c r="F12" s="54">
        <f t="shared" si="2"/>
        <v>7.2</v>
      </c>
      <c r="G12" s="54">
        <f t="shared" si="3"/>
        <v>-2.8</v>
      </c>
    </row>
    <row r="13">
      <c r="B13" s="140">
        <v>45637.0</v>
      </c>
      <c r="C13" s="141" t="str">
        <f t="shared" si="1"/>
        <v>12-2024</v>
      </c>
      <c r="D13" s="54">
        <f t="shared" si="5"/>
        <v>2124.2</v>
      </c>
      <c r="E13" s="138">
        <v>2130.0</v>
      </c>
      <c r="F13" s="54">
        <f t="shared" si="2"/>
        <v>5.8</v>
      </c>
      <c r="G13" s="54">
        <f t="shared" si="3"/>
        <v>-4.2</v>
      </c>
    </row>
    <row r="14">
      <c r="B14" s="140">
        <v>45638.0</v>
      </c>
      <c r="C14" s="141" t="str">
        <f t="shared" si="1"/>
        <v>12-2024</v>
      </c>
      <c r="D14" s="54">
        <f t="shared" si="5"/>
        <v>2130</v>
      </c>
      <c r="E14" s="138">
        <v>2135.5</v>
      </c>
      <c r="F14" s="54">
        <f t="shared" si="2"/>
        <v>5.5</v>
      </c>
      <c r="G14" s="54">
        <f t="shared" si="3"/>
        <v>-4.5</v>
      </c>
    </row>
    <row r="15">
      <c r="B15" s="140">
        <v>45639.0</v>
      </c>
      <c r="C15" s="141" t="str">
        <f t="shared" si="1"/>
        <v>12-2024</v>
      </c>
      <c r="D15" s="54">
        <f t="shared" si="5"/>
        <v>2135.5</v>
      </c>
      <c r="E15" s="138">
        <v>2145.5</v>
      </c>
      <c r="F15" s="54">
        <f t="shared" si="2"/>
        <v>10</v>
      </c>
      <c r="G15" s="54">
        <f t="shared" si="3"/>
        <v>0</v>
      </c>
    </row>
    <row r="16">
      <c r="B16" s="145">
        <v>45640.0</v>
      </c>
      <c r="C16" s="141" t="str">
        <f t="shared" si="1"/>
        <v>12-2024</v>
      </c>
      <c r="D16" s="54"/>
      <c r="E16" s="54"/>
      <c r="F16" s="54">
        <f t="shared" si="2"/>
        <v>0</v>
      </c>
      <c r="G16" s="54">
        <f t="shared" si="3"/>
        <v>-10</v>
      </c>
    </row>
    <row r="17">
      <c r="B17" s="145">
        <v>45641.0</v>
      </c>
      <c r="C17" s="141" t="str">
        <f t="shared" si="1"/>
        <v>12-2024</v>
      </c>
      <c r="D17" s="54" t="str">
        <f t="shared" ref="D17:D18" si="6">E16</f>
        <v/>
      </c>
      <c r="E17" s="54"/>
      <c r="F17" s="54">
        <f t="shared" si="2"/>
        <v>0</v>
      </c>
      <c r="G17" s="54">
        <f t="shared" si="3"/>
        <v>-10</v>
      </c>
    </row>
    <row r="18">
      <c r="B18" s="140">
        <v>45642.0</v>
      </c>
      <c r="C18" s="141" t="str">
        <f t="shared" si="1"/>
        <v>12-2024</v>
      </c>
      <c r="D18" s="54" t="str">
        <f t="shared" si="6"/>
        <v/>
      </c>
      <c r="E18" s="54"/>
      <c r="F18" s="54">
        <f t="shared" si="2"/>
        <v>0</v>
      </c>
      <c r="G18" s="54">
        <f t="shared" si="3"/>
        <v>-10</v>
      </c>
    </row>
    <row r="19">
      <c r="B19" s="140">
        <v>45643.0</v>
      </c>
      <c r="C19" s="141" t="str">
        <f t="shared" si="1"/>
        <v>12-2024</v>
      </c>
      <c r="D19" s="138">
        <v>2143.5</v>
      </c>
      <c r="E19" s="138">
        <v>2148.5</v>
      </c>
      <c r="F19" s="54">
        <f t="shared" si="2"/>
        <v>5</v>
      </c>
      <c r="G19" s="54">
        <f t="shared" si="3"/>
        <v>-5</v>
      </c>
    </row>
    <row r="20">
      <c r="B20" s="140">
        <v>45644.0</v>
      </c>
      <c r="C20" s="141" t="str">
        <f t="shared" si="1"/>
        <v>12-2024</v>
      </c>
      <c r="D20" s="54">
        <f t="shared" ref="D20:D22" si="7">E19</f>
        <v>2148.5</v>
      </c>
      <c r="E20" s="138">
        <v>2156.1</v>
      </c>
      <c r="F20" s="54">
        <f t="shared" si="2"/>
        <v>7.6</v>
      </c>
      <c r="G20" s="54">
        <f t="shared" si="3"/>
        <v>-2.4</v>
      </c>
    </row>
    <row r="21">
      <c r="B21" s="140">
        <v>45645.0</v>
      </c>
      <c r="C21" s="141" t="str">
        <f t="shared" si="1"/>
        <v>12-2024</v>
      </c>
      <c r="D21" s="54">
        <f t="shared" si="7"/>
        <v>2156.1</v>
      </c>
      <c r="E21" s="138">
        <v>2163.3</v>
      </c>
      <c r="F21" s="54">
        <f t="shared" si="2"/>
        <v>7.2</v>
      </c>
      <c r="G21" s="54">
        <f t="shared" si="3"/>
        <v>-2.8</v>
      </c>
    </row>
    <row r="22">
      <c r="B22" s="140">
        <v>45646.0</v>
      </c>
      <c r="C22" s="141" t="str">
        <f t="shared" si="1"/>
        <v>12-2024</v>
      </c>
      <c r="D22" s="54">
        <f t="shared" si="7"/>
        <v>2163.3</v>
      </c>
      <c r="E22" s="138">
        <v>2171.3</v>
      </c>
      <c r="F22" s="54">
        <f t="shared" si="2"/>
        <v>8</v>
      </c>
      <c r="G22" s="54">
        <f t="shared" si="3"/>
        <v>-2</v>
      </c>
    </row>
    <row r="23">
      <c r="B23" s="145">
        <v>45647.0</v>
      </c>
      <c r="C23" s="141" t="str">
        <f t="shared" si="1"/>
        <v>12-2024</v>
      </c>
      <c r="D23" s="54"/>
      <c r="E23" s="54"/>
      <c r="F23" s="54">
        <f t="shared" si="2"/>
        <v>0</v>
      </c>
      <c r="G23" s="54">
        <f t="shared" si="3"/>
        <v>-10</v>
      </c>
    </row>
    <row r="24">
      <c r="B24" s="145">
        <v>45648.0</v>
      </c>
      <c r="C24" s="141" t="str">
        <f t="shared" si="1"/>
        <v>12-2024</v>
      </c>
      <c r="D24" s="54" t="str">
        <f t="shared" ref="D24:D25" si="8">E23</f>
        <v/>
      </c>
      <c r="E24" s="54"/>
      <c r="F24" s="54">
        <f t="shared" si="2"/>
        <v>0</v>
      </c>
      <c r="G24" s="54">
        <f t="shared" si="3"/>
        <v>-10</v>
      </c>
    </row>
    <row r="25">
      <c r="B25" s="140">
        <v>45649.0</v>
      </c>
      <c r="C25" s="141" t="str">
        <f t="shared" si="1"/>
        <v>12-2024</v>
      </c>
      <c r="D25" s="54" t="str">
        <f t="shared" si="8"/>
        <v/>
      </c>
      <c r="E25" s="54"/>
      <c r="F25" s="54">
        <f t="shared" si="2"/>
        <v>0</v>
      </c>
      <c r="G25" s="54">
        <f t="shared" si="3"/>
        <v>-10</v>
      </c>
    </row>
    <row r="26">
      <c r="B26" s="140">
        <v>45650.0</v>
      </c>
      <c r="C26" s="141" t="str">
        <f t="shared" si="1"/>
        <v>12-2024</v>
      </c>
      <c r="D26" s="138">
        <v>2171.3</v>
      </c>
      <c r="E26" s="138">
        <v>2173.0</v>
      </c>
      <c r="F26" s="54">
        <f t="shared" si="2"/>
        <v>1.7</v>
      </c>
      <c r="G26" s="54">
        <f t="shared" si="3"/>
        <v>-8.3</v>
      </c>
    </row>
    <row r="27">
      <c r="B27" s="151">
        <v>45651.0</v>
      </c>
      <c r="C27" s="141" t="str">
        <f t="shared" si="1"/>
        <v>12-2024</v>
      </c>
      <c r="D27" s="54"/>
      <c r="E27" s="54"/>
      <c r="F27" s="54">
        <f t="shared" si="2"/>
        <v>0</v>
      </c>
      <c r="G27" s="54">
        <f t="shared" si="3"/>
        <v>-10</v>
      </c>
    </row>
    <row r="28">
      <c r="B28" s="140">
        <v>45652.0</v>
      </c>
      <c r="C28" s="141" t="str">
        <f t="shared" si="1"/>
        <v>12-2024</v>
      </c>
      <c r="D28" s="54" t="str">
        <f t="shared" ref="D28:D31" si="9">E27</f>
        <v/>
      </c>
      <c r="E28" s="54"/>
      <c r="F28" s="54">
        <f t="shared" si="2"/>
        <v>0</v>
      </c>
      <c r="G28" s="54">
        <f t="shared" si="3"/>
        <v>-10</v>
      </c>
    </row>
    <row r="29">
      <c r="B29" s="140">
        <v>45653.0</v>
      </c>
      <c r="C29" s="141" t="str">
        <f t="shared" si="1"/>
        <v>12-2024</v>
      </c>
      <c r="D29" s="54" t="str">
        <f t="shared" si="9"/>
        <v/>
      </c>
      <c r="E29" s="54"/>
      <c r="F29" s="54">
        <f t="shared" si="2"/>
        <v>0</v>
      </c>
      <c r="G29" s="54">
        <f t="shared" si="3"/>
        <v>-10</v>
      </c>
    </row>
    <row r="30">
      <c r="B30" s="145">
        <v>45654.0</v>
      </c>
      <c r="C30" s="141" t="str">
        <f t="shared" si="1"/>
        <v>12-2024</v>
      </c>
      <c r="D30" s="54" t="str">
        <f t="shared" si="9"/>
        <v/>
      </c>
      <c r="E30" s="54"/>
      <c r="F30" s="54">
        <f t="shared" si="2"/>
        <v>0</v>
      </c>
      <c r="G30" s="54">
        <f t="shared" si="3"/>
        <v>-10</v>
      </c>
    </row>
    <row r="31">
      <c r="B31" s="145">
        <v>45655.0</v>
      </c>
      <c r="C31" s="141" t="str">
        <f t="shared" si="1"/>
        <v>12-2024</v>
      </c>
      <c r="D31" s="54" t="str">
        <f t="shared" si="9"/>
        <v/>
      </c>
      <c r="E31" s="54"/>
      <c r="F31" s="54">
        <f t="shared" si="2"/>
        <v>0</v>
      </c>
      <c r="G31" s="54">
        <f t="shared" si="3"/>
        <v>-10</v>
      </c>
    </row>
    <row r="32">
      <c r="B32" s="140">
        <v>45656.0</v>
      </c>
      <c r="C32" s="141" t="str">
        <f t="shared" si="1"/>
        <v>12-2024</v>
      </c>
      <c r="D32" s="138">
        <v>2173.0</v>
      </c>
      <c r="E32" s="138">
        <v>2176.0</v>
      </c>
      <c r="F32" s="54">
        <f t="shared" si="2"/>
        <v>3</v>
      </c>
      <c r="G32" s="54">
        <f t="shared" si="3"/>
        <v>-7</v>
      </c>
    </row>
    <row r="33">
      <c r="B33" s="140">
        <v>45657.0</v>
      </c>
      <c r="C33" s="141" t="str">
        <f t="shared" si="1"/>
        <v>12-2024</v>
      </c>
      <c r="D33" s="54"/>
      <c r="E33" s="54"/>
      <c r="F33" s="54">
        <f t="shared" si="2"/>
        <v>0</v>
      </c>
      <c r="G33" s="54">
        <f t="shared" si="3"/>
        <v>-10</v>
      </c>
    </row>
    <row r="34">
      <c r="B34" s="152">
        <v>45658.0</v>
      </c>
      <c r="C34" s="141" t="str">
        <f t="shared" si="1"/>
        <v>1-2025</v>
      </c>
      <c r="D34" s="54"/>
      <c r="E34" s="54"/>
      <c r="F34" s="54">
        <f t="shared" si="2"/>
        <v>0</v>
      </c>
      <c r="G34" s="54">
        <f t="shared" si="3"/>
        <v>-10</v>
      </c>
    </row>
    <row r="35">
      <c r="B35" s="140">
        <v>45659.0</v>
      </c>
      <c r="C35" s="141" t="str">
        <f t="shared" si="1"/>
        <v>1-2025</v>
      </c>
      <c r="D35" s="138">
        <v>2176.0</v>
      </c>
      <c r="E35" s="138">
        <v>2179.4</v>
      </c>
      <c r="F35" s="54">
        <f t="shared" si="2"/>
        <v>3.4</v>
      </c>
      <c r="G35" s="54">
        <f t="shared" si="3"/>
        <v>-6.6</v>
      </c>
    </row>
    <row r="36">
      <c r="B36" s="140">
        <v>45660.0</v>
      </c>
      <c r="C36" s="141" t="str">
        <f t="shared" si="1"/>
        <v>1-2025</v>
      </c>
      <c r="D36" s="54"/>
      <c r="E36" s="54"/>
      <c r="F36" s="54">
        <f t="shared" si="2"/>
        <v>0</v>
      </c>
      <c r="G36" s="54">
        <f t="shared" si="3"/>
        <v>-10</v>
      </c>
    </row>
    <row r="37">
      <c r="B37" s="152">
        <v>45661.0</v>
      </c>
      <c r="C37" s="141" t="str">
        <f t="shared" si="1"/>
        <v>1-2025</v>
      </c>
      <c r="D37" s="54"/>
      <c r="E37" s="54"/>
      <c r="F37" s="54">
        <f t="shared" si="2"/>
        <v>0</v>
      </c>
      <c r="G37" s="54">
        <f t="shared" si="3"/>
        <v>-10</v>
      </c>
    </row>
    <row r="38">
      <c r="B38" s="152">
        <v>45662.0</v>
      </c>
      <c r="C38" s="141" t="str">
        <f t="shared" si="1"/>
        <v>1-2025</v>
      </c>
      <c r="D38" s="54"/>
      <c r="E38" s="54"/>
      <c r="F38" s="54">
        <f t="shared" si="2"/>
        <v>0</v>
      </c>
      <c r="G38" s="54">
        <f t="shared" si="3"/>
        <v>-10</v>
      </c>
    </row>
    <row r="39">
      <c r="B39" s="140">
        <v>45663.0</v>
      </c>
      <c r="C39" s="141" t="str">
        <f t="shared" si="1"/>
        <v>1-2025</v>
      </c>
      <c r="D39" s="54"/>
      <c r="E39" s="54"/>
      <c r="F39" s="54">
        <f t="shared" si="2"/>
        <v>0</v>
      </c>
      <c r="G39" s="54">
        <f t="shared" si="3"/>
        <v>-10</v>
      </c>
    </row>
    <row r="40">
      <c r="B40" s="140">
        <v>45664.0</v>
      </c>
      <c r="C40" s="141" t="str">
        <f t="shared" si="1"/>
        <v>1-2025</v>
      </c>
      <c r="D40" s="54">
        <f>E35</f>
        <v>2179.4</v>
      </c>
      <c r="E40" s="138">
        <v>2187.4</v>
      </c>
      <c r="F40" s="54">
        <f t="shared" si="2"/>
        <v>8</v>
      </c>
      <c r="G40" s="54">
        <f t="shared" si="3"/>
        <v>-2</v>
      </c>
      <c r="H40" s="28">
        <v>225.0</v>
      </c>
      <c r="I40" s="28" t="s">
        <v>172</v>
      </c>
    </row>
    <row r="41">
      <c r="B41" s="140">
        <v>45665.0</v>
      </c>
      <c r="C41" s="141" t="str">
        <f t="shared" si="1"/>
        <v>1-2025</v>
      </c>
      <c r="D41" s="54"/>
      <c r="E41" s="54"/>
      <c r="F41" s="54">
        <f t="shared" si="2"/>
        <v>0</v>
      </c>
      <c r="G41" s="54">
        <f t="shared" si="3"/>
        <v>-10</v>
      </c>
    </row>
    <row r="42">
      <c r="B42" s="140">
        <v>45666.0</v>
      </c>
      <c r="C42" s="141" t="str">
        <f t="shared" si="1"/>
        <v>1-2025</v>
      </c>
      <c r="D42" s="54" t="str">
        <f>E41</f>
        <v/>
      </c>
      <c r="E42" s="54"/>
      <c r="F42" s="54">
        <f t="shared" si="2"/>
        <v>0</v>
      </c>
      <c r="G42" s="54">
        <f t="shared" si="3"/>
        <v>-10</v>
      </c>
    </row>
    <row r="43">
      <c r="B43" s="140">
        <v>45667.0</v>
      </c>
      <c r="C43" s="141" t="str">
        <f t="shared" si="1"/>
        <v>1-2025</v>
      </c>
      <c r="D43" s="138">
        <v>8785.9</v>
      </c>
      <c r="E43" s="138">
        <v>8789.5</v>
      </c>
      <c r="F43" s="54">
        <f t="shared" si="2"/>
        <v>3.6</v>
      </c>
      <c r="G43" s="54">
        <f t="shared" si="3"/>
        <v>-6.4</v>
      </c>
      <c r="H43" s="28">
        <v>235.0</v>
      </c>
      <c r="I43" s="28" t="s">
        <v>189</v>
      </c>
    </row>
    <row r="44">
      <c r="B44" s="152">
        <v>45668.0</v>
      </c>
      <c r="C44" s="141" t="str">
        <f t="shared" si="1"/>
        <v>1-2025</v>
      </c>
      <c r="D44" s="54">
        <f>E43</f>
        <v>8789.5</v>
      </c>
      <c r="E44" s="138">
        <v>8796.8</v>
      </c>
      <c r="F44" s="54">
        <f t="shared" si="2"/>
        <v>7.3</v>
      </c>
      <c r="G44" s="54">
        <f t="shared" si="3"/>
        <v>-2.7</v>
      </c>
    </row>
    <row r="45">
      <c r="B45" s="152">
        <v>45669.0</v>
      </c>
      <c r="C45" s="141" t="str">
        <f t="shared" si="1"/>
        <v>1-2025</v>
      </c>
      <c r="D45" s="54"/>
      <c r="E45" s="54"/>
      <c r="F45" s="54">
        <f t="shared" si="2"/>
        <v>0</v>
      </c>
      <c r="G45" s="54">
        <f t="shared" si="3"/>
        <v>-10</v>
      </c>
    </row>
    <row r="46">
      <c r="B46" s="140">
        <v>45670.0</v>
      </c>
      <c r="C46" s="141" t="str">
        <f t="shared" si="1"/>
        <v>1-2025</v>
      </c>
      <c r="D46" s="138">
        <v>2187.4</v>
      </c>
      <c r="E46" s="138">
        <v>2194.7</v>
      </c>
      <c r="F46" s="54">
        <f t="shared" si="2"/>
        <v>7.3</v>
      </c>
      <c r="G46" s="54">
        <f t="shared" si="3"/>
        <v>-2.7</v>
      </c>
    </row>
    <row r="47">
      <c r="B47" s="140">
        <v>45671.0</v>
      </c>
      <c r="C47" s="141" t="str">
        <f t="shared" si="1"/>
        <v>1-2025</v>
      </c>
      <c r="D47" s="54"/>
      <c r="E47" s="54"/>
      <c r="F47" s="54">
        <f t="shared" si="2"/>
        <v>0</v>
      </c>
      <c r="G47" s="54">
        <f t="shared" si="3"/>
        <v>-10</v>
      </c>
    </row>
    <row r="48">
      <c r="B48" s="140">
        <v>45672.0</v>
      </c>
      <c r="C48" s="141" t="str">
        <f t="shared" si="1"/>
        <v>1-2025</v>
      </c>
      <c r="D48" s="54" t="str">
        <f>E47</f>
        <v/>
      </c>
      <c r="E48" s="54"/>
      <c r="F48" s="54">
        <f t="shared" si="2"/>
        <v>0</v>
      </c>
      <c r="G48" s="54">
        <f t="shared" si="3"/>
        <v>-10</v>
      </c>
    </row>
    <row r="49">
      <c r="B49" s="140">
        <v>45673.0</v>
      </c>
      <c r="C49" s="141" t="str">
        <f t="shared" si="1"/>
        <v>1-2025</v>
      </c>
      <c r="D49" s="138">
        <v>2194.7</v>
      </c>
      <c r="E49" s="138">
        <v>2202.1</v>
      </c>
      <c r="F49" s="54">
        <f t="shared" si="2"/>
        <v>7.4</v>
      </c>
      <c r="G49" s="54">
        <f t="shared" si="3"/>
        <v>-2.6</v>
      </c>
    </row>
    <row r="50">
      <c r="B50" s="140">
        <v>45674.0</v>
      </c>
      <c r="C50" s="141" t="str">
        <f t="shared" si="1"/>
        <v>1-2025</v>
      </c>
      <c r="D50" s="54"/>
      <c r="E50" s="54"/>
      <c r="F50" s="54">
        <f t="shared" si="2"/>
        <v>0</v>
      </c>
      <c r="G50" s="54">
        <f t="shared" si="3"/>
        <v>-10</v>
      </c>
    </row>
    <row r="51">
      <c r="B51" s="152">
        <v>45675.0</v>
      </c>
      <c r="C51" s="141" t="str">
        <f t="shared" si="1"/>
        <v>1-2025</v>
      </c>
      <c r="D51" s="138">
        <v>2202.1</v>
      </c>
      <c r="E51" s="138">
        <v>2205.6</v>
      </c>
      <c r="F51" s="54">
        <f t="shared" si="2"/>
        <v>3.5</v>
      </c>
      <c r="G51" s="54">
        <f t="shared" si="3"/>
        <v>-6.5</v>
      </c>
    </row>
    <row r="52">
      <c r="B52" s="152">
        <v>45676.0</v>
      </c>
      <c r="C52" s="141" t="str">
        <f t="shared" si="1"/>
        <v>1-2025</v>
      </c>
      <c r="D52" s="54"/>
      <c r="E52" s="54"/>
      <c r="F52" s="54">
        <f t="shared" si="2"/>
        <v>0</v>
      </c>
      <c r="G52" s="54">
        <f t="shared" si="3"/>
        <v>-10</v>
      </c>
    </row>
    <row r="53">
      <c r="B53" s="140">
        <v>45677.0</v>
      </c>
      <c r="C53" s="141" t="str">
        <f t="shared" si="1"/>
        <v>1-2025</v>
      </c>
      <c r="D53" s="138">
        <v>2205.6</v>
      </c>
      <c r="E53" s="138">
        <v>2215.1</v>
      </c>
      <c r="F53" s="54">
        <f t="shared" si="2"/>
        <v>9.5</v>
      </c>
      <c r="G53" s="54">
        <f t="shared" si="3"/>
        <v>-0.5</v>
      </c>
      <c r="H53" s="28">
        <v>45.0</v>
      </c>
      <c r="I53" s="28" t="s">
        <v>190</v>
      </c>
    </row>
    <row r="54">
      <c r="B54" s="140">
        <v>45678.0</v>
      </c>
      <c r="C54" s="141" t="str">
        <f t="shared" si="1"/>
        <v>1-2025</v>
      </c>
      <c r="D54" s="54">
        <f t="shared" ref="D54:D56" si="10">E53</f>
        <v>2215.1</v>
      </c>
      <c r="E54" s="138">
        <v>2223.7</v>
      </c>
      <c r="F54" s="54">
        <f t="shared" si="2"/>
        <v>8.6</v>
      </c>
      <c r="G54" s="54">
        <f t="shared" si="3"/>
        <v>-1.4</v>
      </c>
    </row>
    <row r="55">
      <c r="B55" s="140">
        <v>45679.0</v>
      </c>
      <c r="C55" s="141" t="str">
        <f t="shared" si="1"/>
        <v>1-2025</v>
      </c>
      <c r="D55" s="54">
        <f t="shared" si="10"/>
        <v>2223.7</v>
      </c>
      <c r="E55" s="138">
        <v>2234.7</v>
      </c>
      <c r="F55" s="54">
        <f t="shared" si="2"/>
        <v>11</v>
      </c>
      <c r="G55" s="54">
        <f t="shared" si="3"/>
        <v>1</v>
      </c>
      <c r="H55" s="28">
        <v>220.0</v>
      </c>
      <c r="I55" s="28" t="s">
        <v>191</v>
      </c>
    </row>
    <row r="56">
      <c r="B56" s="140">
        <v>45680.0</v>
      </c>
      <c r="C56" s="141" t="str">
        <f t="shared" si="1"/>
        <v>1-2025</v>
      </c>
      <c r="D56" s="54">
        <f t="shared" si="10"/>
        <v>2234.7</v>
      </c>
      <c r="E56" s="138">
        <v>2240.1</v>
      </c>
      <c r="F56" s="54">
        <f t="shared" si="2"/>
        <v>5.4</v>
      </c>
      <c r="G56" s="54">
        <f t="shared" si="3"/>
        <v>-4.6</v>
      </c>
    </row>
    <row r="57">
      <c r="B57" s="140">
        <v>45681.0</v>
      </c>
      <c r="C57" s="141" t="str">
        <f t="shared" si="1"/>
        <v>1-2025</v>
      </c>
      <c r="D57" s="138">
        <v>8904.4</v>
      </c>
      <c r="E57" s="138">
        <v>8912.9</v>
      </c>
      <c r="F57" s="54">
        <f t="shared" si="2"/>
        <v>8.5</v>
      </c>
      <c r="G57" s="54">
        <f t="shared" si="3"/>
        <v>-1.5</v>
      </c>
      <c r="H57" s="28">
        <v>260.0</v>
      </c>
      <c r="I57" s="28" t="s">
        <v>192</v>
      </c>
    </row>
    <row r="58">
      <c r="B58" s="152">
        <v>45682.0</v>
      </c>
      <c r="C58" s="141" t="str">
        <f t="shared" si="1"/>
        <v>1-2025</v>
      </c>
      <c r="D58" s="54"/>
      <c r="E58" s="54"/>
      <c r="F58" s="54">
        <f t="shared" si="2"/>
        <v>0</v>
      </c>
      <c r="G58" s="54">
        <f t="shared" si="3"/>
        <v>-10</v>
      </c>
    </row>
    <row r="59">
      <c r="B59" s="152">
        <v>45683.0</v>
      </c>
      <c r="C59" s="141" t="str">
        <f t="shared" si="1"/>
        <v>1-2025</v>
      </c>
      <c r="D59" s="54" t="str">
        <f t="shared" ref="D59:D145" si="11">E58</f>
        <v/>
      </c>
      <c r="E59" s="54"/>
      <c r="F59" s="54">
        <f t="shared" si="2"/>
        <v>0</v>
      </c>
      <c r="G59" s="54">
        <f t="shared" si="3"/>
        <v>-10</v>
      </c>
    </row>
    <row r="60">
      <c r="B60" s="140">
        <v>45684.0</v>
      </c>
      <c r="C60" s="141" t="str">
        <f t="shared" si="1"/>
        <v>1-2025</v>
      </c>
      <c r="D60" s="54" t="str">
        <f t="shared" si="11"/>
        <v/>
      </c>
      <c r="E60" s="54"/>
      <c r="F60" s="54">
        <f t="shared" si="2"/>
        <v>0</v>
      </c>
      <c r="G60" s="54">
        <f t="shared" si="3"/>
        <v>-10</v>
      </c>
    </row>
    <row r="61">
      <c r="B61" s="140">
        <v>45685.0</v>
      </c>
      <c r="C61" s="141" t="str">
        <f t="shared" si="1"/>
        <v>1-2025</v>
      </c>
      <c r="D61" s="54" t="str">
        <f t="shared" si="11"/>
        <v/>
      </c>
      <c r="E61" s="54"/>
      <c r="F61" s="54">
        <f t="shared" si="2"/>
        <v>0</v>
      </c>
      <c r="G61" s="54">
        <f t="shared" si="3"/>
        <v>-10</v>
      </c>
    </row>
    <row r="62">
      <c r="B62" s="140">
        <v>45686.0</v>
      </c>
      <c r="C62" s="141" t="str">
        <f t="shared" si="1"/>
        <v>1-2025</v>
      </c>
      <c r="D62" s="54" t="str">
        <f t="shared" si="11"/>
        <v/>
      </c>
      <c r="E62" s="54"/>
      <c r="F62" s="54">
        <f t="shared" si="2"/>
        <v>0</v>
      </c>
      <c r="G62" s="54">
        <f t="shared" si="3"/>
        <v>-10</v>
      </c>
    </row>
    <row r="63">
      <c r="B63" s="140">
        <v>45687.0</v>
      </c>
      <c r="C63" s="141" t="str">
        <f t="shared" si="1"/>
        <v>1-2025</v>
      </c>
      <c r="D63" s="54" t="str">
        <f t="shared" si="11"/>
        <v/>
      </c>
      <c r="E63" s="54"/>
      <c r="F63" s="54">
        <f t="shared" si="2"/>
        <v>0</v>
      </c>
      <c r="G63" s="54">
        <f t="shared" si="3"/>
        <v>-10</v>
      </c>
    </row>
    <row r="64">
      <c r="B64" s="140">
        <v>45688.0</v>
      </c>
      <c r="C64" s="141" t="str">
        <f t="shared" si="1"/>
        <v>1-2025</v>
      </c>
      <c r="D64" s="54" t="str">
        <f t="shared" si="11"/>
        <v/>
      </c>
      <c r="E64" s="54"/>
      <c r="F64" s="54">
        <f t="shared" si="2"/>
        <v>0</v>
      </c>
      <c r="G64" s="54">
        <f t="shared" si="3"/>
        <v>-10</v>
      </c>
    </row>
    <row r="65">
      <c r="B65" s="140">
        <v>45689.0</v>
      </c>
      <c r="C65" s="141" t="str">
        <f t="shared" si="1"/>
        <v>2-2025</v>
      </c>
      <c r="D65" s="54" t="str">
        <f t="shared" si="11"/>
        <v/>
      </c>
      <c r="E65" s="54"/>
      <c r="F65" s="54">
        <f t="shared" si="2"/>
        <v>0</v>
      </c>
      <c r="G65" s="54">
        <f t="shared" si="3"/>
        <v>-10</v>
      </c>
    </row>
    <row r="66">
      <c r="B66" s="140">
        <v>45690.0</v>
      </c>
      <c r="C66" s="141" t="str">
        <f t="shared" si="1"/>
        <v>2-2025</v>
      </c>
      <c r="D66" s="54" t="str">
        <f t="shared" si="11"/>
        <v/>
      </c>
      <c r="E66" s="54"/>
      <c r="F66" s="54">
        <f t="shared" si="2"/>
        <v>0</v>
      </c>
      <c r="G66" s="54">
        <f t="shared" si="3"/>
        <v>-10</v>
      </c>
    </row>
    <row r="67">
      <c r="B67" s="140">
        <v>45691.0</v>
      </c>
      <c r="C67" s="141" t="str">
        <f t="shared" si="1"/>
        <v>2-2025</v>
      </c>
      <c r="D67" s="54" t="str">
        <f t="shared" si="11"/>
        <v/>
      </c>
      <c r="E67" s="54"/>
      <c r="F67" s="54">
        <f t="shared" si="2"/>
        <v>0</v>
      </c>
      <c r="G67" s="54">
        <f t="shared" si="3"/>
        <v>-10</v>
      </c>
    </row>
    <row r="68">
      <c r="B68" s="140">
        <v>45692.0</v>
      </c>
      <c r="C68" s="141" t="str">
        <f t="shared" si="1"/>
        <v>2-2025</v>
      </c>
      <c r="D68" s="54" t="str">
        <f t="shared" si="11"/>
        <v/>
      </c>
      <c r="E68" s="54"/>
      <c r="F68" s="54">
        <f t="shared" si="2"/>
        <v>0</v>
      </c>
      <c r="G68" s="54">
        <f t="shared" si="3"/>
        <v>-10</v>
      </c>
    </row>
    <row r="69">
      <c r="B69" s="140">
        <v>45693.0</v>
      </c>
      <c r="C69" s="141" t="str">
        <f t="shared" si="1"/>
        <v>2-2025</v>
      </c>
      <c r="D69" s="54" t="str">
        <f t="shared" si="11"/>
        <v/>
      </c>
      <c r="E69" s="54"/>
      <c r="F69" s="54">
        <f t="shared" si="2"/>
        <v>0</v>
      </c>
      <c r="G69" s="54">
        <f t="shared" si="3"/>
        <v>-10</v>
      </c>
    </row>
    <row r="70">
      <c r="B70" s="140">
        <v>45694.0</v>
      </c>
      <c r="C70" s="141" t="str">
        <f t="shared" si="1"/>
        <v>2-2025</v>
      </c>
      <c r="D70" s="54" t="str">
        <f t="shared" si="11"/>
        <v/>
      </c>
      <c r="E70" s="54"/>
      <c r="F70" s="54">
        <f t="shared" si="2"/>
        <v>0</v>
      </c>
      <c r="G70" s="54">
        <f t="shared" si="3"/>
        <v>-10</v>
      </c>
    </row>
    <row r="71">
      <c r="B71" s="140">
        <v>45695.0</v>
      </c>
      <c r="C71" s="141" t="str">
        <f t="shared" si="1"/>
        <v>2-2025</v>
      </c>
      <c r="D71" s="54" t="str">
        <f t="shared" si="11"/>
        <v/>
      </c>
      <c r="E71" s="54"/>
      <c r="F71" s="54">
        <f t="shared" si="2"/>
        <v>0</v>
      </c>
      <c r="G71" s="54">
        <f t="shared" si="3"/>
        <v>-10</v>
      </c>
    </row>
    <row r="72">
      <c r="B72" s="140">
        <v>45696.0</v>
      </c>
      <c r="C72" s="141" t="str">
        <f t="shared" si="1"/>
        <v>2-2025</v>
      </c>
      <c r="D72" s="54" t="str">
        <f t="shared" si="11"/>
        <v/>
      </c>
      <c r="E72" s="54"/>
      <c r="F72" s="54">
        <f t="shared" si="2"/>
        <v>0</v>
      </c>
      <c r="G72" s="54">
        <f t="shared" si="3"/>
        <v>-10</v>
      </c>
    </row>
    <row r="73">
      <c r="B73" s="140">
        <v>45697.0</v>
      </c>
      <c r="C73" s="141" t="str">
        <f t="shared" si="1"/>
        <v>2-2025</v>
      </c>
      <c r="D73" s="54" t="str">
        <f t="shared" si="11"/>
        <v/>
      </c>
      <c r="E73" s="54"/>
      <c r="F73" s="54">
        <f t="shared" si="2"/>
        <v>0</v>
      </c>
      <c r="G73" s="54">
        <f t="shared" si="3"/>
        <v>-10</v>
      </c>
    </row>
    <row r="74">
      <c r="B74" s="140">
        <v>45698.0</v>
      </c>
      <c r="C74" s="141" t="str">
        <f t="shared" si="1"/>
        <v>2-2025</v>
      </c>
      <c r="D74" s="54" t="str">
        <f t="shared" si="11"/>
        <v/>
      </c>
      <c r="E74" s="54"/>
      <c r="F74" s="54">
        <f t="shared" si="2"/>
        <v>0</v>
      </c>
      <c r="G74" s="54">
        <f t="shared" si="3"/>
        <v>-10</v>
      </c>
    </row>
    <row r="75">
      <c r="B75" s="140">
        <v>45699.0</v>
      </c>
      <c r="C75" s="141" t="str">
        <f t="shared" si="1"/>
        <v>2-2025</v>
      </c>
      <c r="D75" s="54" t="str">
        <f t="shared" si="11"/>
        <v/>
      </c>
      <c r="E75" s="54"/>
      <c r="F75" s="54">
        <f t="shared" si="2"/>
        <v>0</v>
      </c>
      <c r="G75" s="54">
        <f t="shared" si="3"/>
        <v>-10</v>
      </c>
    </row>
    <row r="76">
      <c r="B76" s="140">
        <v>45700.0</v>
      </c>
      <c r="C76" s="141" t="str">
        <f t="shared" si="1"/>
        <v>2-2025</v>
      </c>
      <c r="D76" s="54" t="str">
        <f t="shared" si="11"/>
        <v/>
      </c>
      <c r="E76" s="54"/>
      <c r="F76" s="54">
        <f t="shared" si="2"/>
        <v>0</v>
      </c>
      <c r="G76" s="54">
        <f t="shared" si="3"/>
        <v>-10</v>
      </c>
    </row>
    <row r="77">
      <c r="B77" s="140">
        <v>45701.0</v>
      </c>
      <c r="C77" s="141" t="str">
        <f t="shared" si="1"/>
        <v>2-2025</v>
      </c>
      <c r="D77" s="54" t="str">
        <f t="shared" si="11"/>
        <v/>
      </c>
      <c r="E77" s="54"/>
      <c r="F77" s="54">
        <f t="shared" si="2"/>
        <v>0</v>
      </c>
      <c r="G77" s="54">
        <f t="shared" si="3"/>
        <v>-10</v>
      </c>
    </row>
    <row r="78">
      <c r="B78" s="140">
        <v>45702.0</v>
      </c>
      <c r="C78" s="141" t="str">
        <f t="shared" si="1"/>
        <v>2-2025</v>
      </c>
      <c r="D78" s="54" t="str">
        <f t="shared" si="11"/>
        <v/>
      </c>
      <c r="E78" s="54"/>
      <c r="F78" s="54">
        <f t="shared" si="2"/>
        <v>0</v>
      </c>
      <c r="G78" s="54">
        <f t="shared" si="3"/>
        <v>-10</v>
      </c>
    </row>
    <row r="79">
      <c r="B79" s="140">
        <v>45703.0</v>
      </c>
      <c r="C79" s="141" t="str">
        <f t="shared" si="1"/>
        <v>2-2025</v>
      </c>
      <c r="D79" s="54" t="str">
        <f t="shared" si="11"/>
        <v/>
      </c>
      <c r="E79" s="54"/>
      <c r="F79" s="54">
        <f t="shared" si="2"/>
        <v>0</v>
      </c>
      <c r="G79" s="54">
        <f t="shared" si="3"/>
        <v>-10</v>
      </c>
    </row>
    <row r="80">
      <c r="B80" s="140">
        <v>45704.0</v>
      </c>
      <c r="C80" s="141" t="str">
        <f t="shared" si="1"/>
        <v>2-2025</v>
      </c>
      <c r="D80" s="54" t="str">
        <f t="shared" si="11"/>
        <v/>
      </c>
      <c r="E80" s="54"/>
      <c r="F80" s="54">
        <f t="shared" si="2"/>
        <v>0</v>
      </c>
      <c r="G80" s="54">
        <f t="shared" si="3"/>
        <v>-10</v>
      </c>
    </row>
    <row r="81">
      <c r="B81" s="140">
        <v>45705.0</v>
      </c>
      <c r="C81" s="141" t="str">
        <f t="shared" si="1"/>
        <v>2-2025</v>
      </c>
      <c r="D81" s="54" t="str">
        <f t="shared" si="11"/>
        <v/>
      </c>
      <c r="E81" s="54"/>
      <c r="F81" s="54">
        <f t="shared" si="2"/>
        <v>0</v>
      </c>
      <c r="G81" s="54">
        <f t="shared" si="3"/>
        <v>-10</v>
      </c>
    </row>
    <row r="82">
      <c r="B82" s="140">
        <v>45706.0</v>
      </c>
      <c r="C82" s="141" t="str">
        <f t="shared" si="1"/>
        <v>2-2025</v>
      </c>
      <c r="D82" s="54" t="str">
        <f t="shared" si="11"/>
        <v/>
      </c>
      <c r="E82" s="54"/>
      <c r="F82" s="54">
        <f t="shared" si="2"/>
        <v>0</v>
      </c>
      <c r="G82" s="54">
        <f t="shared" si="3"/>
        <v>-10</v>
      </c>
    </row>
    <row r="83">
      <c r="B83" s="140">
        <v>45707.0</v>
      </c>
      <c r="C83" s="141" t="str">
        <f t="shared" si="1"/>
        <v>2-2025</v>
      </c>
      <c r="D83" s="54" t="str">
        <f t="shared" si="11"/>
        <v/>
      </c>
      <c r="E83" s="54"/>
      <c r="F83" s="54">
        <f t="shared" si="2"/>
        <v>0</v>
      </c>
      <c r="G83" s="54">
        <f t="shared" si="3"/>
        <v>-10</v>
      </c>
    </row>
    <row r="84">
      <c r="B84" s="140">
        <v>45708.0</v>
      </c>
      <c r="C84" s="141" t="str">
        <f t="shared" si="1"/>
        <v>2-2025</v>
      </c>
      <c r="D84" s="54" t="str">
        <f t="shared" si="11"/>
        <v/>
      </c>
      <c r="E84" s="54"/>
      <c r="F84" s="54">
        <f t="shared" si="2"/>
        <v>0</v>
      </c>
      <c r="G84" s="54">
        <f t="shared" si="3"/>
        <v>-10</v>
      </c>
    </row>
    <row r="85">
      <c r="B85" s="140">
        <v>45709.0</v>
      </c>
      <c r="C85" s="141" t="str">
        <f t="shared" si="1"/>
        <v>2-2025</v>
      </c>
      <c r="D85" s="54" t="str">
        <f t="shared" si="11"/>
        <v/>
      </c>
      <c r="E85" s="54"/>
      <c r="F85" s="54">
        <f t="shared" si="2"/>
        <v>0</v>
      </c>
      <c r="G85" s="54">
        <f t="shared" si="3"/>
        <v>-10</v>
      </c>
    </row>
    <row r="86">
      <c r="B86" s="140">
        <v>45710.0</v>
      </c>
      <c r="C86" s="141" t="str">
        <f t="shared" si="1"/>
        <v>2-2025</v>
      </c>
      <c r="D86" s="54" t="str">
        <f t="shared" si="11"/>
        <v/>
      </c>
      <c r="E86" s="54"/>
      <c r="F86" s="54">
        <f t="shared" si="2"/>
        <v>0</v>
      </c>
      <c r="G86" s="54">
        <f t="shared" si="3"/>
        <v>-10</v>
      </c>
    </row>
    <row r="87">
      <c r="C87" s="141" t="str">
        <f t="shared" si="1"/>
        <v>12-1899</v>
      </c>
      <c r="D87" s="54" t="str">
        <f t="shared" si="11"/>
        <v/>
      </c>
      <c r="E87" s="54"/>
      <c r="F87" s="54">
        <f t="shared" si="2"/>
        <v>0</v>
      </c>
      <c r="G87" s="54">
        <f t="shared" si="3"/>
        <v>-10</v>
      </c>
    </row>
    <row r="88">
      <c r="C88" s="141" t="str">
        <f t="shared" si="1"/>
        <v>12-1899</v>
      </c>
      <c r="D88" s="54" t="str">
        <f t="shared" si="11"/>
        <v/>
      </c>
      <c r="E88" s="54"/>
      <c r="F88" s="54">
        <f t="shared" si="2"/>
        <v>0</v>
      </c>
      <c r="G88" s="54">
        <f t="shared" si="3"/>
        <v>-10</v>
      </c>
    </row>
    <row r="89">
      <c r="C89" s="141" t="str">
        <f t="shared" si="1"/>
        <v>12-1899</v>
      </c>
      <c r="D89" s="54" t="str">
        <f t="shared" si="11"/>
        <v/>
      </c>
      <c r="E89" s="54"/>
      <c r="F89" s="54">
        <f t="shared" si="2"/>
        <v>0</v>
      </c>
      <c r="G89" s="54">
        <f t="shared" si="3"/>
        <v>-10</v>
      </c>
    </row>
    <row r="90">
      <c r="C90" s="141" t="str">
        <f t="shared" si="1"/>
        <v>12-1899</v>
      </c>
      <c r="D90" s="54" t="str">
        <f t="shared" si="11"/>
        <v/>
      </c>
      <c r="E90" s="54"/>
      <c r="F90" s="54">
        <f t="shared" si="2"/>
        <v>0</v>
      </c>
      <c r="G90" s="54">
        <f t="shared" si="3"/>
        <v>-10</v>
      </c>
    </row>
    <row r="91">
      <c r="B91" s="140">
        <v>45901.0</v>
      </c>
      <c r="C91" s="141" t="str">
        <f t="shared" si="1"/>
        <v>9-2025</v>
      </c>
      <c r="D91" s="54" t="str">
        <f t="shared" si="11"/>
        <v/>
      </c>
      <c r="E91" s="54"/>
      <c r="F91" s="54">
        <f t="shared" si="2"/>
        <v>0</v>
      </c>
      <c r="G91" s="54">
        <f t="shared" si="3"/>
        <v>-10</v>
      </c>
    </row>
    <row r="92">
      <c r="B92" s="140">
        <v>45902.0</v>
      </c>
      <c r="C92" s="141" t="str">
        <f t="shared" si="1"/>
        <v>9-2025</v>
      </c>
      <c r="D92" s="54" t="str">
        <f t="shared" si="11"/>
        <v/>
      </c>
      <c r="E92" s="54"/>
      <c r="F92" s="54">
        <f t="shared" si="2"/>
        <v>0</v>
      </c>
      <c r="G92" s="54">
        <f t="shared" si="3"/>
        <v>-10</v>
      </c>
    </row>
    <row r="93">
      <c r="B93" s="140">
        <v>45903.0</v>
      </c>
      <c r="C93" s="141" t="str">
        <f t="shared" si="1"/>
        <v>9-2025</v>
      </c>
      <c r="D93" s="54" t="str">
        <f t="shared" si="11"/>
        <v/>
      </c>
      <c r="E93" s="54"/>
      <c r="F93" s="54">
        <f t="shared" si="2"/>
        <v>0</v>
      </c>
      <c r="G93" s="54">
        <f t="shared" si="3"/>
        <v>-10</v>
      </c>
    </row>
    <row r="94">
      <c r="B94" s="140">
        <v>45904.0</v>
      </c>
      <c r="C94" s="141" t="str">
        <f t="shared" si="1"/>
        <v>9-2025</v>
      </c>
      <c r="D94" s="54" t="str">
        <f t="shared" si="11"/>
        <v/>
      </c>
      <c r="E94" s="54"/>
      <c r="F94" s="54">
        <f t="shared" si="2"/>
        <v>0</v>
      </c>
      <c r="G94" s="54">
        <f t="shared" si="3"/>
        <v>-10</v>
      </c>
    </row>
    <row r="95">
      <c r="B95" s="140">
        <v>45905.0</v>
      </c>
      <c r="C95" s="141" t="str">
        <f t="shared" si="1"/>
        <v>9-2025</v>
      </c>
      <c r="D95" s="54" t="str">
        <f t="shared" si="11"/>
        <v/>
      </c>
      <c r="E95" s="54"/>
      <c r="F95" s="54">
        <f t="shared" si="2"/>
        <v>0</v>
      </c>
      <c r="G95" s="54">
        <f t="shared" si="3"/>
        <v>-10</v>
      </c>
    </row>
    <row r="96">
      <c r="B96" s="145">
        <v>45906.0</v>
      </c>
      <c r="C96" s="141" t="str">
        <f t="shared" si="1"/>
        <v>9-2025</v>
      </c>
      <c r="D96" s="54" t="str">
        <f t="shared" si="11"/>
        <v/>
      </c>
      <c r="E96" s="54"/>
      <c r="F96" s="54">
        <f t="shared" si="2"/>
        <v>0</v>
      </c>
      <c r="G96" s="54">
        <f t="shared" si="3"/>
        <v>-10</v>
      </c>
    </row>
    <row r="97">
      <c r="B97" s="145">
        <v>45907.0</v>
      </c>
      <c r="C97" s="141" t="str">
        <f t="shared" si="1"/>
        <v>9-2025</v>
      </c>
      <c r="D97" s="54" t="str">
        <f t="shared" si="11"/>
        <v/>
      </c>
      <c r="E97" s="54"/>
      <c r="F97" s="54">
        <f t="shared" si="2"/>
        <v>0</v>
      </c>
      <c r="G97" s="54">
        <f t="shared" si="3"/>
        <v>-10</v>
      </c>
    </row>
    <row r="98">
      <c r="B98" s="140">
        <v>45908.0</v>
      </c>
      <c r="C98" s="141" t="str">
        <f t="shared" si="1"/>
        <v>9-2025</v>
      </c>
      <c r="D98" s="54" t="str">
        <f t="shared" si="11"/>
        <v/>
      </c>
      <c r="E98" s="54"/>
      <c r="F98" s="54">
        <f t="shared" si="2"/>
        <v>0</v>
      </c>
      <c r="G98" s="54">
        <f t="shared" si="3"/>
        <v>-10</v>
      </c>
    </row>
    <row r="99">
      <c r="B99" s="140">
        <v>45909.0</v>
      </c>
      <c r="C99" s="141" t="str">
        <f t="shared" si="1"/>
        <v>9-2025</v>
      </c>
      <c r="D99" s="54" t="str">
        <f t="shared" si="11"/>
        <v/>
      </c>
      <c r="E99" s="54"/>
      <c r="F99" s="54">
        <f t="shared" si="2"/>
        <v>0</v>
      </c>
      <c r="G99" s="54">
        <f t="shared" si="3"/>
        <v>-10</v>
      </c>
    </row>
    <row r="100">
      <c r="B100" s="140">
        <v>45910.0</v>
      </c>
      <c r="C100" s="141" t="str">
        <f t="shared" si="1"/>
        <v>9-2025</v>
      </c>
      <c r="D100" s="54" t="str">
        <f t="shared" si="11"/>
        <v/>
      </c>
      <c r="E100" s="54"/>
      <c r="F100" s="54">
        <f t="shared" si="2"/>
        <v>0</v>
      </c>
      <c r="G100" s="54">
        <f t="shared" si="3"/>
        <v>-10</v>
      </c>
    </row>
    <row r="101">
      <c r="B101" s="140">
        <v>45911.0</v>
      </c>
      <c r="C101" s="141" t="str">
        <f t="shared" si="1"/>
        <v>9-2025</v>
      </c>
      <c r="D101" s="54" t="str">
        <f t="shared" si="11"/>
        <v/>
      </c>
      <c r="E101" s="54"/>
      <c r="F101" s="54">
        <f t="shared" si="2"/>
        <v>0</v>
      </c>
      <c r="G101" s="54">
        <f t="shared" si="3"/>
        <v>-10</v>
      </c>
    </row>
    <row r="102">
      <c r="B102" s="140">
        <v>45912.0</v>
      </c>
      <c r="C102" s="141" t="str">
        <f t="shared" si="1"/>
        <v>9-2025</v>
      </c>
      <c r="D102" s="54" t="str">
        <f t="shared" si="11"/>
        <v/>
      </c>
      <c r="E102" s="54"/>
      <c r="F102" s="54">
        <f t="shared" si="2"/>
        <v>0</v>
      </c>
      <c r="G102" s="54">
        <f t="shared" si="3"/>
        <v>-10</v>
      </c>
    </row>
    <row r="103">
      <c r="B103" s="145">
        <v>45913.0</v>
      </c>
      <c r="C103" s="141" t="str">
        <f t="shared" si="1"/>
        <v>9-2025</v>
      </c>
      <c r="D103" s="54" t="str">
        <f t="shared" si="11"/>
        <v/>
      </c>
      <c r="E103" s="54"/>
      <c r="F103" s="54">
        <f t="shared" si="2"/>
        <v>0</v>
      </c>
      <c r="G103" s="54">
        <f t="shared" si="3"/>
        <v>-10</v>
      </c>
    </row>
    <row r="104">
      <c r="B104" s="145">
        <v>45914.0</v>
      </c>
      <c r="C104" s="141" t="str">
        <f t="shared" si="1"/>
        <v>9-2025</v>
      </c>
      <c r="D104" s="54" t="str">
        <f t="shared" si="11"/>
        <v/>
      </c>
      <c r="E104" s="54"/>
      <c r="F104" s="54">
        <f t="shared" si="2"/>
        <v>0</v>
      </c>
      <c r="G104" s="54">
        <f t="shared" si="3"/>
        <v>-10</v>
      </c>
    </row>
    <row r="105">
      <c r="B105" s="140">
        <v>45915.0</v>
      </c>
      <c r="C105" s="141" t="str">
        <f t="shared" si="1"/>
        <v>9-2025</v>
      </c>
      <c r="D105" s="54" t="str">
        <f t="shared" si="11"/>
        <v/>
      </c>
      <c r="E105" s="54"/>
      <c r="F105" s="54">
        <f t="shared" si="2"/>
        <v>0</v>
      </c>
      <c r="G105" s="54">
        <f t="shared" si="3"/>
        <v>-10</v>
      </c>
    </row>
    <row r="106">
      <c r="B106" s="140">
        <v>45916.0</v>
      </c>
      <c r="C106" s="141" t="str">
        <f t="shared" si="1"/>
        <v>9-2025</v>
      </c>
      <c r="D106" s="54" t="str">
        <f t="shared" si="11"/>
        <v/>
      </c>
      <c r="E106" s="54"/>
      <c r="F106" s="54">
        <f t="shared" si="2"/>
        <v>0</v>
      </c>
      <c r="G106" s="54">
        <f t="shared" si="3"/>
        <v>-10</v>
      </c>
    </row>
    <row r="107">
      <c r="B107" s="140">
        <v>45917.0</v>
      </c>
      <c r="C107" s="141" t="str">
        <f t="shared" si="1"/>
        <v>9-2025</v>
      </c>
      <c r="D107" s="54" t="str">
        <f t="shared" si="11"/>
        <v/>
      </c>
      <c r="E107" s="54"/>
      <c r="F107" s="54">
        <f t="shared" si="2"/>
        <v>0</v>
      </c>
      <c r="G107" s="54">
        <f t="shared" si="3"/>
        <v>-10</v>
      </c>
    </row>
    <row r="108">
      <c r="B108" s="140">
        <v>45918.0</v>
      </c>
      <c r="C108" s="141" t="str">
        <f t="shared" si="1"/>
        <v>9-2025</v>
      </c>
      <c r="D108" s="54" t="str">
        <f t="shared" si="11"/>
        <v/>
      </c>
      <c r="E108" s="54"/>
      <c r="F108" s="54">
        <f t="shared" si="2"/>
        <v>0</v>
      </c>
      <c r="G108" s="54">
        <f t="shared" si="3"/>
        <v>-10</v>
      </c>
    </row>
    <row r="109">
      <c r="B109" s="140">
        <v>45919.0</v>
      </c>
      <c r="C109" s="141" t="str">
        <f t="shared" si="1"/>
        <v>9-2025</v>
      </c>
      <c r="D109" s="54" t="str">
        <f t="shared" si="11"/>
        <v/>
      </c>
      <c r="E109" s="54"/>
      <c r="F109" s="54">
        <f t="shared" si="2"/>
        <v>0</v>
      </c>
      <c r="G109" s="54">
        <f t="shared" si="3"/>
        <v>-10</v>
      </c>
    </row>
    <row r="110">
      <c r="B110" s="145">
        <v>45920.0</v>
      </c>
      <c r="C110" s="141" t="str">
        <f t="shared" si="1"/>
        <v>9-2025</v>
      </c>
      <c r="D110" s="54" t="str">
        <f t="shared" si="11"/>
        <v/>
      </c>
      <c r="E110" s="54"/>
      <c r="F110" s="54">
        <f t="shared" si="2"/>
        <v>0</v>
      </c>
      <c r="G110" s="54">
        <f t="shared" si="3"/>
        <v>-10</v>
      </c>
    </row>
    <row r="111">
      <c r="B111" s="145">
        <v>45921.0</v>
      </c>
      <c r="C111" s="141" t="str">
        <f t="shared" si="1"/>
        <v>9-2025</v>
      </c>
      <c r="D111" s="54" t="str">
        <f t="shared" si="11"/>
        <v/>
      </c>
      <c r="E111" s="54"/>
      <c r="F111" s="54">
        <f t="shared" si="2"/>
        <v>0</v>
      </c>
      <c r="G111" s="54">
        <f t="shared" si="3"/>
        <v>-10</v>
      </c>
    </row>
    <row r="112">
      <c r="B112" s="140">
        <v>45922.0</v>
      </c>
      <c r="C112" s="141" t="str">
        <f t="shared" si="1"/>
        <v>9-2025</v>
      </c>
      <c r="D112" s="54" t="str">
        <f t="shared" si="11"/>
        <v/>
      </c>
      <c r="E112" s="54"/>
      <c r="F112" s="54">
        <f t="shared" si="2"/>
        <v>0</v>
      </c>
      <c r="G112" s="54">
        <f t="shared" si="3"/>
        <v>-10</v>
      </c>
    </row>
    <row r="113">
      <c r="B113" s="140">
        <v>45923.0</v>
      </c>
      <c r="C113" s="141" t="str">
        <f t="shared" si="1"/>
        <v>9-2025</v>
      </c>
      <c r="D113" s="54" t="str">
        <f t="shared" si="11"/>
        <v/>
      </c>
      <c r="E113" s="54"/>
      <c r="F113" s="54">
        <f t="shared" si="2"/>
        <v>0</v>
      </c>
      <c r="G113" s="54">
        <f t="shared" si="3"/>
        <v>-10</v>
      </c>
    </row>
    <row r="114">
      <c r="B114" s="140">
        <v>45924.0</v>
      </c>
      <c r="C114" s="141" t="str">
        <f t="shared" si="1"/>
        <v>9-2025</v>
      </c>
      <c r="D114" s="54" t="str">
        <f t="shared" si="11"/>
        <v/>
      </c>
      <c r="E114" s="54"/>
      <c r="F114" s="54">
        <f t="shared" si="2"/>
        <v>0</v>
      </c>
      <c r="G114" s="54">
        <f t="shared" si="3"/>
        <v>-10</v>
      </c>
    </row>
    <row r="115">
      <c r="B115" s="140">
        <v>45925.0</v>
      </c>
      <c r="C115" s="141" t="str">
        <f t="shared" si="1"/>
        <v>9-2025</v>
      </c>
      <c r="D115" s="54" t="str">
        <f t="shared" si="11"/>
        <v/>
      </c>
      <c r="E115" s="54"/>
      <c r="F115" s="54">
        <f t="shared" si="2"/>
        <v>0</v>
      </c>
      <c r="G115" s="54">
        <f t="shared" si="3"/>
        <v>-10</v>
      </c>
    </row>
    <row r="116">
      <c r="B116" s="140">
        <v>45926.0</v>
      </c>
      <c r="C116" s="141" t="str">
        <f t="shared" si="1"/>
        <v>9-2025</v>
      </c>
      <c r="D116" s="54" t="str">
        <f t="shared" si="11"/>
        <v/>
      </c>
      <c r="E116" s="54"/>
      <c r="F116" s="54">
        <f t="shared" si="2"/>
        <v>0</v>
      </c>
      <c r="G116" s="54">
        <f t="shared" si="3"/>
        <v>-10</v>
      </c>
    </row>
    <row r="117">
      <c r="B117" s="145">
        <v>45927.0</v>
      </c>
      <c r="C117" s="141" t="str">
        <f t="shared" si="1"/>
        <v>9-2025</v>
      </c>
      <c r="D117" s="54" t="str">
        <f t="shared" si="11"/>
        <v/>
      </c>
      <c r="E117" s="54"/>
      <c r="F117" s="54">
        <f t="shared" si="2"/>
        <v>0</v>
      </c>
      <c r="G117" s="54">
        <f t="shared" si="3"/>
        <v>-10</v>
      </c>
    </row>
    <row r="118">
      <c r="B118" s="145">
        <v>45928.0</v>
      </c>
      <c r="C118" s="141" t="str">
        <f t="shared" si="1"/>
        <v>9-2025</v>
      </c>
      <c r="D118" s="54" t="str">
        <f t="shared" si="11"/>
        <v/>
      </c>
      <c r="E118" s="54"/>
      <c r="F118" s="54">
        <f t="shared" si="2"/>
        <v>0</v>
      </c>
      <c r="G118" s="54">
        <f t="shared" si="3"/>
        <v>-10</v>
      </c>
    </row>
    <row r="119">
      <c r="B119" s="140">
        <v>45929.0</v>
      </c>
      <c r="C119" s="141" t="str">
        <f t="shared" si="1"/>
        <v>9-2025</v>
      </c>
      <c r="D119" s="54" t="str">
        <f t="shared" si="11"/>
        <v/>
      </c>
      <c r="E119" s="54"/>
      <c r="F119" s="54">
        <f t="shared" si="2"/>
        <v>0</v>
      </c>
      <c r="G119" s="54">
        <f t="shared" si="3"/>
        <v>-10</v>
      </c>
    </row>
    <row r="120">
      <c r="B120" s="140">
        <v>45930.0</v>
      </c>
      <c r="C120" s="141" t="str">
        <f t="shared" si="1"/>
        <v>9-2025</v>
      </c>
      <c r="D120" s="54" t="str">
        <f t="shared" si="11"/>
        <v/>
      </c>
      <c r="E120" s="54"/>
      <c r="F120" s="54">
        <f t="shared" si="2"/>
        <v>0</v>
      </c>
      <c r="G120" s="54">
        <f t="shared" si="3"/>
        <v>-10</v>
      </c>
    </row>
    <row r="121">
      <c r="B121" s="140">
        <v>45931.0</v>
      </c>
      <c r="C121" s="141" t="str">
        <f t="shared" si="1"/>
        <v>10-2025</v>
      </c>
      <c r="D121" s="54" t="str">
        <f t="shared" si="11"/>
        <v/>
      </c>
      <c r="E121" s="54"/>
      <c r="F121" s="54">
        <f t="shared" si="2"/>
        <v>0</v>
      </c>
      <c r="G121" s="54">
        <f t="shared" si="3"/>
        <v>-10</v>
      </c>
    </row>
    <row r="122">
      <c r="C122" s="141" t="str">
        <f t="shared" si="1"/>
        <v>12-1899</v>
      </c>
      <c r="D122" s="54" t="str">
        <f t="shared" si="11"/>
        <v/>
      </c>
      <c r="E122" s="54"/>
      <c r="F122" s="54">
        <f t="shared" si="2"/>
        <v>0</v>
      </c>
      <c r="G122" s="54">
        <f t="shared" si="3"/>
        <v>-10</v>
      </c>
    </row>
    <row r="123">
      <c r="C123" s="141" t="str">
        <f t="shared" si="1"/>
        <v>12-1899</v>
      </c>
      <c r="D123" s="54" t="str">
        <f t="shared" si="11"/>
        <v/>
      </c>
      <c r="E123" s="54"/>
      <c r="F123" s="54">
        <f t="shared" si="2"/>
        <v>0</v>
      </c>
      <c r="G123" s="54">
        <f t="shared" si="3"/>
        <v>-10</v>
      </c>
    </row>
    <row r="124">
      <c r="C124" s="141" t="str">
        <f t="shared" si="1"/>
        <v>12-1899</v>
      </c>
      <c r="D124" s="54" t="str">
        <f t="shared" si="11"/>
        <v/>
      </c>
      <c r="E124" s="54"/>
      <c r="F124" s="54">
        <f t="shared" si="2"/>
        <v>0</v>
      </c>
      <c r="G124" s="54">
        <f t="shared" si="3"/>
        <v>-10</v>
      </c>
    </row>
    <row r="125">
      <c r="C125" s="141" t="str">
        <f t="shared" si="1"/>
        <v>12-1899</v>
      </c>
      <c r="D125" s="54" t="str">
        <f t="shared" si="11"/>
        <v/>
      </c>
      <c r="E125" s="54"/>
      <c r="F125" s="54">
        <f t="shared" si="2"/>
        <v>0</v>
      </c>
      <c r="G125" s="54">
        <f t="shared" si="3"/>
        <v>-10</v>
      </c>
    </row>
    <row r="126">
      <c r="C126" s="141" t="str">
        <f t="shared" si="1"/>
        <v>12-1899</v>
      </c>
      <c r="D126" s="54" t="str">
        <f t="shared" si="11"/>
        <v/>
      </c>
      <c r="E126" s="54"/>
      <c r="F126" s="54">
        <f t="shared" si="2"/>
        <v>0</v>
      </c>
      <c r="G126" s="54">
        <f t="shared" si="3"/>
        <v>-10</v>
      </c>
    </row>
    <row r="127">
      <c r="C127" s="141" t="str">
        <f t="shared" si="1"/>
        <v>12-1899</v>
      </c>
      <c r="D127" s="54" t="str">
        <f t="shared" si="11"/>
        <v/>
      </c>
      <c r="E127" s="54"/>
      <c r="F127" s="54">
        <f t="shared" si="2"/>
        <v>0</v>
      </c>
      <c r="G127" s="54">
        <f t="shared" si="3"/>
        <v>-10</v>
      </c>
    </row>
    <row r="128">
      <c r="C128" s="141" t="str">
        <f t="shared" si="1"/>
        <v>12-1899</v>
      </c>
      <c r="D128" s="54" t="str">
        <f t="shared" si="11"/>
        <v/>
      </c>
      <c r="E128" s="54"/>
      <c r="F128" s="54">
        <f t="shared" si="2"/>
        <v>0</v>
      </c>
      <c r="G128" s="54">
        <f t="shared" si="3"/>
        <v>-10</v>
      </c>
    </row>
    <row r="129">
      <c r="C129" s="141" t="str">
        <f t="shared" si="1"/>
        <v>12-1899</v>
      </c>
      <c r="D129" s="54" t="str">
        <f t="shared" si="11"/>
        <v/>
      </c>
      <c r="E129" s="54"/>
      <c r="F129" s="54">
        <f t="shared" si="2"/>
        <v>0</v>
      </c>
      <c r="G129" s="54">
        <f t="shared" si="3"/>
        <v>-10</v>
      </c>
    </row>
    <row r="130">
      <c r="C130" s="141" t="str">
        <f t="shared" si="1"/>
        <v>12-1899</v>
      </c>
      <c r="D130" s="54" t="str">
        <f t="shared" si="11"/>
        <v/>
      </c>
      <c r="E130" s="54"/>
      <c r="F130" s="54">
        <f t="shared" si="2"/>
        <v>0</v>
      </c>
      <c r="G130" s="54">
        <f t="shared" si="3"/>
        <v>-10</v>
      </c>
    </row>
    <row r="131">
      <c r="C131" s="141" t="str">
        <f t="shared" si="1"/>
        <v>12-1899</v>
      </c>
      <c r="D131" s="54" t="str">
        <f t="shared" si="11"/>
        <v/>
      </c>
      <c r="E131" s="54"/>
      <c r="F131" s="54">
        <f t="shared" si="2"/>
        <v>0</v>
      </c>
      <c r="G131" s="54">
        <f t="shared" si="3"/>
        <v>-10</v>
      </c>
    </row>
    <row r="132">
      <c r="C132" s="141" t="str">
        <f t="shared" si="1"/>
        <v>12-1899</v>
      </c>
      <c r="D132" s="54" t="str">
        <f t="shared" si="11"/>
        <v/>
      </c>
      <c r="E132" s="54"/>
      <c r="F132" s="54">
        <f t="shared" si="2"/>
        <v>0</v>
      </c>
      <c r="G132" s="54">
        <f t="shared" si="3"/>
        <v>-10</v>
      </c>
    </row>
    <row r="133">
      <c r="C133" s="141" t="str">
        <f t="shared" si="1"/>
        <v>12-1899</v>
      </c>
      <c r="D133" s="54" t="str">
        <f t="shared" si="11"/>
        <v/>
      </c>
      <c r="E133" s="54"/>
      <c r="F133" s="54">
        <f t="shared" si="2"/>
        <v>0</v>
      </c>
      <c r="G133" s="54">
        <f t="shared" si="3"/>
        <v>-10</v>
      </c>
    </row>
    <row r="134">
      <c r="C134" s="141" t="str">
        <f t="shared" si="1"/>
        <v>12-1899</v>
      </c>
      <c r="D134" s="54" t="str">
        <f t="shared" si="11"/>
        <v/>
      </c>
      <c r="E134" s="54"/>
      <c r="F134" s="54">
        <f t="shared" si="2"/>
        <v>0</v>
      </c>
      <c r="G134" s="54">
        <f t="shared" si="3"/>
        <v>-10</v>
      </c>
    </row>
    <row r="135">
      <c r="C135" s="141" t="str">
        <f t="shared" si="1"/>
        <v>12-1899</v>
      </c>
      <c r="D135" s="54" t="str">
        <f t="shared" si="11"/>
        <v/>
      </c>
      <c r="E135" s="54"/>
      <c r="F135" s="54">
        <f t="shared" si="2"/>
        <v>0</v>
      </c>
      <c r="G135" s="54">
        <f t="shared" si="3"/>
        <v>-10</v>
      </c>
    </row>
    <row r="136">
      <c r="C136" s="141" t="str">
        <f t="shared" si="1"/>
        <v>12-1899</v>
      </c>
      <c r="D136" s="54" t="str">
        <f t="shared" si="11"/>
        <v/>
      </c>
      <c r="E136" s="54"/>
      <c r="F136" s="54">
        <f t="shared" si="2"/>
        <v>0</v>
      </c>
      <c r="G136" s="54">
        <f t="shared" si="3"/>
        <v>-10</v>
      </c>
    </row>
    <row r="137">
      <c r="C137" s="141" t="str">
        <f t="shared" si="1"/>
        <v>12-1899</v>
      </c>
      <c r="D137" s="54" t="str">
        <f t="shared" si="11"/>
        <v/>
      </c>
      <c r="E137" s="54"/>
      <c r="F137" s="54">
        <f t="shared" si="2"/>
        <v>0</v>
      </c>
      <c r="G137" s="54">
        <f t="shared" si="3"/>
        <v>-10</v>
      </c>
    </row>
    <row r="138">
      <c r="C138" s="141" t="str">
        <f t="shared" si="1"/>
        <v>12-1899</v>
      </c>
      <c r="D138" s="54" t="str">
        <f t="shared" si="11"/>
        <v/>
      </c>
      <c r="E138" s="54"/>
      <c r="F138" s="54">
        <f t="shared" si="2"/>
        <v>0</v>
      </c>
      <c r="G138" s="54">
        <f t="shared" si="3"/>
        <v>-10</v>
      </c>
    </row>
    <row r="139">
      <c r="C139" s="141" t="str">
        <f t="shared" si="1"/>
        <v>12-1899</v>
      </c>
      <c r="D139" s="54" t="str">
        <f t="shared" si="11"/>
        <v/>
      </c>
      <c r="E139" s="54"/>
      <c r="F139" s="54">
        <f t="shared" si="2"/>
        <v>0</v>
      </c>
      <c r="G139" s="54">
        <f t="shared" si="3"/>
        <v>-10</v>
      </c>
    </row>
    <row r="140">
      <c r="C140" s="141" t="str">
        <f t="shared" si="1"/>
        <v>12-1899</v>
      </c>
      <c r="D140" s="54" t="str">
        <f t="shared" si="11"/>
        <v/>
      </c>
      <c r="E140" s="54"/>
      <c r="F140" s="54">
        <f t="shared" si="2"/>
        <v>0</v>
      </c>
      <c r="G140" s="54">
        <f t="shared" si="3"/>
        <v>-10</v>
      </c>
    </row>
    <row r="141">
      <c r="C141" s="141" t="str">
        <f t="shared" si="1"/>
        <v>12-1899</v>
      </c>
      <c r="D141" s="54" t="str">
        <f t="shared" si="11"/>
        <v/>
      </c>
      <c r="E141" s="54"/>
      <c r="F141" s="54">
        <f t="shared" si="2"/>
        <v>0</v>
      </c>
      <c r="G141" s="54">
        <f t="shared" si="3"/>
        <v>-10</v>
      </c>
    </row>
    <row r="142">
      <c r="C142" s="141" t="str">
        <f t="shared" si="1"/>
        <v>12-1899</v>
      </c>
      <c r="D142" s="54" t="str">
        <f t="shared" si="11"/>
        <v/>
      </c>
      <c r="E142" s="54"/>
      <c r="F142" s="54">
        <f t="shared" si="2"/>
        <v>0</v>
      </c>
      <c r="G142" s="54">
        <f t="shared" si="3"/>
        <v>-10</v>
      </c>
    </row>
    <row r="143">
      <c r="C143" s="141" t="str">
        <f t="shared" si="1"/>
        <v>12-1899</v>
      </c>
      <c r="D143" s="54" t="str">
        <f t="shared" si="11"/>
        <v/>
      </c>
      <c r="E143" s="54"/>
      <c r="F143" s="54">
        <f t="shared" si="2"/>
        <v>0</v>
      </c>
      <c r="G143" s="54">
        <f t="shared" si="3"/>
        <v>-10</v>
      </c>
    </row>
    <row r="144">
      <c r="C144" s="141" t="str">
        <f t="shared" si="1"/>
        <v>12-1899</v>
      </c>
      <c r="D144" s="54" t="str">
        <f t="shared" si="11"/>
        <v/>
      </c>
      <c r="E144" s="54"/>
      <c r="F144" s="54">
        <f t="shared" si="2"/>
        <v>0</v>
      </c>
      <c r="G144" s="54">
        <f t="shared" si="3"/>
        <v>-10</v>
      </c>
    </row>
    <row r="145">
      <c r="C145" s="141" t="str">
        <f t="shared" si="1"/>
        <v>12-1899</v>
      </c>
      <c r="D145" s="54" t="str">
        <f t="shared" si="11"/>
        <v/>
      </c>
      <c r="E145" s="54"/>
      <c r="F145" s="54">
        <f t="shared" si="2"/>
        <v>0</v>
      </c>
      <c r="G145" s="54">
        <f t="shared" si="3"/>
        <v>-10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145">
        <v>45717.0</v>
      </c>
      <c r="C2" s="141" t="str">
        <f t="shared" ref="C2:C36" si="1">MONTH(B2)&amp; "-" &amp;YEAR(B2)</f>
        <v>3-2025</v>
      </c>
      <c r="D2" s="138">
        <v>0.0</v>
      </c>
      <c r="E2" s="54"/>
      <c r="F2" s="54">
        <f t="shared" ref="F2:F7" si="2">E2-D2</f>
        <v>0</v>
      </c>
      <c r="G2" s="54">
        <f t="shared" ref="G2:G36" si="3">F2-10</f>
        <v>-10</v>
      </c>
    </row>
    <row r="3">
      <c r="B3" s="145">
        <v>45718.0</v>
      </c>
      <c r="C3" s="141" t="str">
        <f t="shared" si="1"/>
        <v>3-2025</v>
      </c>
      <c r="D3" s="54" t="str">
        <f t="shared" ref="D3:D7" si="4">E2</f>
        <v/>
      </c>
      <c r="E3" s="54"/>
      <c r="F3" s="54">
        <f t="shared" si="2"/>
        <v>0</v>
      </c>
      <c r="G3" s="54">
        <f t="shared" si="3"/>
        <v>-10</v>
      </c>
    </row>
    <row r="4">
      <c r="B4" s="140">
        <v>45748.0</v>
      </c>
      <c r="C4" s="141" t="str">
        <f t="shared" si="1"/>
        <v>4-2025</v>
      </c>
      <c r="D4" s="54" t="str">
        <f t="shared" si="4"/>
        <v/>
      </c>
      <c r="E4" s="54"/>
      <c r="F4" s="54">
        <f t="shared" si="2"/>
        <v>0</v>
      </c>
      <c r="G4" s="54">
        <f t="shared" si="3"/>
        <v>-10</v>
      </c>
    </row>
    <row r="5">
      <c r="B5" s="140">
        <v>45749.0</v>
      </c>
      <c r="C5" s="141" t="str">
        <f t="shared" si="1"/>
        <v>4-2025</v>
      </c>
      <c r="D5" s="54" t="str">
        <f t="shared" si="4"/>
        <v/>
      </c>
      <c r="E5" s="54"/>
      <c r="F5" s="54">
        <f t="shared" si="2"/>
        <v>0</v>
      </c>
      <c r="G5" s="54">
        <f t="shared" si="3"/>
        <v>-10</v>
      </c>
    </row>
    <row r="6">
      <c r="B6" s="140">
        <v>45750.0</v>
      </c>
      <c r="C6" s="141" t="str">
        <f t="shared" si="1"/>
        <v>4-2025</v>
      </c>
      <c r="D6" s="54" t="str">
        <f t="shared" si="4"/>
        <v/>
      </c>
      <c r="E6" s="54"/>
      <c r="F6" s="54">
        <f t="shared" si="2"/>
        <v>0</v>
      </c>
      <c r="G6" s="54">
        <f t="shared" si="3"/>
        <v>-10</v>
      </c>
    </row>
    <row r="7">
      <c r="B7" s="140">
        <v>45751.0</v>
      </c>
      <c r="C7" s="141" t="str">
        <f t="shared" si="1"/>
        <v>4-2025</v>
      </c>
      <c r="D7" s="54" t="str">
        <f t="shared" si="4"/>
        <v/>
      </c>
      <c r="E7" s="54"/>
      <c r="F7" s="54">
        <f t="shared" si="2"/>
        <v>0</v>
      </c>
      <c r="G7" s="54">
        <f t="shared" si="3"/>
        <v>-10</v>
      </c>
    </row>
    <row r="8">
      <c r="B8" s="140">
        <v>45752.0</v>
      </c>
      <c r="C8" s="141" t="str">
        <f t="shared" si="1"/>
        <v>4-2025</v>
      </c>
      <c r="D8" s="194">
        <v>0.4444444444444444</v>
      </c>
      <c r="E8" s="194">
        <v>0.75</v>
      </c>
      <c r="F8" s="195">
        <f t="shared" ref="F8:F9" si="5">SUM(D8+E8)</f>
        <v>1.194444444</v>
      </c>
      <c r="G8" s="195">
        <f t="shared" si="3"/>
        <v>-8.805555556</v>
      </c>
    </row>
    <row r="9">
      <c r="B9" s="140">
        <v>45753.0</v>
      </c>
      <c r="C9" s="141" t="str">
        <f t="shared" si="1"/>
        <v>4-2025</v>
      </c>
      <c r="D9" s="194">
        <v>0.2916666666666667</v>
      </c>
      <c r="E9" s="194">
        <v>0.75</v>
      </c>
      <c r="F9" s="195">
        <f t="shared" si="5"/>
        <v>1.041666667</v>
      </c>
      <c r="G9" s="195">
        <f t="shared" si="3"/>
        <v>-8.958333333</v>
      </c>
    </row>
    <row r="10">
      <c r="B10" s="140">
        <v>45754.0</v>
      </c>
      <c r="C10" s="141" t="str">
        <f t="shared" si="1"/>
        <v>4-2025</v>
      </c>
      <c r="D10" s="194">
        <v>0.2916666666666667</v>
      </c>
      <c r="E10" s="194">
        <v>0.5</v>
      </c>
      <c r="F10" s="195">
        <f t="shared" ref="F10:F65" si="6">sum(E10+D10)</f>
        <v>0.7916666667</v>
      </c>
      <c r="G10" s="195">
        <f t="shared" si="3"/>
        <v>-9.208333333</v>
      </c>
    </row>
    <row r="11">
      <c r="B11" s="140">
        <v>45755.0</v>
      </c>
      <c r="C11" s="141" t="str">
        <f t="shared" si="1"/>
        <v>4-2025</v>
      </c>
      <c r="D11" s="194">
        <v>0.2916666666666667</v>
      </c>
      <c r="E11" s="194">
        <v>0.5</v>
      </c>
      <c r="F11" s="195">
        <f t="shared" si="6"/>
        <v>0.7916666667</v>
      </c>
      <c r="G11" s="195">
        <f t="shared" si="3"/>
        <v>-9.208333333</v>
      </c>
    </row>
    <row r="12">
      <c r="B12" s="140">
        <v>45756.0</v>
      </c>
      <c r="C12" s="141" t="str">
        <f t="shared" si="1"/>
        <v>4-2025</v>
      </c>
      <c r="D12" s="54"/>
      <c r="E12" s="54"/>
      <c r="F12" s="54">
        <f t="shared" si="6"/>
        <v>0</v>
      </c>
      <c r="G12" s="54">
        <f t="shared" si="3"/>
        <v>-10</v>
      </c>
    </row>
    <row r="13">
      <c r="B13" s="140">
        <v>45757.0</v>
      </c>
      <c r="C13" s="141" t="str">
        <f t="shared" si="1"/>
        <v>4-2025</v>
      </c>
      <c r="D13" s="194">
        <v>0.5833333333333334</v>
      </c>
      <c r="E13" s="194">
        <v>0.7333333333333333</v>
      </c>
      <c r="F13" s="195">
        <f t="shared" si="6"/>
        <v>1.316666667</v>
      </c>
      <c r="G13" s="195">
        <f t="shared" si="3"/>
        <v>-8.683333333</v>
      </c>
    </row>
    <row r="14">
      <c r="B14" s="140">
        <v>45758.0</v>
      </c>
      <c r="C14" s="141" t="str">
        <f t="shared" si="1"/>
        <v>4-2025</v>
      </c>
      <c r="D14" s="54"/>
      <c r="E14" s="54"/>
      <c r="F14" s="54">
        <f t="shared" si="6"/>
        <v>0</v>
      </c>
      <c r="G14" s="54">
        <f t="shared" si="3"/>
        <v>-10</v>
      </c>
    </row>
    <row r="15">
      <c r="B15" s="140">
        <v>45759.0</v>
      </c>
      <c r="C15" s="141" t="str">
        <f t="shared" si="1"/>
        <v>4-2025</v>
      </c>
      <c r="D15" s="194">
        <v>0.2916666666666667</v>
      </c>
      <c r="E15" s="194">
        <v>0.75</v>
      </c>
      <c r="F15" s="195">
        <f t="shared" si="6"/>
        <v>1.041666667</v>
      </c>
      <c r="G15" s="195">
        <f t="shared" si="3"/>
        <v>-8.958333333</v>
      </c>
    </row>
    <row r="16">
      <c r="B16" s="140">
        <v>45760.0</v>
      </c>
      <c r="C16" s="141" t="str">
        <f t="shared" si="1"/>
        <v>4-2025</v>
      </c>
      <c r="D16" s="194">
        <v>0.2916666666666667</v>
      </c>
      <c r="E16" s="194">
        <v>0.75</v>
      </c>
      <c r="F16" s="195">
        <f t="shared" si="6"/>
        <v>1.041666667</v>
      </c>
      <c r="G16" s="195">
        <f t="shared" si="3"/>
        <v>-8.958333333</v>
      </c>
    </row>
    <row r="17">
      <c r="B17" s="140">
        <v>45761.0</v>
      </c>
      <c r="C17" s="141" t="str">
        <f t="shared" si="1"/>
        <v>4-2025</v>
      </c>
      <c r="D17" s="194">
        <v>0.2916666666666667</v>
      </c>
      <c r="E17" s="194">
        <v>0.75</v>
      </c>
      <c r="F17" s="195">
        <f t="shared" si="6"/>
        <v>1.041666667</v>
      </c>
      <c r="G17" s="195">
        <f t="shared" si="3"/>
        <v>-8.958333333</v>
      </c>
    </row>
    <row r="18">
      <c r="B18" s="140">
        <v>45762.0</v>
      </c>
      <c r="C18" s="141" t="str">
        <f t="shared" si="1"/>
        <v>4-2025</v>
      </c>
      <c r="D18" s="54"/>
      <c r="E18" s="54"/>
      <c r="F18" s="54">
        <f t="shared" si="6"/>
        <v>0</v>
      </c>
      <c r="G18" s="54">
        <f t="shared" si="3"/>
        <v>-10</v>
      </c>
    </row>
    <row r="19">
      <c r="B19" s="140">
        <v>45763.0</v>
      </c>
      <c r="C19" s="141" t="str">
        <f t="shared" si="1"/>
        <v>4-2025</v>
      </c>
      <c r="D19" s="54" t="str">
        <f t="shared" ref="D19:D20" si="7">E18</f>
        <v/>
      </c>
      <c r="E19" s="54"/>
      <c r="F19" s="54">
        <f t="shared" si="6"/>
        <v>0</v>
      </c>
      <c r="G19" s="54">
        <f t="shared" si="3"/>
        <v>-10</v>
      </c>
    </row>
    <row r="20">
      <c r="B20" s="140">
        <v>45764.0</v>
      </c>
      <c r="C20" s="141" t="str">
        <f t="shared" si="1"/>
        <v>4-2025</v>
      </c>
      <c r="D20" s="54" t="str">
        <f t="shared" si="7"/>
        <v/>
      </c>
      <c r="E20" s="54"/>
      <c r="F20" s="54">
        <f t="shared" si="6"/>
        <v>0</v>
      </c>
      <c r="G20" s="54">
        <f t="shared" si="3"/>
        <v>-10</v>
      </c>
    </row>
    <row r="21">
      <c r="B21" s="140">
        <v>45765.0</v>
      </c>
      <c r="C21" s="141" t="str">
        <f t="shared" si="1"/>
        <v>4-2025</v>
      </c>
      <c r="D21" s="194">
        <v>0.2916666666666667</v>
      </c>
      <c r="E21" s="194">
        <v>0.7083333333333334</v>
      </c>
      <c r="F21" s="195">
        <f t="shared" si="6"/>
        <v>1</v>
      </c>
      <c r="G21" s="195">
        <f t="shared" si="3"/>
        <v>-9</v>
      </c>
    </row>
    <row r="22">
      <c r="B22" s="140">
        <v>45766.0</v>
      </c>
      <c r="C22" s="141" t="str">
        <f t="shared" si="1"/>
        <v>4-2025</v>
      </c>
      <c r="D22" s="194">
        <v>0.375</v>
      </c>
      <c r="E22" s="194">
        <v>0.7291666666666666</v>
      </c>
      <c r="F22" s="195">
        <f t="shared" si="6"/>
        <v>1.104166667</v>
      </c>
      <c r="G22" s="195">
        <f t="shared" si="3"/>
        <v>-8.895833333</v>
      </c>
    </row>
    <row r="23">
      <c r="B23" s="140">
        <v>45767.0</v>
      </c>
      <c r="C23" s="141" t="str">
        <f t="shared" si="1"/>
        <v>4-2025</v>
      </c>
      <c r="D23" s="194">
        <v>0.2916666666666667</v>
      </c>
      <c r="E23" s="194">
        <v>0.7291666666666666</v>
      </c>
      <c r="F23" s="195">
        <f t="shared" si="6"/>
        <v>1.020833333</v>
      </c>
      <c r="G23" s="195">
        <f t="shared" si="3"/>
        <v>-8.979166667</v>
      </c>
    </row>
    <row r="24">
      <c r="B24" s="140">
        <v>45768.0</v>
      </c>
      <c r="C24" s="141" t="str">
        <f t="shared" si="1"/>
        <v>4-2025</v>
      </c>
      <c r="D24" s="194">
        <v>0.3125</v>
      </c>
      <c r="E24" s="194">
        <v>0.7291666666666666</v>
      </c>
      <c r="F24" s="195">
        <f t="shared" si="6"/>
        <v>1.041666667</v>
      </c>
      <c r="G24" s="195">
        <f t="shared" si="3"/>
        <v>-8.958333333</v>
      </c>
    </row>
    <row r="25">
      <c r="B25" s="140">
        <v>45769.0</v>
      </c>
      <c r="C25" s="141" t="str">
        <f t="shared" si="1"/>
        <v>4-2025</v>
      </c>
      <c r="D25" s="195">
        <f t="shared" ref="D25:D31" si="8">E24</f>
        <v>0.7291666667</v>
      </c>
      <c r="E25" s="54"/>
      <c r="F25" s="195">
        <f t="shared" si="6"/>
        <v>0.7291666667</v>
      </c>
      <c r="G25" s="195">
        <f t="shared" si="3"/>
        <v>-9.270833333</v>
      </c>
    </row>
    <row r="26">
      <c r="B26" s="140">
        <v>45770.0</v>
      </c>
      <c r="C26" s="141" t="str">
        <f t="shared" si="1"/>
        <v>4-2025</v>
      </c>
      <c r="D26" s="54" t="str">
        <f t="shared" si="8"/>
        <v/>
      </c>
      <c r="E26" s="54"/>
      <c r="F26" s="54">
        <f t="shared" si="6"/>
        <v>0</v>
      </c>
      <c r="G26" s="54">
        <f t="shared" si="3"/>
        <v>-10</v>
      </c>
    </row>
    <row r="27">
      <c r="B27" s="140">
        <v>45771.0</v>
      </c>
      <c r="C27" s="141" t="str">
        <f t="shared" si="1"/>
        <v>4-2025</v>
      </c>
      <c r="D27" s="54" t="str">
        <f t="shared" si="8"/>
        <v/>
      </c>
      <c r="E27" s="54"/>
      <c r="F27" s="54">
        <f t="shared" si="6"/>
        <v>0</v>
      </c>
      <c r="G27" s="54">
        <f t="shared" si="3"/>
        <v>-10</v>
      </c>
    </row>
    <row r="28">
      <c r="B28" s="140">
        <v>45772.0</v>
      </c>
      <c r="C28" s="141" t="str">
        <f t="shared" si="1"/>
        <v>4-2025</v>
      </c>
      <c r="D28" s="54" t="str">
        <f t="shared" si="8"/>
        <v/>
      </c>
      <c r="E28" s="54"/>
      <c r="F28" s="54">
        <f t="shared" si="6"/>
        <v>0</v>
      </c>
      <c r="G28" s="54">
        <f t="shared" si="3"/>
        <v>-10</v>
      </c>
    </row>
    <row r="29">
      <c r="B29" s="140">
        <v>45773.0</v>
      </c>
      <c r="C29" s="141" t="str">
        <f t="shared" si="1"/>
        <v>4-2025</v>
      </c>
      <c r="D29" s="54" t="str">
        <f t="shared" si="8"/>
        <v/>
      </c>
      <c r="E29" s="54"/>
      <c r="F29" s="54">
        <f t="shared" si="6"/>
        <v>0</v>
      </c>
      <c r="G29" s="54">
        <f t="shared" si="3"/>
        <v>-10</v>
      </c>
    </row>
    <row r="30">
      <c r="B30" s="140">
        <v>45774.0</v>
      </c>
      <c r="C30" s="141" t="str">
        <f t="shared" si="1"/>
        <v>4-2025</v>
      </c>
      <c r="D30" s="54" t="str">
        <f t="shared" si="8"/>
        <v/>
      </c>
      <c r="E30" s="54"/>
      <c r="F30" s="54">
        <f t="shared" si="6"/>
        <v>0</v>
      </c>
      <c r="G30" s="54">
        <f t="shared" si="3"/>
        <v>-10</v>
      </c>
    </row>
    <row r="31">
      <c r="B31" s="140">
        <v>45775.0</v>
      </c>
      <c r="C31" s="141" t="str">
        <f t="shared" si="1"/>
        <v>4-2025</v>
      </c>
      <c r="D31" s="54" t="str">
        <f t="shared" si="8"/>
        <v/>
      </c>
      <c r="E31" s="54"/>
      <c r="F31" s="54">
        <f t="shared" si="6"/>
        <v>0</v>
      </c>
      <c r="G31" s="54">
        <f t="shared" si="3"/>
        <v>-10</v>
      </c>
    </row>
    <row r="32">
      <c r="B32" s="140">
        <v>45776.0</v>
      </c>
      <c r="C32" s="141" t="str">
        <f t="shared" si="1"/>
        <v>4-2025</v>
      </c>
      <c r="D32" s="194">
        <v>0.2916666666666667</v>
      </c>
      <c r="E32" s="194">
        <v>0.7291666666666666</v>
      </c>
      <c r="F32" s="195">
        <f t="shared" si="6"/>
        <v>1.020833333</v>
      </c>
      <c r="G32" s="195">
        <f t="shared" si="3"/>
        <v>-8.979166667</v>
      </c>
    </row>
    <row r="33">
      <c r="B33" s="140">
        <v>45777.0</v>
      </c>
      <c r="C33" s="141" t="str">
        <f t="shared" si="1"/>
        <v>4-2025</v>
      </c>
      <c r="D33" s="54"/>
      <c r="E33" s="54"/>
      <c r="F33" s="54">
        <f t="shared" si="6"/>
        <v>0</v>
      </c>
      <c r="G33" s="54">
        <f t="shared" si="3"/>
        <v>-10</v>
      </c>
    </row>
    <row r="34">
      <c r="B34" s="140">
        <v>45778.0</v>
      </c>
      <c r="C34" s="141" t="str">
        <f t="shared" si="1"/>
        <v>5-2025</v>
      </c>
      <c r="D34" s="54" t="str">
        <f t="shared" ref="D34:D47" si="9">E33</f>
        <v/>
      </c>
      <c r="E34" s="54"/>
      <c r="F34" s="54">
        <f t="shared" si="6"/>
        <v>0</v>
      </c>
      <c r="G34" s="54">
        <f t="shared" si="3"/>
        <v>-10</v>
      </c>
    </row>
    <row r="35">
      <c r="B35" s="140">
        <v>45779.0</v>
      </c>
      <c r="C35" s="141" t="str">
        <f t="shared" si="1"/>
        <v>5-2025</v>
      </c>
      <c r="D35" s="54" t="str">
        <f t="shared" si="9"/>
        <v/>
      </c>
      <c r="E35" s="54"/>
      <c r="F35" s="54">
        <f t="shared" si="6"/>
        <v>0</v>
      </c>
      <c r="G35" s="54">
        <f t="shared" si="3"/>
        <v>-10</v>
      </c>
    </row>
    <row r="36">
      <c r="B36" s="140">
        <v>45780.0</v>
      </c>
      <c r="C36" s="141" t="str">
        <f t="shared" si="1"/>
        <v>5-2025</v>
      </c>
      <c r="D36" s="54" t="str">
        <f t="shared" si="9"/>
        <v/>
      </c>
      <c r="E36" s="54"/>
      <c r="F36" s="54">
        <f t="shared" si="6"/>
        <v>0</v>
      </c>
      <c r="G36" s="54">
        <f t="shared" si="3"/>
        <v>-10</v>
      </c>
    </row>
    <row r="37">
      <c r="D37" s="54" t="str">
        <f t="shared" si="9"/>
        <v/>
      </c>
      <c r="E37" s="54"/>
      <c r="F37" s="54">
        <f t="shared" si="6"/>
        <v>0</v>
      </c>
    </row>
    <row r="38">
      <c r="D38" s="54" t="str">
        <f t="shared" si="9"/>
        <v/>
      </c>
      <c r="E38" s="54"/>
      <c r="F38" s="54">
        <f t="shared" si="6"/>
        <v>0</v>
      </c>
    </row>
    <row r="39">
      <c r="D39" s="54" t="str">
        <f t="shared" si="9"/>
        <v/>
      </c>
      <c r="E39" s="54"/>
      <c r="F39" s="54">
        <f t="shared" si="6"/>
        <v>0</v>
      </c>
    </row>
    <row r="40">
      <c r="D40" s="54" t="str">
        <f t="shared" si="9"/>
        <v/>
      </c>
      <c r="E40" s="54"/>
      <c r="F40" s="54">
        <f t="shared" si="6"/>
        <v>0</v>
      </c>
    </row>
    <row r="41">
      <c r="D41" s="54" t="str">
        <f t="shared" si="9"/>
        <v/>
      </c>
      <c r="E41" s="54"/>
      <c r="F41" s="54">
        <f t="shared" si="6"/>
        <v>0</v>
      </c>
    </row>
    <row r="42">
      <c r="D42" s="54" t="str">
        <f t="shared" si="9"/>
        <v/>
      </c>
      <c r="E42" s="54"/>
      <c r="F42" s="54">
        <f t="shared" si="6"/>
        <v>0</v>
      </c>
    </row>
    <row r="43">
      <c r="D43" s="54" t="str">
        <f t="shared" si="9"/>
        <v/>
      </c>
      <c r="E43" s="54"/>
      <c r="F43" s="54">
        <f t="shared" si="6"/>
        <v>0</v>
      </c>
    </row>
    <row r="44">
      <c r="D44" s="54" t="str">
        <f t="shared" si="9"/>
        <v/>
      </c>
      <c r="E44" s="54"/>
      <c r="F44" s="54">
        <f t="shared" si="6"/>
        <v>0</v>
      </c>
    </row>
    <row r="45">
      <c r="D45" s="54" t="str">
        <f t="shared" si="9"/>
        <v/>
      </c>
      <c r="E45" s="54"/>
      <c r="F45" s="54">
        <f t="shared" si="6"/>
        <v>0</v>
      </c>
    </row>
    <row r="46">
      <c r="D46" s="54" t="str">
        <f t="shared" si="9"/>
        <v/>
      </c>
      <c r="E46" s="54"/>
      <c r="F46" s="54">
        <f t="shared" si="6"/>
        <v>0</v>
      </c>
    </row>
    <row r="47">
      <c r="D47" s="54" t="str">
        <f t="shared" si="9"/>
        <v/>
      </c>
      <c r="E47" s="54"/>
      <c r="F47" s="54">
        <f t="shared" si="6"/>
        <v>0</v>
      </c>
    </row>
    <row r="48">
      <c r="F48" s="54">
        <f t="shared" si="6"/>
        <v>0</v>
      </c>
    </row>
    <row r="49">
      <c r="F49" s="54">
        <f t="shared" si="6"/>
        <v>0</v>
      </c>
    </row>
    <row r="50">
      <c r="F50" s="54">
        <f t="shared" si="6"/>
        <v>0</v>
      </c>
    </row>
    <row r="51">
      <c r="F51" s="54">
        <f t="shared" si="6"/>
        <v>0</v>
      </c>
    </row>
    <row r="52">
      <c r="F52" s="54">
        <f t="shared" si="6"/>
        <v>0</v>
      </c>
    </row>
    <row r="53">
      <c r="F53" s="54">
        <f t="shared" si="6"/>
        <v>0</v>
      </c>
    </row>
    <row r="54">
      <c r="F54" s="54">
        <f t="shared" si="6"/>
        <v>0</v>
      </c>
    </row>
    <row r="55">
      <c r="F55" s="54">
        <f t="shared" si="6"/>
        <v>0</v>
      </c>
    </row>
    <row r="56">
      <c r="F56" s="54">
        <f t="shared" si="6"/>
        <v>0</v>
      </c>
    </row>
    <row r="57">
      <c r="F57" s="54">
        <f t="shared" si="6"/>
        <v>0</v>
      </c>
    </row>
    <row r="58">
      <c r="F58" s="54">
        <f t="shared" si="6"/>
        <v>0</v>
      </c>
    </row>
    <row r="59">
      <c r="F59" s="54">
        <f t="shared" si="6"/>
        <v>0</v>
      </c>
    </row>
    <row r="60">
      <c r="F60" s="54">
        <f t="shared" si="6"/>
        <v>0</v>
      </c>
    </row>
    <row r="61">
      <c r="F61" s="54">
        <f t="shared" si="6"/>
        <v>0</v>
      </c>
    </row>
    <row r="62">
      <c r="F62" s="54">
        <f t="shared" si="6"/>
        <v>0</v>
      </c>
    </row>
    <row r="63">
      <c r="F63" s="54">
        <f t="shared" si="6"/>
        <v>0</v>
      </c>
    </row>
    <row r="64">
      <c r="F64" s="54">
        <f t="shared" si="6"/>
        <v>0</v>
      </c>
    </row>
    <row r="65">
      <c r="F65" s="54">
        <f t="shared" si="6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7" width="8.71"/>
    <col customWidth="1" min="8" max="8" width="14.14"/>
    <col customWidth="1" min="9" max="11" width="8.71"/>
  </cols>
  <sheetData>
    <row r="1" ht="14.25" customHeight="1">
      <c r="B1" s="129"/>
    </row>
    <row r="2" ht="14.25" customHeight="1"/>
    <row r="3" ht="14.25" customHeight="1">
      <c r="B3" s="135" t="s">
        <v>108</v>
      </c>
      <c r="C3" s="135" t="s">
        <v>2</v>
      </c>
      <c r="D3" s="135" t="s">
        <v>109</v>
      </c>
      <c r="E3" s="135" t="s">
        <v>110</v>
      </c>
      <c r="F3" s="135" t="s">
        <v>111</v>
      </c>
      <c r="G3" s="135" t="s">
        <v>112</v>
      </c>
      <c r="H3" s="135" t="s">
        <v>1</v>
      </c>
      <c r="I3" s="135" t="s">
        <v>129</v>
      </c>
    </row>
    <row r="4" ht="14.25" hidden="1" customHeight="1">
      <c r="B4" s="133">
        <v>45231.0</v>
      </c>
      <c r="C4" s="134" t="str">
        <f t="shared" ref="C4:C366" si="1">MONTH(B4)&amp; "-" &amp;YEAR(B4)</f>
        <v>11-2023</v>
      </c>
      <c r="D4" s="135">
        <v>7306.9</v>
      </c>
      <c r="E4" s="135">
        <v>7314.3</v>
      </c>
      <c r="F4" s="135">
        <f>'7D1'!$E4-'7D1'!$D4</f>
        <v>7.4</v>
      </c>
      <c r="G4" s="135">
        <f>'7D1'!$F4-10</f>
        <v>-2.6</v>
      </c>
      <c r="H4" s="135" t="s">
        <v>106</v>
      </c>
      <c r="I4" s="135"/>
    </row>
    <row r="5" ht="14.25" hidden="1" customHeight="1">
      <c r="B5" s="133">
        <v>45231.0</v>
      </c>
      <c r="C5" s="134" t="str">
        <f t="shared" si="1"/>
        <v>11-2023</v>
      </c>
      <c r="D5" s="135">
        <f t="shared" ref="D5:D6" si="2">E4</f>
        <v>7314.3</v>
      </c>
      <c r="E5" s="135">
        <v>7315.5</v>
      </c>
      <c r="F5" s="135">
        <f>'7D1'!$E5-'7D1'!$D5</f>
        <v>1.2</v>
      </c>
      <c r="G5" s="135">
        <f>'7D1'!$F5-10</f>
        <v>-8.8</v>
      </c>
      <c r="H5" s="135" t="s">
        <v>106</v>
      </c>
      <c r="I5" s="135">
        <v>180.0</v>
      </c>
    </row>
    <row r="6" ht="14.25" hidden="1" customHeight="1">
      <c r="B6" s="133">
        <v>45232.0</v>
      </c>
      <c r="C6" s="134" t="str">
        <f t="shared" si="1"/>
        <v>11-2023</v>
      </c>
      <c r="D6" s="135">
        <f t="shared" si="2"/>
        <v>7315.5</v>
      </c>
      <c r="E6" s="135">
        <v>7323.7</v>
      </c>
      <c r="F6" s="135">
        <f>'7D1'!$E6-'7D1'!$D6</f>
        <v>8.2</v>
      </c>
      <c r="G6" s="135">
        <f>'7D1'!$F6-10</f>
        <v>-1.8</v>
      </c>
      <c r="H6" s="135" t="s">
        <v>106</v>
      </c>
      <c r="I6" s="135"/>
    </row>
    <row r="7" ht="14.25" hidden="1" customHeight="1">
      <c r="B7" s="133">
        <v>45233.0</v>
      </c>
      <c r="C7" s="134" t="str">
        <f t="shared" si="1"/>
        <v>11-2023</v>
      </c>
      <c r="D7" s="135">
        <v>7323.7</v>
      </c>
      <c r="E7" s="135">
        <v>7333.2</v>
      </c>
      <c r="F7" s="135">
        <f>'7D1'!$E7-'7D1'!$D7</f>
        <v>9.5</v>
      </c>
      <c r="G7" s="135">
        <f>'7D1'!$F7-10</f>
        <v>-0.5</v>
      </c>
      <c r="H7" s="135" t="s">
        <v>106</v>
      </c>
      <c r="I7" s="135">
        <v>100.0</v>
      </c>
    </row>
    <row r="8" ht="14.25" hidden="1" customHeight="1">
      <c r="B8" s="133">
        <v>45234.0</v>
      </c>
      <c r="C8" s="134" t="str">
        <f t="shared" si="1"/>
        <v>11-2023</v>
      </c>
      <c r="D8" s="135">
        <v>7333.2</v>
      </c>
      <c r="E8" s="135">
        <v>7334.0</v>
      </c>
      <c r="F8" s="135">
        <f>'7D1'!$E8-'7D1'!$D8</f>
        <v>0.8</v>
      </c>
      <c r="G8" s="135">
        <f>'7D1'!$F8-10</f>
        <v>-9.2</v>
      </c>
      <c r="H8" s="135" t="s">
        <v>106</v>
      </c>
      <c r="I8" s="135"/>
    </row>
    <row r="9" ht="14.25" hidden="1" customHeight="1">
      <c r="B9" s="133">
        <v>45235.0</v>
      </c>
      <c r="C9" s="134" t="str">
        <f t="shared" si="1"/>
        <v>11-2023</v>
      </c>
      <c r="D9" s="135"/>
      <c r="E9" s="135"/>
      <c r="F9" s="135">
        <f>'7D1'!$E9-'7D1'!$D9</f>
        <v>0</v>
      </c>
      <c r="G9" s="135">
        <f>'7D1'!$F9-10</f>
        <v>-10</v>
      </c>
      <c r="H9" s="135"/>
      <c r="I9" s="135"/>
    </row>
    <row r="10" ht="14.25" hidden="1" customHeight="1">
      <c r="B10" s="133">
        <v>45236.0</v>
      </c>
      <c r="C10" s="134" t="str">
        <f t="shared" si="1"/>
        <v>11-2023</v>
      </c>
      <c r="D10" s="135">
        <v>7334.0</v>
      </c>
      <c r="E10" s="135">
        <v>7347.3</v>
      </c>
      <c r="F10" s="135">
        <f>'7D1'!$E10-'7D1'!$D10</f>
        <v>13.3</v>
      </c>
      <c r="G10" s="135">
        <f>'7D1'!$F10-10</f>
        <v>3.3</v>
      </c>
      <c r="H10" s="135" t="s">
        <v>106</v>
      </c>
      <c r="I10" s="135">
        <v>200.0</v>
      </c>
    </row>
    <row r="11" ht="14.25" hidden="1" customHeight="1">
      <c r="B11" s="133">
        <v>45237.0</v>
      </c>
      <c r="C11" s="134" t="str">
        <f t="shared" si="1"/>
        <v>11-2023</v>
      </c>
      <c r="D11" s="135">
        <f t="shared" ref="D11:D14" si="3">E10</f>
        <v>7347.3</v>
      </c>
      <c r="E11" s="135">
        <v>7353.5</v>
      </c>
      <c r="F11" s="135">
        <f>'7D1'!$E11-'7D1'!$D11</f>
        <v>6.2</v>
      </c>
      <c r="G11" s="135">
        <f>'7D1'!$F11-10</f>
        <v>-3.8</v>
      </c>
      <c r="H11" s="135" t="s">
        <v>106</v>
      </c>
      <c r="I11" s="135"/>
    </row>
    <row r="12" ht="14.25" hidden="1" customHeight="1">
      <c r="B12" s="133">
        <v>45238.0</v>
      </c>
      <c r="C12" s="134" t="str">
        <f t="shared" si="1"/>
        <v>11-2023</v>
      </c>
      <c r="D12" s="135">
        <f t="shared" si="3"/>
        <v>7353.5</v>
      </c>
      <c r="E12" s="135">
        <v>7363.5</v>
      </c>
      <c r="F12" s="135">
        <f>'7D1'!$E12-'7D1'!$D12</f>
        <v>10</v>
      </c>
      <c r="G12" s="135">
        <f>'7D1'!$F12-10</f>
        <v>0</v>
      </c>
      <c r="H12" s="135" t="s">
        <v>54</v>
      </c>
      <c r="I12" s="135"/>
    </row>
    <row r="13" ht="14.25" hidden="1" customHeight="1">
      <c r="B13" s="133">
        <v>45239.0</v>
      </c>
      <c r="C13" s="134" t="str">
        <f t="shared" si="1"/>
        <v>11-2023</v>
      </c>
      <c r="D13" s="135">
        <f t="shared" si="3"/>
        <v>7363.5</v>
      </c>
      <c r="E13" s="135">
        <v>7373.5</v>
      </c>
      <c r="F13" s="135">
        <f>'7D1'!$E13-'7D1'!$D13</f>
        <v>10</v>
      </c>
      <c r="G13" s="135">
        <f>'7D1'!$F13-10</f>
        <v>0</v>
      </c>
      <c r="H13" s="135" t="s">
        <v>54</v>
      </c>
      <c r="I13" s="135"/>
    </row>
    <row r="14" ht="14.25" hidden="1" customHeight="1">
      <c r="B14" s="133">
        <v>45240.0</v>
      </c>
      <c r="C14" s="134" t="str">
        <f t="shared" si="1"/>
        <v>11-2023</v>
      </c>
      <c r="D14" s="135">
        <f t="shared" si="3"/>
        <v>7373.5</v>
      </c>
      <c r="E14" s="135">
        <v>7381.5</v>
      </c>
      <c r="F14" s="135">
        <f>'7D1'!$E14-'7D1'!$D14</f>
        <v>8</v>
      </c>
      <c r="G14" s="135">
        <f>'7D1'!$F14-10</f>
        <v>-2</v>
      </c>
      <c r="H14" s="135" t="s">
        <v>54</v>
      </c>
      <c r="I14" s="135">
        <v>67.0</v>
      </c>
    </row>
    <row r="15" ht="14.25" hidden="1" customHeight="1">
      <c r="B15" s="133">
        <v>45241.0</v>
      </c>
      <c r="C15" s="134" t="str">
        <f t="shared" si="1"/>
        <v>11-2023</v>
      </c>
      <c r="D15" s="135">
        <v>7381.5</v>
      </c>
      <c r="E15" s="135">
        <v>7385.0</v>
      </c>
      <c r="F15" s="135">
        <f>'7D1'!$E15-'7D1'!$D15</f>
        <v>3.5</v>
      </c>
      <c r="G15" s="135">
        <f>'7D1'!$F15-10</f>
        <v>-6.5</v>
      </c>
      <c r="H15" s="135"/>
      <c r="I15" s="135"/>
    </row>
    <row r="16" ht="14.25" hidden="1" customHeight="1">
      <c r="B16" s="133">
        <v>45242.0</v>
      </c>
      <c r="C16" s="134" t="str">
        <f t="shared" si="1"/>
        <v>11-2023</v>
      </c>
      <c r="D16" s="135"/>
      <c r="E16" s="135"/>
      <c r="F16" s="135">
        <f>'7D1'!$E16-'7D1'!$D16</f>
        <v>0</v>
      </c>
      <c r="G16" s="135">
        <f>'7D1'!$F16-10</f>
        <v>-10</v>
      </c>
      <c r="H16" s="135"/>
      <c r="I16" s="135"/>
    </row>
    <row r="17" ht="14.25" hidden="1" customHeight="1">
      <c r="B17" s="133">
        <v>45243.0</v>
      </c>
      <c r="C17" s="134" t="str">
        <f t="shared" si="1"/>
        <v>11-2023</v>
      </c>
      <c r="D17" s="135" t="str">
        <f>E16</f>
        <v/>
      </c>
      <c r="E17" s="135"/>
      <c r="F17" s="135">
        <f>'7D1'!$E17-'7D1'!$D17</f>
        <v>0</v>
      </c>
      <c r="G17" s="135">
        <f>'7D1'!$F17-10</f>
        <v>-10</v>
      </c>
      <c r="H17" s="135"/>
      <c r="I17" s="135"/>
    </row>
    <row r="18" ht="14.25" hidden="1" customHeight="1">
      <c r="B18" s="133">
        <v>45244.0</v>
      </c>
      <c r="C18" s="134" t="str">
        <f t="shared" si="1"/>
        <v>11-2023</v>
      </c>
      <c r="D18" s="135">
        <v>7385.9</v>
      </c>
      <c r="E18" s="135">
        <v>7392.4</v>
      </c>
      <c r="F18" s="135">
        <f>'7D1'!$E18-'7D1'!$D18</f>
        <v>6.5</v>
      </c>
      <c r="G18" s="135">
        <f>'7D1'!$F18-10</f>
        <v>-3.5</v>
      </c>
      <c r="H18" s="135" t="s">
        <v>54</v>
      </c>
      <c r="I18" s="135"/>
    </row>
    <row r="19" ht="14.25" hidden="1" customHeight="1">
      <c r="B19" s="133">
        <v>45245.0</v>
      </c>
      <c r="C19" s="134" t="str">
        <f t="shared" si="1"/>
        <v>11-2023</v>
      </c>
      <c r="D19" s="135">
        <f t="shared" ref="D19:D22" si="4">E18</f>
        <v>7392.4</v>
      </c>
      <c r="E19" s="135">
        <v>7402.4</v>
      </c>
      <c r="F19" s="135">
        <f>'7D1'!$E19-'7D1'!$D19</f>
        <v>10</v>
      </c>
      <c r="G19" s="135">
        <f>'7D1'!$F19-10</f>
        <v>0</v>
      </c>
      <c r="H19" s="135" t="s">
        <v>54</v>
      </c>
      <c r="I19" s="135">
        <v>220.0</v>
      </c>
    </row>
    <row r="20" ht="14.25" hidden="1" customHeight="1">
      <c r="B20" s="133">
        <v>45246.0</v>
      </c>
      <c r="C20" s="134" t="str">
        <f t="shared" si="1"/>
        <v>11-2023</v>
      </c>
      <c r="D20" s="135">
        <f t="shared" si="4"/>
        <v>7402.4</v>
      </c>
      <c r="E20" s="135">
        <v>7411.4</v>
      </c>
      <c r="F20" s="135">
        <f>'7D1'!$E20-'7D1'!$D20</f>
        <v>9</v>
      </c>
      <c r="G20" s="135">
        <f>'7D1'!$F20-10</f>
        <v>-1</v>
      </c>
      <c r="H20" s="135" t="s">
        <v>54</v>
      </c>
      <c r="I20" s="135"/>
    </row>
    <row r="21" ht="14.25" hidden="1" customHeight="1">
      <c r="B21" s="133">
        <v>45247.0</v>
      </c>
      <c r="C21" s="134" t="str">
        <f t="shared" si="1"/>
        <v>11-2023</v>
      </c>
      <c r="D21" s="135">
        <f t="shared" si="4"/>
        <v>7411.4</v>
      </c>
      <c r="E21" s="135">
        <v>7421.6</v>
      </c>
      <c r="F21" s="135">
        <f>'7D1'!$E21-'7D1'!$D21</f>
        <v>10.2</v>
      </c>
      <c r="G21" s="135">
        <f>'7D1'!$F21-10</f>
        <v>0.2</v>
      </c>
      <c r="H21" s="135" t="s">
        <v>54</v>
      </c>
      <c r="I21" s="135"/>
    </row>
    <row r="22" ht="14.25" hidden="1" customHeight="1">
      <c r="B22" s="133">
        <v>45248.0</v>
      </c>
      <c r="C22" s="134" t="str">
        <f t="shared" si="1"/>
        <v>11-2023</v>
      </c>
      <c r="D22" s="135">
        <f t="shared" si="4"/>
        <v>7421.6</v>
      </c>
      <c r="E22" s="135">
        <v>7431.3</v>
      </c>
      <c r="F22" s="135">
        <f>'7D1'!$E22-'7D1'!$D22</f>
        <v>9.7</v>
      </c>
      <c r="G22" s="135">
        <f>'7D1'!$F22-10</f>
        <v>-0.3</v>
      </c>
      <c r="H22" s="135" t="s">
        <v>54</v>
      </c>
      <c r="I22" s="135">
        <v>220.0</v>
      </c>
    </row>
    <row r="23" ht="14.25" hidden="1" customHeight="1">
      <c r="B23" s="133">
        <v>45249.0</v>
      </c>
      <c r="C23" s="134" t="str">
        <f t="shared" si="1"/>
        <v>11-2023</v>
      </c>
      <c r="D23" s="135"/>
      <c r="E23" s="135"/>
      <c r="F23" s="135">
        <f>'7D1'!$E23-'7D1'!$D23</f>
        <v>0</v>
      </c>
      <c r="G23" s="135">
        <f>'7D1'!$F23-10</f>
        <v>-10</v>
      </c>
      <c r="H23" s="135"/>
      <c r="I23" s="135"/>
    </row>
    <row r="24" ht="14.25" hidden="1" customHeight="1">
      <c r="B24" s="133">
        <v>45250.0</v>
      </c>
      <c r="C24" s="134" t="str">
        <f t="shared" si="1"/>
        <v>11-2023</v>
      </c>
      <c r="D24" s="135" t="str">
        <f>E23</f>
        <v/>
      </c>
      <c r="E24" s="135"/>
      <c r="F24" s="135">
        <f>'7D1'!$E24-'7D1'!$D24</f>
        <v>0</v>
      </c>
      <c r="G24" s="135">
        <f>'7D1'!$F24-10</f>
        <v>-10</v>
      </c>
      <c r="H24" s="135"/>
      <c r="I24" s="135"/>
    </row>
    <row r="25" ht="14.25" hidden="1" customHeight="1">
      <c r="B25" s="133">
        <v>45251.0</v>
      </c>
      <c r="C25" s="134" t="str">
        <f t="shared" si="1"/>
        <v>11-2023</v>
      </c>
      <c r="D25" s="135">
        <v>7431.3</v>
      </c>
      <c r="E25" s="135">
        <v>7433.3</v>
      </c>
      <c r="F25" s="135">
        <f>'7D1'!$E25-'7D1'!$D25</f>
        <v>2</v>
      </c>
      <c r="G25" s="135">
        <f>'7D1'!$F25-10</f>
        <v>-8</v>
      </c>
      <c r="H25" s="135" t="s">
        <v>54</v>
      </c>
      <c r="I25" s="135"/>
    </row>
    <row r="26" ht="14.25" hidden="1" customHeight="1">
      <c r="B26" s="133">
        <v>45252.0</v>
      </c>
      <c r="C26" s="134" t="str">
        <f t="shared" si="1"/>
        <v>11-2023</v>
      </c>
      <c r="D26" s="135"/>
      <c r="E26" s="135"/>
      <c r="F26" s="135">
        <f>'7D1'!$E26-'7D1'!$D26</f>
        <v>0</v>
      </c>
      <c r="G26" s="135">
        <f>'7D1'!$F26-10</f>
        <v>-10</v>
      </c>
      <c r="H26" s="135"/>
      <c r="I26" s="135"/>
    </row>
    <row r="27" ht="14.25" hidden="1" customHeight="1">
      <c r="B27" s="133">
        <v>45253.0</v>
      </c>
      <c r="C27" s="134" t="str">
        <f t="shared" si="1"/>
        <v>11-2023</v>
      </c>
      <c r="D27" s="135" t="str">
        <f>E26</f>
        <v/>
      </c>
      <c r="E27" s="135"/>
      <c r="F27" s="135">
        <f>'7D1'!$E27-'7D1'!$D27</f>
        <v>0</v>
      </c>
      <c r="G27" s="135">
        <f>'7D1'!$F27-10</f>
        <v>-10</v>
      </c>
      <c r="H27" s="135"/>
      <c r="I27" s="135"/>
    </row>
    <row r="28" ht="14.25" hidden="1" customHeight="1">
      <c r="B28" s="133">
        <v>45254.0</v>
      </c>
      <c r="C28" s="134" t="str">
        <f t="shared" si="1"/>
        <v>11-2023</v>
      </c>
      <c r="D28" s="135">
        <v>7433.3</v>
      </c>
      <c r="E28" s="135">
        <v>7439.4</v>
      </c>
      <c r="F28" s="135">
        <f>'7D1'!$E28-'7D1'!$D28</f>
        <v>6.1</v>
      </c>
      <c r="G28" s="135">
        <f>'7D1'!$F28-10</f>
        <v>-3.9</v>
      </c>
      <c r="H28" s="135" t="s">
        <v>54</v>
      </c>
      <c r="I28" s="135"/>
    </row>
    <row r="29" ht="14.25" hidden="1" customHeight="1">
      <c r="B29" s="133">
        <v>45255.0</v>
      </c>
      <c r="C29" s="134" t="str">
        <f t="shared" si="1"/>
        <v>11-2023</v>
      </c>
      <c r="D29" s="135"/>
      <c r="E29" s="135"/>
      <c r="F29" s="135">
        <f>'7D1'!$E29-'7D1'!$D29</f>
        <v>0</v>
      </c>
      <c r="G29" s="135">
        <f>'7D1'!$F29-10</f>
        <v>-10</v>
      </c>
      <c r="H29" s="135"/>
      <c r="I29" s="135"/>
    </row>
    <row r="30" ht="14.25" hidden="1" customHeight="1">
      <c r="B30" s="133">
        <v>45256.0</v>
      </c>
      <c r="C30" s="134" t="str">
        <f t="shared" si="1"/>
        <v>11-2023</v>
      </c>
      <c r="D30" s="135" t="str">
        <f>E29</f>
        <v/>
      </c>
      <c r="E30" s="135"/>
      <c r="F30" s="135">
        <f>'7D1'!$E30-'7D1'!$D30</f>
        <v>0</v>
      </c>
      <c r="G30" s="135">
        <f>'7D1'!$F30-10</f>
        <v>-10</v>
      </c>
      <c r="H30" s="135"/>
      <c r="I30" s="135"/>
    </row>
    <row r="31" ht="14.25" hidden="1" customHeight="1">
      <c r="B31" s="133">
        <v>45257.0</v>
      </c>
      <c r="C31" s="134" t="str">
        <f t="shared" si="1"/>
        <v>11-2023</v>
      </c>
      <c r="D31" s="135">
        <v>7439.4</v>
      </c>
      <c r="E31" s="135">
        <v>7449.4</v>
      </c>
      <c r="F31" s="135">
        <f>'7D1'!$E31-'7D1'!$D31</f>
        <v>10</v>
      </c>
      <c r="G31" s="135">
        <f>'7D1'!$F31-10</f>
        <v>0</v>
      </c>
      <c r="H31" s="135" t="s">
        <v>54</v>
      </c>
      <c r="I31" s="135">
        <v>215.0</v>
      </c>
    </row>
    <row r="32" ht="14.25" hidden="1" customHeight="1">
      <c r="B32" s="133">
        <v>45258.0</v>
      </c>
      <c r="C32" s="134" t="str">
        <f t="shared" si="1"/>
        <v>11-2023</v>
      </c>
      <c r="D32" s="135">
        <f>E31</f>
        <v>7449.4</v>
      </c>
      <c r="E32" s="135">
        <v>7452.4</v>
      </c>
      <c r="F32" s="135">
        <f>'7D1'!$E32-'7D1'!$D32</f>
        <v>3</v>
      </c>
      <c r="G32" s="135">
        <f>'7D1'!$F32-10</f>
        <v>-7</v>
      </c>
      <c r="H32" s="135" t="s">
        <v>54</v>
      </c>
      <c r="I32" s="135"/>
    </row>
    <row r="33" ht="14.25" hidden="1" customHeight="1">
      <c r="B33" s="133">
        <v>45259.0</v>
      </c>
      <c r="C33" s="134" t="str">
        <f t="shared" si="1"/>
        <v>11-2023</v>
      </c>
      <c r="D33" s="135">
        <v>2207.2</v>
      </c>
      <c r="E33" s="135">
        <v>2216.6</v>
      </c>
      <c r="F33" s="135">
        <f>'7D1'!$E33-'7D1'!$D33</f>
        <v>9.4</v>
      </c>
      <c r="G33" s="135">
        <f>'7D1'!$F33-10</f>
        <v>-0.6</v>
      </c>
      <c r="H33" s="135" t="s">
        <v>54</v>
      </c>
      <c r="I33" s="135"/>
    </row>
    <row r="34" ht="14.25" hidden="1" customHeight="1">
      <c r="B34" s="133">
        <v>45260.0</v>
      </c>
      <c r="C34" s="134" t="str">
        <f t="shared" si="1"/>
        <v>11-2023</v>
      </c>
      <c r="D34" s="135">
        <f>E33</f>
        <v>2216.6</v>
      </c>
      <c r="E34" s="135">
        <v>2226.3</v>
      </c>
      <c r="F34" s="135">
        <f>'7D1'!$E34-'7D1'!$D34</f>
        <v>9.7</v>
      </c>
      <c r="G34" s="135">
        <f>'7D1'!$F34-10</f>
        <v>-0.3</v>
      </c>
      <c r="H34" s="135" t="s">
        <v>54</v>
      </c>
      <c r="I34" s="135"/>
    </row>
    <row r="35" ht="14.25" customHeight="1">
      <c r="B35" s="160">
        <v>45261.0</v>
      </c>
      <c r="C35" s="139" t="str">
        <f t="shared" si="1"/>
        <v>12-2023</v>
      </c>
      <c r="D35" s="54">
        <v>7452.4</v>
      </c>
      <c r="E35" s="54">
        <v>7463.4</v>
      </c>
      <c r="F35" s="54">
        <f>'7D1'!$E35-'7D1'!$D35</f>
        <v>11</v>
      </c>
      <c r="G35" s="54">
        <f>'7D1'!$F35-10</f>
        <v>1</v>
      </c>
      <c r="H35" s="54" t="s">
        <v>54</v>
      </c>
      <c r="I35" s="54"/>
    </row>
    <row r="36" ht="14.25" customHeight="1">
      <c r="B36" s="160">
        <v>45262.0</v>
      </c>
      <c r="C36" s="139" t="str">
        <f t="shared" si="1"/>
        <v>12-2023</v>
      </c>
      <c r="D36" s="54">
        <f>E35</f>
        <v>7463.4</v>
      </c>
      <c r="E36" s="54">
        <v>7473.4</v>
      </c>
      <c r="F36" s="54">
        <f>'7D1'!$E36-'7D1'!$D36</f>
        <v>10</v>
      </c>
      <c r="G36" s="54">
        <f>'7D1'!$F36-10</f>
        <v>0</v>
      </c>
      <c r="H36" s="54" t="s">
        <v>54</v>
      </c>
      <c r="I36" s="54">
        <v>120.0</v>
      </c>
    </row>
    <row r="37" ht="14.25" customHeight="1">
      <c r="B37" s="160">
        <v>45263.0</v>
      </c>
      <c r="C37" s="139" t="str">
        <f t="shared" si="1"/>
        <v>12-2023</v>
      </c>
      <c r="D37" s="54"/>
      <c r="E37" s="54"/>
      <c r="F37" s="54">
        <f>'7D1'!$E37-'7D1'!$D37</f>
        <v>0</v>
      </c>
      <c r="G37" s="54">
        <f>'7D1'!$F37-10</f>
        <v>-10</v>
      </c>
      <c r="H37" s="54"/>
      <c r="I37" s="54"/>
    </row>
    <row r="38" ht="14.25" customHeight="1">
      <c r="B38" s="160">
        <v>45264.0</v>
      </c>
      <c r="C38" s="139" t="str">
        <f t="shared" si="1"/>
        <v>12-2023</v>
      </c>
      <c r="D38" s="54">
        <v>2226.3</v>
      </c>
      <c r="E38" s="54">
        <v>2235.0</v>
      </c>
      <c r="F38" s="54">
        <f>'7D1'!$E38-'7D1'!$D38</f>
        <v>8.7</v>
      </c>
      <c r="G38" s="54">
        <f>'7D1'!$F38-10</f>
        <v>-1.3</v>
      </c>
      <c r="H38" s="54" t="s">
        <v>54</v>
      </c>
      <c r="I38" s="54">
        <v>150.0</v>
      </c>
    </row>
    <row r="39" ht="14.25" customHeight="1">
      <c r="B39" s="160">
        <v>45265.0</v>
      </c>
      <c r="C39" s="139" t="str">
        <f t="shared" si="1"/>
        <v>12-2023</v>
      </c>
      <c r="D39" s="54">
        <f>E38</f>
        <v>2235</v>
      </c>
      <c r="E39" s="54">
        <v>2245.2</v>
      </c>
      <c r="F39" s="54">
        <f>'7D1'!$E39-'7D1'!$D39</f>
        <v>10.2</v>
      </c>
      <c r="G39" s="54">
        <f>'7D1'!$F39-10</f>
        <v>0.2</v>
      </c>
      <c r="H39" s="54" t="s">
        <v>54</v>
      </c>
      <c r="I39" s="54"/>
    </row>
    <row r="40" ht="14.25" customHeight="1">
      <c r="B40" s="160">
        <v>45266.0</v>
      </c>
      <c r="C40" s="139" t="str">
        <f t="shared" si="1"/>
        <v>12-2023</v>
      </c>
      <c r="D40" s="54"/>
      <c r="E40" s="54"/>
      <c r="F40" s="54">
        <f>'7D1'!$E40-'7D1'!$D40</f>
        <v>0</v>
      </c>
      <c r="G40" s="54">
        <f>'7D1'!$F40-10</f>
        <v>-10</v>
      </c>
      <c r="H40" s="54"/>
      <c r="I40" s="54"/>
    </row>
    <row r="41" ht="14.25" customHeight="1">
      <c r="B41" s="160">
        <v>45267.0</v>
      </c>
      <c r="C41" s="139" t="str">
        <f t="shared" si="1"/>
        <v>12-2023</v>
      </c>
      <c r="D41" s="54" t="str">
        <f t="shared" ref="D41:D44" si="5">E40</f>
        <v/>
      </c>
      <c r="E41" s="54"/>
      <c r="F41" s="54">
        <f>'7D1'!$E41-'7D1'!$D41</f>
        <v>0</v>
      </c>
      <c r="G41" s="54">
        <f>'7D1'!$F41-10</f>
        <v>-10</v>
      </c>
      <c r="H41" s="54"/>
      <c r="I41" s="54"/>
    </row>
    <row r="42" ht="14.25" customHeight="1">
      <c r="B42" s="160">
        <v>45268.0</v>
      </c>
      <c r="C42" s="139" t="str">
        <f t="shared" si="1"/>
        <v>12-2023</v>
      </c>
      <c r="D42" s="54" t="str">
        <f t="shared" si="5"/>
        <v/>
      </c>
      <c r="E42" s="54"/>
      <c r="F42" s="54">
        <f>'7D1'!$E42-'7D1'!$D42</f>
        <v>0</v>
      </c>
      <c r="G42" s="54">
        <f>'7D1'!$F42-10</f>
        <v>-10</v>
      </c>
      <c r="H42" s="54"/>
      <c r="I42" s="54"/>
    </row>
    <row r="43" ht="14.25" customHeight="1">
      <c r="B43" s="160">
        <v>45269.0</v>
      </c>
      <c r="C43" s="139" t="str">
        <f t="shared" si="1"/>
        <v>12-2023</v>
      </c>
      <c r="D43" s="54" t="str">
        <f t="shared" si="5"/>
        <v/>
      </c>
      <c r="E43" s="54"/>
      <c r="F43" s="54">
        <f>'7D1'!$E43-'7D1'!$D43</f>
        <v>0</v>
      </c>
      <c r="G43" s="54">
        <f>'7D1'!$F43-10</f>
        <v>-10</v>
      </c>
      <c r="H43" s="54"/>
      <c r="I43" s="54"/>
    </row>
    <row r="44" ht="14.25" customHeight="1">
      <c r="B44" s="160">
        <v>45270.0</v>
      </c>
      <c r="C44" s="139" t="str">
        <f t="shared" si="1"/>
        <v>12-2023</v>
      </c>
      <c r="D44" s="54" t="str">
        <f t="shared" si="5"/>
        <v/>
      </c>
      <c r="E44" s="54"/>
      <c r="F44" s="54">
        <f>'7D1'!$E44-'7D1'!$D44</f>
        <v>0</v>
      </c>
      <c r="G44" s="54">
        <f>'7D1'!$F44-10</f>
        <v>-10</v>
      </c>
      <c r="H44" s="54"/>
      <c r="I44" s="54"/>
    </row>
    <row r="45" ht="14.25" customHeight="1">
      <c r="B45" s="160">
        <v>45271.0</v>
      </c>
      <c r="C45" s="139" t="str">
        <f t="shared" si="1"/>
        <v>12-2023</v>
      </c>
      <c r="D45" s="54">
        <v>2245.2</v>
      </c>
      <c r="E45" s="54">
        <v>2251.1</v>
      </c>
      <c r="F45" s="54">
        <f>'7D1'!$E45-'7D1'!$D45</f>
        <v>5.9</v>
      </c>
      <c r="G45" s="54">
        <f>'7D1'!$F45-10</f>
        <v>-4.1</v>
      </c>
      <c r="H45" s="138" t="s">
        <v>57</v>
      </c>
      <c r="I45" s="54"/>
    </row>
    <row r="46" ht="14.25" customHeight="1">
      <c r="B46" s="160">
        <v>45272.0</v>
      </c>
      <c r="C46" s="139" t="str">
        <f t="shared" si="1"/>
        <v>12-2023</v>
      </c>
      <c r="D46" s="54">
        <v>2251.1</v>
      </c>
      <c r="E46" s="54">
        <v>2260.5</v>
      </c>
      <c r="F46" s="54">
        <f>'7D1'!$E46-'7D1'!$D46</f>
        <v>9.4</v>
      </c>
      <c r="G46" s="54">
        <f>'7D1'!$F46-10</f>
        <v>-0.6</v>
      </c>
      <c r="H46" s="138" t="s">
        <v>57</v>
      </c>
      <c r="I46" s="54">
        <v>215.0</v>
      </c>
    </row>
    <row r="47" ht="14.25" customHeight="1">
      <c r="B47" s="160">
        <v>45273.0</v>
      </c>
      <c r="C47" s="139" t="str">
        <f t="shared" si="1"/>
        <v>12-2023</v>
      </c>
      <c r="D47" s="54">
        <f>E46</f>
        <v>2260.5</v>
      </c>
      <c r="E47" s="54">
        <v>2263.8</v>
      </c>
      <c r="F47" s="54">
        <f>'7D1'!$E47-'7D1'!$D47</f>
        <v>3.3</v>
      </c>
      <c r="G47" s="54">
        <f>'7D1'!$F47-10</f>
        <v>-6.7</v>
      </c>
      <c r="H47" s="138" t="s">
        <v>57</v>
      </c>
      <c r="I47" s="54"/>
    </row>
    <row r="48" ht="14.25" customHeight="1">
      <c r="B48" s="160">
        <v>45274.0</v>
      </c>
      <c r="C48" s="139" t="str">
        <f t="shared" si="1"/>
        <v>12-2023</v>
      </c>
      <c r="D48" s="54"/>
      <c r="E48" s="54"/>
      <c r="F48" s="54">
        <f>'7D1'!$E48-'7D1'!$D48</f>
        <v>0</v>
      </c>
      <c r="G48" s="54">
        <f>'7D1'!$F48-10</f>
        <v>-10</v>
      </c>
      <c r="H48" s="54"/>
      <c r="I48" s="54"/>
    </row>
    <row r="49" ht="14.25" customHeight="1">
      <c r="B49" s="160">
        <v>45275.0</v>
      </c>
      <c r="C49" s="139" t="str">
        <f t="shared" si="1"/>
        <v>12-2023</v>
      </c>
      <c r="D49" s="54">
        <v>2263.8</v>
      </c>
      <c r="E49" s="54">
        <v>2273.8</v>
      </c>
      <c r="F49" s="54">
        <f>'7D1'!$E49-'7D1'!$D49</f>
        <v>10</v>
      </c>
      <c r="G49" s="54">
        <f>'7D1'!$F49-10</f>
        <v>0</v>
      </c>
      <c r="H49" s="138" t="s">
        <v>57</v>
      </c>
      <c r="I49" s="54"/>
    </row>
    <row r="50" ht="14.25" customHeight="1">
      <c r="B50" s="160">
        <v>45276.0</v>
      </c>
      <c r="C50" s="139" t="str">
        <f t="shared" si="1"/>
        <v>12-2023</v>
      </c>
      <c r="D50" s="54">
        <f>E49</f>
        <v>2273.8</v>
      </c>
      <c r="E50" s="54">
        <v>2277.6</v>
      </c>
      <c r="F50" s="54">
        <f>'7D1'!$E50-'7D1'!$D50</f>
        <v>3.8</v>
      </c>
      <c r="G50" s="54">
        <f>'7D1'!$F50-10</f>
        <v>-6.2</v>
      </c>
      <c r="H50" s="54" t="s">
        <v>54</v>
      </c>
      <c r="I50" s="54"/>
    </row>
    <row r="51" ht="14.25" customHeight="1">
      <c r="B51" s="160">
        <v>45277.0</v>
      </c>
      <c r="C51" s="139" t="str">
        <f t="shared" si="1"/>
        <v>12-2023</v>
      </c>
      <c r="D51" s="54"/>
      <c r="E51" s="54"/>
      <c r="F51" s="54">
        <f>'7D1'!$E51-'7D1'!$D51</f>
        <v>0</v>
      </c>
      <c r="G51" s="54">
        <f>'7D1'!$F51-10</f>
        <v>-10</v>
      </c>
      <c r="H51" s="54"/>
      <c r="I51" s="54"/>
    </row>
    <row r="52" ht="14.25" customHeight="1">
      <c r="B52" s="160">
        <v>45278.0</v>
      </c>
      <c r="C52" s="139" t="str">
        <f t="shared" si="1"/>
        <v>12-2023</v>
      </c>
      <c r="D52" s="54">
        <v>2277.6</v>
      </c>
      <c r="E52" s="54">
        <v>2287.0</v>
      </c>
      <c r="F52" s="54">
        <f>'7D1'!$E52-'7D1'!$D52</f>
        <v>9.4</v>
      </c>
      <c r="G52" s="54">
        <f>'7D1'!$F52-10</f>
        <v>-0.6</v>
      </c>
      <c r="H52" s="138" t="s">
        <v>57</v>
      </c>
      <c r="I52" s="54">
        <v>150.0</v>
      </c>
    </row>
    <row r="53" ht="14.25" customHeight="1">
      <c r="B53" s="160">
        <v>45279.0</v>
      </c>
      <c r="C53" s="139" t="str">
        <f t="shared" si="1"/>
        <v>12-2023</v>
      </c>
      <c r="D53" s="54">
        <f t="shared" ref="D53:D56" si="6">E52</f>
        <v>2287</v>
      </c>
      <c r="E53" s="54">
        <v>2296.6</v>
      </c>
      <c r="F53" s="54">
        <f>'7D1'!$E53-'7D1'!$D53</f>
        <v>9.6</v>
      </c>
      <c r="G53" s="54">
        <f>'7D1'!$F53-10</f>
        <v>-0.4</v>
      </c>
      <c r="H53" s="138" t="s">
        <v>57</v>
      </c>
      <c r="I53" s="54"/>
    </row>
    <row r="54" ht="14.25" customHeight="1">
      <c r="B54" s="160">
        <v>45280.0</v>
      </c>
      <c r="C54" s="139" t="str">
        <f t="shared" si="1"/>
        <v>12-2023</v>
      </c>
      <c r="D54" s="54">
        <f t="shared" si="6"/>
        <v>2296.6</v>
      </c>
      <c r="E54" s="54">
        <v>2306.6</v>
      </c>
      <c r="F54" s="54">
        <f>'7D1'!$E54-'7D1'!$D54</f>
        <v>10</v>
      </c>
      <c r="G54" s="54">
        <f>'7D1'!$F54-10</f>
        <v>0</v>
      </c>
      <c r="H54" s="138" t="s">
        <v>57</v>
      </c>
      <c r="I54" s="54">
        <v>220.0</v>
      </c>
    </row>
    <row r="55" ht="14.25" customHeight="1">
      <c r="B55" s="160">
        <v>45281.0</v>
      </c>
      <c r="C55" s="139" t="str">
        <f t="shared" si="1"/>
        <v>12-2023</v>
      </c>
      <c r="D55" s="54">
        <f t="shared" si="6"/>
        <v>2306.6</v>
      </c>
      <c r="E55" s="54">
        <v>2316.6</v>
      </c>
      <c r="F55" s="54">
        <f>'7D1'!$E55-'7D1'!$D55</f>
        <v>10</v>
      </c>
      <c r="G55" s="54">
        <f>'7D1'!$F55-10</f>
        <v>0</v>
      </c>
      <c r="H55" s="138" t="s">
        <v>57</v>
      </c>
      <c r="I55" s="54"/>
    </row>
    <row r="56" ht="14.25" customHeight="1">
      <c r="B56" s="160">
        <v>45282.0</v>
      </c>
      <c r="C56" s="139" t="str">
        <f t="shared" si="1"/>
        <v>12-2023</v>
      </c>
      <c r="D56" s="54">
        <f t="shared" si="6"/>
        <v>2316.6</v>
      </c>
      <c r="E56" s="54">
        <v>2327.6</v>
      </c>
      <c r="F56" s="54">
        <f>'7D1'!$E56-'7D1'!$D56</f>
        <v>11</v>
      </c>
      <c r="G56" s="54">
        <f>'7D1'!$F56-10</f>
        <v>1</v>
      </c>
      <c r="H56" s="138" t="s">
        <v>57</v>
      </c>
      <c r="I56" s="54"/>
    </row>
    <row r="57" ht="14.25" customHeight="1">
      <c r="B57" s="160">
        <v>45283.0</v>
      </c>
      <c r="C57" s="139" t="str">
        <f t="shared" si="1"/>
        <v>12-2023</v>
      </c>
      <c r="D57" s="54"/>
      <c r="E57" s="54"/>
      <c r="F57" s="54">
        <f>'7D1'!$E57-'7D1'!$D57</f>
        <v>0</v>
      </c>
      <c r="G57" s="54">
        <f>'7D1'!$F57-10</f>
        <v>-10</v>
      </c>
      <c r="H57" s="54"/>
      <c r="I57" s="54"/>
    </row>
    <row r="58" ht="14.25" customHeight="1">
      <c r="B58" s="160">
        <v>45284.0</v>
      </c>
      <c r="C58" s="139" t="str">
        <f t="shared" si="1"/>
        <v>12-2023</v>
      </c>
      <c r="D58" s="54" t="str">
        <f t="shared" ref="D58:D59" si="7">E57</f>
        <v/>
      </c>
      <c r="E58" s="54"/>
      <c r="F58" s="54">
        <f>'7D1'!$E58-'7D1'!$D58</f>
        <v>0</v>
      </c>
      <c r="G58" s="54">
        <f>'7D1'!$F58-10</f>
        <v>-10</v>
      </c>
      <c r="H58" s="54"/>
      <c r="I58" s="54"/>
    </row>
    <row r="59" ht="14.25" customHeight="1">
      <c r="B59" s="160">
        <v>45285.0</v>
      </c>
      <c r="C59" s="139" t="str">
        <f t="shared" si="1"/>
        <v>12-2023</v>
      </c>
      <c r="D59" s="54" t="str">
        <f t="shared" si="7"/>
        <v/>
      </c>
      <c r="E59" s="54"/>
      <c r="F59" s="54">
        <f>'7D1'!$E59-'7D1'!$D59</f>
        <v>0</v>
      </c>
      <c r="G59" s="54">
        <f>'7D1'!$F59-10</f>
        <v>-10</v>
      </c>
      <c r="H59" s="54"/>
      <c r="I59" s="54"/>
    </row>
    <row r="60" ht="14.25" customHeight="1">
      <c r="B60" s="160">
        <v>45286.0</v>
      </c>
      <c r="C60" s="139" t="str">
        <f t="shared" si="1"/>
        <v>12-2023</v>
      </c>
      <c r="D60" s="54">
        <v>2327.6</v>
      </c>
      <c r="E60" s="54">
        <v>2334.8</v>
      </c>
      <c r="F60" s="54">
        <f>'7D1'!$E60-'7D1'!$D60</f>
        <v>7.2</v>
      </c>
      <c r="G60" s="54">
        <f>'7D1'!$F60-10</f>
        <v>-2.8</v>
      </c>
      <c r="H60" s="138" t="s">
        <v>57</v>
      </c>
      <c r="I60" s="54"/>
    </row>
    <row r="61" ht="14.25" customHeight="1">
      <c r="B61" s="160">
        <v>45287.0</v>
      </c>
      <c r="C61" s="139" t="str">
        <f t="shared" si="1"/>
        <v>12-2023</v>
      </c>
      <c r="D61" s="54">
        <f t="shared" ref="D61:D62" si="8">E60</f>
        <v>2334.8</v>
      </c>
      <c r="E61" s="54">
        <v>2343.4</v>
      </c>
      <c r="F61" s="54">
        <f>'7D1'!$E61-'7D1'!$D61</f>
        <v>8.6</v>
      </c>
      <c r="G61" s="54">
        <f>'7D1'!$F61-10</f>
        <v>-1.4</v>
      </c>
      <c r="H61" s="138" t="s">
        <v>57</v>
      </c>
      <c r="I61" s="54">
        <v>150.0</v>
      </c>
    </row>
    <row r="62" ht="14.25" customHeight="1">
      <c r="B62" s="160">
        <v>45288.0</v>
      </c>
      <c r="C62" s="139" t="str">
        <f t="shared" si="1"/>
        <v>12-2023</v>
      </c>
      <c r="D62" s="54">
        <f t="shared" si="8"/>
        <v>2343.4</v>
      </c>
      <c r="E62" s="54">
        <v>2353.4</v>
      </c>
      <c r="F62" s="54">
        <f>'7D1'!$E62-'7D1'!$D62</f>
        <v>10</v>
      </c>
      <c r="G62" s="54">
        <f>'7D1'!$F62-10</f>
        <v>0</v>
      </c>
      <c r="H62" s="138" t="s">
        <v>57</v>
      </c>
      <c r="I62" s="54"/>
    </row>
    <row r="63" ht="14.25" customHeight="1">
      <c r="B63" s="160">
        <v>45289.0</v>
      </c>
      <c r="C63" s="139" t="str">
        <f t="shared" si="1"/>
        <v>12-2023</v>
      </c>
      <c r="D63" s="54"/>
      <c r="E63" s="54"/>
      <c r="F63" s="54">
        <f>'7D1'!$E63-'7D1'!$D63</f>
        <v>0</v>
      </c>
      <c r="G63" s="54">
        <f>'7D1'!$F63-10</f>
        <v>-10</v>
      </c>
      <c r="H63" s="54"/>
      <c r="I63" s="54"/>
    </row>
    <row r="64" ht="14.25" customHeight="1">
      <c r="B64" s="160">
        <v>45290.0</v>
      </c>
      <c r="C64" s="139" t="str">
        <f t="shared" si="1"/>
        <v>12-2023</v>
      </c>
      <c r="D64" s="54" t="str">
        <f t="shared" ref="D64:D65" si="9">E63</f>
        <v/>
      </c>
      <c r="E64" s="54"/>
      <c r="F64" s="54">
        <f>'7D1'!$E64-'7D1'!$D64</f>
        <v>0</v>
      </c>
      <c r="G64" s="54">
        <f>'7D1'!$F64-10</f>
        <v>-10</v>
      </c>
      <c r="H64" s="54"/>
      <c r="I64" s="54"/>
    </row>
    <row r="65" ht="14.25" customHeight="1">
      <c r="B65" s="160">
        <v>45291.0</v>
      </c>
      <c r="C65" s="139" t="str">
        <f t="shared" si="1"/>
        <v>12-2023</v>
      </c>
      <c r="D65" s="54" t="str">
        <f t="shared" si="9"/>
        <v/>
      </c>
      <c r="E65" s="54"/>
      <c r="F65" s="54">
        <f>'7D1'!$E65-'7D1'!$D65</f>
        <v>0</v>
      </c>
      <c r="G65" s="54">
        <f>'7D1'!$F65-10</f>
        <v>-10</v>
      </c>
      <c r="H65" s="54"/>
      <c r="I65" s="54"/>
    </row>
    <row r="66" ht="14.25" customHeight="1">
      <c r="B66" s="160">
        <v>45292.0</v>
      </c>
      <c r="C66" s="139" t="str">
        <f t="shared" si="1"/>
        <v>1-2024</v>
      </c>
      <c r="D66" s="138">
        <v>7547.3</v>
      </c>
      <c r="E66" s="138">
        <v>7557.6</v>
      </c>
      <c r="F66" s="54">
        <f t="shared" ref="F66:F366" si="10">E66-D66</f>
        <v>10.3</v>
      </c>
      <c r="G66" s="54">
        <f t="shared" ref="G66:G366" si="11">F66-10</f>
        <v>0.3</v>
      </c>
      <c r="H66" s="54"/>
      <c r="I66" s="54"/>
    </row>
    <row r="67" ht="14.25" customHeight="1">
      <c r="B67" s="160">
        <v>45293.0</v>
      </c>
      <c r="C67" s="139" t="str">
        <f t="shared" si="1"/>
        <v>1-2024</v>
      </c>
      <c r="D67" s="54">
        <f t="shared" ref="D67:D71" si="12">E66</f>
        <v>7557.6</v>
      </c>
      <c r="E67" s="138">
        <v>7567.0</v>
      </c>
      <c r="F67" s="54">
        <f t="shared" si="10"/>
        <v>9.4</v>
      </c>
      <c r="G67" s="54">
        <f t="shared" si="11"/>
        <v>-0.6</v>
      </c>
      <c r="H67" s="54"/>
      <c r="I67" s="54"/>
    </row>
    <row r="68" ht="14.25" customHeight="1">
      <c r="B68" s="160">
        <v>45294.0</v>
      </c>
      <c r="C68" s="139" t="str">
        <f t="shared" si="1"/>
        <v>1-2024</v>
      </c>
      <c r="D68" s="54">
        <f t="shared" si="12"/>
        <v>7567</v>
      </c>
      <c r="E68" s="138">
        <v>7577.4</v>
      </c>
      <c r="F68" s="54">
        <f t="shared" si="10"/>
        <v>10.4</v>
      </c>
      <c r="G68" s="54">
        <f t="shared" si="11"/>
        <v>0.4</v>
      </c>
      <c r="H68" s="54"/>
      <c r="I68" s="138">
        <v>90.0</v>
      </c>
    </row>
    <row r="69" ht="14.25" customHeight="1">
      <c r="B69" s="160">
        <v>45295.0</v>
      </c>
      <c r="C69" s="139" t="str">
        <f t="shared" si="1"/>
        <v>1-2024</v>
      </c>
      <c r="D69" s="54">
        <f t="shared" si="12"/>
        <v>7577.4</v>
      </c>
      <c r="E69" s="138">
        <v>7587.0</v>
      </c>
      <c r="F69" s="54">
        <f t="shared" si="10"/>
        <v>9.6</v>
      </c>
      <c r="G69" s="54">
        <f t="shared" si="11"/>
        <v>-0.4</v>
      </c>
      <c r="H69" s="54"/>
      <c r="I69" s="54"/>
    </row>
    <row r="70" ht="14.25" customHeight="1">
      <c r="B70" s="160">
        <v>45296.0</v>
      </c>
      <c r="C70" s="139" t="str">
        <f t="shared" si="1"/>
        <v>1-2024</v>
      </c>
      <c r="D70" s="54">
        <f t="shared" si="12"/>
        <v>7587</v>
      </c>
      <c r="E70" s="138">
        <v>7601.2</v>
      </c>
      <c r="F70" s="54">
        <f t="shared" si="10"/>
        <v>14.2</v>
      </c>
      <c r="G70" s="54">
        <f t="shared" si="11"/>
        <v>4.2</v>
      </c>
      <c r="H70" s="54"/>
      <c r="I70" s="54"/>
    </row>
    <row r="71" ht="14.25" customHeight="1">
      <c r="B71" s="160">
        <v>45297.0</v>
      </c>
      <c r="C71" s="139" t="str">
        <f t="shared" si="1"/>
        <v>1-2024</v>
      </c>
      <c r="D71" s="54">
        <f t="shared" si="12"/>
        <v>7601.2</v>
      </c>
      <c r="E71" s="138">
        <v>7609.9</v>
      </c>
      <c r="F71" s="54">
        <f t="shared" si="10"/>
        <v>8.7</v>
      </c>
      <c r="G71" s="54">
        <f t="shared" si="11"/>
        <v>-1.3</v>
      </c>
      <c r="H71" s="54"/>
      <c r="I71" s="138">
        <v>200.0</v>
      </c>
    </row>
    <row r="72" ht="14.25" customHeight="1">
      <c r="B72" s="160">
        <v>45298.0</v>
      </c>
      <c r="C72" s="139" t="str">
        <f t="shared" si="1"/>
        <v>1-2024</v>
      </c>
      <c r="D72" s="54"/>
      <c r="E72" s="54"/>
      <c r="F72" s="54">
        <f t="shared" si="10"/>
        <v>0</v>
      </c>
      <c r="G72" s="54">
        <f t="shared" si="11"/>
        <v>-10</v>
      </c>
      <c r="H72" s="54"/>
      <c r="I72" s="54"/>
    </row>
    <row r="73" ht="14.25" customHeight="1">
      <c r="B73" s="160">
        <v>45299.0</v>
      </c>
      <c r="C73" s="184" t="str">
        <f t="shared" si="1"/>
        <v>1-2024</v>
      </c>
      <c r="D73" s="28">
        <v>7609.9</v>
      </c>
      <c r="E73" s="28">
        <v>7617.1</v>
      </c>
      <c r="F73" s="54">
        <f t="shared" si="10"/>
        <v>7.2</v>
      </c>
      <c r="G73" s="54">
        <f t="shared" si="11"/>
        <v>-2.8</v>
      </c>
      <c r="H73" s="138" t="s">
        <v>193</v>
      </c>
      <c r="I73" s="196"/>
    </row>
    <row r="74" ht="14.25" customHeight="1">
      <c r="B74" s="160">
        <v>45300.0</v>
      </c>
      <c r="C74" s="184" t="str">
        <f t="shared" si="1"/>
        <v>1-2024</v>
      </c>
      <c r="D74" s="165">
        <f t="shared" ref="D74:D78" si="13">E73</f>
        <v>7617.1</v>
      </c>
      <c r="E74" s="28">
        <v>7626.7</v>
      </c>
      <c r="F74" s="54">
        <f t="shared" si="10"/>
        <v>9.6</v>
      </c>
      <c r="G74" s="54">
        <f t="shared" si="11"/>
        <v>-0.4</v>
      </c>
      <c r="H74" s="138" t="s">
        <v>193</v>
      </c>
      <c r="I74" s="196"/>
    </row>
    <row r="75" ht="14.25" customHeight="1">
      <c r="B75" s="160">
        <v>45301.0</v>
      </c>
      <c r="C75" s="184" t="str">
        <f t="shared" si="1"/>
        <v>1-2024</v>
      </c>
      <c r="D75" s="165">
        <f t="shared" si="13"/>
        <v>7626.7</v>
      </c>
      <c r="E75" s="28">
        <v>7632.1</v>
      </c>
      <c r="F75" s="54">
        <f t="shared" si="10"/>
        <v>5.4</v>
      </c>
      <c r="G75" s="54">
        <f t="shared" si="11"/>
        <v>-4.6</v>
      </c>
      <c r="H75" s="138" t="s">
        <v>193</v>
      </c>
      <c r="I75" s="138">
        <v>200.0</v>
      </c>
    </row>
    <row r="76" ht="14.25" customHeight="1">
      <c r="B76" s="160">
        <v>45302.0</v>
      </c>
      <c r="C76" s="184" t="str">
        <f t="shared" si="1"/>
        <v>1-2024</v>
      </c>
      <c r="D76" s="165">
        <f t="shared" si="13"/>
        <v>7632.1</v>
      </c>
      <c r="E76" s="28">
        <v>7641.1</v>
      </c>
      <c r="F76" s="54">
        <f t="shared" si="10"/>
        <v>9</v>
      </c>
      <c r="G76" s="54">
        <f t="shared" si="11"/>
        <v>-1</v>
      </c>
      <c r="H76" s="138" t="s">
        <v>193</v>
      </c>
      <c r="I76" s="196"/>
    </row>
    <row r="77" ht="14.25" customHeight="1">
      <c r="B77" s="160">
        <v>45303.0</v>
      </c>
      <c r="C77" s="184" t="str">
        <f t="shared" si="1"/>
        <v>1-2024</v>
      </c>
      <c r="D77" s="165">
        <f t="shared" si="13"/>
        <v>7641.1</v>
      </c>
      <c r="E77" s="28">
        <v>7647.0</v>
      </c>
      <c r="F77" s="54">
        <f t="shared" si="10"/>
        <v>5.9</v>
      </c>
      <c r="G77" s="54">
        <f t="shared" si="11"/>
        <v>-4.1</v>
      </c>
      <c r="H77" s="138" t="s">
        <v>193</v>
      </c>
      <c r="I77" s="196"/>
    </row>
    <row r="78" ht="14.25" customHeight="1">
      <c r="B78" s="160">
        <v>45304.0</v>
      </c>
      <c r="C78" s="184" t="str">
        <f t="shared" si="1"/>
        <v>1-2024</v>
      </c>
      <c r="D78" s="165">
        <f t="shared" si="13"/>
        <v>7647</v>
      </c>
      <c r="E78" s="28">
        <v>7650.3</v>
      </c>
      <c r="F78" s="54">
        <f t="shared" si="10"/>
        <v>3.3</v>
      </c>
      <c r="G78" s="54">
        <f t="shared" si="11"/>
        <v>-6.7</v>
      </c>
      <c r="H78" s="138" t="s">
        <v>31</v>
      </c>
      <c r="I78" s="138">
        <v>180.0</v>
      </c>
    </row>
    <row r="79" ht="14.25" customHeight="1">
      <c r="B79" s="160">
        <v>45305.0</v>
      </c>
      <c r="C79" s="184" t="str">
        <f t="shared" si="1"/>
        <v>1-2024</v>
      </c>
      <c r="F79" s="54">
        <f t="shared" si="10"/>
        <v>0</v>
      </c>
      <c r="G79" s="54">
        <f t="shared" si="11"/>
        <v>-10</v>
      </c>
      <c r="H79" s="54"/>
      <c r="I79" s="54"/>
    </row>
    <row r="80" ht="14.25" customHeight="1">
      <c r="B80" s="160">
        <v>45306.0</v>
      </c>
      <c r="C80" s="184" t="str">
        <f t="shared" si="1"/>
        <v>1-2024</v>
      </c>
      <c r="D80" s="28">
        <v>7650.3</v>
      </c>
      <c r="E80" s="28">
        <v>7659.1</v>
      </c>
      <c r="F80" s="54">
        <f t="shared" si="10"/>
        <v>8.8</v>
      </c>
      <c r="G80" s="54">
        <f t="shared" si="11"/>
        <v>-1.2</v>
      </c>
      <c r="H80" s="138" t="s">
        <v>31</v>
      </c>
      <c r="I80" s="196"/>
    </row>
    <row r="81" ht="14.25" customHeight="1">
      <c r="B81" s="160">
        <v>45307.0</v>
      </c>
      <c r="C81" s="184" t="str">
        <f t="shared" si="1"/>
        <v>1-2024</v>
      </c>
      <c r="D81" s="165">
        <f t="shared" ref="D81:D85" si="14">E80</f>
        <v>7659.1</v>
      </c>
      <c r="E81" s="28">
        <v>7667.8</v>
      </c>
      <c r="F81" s="54">
        <f t="shared" si="10"/>
        <v>8.7</v>
      </c>
      <c r="G81" s="54">
        <f t="shared" si="11"/>
        <v>-1.3</v>
      </c>
      <c r="H81" s="138" t="s">
        <v>31</v>
      </c>
      <c r="I81" s="196"/>
    </row>
    <row r="82" ht="14.25" customHeight="1">
      <c r="B82" s="160">
        <v>45308.0</v>
      </c>
      <c r="C82" s="184" t="str">
        <f t="shared" si="1"/>
        <v>1-2024</v>
      </c>
      <c r="D82" s="165">
        <f t="shared" si="14"/>
        <v>7667.8</v>
      </c>
      <c r="E82" s="28">
        <v>7675.4</v>
      </c>
      <c r="F82" s="54">
        <f t="shared" si="10"/>
        <v>7.6</v>
      </c>
      <c r="G82" s="54">
        <f t="shared" si="11"/>
        <v>-2.4</v>
      </c>
      <c r="H82" s="138" t="s">
        <v>31</v>
      </c>
      <c r="I82" s="138">
        <v>220.0</v>
      </c>
    </row>
    <row r="83" ht="14.25" customHeight="1">
      <c r="B83" s="160">
        <v>45309.0</v>
      </c>
      <c r="C83" s="184" t="str">
        <f t="shared" si="1"/>
        <v>1-2024</v>
      </c>
      <c r="D83" s="165">
        <f t="shared" si="14"/>
        <v>7675.4</v>
      </c>
      <c r="E83" s="28">
        <v>7683.3</v>
      </c>
      <c r="F83" s="54">
        <f t="shared" si="10"/>
        <v>7.9</v>
      </c>
      <c r="G83" s="54">
        <f t="shared" si="11"/>
        <v>-2.1</v>
      </c>
      <c r="H83" s="138" t="s">
        <v>31</v>
      </c>
      <c r="I83" s="196"/>
    </row>
    <row r="84" ht="14.25" customHeight="1">
      <c r="B84" s="160">
        <v>45310.0</v>
      </c>
      <c r="C84" s="184" t="str">
        <f t="shared" si="1"/>
        <v>1-2024</v>
      </c>
      <c r="D84" s="165">
        <f t="shared" si="14"/>
        <v>7683.3</v>
      </c>
      <c r="E84" s="28">
        <v>7696.0</v>
      </c>
      <c r="F84" s="54">
        <f t="shared" si="10"/>
        <v>12.7</v>
      </c>
      <c r="G84" s="54">
        <f t="shared" si="11"/>
        <v>2.7</v>
      </c>
      <c r="H84" s="138" t="s">
        <v>31</v>
      </c>
      <c r="I84" s="196"/>
    </row>
    <row r="85" ht="14.25" customHeight="1">
      <c r="B85" s="160">
        <v>45311.0</v>
      </c>
      <c r="C85" s="184" t="str">
        <f t="shared" si="1"/>
        <v>1-2024</v>
      </c>
      <c r="D85" s="165">
        <f t="shared" si="14"/>
        <v>7696</v>
      </c>
      <c r="E85" s="28">
        <v>7697.2</v>
      </c>
      <c r="F85" s="54">
        <f t="shared" si="10"/>
        <v>1.2</v>
      </c>
      <c r="G85" s="54">
        <f t="shared" si="11"/>
        <v>-8.8</v>
      </c>
      <c r="H85" s="138" t="s">
        <v>31</v>
      </c>
      <c r="I85" s="196"/>
    </row>
    <row r="86" ht="14.25" customHeight="1">
      <c r="B86" s="160">
        <v>45312.0</v>
      </c>
      <c r="C86" s="184" t="str">
        <f t="shared" si="1"/>
        <v>1-2024</v>
      </c>
      <c r="F86" s="54">
        <f t="shared" si="10"/>
        <v>0</v>
      </c>
      <c r="G86" s="54">
        <f t="shared" si="11"/>
        <v>-10</v>
      </c>
      <c r="H86" s="54"/>
      <c r="I86" s="54"/>
    </row>
    <row r="87" ht="14.25" customHeight="1">
      <c r="B87" s="160">
        <v>45313.0</v>
      </c>
      <c r="C87" s="184" t="str">
        <f t="shared" si="1"/>
        <v>1-2024</v>
      </c>
      <c r="D87" s="28">
        <v>7697.2</v>
      </c>
      <c r="E87" s="28">
        <v>7404.3</v>
      </c>
      <c r="F87" s="54">
        <f t="shared" si="10"/>
        <v>-292.9</v>
      </c>
      <c r="G87" s="54">
        <f t="shared" si="11"/>
        <v>-302.9</v>
      </c>
      <c r="H87" s="138" t="s">
        <v>31</v>
      </c>
      <c r="I87" s="196"/>
    </row>
    <row r="88" ht="14.25" customHeight="1">
      <c r="B88" s="160">
        <v>45314.0</v>
      </c>
      <c r="C88" s="184" t="str">
        <f t="shared" si="1"/>
        <v>1-2024</v>
      </c>
      <c r="D88" s="165">
        <f t="shared" ref="D88:D91" si="15">E87</f>
        <v>7404.3</v>
      </c>
      <c r="E88" s="28">
        <v>7714.6</v>
      </c>
      <c r="F88" s="54">
        <f t="shared" si="10"/>
        <v>310.3</v>
      </c>
      <c r="G88" s="54">
        <f t="shared" si="11"/>
        <v>300.3</v>
      </c>
      <c r="H88" s="138" t="s">
        <v>31</v>
      </c>
      <c r="I88" s="138">
        <v>220.0</v>
      </c>
    </row>
    <row r="89" ht="14.25" customHeight="1">
      <c r="B89" s="160">
        <v>45315.0</v>
      </c>
      <c r="C89" s="184" t="str">
        <f t="shared" si="1"/>
        <v>1-2024</v>
      </c>
      <c r="D89" s="165">
        <f t="shared" si="15"/>
        <v>7714.6</v>
      </c>
      <c r="E89" s="28">
        <v>7721.3</v>
      </c>
      <c r="F89" s="54">
        <f t="shared" si="10"/>
        <v>6.7</v>
      </c>
      <c r="G89" s="54">
        <f t="shared" si="11"/>
        <v>-3.3</v>
      </c>
      <c r="H89" s="138" t="s">
        <v>31</v>
      </c>
      <c r="I89" s="196"/>
    </row>
    <row r="90" ht="14.25" customHeight="1">
      <c r="B90" s="160">
        <v>45316.0</v>
      </c>
      <c r="C90" s="184" t="str">
        <f t="shared" si="1"/>
        <v>1-2024</v>
      </c>
      <c r="D90" s="165">
        <f t="shared" si="15"/>
        <v>7721.3</v>
      </c>
      <c r="E90" s="28">
        <v>7730.5</v>
      </c>
      <c r="F90" s="54">
        <f t="shared" si="10"/>
        <v>9.2</v>
      </c>
      <c r="G90" s="54">
        <f t="shared" si="11"/>
        <v>-0.8</v>
      </c>
      <c r="H90" s="138" t="s">
        <v>31</v>
      </c>
      <c r="I90" s="196"/>
    </row>
    <row r="91" ht="14.25" customHeight="1">
      <c r="B91" s="160">
        <v>45317.0</v>
      </c>
      <c r="C91" s="184" t="str">
        <f t="shared" si="1"/>
        <v>1-2024</v>
      </c>
      <c r="D91" s="165">
        <f t="shared" si="15"/>
        <v>7730.5</v>
      </c>
      <c r="E91" s="28">
        <v>7737.5</v>
      </c>
      <c r="F91" s="54">
        <f t="shared" si="10"/>
        <v>7</v>
      </c>
      <c r="G91" s="54">
        <f t="shared" si="11"/>
        <v>-3</v>
      </c>
      <c r="H91" s="138" t="s">
        <v>31</v>
      </c>
      <c r="I91" s="196"/>
    </row>
    <row r="92" ht="14.25" customHeight="1">
      <c r="B92" s="160">
        <v>45318.0</v>
      </c>
      <c r="C92" s="184" t="str">
        <f t="shared" si="1"/>
        <v>1-2024</v>
      </c>
      <c r="F92" s="54">
        <f t="shared" si="10"/>
        <v>0</v>
      </c>
      <c r="G92" s="54">
        <f t="shared" si="11"/>
        <v>-10</v>
      </c>
      <c r="H92" s="54"/>
      <c r="I92" s="196"/>
    </row>
    <row r="93" ht="14.25" customHeight="1">
      <c r="B93" s="160">
        <v>45319.0</v>
      </c>
      <c r="C93" s="184" t="str">
        <f t="shared" si="1"/>
        <v>1-2024</v>
      </c>
      <c r="D93" s="165" t="str">
        <f>E92</f>
        <v/>
      </c>
      <c r="F93" s="54">
        <f t="shared" si="10"/>
        <v>0</v>
      </c>
      <c r="G93" s="54">
        <f t="shared" si="11"/>
        <v>-10</v>
      </c>
      <c r="H93" s="54"/>
      <c r="I93" s="54"/>
    </row>
    <row r="94" ht="14.25" customHeight="1">
      <c r="B94" s="160">
        <v>45320.0</v>
      </c>
      <c r="C94" s="184" t="str">
        <f t="shared" si="1"/>
        <v>1-2024</v>
      </c>
      <c r="D94" s="28">
        <v>7737.5</v>
      </c>
      <c r="E94" s="28">
        <v>7738.8</v>
      </c>
      <c r="F94" s="54">
        <f t="shared" si="10"/>
        <v>1.3</v>
      </c>
      <c r="G94" s="54">
        <f t="shared" si="11"/>
        <v>-8.7</v>
      </c>
      <c r="H94" s="138" t="s">
        <v>31</v>
      </c>
      <c r="I94" s="138">
        <v>150.0</v>
      </c>
    </row>
    <row r="95" ht="14.25" customHeight="1">
      <c r="B95" s="160">
        <v>45321.0</v>
      </c>
      <c r="C95" s="184" t="str">
        <f t="shared" si="1"/>
        <v>1-2024</v>
      </c>
      <c r="D95" s="165">
        <f t="shared" ref="D95:D96" si="16">E94</f>
        <v>7738.8</v>
      </c>
      <c r="E95" s="28">
        <v>7745.4</v>
      </c>
      <c r="F95" s="54">
        <f t="shared" si="10"/>
        <v>6.6</v>
      </c>
      <c r="G95" s="54">
        <f t="shared" si="11"/>
        <v>-3.4</v>
      </c>
      <c r="H95" s="138" t="s">
        <v>31</v>
      </c>
      <c r="I95" s="196"/>
    </row>
    <row r="96" ht="14.25" customHeight="1">
      <c r="B96" s="160">
        <v>45322.0</v>
      </c>
      <c r="C96" s="184" t="str">
        <f t="shared" si="1"/>
        <v>1-2024</v>
      </c>
      <c r="D96" s="165">
        <f t="shared" si="16"/>
        <v>7745.4</v>
      </c>
      <c r="E96" s="28">
        <v>7750.7</v>
      </c>
      <c r="F96" s="54">
        <f t="shared" si="10"/>
        <v>5.3</v>
      </c>
      <c r="G96" s="54">
        <f t="shared" si="11"/>
        <v>-4.7</v>
      </c>
      <c r="H96" s="138" t="s">
        <v>31</v>
      </c>
      <c r="I96" s="138">
        <v>220.0</v>
      </c>
    </row>
    <row r="97" ht="14.25" customHeight="1">
      <c r="B97" s="160">
        <v>45323.0</v>
      </c>
      <c r="C97" s="184" t="str">
        <f t="shared" si="1"/>
        <v>2-2024</v>
      </c>
      <c r="D97" s="138">
        <v>7750.7</v>
      </c>
      <c r="E97" s="138">
        <v>7756.5</v>
      </c>
      <c r="F97" s="54">
        <f t="shared" si="10"/>
        <v>5.8</v>
      </c>
      <c r="G97" s="54">
        <f t="shared" si="11"/>
        <v>-4.2</v>
      </c>
      <c r="H97" s="138" t="s">
        <v>31</v>
      </c>
      <c r="I97" s="196"/>
    </row>
    <row r="98" ht="14.25" customHeight="1">
      <c r="B98" s="160">
        <v>45324.0</v>
      </c>
      <c r="C98" s="184" t="str">
        <f t="shared" si="1"/>
        <v>2-2024</v>
      </c>
      <c r="D98" s="54">
        <f t="shared" ref="D98:D99" si="17">E97</f>
        <v>7756.5</v>
      </c>
      <c r="E98" s="138">
        <v>7763.5</v>
      </c>
      <c r="F98" s="54">
        <f t="shared" si="10"/>
        <v>7</v>
      </c>
      <c r="G98" s="54">
        <f t="shared" si="11"/>
        <v>-3</v>
      </c>
      <c r="H98" s="138" t="s">
        <v>31</v>
      </c>
      <c r="I98" s="196"/>
    </row>
    <row r="99" ht="14.25" customHeight="1">
      <c r="B99" s="160">
        <v>45325.0</v>
      </c>
      <c r="C99" s="184" t="str">
        <f t="shared" si="1"/>
        <v>2-2024</v>
      </c>
      <c r="D99" s="54">
        <f t="shared" si="17"/>
        <v>7763.5</v>
      </c>
      <c r="E99" s="138">
        <v>7767.7</v>
      </c>
      <c r="F99" s="54">
        <f t="shared" si="10"/>
        <v>4.2</v>
      </c>
      <c r="G99" s="54">
        <f t="shared" si="11"/>
        <v>-5.8</v>
      </c>
      <c r="H99" s="54"/>
      <c r="I99" s="196"/>
    </row>
    <row r="100" ht="14.25" customHeight="1">
      <c r="B100" s="160">
        <v>45326.0</v>
      </c>
      <c r="C100" s="184" t="str">
        <f t="shared" si="1"/>
        <v>2-2024</v>
      </c>
      <c r="D100" s="54"/>
      <c r="E100" s="54"/>
      <c r="F100" s="54">
        <f t="shared" si="10"/>
        <v>0</v>
      </c>
      <c r="G100" s="54">
        <f t="shared" si="11"/>
        <v>-10</v>
      </c>
      <c r="H100" s="54"/>
    </row>
    <row r="101" ht="14.25" customHeight="1">
      <c r="B101" s="160">
        <v>45327.0</v>
      </c>
      <c r="C101" s="184" t="str">
        <f t="shared" si="1"/>
        <v>2-2024</v>
      </c>
      <c r="D101" s="138">
        <v>7767.7</v>
      </c>
      <c r="E101" s="138">
        <v>7772.9</v>
      </c>
      <c r="F101" s="54">
        <f t="shared" si="10"/>
        <v>5.2</v>
      </c>
      <c r="G101" s="54">
        <f t="shared" si="11"/>
        <v>-4.8</v>
      </c>
      <c r="H101" s="54"/>
    </row>
    <row r="102" ht="14.25" customHeight="1">
      <c r="B102" s="160">
        <v>45328.0</v>
      </c>
      <c r="C102" s="184" t="str">
        <f t="shared" si="1"/>
        <v>2-2024</v>
      </c>
      <c r="D102" s="54">
        <f t="shared" ref="D102:D106" si="18">E101</f>
        <v>7772.9</v>
      </c>
      <c r="E102" s="138">
        <v>7781.0</v>
      </c>
      <c r="F102" s="54">
        <f t="shared" si="10"/>
        <v>8.1</v>
      </c>
      <c r="G102" s="54">
        <f t="shared" si="11"/>
        <v>-1.9</v>
      </c>
      <c r="H102" s="54"/>
    </row>
    <row r="103" ht="14.25" customHeight="1">
      <c r="B103" s="160">
        <v>45329.0</v>
      </c>
      <c r="C103" s="184" t="str">
        <f t="shared" si="1"/>
        <v>2-2024</v>
      </c>
      <c r="D103" s="54">
        <f t="shared" si="18"/>
        <v>7781</v>
      </c>
      <c r="E103" s="138">
        <v>7791.0</v>
      </c>
      <c r="F103" s="54">
        <f t="shared" si="10"/>
        <v>10</v>
      </c>
      <c r="G103" s="54">
        <f t="shared" si="11"/>
        <v>0</v>
      </c>
      <c r="H103" s="54"/>
    </row>
    <row r="104" ht="14.25" customHeight="1">
      <c r="B104" s="160">
        <v>45330.0</v>
      </c>
      <c r="C104" s="184" t="str">
        <f t="shared" si="1"/>
        <v>2-2024</v>
      </c>
      <c r="D104" s="54">
        <f t="shared" si="18"/>
        <v>7791</v>
      </c>
      <c r="E104" s="138">
        <v>7797.9</v>
      </c>
      <c r="F104" s="54">
        <f t="shared" si="10"/>
        <v>6.9</v>
      </c>
      <c r="G104" s="54">
        <f t="shared" si="11"/>
        <v>-3.1</v>
      </c>
      <c r="H104" s="54"/>
    </row>
    <row r="105" ht="14.25" customHeight="1">
      <c r="B105" s="160">
        <v>45331.0</v>
      </c>
      <c r="C105" s="184" t="str">
        <f t="shared" si="1"/>
        <v>2-2024</v>
      </c>
      <c r="D105" s="54">
        <f t="shared" si="18"/>
        <v>7797.9</v>
      </c>
      <c r="E105" s="138">
        <v>7801.9</v>
      </c>
      <c r="F105" s="54">
        <f t="shared" si="10"/>
        <v>4</v>
      </c>
      <c r="G105" s="54">
        <f t="shared" si="11"/>
        <v>-6</v>
      </c>
      <c r="H105" s="54"/>
    </row>
    <row r="106" ht="14.25" customHeight="1">
      <c r="B106" s="160">
        <v>45332.0</v>
      </c>
      <c r="C106" s="184" t="str">
        <f t="shared" si="1"/>
        <v>2-2024</v>
      </c>
      <c r="D106" s="54">
        <f t="shared" si="18"/>
        <v>7801.9</v>
      </c>
      <c r="E106" s="138">
        <v>7807.5</v>
      </c>
      <c r="F106" s="54">
        <f t="shared" si="10"/>
        <v>5.6</v>
      </c>
      <c r="G106" s="54">
        <f t="shared" si="11"/>
        <v>-4.4</v>
      </c>
      <c r="H106" s="54"/>
    </row>
    <row r="107" ht="14.25" customHeight="1">
      <c r="B107" s="160">
        <v>45333.0</v>
      </c>
      <c r="C107" s="184" t="str">
        <f t="shared" si="1"/>
        <v>2-2024</v>
      </c>
      <c r="D107" s="54"/>
      <c r="E107" s="54"/>
      <c r="F107" s="54">
        <f t="shared" si="10"/>
        <v>0</v>
      </c>
      <c r="G107" s="54">
        <f t="shared" si="11"/>
        <v>-10</v>
      </c>
      <c r="H107" s="54"/>
    </row>
    <row r="108" ht="14.25" customHeight="1">
      <c r="B108" s="160">
        <v>45334.0</v>
      </c>
      <c r="C108" s="184" t="str">
        <f t="shared" si="1"/>
        <v>2-2024</v>
      </c>
      <c r="D108" s="138">
        <v>7807.5</v>
      </c>
      <c r="E108" s="138">
        <v>7813.0</v>
      </c>
      <c r="F108" s="54">
        <f t="shared" si="10"/>
        <v>5.5</v>
      </c>
      <c r="G108" s="54">
        <f t="shared" si="11"/>
        <v>-4.5</v>
      </c>
      <c r="H108" s="54"/>
    </row>
    <row r="109" ht="14.25" customHeight="1">
      <c r="B109" s="160">
        <v>45335.0</v>
      </c>
      <c r="C109" s="184" t="str">
        <f t="shared" si="1"/>
        <v>2-2024</v>
      </c>
      <c r="D109" s="54"/>
      <c r="E109" s="54"/>
      <c r="F109" s="54">
        <f t="shared" si="10"/>
        <v>0</v>
      </c>
      <c r="G109" s="54">
        <f t="shared" si="11"/>
        <v>-10</v>
      </c>
      <c r="H109" s="54"/>
    </row>
    <row r="110" ht="14.25" customHeight="1">
      <c r="B110" s="160">
        <v>45336.0</v>
      </c>
      <c r="C110" s="184" t="str">
        <f t="shared" si="1"/>
        <v>2-2024</v>
      </c>
      <c r="D110" s="138">
        <v>7813.0</v>
      </c>
      <c r="E110" s="138">
        <v>7816.0</v>
      </c>
      <c r="F110" s="54">
        <f t="shared" si="10"/>
        <v>3</v>
      </c>
      <c r="G110" s="54">
        <f t="shared" si="11"/>
        <v>-7</v>
      </c>
      <c r="H110" s="54"/>
    </row>
    <row r="111" ht="14.25" customHeight="1">
      <c r="B111" s="160">
        <v>45337.0</v>
      </c>
      <c r="C111" s="184" t="str">
        <f t="shared" si="1"/>
        <v>2-2024</v>
      </c>
      <c r="D111" s="54">
        <f t="shared" ref="D111:D113" si="19">E110</f>
        <v>7816</v>
      </c>
      <c r="E111" s="138">
        <v>7820.0</v>
      </c>
      <c r="F111" s="54">
        <f t="shared" si="10"/>
        <v>4</v>
      </c>
      <c r="G111" s="54">
        <f t="shared" si="11"/>
        <v>-6</v>
      </c>
      <c r="H111" s="54"/>
    </row>
    <row r="112" ht="14.25" customHeight="1">
      <c r="B112" s="160">
        <v>45338.0</v>
      </c>
      <c r="C112" s="184" t="str">
        <f t="shared" si="1"/>
        <v>2-2024</v>
      </c>
      <c r="D112" s="54">
        <f t="shared" si="19"/>
        <v>7820</v>
      </c>
      <c r="E112" s="138">
        <v>7821.0</v>
      </c>
      <c r="F112" s="54">
        <f t="shared" si="10"/>
        <v>1</v>
      </c>
      <c r="G112" s="54">
        <f t="shared" si="11"/>
        <v>-9</v>
      </c>
      <c r="H112" s="54"/>
    </row>
    <row r="113" ht="14.25" customHeight="1">
      <c r="B113" s="160">
        <v>45339.0</v>
      </c>
      <c r="C113" s="184" t="str">
        <f t="shared" si="1"/>
        <v>2-2024</v>
      </c>
      <c r="D113" s="54">
        <f t="shared" si="19"/>
        <v>7821</v>
      </c>
      <c r="E113" s="138">
        <v>7828.1</v>
      </c>
      <c r="F113" s="54">
        <f t="shared" si="10"/>
        <v>7.1</v>
      </c>
      <c r="G113" s="54">
        <f t="shared" si="11"/>
        <v>-2.9</v>
      </c>
      <c r="H113" s="54"/>
    </row>
    <row r="114" ht="14.25" customHeight="1">
      <c r="B114" s="160">
        <v>45340.0</v>
      </c>
      <c r="C114" s="184" t="str">
        <f t="shared" si="1"/>
        <v>2-2024</v>
      </c>
      <c r="D114" s="54"/>
      <c r="E114" s="54"/>
      <c r="F114" s="54">
        <f t="shared" si="10"/>
        <v>0</v>
      </c>
      <c r="G114" s="54">
        <f t="shared" si="11"/>
        <v>-10</v>
      </c>
      <c r="H114" s="54"/>
    </row>
    <row r="115" ht="14.25" customHeight="1">
      <c r="B115" s="160">
        <v>45341.0</v>
      </c>
      <c r="C115" s="184" t="str">
        <f t="shared" si="1"/>
        <v>2-2024</v>
      </c>
      <c r="D115" s="138">
        <v>7828.1</v>
      </c>
      <c r="E115" s="138">
        <v>7837.3</v>
      </c>
      <c r="F115" s="54">
        <f t="shared" si="10"/>
        <v>9.2</v>
      </c>
      <c r="G115" s="54">
        <f t="shared" si="11"/>
        <v>-0.8</v>
      </c>
      <c r="H115" s="54"/>
    </row>
    <row r="116" ht="14.25" customHeight="1">
      <c r="B116" s="160">
        <v>45342.0</v>
      </c>
      <c r="C116" s="184" t="str">
        <f t="shared" si="1"/>
        <v>2-2024</v>
      </c>
      <c r="D116" s="54"/>
      <c r="E116" s="138"/>
      <c r="F116" s="54">
        <f t="shared" si="10"/>
        <v>0</v>
      </c>
      <c r="G116" s="54">
        <f t="shared" si="11"/>
        <v>-10</v>
      </c>
      <c r="H116" s="54"/>
    </row>
    <row r="117" ht="14.25" customHeight="1">
      <c r="B117" s="160">
        <v>45343.0</v>
      </c>
      <c r="C117" s="184" t="str">
        <f t="shared" si="1"/>
        <v>2-2024</v>
      </c>
      <c r="D117" s="54" t="str">
        <f>E116</f>
        <v/>
      </c>
      <c r="E117" s="138"/>
      <c r="F117" s="54">
        <f t="shared" si="10"/>
        <v>0</v>
      </c>
      <c r="G117" s="54">
        <f t="shared" si="11"/>
        <v>-10</v>
      </c>
      <c r="H117" s="54"/>
    </row>
    <row r="118" ht="14.25" customHeight="1">
      <c r="B118" s="160">
        <v>45344.0</v>
      </c>
      <c r="C118" s="184" t="str">
        <f t="shared" si="1"/>
        <v>2-2024</v>
      </c>
      <c r="D118" s="138">
        <v>7837.3</v>
      </c>
      <c r="E118" s="138">
        <v>7847.6</v>
      </c>
      <c r="F118" s="54">
        <f t="shared" si="10"/>
        <v>10.3</v>
      </c>
      <c r="G118" s="54">
        <f t="shared" si="11"/>
        <v>0.3</v>
      </c>
      <c r="H118" s="54"/>
    </row>
    <row r="119" ht="14.25" customHeight="1">
      <c r="B119" s="160">
        <v>45345.0</v>
      </c>
      <c r="C119" s="184" t="str">
        <f t="shared" si="1"/>
        <v>2-2024</v>
      </c>
      <c r="D119" s="54">
        <f t="shared" ref="D119:D120" si="20">E118</f>
        <v>7847.6</v>
      </c>
      <c r="E119" s="138">
        <v>7856.5</v>
      </c>
      <c r="F119" s="54">
        <f t="shared" si="10"/>
        <v>8.9</v>
      </c>
      <c r="G119" s="54">
        <f t="shared" si="11"/>
        <v>-1.1</v>
      </c>
      <c r="H119" s="54"/>
    </row>
    <row r="120" ht="14.25" customHeight="1">
      <c r="B120" s="160">
        <v>45346.0</v>
      </c>
      <c r="C120" s="184" t="str">
        <f t="shared" si="1"/>
        <v>2-2024</v>
      </c>
      <c r="D120" s="54">
        <f t="shared" si="20"/>
        <v>7856.5</v>
      </c>
      <c r="E120" s="138">
        <v>7858.9</v>
      </c>
      <c r="F120" s="54">
        <f t="shared" si="10"/>
        <v>2.4</v>
      </c>
      <c r="G120" s="54">
        <f t="shared" si="11"/>
        <v>-7.6</v>
      </c>
      <c r="H120" s="54"/>
    </row>
    <row r="121" ht="14.25" customHeight="1">
      <c r="B121" s="160">
        <v>45347.0</v>
      </c>
      <c r="C121" s="184" t="str">
        <f t="shared" si="1"/>
        <v>2-2024</v>
      </c>
      <c r="D121" s="54"/>
      <c r="E121" s="54"/>
      <c r="F121" s="54">
        <f t="shared" si="10"/>
        <v>0</v>
      </c>
      <c r="G121" s="54">
        <f t="shared" si="11"/>
        <v>-10</v>
      </c>
      <c r="H121" s="54"/>
    </row>
    <row r="122" ht="14.25" customHeight="1">
      <c r="B122" s="160">
        <v>45348.0</v>
      </c>
      <c r="C122" s="184" t="str">
        <f t="shared" si="1"/>
        <v>2-2024</v>
      </c>
      <c r="D122" s="138">
        <v>7858.9</v>
      </c>
      <c r="E122" s="138">
        <v>7865.4</v>
      </c>
      <c r="F122" s="54">
        <f t="shared" si="10"/>
        <v>6.5</v>
      </c>
      <c r="G122" s="54">
        <f t="shared" si="11"/>
        <v>-3.5</v>
      </c>
      <c r="H122" s="54"/>
    </row>
    <row r="123" ht="14.25" customHeight="1">
      <c r="B123" s="160">
        <v>45349.0</v>
      </c>
      <c r="C123" s="184" t="str">
        <f t="shared" si="1"/>
        <v>2-2024</v>
      </c>
      <c r="D123" s="54">
        <f t="shared" ref="D123:D125" si="21">E122</f>
        <v>7865.4</v>
      </c>
      <c r="E123" s="138">
        <v>7874.4</v>
      </c>
      <c r="F123" s="54">
        <f t="shared" si="10"/>
        <v>9</v>
      </c>
      <c r="G123" s="54">
        <f t="shared" si="11"/>
        <v>-1</v>
      </c>
      <c r="H123" s="54"/>
    </row>
    <row r="124" ht="14.25" customHeight="1">
      <c r="B124" s="160">
        <v>45350.0</v>
      </c>
      <c r="C124" s="184" t="str">
        <f t="shared" si="1"/>
        <v>2-2024</v>
      </c>
      <c r="D124" s="54">
        <f t="shared" si="21"/>
        <v>7874.4</v>
      </c>
      <c r="E124" s="138">
        <v>7881.6</v>
      </c>
      <c r="F124" s="54">
        <f t="shared" si="10"/>
        <v>7.2</v>
      </c>
      <c r="G124" s="54">
        <f t="shared" si="11"/>
        <v>-2.8</v>
      </c>
      <c r="H124" s="54"/>
    </row>
    <row r="125" ht="14.25" customHeight="1">
      <c r="B125" s="160">
        <v>45351.0</v>
      </c>
      <c r="C125" s="184" t="str">
        <f t="shared" si="1"/>
        <v>2-2024</v>
      </c>
      <c r="D125" s="54">
        <f t="shared" si="21"/>
        <v>7881.6</v>
      </c>
      <c r="E125" s="138">
        <v>7890.0</v>
      </c>
      <c r="F125" s="54">
        <f t="shared" si="10"/>
        <v>8.4</v>
      </c>
      <c r="G125" s="54">
        <f t="shared" si="11"/>
        <v>-1.6</v>
      </c>
      <c r="H125" s="54"/>
    </row>
    <row r="126" ht="14.25" customHeight="1">
      <c r="B126" s="160">
        <v>45352.0</v>
      </c>
      <c r="C126" s="184" t="str">
        <f t="shared" si="1"/>
        <v>3-2024</v>
      </c>
      <c r="D126" s="28">
        <v>4194.6</v>
      </c>
      <c r="E126" s="28">
        <v>4203.8</v>
      </c>
      <c r="F126" s="54">
        <f t="shared" si="10"/>
        <v>9.2</v>
      </c>
      <c r="G126" s="54">
        <f t="shared" si="11"/>
        <v>-0.8</v>
      </c>
      <c r="H126" s="54"/>
    </row>
    <row r="127" ht="14.25" customHeight="1">
      <c r="B127" s="160">
        <v>45353.0</v>
      </c>
      <c r="C127" s="184" t="str">
        <f t="shared" si="1"/>
        <v>3-2024</v>
      </c>
      <c r="D127" s="165">
        <f>E126</f>
        <v>4203.8</v>
      </c>
      <c r="E127" s="28">
        <v>4208.5</v>
      </c>
      <c r="F127" s="54">
        <f t="shared" si="10"/>
        <v>4.7</v>
      </c>
      <c r="G127" s="54">
        <f t="shared" si="11"/>
        <v>-5.3</v>
      </c>
      <c r="H127" s="54"/>
    </row>
    <row r="128" ht="14.25" customHeight="1">
      <c r="B128" s="160">
        <v>45354.0</v>
      </c>
      <c r="C128" s="184" t="str">
        <f t="shared" si="1"/>
        <v>3-2024</v>
      </c>
      <c r="F128" s="54">
        <f t="shared" si="10"/>
        <v>0</v>
      </c>
      <c r="G128" s="54">
        <f t="shared" si="11"/>
        <v>-10</v>
      </c>
      <c r="H128" s="54"/>
    </row>
    <row r="129" ht="14.25" customHeight="1">
      <c r="B129" s="160">
        <v>45355.0</v>
      </c>
      <c r="C129" s="184" t="str">
        <f t="shared" si="1"/>
        <v>3-2024</v>
      </c>
      <c r="D129" s="28">
        <v>4208.5</v>
      </c>
      <c r="E129" s="28">
        <v>4214.6</v>
      </c>
      <c r="F129" s="54">
        <f t="shared" si="10"/>
        <v>6.1</v>
      </c>
      <c r="G129" s="54">
        <f t="shared" si="11"/>
        <v>-3.9</v>
      </c>
      <c r="H129" s="54"/>
    </row>
    <row r="130" ht="14.25" customHeight="1">
      <c r="B130" s="160">
        <v>45356.0</v>
      </c>
      <c r="C130" s="184" t="str">
        <f t="shared" si="1"/>
        <v>3-2024</v>
      </c>
      <c r="D130" s="165">
        <f>E129</f>
        <v>4214.6</v>
      </c>
      <c r="E130" s="28">
        <v>4216.1</v>
      </c>
      <c r="F130" s="54">
        <f t="shared" si="10"/>
        <v>1.5</v>
      </c>
      <c r="G130" s="54">
        <f t="shared" si="11"/>
        <v>-8.5</v>
      </c>
      <c r="H130" s="54"/>
    </row>
    <row r="131" ht="14.25" customHeight="1">
      <c r="B131" s="160">
        <v>45357.0</v>
      </c>
      <c r="C131" s="184" t="str">
        <f t="shared" si="1"/>
        <v>3-2024</v>
      </c>
      <c r="D131" s="28">
        <v>2498.6</v>
      </c>
      <c r="E131" s="28">
        <v>2503.0</v>
      </c>
      <c r="F131" s="54">
        <f t="shared" si="10"/>
        <v>4.4</v>
      </c>
      <c r="G131" s="54">
        <f t="shared" si="11"/>
        <v>-5.6</v>
      </c>
      <c r="H131" s="54"/>
    </row>
    <row r="132" ht="14.25" customHeight="1">
      <c r="B132" s="160">
        <v>45358.0</v>
      </c>
      <c r="C132" s="184" t="str">
        <f t="shared" si="1"/>
        <v>3-2024</v>
      </c>
      <c r="F132" s="54">
        <f t="shared" si="10"/>
        <v>0</v>
      </c>
      <c r="G132" s="54">
        <f t="shared" si="11"/>
        <v>-10</v>
      </c>
      <c r="H132" s="54"/>
    </row>
    <row r="133" ht="14.25" customHeight="1">
      <c r="B133" s="160">
        <v>45359.0</v>
      </c>
      <c r="C133" s="184" t="str">
        <f t="shared" si="1"/>
        <v>3-2024</v>
      </c>
      <c r="D133" s="28">
        <v>2503.0</v>
      </c>
      <c r="E133" s="28">
        <v>2509.4</v>
      </c>
      <c r="F133" s="54">
        <f t="shared" si="10"/>
        <v>6.4</v>
      </c>
      <c r="G133" s="54">
        <f t="shared" si="11"/>
        <v>-3.6</v>
      </c>
      <c r="H133" s="54"/>
    </row>
    <row r="134" ht="14.25" customHeight="1">
      <c r="B134" s="160">
        <v>45360.0</v>
      </c>
      <c r="C134" s="184" t="str">
        <f t="shared" si="1"/>
        <v>3-2024</v>
      </c>
      <c r="F134" s="54">
        <f t="shared" si="10"/>
        <v>0</v>
      </c>
      <c r="G134" s="54">
        <f t="shared" si="11"/>
        <v>-10</v>
      </c>
      <c r="H134" s="54"/>
    </row>
    <row r="135" ht="14.25" customHeight="1">
      <c r="B135" s="160">
        <v>45361.0</v>
      </c>
      <c r="C135" s="184" t="str">
        <f t="shared" si="1"/>
        <v>3-2024</v>
      </c>
      <c r="D135" s="165" t="str">
        <f>E134</f>
        <v/>
      </c>
      <c r="F135" s="54">
        <f t="shared" si="10"/>
        <v>0</v>
      </c>
      <c r="G135" s="54">
        <f t="shared" si="11"/>
        <v>-10</v>
      </c>
      <c r="H135" s="54"/>
    </row>
    <row r="136" ht="14.25" customHeight="1">
      <c r="B136" s="160">
        <v>45362.0</v>
      </c>
      <c r="C136" s="184" t="str">
        <f t="shared" si="1"/>
        <v>3-2024</v>
      </c>
      <c r="D136" s="28">
        <v>2509.4</v>
      </c>
      <c r="E136" s="28">
        <v>2519.0</v>
      </c>
      <c r="F136" s="54">
        <f t="shared" si="10"/>
        <v>9.6</v>
      </c>
      <c r="G136" s="54">
        <f t="shared" si="11"/>
        <v>-0.4</v>
      </c>
      <c r="H136" s="54"/>
    </row>
    <row r="137" ht="14.25" customHeight="1">
      <c r="B137" s="160">
        <v>45363.0</v>
      </c>
      <c r="C137" s="184" t="str">
        <f t="shared" si="1"/>
        <v>3-2024</v>
      </c>
      <c r="D137" s="165">
        <f t="shared" ref="D137:D141" si="22">E136</f>
        <v>2519</v>
      </c>
      <c r="E137" s="28">
        <v>2526.8</v>
      </c>
      <c r="F137" s="54">
        <f t="shared" si="10"/>
        <v>7.8</v>
      </c>
      <c r="G137" s="54">
        <f t="shared" si="11"/>
        <v>-2.2</v>
      </c>
      <c r="H137" s="54"/>
    </row>
    <row r="138" ht="14.25" customHeight="1">
      <c r="B138" s="160">
        <v>45364.0</v>
      </c>
      <c r="C138" s="184" t="str">
        <f t="shared" si="1"/>
        <v>3-2024</v>
      </c>
      <c r="D138" s="165">
        <f t="shared" si="22"/>
        <v>2526.8</v>
      </c>
      <c r="E138" s="28">
        <v>2532.7</v>
      </c>
      <c r="F138" s="54">
        <f t="shared" si="10"/>
        <v>5.9</v>
      </c>
      <c r="G138" s="54">
        <f t="shared" si="11"/>
        <v>-4.1</v>
      </c>
      <c r="H138" s="54"/>
    </row>
    <row r="139" ht="14.25" customHeight="1">
      <c r="B139" s="160">
        <v>45365.0</v>
      </c>
      <c r="C139" s="184" t="str">
        <f t="shared" si="1"/>
        <v>3-2024</v>
      </c>
      <c r="D139" s="165">
        <f t="shared" si="22"/>
        <v>2532.7</v>
      </c>
      <c r="E139" s="28">
        <v>2541.8</v>
      </c>
      <c r="F139" s="54">
        <f t="shared" si="10"/>
        <v>9.1</v>
      </c>
      <c r="G139" s="54">
        <f t="shared" si="11"/>
        <v>-0.9</v>
      </c>
      <c r="H139" s="54"/>
    </row>
    <row r="140" ht="14.25" customHeight="1">
      <c r="B140" s="160">
        <v>45366.0</v>
      </c>
      <c r="C140" s="184" t="str">
        <f t="shared" si="1"/>
        <v>3-2024</v>
      </c>
      <c r="D140" s="165">
        <f t="shared" si="22"/>
        <v>2541.8</v>
      </c>
      <c r="E140" s="28">
        <v>2547.0</v>
      </c>
      <c r="F140" s="54">
        <f t="shared" si="10"/>
        <v>5.2</v>
      </c>
      <c r="G140" s="54">
        <f t="shared" si="11"/>
        <v>-4.8</v>
      </c>
      <c r="H140" s="54"/>
    </row>
    <row r="141" ht="14.25" customHeight="1">
      <c r="B141" s="160">
        <v>45367.0</v>
      </c>
      <c r="C141" s="184" t="str">
        <f t="shared" si="1"/>
        <v>3-2024</v>
      </c>
      <c r="D141" s="165">
        <f t="shared" si="22"/>
        <v>2547</v>
      </c>
      <c r="E141" s="28">
        <v>2552.5</v>
      </c>
      <c r="F141" s="54">
        <f t="shared" si="10"/>
        <v>5.5</v>
      </c>
      <c r="G141" s="54">
        <f t="shared" si="11"/>
        <v>-4.5</v>
      </c>
      <c r="H141" s="54"/>
    </row>
    <row r="142" ht="14.25" customHeight="1">
      <c r="B142" s="160">
        <v>45368.0</v>
      </c>
      <c r="C142" s="184" t="str">
        <f t="shared" si="1"/>
        <v>3-2024</v>
      </c>
      <c r="F142" s="54">
        <f t="shared" si="10"/>
        <v>0</v>
      </c>
      <c r="G142" s="54">
        <f t="shared" si="11"/>
        <v>-10</v>
      </c>
      <c r="H142" s="54"/>
    </row>
    <row r="143" ht="14.25" customHeight="1">
      <c r="B143" s="160">
        <v>45369.0</v>
      </c>
      <c r="C143" s="184" t="str">
        <f t="shared" si="1"/>
        <v>3-2024</v>
      </c>
      <c r="D143" s="28">
        <v>2552.5</v>
      </c>
      <c r="E143" s="28">
        <v>2561.5</v>
      </c>
      <c r="F143" s="54">
        <f t="shared" si="10"/>
        <v>9</v>
      </c>
      <c r="G143" s="54">
        <f t="shared" si="11"/>
        <v>-1</v>
      </c>
      <c r="H143" s="54"/>
    </row>
    <row r="144" ht="14.25" customHeight="1">
      <c r="B144" s="160">
        <v>45370.0</v>
      </c>
      <c r="C144" s="184" t="str">
        <f t="shared" si="1"/>
        <v>3-2024</v>
      </c>
      <c r="D144" s="165">
        <f t="shared" ref="D144:D146" si="23">E143</f>
        <v>2561.5</v>
      </c>
      <c r="E144" s="28">
        <v>2570.5</v>
      </c>
      <c r="F144" s="54">
        <f t="shared" si="10"/>
        <v>9</v>
      </c>
      <c r="G144" s="54">
        <f t="shared" si="11"/>
        <v>-1</v>
      </c>
      <c r="H144" s="54"/>
    </row>
    <row r="145" ht="14.25" customHeight="1">
      <c r="B145" s="160">
        <v>45371.0</v>
      </c>
      <c r="C145" s="184" t="str">
        <f t="shared" si="1"/>
        <v>3-2024</v>
      </c>
      <c r="D145" s="165">
        <f t="shared" si="23"/>
        <v>2570.5</v>
      </c>
      <c r="E145" s="28">
        <v>2575.8</v>
      </c>
      <c r="F145" s="54">
        <f t="shared" si="10"/>
        <v>5.3</v>
      </c>
      <c r="G145" s="54">
        <f t="shared" si="11"/>
        <v>-4.7</v>
      </c>
      <c r="H145" s="54"/>
    </row>
    <row r="146" ht="14.25" customHeight="1">
      <c r="B146" s="160">
        <v>45372.0</v>
      </c>
      <c r="C146" s="184" t="str">
        <f t="shared" si="1"/>
        <v>3-2024</v>
      </c>
      <c r="D146" s="165">
        <f t="shared" si="23"/>
        <v>2575.8</v>
      </c>
      <c r="E146" s="28">
        <v>2578.0</v>
      </c>
      <c r="F146" s="54">
        <f t="shared" si="10"/>
        <v>2.2</v>
      </c>
      <c r="G146" s="54">
        <f t="shared" si="11"/>
        <v>-7.8</v>
      </c>
      <c r="H146" s="54"/>
    </row>
    <row r="147" ht="14.25" customHeight="1">
      <c r="B147" s="160">
        <v>45373.0</v>
      </c>
      <c r="C147" s="184" t="str">
        <f t="shared" si="1"/>
        <v>3-2024</v>
      </c>
      <c r="F147" s="54">
        <f t="shared" si="10"/>
        <v>0</v>
      </c>
      <c r="G147" s="54">
        <f t="shared" si="11"/>
        <v>-10</v>
      </c>
      <c r="H147" s="54"/>
    </row>
    <row r="148" ht="14.25" customHeight="1">
      <c r="B148" s="160">
        <v>45374.0</v>
      </c>
      <c r="C148" s="184" t="str">
        <f t="shared" si="1"/>
        <v>3-2024</v>
      </c>
      <c r="D148" s="28">
        <v>2578.0</v>
      </c>
      <c r="E148" s="28">
        <v>2584.3</v>
      </c>
      <c r="F148" s="54">
        <f t="shared" si="10"/>
        <v>6.3</v>
      </c>
      <c r="G148" s="54">
        <f t="shared" si="11"/>
        <v>-3.7</v>
      </c>
      <c r="H148" s="54"/>
    </row>
    <row r="149" ht="14.25" customHeight="1">
      <c r="B149" s="160">
        <v>45375.0</v>
      </c>
      <c r="C149" s="184" t="str">
        <f t="shared" si="1"/>
        <v>3-2024</v>
      </c>
      <c r="F149" s="54">
        <f t="shared" si="10"/>
        <v>0</v>
      </c>
      <c r="G149" s="54">
        <f t="shared" si="11"/>
        <v>-10</v>
      </c>
      <c r="H149" s="54"/>
    </row>
    <row r="150" ht="14.25" customHeight="1">
      <c r="B150" s="160">
        <v>45376.0</v>
      </c>
      <c r="C150" s="184" t="str">
        <f t="shared" si="1"/>
        <v>3-2024</v>
      </c>
      <c r="D150" s="28">
        <v>2584.3</v>
      </c>
      <c r="E150" s="28">
        <v>2591.0</v>
      </c>
      <c r="F150" s="54">
        <f t="shared" si="10"/>
        <v>6.7</v>
      </c>
      <c r="G150" s="54">
        <f t="shared" si="11"/>
        <v>-3.3</v>
      </c>
      <c r="H150" s="54"/>
    </row>
    <row r="151" ht="14.25" customHeight="1">
      <c r="B151" s="160">
        <v>45377.0</v>
      </c>
      <c r="C151" s="184" t="str">
        <f t="shared" si="1"/>
        <v>3-2024</v>
      </c>
      <c r="D151" s="165">
        <f t="shared" ref="D151:D152" si="24">E150</f>
        <v>2591</v>
      </c>
      <c r="E151" s="28">
        <v>2599.0</v>
      </c>
      <c r="F151" s="54">
        <f t="shared" si="10"/>
        <v>8</v>
      </c>
      <c r="G151" s="54">
        <f t="shared" si="11"/>
        <v>-2</v>
      </c>
      <c r="H151" s="54"/>
    </row>
    <row r="152" ht="14.25" customHeight="1">
      <c r="B152" s="160">
        <v>45378.0</v>
      </c>
      <c r="C152" s="184" t="str">
        <f t="shared" si="1"/>
        <v>3-2024</v>
      </c>
      <c r="D152" s="165">
        <f t="shared" si="24"/>
        <v>2599</v>
      </c>
      <c r="E152" s="28">
        <v>2607.0</v>
      </c>
      <c r="F152" s="54">
        <f t="shared" si="10"/>
        <v>8</v>
      </c>
      <c r="G152" s="54">
        <f t="shared" si="11"/>
        <v>-2</v>
      </c>
    </row>
    <row r="153" ht="14.25" customHeight="1">
      <c r="B153" s="160">
        <v>45379.0</v>
      </c>
      <c r="C153" s="184" t="str">
        <f t="shared" si="1"/>
        <v>3-2024</v>
      </c>
      <c r="F153" s="54">
        <f t="shared" si="10"/>
        <v>0</v>
      </c>
      <c r="G153" s="54">
        <f t="shared" si="11"/>
        <v>-10</v>
      </c>
    </row>
    <row r="154" ht="14.25" customHeight="1">
      <c r="B154" s="160">
        <v>45380.0</v>
      </c>
      <c r="C154" s="184" t="str">
        <f t="shared" si="1"/>
        <v>3-2024</v>
      </c>
      <c r="D154" s="165" t="str">
        <f t="shared" ref="D154:D156" si="25">E153</f>
        <v/>
      </c>
      <c r="F154" s="54">
        <f t="shared" si="10"/>
        <v>0</v>
      </c>
      <c r="G154" s="54">
        <f t="shared" si="11"/>
        <v>-10</v>
      </c>
    </row>
    <row r="155" ht="14.25" customHeight="1">
      <c r="B155" s="160">
        <v>45381.0</v>
      </c>
      <c r="C155" s="184" t="str">
        <f t="shared" si="1"/>
        <v>3-2024</v>
      </c>
      <c r="D155" s="165" t="str">
        <f t="shared" si="25"/>
        <v/>
      </c>
      <c r="F155" s="54">
        <f t="shared" si="10"/>
        <v>0</v>
      </c>
      <c r="G155" s="54">
        <f t="shared" si="11"/>
        <v>-10</v>
      </c>
    </row>
    <row r="156" ht="14.25" customHeight="1">
      <c r="B156" s="160">
        <v>45382.0</v>
      </c>
      <c r="C156" s="184" t="str">
        <f t="shared" si="1"/>
        <v>3-2024</v>
      </c>
      <c r="D156" s="165" t="str">
        <f t="shared" si="25"/>
        <v/>
      </c>
      <c r="F156" s="54">
        <f t="shared" si="10"/>
        <v>0</v>
      </c>
      <c r="G156" s="54">
        <f t="shared" si="11"/>
        <v>-10</v>
      </c>
    </row>
    <row r="157" ht="14.25" customHeight="1">
      <c r="B157" s="164">
        <v>45383.0</v>
      </c>
      <c r="C157" s="141" t="str">
        <f t="shared" si="1"/>
        <v>4-2024</v>
      </c>
      <c r="D157" s="138">
        <v>7949.7</v>
      </c>
      <c r="E157" s="138">
        <v>7957.0</v>
      </c>
      <c r="F157" s="54">
        <f t="shared" si="10"/>
        <v>7.3</v>
      </c>
      <c r="G157" s="54">
        <f t="shared" si="11"/>
        <v>-2.7</v>
      </c>
    </row>
    <row r="158" ht="14.25" customHeight="1">
      <c r="B158" s="164">
        <v>45384.0</v>
      </c>
      <c r="C158" s="141" t="str">
        <f t="shared" si="1"/>
        <v>4-2024</v>
      </c>
      <c r="D158" s="54">
        <f t="shared" ref="D158:D162" si="26">E157</f>
        <v>7957</v>
      </c>
      <c r="E158" s="138">
        <v>7965.3</v>
      </c>
      <c r="F158" s="54">
        <f t="shared" si="10"/>
        <v>8.3</v>
      </c>
      <c r="G158" s="54">
        <f t="shared" si="11"/>
        <v>-1.7</v>
      </c>
    </row>
    <row r="159" ht="14.25" customHeight="1">
      <c r="B159" s="164">
        <v>45385.0</v>
      </c>
      <c r="C159" s="141" t="str">
        <f t="shared" si="1"/>
        <v>4-2024</v>
      </c>
      <c r="D159" s="54">
        <f t="shared" si="26"/>
        <v>7965.3</v>
      </c>
      <c r="E159" s="138">
        <v>7974.1</v>
      </c>
      <c r="F159" s="54">
        <f t="shared" si="10"/>
        <v>8.8</v>
      </c>
      <c r="G159" s="54">
        <f t="shared" si="11"/>
        <v>-1.2</v>
      </c>
    </row>
    <row r="160" ht="14.25" customHeight="1">
      <c r="B160" s="164">
        <v>45386.0</v>
      </c>
      <c r="C160" s="141" t="str">
        <f t="shared" si="1"/>
        <v>4-2024</v>
      </c>
      <c r="D160" s="54">
        <f t="shared" si="26"/>
        <v>7974.1</v>
      </c>
      <c r="E160" s="138">
        <v>7984.0</v>
      </c>
      <c r="F160" s="54">
        <f t="shared" si="10"/>
        <v>9.9</v>
      </c>
      <c r="G160" s="54">
        <f t="shared" si="11"/>
        <v>-0.1</v>
      </c>
    </row>
    <row r="161" ht="14.25" customHeight="1">
      <c r="B161" s="164">
        <v>45387.0</v>
      </c>
      <c r="C161" s="141" t="str">
        <f t="shared" si="1"/>
        <v>4-2024</v>
      </c>
      <c r="D161" s="197">
        <f t="shared" si="26"/>
        <v>7984</v>
      </c>
      <c r="E161" s="193">
        <v>7992.1</v>
      </c>
      <c r="F161" s="54">
        <f t="shared" si="10"/>
        <v>8.1</v>
      </c>
      <c r="G161" s="54">
        <f t="shared" si="11"/>
        <v>-1.9</v>
      </c>
      <c r="H161" s="28" t="s">
        <v>193</v>
      </c>
    </row>
    <row r="162" ht="14.25" customHeight="1">
      <c r="B162" s="164">
        <v>45388.0</v>
      </c>
      <c r="C162" s="141" t="str">
        <f t="shared" si="1"/>
        <v>4-2024</v>
      </c>
      <c r="D162" s="54">
        <f t="shared" si="26"/>
        <v>7992.1</v>
      </c>
      <c r="E162" s="138">
        <v>7997.5</v>
      </c>
      <c r="F162" s="54">
        <f t="shared" si="10"/>
        <v>5.4</v>
      </c>
      <c r="G162" s="54">
        <f t="shared" si="11"/>
        <v>-4.6</v>
      </c>
    </row>
    <row r="163" ht="14.25" customHeight="1">
      <c r="B163" s="164">
        <v>45389.0</v>
      </c>
      <c r="C163" s="141" t="str">
        <f t="shared" si="1"/>
        <v>4-2024</v>
      </c>
      <c r="D163" s="54"/>
      <c r="E163" s="54"/>
      <c r="F163" s="54">
        <f t="shared" si="10"/>
        <v>0</v>
      </c>
      <c r="G163" s="54">
        <f t="shared" si="11"/>
        <v>-10</v>
      </c>
    </row>
    <row r="164" ht="14.25" customHeight="1">
      <c r="B164" s="164">
        <v>45390.0</v>
      </c>
      <c r="C164" s="141" t="str">
        <f t="shared" si="1"/>
        <v>4-2024</v>
      </c>
      <c r="D164" s="138">
        <v>7997.5</v>
      </c>
      <c r="E164" s="138">
        <v>8005.3</v>
      </c>
      <c r="F164" s="54">
        <f t="shared" si="10"/>
        <v>7.8</v>
      </c>
      <c r="G164" s="54">
        <f t="shared" si="11"/>
        <v>-2.2</v>
      </c>
    </row>
    <row r="165" ht="14.25" customHeight="1">
      <c r="B165" s="164">
        <v>45391.0</v>
      </c>
      <c r="C165" s="141" t="str">
        <f t="shared" si="1"/>
        <v>4-2024</v>
      </c>
      <c r="D165" s="54">
        <f t="shared" ref="D165:D169" si="27">E164</f>
        <v>8005.3</v>
      </c>
      <c r="E165" s="138">
        <v>8013.3</v>
      </c>
      <c r="F165" s="54">
        <f t="shared" si="10"/>
        <v>8</v>
      </c>
      <c r="G165" s="54">
        <f t="shared" si="11"/>
        <v>-2</v>
      </c>
    </row>
    <row r="166" ht="14.25" customHeight="1">
      <c r="B166" s="164">
        <v>45392.0</v>
      </c>
      <c r="C166" s="141" t="str">
        <f t="shared" si="1"/>
        <v>4-2024</v>
      </c>
      <c r="D166" s="54">
        <f t="shared" si="27"/>
        <v>8013.3</v>
      </c>
      <c r="E166" s="138">
        <v>8022.2</v>
      </c>
      <c r="F166" s="54">
        <f t="shared" si="10"/>
        <v>8.9</v>
      </c>
      <c r="G166" s="54">
        <f t="shared" si="11"/>
        <v>-1.1</v>
      </c>
    </row>
    <row r="167" ht="14.25" customHeight="1">
      <c r="B167" s="164">
        <v>45393.0</v>
      </c>
      <c r="C167" s="141" t="str">
        <f t="shared" si="1"/>
        <v>4-2024</v>
      </c>
      <c r="D167" s="54">
        <f t="shared" si="27"/>
        <v>8022.2</v>
      </c>
      <c r="E167" s="138">
        <v>8030.1</v>
      </c>
      <c r="F167" s="54">
        <f t="shared" si="10"/>
        <v>7.9</v>
      </c>
      <c r="G167" s="54">
        <f t="shared" si="11"/>
        <v>-2.1</v>
      </c>
    </row>
    <row r="168" ht="14.25" customHeight="1">
      <c r="B168" s="164">
        <v>45394.0</v>
      </c>
      <c r="C168" s="141" t="str">
        <f t="shared" si="1"/>
        <v>4-2024</v>
      </c>
      <c r="D168" s="54">
        <f t="shared" si="27"/>
        <v>8030.1</v>
      </c>
      <c r="E168" s="138">
        <v>8038.1</v>
      </c>
      <c r="F168" s="54">
        <f t="shared" si="10"/>
        <v>8</v>
      </c>
      <c r="G168" s="54">
        <f t="shared" si="11"/>
        <v>-2</v>
      </c>
    </row>
    <row r="169" ht="14.25" customHeight="1">
      <c r="B169" s="164">
        <v>45395.0</v>
      </c>
      <c r="C169" s="141" t="str">
        <f t="shared" si="1"/>
        <v>4-2024</v>
      </c>
      <c r="D169" s="54">
        <f t="shared" si="27"/>
        <v>8038.1</v>
      </c>
      <c r="E169" s="138">
        <v>8045.6</v>
      </c>
      <c r="F169" s="54">
        <f t="shared" si="10"/>
        <v>7.5</v>
      </c>
      <c r="G169" s="54">
        <f t="shared" si="11"/>
        <v>-2.5</v>
      </c>
    </row>
    <row r="170" ht="14.25" customHeight="1">
      <c r="B170" s="164">
        <v>45396.0</v>
      </c>
      <c r="C170" s="141" t="str">
        <f t="shared" si="1"/>
        <v>4-2024</v>
      </c>
      <c r="D170" s="54"/>
      <c r="E170" s="54"/>
      <c r="F170" s="54">
        <f t="shared" si="10"/>
        <v>0</v>
      </c>
      <c r="G170" s="54">
        <f t="shared" si="11"/>
        <v>-10</v>
      </c>
    </row>
    <row r="171" ht="14.25" customHeight="1">
      <c r="B171" s="164">
        <v>45397.0</v>
      </c>
      <c r="C171" s="141" t="str">
        <f t="shared" si="1"/>
        <v>4-2024</v>
      </c>
      <c r="D171" s="138">
        <v>8045.6</v>
      </c>
      <c r="E171" s="138">
        <v>8054.1</v>
      </c>
      <c r="F171" s="54">
        <f t="shared" si="10"/>
        <v>8.5</v>
      </c>
      <c r="G171" s="54">
        <f t="shared" si="11"/>
        <v>-1.5</v>
      </c>
    </row>
    <row r="172" ht="14.25" customHeight="1">
      <c r="B172" s="164">
        <v>45398.0</v>
      </c>
      <c r="C172" s="141" t="str">
        <f t="shared" si="1"/>
        <v>4-2024</v>
      </c>
      <c r="D172" s="54">
        <f t="shared" ref="D172:D183" si="28">E171</f>
        <v>8054.1</v>
      </c>
      <c r="E172" s="138">
        <v>8062.4</v>
      </c>
      <c r="F172" s="54">
        <f t="shared" si="10"/>
        <v>8.3</v>
      </c>
      <c r="G172" s="54">
        <f t="shared" si="11"/>
        <v>-1.7</v>
      </c>
    </row>
    <row r="173" ht="14.25" customHeight="1">
      <c r="B173" s="164">
        <v>45399.0</v>
      </c>
      <c r="C173" s="141" t="str">
        <f t="shared" si="1"/>
        <v>4-2024</v>
      </c>
      <c r="D173" s="54">
        <f t="shared" si="28"/>
        <v>8062.4</v>
      </c>
      <c r="E173" s="138">
        <v>8071.0</v>
      </c>
      <c r="F173" s="54">
        <f t="shared" si="10"/>
        <v>8.6</v>
      </c>
      <c r="G173" s="54">
        <f t="shared" si="11"/>
        <v>-1.4</v>
      </c>
    </row>
    <row r="174" ht="14.25" customHeight="1">
      <c r="B174" s="164">
        <v>45400.0</v>
      </c>
      <c r="C174" s="141" t="str">
        <f t="shared" si="1"/>
        <v>4-2024</v>
      </c>
      <c r="D174" s="54">
        <f t="shared" si="28"/>
        <v>8071</v>
      </c>
      <c r="E174" s="138">
        <v>8079.0</v>
      </c>
      <c r="F174" s="54">
        <f t="shared" si="10"/>
        <v>8</v>
      </c>
      <c r="G174" s="54">
        <f t="shared" si="11"/>
        <v>-2</v>
      </c>
    </row>
    <row r="175" ht="14.25" customHeight="1">
      <c r="B175" s="164">
        <v>45401.0</v>
      </c>
      <c r="C175" s="141" t="str">
        <f t="shared" si="1"/>
        <v>4-2024</v>
      </c>
      <c r="D175" s="54">
        <f t="shared" si="28"/>
        <v>8079</v>
      </c>
      <c r="E175" s="138">
        <v>8088.8</v>
      </c>
      <c r="F175" s="54">
        <f t="shared" si="10"/>
        <v>9.8</v>
      </c>
      <c r="G175" s="54">
        <f t="shared" si="11"/>
        <v>-0.2</v>
      </c>
    </row>
    <row r="176" ht="14.25" customHeight="1">
      <c r="B176" s="164">
        <v>45402.0</v>
      </c>
      <c r="C176" s="141" t="str">
        <f t="shared" si="1"/>
        <v>4-2024</v>
      </c>
      <c r="D176" s="54">
        <f t="shared" si="28"/>
        <v>8088.8</v>
      </c>
      <c r="E176" s="138">
        <v>8094.0</v>
      </c>
      <c r="F176" s="54">
        <f t="shared" si="10"/>
        <v>5.2</v>
      </c>
      <c r="G176" s="54">
        <f t="shared" si="11"/>
        <v>-4.8</v>
      </c>
    </row>
    <row r="177" ht="14.25" customHeight="1">
      <c r="B177" s="164">
        <v>45403.0</v>
      </c>
      <c r="C177" s="141" t="str">
        <f t="shared" si="1"/>
        <v>4-2024</v>
      </c>
      <c r="D177" s="54">
        <f t="shared" si="28"/>
        <v>8094</v>
      </c>
      <c r="E177" s="138">
        <v>8099.0</v>
      </c>
      <c r="F177" s="54">
        <f t="shared" si="10"/>
        <v>5</v>
      </c>
      <c r="G177" s="54">
        <f t="shared" si="11"/>
        <v>-5</v>
      </c>
    </row>
    <row r="178" ht="14.25" customHeight="1">
      <c r="B178" s="164">
        <v>45404.0</v>
      </c>
      <c r="C178" s="141" t="str">
        <f t="shared" si="1"/>
        <v>4-2024</v>
      </c>
      <c r="D178" s="54">
        <f t="shared" si="28"/>
        <v>8099</v>
      </c>
      <c r="E178" s="138">
        <v>8109.0</v>
      </c>
      <c r="F178" s="54">
        <f t="shared" si="10"/>
        <v>10</v>
      </c>
      <c r="G178" s="54">
        <f t="shared" si="11"/>
        <v>0</v>
      </c>
    </row>
    <row r="179" ht="14.25" customHeight="1">
      <c r="B179" s="164">
        <v>45405.0</v>
      </c>
      <c r="C179" s="141" t="str">
        <f t="shared" si="1"/>
        <v>4-2024</v>
      </c>
      <c r="D179" s="54">
        <f t="shared" si="28"/>
        <v>8109</v>
      </c>
      <c r="E179" s="138">
        <v>8117.5</v>
      </c>
      <c r="F179" s="54">
        <f t="shared" si="10"/>
        <v>8.5</v>
      </c>
      <c r="G179" s="54">
        <f t="shared" si="11"/>
        <v>-1.5</v>
      </c>
    </row>
    <row r="180" ht="14.25" customHeight="1">
      <c r="B180" s="164">
        <v>45406.0</v>
      </c>
      <c r="C180" s="141" t="str">
        <f t="shared" si="1"/>
        <v>4-2024</v>
      </c>
      <c r="D180" s="54">
        <f t="shared" si="28"/>
        <v>8117.5</v>
      </c>
      <c r="E180" s="138">
        <v>8127.7</v>
      </c>
      <c r="F180" s="54">
        <f t="shared" si="10"/>
        <v>10.2</v>
      </c>
      <c r="G180" s="54">
        <f t="shared" si="11"/>
        <v>0.2</v>
      </c>
    </row>
    <row r="181" ht="14.25" customHeight="1">
      <c r="B181" s="164">
        <v>45407.0</v>
      </c>
      <c r="C181" s="141" t="str">
        <f t="shared" si="1"/>
        <v>4-2024</v>
      </c>
      <c r="D181" s="54">
        <f t="shared" si="28"/>
        <v>8127.7</v>
      </c>
      <c r="E181" s="138">
        <v>8133.4</v>
      </c>
      <c r="F181" s="54">
        <f t="shared" si="10"/>
        <v>5.7</v>
      </c>
      <c r="G181" s="54">
        <f t="shared" si="11"/>
        <v>-4.3</v>
      </c>
    </row>
    <row r="182" ht="14.25" customHeight="1">
      <c r="B182" s="164">
        <v>45408.0</v>
      </c>
      <c r="C182" s="141" t="str">
        <f t="shared" si="1"/>
        <v>4-2024</v>
      </c>
      <c r="D182" s="54">
        <f t="shared" si="28"/>
        <v>8133.4</v>
      </c>
      <c r="E182" s="138">
        <v>8143.0</v>
      </c>
      <c r="F182" s="54">
        <f t="shared" si="10"/>
        <v>9.6</v>
      </c>
      <c r="G182" s="54">
        <f t="shared" si="11"/>
        <v>-0.4</v>
      </c>
    </row>
    <row r="183" ht="14.25" customHeight="1">
      <c r="B183" s="164">
        <v>45409.0</v>
      </c>
      <c r="C183" s="141" t="str">
        <f t="shared" si="1"/>
        <v>4-2024</v>
      </c>
      <c r="D183" s="54">
        <f t="shared" si="28"/>
        <v>8143</v>
      </c>
      <c r="E183" s="138">
        <v>8148.6</v>
      </c>
      <c r="F183" s="54">
        <f t="shared" si="10"/>
        <v>5.6</v>
      </c>
      <c r="G183" s="54">
        <f t="shared" si="11"/>
        <v>-4.4</v>
      </c>
    </row>
    <row r="184" ht="14.25" customHeight="1">
      <c r="B184" s="164">
        <v>45410.0</v>
      </c>
      <c r="C184" s="141" t="str">
        <f t="shared" si="1"/>
        <v>4-2024</v>
      </c>
      <c r="D184" s="54"/>
      <c r="E184" s="54"/>
      <c r="F184" s="54">
        <f t="shared" si="10"/>
        <v>0</v>
      </c>
      <c r="G184" s="54">
        <f t="shared" si="11"/>
        <v>-10</v>
      </c>
    </row>
    <row r="185" ht="14.25" customHeight="1">
      <c r="B185" s="164">
        <v>45411.0</v>
      </c>
      <c r="C185" s="141" t="str">
        <f t="shared" si="1"/>
        <v>4-2024</v>
      </c>
      <c r="D185" s="28">
        <v>8148.6</v>
      </c>
      <c r="E185" s="28">
        <v>8159.0</v>
      </c>
      <c r="F185" s="54">
        <f t="shared" si="10"/>
        <v>10.4</v>
      </c>
      <c r="G185" s="54">
        <f t="shared" si="11"/>
        <v>0.4</v>
      </c>
    </row>
    <row r="186" ht="14.25" customHeight="1">
      <c r="B186" s="164">
        <v>45412.0</v>
      </c>
      <c r="C186" s="141" t="str">
        <f t="shared" si="1"/>
        <v>4-2024</v>
      </c>
      <c r="D186" s="165">
        <f>E185</f>
        <v>8159</v>
      </c>
      <c r="E186" s="28">
        <v>8167.2</v>
      </c>
      <c r="F186" s="54">
        <f t="shared" si="10"/>
        <v>8.2</v>
      </c>
      <c r="G186" s="54">
        <f t="shared" si="11"/>
        <v>-1.8</v>
      </c>
    </row>
    <row r="187" ht="14.25" customHeight="1">
      <c r="B187" s="142">
        <v>45413.0</v>
      </c>
      <c r="C187" s="143" t="str">
        <f t="shared" si="1"/>
        <v>5-2024</v>
      </c>
      <c r="D187" s="144">
        <v>8167.2</v>
      </c>
      <c r="E187" s="144">
        <v>8177.3</v>
      </c>
      <c r="F187" s="92">
        <f t="shared" si="10"/>
        <v>10.1</v>
      </c>
      <c r="G187" s="92">
        <f t="shared" si="11"/>
        <v>0.1</v>
      </c>
    </row>
    <row r="188" ht="14.25" customHeight="1">
      <c r="B188" s="164">
        <v>45414.0</v>
      </c>
      <c r="C188" s="141" t="str">
        <f t="shared" si="1"/>
        <v>5-2024</v>
      </c>
      <c r="D188" s="165">
        <f t="shared" ref="D188:D190" si="29">E187</f>
        <v>8177.3</v>
      </c>
      <c r="E188" s="28">
        <v>8185.3</v>
      </c>
      <c r="F188" s="54">
        <f t="shared" si="10"/>
        <v>8</v>
      </c>
      <c r="G188" s="54">
        <f t="shared" si="11"/>
        <v>-2</v>
      </c>
    </row>
    <row r="189" ht="14.25" customHeight="1">
      <c r="B189" s="164">
        <v>45415.0</v>
      </c>
      <c r="C189" s="141" t="str">
        <f t="shared" si="1"/>
        <v>5-2024</v>
      </c>
      <c r="D189" s="165">
        <f t="shared" si="29"/>
        <v>8185.3</v>
      </c>
      <c r="E189" s="28">
        <v>8195.0</v>
      </c>
      <c r="F189" s="54">
        <f t="shared" si="10"/>
        <v>9.7</v>
      </c>
      <c r="G189" s="54">
        <f t="shared" si="11"/>
        <v>-0.3</v>
      </c>
    </row>
    <row r="190" ht="14.25" customHeight="1">
      <c r="B190" s="198">
        <v>45416.0</v>
      </c>
      <c r="C190" s="199" t="str">
        <f t="shared" si="1"/>
        <v>5-2024</v>
      </c>
      <c r="D190" s="200">
        <f t="shared" si="29"/>
        <v>8195</v>
      </c>
      <c r="E190" s="201">
        <v>8200.3</v>
      </c>
      <c r="F190" s="200">
        <f t="shared" si="10"/>
        <v>5.3</v>
      </c>
      <c r="G190" s="200">
        <f t="shared" si="11"/>
        <v>-4.7</v>
      </c>
    </row>
    <row r="191" ht="14.25" customHeight="1">
      <c r="B191" s="198">
        <v>45417.0</v>
      </c>
      <c r="C191" s="199" t="str">
        <f t="shared" si="1"/>
        <v>5-2024</v>
      </c>
      <c r="D191" s="200"/>
      <c r="E191" s="200"/>
      <c r="F191" s="200">
        <f t="shared" si="10"/>
        <v>0</v>
      </c>
      <c r="G191" s="200">
        <f t="shared" si="11"/>
        <v>-10</v>
      </c>
    </row>
    <row r="192" ht="14.25" customHeight="1">
      <c r="B192" s="164">
        <v>45418.0</v>
      </c>
      <c r="C192" s="141" t="str">
        <f t="shared" si="1"/>
        <v>5-2024</v>
      </c>
      <c r="D192" s="28">
        <v>8200.3</v>
      </c>
      <c r="E192" s="28">
        <v>8201.7</v>
      </c>
      <c r="F192" s="54">
        <f t="shared" si="10"/>
        <v>1.4</v>
      </c>
      <c r="G192" s="54">
        <f t="shared" si="11"/>
        <v>-8.6</v>
      </c>
    </row>
    <row r="193" ht="14.25" customHeight="1">
      <c r="B193" s="164">
        <v>45419.0</v>
      </c>
      <c r="C193" s="141" t="str">
        <f t="shared" si="1"/>
        <v>5-2024</v>
      </c>
      <c r="D193" s="165">
        <f t="shared" ref="D193:D202" si="30">E192</f>
        <v>8201.7</v>
      </c>
      <c r="E193" s="28">
        <v>8208.0</v>
      </c>
      <c r="F193" s="54">
        <f t="shared" si="10"/>
        <v>6.3</v>
      </c>
      <c r="G193" s="54">
        <f t="shared" si="11"/>
        <v>-3.7</v>
      </c>
    </row>
    <row r="194" ht="14.25" customHeight="1">
      <c r="B194" s="164">
        <v>45420.0</v>
      </c>
      <c r="C194" s="141" t="str">
        <f t="shared" si="1"/>
        <v>5-2024</v>
      </c>
      <c r="D194" s="165">
        <f t="shared" si="30"/>
        <v>8208</v>
      </c>
      <c r="E194" s="28">
        <v>8216.5</v>
      </c>
      <c r="F194" s="54">
        <f t="shared" si="10"/>
        <v>8.5</v>
      </c>
      <c r="G194" s="54">
        <f t="shared" si="11"/>
        <v>-1.5</v>
      </c>
    </row>
    <row r="195" ht="14.25" customHeight="1">
      <c r="B195" s="164">
        <v>45421.0</v>
      </c>
      <c r="C195" s="141" t="str">
        <f t="shared" si="1"/>
        <v>5-2024</v>
      </c>
      <c r="D195" s="165">
        <f t="shared" si="30"/>
        <v>8216.5</v>
      </c>
      <c r="E195" s="28">
        <v>8226.0</v>
      </c>
      <c r="F195" s="54">
        <f t="shared" si="10"/>
        <v>9.5</v>
      </c>
      <c r="G195" s="54">
        <f t="shared" si="11"/>
        <v>-0.5</v>
      </c>
    </row>
    <row r="196" ht="14.25" customHeight="1">
      <c r="B196" s="164">
        <v>45422.0</v>
      </c>
      <c r="C196" s="141" t="str">
        <f t="shared" si="1"/>
        <v>5-2024</v>
      </c>
      <c r="D196" s="165">
        <f t="shared" si="30"/>
        <v>8226</v>
      </c>
      <c r="E196" s="28">
        <v>8236.1</v>
      </c>
      <c r="F196" s="54">
        <f t="shared" si="10"/>
        <v>10.1</v>
      </c>
      <c r="G196" s="54">
        <f t="shared" si="11"/>
        <v>0.1</v>
      </c>
    </row>
    <row r="197" ht="14.25" customHeight="1">
      <c r="B197" s="198">
        <v>45423.0</v>
      </c>
      <c r="C197" s="199" t="str">
        <f t="shared" si="1"/>
        <v>5-2024</v>
      </c>
      <c r="D197" s="200">
        <f t="shared" si="30"/>
        <v>8236.1</v>
      </c>
      <c r="E197" s="201">
        <v>8246.1</v>
      </c>
      <c r="F197" s="200">
        <f t="shared" si="10"/>
        <v>10</v>
      </c>
      <c r="G197" s="200">
        <f t="shared" si="11"/>
        <v>0</v>
      </c>
    </row>
    <row r="198" ht="14.25" customHeight="1">
      <c r="B198" s="198">
        <v>45424.0</v>
      </c>
      <c r="C198" s="199" t="str">
        <f t="shared" si="1"/>
        <v>5-2024</v>
      </c>
      <c r="D198" s="200">
        <f t="shared" si="30"/>
        <v>8246.1</v>
      </c>
      <c r="E198" s="201">
        <v>8258.1</v>
      </c>
      <c r="F198" s="200">
        <f t="shared" si="10"/>
        <v>12</v>
      </c>
      <c r="G198" s="200">
        <f t="shared" si="11"/>
        <v>2</v>
      </c>
    </row>
    <row r="199" ht="14.25" customHeight="1">
      <c r="B199" s="164">
        <v>45425.0</v>
      </c>
      <c r="C199" s="141" t="str">
        <f t="shared" si="1"/>
        <v>5-2024</v>
      </c>
      <c r="D199" s="165">
        <f t="shared" si="30"/>
        <v>8258.1</v>
      </c>
      <c r="E199" s="28">
        <v>8262.5</v>
      </c>
      <c r="F199" s="54">
        <f t="shared" si="10"/>
        <v>4.4</v>
      </c>
      <c r="G199" s="54">
        <f t="shared" si="11"/>
        <v>-5.6</v>
      </c>
    </row>
    <row r="200" ht="14.25" customHeight="1">
      <c r="B200" s="164">
        <v>45426.0</v>
      </c>
      <c r="C200" s="141" t="str">
        <f t="shared" si="1"/>
        <v>5-2024</v>
      </c>
      <c r="D200" s="165">
        <f t="shared" si="30"/>
        <v>8262.5</v>
      </c>
      <c r="E200" s="28">
        <v>8269.5</v>
      </c>
      <c r="F200" s="54">
        <f t="shared" si="10"/>
        <v>7</v>
      </c>
      <c r="G200" s="54">
        <f t="shared" si="11"/>
        <v>-3</v>
      </c>
    </row>
    <row r="201" ht="14.25" customHeight="1">
      <c r="B201" s="164">
        <v>45427.0</v>
      </c>
      <c r="C201" s="141" t="str">
        <f t="shared" si="1"/>
        <v>5-2024</v>
      </c>
      <c r="D201" s="165">
        <f t="shared" si="30"/>
        <v>8269.5</v>
      </c>
      <c r="E201" s="28">
        <v>8277.5</v>
      </c>
      <c r="F201" s="54">
        <f t="shared" si="10"/>
        <v>8</v>
      </c>
      <c r="G201" s="54">
        <f t="shared" si="11"/>
        <v>-2</v>
      </c>
    </row>
    <row r="202" ht="14.25" customHeight="1">
      <c r="B202" s="164">
        <v>45428.0</v>
      </c>
      <c r="C202" s="141" t="str">
        <f t="shared" si="1"/>
        <v>5-2024</v>
      </c>
      <c r="D202" s="165">
        <f t="shared" si="30"/>
        <v>8277.5</v>
      </c>
      <c r="E202" s="28">
        <v>8287.2</v>
      </c>
      <c r="F202" s="54">
        <f t="shared" si="10"/>
        <v>9.7</v>
      </c>
      <c r="G202" s="54">
        <f t="shared" si="11"/>
        <v>-0.3</v>
      </c>
    </row>
    <row r="203" ht="14.25" customHeight="1">
      <c r="B203" s="164">
        <v>45429.0</v>
      </c>
      <c r="C203" s="141" t="str">
        <f t="shared" si="1"/>
        <v>5-2024</v>
      </c>
      <c r="F203" s="54">
        <f t="shared" si="10"/>
        <v>0</v>
      </c>
      <c r="G203" s="54">
        <f t="shared" si="11"/>
        <v>-10</v>
      </c>
    </row>
    <row r="204" ht="14.25" customHeight="1">
      <c r="B204" s="198">
        <v>45430.0</v>
      </c>
      <c r="C204" s="199" t="str">
        <f t="shared" si="1"/>
        <v>5-2024</v>
      </c>
      <c r="D204" s="200" t="str">
        <f t="shared" ref="D204:D205" si="31">E203</f>
        <v/>
      </c>
      <c r="E204" s="200"/>
      <c r="F204" s="200">
        <f t="shared" si="10"/>
        <v>0</v>
      </c>
      <c r="G204" s="200">
        <f t="shared" si="11"/>
        <v>-10</v>
      </c>
    </row>
    <row r="205" ht="14.25" customHeight="1">
      <c r="B205" s="198">
        <v>45431.0</v>
      </c>
      <c r="C205" s="199" t="str">
        <f t="shared" si="1"/>
        <v>5-2024</v>
      </c>
      <c r="D205" s="200" t="str">
        <f t="shared" si="31"/>
        <v/>
      </c>
      <c r="E205" s="200"/>
      <c r="F205" s="200">
        <f t="shared" si="10"/>
        <v>0</v>
      </c>
      <c r="G205" s="200">
        <f t="shared" si="11"/>
        <v>-10</v>
      </c>
    </row>
    <row r="206" ht="14.25" customHeight="1">
      <c r="B206" s="164">
        <v>45432.0</v>
      </c>
      <c r="C206" s="141" t="str">
        <f t="shared" si="1"/>
        <v>5-2024</v>
      </c>
      <c r="D206" s="28">
        <v>8295.2</v>
      </c>
      <c r="E206" s="28">
        <v>8299.8</v>
      </c>
      <c r="F206" s="54">
        <f t="shared" si="10"/>
        <v>4.6</v>
      </c>
      <c r="G206" s="54">
        <f t="shared" si="11"/>
        <v>-5.4</v>
      </c>
    </row>
    <row r="207" ht="14.25" customHeight="1">
      <c r="B207" s="164">
        <v>45433.0</v>
      </c>
      <c r="C207" s="141" t="str">
        <f t="shared" si="1"/>
        <v>5-2024</v>
      </c>
      <c r="D207" s="165">
        <f t="shared" ref="D207:D211" si="32">E206</f>
        <v>8299.8</v>
      </c>
      <c r="E207" s="28">
        <v>8306.2</v>
      </c>
      <c r="F207" s="54">
        <f t="shared" si="10"/>
        <v>6.4</v>
      </c>
      <c r="G207" s="54">
        <f t="shared" si="11"/>
        <v>-3.6</v>
      </c>
    </row>
    <row r="208" ht="14.25" customHeight="1">
      <c r="B208" s="164">
        <v>45434.0</v>
      </c>
      <c r="C208" s="141" t="str">
        <f t="shared" si="1"/>
        <v>5-2024</v>
      </c>
      <c r="D208" s="165">
        <f t="shared" si="32"/>
        <v>8306.2</v>
      </c>
      <c r="E208" s="28">
        <v>8313.7</v>
      </c>
      <c r="F208" s="54">
        <f t="shared" si="10"/>
        <v>7.5</v>
      </c>
      <c r="G208" s="54">
        <f t="shared" si="11"/>
        <v>-2.5</v>
      </c>
    </row>
    <row r="209" ht="14.25" customHeight="1">
      <c r="B209" s="164">
        <v>45435.0</v>
      </c>
      <c r="C209" s="141" t="str">
        <f t="shared" si="1"/>
        <v>5-2024</v>
      </c>
      <c r="D209" s="165">
        <f t="shared" si="32"/>
        <v>8313.7</v>
      </c>
      <c r="E209" s="28">
        <v>8321.9</v>
      </c>
      <c r="F209" s="54">
        <f t="shared" si="10"/>
        <v>8.2</v>
      </c>
      <c r="G209" s="54">
        <f t="shared" si="11"/>
        <v>-1.8</v>
      </c>
    </row>
    <row r="210" ht="14.25" customHeight="1">
      <c r="B210" s="164">
        <v>45436.0</v>
      </c>
      <c r="C210" s="141" t="str">
        <f t="shared" si="1"/>
        <v>5-2024</v>
      </c>
      <c r="D210" s="165">
        <f t="shared" si="32"/>
        <v>8321.9</v>
      </c>
      <c r="E210" s="28">
        <v>8329.2</v>
      </c>
      <c r="F210" s="54">
        <f t="shared" si="10"/>
        <v>7.3</v>
      </c>
      <c r="G210" s="54">
        <f t="shared" si="11"/>
        <v>-2.7</v>
      </c>
    </row>
    <row r="211" ht="14.25" customHeight="1">
      <c r="B211" s="198">
        <v>45437.0</v>
      </c>
      <c r="C211" s="199" t="str">
        <f t="shared" si="1"/>
        <v>5-2024</v>
      </c>
      <c r="D211" s="200">
        <f t="shared" si="32"/>
        <v>8329.2</v>
      </c>
      <c r="E211" s="201">
        <v>8333.8</v>
      </c>
      <c r="F211" s="200">
        <f t="shared" si="10"/>
        <v>4.6</v>
      </c>
      <c r="G211" s="200">
        <f t="shared" si="11"/>
        <v>-5.4</v>
      </c>
    </row>
    <row r="212" ht="14.25" customHeight="1">
      <c r="B212" s="198">
        <v>45438.0</v>
      </c>
      <c r="C212" s="199" t="str">
        <f t="shared" si="1"/>
        <v>5-2024</v>
      </c>
      <c r="D212" s="200"/>
      <c r="E212" s="200"/>
      <c r="F212" s="200">
        <f t="shared" si="10"/>
        <v>0</v>
      </c>
      <c r="G212" s="200">
        <f t="shared" si="11"/>
        <v>-10</v>
      </c>
    </row>
    <row r="213" ht="14.25" customHeight="1">
      <c r="B213" s="164">
        <v>45439.0</v>
      </c>
      <c r="C213" s="141" t="str">
        <f t="shared" si="1"/>
        <v>5-2024</v>
      </c>
      <c r="D213" s="28">
        <v>8333.8</v>
      </c>
      <c r="E213" s="28">
        <v>8339.5</v>
      </c>
      <c r="F213" s="54">
        <f t="shared" si="10"/>
        <v>5.7</v>
      </c>
      <c r="G213" s="54">
        <f t="shared" si="11"/>
        <v>-4.3</v>
      </c>
    </row>
    <row r="214" ht="14.25" customHeight="1">
      <c r="B214" s="164">
        <v>45440.0</v>
      </c>
      <c r="C214" s="141" t="str">
        <f t="shared" si="1"/>
        <v>5-2024</v>
      </c>
      <c r="D214" s="165">
        <f t="shared" ref="D214:D215" si="33">E213</f>
        <v>8339.5</v>
      </c>
      <c r="E214" s="28">
        <v>8348.7</v>
      </c>
      <c r="F214" s="54">
        <f t="shared" si="10"/>
        <v>9.2</v>
      </c>
      <c r="G214" s="54">
        <f t="shared" si="11"/>
        <v>-0.8</v>
      </c>
    </row>
    <row r="215" ht="14.25" customHeight="1">
      <c r="B215" s="164">
        <v>45441.0</v>
      </c>
      <c r="C215" s="141" t="str">
        <f t="shared" si="1"/>
        <v>5-2024</v>
      </c>
      <c r="D215" s="165">
        <f t="shared" si="33"/>
        <v>8348.7</v>
      </c>
      <c r="E215" s="28">
        <v>8349.2</v>
      </c>
      <c r="F215" s="54">
        <f t="shared" si="10"/>
        <v>0.5</v>
      </c>
      <c r="G215" s="54">
        <f t="shared" si="11"/>
        <v>-9.5</v>
      </c>
    </row>
    <row r="216" ht="14.25" customHeight="1">
      <c r="B216" s="142">
        <v>45442.0</v>
      </c>
      <c r="C216" s="143" t="str">
        <f t="shared" si="1"/>
        <v>5-2024</v>
      </c>
      <c r="D216" s="92"/>
      <c r="E216" s="92"/>
      <c r="F216" s="92">
        <f t="shared" si="10"/>
        <v>0</v>
      </c>
      <c r="G216" s="92">
        <f t="shared" si="11"/>
        <v>-10</v>
      </c>
    </row>
    <row r="217" ht="14.25" customHeight="1">
      <c r="B217" s="164">
        <v>45443.0</v>
      </c>
      <c r="C217" s="141" t="str">
        <f t="shared" si="1"/>
        <v>5-2024</v>
      </c>
      <c r="D217" s="28">
        <v>8349.2</v>
      </c>
      <c r="E217" s="28">
        <v>8353.7</v>
      </c>
      <c r="F217" s="54">
        <f t="shared" si="10"/>
        <v>4.5</v>
      </c>
      <c r="G217" s="54">
        <f t="shared" si="11"/>
        <v>-5.5</v>
      </c>
    </row>
    <row r="218" ht="14.25" customHeight="1">
      <c r="B218" s="145">
        <v>45444.0</v>
      </c>
      <c r="C218" s="166" t="str">
        <f t="shared" si="1"/>
        <v>6-2024</v>
      </c>
      <c r="D218" s="138">
        <v>8353.7</v>
      </c>
      <c r="E218" s="138">
        <v>8358.4</v>
      </c>
      <c r="F218" s="54">
        <f t="shared" si="10"/>
        <v>4.7</v>
      </c>
      <c r="G218" s="54">
        <f t="shared" si="11"/>
        <v>-5.3</v>
      </c>
      <c r="H218" s="28" t="s">
        <v>194</v>
      </c>
    </row>
    <row r="219" ht="14.25" customHeight="1">
      <c r="B219" s="145">
        <v>45445.0</v>
      </c>
      <c r="C219" s="166" t="str">
        <f t="shared" si="1"/>
        <v>6-2024</v>
      </c>
      <c r="D219" s="138">
        <v>8358.4</v>
      </c>
      <c r="E219" s="138">
        <v>8366.1</v>
      </c>
      <c r="F219" s="54">
        <f t="shared" si="10"/>
        <v>7.7</v>
      </c>
      <c r="G219" s="54">
        <f t="shared" si="11"/>
        <v>-2.3</v>
      </c>
      <c r="H219" s="28" t="s">
        <v>194</v>
      </c>
    </row>
    <row r="220" ht="14.25" customHeight="1">
      <c r="B220" s="164">
        <v>45446.0</v>
      </c>
      <c r="C220" s="141" t="str">
        <f t="shared" si="1"/>
        <v>6-2024</v>
      </c>
      <c r="D220" s="54"/>
      <c r="E220" s="54"/>
      <c r="F220" s="54">
        <f t="shared" si="10"/>
        <v>0</v>
      </c>
      <c r="G220" s="54">
        <f t="shared" si="11"/>
        <v>-10</v>
      </c>
    </row>
    <row r="221" ht="14.25" customHeight="1">
      <c r="B221" s="164">
        <v>45447.0</v>
      </c>
      <c r="C221" s="141" t="str">
        <f t="shared" si="1"/>
        <v>6-2024</v>
      </c>
      <c r="D221" s="54"/>
      <c r="E221" s="54"/>
      <c r="F221" s="54">
        <f t="shared" si="10"/>
        <v>0</v>
      </c>
      <c r="G221" s="54">
        <f t="shared" si="11"/>
        <v>-10</v>
      </c>
    </row>
    <row r="222" ht="14.25" customHeight="1">
      <c r="B222" s="164">
        <v>45448.0</v>
      </c>
      <c r="C222" s="141" t="str">
        <f t="shared" si="1"/>
        <v>6-2024</v>
      </c>
      <c r="D222" s="54"/>
      <c r="E222" s="54"/>
      <c r="F222" s="54">
        <f t="shared" si="10"/>
        <v>0</v>
      </c>
      <c r="G222" s="54">
        <f t="shared" si="11"/>
        <v>-10</v>
      </c>
    </row>
    <row r="223" ht="14.25" customHeight="1">
      <c r="B223" s="164">
        <v>45449.0</v>
      </c>
      <c r="C223" s="141" t="str">
        <f t="shared" si="1"/>
        <v>6-2024</v>
      </c>
      <c r="D223" s="54"/>
      <c r="E223" s="54"/>
      <c r="F223" s="54">
        <f t="shared" si="10"/>
        <v>0</v>
      </c>
      <c r="G223" s="54">
        <f t="shared" si="11"/>
        <v>-10</v>
      </c>
    </row>
    <row r="224" ht="14.25" customHeight="1">
      <c r="B224" s="164">
        <v>45450.0</v>
      </c>
      <c r="C224" s="141" t="str">
        <f t="shared" si="1"/>
        <v>6-2024</v>
      </c>
      <c r="D224" s="138">
        <v>374.0</v>
      </c>
      <c r="E224" s="138">
        <v>378.0</v>
      </c>
      <c r="F224" s="54">
        <f t="shared" si="10"/>
        <v>4</v>
      </c>
      <c r="G224" s="54">
        <f t="shared" si="11"/>
        <v>-6</v>
      </c>
      <c r="H224" s="28" t="s">
        <v>195</v>
      </c>
    </row>
    <row r="225" ht="14.25" customHeight="1">
      <c r="B225" s="145">
        <v>45451.0</v>
      </c>
      <c r="C225" s="166" t="str">
        <f t="shared" si="1"/>
        <v>6-2024</v>
      </c>
      <c r="D225" s="54"/>
      <c r="E225" s="54"/>
      <c r="F225" s="54">
        <f t="shared" si="10"/>
        <v>0</v>
      </c>
      <c r="G225" s="54">
        <f t="shared" si="11"/>
        <v>-10</v>
      </c>
    </row>
    <row r="226" ht="14.25" customHeight="1">
      <c r="B226" s="145">
        <v>45452.0</v>
      </c>
      <c r="C226" s="166" t="str">
        <f t="shared" si="1"/>
        <v>6-2024</v>
      </c>
      <c r="D226" s="54"/>
      <c r="E226" s="54"/>
      <c r="F226" s="54">
        <f t="shared" si="10"/>
        <v>0</v>
      </c>
      <c r="G226" s="54">
        <f t="shared" si="11"/>
        <v>-10</v>
      </c>
    </row>
    <row r="227" ht="14.25" customHeight="1">
      <c r="B227" s="164">
        <v>45453.0</v>
      </c>
      <c r="C227" s="141" t="str">
        <f t="shared" si="1"/>
        <v>6-2024</v>
      </c>
      <c r="D227" s="138">
        <v>8366.1</v>
      </c>
      <c r="E227" s="138">
        <v>8367.1</v>
      </c>
      <c r="F227" s="54">
        <f t="shared" si="10"/>
        <v>1</v>
      </c>
      <c r="G227" s="54">
        <f t="shared" si="11"/>
        <v>-9</v>
      </c>
      <c r="H227" s="28" t="s">
        <v>196</v>
      </c>
    </row>
    <row r="228" ht="14.25" customHeight="1">
      <c r="B228" s="164">
        <v>45454.0</v>
      </c>
      <c r="C228" s="141" t="str">
        <f t="shared" si="1"/>
        <v>6-2024</v>
      </c>
      <c r="D228" s="138">
        <v>8367.1</v>
      </c>
      <c r="E228" s="138">
        <v>8376.4</v>
      </c>
      <c r="F228" s="54">
        <f t="shared" si="10"/>
        <v>9.3</v>
      </c>
      <c r="G228" s="54">
        <f t="shared" si="11"/>
        <v>-0.7</v>
      </c>
      <c r="H228" s="28" t="s">
        <v>196</v>
      </c>
    </row>
    <row r="229" ht="14.25" customHeight="1">
      <c r="B229" s="164">
        <v>45455.0</v>
      </c>
      <c r="C229" s="141" t="str">
        <f t="shared" si="1"/>
        <v>6-2024</v>
      </c>
      <c r="D229" s="54">
        <f t="shared" ref="D229:D232" si="34">E228</f>
        <v>8376.4</v>
      </c>
      <c r="E229" s="138">
        <v>8385.5</v>
      </c>
      <c r="F229" s="54">
        <f t="shared" si="10"/>
        <v>9.1</v>
      </c>
      <c r="G229" s="54">
        <f t="shared" si="11"/>
        <v>-0.9</v>
      </c>
      <c r="H229" s="28" t="s">
        <v>196</v>
      </c>
    </row>
    <row r="230" ht="14.25" customHeight="1">
      <c r="B230" s="164">
        <v>45456.0</v>
      </c>
      <c r="C230" s="141" t="str">
        <f t="shared" si="1"/>
        <v>6-2024</v>
      </c>
      <c r="D230" s="54">
        <f t="shared" si="34"/>
        <v>8385.5</v>
      </c>
      <c r="E230" s="138">
        <v>8394.2</v>
      </c>
      <c r="F230" s="54">
        <f t="shared" si="10"/>
        <v>8.7</v>
      </c>
      <c r="G230" s="54">
        <f t="shared" si="11"/>
        <v>-1.3</v>
      </c>
      <c r="H230" s="28" t="s">
        <v>196</v>
      </c>
    </row>
    <row r="231" ht="14.25" customHeight="1">
      <c r="B231" s="164">
        <v>45457.0</v>
      </c>
      <c r="C231" s="141" t="str">
        <f t="shared" si="1"/>
        <v>6-2024</v>
      </c>
      <c r="D231" s="54">
        <f t="shared" si="34"/>
        <v>8394.2</v>
      </c>
      <c r="E231" s="138">
        <v>8402.7</v>
      </c>
      <c r="F231" s="54">
        <f t="shared" si="10"/>
        <v>8.5</v>
      </c>
      <c r="G231" s="54">
        <f t="shared" si="11"/>
        <v>-1.5</v>
      </c>
      <c r="H231" s="28" t="s">
        <v>196</v>
      </c>
    </row>
    <row r="232" ht="14.25" customHeight="1">
      <c r="B232" s="145">
        <v>45458.0</v>
      </c>
      <c r="C232" s="166" t="str">
        <f t="shared" si="1"/>
        <v>6-2024</v>
      </c>
      <c r="D232" s="54">
        <f t="shared" si="34"/>
        <v>8402.7</v>
      </c>
      <c r="E232" s="138">
        <v>8405.7</v>
      </c>
      <c r="F232" s="54">
        <f t="shared" si="10"/>
        <v>3</v>
      </c>
      <c r="G232" s="54">
        <f t="shared" si="11"/>
        <v>-7</v>
      </c>
      <c r="H232" s="28" t="s">
        <v>196</v>
      </c>
    </row>
    <row r="233" ht="14.25" customHeight="1">
      <c r="B233" s="145">
        <v>45459.0</v>
      </c>
      <c r="C233" s="166" t="str">
        <f t="shared" si="1"/>
        <v>6-2024</v>
      </c>
      <c r="D233" s="54"/>
      <c r="E233" s="54"/>
      <c r="F233" s="54">
        <f t="shared" si="10"/>
        <v>0</v>
      </c>
      <c r="G233" s="54">
        <f t="shared" si="11"/>
        <v>-10</v>
      </c>
      <c r="H233" s="28" t="s">
        <v>196</v>
      </c>
    </row>
    <row r="234" ht="14.25" customHeight="1">
      <c r="B234" s="164">
        <v>45460.0</v>
      </c>
      <c r="C234" s="141" t="str">
        <f t="shared" si="1"/>
        <v>6-2024</v>
      </c>
      <c r="D234" s="138">
        <v>8405.4</v>
      </c>
      <c r="E234" s="138">
        <v>8412.7</v>
      </c>
      <c r="F234" s="54">
        <f t="shared" si="10"/>
        <v>7.3</v>
      </c>
      <c r="G234" s="54">
        <f t="shared" si="11"/>
        <v>-2.7</v>
      </c>
      <c r="H234" s="28" t="s">
        <v>196</v>
      </c>
    </row>
    <row r="235" ht="14.25" customHeight="1">
      <c r="B235" s="164">
        <v>45461.0</v>
      </c>
      <c r="C235" s="141" t="str">
        <f t="shared" si="1"/>
        <v>6-2024</v>
      </c>
      <c r="D235" s="54">
        <f>E234</f>
        <v>8412.7</v>
      </c>
      <c r="E235" s="138">
        <v>8420.2</v>
      </c>
      <c r="F235" s="54">
        <f t="shared" si="10"/>
        <v>7.5</v>
      </c>
      <c r="G235" s="54">
        <f t="shared" si="11"/>
        <v>-2.5</v>
      </c>
      <c r="H235" s="28" t="s">
        <v>196</v>
      </c>
    </row>
    <row r="236" ht="14.25" customHeight="1">
      <c r="B236" s="164">
        <v>45462.0</v>
      </c>
      <c r="C236" s="141" t="str">
        <f t="shared" si="1"/>
        <v>6-2024</v>
      </c>
      <c r="D236" s="54"/>
      <c r="E236" s="54"/>
      <c r="F236" s="54">
        <f t="shared" si="10"/>
        <v>0</v>
      </c>
      <c r="G236" s="54">
        <f t="shared" si="11"/>
        <v>-10</v>
      </c>
    </row>
    <row r="237" ht="14.25" customHeight="1">
      <c r="B237" s="164">
        <v>45463.0</v>
      </c>
      <c r="C237" s="141" t="str">
        <f t="shared" si="1"/>
        <v>6-2024</v>
      </c>
      <c r="D237" s="54" t="str">
        <f t="shared" ref="D237:D240" si="35">E236</f>
        <v/>
      </c>
      <c r="E237" s="54"/>
      <c r="F237" s="54">
        <f t="shared" si="10"/>
        <v>0</v>
      </c>
      <c r="G237" s="54">
        <f t="shared" si="11"/>
        <v>-10</v>
      </c>
    </row>
    <row r="238" ht="14.25" customHeight="1">
      <c r="B238" s="164">
        <v>45464.0</v>
      </c>
      <c r="C238" s="141" t="str">
        <f t="shared" si="1"/>
        <v>6-2024</v>
      </c>
      <c r="D238" s="54" t="str">
        <f t="shared" si="35"/>
        <v/>
      </c>
      <c r="E238" s="54"/>
      <c r="F238" s="54">
        <f t="shared" si="10"/>
        <v>0</v>
      </c>
      <c r="G238" s="54">
        <f t="shared" si="11"/>
        <v>-10</v>
      </c>
    </row>
    <row r="239" ht="14.25" customHeight="1">
      <c r="B239" s="145">
        <v>45465.0</v>
      </c>
      <c r="C239" s="166" t="str">
        <f t="shared" si="1"/>
        <v>6-2024</v>
      </c>
      <c r="D239" s="54" t="str">
        <f t="shared" si="35"/>
        <v/>
      </c>
      <c r="E239" s="54"/>
      <c r="F239" s="54">
        <f t="shared" si="10"/>
        <v>0</v>
      </c>
      <c r="G239" s="54">
        <f t="shared" si="11"/>
        <v>-10</v>
      </c>
    </row>
    <row r="240" ht="14.25" customHeight="1">
      <c r="B240" s="145">
        <v>45466.0</v>
      </c>
      <c r="C240" s="166" t="str">
        <f t="shared" si="1"/>
        <v>6-2024</v>
      </c>
      <c r="D240" s="54" t="str">
        <f t="shared" si="35"/>
        <v/>
      </c>
      <c r="E240" s="54"/>
      <c r="F240" s="54">
        <f t="shared" si="10"/>
        <v>0</v>
      </c>
      <c r="G240" s="54">
        <f t="shared" si="11"/>
        <v>-10</v>
      </c>
    </row>
    <row r="241" ht="14.25" customHeight="1">
      <c r="B241" s="164">
        <v>45467.0</v>
      </c>
      <c r="C241" s="141" t="str">
        <f t="shared" si="1"/>
        <v>6-2024</v>
      </c>
      <c r="D241" s="138">
        <v>449.7</v>
      </c>
      <c r="E241" s="138">
        <v>457.4</v>
      </c>
      <c r="F241" s="54">
        <f t="shared" si="10"/>
        <v>7.7</v>
      </c>
      <c r="G241" s="54">
        <f t="shared" si="11"/>
        <v>-2.3</v>
      </c>
      <c r="H241" s="28" t="s">
        <v>182</v>
      </c>
    </row>
    <row r="242" ht="14.25" customHeight="1">
      <c r="B242" s="164">
        <v>45468.0</v>
      </c>
      <c r="C242" s="141" t="str">
        <f t="shared" si="1"/>
        <v>6-2024</v>
      </c>
      <c r="D242" s="54">
        <f t="shared" ref="D242:D246" si="36">E241</f>
        <v>457.4</v>
      </c>
      <c r="E242" s="138">
        <v>464.9</v>
      </c>
      <c r="F242" s="54">
        <f t="shared" si="10"/>
        <v>7.5</v>
      </c>
      <c r="G242" s="54">
        <f t="shared" si="11"/>
        <v>-2.5</v>
      </c>
      <c r="H242" s="28" t="s">
        <v>182</v>
      </c>
    </row>
    <row r="243" ht="14.25" customHeight="1">
      <c r="B243" s="164">
        <v>45469.0</v>
      </c>
      <c r="C243" s="141" t="str">
        <f t="shared" si="1"/>
        <v>6-2024</v>
      </c>
      <c r="D243" s="54">
        <f t="shared" si="36"/>
        <v>464.9</v>
      </c>
      <c r="E243" s="138">
        <v>474.2</v>
      </c>
      <c r="F243" s="54">
        <f t="shared" si="10"/>
        <v>9.3</v>
      </c>
      <c r="G243" s="54">
        <f t="shared" si="11"/>
        <v>-0.7</v>
      </c>
      <c r="H243" s="28" t="s">
        <v>182</v>
      </c>
    </row>
    <row r="244" ht="14.25" customHeight="1">
      <c r="B244" s="164">
        <v>45470.0</v>
      </c>
      <c r="C244" s="141" t="str">
        <f t="shared" si="1"/>
        <v>6-2024</v>
      </c>
      <c r="D244" s="54">
        <f t="shared" si="36"/>
        <v>474.2</v>
      </c>
      <c r="E244" s="138">
        <v>482.8</v>
      </c>
      <c r="F244" s="54">
        <f t="shared" si="10"/>
        <v>8.6</v>
      </c>
      <c r="G244" s="54">
        <f t="shared" si="11"/>
        <v>-1.4</v>
      </c>
      <c r="H244" s="28" t="s">
        <v>182</v>
      </c>
    </row>
    <row r="245" ht="14.25" customHeight="1">
      <c r="B245" s="164">
        <v>45471.0</v>
      </c>
      <c r="C245" s="141" t="str">
        <f t="shared" si="1"/>
        <v>6-2024</v>
      </c>
      <c r="D245" s="54">
        <f t="shared" si="36"/>
        <v>482.8</v>
      </c>
      <c r="E245" s="138">
        <v>491.9</v>
      </c>
      <c r="F245" s="54">
        <f t="shared" si="10"/>
        <v>9.1</v>
      </c>
      <c r="G245" s="54">
        <f t="shared" si="11"/>
        <v>-0.9</v>
      </c>
      <c r="H245" s="28" t="s">
        <v>182</v>
      </c>
    </row>
    <row r="246" ht="14.25" customHeight="1">
      <c r="B246" s="145">
        <v>45472.0</v>
      </c>
      <c r="C246" s="166" t="str">
        <f t="shared" si="1"/>
        <v>6-2024</v>
      </c>
      <c r="D246" s="54">
        <f t="shared" si="36"/>
        <v>491.9</v>
      </c>
      <c r="E246" s="138">
        <v>495.4</v>
      </c>
      <c r="F246" s="54">
        <f t="shared" si="10"/>
        <v>3.5</v>
      </c>
      <c r="G246" s="54">
        <f t="shared" si="11"/>
        <v>-6.5</v>
      </c>
      <c r="H246" s="28" t="s">
        <v>182</v>
      </c>
    </row>
    <row r="247" ht="14.25" customHeight="1">
      <c r="B247" s="145">
        <v>45473.0</v>
      </c>
      <c r="C247" s="166" t="str">
        <f t="shared" si="1"/>
        <v>6-2024</v>
      </c>
      <c r="D247" s="54"/>
      <c r="E247" s="54"/>
      <c r="F247" s="54">
        <f t="shared" si="10"/>
        <v>0</v>
      </c>
      <c r="G247" s="54">
        <f t="shared" si="11"/>
        <v>-10</v>
      </c>
    </row>
    <row r="248" ht="14.25" customHeight="1">
      <c r="B248" s="164">
        <v>45474.0</v>
      </c>
      <c r="C248" s="141" t="str">
        <f t="shared" si="1"/>
        <v>7-2024</v>
      </c>
      <c r="D248" s="54" t="str">
        <f>E247</f>
        <v/>
      </c>
      <c r="E248" s="54"/>
      <c r="F248" s="54">
        <f t="shared" si="10"/>
        <v>0</v>
      </c>
      <c r="G248" s="54">
        <f t="shared" si="11"/>
        <v>-10</v>
      </c>
    </row>
    <row r="249" ht="14.25" customHeight="1">
      <c r="B249" s="164">
        <v>45475.0</v>
      </c>
      <c r="C249" s="141" t="str">
        <f t="shared" si="1"/>
        <v>7-2024</v>
      </c>
      <c r="D249" s="54"/>
      <c r="E249" s="54"/>
      <c r="F249" s="54">
        <f t="shared" si="10"/>
        <v>0</v>
      </c>
      <c r="G249" s="54">
        <f t="shared" si="11"/>
        <v>-10</v>
      </c>
    </row>
    <row r="250" ht="14.25" customHeight="1">
      <c r="B250" s="140">
        <v>45476.0</v>
      </c>
      <c r="C250" s="141" t="str">
        <f t="shared" si="1"/>
        <v>7-2024</v>
      </c>
      <c r="D250" s="54" t="str">
        <f>E249</f>
        <v/>
      </c>
      <c r="E250" s="54"/>
      <c r="F250" s="54">
        <f t="shared" si="10"/>
        <v>0</v>
      </c>
      <c r="G250" s="54">
        <f t="shared" si="11"/>
        <v>-10</v>
      </c>
    </row>
    <row r="251" ht="14.25" customHeight="1">
      <c r="B251" s="169">
        <v>45477.0</v>
      </c>
      <c r="C251" s="141" t="str">
        <f t="shared" si="1"/>
        <v>7-2024</v>
      </c>
      <c r="D251" s="54"/>
      <c r="E251" s="54"/>
      <c r="F251" s="54">
        <f t="shared" si="10"/>
        <v>0</v>
      </c>
      <c r="G251" s="54">
        <f t="shared" si="11"/>
        <v>-10</v>
      </c>
    </row>
    <row r="252" ht="14.25" customHeight="1">
      <c r="B252" s="169">
        <v>45478.0</v>
      </c>
      <c r="C252" s="141" t="str">
        <f t="shared" si="1"/>
        <v>7-2024</v>
      </c>
      <c r="D252" s="54" t="str">
        <f>E251</f>
        <v/>
      </c>
      <c r="E252" s="54"/>
      <c r="F252" s="54">
        <f t="shared" si="10"/>
        <v>0</v>
      </c>
      <c r="G252" s="54">
        <f t="shared" si="11"/>
        <v>-10</v>
      </c>
    </row>
    <row r="253" ht="14.25" customHeight="1">
      <c r="B253" s="164">
        <v>45479.0</v>
      </c>
      <c r="C253" s="141" t="str">
        <f t="shared" si="1"/>
        <v>7-2024</v>
      </c>
      <c r="D253" s="54"/>
      <c r="E253" s="54"/>
      <c r="F253" s="54">
        <f t="shared" si="10"/>
        <v>0</v>
      </c>
      <c r="G253" s="54">
        <f t="shared" si="11"/>
        <v>-10</v>
      </c>
    </row>
    <row r="254" ht="14.25" customHeight="1">
      <c r="B254" s="145">
        <v>45480.0</v>
      </c>
      <c r="C254" s="141" t="str">
        <f t="shared" si="1"/>
        <v>7-2024</v>
      </c>
      <c r="D254" s="54" t="str">
        <f>E253</f>
        <v/>
      </c>
      <c r="E254" s="54"/>
      <c r="F254" s="54">
        <f t="shared" si="10"/>
        <v>0</v>
      </c>
      <c r="G254" s="54">
        <f t="shared" si="11"/>
        <v>-10</v>
      </c>
    </row>
    <row r="255" ht="14.25" customHeight="1">
      <c r="B255" s="145">
        <v>45481.0</v>
      </c>
      <c r="C255" s="141" t="str">
        <f t="shared" si="1"/>
        <v>7-2024</v>
      </c>
      <c r="D255" s="54"/>
      <c r="E255" s="54"/>
      <c r="F255" s="54">
        <f t="shared" si="10"/>
        <v>0</v>
      </c>
      <c r="G255" s="54">
        <f t="shared" si="11"/>
        <v>-10</v>
      </c>
    </row>
    <row r="256" ht="14.25" customHeight="1">
      <c r="B256" s="164">
        <v>45482.0</v>
      </c>
      <c r="C256" s="141" t="str">
        <f t="shared" si="1"/>
        <v>7-2024</v>
      </c>
      <c r="D256" s="54" t="str">
        <f>E255</f>
        <v/>
      </c>
      <c r="E256" s="54"/>
      <c r="F256" s="54">
        <f t="shared" si="10"/>
        <v>0</v>
      </c>
      <c r="G256" s="54">
        <f t="shared" si="11"/>
        <v>-10</v>
      </c>
    </row>
    <row r="257" ht="14.25" customHeight="1">
      <c r="B257" s="164">
        <v>45483.0</v>
      </c>
      <c r="C257" s="141" t="str">
        <f t="shared" si="1"/>
        <v>7-2024</v>
      </c>
      <c r="D257" s="54"/>
      <c r="E257" s="54"/>
      <c r="F257" s="54">
        <f t="shared" si="10"/>
        <v>0</v>
      </c>
      <c r="G257" s="54">
        <f t="shared" si="11"/>
        <v>-10</v>
      </c>
    </row>
    <row r="258" ht="14.25" customHeight="1">
      <c r="B258" s="164">
        <v>45484.0</v>
      </c>
      <c r="C258" s="141" t="str">
        <f t="shared" si="1"/>
        <v>7-2024</v>
      </c>
      <c r="D258" s="54" t="str">
        <f>E257</f>
        <v/>
      </c>
      <c r="E258" s="54"/>
      <c r="F258" s="54">
        <f t="shared" si="10"/>
        <v>0</v>
      </c>
      <c r="G258" s="54">
        <f t="shared" si="11"/>
        <v>-10</v>
      </c>
    </row>
    <row r="259" ht="14.25" customHeight="1">
      <c r="B259" s="164">
        <v>45485.0</v>
      </c>
      <c r="C259" s="141" t="str">
        <f t="shared" si="1"/>
        <v>7-2024</v>
      </c>
      <c r="D259" s="54"/>
      <c r="E259" s="54"/>
      <c r="F259" s="54">
        <f t="shared" si="10"/>
        <v>0</v>
      </c>
      <c r="G259" s="54">
        <f t="shared" si="11"/>
        <v>-10</v>
      </c>
    </row>
    <row r="260" ht="14.25" customHeight="1">
      <c r="B260" s="145">
        <v>45486.0</v>
      </c>
      <c r="C260" s="141" t="str">
        <f t="shared" si="1"/>
        <v>7-2024</v>
      </c>
      <c r="D260" s="54" t="str">
        <f>E259</f>
        <v/>
      </c>
      <c r="E260" s="54"/>
      <c r="F260" s="54">
        <f t="shared" si="10"/>
        <v>0</v>
      </c>
      <c r="G260" s="54">
        <f t="shared" si="11"/>
        <v>-10</v>
      </c>
    </row>
    <row r="261" ht="14.25" customHeight="1">
      <c r="B261" s="145">
        <v>45487.0</v>
      </c>
      <c r="C261" s="141" t="str">
        <f t="shared" si="1"/>
        <v>7-2024</v>
      </c>
      <c r="D261" s="54"/>
      <c r="E261" s="54"/>
      <c r="F261" s="54">
        <f t="shared" si="10"/>
        <v>0</v>
      </c>
      <c r="G261" s="54">
        <f t="shared" si="11"/>
        <v>-10</v>
      </c>
    </row>
    <row r="262" ht="14.25" customHeight="1">
      <c r="B262" s="164">
        <v>45488.0</v>
      </c>
      <c r="C262" s="141" t="str">
        <f t="shared" si="1"/>
        <v>7-2024</v>
      </c>
      <c r="D262" s="54" t="str">
        <f>E261</f>
        <v/>
      </c>
      <c r="E262" s="54"/>
      <c r="F262" s="54">
        <f t="shared" si="10"/>
        <v>0</v>
      </c>
      <c r="G262" s="54">
        <f t="shared" si="11"/>
        <v>-10</v>
      </c>
    </row>
    <row r="263" ht="14.25" customHeight="1">
      <c r="B263" s="164">
        <v>45489.0</v>
      </c>
      <c r="C263" s="141" t="str">
        <f t="shared" si="1"/>
        <v>7-2024</v>
      </c>
      <c r="D263" s="54"/>
      <c r="E263" s="54"/>
      <c r="F263" s="54">
        <f t="shared" si="10"/>
        <v>0</v>
      </c>
      <c r="G263" s="54">
        <f t="shared" si="11"/>
        <v>-10</v>
      </c>
    </row>
    <row r="264" ht="14.25" customHeight="1">
      <c r="B264" s="164">
        <v>45490.0</v>
      </c>
      <c r="C264" s="141" t="str">
        <f t="shared" si="1"/>
        <v>7-2024</v>
      </c>
      <c r="D264" s="54" t="str">
        <f>E263</f>
        <v/>
      </c>
      <c r="E264" s="54"/>
      <c r="F264" s="54">
        <f t="shared" si="10"/>
        <v>0</v>
      </c>
      <c r="G264" s="54">
        <f t="shared" si="11"/>
        <v>-10</v>
      </c>
    </row>
    <row r="265" ht="14.25" customHeight="1">
      <c r="B265" s="164">
        <v>45491.0</v>
      </c>
      <c r="C265" s="141" t="str">
        <f t="shared" si="1"/>
        <v>7-2024</v>
      </c>
      <c r="D265" s="54"/>
      <c r="E265" s="54"/>
      <c r="F265" s="54">
        <f t="shared" si="10"/>
        <v>0</v>
      </c>
      <c r="G265" s="54">
        <f t="shared" si="11"/>
        <v>-10</v>
      </c>
    </row>
    <row r="266" ht="14.25" customHeight="1">
      <c r="B266" s="164">
        <v>45492.0</v>
      </c>
      <c r="C266" s="141" t="str">
        <f t="shared" si="1"/>
        <v>7-2024</v>
      </c>
      <c r="D266" s="54" t="str">
        <f>E265</f>
        <v/>
      </c>
      <c r="E266" s="54"/>
      <c r="F266" s="54">
        <f t="shared" si="10"/>
        <v>0</v>
      </c>
      <c r="G266" s="54">
        <f t="shared" si="11"/>
        <v>-10</v>
      </c>
    </row>
    <row r="267" ht="14.25" customHeight="1">
      <c r="B267" s="145">
        <v>45493.0</v>
      </c>
      <c r="C267" s="141" t="str">
        <f t="shared" si="1"/>
        <v>7-2024</v>
      </c>
      <c r="D267" s="54"/>
      <c r="E267" s="54"/>
      <c r="F267" s="54">
        <f t="shared" si="10"/>
        <v>0</v>
      </c>
      <c r="G267" s="54">
        <f t="shared" si="11"/>
        <v>-10</v>
      </c>
    </row>
    <row r="268" ht="14.25" customHeight="1">
      <c r="B268" s="145">
        <v>45494.0</v>
      </c>
      <c r="C268" s="141" t="str">
        <f t="shared" si="1"/>
        <v>7-2024</v>
      </c>
      <c r="D268" s="54" t="str">
        <f>E267</f>
        <v/>
      </c>
      <c r="E268" s="54"/>
      <c r="F268" s="54">
        <f t="shared" si="10"/>
        <v>0</v>
      </c>
      <c r="G268" s="54">
        <f t="shared" si="11"/>
        <v>-10</v>
      </c>
    </row>
    <row r="269" ht="14.25" customHeight="1">
      <c r="B269" s="164">
        <v>45495.0</v>
      </c>
      <c r="C269" s="141" t="str">
        <f t="shared" si="1"/>
        <v>7-2024</v>
      </c>
      <c r="D269" s="54"/>
      <c r="E269" s="54"/>
      <c r="F269" s="54">
        <f t="shared" si="10"/>
        <v>0</v>
      </c>
      <c r="G269" s="54">
        <f t="shared" si="11"/>
        <v>-10</v>
      </c>
    </row>
    <row r="270" ht="14.25" customHeight="1">
      <c r="B270" s="164">
        <v>45496.0</v>
      </c>
      <c r="C270" s="141" t="str">
        <f t="shared" si="1"/>
        <v>7-2024</v>
      </c>
      <c r="D270" s="54" t="str">
        <f>E269</f>
        <v/>
      </c>
      <c r="E270" s="54"/>
      <c r="F270" s="54">
        <f t="shared" si="10"/>
        <v>0</v>
      </c>
      <c r="G270" s="54">
        <f t="shared" si="11"/>
        <v>-10</v>
      </c>
    </row>
    <row r="271" ht="14.25" customHeight="1">
      <c r="B271" s="164">
        <v>45497.0</v>
      </c>
      <c r="C271" s="141" t="str">
        <f t="shared" si="1"/>
        <v>7-2024</v>
      </c>
      <c r="D271" s="54"/>
      <c r="E271" s="54"/>
      <c r="F271" s="54">
        <f t="shared" si="10"/>
        <v>0</v>
      </c>
      <c r="G271" s="54">
        <f t="shared" si="11"/>
        <v>-10</v>
      </c>
    </row>
    <row r="272" ht="14.25" customHeight="1">
      <c r="B272" s="164">
        <v>45498.0</v>
      </c>
      <c r="C272" s="141" t="str">
        <f t="shared" si="1"/>
        <v>7-2024</v>
      </c>
      <c r="D272" s="54" t="str">
        <f>E271</f>
        <v/>
      </c>
      <c r="E272" s="54"/>
      <c r="F272" s="54">
        <f t="shared" si="10"/>
        <v>0</v>
      </c>
      <c r="G272" s="54">
        <f t="shared" si="11"/>
        <v>-10</v>
      </c>
    </row>
    <row r="273" ht="14.25" customHeight="1">
      <c r="B273" s="164">
        <v>45499.0</v>
      </c>
      <c r="C273" s="141" t="str">
        <f t="shared" si="1"/>
        <v>7-2024</v>
      </c>
      <c r="D273" s="54"/>
      <c r="E273" s="54"/>
      <c r="F273" s="54">
        <f t="shared" si="10"/>
        <v>0</v>
      </c>
      <c r="G273" s="54">
        <f t="shared" si="11"/>
        <v>-10</v>
      </c>
    </row>
    <row r="274" ht="14.25" customHeight="1">
      <c r="B274" s="145">
        <v>45500.0</v>
      </c>
      <c r="C274" s="141" t="str">
        <f t="shared" si="1"/>
        <v>7-2024</v>
      </c>
      <c r="D274" s="54" t="str">
        <f>E273</f>
        <v/>
      </c>
      <c r="E274" s="54"/>
      <c r="F274" s="54">
        <f t="shared" si="10"/>
        <v>0</v>
      </c>
      <c r="G274" s="54">
        <f t="shared" si="11"/>
        <v>-10</v>
      </c>
    </row>
    <row r="275" ht="14.25" customHeight="1">
      <c r="B275" s="145">
        <v>45501.0</v>
      </c>
      <c r="C275" s="141" t="str">
        <f t="shared" si="1"/>
        <v>7-2024</v>
      </c>
      <c r="D275" s="54"/>
      <c r="E275" s="54"/>
      <c r="F275" s="54">
        <f t="shared" si="10"/>
        <v>0</v>
      </c>
      <c r="G275" s="54">
        <f t="shared" si="11"/>
        <v>-10</v>
      </c>
    </row>
    <row r="276" ht="14.25" customHeight="1">
      <c r="B276" s="164">
        <v>45502.0</v>
      </c>
      <c r="C276" s="141" t="str">
        <f t="shared" si="1"/>
        <v>7-2024</v>
      </c>
      <c r="D276" s="54" t="str">
        <f>E275</f>
        <v/>
      </c>
      <c r="E276" s="54"/>
      <c r="F276" s="54">
        <f t="shared" si="10"/>
        <v>0</v>
      </c>
      <c r="G276" s="54">
        <f t="shared" si="11"/>
        <v>-10</v>
      </c>
    </row>
    <row r="277" ht="14.25" customHeight="1">
      <c r="B277" s="164">
        <v>45503.0</v>
      </c>
      <c r="C277" s="141" t="str">
        <f t="shared" si="1"/>
        <v>7-2024</v>
      </c>
      <c r="D277" s="54"/>
      <c r="E277" s="54"/>
      <c r="F277" s="54">
        <f t="shared" si="10"/>
        <v>0</v>
      </c>
      <c r="G277" s="54">
        <f t="shared" si="11"/>
        <v>-10</v>
      </c>
    </row>
    <row r="278" ht="14.25" customHeight="1">
      <c r="B278" s="164">
        <v>45504.0</v>
      </c>
      <c r="C278" s="141" t="str">
        <f t="shared" si="1"/>
        <v>7-2024</v>
      </c>
      <c r="D278" s="54" t="str">
        <f>E277</f>
        <v/>
      </c>
      <c r="E278" s="54"/>
      <c r="F278" s="54">
        <f t="shared" si="10"/>
        <v>0</v>
      </c>
      <c r="G278" s="54">
        <f t="shared" si="11"/>
        <v>-10</v>
      </c>
    </row>
    <row r="279" ht="14.25" customHeight="1">
      <c r="B279" s="164">
        <v>45505.0</v>
      </c>
      <c r="C279" s="141" t="str">
        <f t="shared" si="1"/>
        <v>8-2024</v>
      </c>
      <c r="D279" s="138">
        <v>690.0</v>
      </c>
      <c r="E279" s="138">
        <v>699.5</v>
      </c>
      <c r="F279" s="54">
        <f t="shared" si="10"/>
        <v>9.5</v>
      </c>
      <c r="G279" s="54">
        <f t="shared" si="11"/>
        <v>-0.5</v>
      </c>
      <c r="H279" s="28" t="s">
        <v>195</v>
      </c>
      <c r="I279" s="28">
        <v>200.0</v>
      </c>
    </row>
    <row r="280" ht="14.25" customHeight="1">
      <c r="B280" s="164">
        <v>45506.0</v>
      </c>
      <c r="C280" s="141" t="str">
        <f t="shared" si="1"/>
        <v>8-2024</v>
      </c>
      <c r="D280" s="54">
        <f t="shared" ref="D280:D281" si="37">E279</f>
        <v>699.5</v>
      </c>
      <c r="E280" s="138">
        <v>708.7</v>
      </c>
      <c r="F280" s="54">
        <f t="shared" si="10"/>
        <v>9.2</v>
      </c>
      <c r="G280" s="54">
        <f t="shared" si="11"/>
        <v>-0.8</v>
      </c>
      <c r="H280" s="28" t="s">
        <v>195</v>
      </c>
    </row>
    <row r="281" ht="14.25" customHeight="1">
      <c r="B281" s="145">
        <v>45507.0</v>
      </c>
      <c r="C281" s="141" t="str">
        <f t="shared" si="1"/>
        <v>8-2024</v>
      </c>
      <c r="D281" s="54">
        <f t="shared" si="37"/>
        <v>708.7</v>
      </c>
      <c r="E281" s="138">
        <v>716.5</v>
      </c>
      <c r="F281" s="54">
        <f t="shared" si="10"/>
        <v>7.8</v>
      </c>
      <c r="G281" s="54">
        <f t="shared" si="11"/>
        <v>-2.2</v>
      </c>
      <c r="H281" s="28" t="s">
        <v>195</v>
      </c>
    </row>
    <row r="282" ht="14.25" customHeight="1">
      <c r="B282" s="145">
        <v>45508.0</v>
      </c>
      <c r="C282" s="141" t="str">
        <f t="shared" si="1"/>
        <v>8-2024</v>
      </c>
      <c r="D282" s="54"/>
      <c r="E282" s="54"/>
      <c r="F282" s="54">
        <f t="shared" si="10"/>
        <v>0</v>
      </c>
      <c r="G282" s="54">
        <f t="shared" si="11"/>
        <v>-10</v>
      </c>
      <c r="H282" s="28" t="s">
        <v>195</v>
      </c>
    </row>
    <row r="283" ht="14.25" customHeight="1">
      <c r="B283" s="164">
        <v>45509.0</v>
      </c>
      <c r="C283" s="141" t="str">
        <f t="shared" si="1"/>
        <v>8-2024</v>
      </c>
      <c r="D283" s="138">
        <v>716.5</v>
      </c>
      <c r="E283" s="138">
        <v>725.6</v>
      </c>
      <c r="F283" s="54">
        <f t="shared" si="10"/>
        <v>9.1</v>
      </c>
      <c r="G283" s="54">
        <f t="shared" si="11"/>
        <v>-0.9</v>
      </c>
      <c r="H283" s="28" t="s">
        <v>195</v>
      </c>
    </row>
    <row r="284" ht="14.25" customHeight="1">
      <c r="B284" s="164">
        <v>45510.0</v>
      </c>
      <c r="C284" s="141" t="str">
        <f t="shared" si="1"/>
        <v>8-2024</v>
      </c>
      <c r="D284" s="54">
        <f t="shared" ref="D284:D288" si="38">E283</f>
        <v>725.6</v>
      </c>
      <c r="E284" s="138">
        <v>735.4</v>
      </c>
      <c r="F284" s="54">
        <f t="shared" si="10"/>
        <v>9.8</v>
      </c>
      <c r="G284" s="54">
        <f t="shared" si="11"/>
        <v>-0.2</v>
      </c>
      <c r="H284" s="28" t="s">
        <v>195</v>
      </c>
      <c r="I284" s="28">
        <v>230.0</v>
      </c>
    </row>
    <row r="285" ht="14.25" customHeight="1">
      <c r="B285" s="164">
        <v>45511.0</v>
      </c>
      <c r="C285" s="141" t="str">
        <f t="shared" si="1"/>
        <v>8-2024</v>
      </c>
      <c r="D285" s="54">
        <f t="shared" si="38"/>
        <v>735.4</v>
      </c>
      <c r="E285" s="138">
        <v>744.6</v>
      </c>
      <c r="F285" s="54">
        <f t="shared" si="10"/>
        <v>9.2</v>
      </c>
      <c r="G285" s="54">
        <f t="shared" si="11"/>
        <v>-0.8</v>
      </c>
      <c r="H285" s="28" t="s">
        <v>195</v>
      </c>
    </row>
    <row r="286" ht="14.25" customHeight="1">
      <c r="B286" s="164">
        <v>45512.0</v>
      </c>
      <c r="C286" s="141" t="str">
        <f t="shared" si="1"/>
        <v>8-2024</v>
      </c>
      <c r="D286" s="54">
        <f t="shared" si="38"/>
        <v>744.6</v>
      </c>
      <c r="E286" s="138">
        <v>753.9</v>
      </c>
      <c r="F286" s="54">
        <f t="shared" si="10"/>
        <v>9.3</v>
      </c>
      <c r="G286" s="54">
        <f t="shared" si="11"/>
        <v>-0.7</v>
      </c>
      <c r="H286" s="28" t="s">
        <v>195</v>
      </c>
    </row>
    <row r="287" ht="14.25" customHeight="1">
      <c r="B287" s="164">
        <v>45513.0</v>
      </c>
      <c r="C287" s="141" t="str">
        <f t="shared" si="1"/>
        <v>8-2024</v>
      </c>
      <c r="D287" s="54">
        <f t="shared" si="38"/>
        <v>753.9</v>
      </c>
      <c r="E287" s="138">
        <v>760.5</v>
      </c>
      <c r="F287" s="54">
        <f t="shared" si="10"/>
        <v>6.6</v>
      </c>
      <c r="G287" s="54">
        <f t="shared" si="11"/>
        <v>-3.4</v>
      </c>
      <c r="H287" s="28" t="s">
        <v>195</v>
      </c>
    </row>
    <row r="288" ht="14.25" customHeight="1">
      <c r="B288" s="145">
        <v>45514.0</v>
      </c>
      <c r="C288" s="141" t="str">
        <f t="shared" si="1"/>
        <v>8-2024</v>
      </c>
      <c r="D288" s="54">
        <f t="shared" si="38"/>
        <v>760.5</v>
      </c>
      <c r="E288" s="138">
        <v>769.1</v>
      </c>
      <c r="F288" s="54">
        <f t="shared" si="10"/>
        <v>8.6</v>
      </c>
      <c r="G288" s="54">
        <f t="shared" si="11"/>
        <v>-1.4</v>
      </c>
      <c r="H288" s="28" t="s">
        <v>195</v>
      </c>
      <c r="I288" s="28">
        <v>196.0</v>
      </c>
    </row>
    <row r="289" ht="14.25" customHeight="1">
      <c r="B289" s="145">
        <v>45515.0</v>
      </c>
      <c r="C289" s="141" t="str">
        <f t="shared" si="1"/>
        <v>8-2024</v>
      </c>
      <c r="D289" s="54"/>
      <c r="E289" s="54"/>
      <c r="F289" s="54">
        <f t="shared" si="10"/>
        <v>0</v>
      </c>
      <c r="G289" s="54">
        <f t="shared" si="11"/>
        <v>-10</v>
      </c>
      <c r="H289" s="28" t="s">
        <v>195</v>
      </c>
    </row>
    <row r="290" ht="14.25" customHeight="1">
      <c r="B290" s="164">
        <v>45516.0</v>
      </c>
      <c r="C290" s="141" t="str">
        <f t="shared" si="1"/>
        <v>8-2024</v>
      </c>
      <c r="D290" s="138">
        <v>769.1</v>
      </c>
      <c r="E290" s="138">
        <v>776.2</v>
      </c>
      <c r="F290" s="54">
        <f t="shared" si="10"/>
        <v>7.1</v>
      </c>
      <c r="G290" s="54">
        <f t="shared" si="11"/>
        <v>-2.9</v>
      </c>
      <c r="H290" s="28" t="s">
        <v>195</v>
      </c>
    </row>
    <row r="291" ht="14.25" customHeight="1">
      <c r="B291" s="164">
        <v>45517.0</v>
      </c>
      <c r="C291" s="141" t="str">
        <f t="shared" si="1"/>
        <v>8-2024</v>
      </c>
      <c r="D291" s="54"/>
      <c r="E291" s="54"/>
      <c r="F291" s="54">
        <f t="shared" si="10"/>
        <v>0</v>
      </c>
      <c r="G291" s="54">
        <f t="shared" si="11"/>
        <v>-10</v>
      </c>
      <c r="H291" s="28" t="s">
        <v>197</v>
      </c>
    </row>
    <row r="292" ht="14.25" customHeight="1">
      <c r="B292" s="164">
        <v>45518.0</v>
      </c>
      <c r="C292" s="141" t="str">
        <f t="shared" si="1"/>
        <v>8-2024</v>
      </c>
      <c r="D292" s="54" t="str">
        <f t="shared" ref="D292:D297" si="39">E291</f>
        <v/>
      </c>
      <c r="E292" s="54"/>
      <c r="F292" s="54">
        <f t="shared" si="10"/>
        <v>0</v>
      </c>
      <c r="G292" s="54">
        <f t="shared" si="11"/>
        <v>-10</v>
      </c>
      <c r="H292" s="28" t="s">
        <v>197</v>
      </c>
    </row>
    <row r="293" ht="14.25" customHeight="1">
      <c r="B293" s="164">
        <v>45519.0</v>
      </c>
      <c r="C293" s="141" t="str">
        <f t="shared" si="1"/>
        <v>8-2024</v>
      </c>
      <c r="D293" s="54" t="str">
        <f t="shared" si="39"/>
        <v/>
      </c>
      <c r="E293" s="54"/>
      <c r="F293" s="54">
        <f t="shared" si="10"/>
        <v>0</v>
      </c>
      <c r="G293" s="54">
        <f t="shared" si="11"/>
        <v>-10</v>
      </c>
      <c r="H293" s="28" t="s">
        <v>197</v>
      </c>
    </row>
    <row r="294" ht="14.25" customHeight="1">
      <c r="B294" s="164">
        <v>45520.0</v>
      </c>
      <c r="C294" s="141" t="str">
        <f t="shared" si="1"/>
        <v>8-2024</v>
      </c>
      <c r="D294" s="54" t="str">
        <f t="shared" si="39"/>
        <v/>
      </c>
      <c r="E294" s="54"/>
      <c r="F294" s="54">
        <f t="shared" si="10"/>
        <v>0</v>
      </c>
      <c r="G294" s="54">
        <f t="shared" si="11"/>
        <v>-10</v>
      </c>
      <c r="H294" s="28" t="s">
        <v>197</v>
      </c>
    </row>
    <row r="295" ht="14.25" customHeight="1">
      <c r="B295" s="145">
        <v>45521.0</v>
      </c>
      <c r="C295" s="141" t="str">
        <f t="shared" si="1"/>
        <v>8-2024</v>
      </c>
      <c r="D295" s="54" t="str">
        <f t="shared" si="39"/>
        <v/>
      </c>
      <c r="E295" s="54"/>
      <c r="F295" s="54">
        <f t="shared" si="10"/>
        <v>0</v>
      </c>
      <c r="G295" s="54">
        <f t="shared" si="11"/>
        <v>-10</v>
      </c>
      <c r="H295" s="28" t="s">
        <v>197</v>
      </c>
    </row>
    <row r="296" ht="14.25" customHeight="1">
      <c r="B296" s="145">
        <v>45522.0</v>
      </c>
      <c r="C296" s="141" t="str">
        <f t="shared" si="1"/>
        <v>8-2024</v>
      </c>
      <c r="D296" s="54" t="str">
        <f t="shared" si="39"/>
        <v/>
      </c>
      <c r="E296" s="54"/>
      <c r="F296" s="54">
        <f t="shared" si="10"/>
        <v>0</v>
      </c>
      <c r="G296" s="54">
        <f t="shared" si="11"/>
        <v>-10</v>
      </c>
      <c r="H296" s="28" t="s">
        <v>197</v>
      </c>
    </row>
    <row r="297" ht="14.25" customHeight="1">
      <c r="B297" s="164">
        <v>45523.0</v>
      </c>
      <c r="C297" s="141" t="str">
        <f t="shared" si="1"/>
        <v>8-2024</v>
      </c>
      <c r="D297" s="54" t="str">
        <f t="shared" si="39"/>
        <v/>
      </c>
      <c r="E297" s="54"/>
      <c r="F297" s="54">
        <f t="shared" si="10"/>
        <v>0</v>
      </c>
      <c r="G297" s="54">
        <f t="shared" si="11"/>
        <v>-10</v>
      </c>
      <c r="H297" s="28" t="s">
        <v>197</v>
      </c>
    </row>
    <row r="298" ht="14.25" customHeight="1">
      <c r="B298" s="164">
        <v>45524.0</v>
      </c>
      <c r="C298" s="141" t="str">
        <f t="shared" si="1"/>
        <v>8-2024</v>
      </c>
      <c r="D298" s="138">
        <v>573.9</v>
      </c>
      <c r="E298" s="138">
        <v>576.9</v>
      </c>
      <c r="F298" s="54">
        <f t="shared" si="10"/>
        <v>3</v>
      </c>
      <c r="G298" s="54">
        <f t="shared" si="11"/>
        <v>-7</v>
      </c>
      <c r="H298" s="28" t="s">
        <v>147</v>
      </c>
    </row>
    <row r="299" ht="14.25" customHeight="1">
      <c r="B299" s="164">
        <v>45525.0</v>
      </c>
      <c r="C299" s="141" t="str">
        <f t="shared" si="1"/>
        <v>8-2024</v>
      </c>
      <c r="D299" s="54"/>
      <c r="E299" s="54"/>
      <c r="F299" s="54">
        <f t="shared" si="10"/>
        <v>0</v>
      </c>
      <c r="G299" s="54">
        <f t="shared" si="11"/>
        <v>-10</v>
      </c>
      <c r="H299" s="28" t="s">
        <v>197</v>
      </c>
    </row>
    <row r="300" ht="14.25" customHeight="1">
      <c r="B300" s="164">
        <v>45526.0</v>
      </c>
      <c r="C300" s="141" t="str">
        <f t="shared" si="1"/>
        <v>8-2024</v>
      </c>
      <c r="D300" s="54" t="str">
        <f t="shared" ref="D300:D301" si="40">E299</f>
        <v/>
      </c>
      <c r="E300" s="54"/>
      <c r="F300" s="54">
        <f t="shared" si="10"/>
        <v>0</v>
      </c>
      <c r="G300" s="54">
        <f t="shared" si="11"/>
        <v>-10</v>
      </c>
      <c r="H300" s="28" t="s">
        <v>197</v>
      </c>
    </row>
    <row r="301" ht="14.25" customHeight="1">
      <c r="B301" s="164">
        <v>45527.0</v>
      </c>
      <c r="C301" s="141" t="str">
        <f t="shared" si="1"/>
        <v>8-2024</v>
      </c>
      <c r="D301" s="54" t="str">
        <f t="shared" si="40"/>
        <v/>
      </c>
      <c r="E301" s="54"/>
      <c r="F301" s="54">
        <f t="shared" si="10"/>
        <v>0</v>
      </c>
      <c r="G301" s="54">
        <f t="shared" si="11"/>
        <v>-10</v>
      </c>
      <c r="H301" s="28" t="s">
        <v>197</v>
      </c>
    </row>
    <row r="302" ht="14.25" customHeight="1">
      <c r="B302" s="145">
        <v>45528.0</v>
      </c>
      <c r="C302" s="141" t="str">
        <f t="shared" si="1"/>
        <v>8-2024</v>
      </c>
      <c r="D302" s="138">
        <v>776.7</v>
      </c>
      <c r="E302" s="138">
        <v>778.2</v>
      </c>
      <c r="F302" s="54">
        <f t="shared" si="10"/>
        <v>1.5</v>
      </c>
      <c r="G302" s="54">
        <f t="shared" si="11"/>
        <v>-8.5</v>
      </c>
      <c r="H302" s="28" t="s">
        <v>195</v>
      </c>
    </row>
    <row r="303" ht="14.25" customHeight="1">
      <c r="B303" s="145">
        <v>45529.0</v>
      </c>
      <c r="C303" s="141" t="str">
        <f t="shared" si="1"/>
        <v>8-2024</v>
      </c>
      <c r="D303" s="54"/>
      <c r="E303" s="54"/>
      <c r="F303" s="54">
        <f t="shared" si="10"/>
        <v>0</v>
      </c>
      <c r="G303" s="54">
        <f t="shared" si="11"/>
        <v>-10</v>
      </c>
    </row>
    <row r="304" ht="14.25" customHeight="1">
      <c r="B304" s="164">
        <v>45530.0</v>
      </c>
      <c r="C304" s="141" t="str">
        <f t="shared" si="1"/>
        <v>8-2024</v>
      </c>
      <c r="D304" s="138">
        <v>778.2</v>
      </c>
      <c r="E304" s="138">
        <v>784.0</v>
      </c>
      <c r="F304" s="54">
        <f t="shared" si="10"/>
        <v>5.8</v>
      </c>
      <c r="G304" s="54">
        <f t="shared" si="11"/>
        <v>-4.2</v>
      </c>
      <c r="H304" s="28" t="s">
        <v>195</v>
      </c>
    </row>
    <row r="305" ht="14.25" customHeight="1">
      <c r="B305" s="164">
        <v>45531.0</v>
      </c>
      <c r="C305" s="141" t="str">
        <f t="shared" si="1"/>
        <v>8-2024</v>
      </c>
      <c r="D305" s="54">
        <f t="shared" ref="D305:D309" si="41">E304</f>
        <v>784</v>
      </c>
      <c r="E305" s="138">
        <v>789.7</v>
      </c>
      <c r="F305" s="54">
        <f t="shared" si="10"/>
        <v>5.7</v>
      </c>
      <c r="G305" s="54">
        <f t="shared" si="11"/>
        <v>-4.3</v>
      </c>
      <c r="H305" s="28" t="s">
        <v>195</v>
      </c>
    </row>
    <row r="306" ht="14.25" customHeight="1">
      <c r="B306" s="164">
        <v>45532.0</v>
      </c>
      <c r="C306" s="141" t="str">
        <f t="shared" si="1"/>
        <v>8-2024</v>
      </c>
      <c r="D306" s="54">
        <f t="shared" si="41"/>
        <v>789.7</v>
      </c>
      <c r="E306" s="138">
        <v>794.5</v>
      </c>
      <c r="F306" s="54">
        <f t="shared" si="10"/>
        <v>4.8</v>
      </c>
      <c r="G306" s="54">
        <f t="shared" si="11"/>
        <v>-5.2</v>
      </c>
      <c r="H306" s="28" t="s">
        <v>195</v>
      </c>
    </row>
    <row r="307" ht="14.25" customHeight="1">
      <c r="B307" s="164">
        <v>45533.0</v>
      </c>
      <c r="C307" s="141" t="str">
        <f t="shared" si="1"/>
        <v>8-2024</v>
      </c>
      <c r="D307" s="54">
        <f t="shared" si="41"/>
        <v>794.5</v>
      </c>
      <c r="E307" s="138">
        <v>796.2</v>
      </c>
      <c r="F307" s="54">
        <f t="shared" si="10"/>
        <v>1.7</v>
      </c>
      <c r="G307" s="54">
        <f t="shared" si="11"/>
        <v>-8.3</v>
      </c>
      <c r="H307" s="28" t="s">
        <v>195</v>
      </c>
      <c r="I307" s="28">
        <v>243.0</v>
      </c>
    </row>
    <row r="308" ht="14.25" customHeight="1">
      <c r="B308" s="164">
        <v>45534.0</v>
      </c>
      <c r="C308" s="141" t="str">
        <f t="shared" si="1"/>
        <v>8-2024</v>
      </c>
      <c r="D308" s="54">
        <f t="shared" si="41"/>
        <v>796.2</v>
      </c>
      <c r="E308" s="138">
        <v>809.4</v>
      </c>
      <c r="F308" s="54">
        <f t="shared" si="10"/>
        <v>13.2</v>
      </c>
      <c r="G308" s="54">
        <f t="shared" si="11"/>
        <v>3.2</v>
      </c>
      <c r="H308" s="28" t="s">
        <v>195</v>
      </c>
    </row>
    <row r="309" ht="14.25" customHeight="1">
      <c r="B309" s="145">
        <v>45535.0</v>
      </c>
      <c r="C309" s="141" t="str">
        <f t="shared" si="1"/>
        <v>8-2024</v>
      </c>
      <c r="D309" s="54">
        <f t="shared" si="41"/>
        <v>809.4</v>
      </c>
      <c r="E309" s="138">
        <v>810.0</v>
      </c>
      <c r="F309" s="54">
        <f t="shared" si="10"/>
        <v>0.6</v>
      </c>
      <c r="G309" s="54">
        <f t="shared" si="11"/>
        <v>-9.4</v>
      </c>
      <c r="H309" s="28" t="s">
        <v>195</v>
      </c>
      <c r="I309" s="28">
        <v>200.0</v>
      </c>
    </row>
    <row r="310" ht="14.25" customHeight="1">
      <c r="B310" s="145">
        <v>45536.0</v>
      </c>
      <c r="C310" s="141" t="str">
        <f t="shared" si="1"/>
        <v>9-2024</v>
      </c>
      <c r="D310" s="54"/>
      <c r="E310" s="54"/>
      <c r="F310" s="54">
        <f t="shared" si="10"/>
        <v>0</v>
      </c>
      <c r="G310" s="54">
        <f t="shared" si="11"/>
        <v>-10</v>
      </c>
    </row>
    <row r="311" ht="14.25" customHeight="1">
      <c r="B311" s="140">
        <v>45537.0</v>
      </c>
      <c r="C311" s="141" t="str">
        <f t="shared" si="1"/>
        <v>9-2024</v>
      </c>
      <c r="D311" s="54" t="str">
        <f t="shared" ref="D311:D366" si="42">E310</f>
        <v/>
      </c>
      <c r="E311" s="54"/>
      <c r="F311" s="54">
        <f t="shared" si="10"/>
        <v>0</v>
      </c>
      <c r="G311" s="54">
        <f t="shared" si="11"/>
        <v>-10</v>
      </c>
    </row>
    <row r="312" ht="14.25" customHeight="1">
      <c r="B312" s="140">
        <v>45538.0</v>
      </c>
      <c r="C312" s="141" t="str">
        <f t="shared" si="1"/>
        <v>9-2024</v>
      </c>
      <c r="D312" s="54" t="str">
        <f t="shared" si="42"/>
        <v/>
      </c>
      <c r="E312" s="54"/>
      <c r="F312" s="54">
        <f t="shared" si="10"/>
        <v>0</v>
      </c>
      <c r="G312" s="54">
        <f t="shared" si="11"/>
        <v>-10</v>
      </c>
    </row>
    <row r="313" ht="14.25" customHeight="1">
      <c r="B313" s="140">
        <v>45539.0</v>
      </c>
      <c r="C313" s="141" t="str">
        <f t="shared" si="1"/>
        <v>9-2024</v>
      </c>
      <c r="D313" s="54" t="str">
        <f t="shared" si="42"/>
        <v/>
      </c>
      <c r="E313" s="54"/>
      <c r="F313" s="54">
        <f t="shared" si="10"/>
        <v>0</v>
      </c>
      <c r="G313" s="54">
        <f t="shared" si="11"/>
        <v>-10</v>
      </c>
    </row>
    <row r="314" ht="14.25" customHeight="1">
      <c r="B314" s="140">
        <v>45540.0</v>
      </c>
      <c r="C314" s="141" t="str">
        <f t="shared" si="1"/>
        <v>9-2024</v>
      </c>
      <c r="D314" s="54" t="str">
        <f t="shared" si="42"/>
        <v/>
      </c>
      <c r="E314" s="54"/>
      <c r="F314" s="54">
        <f t="shared" si="10"/>
        <v>0</v>
      </c>
      <c r="G314" s="54">
        <f t="shared" si="11"/>
        <v>-10</v>
      </c>
    </row>
    <row r="315" ht="14.25" customHeight="1">
      <c r="B315" s="140">
        <v>45541.0</v>
      </c>
      <c r="C315" s="141" t="str">
        <f t="shared" si="1"/>
        <v>9-2024</v>
      </c>
      <c r="D315" s="54" t="str">
        <f t="shared" si="42"/>
        <v/>
      </c>
      <c r="E315" s="54"/>
      <c r="F315" s="54">
        <f t="shared" si="10"/>
        <v>0</v>
      </c>
      <c r="G315" s="54">
        <f t="shared" si="11"/>
        <v>-10</v>
      </c>
    </row>
    <row r="316" ht="14.25" customHeight="1">
      <c r="B316" s="145">
        <v>45542.0</v>
      </c>
      <c r="C316" s="141" t="str">
        <f t="shared" si="1"/>
        <v>9-2024</v>
      </c>
      <c r="D316" s="54" t="str">
        <f t="shared" si="42"/>
        <v/>
      </c>
      <c r="E316" s="54"/>
      <c r="F316" s="54">
        <f t="shared" si="10"/>
        <v>0</v>
      </c>
      <c r="G316" s="54">
        <f t="shared" si="11"/>
        <v>-10</v>
      </c>
    </row>
    <row r="317" ht="14.25" customHeight="1">
      <c r="B317" s="145">
        <v>45543.0</v>
      </c>
      <c r="C317" s="141" t="str">
        <f t="shared" si="1"/>
        <v>9-2024</v>
      </c>
      <c r="D317" s="54" t="str">
        <f t="shared" si="42"/>
        <v/>
      </c>
      <c r="E317" s="54"/>
      <c r="F317" s="54">
        <f t="shared" si="10"/>
        <v>0</v>
      </c>
      <c r="G317" s="54">
        <f t="shared" si="11"/>
        <v>-10</v>
      </c>
    </row>
    <row r="318" ht="14.25" customHeight="1">
      <c r="B318" s="140">
        <v>45544.0</v>
      </c>
      <c r="C318" s="141" t="str">
        <f t="shared" si="1"/>
        <v>9-2024</v>
      </c>
      <c r="D318" s="54" t="str">
        <f t="shared" si="42"/>
        <v/>
      </c>
      <c r="E318" s="54"/>
      <c r="F318" s="54">
        <f t="shared" si="10"/>
        <v>0</v>
      </c>
      <c r="G318" s="54">
        <f t="shared" si="11"/>
        <v>-10</v>
      </c>
    </row>
    <row r="319" ht="14.25" customHeight="1">
      <c r="B319" s="140">
        <v>45545.0</v>
      </c>
      <c r="C319" s="141" t="str">
        <f t="shared" si="1"/>
        <v>9-2024</v>
      </c>
      <c r="D319" s="54" t="str">
        <f t="shared" si="42"/>
        <v/>
      </c>
      <c r="E319" s="54"/>
      <c r="F319" s="54">
        <f t="shared" si="10"/>
        <v>0</v>
      </c>
      <c r="G319" s="54">
        <f t="shared" si="11"/>
        <v>-10</v>
      </c>
    </row>
    <row r="320" ht="14.25" customHeight="1">
      <c r="B320" s="140">
        <v>45546.0</v>
      </c>
      <c r="C320" s="141" t="str">
        <f t="shared" si="1"/>
        <v>9-2024</v>
      </c>
      <c r="D320" s="54" t="str">
        <f t="shared" si="42"/>
        <v/>
      </c>
      <c r="E320" s="54"/>
      <c r="F320" s="54">
        <f t="shared" si="10"/>
        <v>0</v>
      </c>
      <c r="G320" s="54">
        <f t="shared" si="11"/>
        <v>-10</v>
      </c>
    </row>
    <row r="321" ht="14.25" customHeight="1">
      <c r="B321" s="140">
        <v>45547.0</v>
      </c>
      <c r="C321" s="141" t="str">
        <f t="shared" si="1"/>
        <v>9-2024</v>
      </c>
      <c r="D321" s="54" t="str">
        <f t="shared" si="42"/>
        <v/>
      </c>
      <c r="E321" s="54"/>
      <c r="F321" s="54">
        <f t="shared" si="10"/>
        <v>0</v>
      </c>
      <c r="G321" s="54">
        <f t="shared" si="11"/>
        <v>-10</v>
      </c>
    </row>
    <row r="322" ht="14.25" customHeight="1">
      <c r="B322" s="140">
        <v>45548.0</v>
      </c>
      <c r="C322" s="141" t="str">
        <f t="shared" si="1"/>
        <v>9-2024</v>
      </c>
      <c r="D322" s="54" t="str">
        <f t="shared" si="42"/>
        <v/>
      </c>
      <c r="E322" s="54"/>
      <c r="F322" s="54">
        <f t="shared" si="10"/>
        <v>0</v>
      </c>
      <c r="G322" s="54">
        <f t="shared" si="11"/>
        <v>-10</v>
      </c>
    </row>
    <row r="323" ht="14.25" customHeight="1">
      <c r="B323" s="145">
        <v>45549.0</v>
      </c>
      <c r="C323" s="141" t="str">
        <f t="shared" si="1"/>
        <v>9-2024</v>
      </c>
      <c r="D323" s="54" t="str">
        <f t="shared" si="42"/>
        <v/>
      </c>
      <c r="E323" s="54"/>
      <c r="F323" s="54">
        <f t="shared" si="10"/>
        <v>0</v>
      </c>
      <c r="G323" s="54">
        <f t="shared" si="11"/>
        <v>-10</v>
      </c>
    </row>
    <row r="324" ht="14.25" customHeight="1">
      <c r="B324" s="145">
        <v>45550.0</v>
      </c>
      <c r="C324" s="141" t="str">
        <f t="shared" si="1"/>
        <v>9-2024</v>
      </c>
      <c r="D324" s="54" t="str">
        <f t="shared" si="42"/>
        <v/>
      </c>
      <c r="E324" s="54"/>
      <c r="F324" s="54">
        <f t="shared" si="10"/>
        <v>0</v>
      </c>
      <c r="G324" s="54">
        <f t="shared" si="11"/>
        <v>-10</v>
      </c>
    </row>
    <row r="325" ht="14.25" customHeight="1">
      <c r="B325" s="140">
        <v>45551.0</v>
      </c>
      <c r="C325" s="141" t="str">
        <f t="shared" si="1"/>
        <v>9-2024</v>
      </c>
      <c r="D325" s="54" t="str">
        <f t="shared" si="42"/>
        <v/>
      </c>
      <c r="E325" s="54"/>
      <c r="F325" s="54">
        <f t="shared" si="10"/>
        <v>0</v>
      </c>
      <c r="G325" s="54">
        <f t="shared" si="11"/>
        <v>-10</v>
      </c>
    </row>
    <row r="326" ht="14.25" customHeight="1">
      <c r="B326" s="140">
        <v>45552.0</v>
      </c>
      <c r="C326" s="141" t="str">
        <f t="shared" si="1"/>
        <v>9-2024</v>
      </c>
      <c r="D326" s="54" t="str">
        <f t="shared" si="42"/>
        <v/>
      </c>
      <c r="E326" s="54"/>
      <c r="F326" s="54">
        <f t="shared" si="10"/>
        <v>0</v>
      </c>
      <c r="G326" s="54">
        <f t="shared" si="11"/>
        <v>-10</v>
      </c>
    </row>
    <row r="327" ht="14.25" customHeight="1">
      <c r="B327" s="140">
        <v>45553.0</v>
      </c>
      <c r="C327" s="141" t="str">
        <f t="shared" si="1"/>
        <v>9-2024</v>
      </c>
      <c r="D327" s="54" t="str">
        <f t="shared" si="42"/>
        <v/>
      </c>
      <c r="E327" s="54"/>
      <c r="F327" s="54">
        <f t="shared" si="10"/>
        <v>0</v>
      </c>
      <c r="G327" s="54">
        <f t="shared" si="11"/>
        <v>-10</v>
      </c>
    </row>
    <row r="328" ht="14.25" customHeight="1">
      <c r="B328" s="140">
        <v>45554.0</v>
      </c>
      <c r="C328" s="141" t="str">
        <f t="shared" si="1"/>
        <v>9-2024</v>
      </c>
      <c r="D328" s="54" t="str">
        <f t="shared" si="42"/>
        <v/>
      </c>
      <c r="E328" s="54"/>
      <c r="F328" s="54">
        <f t="shared" si="10"/>
        <v>0</v>
      </c>
      <c r="G328" s="54">
        <f t="shared" si="11"/>
        <v>-10</v>
      </c>
    </row>
    <row r="329" ht="14.25" customHeight="1">
      <c r="B329" s="140">
        <v>45555.0</v>
      </c>
      <c r="C329" s="141" t="str">
        <f t="shared" si="1"/>
        <v>9-2024</v>
      </c>
      <c r="D329" s="54" t="str">
        <f t="shared" si="42"/>
        <v/>
      </c>
      <c r="E329" s="54"/>
      <c r="F329" s="54">
        <f t="shared" si="10"/>
        <v>0</v>
      </c>
      <c r="G329" s="54">
        <f t="shared" si="11"/>
        <v>-10</v>
      </c>
    </row>
    <row r="330" ht="14.25" customHeight="1">
      <c r="B330" s="145">
        <v>45556.0</v>
      </c>
      <c r="C330" s="141" t="str">
        <f t="shared" si="1"/>
        <v>9-2024</v>
      </c>
      <c r="D330" s="54" t="str">
        <f t="shared" si="42"/>
        <v/>
      </c>
      <c r="E330" s="54"/>
      <c r="F330" s="54">
        <f t="shared" si="10"/>
        <v>0</v>
      </c>
      <c r="G330" s="54">
        <f t="shared" si="11"/>
        <v>-10</v>
      </c>
    </row>
    <row r="331" ht="14.25" customHeight="1">
      <c r="B331" s="145">
        <v>45557.0</v>
      </c>
      <c r="C331" s="141" t="str">
        <f t="shared" si="1"/>
        <v>9-2024</v>
      </c>
      <c r="D331" s="54" t="str">
        <f t="shared" si="42"/>
        <v/>
      </c>
      <c r="E331" s="54"/>
      <c r="F331" s="54">
        <f t="shared" si="10"/>
        <v>0</v>
      </c>
      <c r="G331" s="54">
        <f t="shared" si="11"/>
        <v>-10</v>
      </c>
    </row>
    <row r="332" ht="14.25" customHeight="1">
      <c r="B332" s="140">
        <v>45558.0</v>
      </c>
      <c r="C332" s="141" t="str">
        <f t="shared" si="1"/>
        <v>9-2024</v>
      </c>
      <c r="D332" s="54" t="str">
        <f t="shared" si="42"/>
        <v/>
      </c>
      <c r="E332" s="54"/>
      <c r="F332" s="54">
        <f t="shared" si="10"/>
        <v>0</v>
      </c>
      <c r="G332" s="54">
        <f t="shared" si="11"/>
        <v>-10</v>
      </c>
    </row>
    <row r="333" ht="14.25" customHeight="1">
      <c r="B333" s="140">
        <v>45559.0</v>
      </c>
      <c r="C333" s="141" t="str">
        <f t="shared" si="1"/>
        <v>9-2024</v>
      </c>
      <c r="D333" s="54" t="str">
        <f t="shared" si="42"/>
        <v/>
      </c>
      <c r="E333" s="54"/>
      <c r="F333" s="54">
        <f t="shared" si="10"/>
        <v>0</v>
      </c>
      <c r="G333" s="54">
        <f t="shared" si="11"/>
        <v>-10</v>
      </c>
    </row>
    <row r="334" ht="14.25" customHeight="1">
      <c r="B334" s="140">
        <v>45560.0</v>
      </c>
      <c r="C334" s="141" t="str">
        <f t="shared" si="1"/>
        <v>9-2024</v>
      </c>
      <c r="D334" s="54" t="str">
        <f t="shared" si="42"/>
        <v/>
      </c>
      <c r="E334" s="54"/>
      <c r="F334" s="54">
        <f t="shared" si="10"/>
        <v>0</v>
      </c>
      <c r="G334" s="54">
        <f t="shared" si="11"/>
        <v>-10</v>
      </c>
    </row>
    <row r="335" ht="14.25" customHeight="1">
      <c r="B335" s="140">
        <v>45561.0</v>
      </c>
      <c r="C335" s="141" t="str">
        <f t="shared" si="1"/>
        <v>9-2024</v>
      </c>
      <c r="D335" s="54" t="str">
        <f t="shared" si="42"/>
        <v/>
      </c>
      <c r="E335" s="54"/>
      <c r="F335" s="54">
        <f t="shared" si="10"/>
        <v>0</v>
      </c>
      <c r="G335" s="54">
        <f t="shared" si="11"/>
        <v>-10</v>
      </c>
    </row>
    <row r="336" ht="14.25" customHeight="1">
      <c r="B336" s="140">
        <v>45562.0</v>
      </c>
      <c r="C336" s="141" t="str">
        <f t="shared" si="1"/>
        <v>9-2024</v>
      </c>
      <c r="D336" s="54" t="str">
        <f t="shared" si="42"/>
        <v/>
      </c>
      <c r="E336" s="54"/>
      <c r="F336" s="54">
        <f t="shared" si="10"/>
        <v>0</v>
      </c>
      <c r="G336" s="54">
        <f t="shared" si="11"/>
        <v>-10</v>
      </c>
    </row>
    <row r="337" ht="14.25" customHeight="1">
      <c r="B337" s="145">
        <v>45563.0</v>
      </c>
      <c r="C337" s="141" t="str">
        <f t="shared" si="1"/>
        <v>9-2024</v>
      </c>
      <c r="D337" s="54" t="str">
        <f t="shared" si="42"/>
        <v/>
      </c>
      <c r="E337" s="54"/>
      <c r="F337" s="54">
        <f t="shared" si="10"/>
        <v>0</v>
      </c>
      <c r="G337" s="54">
        <f t="shared" si="11"/>
        <v>-10</v>
      </c>
    </row>
    <row r="338" ht="14.25" customHeight="1">
      <c r="B338" s="145">
        <v>45564.0</v>
      </c>
      <c r="C338" s="141" t="str">
        <f t="shared" si="1"/>
        <v>9-2024</v>
      </c>
      <c r="D338" s="54" t="str">
        <f t="shared" si="42"/>
        <v/>
      </c>
      <c r="E338" s="54"/>
      <c r="F338" s="54">
        <f t="shared" si="10"/>
        <v>0</v>
      </c>
      <c r="G338" s="54">
        <f t="shared" si="11"/>
        <v>-10</v>
      </c>
    </row>
    <row r="339" ht="14.25" customHeight="1">
      <c r="B339" s="140">
        <v>45565.0</v>
      </c>
      <c r="C339" s="141" t="str">
        <f t="shared" si="1"/>
        <v>9-2024</v>
      </c>
      <c r="D339" s="54" t="str">
        <f t="shared" si="42"/>
        <v/>
      </c>
      <c r="E339" s="54"/>
      <c r="F339" s="54">
        <f t="shared" si="10"/>
        <v>0</v>
      </c>
      <c r="G339" s="54">
        <f t="shared" si="11"/>
        <v>-10</v>
      </c>
    </row>
    <row r="340" ht="14.25" customHeight="1">
      <c r="B340" s="140">
        <v>45566.0</v>
      </c>
      <c r="C340" s="141" t="str">
        <f t="shared" si="1"/>
        <v>10-2024</v>
      </c>
      <c r="D340" s="54" t="str">
        <f t="shared" si="42"/>
        <v/>
      </c>
      <c r="E340" s="54"/>
      <c r="F340" s="54">
        <f t="shared" si="10"/>
        <v>0</v>
      </c>
      <c r="G340" s="54">
        <f t="shared" si="11"/>
        <v>-10</v>
      </c>
    </row>
    <row r="341" ht="14.25" customHeight="1">
      <c r="B341" s="140">
        <v>45567.0</v>
      </c>
      <c r="C341" s="141" t="str">
        <f t="shared" si="1"/>
        <v>10-2024</v>
      </c>
      <c r="D341" s="54" t="str">
        <f t="shared" si="42"/>
        <v/>
      </c>
      <c r="E341" s="54"/>
      <c r="F341" s="54">
        <f t="shared" si="10"/>
        <v>0</v>
      </c>
      <c r="G341" s="54">
        <f t="shared" si="11"/>
        <v>-10</v>
      </c>
    </row>
    <row r="342" ht="14.25" customHeight="1">
      <c r="B342" s="140">
        <v>45568.0</v>
      </c>
      <c r="C342" s="141" t="str">
        <f t="shared" si="1"/>
        <v>10-2024</v>
      </c>
      <c r="D342" s="54" t="str">
        <f t="shared" si="42"/>
        <v/>
      </c>
      <c r="E342" s="54"/>
      <c r="F342" s="54">
        <f t="shared" si="10"/>
        <v>0</v>
      </c>
      <c r="G342" s="54">
        <f t="shared" si="11"/>
        <v>-10</v>
      </c>
    </row>
    <row r="343" ht="14.25" customHeight="1">
      <c r="B343" s="140">
        <v>45569.0</v>
      </c>
      <c r="C343" s="141" t="str">
        <f t="shared" si="1"/>
        <v>10-2024</v>
      </c>
      <c r="D343" s="54" t="str">
        <f t="shared" si="42"/>
        <v/>
      </c>
      <c r="E343" s="54"/>
      <c r="F343" s="54">
        <f t="shared" si="10"/>
        <v>0</v>
      </c>
      <c r="G343" s="54">
        <f t="shared" si="11"/>
        <v>-10</v>
      </c>
    </row>
    <row r="344" ht="14.25" customHeight="1">
      <c r="B344" s="145">
        <v>45570.0</v>
      </c>
      <c r="C344" s="141" t="str">
        <f t="shared" si="1"/>
        <v>10-2024</v>
      </c>
      <c r="D344" s="54" t="str">
        <f t="shared" si="42"/>
        <v/>
      </c>
      <c r="E344" s="54"/>
      <c r="F344" s="54">
        <f t="shared" si="10"/>
        <v>0</v>
      </c>
      <c r="G344" s="54">
        <f t="shared" si="11"/>
        <v>-10</v>
      </c>
    </row>
    <row r="345" ht="14.25" customHeight="1">
      <c r="B345" s="145">
        <v>45571.0</v>
      </c>
      <c r="C345" s="141" t="str">
        <f t="shared" si="1"/>
        <v>10-2024</v>
      </c>
      <c r="D345" s="54" t="str">
        <f t="shared" si="42"/>
        <v/>
      </c>
      <c r="E345" s="54"/>
      <c r="F345" s="54">
        <f t="shared" si="10"/>
        <v>0</v>
      </c>
      <c r="G345" s="54">
        <f t="shared" si="11"/>
        <v>-10</v>
      </c>
    </row>
    <row r="346" ht="14.25" customHeight="1">
      <c r="B346" s="140">
        <v>45572.0</v>
      </c>
      <c r="C346" s="141" t="str">
        <f t="shared" si="1"/>
        <v>10-2024</v>
      </c>
      <c r="D346" s="54" t="str">
        <f t="shared" si="42"/>
        <v/>
      </c>
      <c r="E346" s="54"/>
      <c r="F346" s="54">
        <f t="shared" si="10"/>
        <v>0</v>
      </c>
      <c r="G346" s="54">
        <f t="shared" si="11"/>
        <v>-10</v>
      </c>
    </row>
    <row r="347" ht="14.25" customHeight="1">
      <c r="B347" s="140">
        <v>45573.0</v>
      </c>
      <c r="C347" s="141" t="str">
        <f t="shared" si="1"/>
        <v>10-2024</v>
      </c>
      <c r="D347" s="54" t="str">
        <f t="shared" si="42"/>
        <v/>
      </c>
      <c r="E347" s="54"/>
      <c r="F347" s="54">
        <f t="shared" si="10"/>
        <v>0</v>
      </c>
      <c r="G347" s="54">
        <f t="shared" si="11"/>
        <v>-10</v>
      </c>
    </row>
    <row r="348" ht="14.25" customHeight="1">
      <c r="B348" s="140">
        <v>45574.0</v>
      </c>
      <c r="C348" s="141" t="str">
        <f t="shared" si="1"/>
        <v>10-2024</v>
      </c>
      <c r="D348" s="54" t="str">
        <f t="shared" si="42"/>
        <v/>
      </c>
      <c r="E348" s="54"/>
      <c r="F348" s="54">
        <f t="shared" si="10"/>
        <v>0</v>
      </c>
      <c r="G348" s="54">
        <f t="shared" si="11"/>
        <v>-10</v>
      </c>
    </row>
    <row r="349" ht="14.25" customHeight="1">
      <c r="B349" s="140">
        <v>45575.0</v>
      </c>
      <c r="C349" s="141" t="str">
        <f t="shared" si="1"/>
        <v>10-2024</v>
      </c>
      <c r="D349" s="54" t="str">
        <f t="shared" si="42"/>
        <v/>
      </c>
      <c r="E349" s="54"/>
      <c r="F349" s="54">
        <f t="shared" si="10"/>
        <v>0</v>
      </c>
      <c r="G349" s="54">
        <f t="shared" si="11"/>
        <v>-10</v>
      </c>
    </row>
    <row r="350" ht="14.25" customHeight="1">
      <c r="B350" s="140">
        <v>45576.0</v>
      </c>
      <c r="C350" s="141" t="str">
        <f t="shared" si="1"/>
        <v>10-2024</v>
      </c>
      <c r="D350" s="54" t="str">
        <f t="shared" si="42"/>
        <v/>
      </c>
      <c r="E350" s="54"/>
      <c r="F350" s="54">
        <f t="shared" si="10"/>
        <v>0</v>
      </c>
      <c r="G350" s="54">
        <f t="shared" si="11"/>
        <v>-10</v>
      </c>
    </row>
    <row r="351" ht="14.25" customHeight="1">
      <c r="B351" s="145">
        <v>45577.0</v>
      </c>
      <c r="C351" s="141" t="str">
        <f t="shared" si="1"/>
        <v>10-2024</v>
      </c>
      <c r="D351" s="54" t="str">
        <f t="shared" si="42"/>
        <v/>
      </c>
      <c r="E351" s="54"/>
      <c r="F351" s="54">
        <f t="shared" si="10"/>
        <v>0</v>
      </c>
      <c r="G351" s="54">
        <f t="shared" si="11"/>
        <v>-10</v>
      </c>
    </row>
    <row r="352" ht="14.25" customHeight="1">
      <c r="B352" s="145">
        <v>45578.0</v>
      </c>
      <c r="C352" s="141" t="str">
        <f t="shared" si="1"/>
        <v>10-2024</v>
      </c>
      <c r="D352" s="54" t="str">
        <f t="shared" si="42"/>
        <v/>
      </c>
      <c r="E352" s="54"/>
      <c r="F352" s="54">
        <f t="shared" si="10"/>
        <v>0</v>
      </c>
      <c r="G352" s="54">
        <f t="shared" si="11"/>
        <v>-10</v>
      </c>
    </row>
    <row r="353" ht="14.25" customHeight="1">
      <c r="B353" s="140">
        <v>45579.0</v>
      </c>
      <c r="C353" s="141" t="str">
        <f t="shared" si="1"/>
        <v>10-2024</v>
      </c>
      <c r="D353" s="54" t="str">
        <f t="shared" si="42"/>
        <v/>
      </c>
      <c r="E353" s="54"/>
      <c r="F353" s="54">
        <f t="shared" si="10"/>
        <v>0</v>
      </c>
      <c r="G353" s="54">
        <f t="shared" si="11"/>
        <v>-10</v>
      </c>
    </row>
    <row r="354" ht="14.25" customHeight="1">
      <c r="B354" s="140">
        <v>45580.0</v>
      </c>
      <c r="C354" s="141" t="str">
        <f t="shared" si="1"/>
        <v>10-2024</v>
      </c>
      <c r="D354" s="54" t="str">
        <f t="shared" si="42"/>
        <v/>
      </c>
      <c r="E354" s="54"/>
      <c r="F354" s="54">
        <f t="shared" si="10"/>
        <v>0</v>
      </c>
      <c r="G354" s="54">
        <f t="shared" si="11"/>
        <v>-10</v>
      </c>
    </row>
    <row r="355" ht="14.25" customHeight="1">
      <c r="B355" s="140">
        <v>45581.0</v>
      </c>
      <c r="C355" s="141" t="str">
        <f t="shared" si="1"/>
        <v>10-2024</v>
      </c>
      <c r="D355" s="54" t="str">
        <f t="shared" si="42"/>
        <v/>
      </c>
      <c r="E355" s="54"/>
      <c r="F355" s="54">
        <f t="shared" si="10"/>
        <v>0</v>
      </c>
      <c r="G355" s="54">
        <f t="shared" si="11"/>
        <v>-10</v>
      </c>
    </row>
    <row r="356" ht="14.25" customHeight="1">
      <c r="B356" s="140">
        <v>45582.0</v>
      </c>
      <c r="C356" s="141" t="str">
        <f t="shared" si="1"/>
        <v>10-2024</v>
      </c>
      <c r="D356" s="54" t="str">
        <f t="shared" si="42"/>
        <v/>
      </c>
      <c r="E356" s="54"/>
      <c r="F356" s="54">
        <f t="shared" si="10"/>
        <v>0</v>
      </c>
      <c r="G356" s="54">
        <f t="shared" si="11"/>
        <v>-10</v>
      </c>
    </row>
    <row r="357" ht="14.25" customHeight="1">
      <c r="B357" s="140">
        <v>45583.0</v>
      </c>
      <c r="C357" s="141" t="str">
        <f t="shared" si="1"/>
        <v>10-2024</v>
      </c>
      <c r="D357" s="54" t="str">
        <f t="shared" si="42"/>
        <v/>
      </c>
      <c r="E357" s="54"/>
      <c r="F357" s="54">
        <f t="shared" si="10"/>
        <v>0</v>
      </c>
      <c r="G357" s="54">
        <f t="shared" si="11"/>
        <v>-10</v>
      </c>
    </row>
    <row r="358" ht="14.25" customHeight="1">
      <c r="B358" s="140">
        <v>45584.0</v>
      </c>
      <c r="C358" s="141" t="str">
        <f t="shared" si="1"/>
        <v>10-2024</v>
      </c>
      <c r="D358" s="54" t="str">
        <f t="shared" si="42"/>
        <v/>
      </c>
      <c r="E358" s="54"/>
      <c r="F358" s="54">
        <f t="shared" si="10"/>
        <v>0</v>
      </c>
      <c r="G358" s="54">
        <f t="shared" si="11"/>
        <v>-10</v>
      </c>
    </row>
    <row r="359" ht="14.25" customHeight="1">
      <c r="B359" s="140">
        <v>45585.0</v>
      </c>
      <c r="C359" s="141" t="str">
        <f t="shared" si="1"/>
        <v>10-2024</v>
      </c>
      <c r="D359" s="54" t="str">
        <f t="shared" si="42"/>
        <v/>
      </c>
      <c r="E359" s="54"/>
      <c r="F359" s="54">
        <f t="shared" si="10"/>
        <v>0</v>
      </c>
      <c r="G359" s="54">
        <f t="shared" si="11"/>
        <v>-10</v>
      </c>
    </row>
    <row r="360" ht="14.25" customHeight="1">
      <c r="B360" s="140">
        <v>45586.0</v>
      </c>
      <c r="C360" s="141" t="str">
        <f t="shared" si="1"/>
        <v>10-2024</v>
      </c>
      <c r="D360" s="54" t="str">
        <f t="shared" si="42"/>
        <v/>
      </c>
      <c r="E360" s="54"/>
      <c r="F360" s="54">
        <f t="shared" si="10"/>
        <v>0</v>
      </c>
      <c r="G360" s="54">
        <f t="shared" si="11"/>
        <v>-10</v>
      </c>
    </row>
    <row r="361" ht="14.25" customHeight="1">
      <c r="B361" s="140">
        <v>45587.0</v>
      </c>
      <c r="C361" s="141" t="str">
        <f t="shared" si="1"/>
        <v>10-2024</v>
      </c>
      <c r="D361" s="54" t="str">
        <f t="shared" si="42"/>
        <v/>
      </c>
      <c r="E361" s="54"/>
      <c r="F361" s="54">
        <f t="shared" si="10"/>
        <v>0</v>
      </c>
      <c r="G361" s="54">
        <f t="shared" si="11"/>
        <v>-10</v>
      </c>
    </row>
    <row r="362" ht="14.25" customHeight="1">
      <c r="B362" s="140">
        <v>45588.0</v>
      </c>
      <c r="C362" s="141" t="str">
        <f t="shared" si="1"/>
        <v>10-2024</v>
      </c>
      <c r="D362" s="54" t="str">
        <f t="shared" si="42"/>
        <v/>
      </c>
      <c r="E362" s="54"/>
      <c r="F362" s="54">
        <f t="shared" si="10"/>
        <v>0</v>
      </c>
      <c r="G362" s="54">
        <f t="shared" si="11"/>
        <v>-10</v>
      </c>
    </row>
    <row r="363" ht="14.25" customHeight="1">
      <c r="B363" s="140">
        <v>45589.0</v>
      </c>
      <c r="C363" s="141" t="str">
        <f t="shared" si="1"/>
        <v>10-2024</v>
      </c>
      <c r="D363" s="54" t="str">
        <f t="shared" si="42"/>
        <v/>
      </c>
      <c r="E363" s="54"/>
      <c r="F363" s="54">
        <f t="shared" si="10"/>
        <v>0</v>
      </c>
      <c r="G363" s="54">
        <f t="shared" si="11"/>
        <v>-10</v>
      </c>
    </row>
    <row r="364" ht="14.25" customHeight="1">
      <c r="B364" s="140">
        <v>45590.0</v>
      </c>
      <c r="C364" s="141" t="str">
        <f t="shared" si="1"/>
        <v>10-2024</v>
      </c>
      <c r="D364" s="54" t="str">
        <f t="shared" si="42"/>
        <v/>
      </c>
      <c r="E364" s="54"/>
      <c r="F364" s="54">
        <f t="shared" si="10"/>
        <v>0</v>
      </c>
      <c r="G364" s="54">
        <f t="shared" si="11"/>
        <v>-10</v>
      </c>
    </row>
    <row r="365" ht="14.25" customHeight="1">
      <c r="B365" s="140">
        <v>45591.0</v>
      </c>
      <c r="C365" s="141" t="str">
        <f t="shared" si="1"/>
        <v>10-2024</v>
      </c>
      <c r="D365" s="54" t="str">
        <f t="shared" si="42"/>
        <v/>
      </c>
      <c r="E365" s="54"/>
      <c r="F365" s="54">
        <f t="shared" si="10"/>
        <v>0</v>
      </c>
      <c r="G365" s="54">
        <f t="shared" si="11"/>
        <v>-10</v>
      </c>
    </row>
    <row r="366" ht="14.25" customHeight="1">
      <c r="B366" s="140">
        <v>45592.0</v>
      </c>
      <c r="C366" s="141" t="str">
        <f t="shared" si="1"/>
        <v>10-2024</v>
      </c>
      <c r="D366" s="54" t="str">
        <f t="shared" si="42"/>
        <v/>
      </c>
      <c r="E366" s="54"/>
      <c r="F366" s="54">
        <f t="shared" si="10"/>
        <v>0</v>
      </c>
      <c r="G366" s="54">
        <f t="shared" si="11"/>
        <v>-10</v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2"/>
  </mergeCells>
  <dataValidations>
    <dataValidation type="list" allowBlank="1" showErrorMessage="1" sqref="H4:H151">
      <formula1>"Anderson,Silvinho,Caio ,Wendel,Guri,Samuel ,Cristiano,Beto,Vinicius 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7" width="8.71"/>
    <col customWidth="1" min="8" max="8" width="12.29"/>
    <col customWidth="1" min="9" max="19" width="8.71"/>
  </cols>
  <sheetData>
    <row r="1" ht="14.25" customHeight="1">
      <c r="B1" s="129"/>
    </row>
    <row r="2" ht="14.25" customHeight="1"/>
    <row r="3" ht="14.25" customHeight="1">
      <c r="B3" s="135" t="s">
        <v>108</v>
      </c>
      <c r="C3" s="135" t="s">
        <v>2</v>
      </c>
      <c r="D3" s="135" t="s">
        <v>109</v>
      </c>
      <c r="E3" s="135" t="s">
        <v>110</v>
      </c>
      <c r="F3" s="135" t="s">
        <v>111</v>
      </c>
      <c r="G3" s="135" t="s">
        <v>112</v>
      </c>
      <c r="H3" s="135" t="s">
        <v>198</v>
      </c>
      <c r="I3" s="202" t="s">
        <v>199</v>
      </c>
    </row>
    <row r="4" ht="14.25" hidden="1" customHeight="1">
      <c r="B4" s="133">
        <v>45231.0</v>
      </c>
      <c r="C4" s="134" t="str">
        <f t="shared" ref="C4:C394" si="1">MONTH(B4)&amp; "-" &amp;YEAR(B4)</f>
        <v>11-2023</v>
      </c>
      <c r="D4" s="135">
        <v>1516.0</v>
      </c>
      <c r="E4" s="135">
        <v>1517.1</v>
      </c>
      <c r="F4" s="135">
        <f>' Carregadeira 12B '!$E4-' Carregadeira 12B '!$D4</f>
        <v>1.1</v>
      </c>
      <c r="G4" s="135">
        <f>' Carregadeira 12B '!$F4-10</f>
        <v>-8.9</v>
      </c>
      <c r="H4" s="135"/>
      <c r="I4" s="135"/>
    </row>
    <row r="5" ht="14.25" hidden="1" customHeight="1">
      <c r="B5" s="133">
        <v>45232.0</v>
      </c>
      <c r="C5" s="134" t="str">
        <f t="shared" si="1"/>
        <v>11-2023</v>
      </c>
      <c r="D5" s="135">
        <f t="shared" ref="D5:D7" si="2">E4</f>
        <v>1517.1</v>
      </c>
      <c r="E5" s="135">
        <v>1526.2</v>
      </c>
      <c r="F5" s="135">
        <f>' Carregadeira 12B '!$E5-' Carregadeira 12B '!$D5</f>
        <v>9.1</v>
      </c>
      <c r="G5" s="135">
        <f>' Carregadeira 12B '!$F5-10</f>
        <v>-0.9</v>
      </c>
      <c r="H5" s="135"/>
      <c r="I5" s="135"/>
    </row>
    <row r="6" ht="14.25" hidden="1" customHeight="1">
      <c r="B6" s="133">
        <v>45233.0</v>
      </c>
      <c r="C6" s="134" t="str">
        <f t="shared" si="1"/>
        <v>11-2023</v>
      </c>
      <c r="D6" s="135">
        <f t="shared" si="2"/>
        <v>1526.2</v>
      </c>
      <c r="E6" s="135">
        <v>1534.8</v>
      </c>
      <c r="F6" s="135">
        <f>' Carregadeira 12B '!$E6-' Carregadeira 12B '!$D6</f>
        <v>8.6</v>
      </c>
      <c r="G6" s="135">
        <f>' Carregadeira 12B '!$F6-10</f>
        <v>-1.4</v>
      </c>
      <c r="H6" s="135"/>
      <c r="I6" s="135"/>
    </row>
    <row r="7" ht="14.25" hidden="1" customHeight="1">
      <c r="B7" s="133">
        <v>45234.0</v>
      </c>
      <c r="C7" s="134" t="str">
        <f t="shared" si="1"/>
        <v>11-2023</v>
      </c>
      <c r="D7" s="135">
        <f t="shared" si="2"/>
        <v>1534.8</v>
      </c>
      <c r="E7" s="135">
        <v>1540.0</v>
      </c>
      <c r="F7" s="135">
        <f>' Carregadeira 12B '!$E7-' Carregadeira 12B '!$D7</f>
        <v>5.2</v>
      </c>
      <c r="G7" s="135">
        <f>' Carregadeira 12B '!$F7-10</f>
        <v>-4.8</v>
      </c>
      <c r="H7" s="135"/>
      <c r="I7" s="135"/>
    </row>
    <row r="8" ht="14.25" hidden="1" customHeight="1">
      <c r="B8" s="133">
        <v>45235.0</v>
      </c>
      <c r="C8" s="134" t="str">
        <f t="shared" si="1"/>
        <v>11-2023</v>
      </c>
      <c r="D8" s="135"/>
      <c r="E8" s="135"/>
      <c r="F8" s="135">
        <f>' Carregadeira 12B '!$E8-' Carregadeira 12B '!$D8</f>
        <v>0</v>
      </c>
      <c r="G8" s="135">
        <f>' Carregadeira 12B '!$F8-10</f>
        <v>-10</v>
      </c>
      <c r="H8" s="135"/>
      <c r="I8" s="135"/>
    </row>
    <row r="9" ht="14.25" hidden="1" customHeight="1">
      <c r="B9" s="133">
        <v>45236.0</v>
      </c>
      <c r="C9" s="134" t="str">
        <f t="shared" si="1"/>
        <v>11-2023</v>
      </c>
      <c r="D9" s="135">
        <v>1540.0</v>
      </c>
      <c r="E9" s="135">
        <v>1547.6</v>
      </c>
      <c r="F9" s="135">
        <f>' Carregadeira 12B '!$E9-' Carregadeira 12B '!$D9</f>
        <v>7.6</v>
      </c>
      <c r="G9" s="135">
        <f>' Carregadeira 12B '!$F9-10</f>
        <v>-2.4</v>
      </c>
      <c r="H9" s="135">
        <v>200.0</v>
      </c>
      <c r="I9" s="135"/>
    </row>
    <row r="10" ht="14.25" hidden="1" customHeight="1">
      <c r="B10" s="133">
        <v>45237.0</v>
      </c>
      <c r="C10" s="134" t="str">
        <f t="shared" si="1"/>
        <v>11-2023</v>
      </c>
      <c r="D10" s="135">
        <f t="shared" ref="D10:D13" si="3">E9</f>
        <v>1547.6</v>
      </c>
      <c r="E10" s="135">
        <v>1555.3</v>
      </c>
      <c r="F10" s="135">
        <f>' Carregadeira 12B '!$E10-' Carregadeira 12B '!$D10</f>
        <v>7.7</v>
      </c>
      <c r="G10" s="135">
        <f>' Carregadeira 12B '!$F10-10</f>
        <v>-2.3</v>
      </c>
      <c r="H10" s="135"/>
      <c r="I10" s="135"/>
    </row>
    <row r="11" ht="14.25" hidden="1" customHeight="1">
      <c r="B11" s="133">
        <v>45238.0</v>
      </c>
      <c r="C11" s="134" t="str">
        <f t="shared" si="1"/>
        <v>11-2023</v>
      </c>
      <c r="D11" s="135">
        <f t="shared" si="3"/>
        <v>1555.3</v>
      </c>
      <c r="E11" s="135">
        <v>1562.3</v>
      </c>
      <c r="F11" s="135">
        <f>' Carregadeira 12B '!$E11-' Carregadeira 12B '!$D11</f>
        <v>7</v>
      </c>
      <c r="G11" s="135">
        <f>' Carregadeira 12B '!$F11-10</f>
        <v>-3</v>
      </c>
      <c r="H11" s="135"/>
      <c r="I11" s="135"/>
    </row>
    <row r="12" ht="14.25" hidden="1" customHeight="1">
      <c r="B12" s="133">
        <v>45239.0</v>
      </c>
      <c r="C12" s="134" t="str">
        <f t="shared" si="1"/>
        <v>11-2023</v>
      </c>
      <c r="D12" s="135">
        <f t="shared" si="3"/>
        <v>1562.3</v>
      </c>
      <c r="E12" s="135">
        <v>1570.3</v>
      </c>
      <c r="F12" s="135">
        <f>' Carregadeira 12B '!$E12-' Carregadeira 12B '!$D12</f>
        <v>8</v>
      </c>
      <c r="G12" s="135">
        <f>' Carregadeira 12B '!$F12-10</f>
        <v>-2</v>
      </c>
      <c r="H12" s="135"/>
      <c r="I12" s="135"/>
    </row>
    <row r="13" ht="14.25" hidden="1" customHeight="1">
      <c r="B13" s="133">
        <v>45240.0</v>
      </c>
      <c r="C13" s="134" t="str">
        <f t="shared" si="1"/>
        <v>11-2023</v>
      </c>
      <c r="D13" s="135">
        <f t="shared" si="3"/>
        <v>1570.3</v>
      </c>
      <c r="E13" s="135">
        <v>1576.6</v>
      </c>
      <c r="F13" s="135">
        <f>' Carregadeira 12B '!$E13-' Carregadeira 12B '!$D13</f>
        <v>6.3</v>
      </c>
      <c r="G13" s="135">
        <f>' Carregadeira 12B '!$F13-10</f>
        <v>-3.7</v>
      </c>
      <c r="H13" s="135"/>
      <c r="I13" s="135"/>
    </row>
    <row r="14" ht="14.25" hidden="1" customHeight="1">
      <c r="B14" s="133">
        <v>45241.0</v>
      </c>
      <c r="C14" s="134" t="str">
        <f t="shared" si="1"/>
        <v>11-2023</v>
      </c>
      <c r="D14" s="135"/>
      <c r="E14" s="135"/>
      <c r="F14" s="135">
        <f>' Carregadeira 12B '!$E14-' Carregadeira 12B '!$D14</f>
        <v>0</v>
      </c>
      <c r="G14" s="135">
        <f>' Carregadeira 12B '!$F14-10</f>
        <v>-10</v>
      </c>
      <c r="H14" s="135"/>
      <c r="I14" s="135"/>
    </row>
    <row r="15" ht="14.25" hidden="1" customHeight="1">
      <c r="B15" s="133">
        <v>45242.0</v>
      </c>
      <c r="C15" s="134" t="str">
        <f t="shared" si="1"/>
        <v>11-2023</v>
      </c>
      <c r="D15" s="135" t="str">
        <f>E14</f>
        <v/>
      </c>
      <c r="E15" s="135"/>
      <c r="F15" s="135">
        <f>' Carregadeira 12B '!$E15-' Carregadeira 12B '!$D15</f>
        <v>0</v>
      </c>
      <c r="G15" s="135">
        <f>' Carregadeira 12B '!$F15-10</f>
        <v>-10</v>
      </c>
      <c r="H15" s="135"/>
      <c r="I15" s="135"/>
    </row>
    <row r="16" ht="14.25" hidden="1" customHeight="1">
      <c r="B16" s="133">
        <v>45243.0</v>
      </c>
      <c r="C16" s="134" t="str">
        <f t="shared" si="1"/>
        <v>11-2023</v>
      </c>
      <c r="D16" s="135">
        <v>1576.6</v>
      </c>
      <c r="E16" s="135">
        <v>1579.3</v>
      </c>
      <c r="F16" s="135">
        <f>' Carregadeira 12B '!$E16-' Carregadeira 12B '!$D16</f>
        <v>2.7</v>
      </c>
      <c r="G16" s="135">
        <f>' Carregadeira 12B '!$F16-10</f>
        <v>-7.3</v>
      </c>
      <c r="H16" s="135"/>
      <c r="I16" s="135"/>
    </row>
    <row r="17" ht="14.25" hidden="1" customHeight="1">
      <c r="B17" s="133">
        <v>45244.0</v>
      </c>
      <c r="C17" s="134" t="str">
        <f t="shared" si="1"/>
        <v>11-2023</v>
      </c>
      <c r="D17" s="135">
        <f t="shared" ref="D17:D21" si="4">E16</f>
        <v>1579.3</v>
      </c>
      <c r="E17" s="135">
        <v>1583.2</v>
      </c>
      <c r="F17" s="135">
        <f>' Carregadeira 12B '!$E17-' Carregadeira 12B '!$D17</f>
        <v>3.9</v>
      </c>
      <c r="G17" s="135">
        <f>' Carregadeira 12B '!$F17-10</f>
        <v>-6.1</v>
      </c>
      <c r="H17" s="135"/>
      <c r="I17" s="135"/>
    </row>
    <row r="18" ht="14.25" hidden="1" customHeight="1">
      <c r="B18" s="133">
        <v>45245.0</v>
      </c>
      <c r="C18" s="134" t="str">
        <f t="shared" si="1"/>
        <v>11-2023</v>
      </c>
      <c r="D18" s="135">
        <f t="shared" si="4"/>
        <v>1583.2</v>
      </c>
      <c r="E18" s="135">
        <v>1587.2</v>
      </c>
      <c r="F18" s="135">
        <f>' Carregadeira 12B '!$E18-' Carregadeira 12B '!$D18</f>
        <v>4</v>
      </c>
      <c r="G18" s="135">
        <f>' Carregadeira 12B '!$F18-10</f>
        <v>-6</v>
      </c>
      <c r="H18" s="135">
        <v>220.0</v>
      </c>
      <c r="I18" s="135"/>
    </row>
    <row r="19" ht="14.25" hidden="1" customHeight="1">
      <c r="B19" s="133">
        <v>45246.0</v>
      </c>
      <c r="C19" s="134" t="str">
        <f t="shared" si="1"/>
        <v>11-2023</v>
      </c>
      <c r="D19" s="135">
        <f t="shared" si="4"/>
        <v>1587.2</v>
      </c>
      <c r="E19" s="135">
        <v>1596.3</v>
      </c>
      <c r="F19" s="135">
        <f>' Carregadeira 12B '!$E19-' Carregadeira 12B '!$D19</f>
        <v>9.1</v>
      </c>
      <c r="G19" s="135">
        <f>' Carregadeira 12B '!$F19-10</f>
        <v>-0.9</v>
      </c>
      <c r="H19" s="135"/>
      <c r="I19" s="135"/>
    </row>
    <row r="20" ht="14.25" hidden="1" customHeight="1">
      <c r="B20" s="133">
        <v>45247.0</v>
      </c>
      <c r="C20" s="134" t="str">
        <f t="shared" si="1"/>
        <v>11-2023</v>
      </c>
      <c r="D20" s="135">
        <f t="shared" si="4"/>
        <v>1596.3</v>
      </c>
      <c r="E20" s="135">
        <v>1603.3</v>
      </c>
      <c r="F20" s="135">
        <f>' Carregadeira 12B '!$E20-' Carregadeira 12B '!$D20</f>
        <v>7</v>
      </c>
      <c r="G20" s="135">
        <f>' Carregadeira 12B '!$F20-10</f>
        <v>-3</v>
      </c>
      <c r="H20" s="135"/>
      <c r="I20" s="135"/>
    </row>
    <row r="21" ht="14.25" hidden="1" customHeight="1">
      <c r="B21" s="133">
        <v>45248.0</v>
      </c>
      <c r="C21" s="134" t="str">
        <f t="shared" si="1"/>
        <v>11-2023</v>
      </c>
      <c r="D21" s="135">
        <f t="shared" si="4"/>
        <v>1603.3</v>
      </c>
      <c r="E21" s="135">
        <v>1607.6</v>
      </c>
      <c r="F21" s="135">
        <f>' Carregadeira 12B '!$E21-' Carregadeira 12B '!$D21</f>
        <v>4.3</v>
      </c>
      <c r="G21" s="135">
        <f>' Carregadeira 12B '!$F21-10</f>
        <v>-5.7</v>
      </c>
      <c r="H21" s="135"/>
      <c r="I21" s="135"/>
    </row>
    <row r="22" ht="14.25" hidden="1" customHeight="1">
      <c r="B22" s="133">
        <v>45249.0</v>
      </c>
      <c r="C22" s="134" t="str">
        <f t="shared" si="1"/>
        <v>11-2023</v>
      </c>
      <c r="D22" s="135"/>
      <c r="E22" s="135"/>
      <c r="F22" s="135">
        <f>' Carregadeira 12B '!$E22-' Carregadeira 12B '!$D22</f>
        <v>0</v>
      </c>
      <c r="G22" s="135">
        <f>' Carregadeira 12B '!$F22-10</f>
        <v>-10</v>
      </c>
      <c r="H22" s="135"/>
      <c r="I22" s="135"/>
    </row>
    <row r="23" ht="14.25" hidden="1" customHeight="1">
      <c r="B23" s="133">
        <v>45250.0</v>
      </c>
      <c r="C23" s="134" t="str">
        <f t="shared" si="1"/>
        <v>11-2023</v>
      </c>
      <c r="D23" s="135">
        <v>1607.6</v>
      </c>
      <c r="E23" s="135">
        <v>1615.3</v>
      </c>
      <c r="F23" s="135">
        <f>' Carregadeira 12B '!$E23-' Carregadeira 12B '!$D23</f>
        <v>7.7</v>
      </c>
      <c r="G23" s="135">
        <f>' Carregadeira 12B '!$F23-10</f>
        <v>-2.3</v>
      </c>
      <c r="H23" s="135"/>
      <c r="I23" s="135"/>
    </row>
    <row r="24" ht="14.25" hidden="1" customHeight="1">
      <c r="B24" s="133">
        <v>45251.0</v>
      </c>
      <c r="C24" s="134" t="str">
        <f t="shared" si="1"/>
        <v>11-2023</v>
      </c>
      <c r="D24" s="135">
        <f t="shared" ref="D24:D27" si="5">E23</f>
        <v>1615.3</v>
      </c>
      <c r="E24" s="135">
        <v>1623.8</v>
      </c>
      <c r="F24" s="135">
        <f>' Carregadeira 12B '!$E24-' Carregadeira 12B '!$D24</f>
        <v>8.5</v>
      </c>
      <c r="G24" s="135">
        <f>' Carregadeira 12B '!$F24-10</f>
        <v>-1.5</v>
      </c>
      <c r="H24" s="135"/>
      <c r="I24" s="135"/>
    </row>
    <row r="25" ht="14.25" hidden="1" customHeight="1">
      <c r="B25" s="133">
        <v>45252.0</v>
      </c>
      <c r="C25" s="134" t="str">
        <f t="shared" si="1"/>
        <v>11-2023</v>
      </c>
      <c r="D25" s="135">
        <f t="shared" si="5"/>
        <v>1623.8</v>
      </c>
      <c r="E25" s="135">
        <v>1629.9</v>
      </c>
      <c r="F25" s="135">
        <f>' Carregadeira 12B '!$E25-' Carregadeira 12B '!$D25</f>
        <v>6.1</v>
      </c>
      <c r="G25" s="135">
        <f>' Carregadeira 12B '!$F25-10</f>
        <v>-3.9</v>
      </c>
      <c r="H25" s="135"/>
      <c r="I25" s="135"/>
    </row>
    <row r="26" ht="14.25" hidden="1" customHeight="1">
      <c r="B26" s="133">
        <v>45253.0</v>
      </c>
      <c r="C26" s="134" t="str">
        <f t="shared" si="1"/>
        <v>11-2023</v>
      </c>
      <c r="D26" s="135">
        <f t="shared" si="5"/>
        <v>1629.9</v>
      </c>
      <c r="E26" s="135">
        <v>1637.3</v>
      </c>
      <c r="F26" s="135">
        <f>' Carregadeira 12B '!$E26-' Carregadeira 12B '!$D26</f>
        <v>7.4</v>
      </c>
      <c r="G26" s="135">
        <f>' Carregadeira 12B '!$F26-10</f>
        <v>-2.6</v>
      </c>
      <c r="H26" s="135"/>
      <c r="I26" s="135"/>
    </row>
    <row r="27" ht="14.25" hidden="1" customHeight="1">
      <c r="B27" s="133">
        <v>45254.0</v>
      </c>
      <c r="C27" s="134" t="str">
        <f t="shared" si="1"/>
        <v>11-2023</v>
      </c>
      <c r="D27" s="135">
        <f t="shared" si="5"/>
        <v>1637.3</v>
      </c>
      <c r="E27" s="135">
        <v>1641.2</v>
      </c>
      <c r="F27" s="135">
        <f>' Carregadeira 12B '!$E27-' Carregadeira 12B '!$D27</f>
        <v>3.9</v>
      </c>
      <c r="G27" s="135">
        <f>' Carregadeira 12B '!$F27-10</f>
        <v>-6.1</v>
      </c>
      <c r="H27" s="135"/>
      <c r="I27" s="135"/>
    </row>
    <row r="28" ht="14.25" hidden="1" customHeight="1">
      <c r="B28" s="133">
        <v>45255.0</v>
      </c>
      <c r="C28" s="134" t="str">
        <f t="shared" si="1"/>
        <v>11-2023</v>
      </c>
      <c r="D28" s="135"/>
      <c r="E28" s="135"/>
      <c r="F28" s="135">
        <f>' Carregadeira 12B '!$E28-' Carregadeira 12B '!$D28</f>
        <v>0</v>
      </c>
      <c r="G28" s="135">
        <f>' Carregadeira 12B '!$F28-10</f>
        <v>-10</v>
      </c>
      <c r="H28" s="135"/>
      <c r="I28" s="135"/>
    </row>
    <row r="29" ht="14.25" hidden="1" customHeight="1">
      <c r="B29" s="133">
        <v>45256.0</v>
      </c>
      <c r="C29" s="134" t="str">
        <f t="shared" si="1"/>
        <v>11-2023</v>
      </c>
      <c r="D29" s="135" t="str">
        <f t="shared" ref="D29:D30" si="6">E28</f>
        <v/>
      </c>
      <c r="E29" s="135"/>
      <c r="F29" s="135">
        <f>' Carregadeira 12B '!$E29-' Carregadeira 12B '!$D29</f>
        <v>0</v>
      </c>
      <c r="G29" s="135">
        <f>' Carregadeira 12B '!$F29-10</f>
        <v>-10</v>
      </c>
      <c r="H29" s="135"/>
      <c r="I29" s="135"/>
    </row>
    <row r="30" ht="14.25" hidden="1" customHeight="1">
      <c r="B30" s="133">
        <v>45257.0</v>
      </c>
      <c r="C30" s="134" t="str">
        <f t="shared" si="1"/>
        <v>11-2023</v>
      </c>
      <c r="D30" s="135" t="str">
        <f t="shared" si="6"/>
        <v/>
      </c>
      <c r="E30" s="135"/>
      <c r="F30" s="135">
        <f>' Carregadeira 12B '!$E30-' Carregadeira 12B '!$D30</f>
        <v>0</v>
      </c>
      <c r="G30" s="135">
        <f>' Carregadeira 12B '!$F30-10</f>
        <v>-10</v>
      </c>
      <c r="H30" s="135"/>
      <c r="I30" s="135"/>
    </row>
    <row r="31" ht="14.25" hidden="1" customHeight="1">
      <c r="B31" s="133">
        <v>45258.0</v>
      </c>
      <c r="C31" s="134" t="str">
        <f t="shared" si="1"/>
        <v>11-2023</v>
      </c>
      <c r="D31" s="135">
        <v>1641.2</v>
      </c>
      <c r="E31" s="135">
        <v>1647.9</v>
      </c>
      <c r="F31" s="135">
        <f>' Carregadeira 12B '!$E31-' Carregadeira 12B '!$D31</f>
        <v>6.7</v>
      </c>
      <c r="G31" s="135">
        <f>' Carregadeira 12B '!$F31-10</f>
        <v>-3.3</v>
      </c>
      <c r="H31" s="135">
        <v>220.0</v>
      </c>
      <c r="I31" s="135"/>
    </row>
    <row r="32" ht="14.25" hidden="1" customHeight="1">
      <c r="B32" s="133">
        <v>45259.0</v>
      </c>
      <c r="C32" s="134" t="str">
        <f t="shared" si="1"/>
        <v>11-2023</v>
      </c>
      <c r="D32" s="135">
        <f t="shared" ref="D32:D33" si="7">E31</f>
        <v>1647.9</v>
      </c>
      <c r="E32" s="135">
        <v>1651.2</v>
      </c>
      <c r="F32" s="135">
        <f>' Carregadeira 12B '!$E32-' Carregadeira 12B '!$D32</f>
        <v>3.3</v>
      </c>
      <c r="G32" s="135">
        <f>' Carregadeira 12B '!$F32-10</f>
        <v>-6.7</v>
      </c>
      <c r="H32" s="135"/>
      <c r="I32" s="135"/>
    </row>
    <row r="33" ht="14.25" hidden="1" customHeight="1">
      <c r="B33" s="133">
        <v>45260.0</v>
      </c>
      <c r="C33" s="134" t="str">
        <f t="shared" si="1"/>
        <v>11-2023</v>
      </c>
      <c r="D33" s="135">
        <f t="shared" si="7"/>
        <v>1651.2</v>
      </c>
      <c r="E33" s="135">
        <v>1659.6</v>
      </c>
      <c r="F33" s="135">
        <f>' Carregadeira 12B '!$E33-' Carregadeira 12B '!$D33</f>
        <v>8.4</v>
      </c>
      <c r="G33" s="135">
        <f>' Carregadeira 12B '!$F33-10</f>
        <v>-1.6</v>
      </c>
      <c r="H33" s="135"/>
      <c r="I33" s="135"/>
    </row>
    <row r="34" ht="14.25" customHeight="1">
      <c r="B34" s="160">
        <v>45261.0</v>
      </c>
      <c r="C34" s="139" t="str">
        <f t="shared" si="1"/>
        <v>12-2023</v>
      </c>
      <c r="D34" s="54">
        <v>1659.6</v>
      </c>
      <c r="E34" s="54">
        <v>1666.3</v>
      </c>
      <c r="F34" s="54">
        <f>' Carregadeira 12B '!$E34-' Carregadeira 12B '!$D34</f>
        <v>6.7</v>
      </c>
      <c r="G34" s="54">
        <f>' Carregadeira 12B '!$F34-10</f>
        <v>-3.3</v>
      </c>
      <c r="H34" s="54"/>
      <c r="I34" s="174"/>
    </row>
    <row r="35" ht="14.25" customHeight="1">
      <c r="B35" s="160">
        <v>45262.0</v>
      </c>
      <c r="C35" s="139" t="str">
        <f t="shared" si="1"/>
        <v>12-2023</v>
      </c>
      <c r="D35" s="54">
        <f>E34</f>
        <v>1666.3</v>
      </c>
      <c r="E35" s="54">
        <v>1672.2</v>
      </c>
      <c r="F35" s="54">
        <f>' Carregadeira 12B '!$E35-' Carregadeira 12B '!$D35</f>
        <v>5.9</v>
      </c>
      <c r="G35" s="54">
        <f>' Carregadeira 12B '!$F35-10</f>
        <v>-4.1</v>
      </c>
      <c r="H35" s="54"/>
      <c r="I35" s="174"/>
    </row>
    <row r="36" ht="14.25" customHeight="1">
      <c r="B36" s="160">
        <v>45263.0</v>
      </c>
      <c r="C36" s="139" t="str">
        <f t="shared" si="1"/>
        <v>12-2023</v>
      </c>
      <c r="D36" s="54"/>
      <c r="E36" s="54"/>
      <c r="F36" s="54">
        <f>' Carregadeira 12B '!$E36-' Carregadeira 12B '!$D36</f>
        <v>0</v>
      </c>
      <c r="G36" s="54">
        <f>' Carregadeira 12B '!$F36-10</f>
        <v>-10</v>
      </c>
      <c r="H36" s="54"/>
      <c r="I36" s="174"/>
    </row>
    <row r="37" ht="14.25" customHeight="1">
      <c r="B37" s="160">
        <v>45264.0</v>
      </c>
      <c r="C37" s="139" t="str">
        <f t="shared" si="1"/>
        <v>12-2023</v>
      </c>
      <c r="D37" s="54">
        <v>1672.2</v>
      </c>
      <c r="E37" s="54">
        <v>1679.5</v>
      </c>
      <c r="F37" s="54">
        <f>' Carregadeira 12B '!$E37-' Carregadeira 12B '!$D37</f>
        <v>7.3</v>
      </c>
      <c r="G37" s="54">
        <f>' Carregadeira 12B '!$F37-10</f>
        <v>-2.7</v>
      </c>
      <c r="H37" s="54"/>
      <c r="I37" s="174"/>
    </row>
    <row r="38" ht="14.25" customHeight="1">
      <c r="B38" s="160">
        <v>45265.0</v>
      </c>
      <c r="C38" s="139" t="str">
        <f t="shared" si="1"/>
        <v>12-2023</v>
      </c>
      <c r="D38" s="54">
        <f t="shared" ref="D38:D42" si="8">E37</f>
        <v>1679.5</v>
      </c>
      <c r="E38" s="54">
        <v>1687.2</v>
      </c>
      <c r="F38" s="54">
        <f>' Carregadeira 12B '!$E38-' Carregadeira 12B '!$D38</f>
        <v>7.7</v>
      </c>
      <c r="G38" s="54">
        <f>' Carregadeira 12B '!$F38-10</f>
        <v>-2.3</v>
      </c>
      <c r="H38" s="54"/>
      <c r="I38" s="174"/>
    </row>
    <row r="39" ht="14.25" customHeight="1">
      <c r="B39" s="160">
        <v>45266.0</v>
      </c>
      <c r="C39" s="139" t="str">
        <f t="shared" si="1"/>
        <v>12-2023</v>
      </c>
      <c r="D39" s="54">
        <f t="shared" si="8"/>
        <v>1687.2</v>
      </c>
      <c r="E39" s="54">
        <v>1694.4</v>
      </c>
      <c r="F39" s="54">
        <f>' Carregadeira 12B '!$E39-' Carregadeira 12B '!$D39</f>
        <v>7.2</v>
      </c>
      <c r="G39" s="54">
        <f>' Carregadeira 12B '!$F39-10</f>
        <v>-2.8</v>
      </c>
      <c r="H39" s="54">
        <v>220.0</v>
      </c>
      <c r="I39" s="174"/>
    </row>
    <row r="40" ht="14.25" customHeight="1">
      <c r="B40" s="160">
        <v>45267.0</v>
      </c>
      <c r="C40" s="139" t="str">
        <f t="shared" si="1"/>
        <v>12-2023</v>
      </c>
      <c r="D40" s="54">
        <f t="shared" si="8"/>
        <v>1694.4</v>
      </c>
      <c r="E40" s="54">
        <v>1703.0</v>
      </c>
      <c r="F40" s="54">
        <f>' Carregadeira 12B '!$E40-' Carregadeira 12B '!$D40</f>
        <v>8.6</v>
      </c>
      <c r="G40" s="54">
        <f>' Carregadeira 12B '!$F40-10</f>
        <v>-1.4</v>
      </c>
      <c r="H40" s="54"/>
      <c r="I40" s="174"/>
    </row>
    <row r="41" ht="14.25" customHeight="1">
      <c r="B41" s="160">
        <v>45268.0</v>
      </c>
      <c r="C41" s="139" t="str">
        <f t="shared" si="1"/>
        <v>12-2023</v>
      </c>
      <c r="D41" s="54">
        <f t="shared" si="8"/>
        <v>1703</v>
      </c>
      <c r="E41" s="54">
        <v>1711.3</v>
      </c>
      <c r="F41" s="54">
        <f>' Carregadeira 12B '!$E41-' Carregadeira 12B '!$D41</f>
        <v>8.3</v>
      </c>
      <c r="G41" s="54">
        <f>' Carregadeira 12B '!$F41-10</f>
        <v>-1.7</v>
      </c>
      <c r="H41" s="54">
        <v>80.0</v>
      </c>
      <c r="I41" s="174"/>
    </row>
    <row r="42" ht="14.25" customHeight="1">
      <c r="B42" s="160">
        <v>45269.0</v>
      </c>
      <c r="C42" s="139" t="str">
        <f t="shared" si="1"/>
        <v>12-2023</v>
      </c>
      <c r="D42" s="54">
        <f t="shared" si="8"/>
        <v>1711.3</v>
      </c>
      <c r="E42" s="54">
        <v>1717.3</v>
      </c>
      <c r="F42" s="54">
        <f>' Carregadeira 12B '!$E42-' Carregadeira 12B '!$D42</f>
        <v>6</v>
      </c>
      <c r="G42" s="54">
        <f>' Carregadeira 12B '!$F42-10</f>
        <v>-4</v>
      </c>
      <c r="H42" s="54"/>
      <c r="I42" s="174"/>
    </row>
    <row r="43" ht="14.25" customHeight="1">
      <c r="B43" s="160">
        <v>45270.0</v>
      </c>
      <c r="C43" s="139" t="str">
        <f t="shared" si="1"/>
        <v>12-2023</v>
      </c>
      <c r="D43" s="54"/>
      <c r="E43" s="54"/>
      <c r="F43" s="54">
        <f>' Carregadeira 12B '!$E43-' Carregadeira 12B '!$D43</f>
        <v>0</v>
      </c>
      <c r="G43" s="54">
        <f>' Carregadeira 12B '!$F43-10</f>
        <v>-10</v>
      </c>
      <c r="H43" s="54"/>
      <c r="I43" s="174"/>
    </row>
    <row r="44" ht="14.25" customHeight="1">
      <c r="B44" s="160">
        <v>45271.0</v>
      </c>
      <c r="C44" s="139" t="str">
        <f t="shared" si="1"/>
        <v>12-2023</v>
      </c>
      <c r="D44" s="54">
        <v>1717.3</v>
      </c>
      <c r="E44" s="54">
        <v>1723.7</v>
      </c>
      <c r="F44" s="54">
        <f>' Carregadeira 12B '!$E44-' Carregadeira 12B '!$D44</f>
        <v>6.4</v>
      </c>
      <c r="G44" s="54">
        <f>' Carregadeira 12B '!$F44-10</f>
        <v>-3.6</v>
      </c>
      <c r="H44" s="54"/>
      <c r="I44" s="174"/>
    </row>
    <row r="45" ht="14.25" customHeight="1">
      <c r="B45" s="160">
        <v>45272.0</v>
      </c>
      <c r="C45" s="139" t="str">
        <f t="shared" si="1"/>
        <v>12-2023</v>
      </c>
      <c r="D45" s="54">
        <f t="shared" ref="D45:D49" si="9">E44</f>
        <v>1723.7</v>
      </c>
      <c r="E45" s="54">
        <v>1729.4</v>
      </c>
      <c r="F45" s="54">
        <f>' Carregadeira 12B '!$E45-' Carregadeira 12B '!$D45</f>
        <v>5.7</v>
      </c>
      <c r="G45" s="54">
        <f>' Carregadeira 12B '!$F45-10</f>
        <v>-4.3</v>
      </c>
      <c r="H45" s="54">
        <v>110.0</v>
      </c>
      <c r="I45" s="174"/>
    </row>
    <row r="46" ht="14.25" customHeight="1">
      <c r="B46" s="160">
        <v>45273.0</v>
      </c>
      <c r="C46" s="139" t="str">
        <f t="shared" si="1"/>
        <v>12-2023</v>
      </c>
      <c r="D46" s="54">
        <f t="shared" si="9"/>
        <v>1729.4</v>
      </c>
      <c r="E46" s="54">
        <v>1734.4</v>
      </c>
      <c r="F46" s="54">
        <f>' Carregadeira 12B '!$E46-' Carregadeira 12B '!$D46</f>
        <v>5</v>
      </c>
      <c r="G46" s="54">
        <f>' Carregadeira 12B '!$F46-10</f>
        <v>-5</v>
      </c>
      <c r="H46" s="54"/>
      <c r="I46" s="174"/>
    </row>
    <row r="47" ht="14.25" customHeight="1">
      <c r="B47" s="160">
        <v>45274.0</v>
      </c>
      <c r="C47" s="139" t="str">
        <f t="shared" si="1"/>
        <v>12-2023</v>
      </c>
      <c r="D47" s="54">
        <f t="shared" si="9"/>
        <v>1734.4</v>
      </c>
      <c r="E47" s="54">
        <v>1740.6</v>
      </c>
      <c r="F47" s="54">
        <f>' Carregadeira 12B '!$E47-' Carregadeira 12B '!$D47</f>
        <v>6.2</v>
      </c>
      <c r="G47" s="54">
        <f>' Carregadeira 12B '!$F47-10</f>
        <v>-3.8</v>
      </c>
      <c r="H47" s="54"/>
      <c r="I47" s="174"/>
    </row>
    <row r="48" ht="14.25" customHeight="1">
      <c r="B48" s="160">
        <v>45275.0</v>
      </c>
      <c r="C48" s="139" t="str">
        <f t="shared" si="1"/>
        <v>12-2023</v>
      </c>
      <c r="D48" s="54">
        <f t="shared" si="9"/>
        <v>1740.6</v>
      </c>
      <c r="E48" s="54">
        <v>1748.6</v>
      </c>
      <c r="F48" s="54">
        <f>' Carregadeira 12B '!$E48-' Carregadeira 12B '!$D48</f>
        <v>8</v>
      </c>
      <c r="G48" s="54">
        <f>' Carregadeira 12B '!$F48-10</f>
        <v>-2</v>
      </c>
      <c r="H48" s="54"/>
      <c r="I48" s="174"/>
    </row>
    <row r="49" ht="14.25" customHeight="1">
      <c r="B49" s="160">
        <v>45276.0</v>
      </c>
      <c r="C49" s="139" t="str">
        <f t="shared" si="1"/>
        <v>12-2023</v>
      </c>
      <c r="D49" s="54">
        <f t="shared" si="9"/>
        <v>1748.6</v>
      </c>
      <c r="E49" s="54">
        <v>1754.5</v>
      </c>
      <c r="F49" s="54">
        <f>' Carregadeira 12B '!$E49-' Carregadeira 12B '!$D49</f>
        <v>5.9</v>
      </c>
      <c r="G49" s="54">
        <f>' Carregadeira 12B '!$F49-10</f>
        <v>-4.1</v>
      </c>
      <c r="H49" s="54"/>
      <c r="I49" s="174"/>
    </row>
    <row r="50" ht="14.25" customHeight="1">
      <c r="B50" s="160">
        <v>45277.0</v>
      </c>
      <c r="C50" s="139" t="str">
        <f t="shared" si="1"/>
        <v>12-2023</v>
      </c>
      <c r="D50" s="54"/>
      <c r="E50" s="54"/>
      <c r="F50" s="54">
        <f>' Carregadeira 12B '!$E50-' Carregadeira 12B '!$D50</f>
        <v>0</v>
      </c>
      <c r="G50" s="54">
        <f>' Carregadeira 12B '!$F50-10</f>
        <v>-10</v>
      </c>
      <c r="H50" s="54"/>
      <c r="I50" s="174"/>
    </row>
    <row r="51" ht="14.25" customHeight="1">
      <c r="B51" s="160">
        <v>45278.0</v>
      </c>
      <c r="C51" s="139" t="str">
        <f t="shared" si="1"/>
        <v>12-2023</v>
      </c>
      <c r="D51" s="54">
        <v>1754.5</v>
      </c>
      <c r="E51" s="54">
        <v>1763.8</v>
      </c>
      <c r="F51" s="54">
        <f>' Carregadeira 12B '!$E51-' Carregadeira 12B '!$D51</f>
        <v>9.3</v>
      </c>
      <c r="G51" s="54">
        <f>' Carregadeira 12B '!$F51-10</f>
        <v>-0.7</v>
      </c>
      <c r="H51" s="54">
        <v>220.0</v>
      </c>
      <c r="I51" s="174"/>
    </row>
    <row r="52" ht="14.25" customHeight="1">
      <c r="B52" s="160">
        <v>45279.0</v>
      </c>
      <c r="C52" s="139" t="str">
        <f t="shared" si="1"/>
        <v>12-2023</v>
      </c>
      <c r="D52" s="54">
        <f t="shared" ref="D52:D55" si="10">E51</f>
        <v>1763.8</v>
      </c>
      <c r="E52" s="54">
        <v>1771.8</v>
      </c>
      <c r="F52" s="54">
        <f>' Carregadeira 12B '!$E52-' Carregadeira 12B '!$D52</f>
        <v>8</v>
      </c>
      <c r="G52" s="54">
        <f>' Carregadeira 12B '!$F52-10</f>
        <v>-2</v>
      </c>
      <c r="H52" s="54"/>
      <c r="I52" s="174"/>
    </row>
    <row r="53" ht="14.25" customHeight="1">
      <c r="B53" s="160">
        <v>45280.0</v>
      </c>
      <c r="C53" s="139" t="str">
        <f t="shared" si="1"/>
        <v>12-2023</v>
      </c>
      <c r="D53" s="54">
        <f t="shared" si="10"/>
        <v>1771.8</v>
      </c>
      <c r="E53" s="54">
        <v>1778.9</v>
      </c>
      <c r="F53" s="54">
        <f>' Carregadeira 12B '!$E53-' Carregadeira 12B '!$D53</f>
        <v>7.1</v>
      </c>
      <c r="G53" s="54">
        <f>' Carregadeira 12B '!$F53-10</f>
        <v>-2.9</v>
      </c>
      <c r="H53" s="54">
        <v>210.0</v>
      </c>
      <c r="I53" s="174"/>
    </row>
    <row r="54" ht="14.25" customHeight="1">
      <c r="B54" s="160">
        <v>45281.0</v>
      </c>
      <c r="C54" s="139" t="str">
        <f t="shared" si="1"/>
        <v>12-2023</v>
      </c>
      <c r="D54" s="54">
        <f t="shared" si="10"/>
        <v>1778.9</v>
      </c>
      <c r="E54" s="54">
        <v>1788.2</v>
      </c>
      <c r="F54" s="54">
        <f>' Carregadeira 12B '!$E54-' Carregadeira 12B '!$D54</f>
        <v>9.3</v>
      </c>
      <c r="G54" s="54">
        <f>' Carregadeira 12B '!$F54-10</f>
        <v>-0.7</v>
      </c>
      <c r="H54" s="54"/>
      <c r="I54" s="174"/>
    </row>
    <row r="55" ht="14.25" customHeight="1">
      <c r="B55" s="160">
        <v>45282.0</v>
      </c>
      <c r="C55" s="139" t="str">
        <f t="shared" si="1"/>
        <v>12-2023</v>
      </c>
      <c r="D55" s="54">
        <f t="shared" si="10"/>
        <v>1788.2</v>
      </c>
      <c r="E55" s="54">
        <v>1796.8</v>
      </c>
      <c r="F55" s="54">
        <f>' Carregadeira 12B '!$E55-' Carregadeira 12B '!$D55</f>
        <v>8.6</v>
      </c>
      <c r="G55" s="54">
        <f>' Carregadeira 12B '!$F55-10</f>
        <v>-1.4</v>
      </c>
      <c r="H55" s="54"/>
      <c r="I55" s="174"/>
    </row>
    <row r="56" ht="14.25" customHeight="1">
      <c r="B56" s="160">
        <v>45283.0</v>
      </c>
      <c r="C56" s="139" t="str">
        <f t="shared" si="1"/>
        <v>12-2023</v>
      </c>
      <c r="D56" s="54"/>
      <c r="E56" s="54"/>
      <c r="F56" s="54">
        <f>' Carregadeira 12B '!$E56-' Carregadeira 12B '!$D56</f>
        <v>0</v>
      </c>
      <c r="G56" s="54">
        <f>' Carregadeira 12B '!$F56-10</f>
        <v>-10</v>
      </c>
      <c r="H56" s="54"/>
      <c r="I56" s="174"/>
    </row>
    <row r="57" ht="14.25" customHeight="1">
      <c r="B57" s="160">
        <v>45284.0</v>
      </c>
      <c r="C57" s="139" t="str">
        <f t="shared" si="1"/>
        <v>12-2023</v>
      </c>
      <c r="D57" s="54" t="str">
        <f t="shared" ref="D57:D58" si="11">E56</f>
        <v/>
      </c>
      <c r="E57" s="54"/>
      <c r="F57" s="54">
        <f>' Carregadeira 12B '!$E57-' Carregadeira 12B '!$D57</f>
        <v>0</v>
      </c>
      <c r="G57" s="54">
        <f>' Carregadeira 12B '!$F57-10</f>
        <v>-10</v>
      </c>
      <c r="H57" s="54"/>
      <c r="I57" s="174"/>
    </row>
    <row r="58" ht="14.25" customHeight="1">
      <c r="B58" s="160">
        <v>45285.0</v>
      </c>
      <c r="C58" s="139" t="str">
        <f t="shared" si="1"/>
        <v>12-2023</v>
      </c>
      <c r="D58" s="54" t="str">
        <f t="shared" si="11"/>
        <v/>
      </c>
      <c r="E58" s="54"/>
      <c r="F58" s="54">
        <f>' Carregadeira 12B '!$E58-' Carregadeira 12B '!$D58</f>
        <v>0</v>
      </c>
      <c r="G58" s="54">
        <f>' Carregadeira 12B '!$F58-10</f>
        <v>-10</v>
      </c>
      <c r="H58" s="54"/>
      <c r="I58" s="174"/>
    </row>
    <row r="59" ht="14.25" customHeight="1">
      <c r="B59" s="160">
        <v>45286.0</v>
      </c>
      <c r="C59" s="139" t="str">
        <f t="shared" si="1"/>
        <v>12-2023</v>
      </c>
      <c r="D59" s="54">
        <v>1796.8</v>
      </c>
      <c r="E59" s="54">
        <v>1804.0</v>
      </c>
      <c r="F59" s="54">
        <f>' Carregadeira 12B '!$E59-' Carregadeira 12B '!$D59</f>
        <v>7.2</v>
      </c>
      <c r="G59" s="54">
        <f>' Carregadeira 12B '!$F59-10</f>
        <v>-2.8</v>
      </c>
      <c r="H59" s="54"/>
      <c r="I59" s="174"/>
    </row>
    <row r="60" ht="14.25" customHeight="1">
      <c r="B60" s="160">
        <v>45287.0</v>
      </c>
      <c r="C60" s="139" t="str">
        <f t="shared" si="1"/>
        <v>12-2023</v>
      </c>
      <c r="D60" s="54">
        <f t="shared" ref="D60:D62" si="12">E59</f>
        <v>1804</v>
      </c>
      <c r="E60" s="54">
        <v>1812.0</v>
      </c>
      <c r="F60" s="54">
        <f>' Carregadeira 12B '!$E60-' Carregadeira 12B '!$D60</f>
        <v>8</v>
      </c>
      <c r="G60" s="54">
        <f>' Carregadeira 12B '!$F60-10</f>
        <v>-2</v>
      </c>
      <c r="H60" s="54"/>
      <c r="I60" s="174"/>
    </row>
    <row r="61" ht="14.25" customHeight="1">
      <c r="B61" s="160">
        <v>45288.0</v>
      </c>
      <c r="C61" s="139" t="str">
        <f t="shared" si="1"/>
        <v>12-2023</v>
      </c>
      <c r="D61" s="54">
        <f t="shared" si="12"/>
        <v>1812</v>
      </c>
      <c r="E61" s="54">
        <v>1821.0</v>
      </c>
      <c r="F61" s="54">
        <f>' Carregadeira 12B '!$E61-' Carregadeira 12B '!$D61</f>
        <v>9</v>
      </c>
      <c r="G61" s="54">
        <f>' Carregadeira 12B '!$F61-10</f>
        <v>-1</v>
      </c>
      <c r="H61" s="54">
        <v>220.0</v>
      </c>
      <c r="I61" s="174"/>
    </row>
    <row r="62" ht="14.25" customHeight="1">
      <c r="B62" s="160">
        <v>45289.0</v>
      </c>
      <c r="C62" s="139" t="str">
        <f t="shared" si="1"/>
        <v>12-2023</v>
      </c>
      <c r="D62" s="54">
        <f t="shared" si="12"/>
        <v>1821</v>
      </c>
      <c r="E62" s="54">
        <v>1829.9</v>
      </c>
      <c r="F62" s="54">
        <f>' Carregadeira 12B '!$E62-' Carregadeira 12B '!$D62</f>
        <v>8.9</v>
      </c>
      <c r="G62" s="54">
        <f>' Carregadeira 12B '!$F62-10</f>
        <v>-1.1</v>
      </c>
      <c r="H62" s="54"/>
      <c r="I62" s="174"/>
    </row>
    <row r="63" ht="14.25" customHeight="1">
      <c r="B63" s="160">
        <v>45290.0</v>
      </c>
      <c r="C63" s="139" t="str">
        <f t="shared" si="1"/>
        <v>12-2023</v>
      </c>
      <c r="D63" s="54"/>
      <c r="E63" s="54"/>
      <c r="F63" s="54">
        <f>' Carregadeira 12B '!$E63-' Carregadeira 12B '!$D63</f>
        <v>0</v>
      </c>
      <c r="G63" s="54">
        <f>' Carregadeira 12B '!$F63-10</f>
        <v>-10</v>
      </c>
      <c r="H63" s="54"/>
      <c r="I63" s="174"/>
    </row>
    <row r="64" ht="14.25" customHeight="1">
      <c r="B64" s="160">
        <v>45291.0</v>
      </c>
      <c r="C64" s="139" t="str">
        <f t="shared" si="1"/>
        <v>12-2023</v>
      </c>
      <c r="D64" s="54" t="str">
        <f>E63</f>
        <v/>
      </c>
      <c r="E64" s="54"/>
      <c r="F64" s="54">
        <f>' Carregadeira 12B '!$E64-' Carregadeira 12B '!$D64</f>
        <v>0</v>
      </c>
      <c r="G64" s="54">
        <f>' Carregadeira 12B '!$F64-10</f>
        <v>-10</v>
      </c>
      <c r="H64" s="54"/>
      <c r="I64" s="174"/>
    </row>
    <row r="65" ht="14.25" customHeight="1">
      <c r="B65" s="164">
        <v>45292.0</v>
      </c>
      <c r="C65" s="184" t="str">
        <f t="shared" si="1"/>
        <v>1-2024</v>
      </c>
      <c r="F65" s="54">
        <f>' Carregadeira 12B '!$E65-' Carregadeira 12B '!$D65</f>
        <v>0</v>
      </c>
      <c r="G65" s="54">
        <f>F65-10</f>
        <v>-10</v>
      </c>
      <c r="H65" s="196"/>
    </row>
    <row r="66" ht="14.25" customHeight="1">
      <c r="B66" s="164">
        <v>45293.0</v>
      </c>
      <c r="C66" s="184" t="str">
        <f t="shared" si="1"/>
        <v>1-2024</v>
      </c>
      <c r="D66" s="28">
        <v>1829.9</v>
      </c>
      <c r="E66" s="28">
        <v>1832.8</v>
      </c>
      <c r="F66" s="54">
        <f>' Carregadeira 12B '!$E66-' Carregadeira 12B '!$D66</f>
        <v>2.9</v>
      </c>
      <c r="G66" s="54">
        <f>' Carregadeira 12B '!$F66-10</f>
        <v>-7.1</v>
      </c>
      <c r="H66" s="196"/>
    </row>
    <row r="67" ht="14.25" customHeight="1">
      <c r="B67" s="164">
        <v>45294.0</v>
      </c>
      <c r="C67" s="184" t="str">
        <f t="shared" si="1"/>
        <v>1-2024</v>
      </c>
      <c r="D67" s="165">
        <f t="shared" ref="D67:D69" si="13">E66</f>
        <v>1832.8</v>
      </c>
      <c r="E67" s="28">
        <v>1841.8</v>
      </c>
      <c r="F67" s="54">
        <f>' Carregadeira 12B '!$E67-' Carregadeira 12B '!$D67</f>
        <v>9</v>
      </c>
      <c r="G67" s="54">
        <f>' Carregadeira 12B '!$F67-10</f>
        <v>-1</v>
      </c>
      <c r="H67" s="138">
        <v>220.0</v>
      </c>
    </row>
    <row r="68" ht="14.25" customHeight="1">
      <c r="B68" s="164">
        <v>45295.0</v>
      </c>
      <c r="C68" s="184" t="str">
        <f t="shared" si="1"/>
        <v>1-2024</v>
      </c>
      <c r="D68" s="165">
        <f t="shared" si="13"/>
        <v>1841.8</v>
      </c>
      <c r="E68" s="28">
        <v>1848.8</v>
      </c>
      <c r="F68" s="54">
        <f>' Carregadeira 12B '!$E68-' Carregadeira 12B '!$D68</f>
        <v>7</v>
      </c>
      <c r="G68" s="54">
        <f>' Carregadeira 12B '!$F68-10</f>
        <v>-3</v>
      </c>
      <c r="H68" s="196"/>
    </row>
    <row r="69" ht="14.25" customHeight="1">
      <c r="B69" s="164">
        <v>45296.0</v>
      </c>
      <c r="C69" s="184" t="str">
        <f t="shared" si="1"/>
        <v>1-2024</v>
      </c>
      <c r="D69" s="165">
        <f t="shared" si="13"/>
        <v>1848.8</v>
      </c>
      <c r="E69" s="28">
        <v>1851.6</v>
      </c>
      <c r="F69" s="54">
        <f>' Carregadeira 12B '!$E69-' Carregadeira 12B '!$D69</f>
        <v>2.8</v>
      </c>
      <c r="G69" s="54">
        <f>' Carregadeira 12B '!$F69-10</f>
        <v>-7.2</v>
      </c>
      <c r="H69" s="138">
        <v>100.0</v>
      </c>
    </row>
    <row r="70" ht="14.25" customHeight="1">
      <c r="B70" s="164">
        <v>45297.0</v>
      </c>
      <c r="C70" s="184" t="str">
        <f t="shared" si="1"/>
        <v>1-2024</v>
      </c>
      <c r="D70" s="28">
        <v>1851.6</v>
      </c>
      <c r="E70" s="28">
        <v>1857.6</v>
      </c>
      <c r="F70" s="54">
        <f>' Carregadeira 12B '!$E70-' Carregadeira 12B '!$D70</f>
        <v>6</v>
      </c>
      <c r="G70" s="54">
        <f>' Carregadeira 12B '!$F70-10</f>
        <v>-4</v>
      </c>
      <c r="H70" s="196"/>
    </row>
    <row r="71" ht="14.25" customHeight="1">
      <c r="B71" s="164">
        <v>45298.0</v>
      </c>
      <c r="C71" s="184" t="str">
        <f t="shared" si="1"/>
        <v>1-2024</v>
      </c>
      <c r="F71" s="54">
        <f>' Carregadeira 12B '!$E71-' Carregadeira 12B '!$D71</f>
        <v>0</v>
      </c>
      <c r="G71" s="54">
        <f>' Carregadeira 12B '!$F71-10</f>
        <v>-10</v>
      </c>
      <c r="H71" s="54"/>
    </row>
    <row r="72" ht="14.25" customHeight="1">
      <c r="B72" s="164">
        <v>45299.0</v>
      </c>
      <c r="C72" s="184" t="str">
        <f t="shared" si="1"/>
        <v>1-2024</v>
      </c>
      <c r="D72" s="28">
        <v>1857.6</v>
      </c>
      <c r="E72" s="28">
        <v>1866.4</v>
      </c>
      <c r="F72" s="54">
        <f>' Carregadeira 12B '!$E72-' Carregadeira 12B '!$D72</f>
        <v>8.8</v>
      </c>
      <c r="G72" s="54">
        <f>' Carregadeira 12B '!$F72-10</f>
        <v>-1.2</v>
      </c>
      <c r="H72" s="196"/>
    </row>
    <row r="73" ht="14.25" customHeight="1">
      <c r="B73" s="164">
        <v>45300.0</v>
      </c>
      <c r="C73" s="184" t="str">
        <f t="shared" si="1"/>
        <v>1-2024</v>
      </c>
      <c r="D73" s="165">
        <f t="shared" ref="D73:D77" si="14">E72</f>
        <v>1866.4</v>
      </c>
      <c r="E73" s="28">
        <v>1868.6</v>
      </c>
      <c r="F73" s="54">
        <f>' Carregadeira 12B '!$E73-' Carregadeira 12B '!$D73</f>
        <v>2.2</v>
      </c>
      <c r="G73" s="54">
        <f>' Carregadeira 12B '!$F73-10</f>
        <v>-7.8</v>
      </c>
      <c r="H73" s="196"/>
    </row>
    <row r="74" ht="14.25" customHeight="1">
      <c r="B74" s="164">
        <v>45301.0</v>
      </c>
      <c r="C74" s="184" t="str">
        <f t="shared" si="1"/>
        <v>1-2024</v>
      </c>
      <c r="D74" s="165">
        <f t="shared" si="14"/>
        <v>1868.6</v>
      </c>
      <c r="E74" s="28">
        <v>1871.7</v>
      </c>
      <c r="F74" s="54">
        <f>' Carregadeira 12B '!$E74-' Carregadeira 12B '!$D74</f>
        <v>3.1</v>
      </c>
      <c r="G74" s="54">
        <f>' Carregadeira 12B '!$F74-10</f>
        <v>-6.9</v>
      </c>
      <c r="H74" s="196"/>
    </row>
    <row r="75" ht="14.25" customHeight="1">
      <c r="B75" s="164">
        <v>45302.0</v>
      </c>
      <c r="C75" s="184" t="str">
        <f t="shared" si="1"/>
        <v>1-2024</v>
      </c>
      <c r="D75" s="165">
        <f t="shared" si="14"/>
        <v>1871.7</v>
      </c>
      <c r="E75" s="28">
        <v>1878.3</v>
      </c>
      <c r="F75" s="54">
        <f>' Carregadeira 12B '!$E75-' Carregadeira 12B '!$D75</f>
        <v>6.6</v>
      </c>
      <c r="G75" s="54">
        <f>' Carregadeira 12B '!$F75-10</f>
        <v>-3.4</v>
      </c>
      <c r="H75" s="138">
        <v>215.0</v>
      </c>
    </row>
    <row r="76" ht="14.25" customHeight="1">
      <c r="B76" s="164">
        <v>45303.0</v>
      </c>
      <c r="C76" s="184" t="str">
        <f t="shared" si="1"/>
        <v>1-2024</v>
      </c>
      <c r="D76" s="165">
        <f t="shared" si="14"/>
        <v>1878.3</v>
      </c>
      <c r="E76" s="28">
        <v>1887.3</v>
      </c>
      <c r="F76" s="54">
        <f>' Carregadeira 12B '!$E76-' Carregadeira 12B '!$D76</f>
        <v>9</v>
      </c>
      <c r="G76" s="54">
        <f>' Carregadeira 12B '!$F76-10</f>
        <v>-1</v>
      </c>
      <c r="H76" s="196"/>
    </row>
    <row r="77" ht="14.25" customHeight="1">
      <c r="B77" s="164">
        <v>45304.0</v>
      </c>
      <c r="C77" s="184" t="str">
        <f t="shared" si="1"/>
        <v>1-2024</v>
      </c>
      <c r="D77" s="165">
        <f t="shared" si="14"/>
        <v>1887.3</v>
      </c>
      <c r="E77" s="28">
        <v>1893.3</v>
      </c>
      <c r="F77" s="54">
        <f>' Carregadeira 12B '!$E77-' Carregadeira 12B '!$D77</f>
        <v>6</v>
      </c>
      <c r="G77" s="54">
        <f>' Carregadeira 12B '!$F77-10</f>
        <v>-4</v>
      </c>
      <c r="H77" s="196"/>
    </row>
    <row r="78" ht="14.25" customHeight="1">
      <c r="B78" s="164">
        <v>45305.0</v>
      </c>
      <c r="C78" s="184" t="str">
        <f t="shared" si="1"/>
        <v>1-2024</v>
      </c>
      <c r="F78" s="54">
        <f>' Carregadeira 12B '!$E78-' Carregadeira 12B '!$D78</f>
        <v>0</v>
      </c>
      <c r="G78" s="54">
        <f>' Carregadeira 12B '!$F78-10</f>
        <v>-10</v>
      </c>
      <c r="H78" s="54"/>
    </row>
    <row r="79" ht="14.25" customHeight="1">
      <c r="B79" s="164">
        <v>45306.0</v>
      </c>
      <c r="C79" s="184" t="str">
        <f t="shared" si="1"/>
        <v>1-2024</v>
      </c>
      <c r="D79" s="28">
        <v>1893.3</v>
      </c>
      <c r="E79" s="28">
        <v>1902.7</v>
      </c>
      <c r="F79" s="54">
        <f>' Carregadeira 12B '!$E79-' Carregadeira 12B '!$D79</f>
        <v>9.4</v>
      </c>
      <c r="G79" s="54">
        <f>' Carregadeira 12B '!$F79-10</f>
        <v>-0.6</v>
      </c>
      <c r="H79" s="196"/>
    </row>
    <row r="80" ht="14.25" customHeight="1">
      <c r="B80" s="164">
        <v>45307.0</v>
      </c>
      <c r="C80" s="184" t="str">
        <f t="shared" si="1"/>
        <v>1-2024</v>
      </c>
      <c r="D80" s="165">
        <f>E79</f>
        <v>1902.7</v>
      </c>
      <c r="E80" s="28">
        <v>1911.8</v>
      </c>
      <c r="F80" s="54">
        <f>' Carregadeira 12B '!$E80-' Carregadeira 12B '!$D80</f>
        <v>9.1</v>
      </c>
      <c r="G80" s="54">
        <f>' Carregadeira 12B '!$F80-10</f>
        <v>-0.9</v>
      </c>
      <c r="H80" s="138">
        <v>220.0</v>
      </c>
    </row>
    <row r="81" ht="14.25" customHeight="1">
      <c r="B81" s="164">
        <v>45308.0</v>
      </c>
      <c r="C81" s="184" t="str">
        <f t="shared" si="1"/>
        <v>1-2024</v>
      </c>
      <c r="F81" s="54">
        <f>' Carregadeira 12B '!$E81-' Carregadeira 12B '!$D81</f>
        <v>0</v>
      </c>
      <c r="G81" s="54">
        <f>' Carregadeira 12B '!$F81-10</f>
        <v>-10</v>
      </c>
      <c r="H81" s="54"/>
    </row>
    <row r="82" ht="14.25" customHeight="1">
      <c r="B82" s="164">
        <v>45309.0</v>
      </c>
      <c r="C82" s="184" t="str">
        <f t="shared" si="1"/>
        <v>1-2024</v>
      </c>
      <c r="D82" s="28">
        <v>1911.8</v>
      </c>
      <c r="E82" s="28">
        <v>1916.5</v>
      </c>
      <c r="F82" s="54">
        <f>' Carregadeira 12B '!$E82-' Carregadeira 12B '!$D82</f>
        <v>4.7</v>
      </c>
      <c r="G82" s="54">
        <f>' Carregadeira 12B '!$F82-10</f>
        <v>-5.3</v>
      </c>
      <c r="H82" s="54"/>
    </row>
    <row r="83" ht="14.25" customHeight="1">
      <c r="B83" s="164">
        <v>45310.0</v>
      </c>
      <c r="C83" s="184" t="str">
        <f t="shared" si="1"/>
        <v>1-2024</v>
      </c>
      <c r="D83" s="165">
        <f t="shared" ref="D83:D84" si="15">E82</f>
        <v>1916.5</v>
      </c>
      <c r="E83" s="28">
        <v>1923.5</v>
      </c>
      <c r="F83" s="54">
        <f>' Carregadeira 12B '!$E83-' Carregadeira 12B '!$D83</f>
        <v>7</v>
      </c>
      <c r="G83" s="54">
        <f>' Carregadeira 12B '!$F83-10</f>
        <v>-3</v>
      </c>
      <c r="H83" s="54"/>
    </row>
    <row r="84" ht="14.25" customHeight="1">
      <c r="B84" s="164">
        <v>45311.0</v>
      </c>
      <c r="C84" s="184" t="str">
        <f t="shared" si="1"/>
        <v>1-2024</v>
      </c>
      <c r="D84" s="165">
        <f t="shared" si="15"/>
        <v>1923.5</v>
      </c>
      <c r="E84" s="28">
        <v>1930.1</v>
      </c>
      <c r="F84" s="54">
        <f>' Carregadeira 12B '!$E84-' Carregadeira 12B '!$D84</f>
        <v>6.6</v>
      </c>
      <c r="G84" s="54">
        <f>' Carregadeira 12B '!$F84-10</f>
        <v>-3.4</v>
      </c>
      <c r="H84" s="54"/>
    </row>
    <row r="85" ht="14.25" customHeight="1">
      <c r="B85" s="164">
        <v>45312.0</v>
      </c>
      <c r="C85" s="184" t="str">
        <f t="shared" si="1"/>
        <v>1-2024</v>
      </c>
      <c r="F85" s="54">
        <f>' Carregadeira 12B '!$E85-' Carregadeira 12B '!$D85</f>
        <v>0</v>
      </c>
      <c r="G85" s="54">
        <f>' Carregadeira 12B '!$F85-10</f>
        <v>-10</v>
      </c>
      <c r="H85" s="54"/>
    </row>
    <row r="86" ht="14.25" customHeight="1">
      <c r="B86" s="164">
        <v>45313.0</v>
      </c>
      <c r="C86" s="184" t="str">
        <f t="shared" si="1"/>
        <v>1-2024</v>
      </c>
      <c r="D86" s="28">
        <v>1930.1</v>
      </c>
      <c r="E86" s="28">
        <v>1940.1</v>
      </c>
      <c r="F86" s="54">
        <f>' Carregadeira 12B '!$E86-' Carregadeira 12B '!$D86</f>
        <v>10</v>
      </c>
      <c r="G86" s="54">
        <f>' Carregadeira 12B '!$F86-10</f>
        <v>0</v>
      </c>
      <c r="H86" s="196"/>
    </row>
    <row r="87" ht="14.25" customHeight="1">
      <c r="B87" s="164">
        <v>45314.0</v>
      </c>
      <c r="C87" s="184" t="str">
        <f t="shared" si="1"/>
        <v>1-2024</v>
      </c>
      <c r="D87" s="165">
        <f t="shared" ref="D87:D91" si="16">E86</f>
        <v>1940.1</v>
      </c>
      <c r="E87" s="28">
        <v>1949.1</v>
      </c>
      <c r="F87" s="54">
        <f>' Carregadeira 12B '!$E87-' Carregadeira 12B '!$D87</f>
        <v>9</v>
      </c>
      <c r="G87" s="54">
        <f>' Carregadeira 12B '!$F87-10</f>
        <v>-1</v>
      </c>
      <c r="H87" s="138">
        <v>220.0</v>
      </c>
    </row>
    <row r="88" ht="14.25" customHeight="1">
      <c r="B88" s="164">
        <v>45315.0</v>
      </c>
      <c r="C88" s="184" t="str">
        <f t="shared" si="1"/>
        <v>1-2024</v>
      </c>
      <c r="D88" s="165">
        <f t="shared" si="16"/>
        <v>1949.1</v>
      </c>
      <c r="E88" s="28">
        <v>1957.4</v>
      </c>
      <c r="F88" s="54">
        <f>' Carregadeira 12B '!$E88-' Carregadeira 12B '!$D88</f>
        <v>8.3</v>
      </c>
      <c r="G88" s="54">
        <f>' Carregadeira 12B '!$F88-10</f>
        <v>-1.7</v>
      </c>
      <c r="H88" s="196"/>
    </row>
    <row r="89" ht="14.25" customHeight="1">
      <c r="B89" s="164">
        <v>45316.0</v>
      </c>
      <c r="C89" s="184" t="str">
        <f t="shared" si="1"/>
        <v>1-2024</v>
      </c>
      <c r="D89" s="165">
        <f t="shared" si="16"/>
        <v>1957.4</v>
      </c>
      <c r="E89" s="28">
        <v>1964.1</v>
      </c>
      <c r="F89" s="54">
        <f>' Carregadeira 12B '!$E89-' Carregadeira 12B '!$D89</f>
        <v>6.7</v>
      </c>
      <c r="G89" s="54">
        <f>' Carregadeira 12B '!$F89-10</f>
        <v>-3.3</v>
      </c>
      <c r="H89" s="138">
        <v>220.0</v>
      </c>
    </row>
    <row r="90" ht="14.25" customHeight="1">
      <c r="B90" s="164">
        <v>45317.0</v>
      </c>
      <c r="C90" s="184" t="str">
        <f t="shared" si="1"/>
        <v>1-2024</v>
      </c>
      <c r="D90" s="165">
        <f t="shared" si="16"/>
        <v>1964.1</v>
      </c>
      <c r="E90" s="28">
        <v>1972.5</v>
      </c>
      <c r="F90" s="54">
        <f>' Carregadeira 12B '!$E90-' Carregadeira 12B '!$D90</f>
        <v>8.4</v>
      </c>
      <c r="G90" s="54">
        <f>' Carregadeira 12B '!$F90-10</f>
        <v>-1.6</v>
      </c>
      <c r="H90" s="196"/>
    </row>
    <row r="91" ht="14.25" customHeight="1">
      <c r="B91" s="164">
        <v>45318.0</v>
      </c>
      <c r="C91" s="184" t="str">
        <f t="shared" si="1"/>
        <v>1-2024</v>
      </c>
      <c r="D91" s="165">
        <f t="shared" si="16"/>
        <v>1972.5</v>
      </c>
      <c r="E91" s="28">
        <v>1973.0</v>
      </c>
      <c r="F91" s="54">
        <f>' Carregadeira 12B '!$E91-' Carregadeira 12B '!$D91</f>
        <v>0.5</v>
      </c>
      <c r="G91" s="54">
        <f>' Carregadeira 12B '!$F91-10</f>
        <v>-9.5</v>
      </c>
      <c r="H91" s="138">
        <v>80.0</v>
      </c>
    </row>
    <row r="92" ht="14.25" customHeight="1">
      <c r="B92" s="164">
        <v>45319.0</v>
      </c>
      <c r="C92" s="184" t="str">
        <f t="shared" si="1"/>
        <v>1-2024</v>
      </c>
      <c r="F92" s="54">
        <f>' Carregadeira 12B '!$E92-' Carregadeira 12B '!$D92</f>
        <v>0</v>
      </c>
      <c r="G92" s="54">
        <f>' Carregadeira 12B '!$F92-10</f>
        <v>-10</v>
      </c>
      <c r="H92" s="54"/>
    </row>
    <row r="93" ht="14.25" customHeight="1">
      <c r="B93" s="164">
        <v>45320.0</v>
      </c>
      <c r="C93" s="184" t="str">
        <f t="shared" si="1"/>
        <v>1-2024</v>
      </c>
      <c r="D93" s="28">
        <v>1973.0</v>
      </c>
      <c r="E93" s="28">
        <v>1982.4</v>
      </c>
      <c r="F93" s="54">
        <f>' Carregadeira 12B '!$E93-' Carregadeira 12B '!$D93</f>
        <v>9.4</v>
      </c>
      <c r="G93" s="54">
        <f>' Carregadeira 12B '!$F93-10</f>
        <v>-0.6</v>
      </c>
      <c r="H93" s="196"/>
    </row>
    <row r="94" ht="14.25" customHeight="1">
      <c r="B94" s="164">
        <v>45321.0</v>
      </c>
      <c r="C94" s="184" t="str">
        <f t="shared" si="1"/>
        <v>1-2024</v>
      </c>
      <c r="D94" s="165">
        <f t="shared" ref="D94:D95" si="17">E93</f>
        <v>1982.4</v>
      </c>
      <c r="E94" s="28">
        <v>1990.8</v>
      </c>
      <c r="F94" s="54">
        <f>' Carregadeira 12B '!$E94-' Carregadeira 12B '!$D94</f>
        <v>8.4</v>
      </c>
      <c r="G94" s="54">
        <f>' Carregadeira 12B '!$F94-10</f>
        <v>-1.6</v>
      </c>
      <c r="H94" s="196"/>
    </row>
    <row r="95" ht="14.25" customHeight="1">
      <c r="B95" s="164">
        <v>45322.0</v>
      </c>
      <c r="C95" s="184" t="str">
        <f t="shared" si="1"/>
        <v>1-2024</v>
      </c>
      <c r="D95" s="165">
        <f t="shared" si="17"/>
        <v>1990.8</v>
      </c>
      <c r="E95" s="28">
        <v>1994.3</v>
      </c>
      <c r="F95" s="54">
        <f>' Carregadeira 12B '!$E95-' Carregadeira 12B '!$D95</f>
        <v>3.5</v>
      </c>
      <c r="G95" s="54">
        <f>' Carregadeira 12B '!$F95-10</f>
        <v>-6.5</v>
      </c>
      <c r="H95" s="196"/>
    </row>
    <row r="96" ht="14.25" customHeight="1">
      <c r="B96" s="164">
        <v>45323.0</v>
      </c>
      <c r="C96" s="184" t="str">
        <f t="shared" si="1"/>
        <v>2-2024</v>
      </c>
      <c r="D96" s="28">
        <v>1994.3</v>
      </c>
      <c r="E96" s="28">
        <v>2002.1</v>
      </c>
      <c r="F96" s="54">
        <f>' Carregadeira 12B '!$E96-' Carregadeira 12B '!$D96</f>
        <v>7.8</v>
      </c>
      <c r="G96" s="54">
        <f>' Carregadeira 12B '!$F96-10</f>
        <v>-2.2</v>
      </c>
      <c r="H96" s="196"/>
    </row>
    <row r="97" ht="14.25" customHeight="1">
      <c r="B97" s="164">
        <v>45324.0</v>
      </c>
      <c r="C97" s="184" t="str">
        <f t="shared" si="1"/>
        <v>2-2024</v>
      </c>
      <c r="D97" s="165">
        <f t="shared" ref="D97:D98" si="18">E96</f>
        <v>2002.1</v>
      </c>
      <c r="E97" s="28">
        <v>2010.7</v>
      </c>
      <c r="F97" s="54">
        <f>' Carregadeira 12B '!$E97-' Carregadeira 12B '!$D97</f>
        <v>8.6</v>
      </c>
      <c r="G97" s="54">
        <f>' Carregadeira 12B '!$F97-10</f>
        <v>-1.4</v>
      </c>
      <c r="H97" s="138">
        <v>190.0</v>
      </c>
    </row>
    <row r="98" ht="14.25" customHeight="1">
      <c r="B98" s="164">
        <v>45325.0</v>
      </c>
      <c r="C98" s="184" t="str">
        <f t="shared" si="1"/>
        <v>2-2024</v>
      </c>
      <c r="D98" s="165">
        <f t="shared" si="18"/>
        <v>2010.7</v>
      </c>
      <c r="E98" s="28">
        <v>2015.5</v>
      </c>
      <c r="F98" s="54">
        <f>' Carregadeira 12B '!$E98-' Carregadeira 12B '!$D98</f>
        <v>4.8</v>
      </c>
      <c r="G98" s="54">
        <f>' Carregadeira 12B '!$F98-10</f>
        <v>-5.2</v>
      </c>
      <c r="H98" s="196"/>
    </row>
    <row r="99" ht="14.25" customHeight="1">
      <c r="B99" s="164">
        <v>45326.0</v>
      </c>
      <c r="C99" s="184" t="str">
        <f t="shared" si="1"/>
        <v>2-2024</v>
      </c>
      <c r="F99" s="54">
        <f>' Carregadeira 12B '!$E99-' Carregadeira 12B '!$D99</f>
        <v>0</v>
      </c>
      <c r="G99" s="54">
        <f>' Carregadeira 12B '!$F99-10</f>
        <v>-10</v>
      </c>
    </row>
    <row r="100" ht="14.25" customHeight="1">
      <c r="B100" s="164">
        <v>45327.0</v>
      </c>
      <c r="C100" s="184" t="str">
        <f t="shared" si="1"/>
        <v>2-2024</v>
      </c>
      <c r="D100" s="28">
        <v>2015.5</v>
      </c>
      <c r="E100" s="28">
        <v>2023.5</v>
      </c>
      <c r="F100" s="54">
        <f>' Carregadeira 12B '!$E100-' Carregadeira 12B '!$D100</f>
        <v>8</v>
      </c>
      <c r="G100" s="54">
        <f>' Carregadeira 12B '!$F100-10</f>
        <v>-2</v>
      </c>
      <c r="H100" s="60"/>
    </row>
    <row r="101" ht="14.25" customHeight="1">
      <c r="B101" s="164">
        <v>45328.0</v>
      </c>
      <c r="C101" s="184" t="str">
        <f t="shared" si="1"/>
        <v>2-2024</v>
      </c>
      <c r="D101" s="165">
        <f t="shared" ref="D101:D105" si="19">E100</f>
        <v>2023.5</v>
      </c>
      <c r="E101" s="28">
        <v>2025.3</v>
      </c>
      <c r="F101" s="54">
        <f>' Carregadeira 12B '!$E101-' Carregadeira 12B '!$D101</f>
        <v>1.8</v>
      </c>
      <c r="G101" s="54">
        <f>' Carregadeira 12B '!$F101-10</f>
        <v>-8.2</v>
      </c>
      <c r="H101" s="60"/>
    </row>
    <row r="102" ht="14.25" customHeight="1">
      <c r="B102" s="164">
        <v>45329.0</v>
      </c>
      <c r="C102" s="184" t="str">
        <f t="shared" si="1"/>
        <v>2-2024</v>
      </c>
      <c r="D102" s="165">
        <f t="shared" si="19"/>
        <v>2025.3</v>
      </c>
      <c r="E102" s="28">
        <v>2034.3</v>
      </c>
      <c r="F102" s="54">
        <f>' Carregadeira 12B '!$E102-' Carregadeira 12B '!$D102</f>
        <v>9</v>
      </c>
      <c r="G102" s="54">
        <f>' Carregadeira 12B '!$F102-10</f>
        <v>-1</v>
      </c>
      <c r="H102" s="60"/>
    </row>
    <row r="103" ht="14.25" customHeight="1">
      <c r="B103" s="164">
        <v>45330.0</v>
      </c>
      <c r="C103" s="184" t="str">
        <f t="shared" si="1"/>
        <v>2-2024</v>
      </c>
      <c r="D103" s="165">
        <f t="shared" si="19"/>
        <v>2034.3</v>
      </c>
      <c r="E103" s="28">
        <v>2043.0</v>
      </c>
      <c r="F103" s="54">
        <f>' Carregadeira 12B '!$E103-' Carregadeira 12B '!$D103</f>
        <v>8.7</v>
      </c>
      <c r="G103" s="54">
        <f>' Carregadeira 12B '!$F103-10</f>
        <v>-1.3</v>
      </c>
      <c r="H103" s="60"/>
    </row>
    <row r="104" ht="14.25" customHeight="1">
      <c r="B104" s="164">
        <v>45331.0</v>
      </c>
      <c r="C104" s="184" t="str">
        <f t="shared" si="1"/>
        <v>2-2024</v>
      </c>
      <c r="D104" s="165">
        <f t="shared" si="19"/>
        <v>2043</v>
      </c>
      <c r="E104" s="28">
        <v>2051.8</v>
      </c>
      <c r="F104" s="54">
        <f>' Carregadeira 12B '!$E104-' Carregadeira 12B '!$D104</f>
        <v>8.8</v>
      </c>
      <c r="G104" s="54">
        <f>' Carregadeira 12B '!$F104-10</f>
        <v>-1.2</v>
      </c>
      <c r="H104" s="60"/>
    </row>
    <row r="105" ht="14.25" customHeight="1">
      <c r="B105" s="164">
        <v>45332.0</v>
      </c>
      <c r="C105" s="184" t="str">
        <f t="shared" si="1"/>
        <v>2-2024</v>
      </c>
      <c r="D105" s="165">
        <f t="shared" si="19"/>
        <v>2051.8</v>
      </c>
      <c r="E105" s="28">
        <v>2056.6</v>
      </c>
      <c r="F105" s="54">
        <f>' Carregadeira 12B '!$E105-' Carregadeira 12B '!$D105</f>
        <v>4.8</v>
      </c>
      <c r="G105" s="54">
        <f>' Carregadeira 12B '!$F105-10</f>
        <v>-5.2</v>
      </c>
      <c r="H105" s="81">
        <v>220.0</v>
      </c>
    </row>
    <row r="106" ht="14.25" customHeight="1">
      <c r="B106" s="164">
        <v>45333.0</v>
      </c>
      <c r="C106" s="184" t="str">
        <f t="shared" si="1"/>
        <v>2-2024</v>
      </c>
      <c r="F106" s="54">
        <f>' Carregadeira 12B '!$E106-' Carregadeira 12B '!$D106</f>
        <v>0</v>
      </c>
      <c r="G106" s="54">
        <f>' Carregadeira 12B '!$F106-10</f>
        <v>-10</v>
      </c>
    </row>
    <row r="107" ht="14.25" customHeight="1">
      <c r="B107" s="164">
        <v>45334.0</v>
      </c>
      <c r="C107" s="184" t="str">
        <f t="shared" si="1"/>
        <v>2-2024</v>
      </c>
      <c r="D107" s="28">
        <v>2056.6</v>
      </c>
      <c r="E107" s="28">
        <v>2063.7</v>
      </c>
      <c r="F107" s="54">
        <f>' Carregadeira 12B '!$E107-' Carregadeira 12B '!$D107</f>
        <v>7.1</v>
      </c>
      <c r="G107" s="54">
        <f>' Carregadeira 12B '!$F107-10</f>
        <v>-2.9</v>
      </c>
    </row>
    <row r="108" ht="14.25" customHeight="1">
      <c r="B108" s="164">
        <v>45335.0</v>
      </c>
      <c r="C108" s="184" t="str">
        <f t="shared" si="1"/>
        <v>2-2024</v>
      </c>
      <c r="F108" s="54">
        <f>' Carregadeira 12B '!$E108-' Carregadeira 12B '!$D108</f>
        <v>0</v>
      </c>
      <c r="G108" s="54">
        <f>' Carregadeira 12B '!$F108-10</f>
        <v>-10</v>
      </c>
    </row>
    <row r="109" ht="14.25" customHeight="1">
      <c r="B109" s="164">
        <v>45336.0</v>
      </c>
      <c r="C109" s="184" t="str">
        <f t="shared" si="1"/>
        <v>2-2024</v>
      </c>
      <c r="D109" s="28">
        <v>2063.7</v>
      </c>
      <c r="E109" s="28">
        <v>2063.7</v>
      </c>
      <c r="F109" s="54">
        <f>' Carregadeira 12B '!$E109-' Carregadeira 12B '!$D109</f>
        <v>0</v>
      </c>
      <c r="G109" s="54">
        <f>' Carregadeira 12B '!$F109-10</f>
        <v>-10</v>
      </c>
    </row>
    <row r="110" ht="14.25" customHeight="1">
      <c r="B110" s="164">
        <v>45337.0</v>
      </c>
      <c r="C110" s="184" t="str">
        <f t="shared" si="1"/>
        <v>2-2024</v>
      </c>
      <c r="D110" s="165">
        <f t="shared" ref="D110:D111" si="20">E109</f>
        <v>2063.7</v>
      </c>
      <c r="E110" s="28">
        <v>2077.3</v>
      </c>
      <c r="F110" s="54">
        <f>' Carregadeira 12B '!$E110-' Carregadeira 12B '!$D110</f>
        <v>13.6</v>
      </c>
      <c r="G110" s="54">
        <f>' Carregadeira 12B '!$F110-10</f>
        <v>3.6</v>
      </c>
    </row>
    <row r="111" ht="14.25" customHeight="1">
      <c r="B111" s="164">
        <v>45338.0</v>
      </c>
      <c r="C111" s="184" t="str">
        <f t="shared" si="1"/>
        <v>2-2024</v>
      </c>
      <c r="D111" s="165">
        <f t="shared" si="20"/>
        <v>2077.3</v>
      </c>
      <c r="E111" s="28">
        <v>2083.5</v>
      </c>
      <c r="F111" s="54">
        <f>' Carregadeira 12B '!$E111-' Carregadeira 12B '!$D111</f>
        <v>6.2</v>
      </c>
      <c r="G111" s="54">
        <f>' Carregadeira 12B '!$F111-10</f>
        <v>-3.8</v>
      </c>
    </row>
    <row r="112" ht="14.25" customHeight="1">
      <c r="B112" s="164">
        <v>45339.0</v>
      </c>
      <c r="C112" s="184" t="str">
        <f t="shared" si="1"/>
        <v>2-2024</v>
      </c>
      <c r="D112" s="28">
        <v>2083.5</v>
      </c>
      <c r="E112" s="28">
        <v>2088.6</v>
      </c>
      <c r="F112" s="54">
        <f>' Carregadeira 12B '!$E112-' Carregadeira 12B '!$D112</f>
        <v>5.1</v>
      </c>
      <c r="G112" s="54">
        <f>' Carregadeira 12B '!$F112-10</f>
        <v>-4.9</v>
      </c>
    </row>
    <row r="113" ht="14.25" customHeight="1">
      <c r="B113" s="164">
        <v>45340.0</v>
      </c>
      <c r="C113" s="184" t="str">
        <f t="shared" si="1"/>
        <v>2-2024</v>
      </c>
      <c r="F113" s="54">
        <f>' Carregadeira 12B '!$E113-' Carregadeira 12B '!$D113</f>
        <v>0</v>
      </c>
      <c r="G113" s="54">
        <f>' Carregadeira 12B '!$F113-10</f>
        <v>-10</v>
      </c>
    </row>
    <row r="114" ht="14.25" customHeight="1">
      <c r="B114" s="164">
        <v>45341.0</v>
      </c>
      <c r="C114" s="184" t="str">
        <f t="shared" si="1"/>
        <v>2-2024</v>
      </c>
      <c r="D114" s="28">
        <v>2088.6</v>
      </c>
      <c r="E114" s="28">
        <v>2095.6</v>
      </c>
      <c r="F114" s="54">
        <f>' Carregadeira 12B '!$E114-' Carregadeira 12B '!$D114</f>
        <v>7</v>
      </c>
      <c r="G114" s="54">
        <f>' Carregadeira 12B '!$F114-10</f>
        <v>-3</v>
      </c>
    </row>
    <row r="115" ht="14.25" customHeight="1">
      <c r="B115" s="164">
        <v>45342.0</v>
      </c>
      <c r="C115" s="184" t="str">
        <f t="shared" si="1"/>
        <v>2-2024</v>
      </c>
      <c r="D115" s="165">
        <f>E114</f>
        <v>2095.6</v>
      </c>
      <c r="E115" s="28">
        <v>2103.9</v>
      </c>
      <c r="F115" s="54">
        <f>' Carregadeira 12B '!$E115-' Carregadeira 12B '!$D115</f>
        <v>8.3</v>
      </c>
      <c r="G115" s="54">
        <f>' Carregadeira 12B '!$F115-10</f>
        <v>-1.7</v>
      </c>
    </row>
    <row r="116" ht="14.25" customHeight="1">
      <c r="B116" s="164">
        <v>45343.0</v>
      </c>
      <c r="C116" s="184" t="str">
        <f t="shared" si="1"/>
        <v>2-2024</v>
      </c>
      <c r="F116" s="54">
        <f>' Carregadeira 12B '!$E116-' Carregadeira 12B '!$D116</f>
        <v>0</v>
      </c>
      <c r="G116" s="54">
        <f>' Carregadeira 12B '!$F116-10</f>
        <v>-10</v>
      </c>
    </row>
    <row r="117" ht="14.25" customHeight="1">
      <c r="B117" s="164">
        <v>45344.0</v>
      </c>
      <c r="C117" s="184" t="str">
        <f t="shared" si="1"/>
        <v>2-2024</v>
      </c>
      <c r="D117" s="165" t="str">
        <f>E116</f>
        <v/>
      </c>
      <c r="F117" s="54">
        <f>' Carregadeira 12B '!$E117-' Carregadeira 12B '!$D117</f>
        <v>0</v>
      </c>
      <c r="G117" s="54">
        <f>' Carregadeira 12B '!$F117-10</f>
        <v>-10</v>
      </c>
    </row>
    <row r="118" ht="14.25" customHeight="1">
      <c r="B118" s="164">
        <v>45345.0</v>
      </c>
      <c r="C118" s="184" t="str">
        <f t="shared" si="1"/>
        <v>2-2024</v>
      </c>
      <c r="D118" s="28">
        <v>2103.9</v>
      </c>
      <c r="E118" s="28">
        <v>2110.8</v>
      </c>
      <c r="F118" s="54">
        <f>' Carregadeira 12B '!$E118-' Carregadeira 12B '!$D118</f>
        <v>6.9</v>
      </c>
      <c r="G118" s="54">
        <f>' Carregadeira 12B '!$F118-10</f>
        <v>-3.1</v>
      </c>
    </row>
    <row r="119" ht="14.25" customHeight="1">
      <c r="B119" s="164">
        <v>45346.0</v>
      </c>
      <c r="C119" s="184" t="str">
        <f t="shared" si="1"/>
        <v>2-2024</v>
      </c>
      <c r="F119" s="54">
        <f>' Carregadeira 12B '!$E119-' Carregadeira 12B '!$D119</f>
        <v>0</v>
      </c>
      <c r="G119" s="54">
        <f>' Carregadeira 12B '!$F119-10</f>
        <v>-10</v>
      </c>
    </row>
    <row r="120" ht="14.25" customHeight="1">
      <c r="B120" s="164">
        <v>45347.0</v>
      </c>
      <c r="C120" s="184" t="str">
        <f t="shared" si="1"/>
        <v>2-2024</v>
      </c>
      <c r="D120" s="165" t="str">
        <f>E119</f>
        <v/>
      </c>
      <c r="F120" s="54">
        <f>' Carregadeira 12B '!$E120-' Carregadeira 12B '!$D120</f>
        <v>0</v>
      </c>
      <c r="G120" s="54">
        <f>' Carregadeira 12B '!$F120-10</f>
        <v>-10</v>
      </c>
    </row>
    <row r="121" ht="14.25" customHeight="1">
      <c r="B121" s="164">
        <v>45348.0</v>
      </c>
      <c r="C121" s="184" t="str">
        <f t="shared" si="1"/>
        <v>2-2024</v>
      </c>
      <c r="D121" s="28">
        <v>2110.8</v>
      </c>
      <c r="E121" s="28">
        <v>2119.4</v>
      </c>
      <c r="F121" s="54">
        <f>' Carregadeira 12B '!$E121-' Carregadeira 12B '!$D121</f>
        <v>8.6</v>
      </c>
      <c r="G121" s="54">
        <f>' Carregadeira 12B '!$F121-10</f>
        <v>-1.4</v>
      </c>
    </row>
    <row r="122" ht="14.25" customHeight="1">
      <c r="B122" s="164">
        <v>45349.0</v>
      </c>
      <c r="C122" s="184" t="str">
        <f t="shared" si="1"/>
        <v>2-2024</v>
      </c>
      <c r="D122" s="165">
        <f t="shared" ref="D122:D124" si="21">E121</f>
        <v>2119.4</v>
      </c>
      <c r="E122" s="28">
        <v>2126.7</v>
      </c>
      <c r="F122" s="54">
        <f>' Carregadeira 12B '!$E122-' Carregadeira 12B '!$D122</f>
        <v>7.3</v>
      </c>
      <c r="G122" s="54">
        <f>' Carregadeira 12B '!$F122-10</f>
        <v>-2.7</v>
      </c>
    </row>
    <row r="123" ht="14.25" customHeight="1">
      <c r="B123" s="164">
        <v>45350.0</v>
      </c>
      <c r="C123" s="184" t="str">
        <f t="shared" si="1"/>
        <v>2-2024</v>
      </c>
      <c r="D123" s="165">
        <f t="shared" si="21"/>
        <v>2126.7</v>
      </c>
      <c r="E123" s="28">
        <v>2132.8</v>
      </c>
      <c r="F123" s="54">
        <f>' Carregadeira 12B '!$E123-' Carregadeira 12B '!$D123</f>
        <v>6.1</v>
      </c>
      <c r="G123" s="54">
        <f>' Carregadeira 12B '!$F123-10</f>
        <v>-3.9</v>
      </c>
    </row>
    <row r="124" ht="14.25" customHeight="1">
      <c r="B124" s="164">
        <v>45351.0</v>
      </c>
      <c r="C124" s="184" t="str">
        <f t="shared" si="1"/>
        <v>2-2024</v>
      </c>
      <c r="D124" s="165">
        <f t="shared" si="21"/>
        <v>2132.8</v>
      </c>
      <c r="E124" s="28">
        <v>2141.2</v>
      </c>
      <c r="F124" s="54">
        <f>' Carregadeira 12B '!$E124-' Carregadeira 12B '!$D124</f>
        <v>8.4</v>
      </c>
      <c r="G124" s="54">
        <f>' Carregadeira 12B '!$F124-10</f>
        <v>-1.6</v>
      </c>
    </row>
    <row r="125" ht="14.25" customHeight="1">
      <c r="B125" s="164">
        <v>45352.0</v>
      </c>
      <c r="C125" s="184" t="str">
        <f t="shared" si="1"/>
        <v>3-2024</v>
      </c>
      <c r="F125" s="54">
        <f>' Carregadeira 12B '!$E125-' Carregadeira 12B '!$D125</f>
        <v>0</v>
      </c>
      <c r="G125" s="54">
        <f>' Carregadeira 12B '!$F125-10</f>
        <v>-10</v>
      </c>
    </row>
    <row r="126" ht="14.25" customHeight="1">
      <c r="B126" s="164">
        <v>45353.0</v>
      </c>
      <c r="C126" s="184" t="str">
        <f t="shared" si="1"/>
        <v>3-2024</v>
      </c>
      <c r="D126" s="165" t="str">
        <f t="shared" ref="D126:D155" si="22">E125</f>
        <v/>
      </c>
      <c r="F126" s="54">
        <f>' Carregadeira 12B '!$E126-' Carregadeira 12B '!$D126</f>
        <v>0</v>
      </c>
      <c r="G126" s="54">
        <f>' Carregadeira 12B '!$F126-10</f>
        <v>-10</v>
      </c>
    </row>
    <row r="127" ht="14.25" customHeight="1">
      <c r="B127" s="164">
        <v>45354.0</v>
      </c>
      <c r="C127" s="184" t="str">
        <f t="shared" si="1"/>
        <v>3-2024</v>
      </c>
      <c r="D127" s="165" t="str">
        <f t="shared" si="22"/>
        <v/>
      </c>
      <c r="F127" s="54">
        <f>' Carregadeira 12B '!$E127-' Carregadeira 12B '!$D127</f>
        <v>0</v>
      </c>
      <c r="G127" s="54">
        <f>' Carregadeira 12B '!$F127-10</f>
        <v>-10</v>
      </c>
    </row>
    <row r="128" ht="14.25" customHeight="1">
      <c r="B128" s="164">
        <v>45355.0</v>
      </c>
      <c r="C128" s="184" t="str">
        <f t="shared" si="1"/>
        <v>3-2024</v>
      </c>
      <c r="D128" s="165" t="str">
        <f t="shared" si="22"/>
        <v/>
      </c>
      <c r="F128" s="54">
        <f>' Carregadeira 12B '!$E128-' Carregadeira 12B '!$D128</f>
        <v>0</v>
      </c>
      <c r="G128" s="54">
        <f>' Carregadeira 12B '!$F128-10</f>
        <v>-10</v>
      </c>
    </row>
    <row r="129" ht="14.25" customHeight="1">
      <c r="B129" s="164">
        <v>45356.0</v>
      </c>
      <c r="C129" s="184" t="str">
        <f t="shared" si="1"/>
        <v>3-2024</v>
      </c>
      <c r="D129" s="165" t="str">
        <f t="shared" si="22"/>
        <v/>
      </c>
      <c r="F129" s="54">
        <f>' Carregadeira 12B '!$E129-' Carregadeira 12B '!$D129</f>
        <v>0</v>
      </c>
      <c r="G129" s="54">
        <f>' Carregadeira 12B '!$F129-10</f>
        <v>-10</v>
      </c>
    </row>
    <row r="130" ht="14.25" customHeight="1">
      <c r="B130" s="164">
        <v>45357.0</v>
      </c>
      <c r="C130" s="184" t="str">
        <f t="shared" si="1"/>
        <v>3-2024</v>
      </c>
      <c r="D130" s="165" t="str">
        <f t="shared" si="22"/>
        <v/>
      </c>
      <c r="F130" s="54">
        <f>' Carregadeira 12B '!$E130-' Carregadeira 12B '!$D130</f>
        <v>0</v>
      </c>
      <c r="G130" s="54">
        <f>' Carregadeira 12B '!$F130-10</f>
        <v>-10</v>
      </c>
    </row>
    <row r="131" ht="14.25" customHeight="1">
      <c r="B131" s="164">
        <v>45358.0</v>
      </c>
      <c r="C131" s="184" t="str">
        <f t="shared" si="1"/>
        <v>3-2024</v>
      </c>
      <c r="D131" s="165" t="str">
        <f t="shared" si="22"/>
        <v/>
      </c>
      <c r="F131" s="54">
        <f>' Carregadeira 12B '!$E131-' Carregadeira 12B '!$D131</f>
        <v>0</v>
      </c>
      <c r="G131" s="54">
        <f>' Carregadeira 12B '!$F131-10</f>
        <v>-10</v>
      </c>
    </row>
    <row r="132" ht="14.25" customHeight="1">
      <c r="B132" s="164">
        <v>45359.0</v>
      </c>
      <c r="C132" s="184" t="str">
        <f t="shared" si="1"/>
        <v>3-2024</v>
      </c>
      <c r="D132" s="165" t="str">
        <f t="shared" si="22"/>
        <v/>
      </c>
      <c r="F132" s="54">
        <f>' Carregadeira 12B '!$E132-' Carregadeira 12B '!$D132</f>
        <v>0</v>
      </c>
      <c r="G132" s="54">
        <f>' Carregadeira 12B '!$F132-10</f>
        <v>-10</v>
      </c>
    </row>
    <row r="133" ht="14.25" customHeight="1">
      <c r="B133" s="164">
        <v>45360.0</v>
      </c>
      <c r="C133" s="184" t="str">
        <f t="shared" si="1"/>
        <v>3-2024</v>
      </c>
      <c r="D133" s="165" t="str">
        <f t="shared" si="22"/>
        <v/>
      </c>
      <c r="F133" s="54">
        <f>' Carregadeira 12B '!$E133-' Carregadeira 12B '!$D133</f>
        <v>0</v>
      </c>
      <c r="G133" s="54">
        <f>' Carregadeira 12B '!$F133-10</f>
        <v>-10</v>
      </c>
    </row>
    <row r="134" ht="14.25" customHeight="1">
      <c r="B134" s="164">
        <v>45361.0</v>
      </c>
      <c r="C134" s="184" t="str">
        <f t="shared" si="1"/>
        <v>3-2024</v>
      </c>
      <c r="D134" s="165" t="str">
        <f t="shared" si="22"/>
        <v/>
      </c>
      <c r="F134" s="54">
        <f>' Carregadeira 12B '!$E134-' Carregadeira 12B '!$D134</f>
        <v>0</v>
      </c>
      <c r="G134" s="54">
        <f>' Carregadeira 12B '!$F134-10</f>
        <v>-10</v>
      </c>
    </row>
    <row r="135" ht="14.25" customHeight="1">
      <c r="B135" s="164">
        <v>45362.0</v>
      </c>
      <c r="C135" s="184" t="str">
        <f t="shared" si="1"/>
        <v>3-2024</v>
      </c>
      <c r="D135" s="165" t="str">
        <f t="shared" si="22"/>
        <v/>
      </c>
      <c r="F135" s="54">
        <f>' Carregadeira 12B '!$E135-' Carregadeira 12B '!$D135</f>
        <v>0</v>
      </c>
      <c r="G135" s="54">
        <f>' Carregadeira 12B '!$F135-10</f>
        <v>-10</v>
      </c>
    </row>
    <row r="136" ht="14.25" customHeight="1">
      <c r="B136" s="164">
        <v>45363.0</v>
      </c>
      <c r="C136" s="184" t="str">
        <f t="shared" si="1"/>
        <v>3-2024</v>
      </c>
      <c r="D136" s="165" t="str">
        <f t="shared" si="22"/>
        <v/>
      </c>
      <c r="F136" s="54">
        <f>' Carregadeira 12B '!$E136-' Carregadeira 12B '!$D136</f>
        <v>0</v>
      </c>
      <c r="G136" s="54">
        <f>' Carregadeira 12B '!$F136-10</f>
        <v>-10</v>
      </c>
    </row>
    <row r="137" ht="14.25" customHeight="1">
      <c r="B137" s="164">
        <v>45364.0</v>
      </c>
      <c r="C137" s="184" t="str">
        <f t="shared" si="1"/>
        <v>3-2024</v>
      </c>
      <c r="D137" s="165" t="str">
        <f t="shared" si="22"/>
        <v/>
      </c>
      <c r="F137" s="54">
        <f>' Carregadeira 12B '!$E137-' Carregadeira 12B '!$D137</f>
        <v>0</v>
      </c>
      <c r="G137" s="54">
        <f>' Carregadeira 12B '!$F137-10</f>
        <v>-10</v>
      </c>
    </row>
    <row r="138" ht="14.25" customHeight="1">
      <c r="B138" s="164">
        <v>45365.0</v>
      </c>
      <c r="C138" s="184" t="str">
        <f t="shared" si="1"/>
        <v>3-2024</v>
      </c>
      <c r="D138" s="165" t="str">
        <f t="shared" si="22"/>
        <v/>
      </c>
      <c r="F138" s="54">
        <f>' Carregadeira 12B '!$E138-' Carregadeira 12B '!$D138</f>
        <v>0</v>
      </c>
      <c r="G138" s="54">
        <f>' Carregadeira 12B '!$F138-10</f>
        <v>-10</v>
      </c>
    </row>
    <row r="139" ht="14.25" customHeight="1">
      <c r="B139" s="164">
        <v>45366.0</v>
      </c>
      <c r="C139" s="184" t="str">
        <f t="shared" si="1"/>
        <v>3-2024</v>
      </c>
      <c r="D139" s="165" t="str">
        <f t="shared" si="22"/>
        <v/>
      </c>
      <c r="F139" s="54">
        <f>' Carregadeira 12B '!$E139-' Carregadeira 12B '!$D139</f>
        <v>0</v>
      </c>
      <c r="G139" s="54">
        <f>' Carregadeira 12B '!$F139-10</f>
        <v>-10</v>
      </c>
    </row>
    <row r="140" ht="14.25" customHeight="1">
      <c r="B140" s="164">
        <v>45367.0</v>
      </c>
      <c r="C140" s="184" t="str">
        <f t="shared" si="1"/>
        <v>3-2024</v>
      </c>
      <c r="D140" s="165" t="str">
        <f t="shared" si="22"/>
        <v/>
      </c>
      <c r="F140" s="54">
        <f>' Carregadeira 12B '!$E140-' Carregadeira 12B '!$D140</f>
        <v>0</v>
      </c>
      <c r="G140" s="54">
        <f>' Carregadeira 12B '!$F140-10</f>
        <v>-10</v>
      </c>
    </row>
    <row r="141" ht="14.25" customHeight="1">
      <c r="B141" s="164">
        <v>45368.0</v>
      </c>
      <c r="C141" s="184" t="str">
        <f t="shared" si="1"/>
        <v>3-2024</v>
      </c>
      <c r="D141" s="165" t="str">
        <f t="shared" si="22"/>
        <v/>
      </c>
      <c r="F141" s="54">
        <f>' Carregadeira 12B '!$E141-' Carregadeira 12B '!$D141</f>
        <v>0</v>
      </c>
      <c r="G141" s="54">
        <f>' Carregadeira 12B '!$F141-10</f>
        <v>-10</v>
      </c>
    </row>
    <row r="142" ht="14.25" customHeight="1">
      <c r="B142" s="164">
        <v>45369.0</v>
      </c>
      <c r="C142" s="184" t="str">
        <f t="shared" si="1"/>
        <v>3-2024</v>
      </c>
      <c r="D142" s="165" t="str">
        <f t="shared" si="22"/>
        <v/>
      </c>
      <c r="F142" s="54">
        <f>' Carregadeira 12B '!$E142-' Carregadeira 12B '!$D142</f>
        <v>0</v>
      </c>
      <c r="G142" s="54">
        <f>' Carregadeira 12B '!$F142-10</f>
        <v>-10</v>
      </c>
    </row>
    <row r="143" ht="14.25" customHeight="1">
      <c r="B143" s="164">
        <v>45370.0</v>
      </c>
      <c r="C143" s="184" t="str">
        <f t="shared" si="1"/>
        <v>3-2024</v>
      </c>
      <c r="D143" s="165" t="str">
        <f t="shared" si="22"/>
        <v/>
      </c>
      <c r="F143" s="54">
        <f>' Carregadeira 12B '!$E143-' Carregadeira 12B '!$D143</f>
        <v>0</v>
      </c>
      <c r="G143" s="54">
        <f>' Carregadeira 12B '!$F143-10</f>
        <v>-10</v>
      </c>
    </row>
    <row r="144" ht="14.25" customHeight="1">
      <c r="B144" s="164">
        <v>45371.0</v>
      </c>
      <c r="C144" s="184" t="str">
        <f t="shared" si="1"/>
        <v>3-2024</v>
      </c>
      <c r="D144" s="165" t="str">
        <f t="shared" si="22"/>
        <v/>
      </c>
      <c r="F144" s="54">
        <f>' Carregadeira 12B '!$E144-' Carregadeira 12B '!$D144</f>
        <v>0</v>
      </c>
      <c r="G144" s="54">
        <f>' Carregadeira 12B '!$F144-10</f>
        <v>-10</v>
      </c>
    </row>
    <row r="145" ht="14.25" customHeight="1">
      <c r="B145" s="164">
        <v>45372.0</v>
      </c>
      <c r="C145" s="184" t="str">
        <f t="shared" si="1"/>
        <v>3-2024</v>
      </c>
      <c r="D145" s="165" t="str">
        <f t="shared" si="22"/>
        <v/>
      </c>
      <c r="F145" s="54">
        <f>' Carregadeira 12B '!$E145-' Carregadeira 12B '!$D145</f>
        <v>0</v>
      </c>
      <c r="G145" s="54">
        <f>' Carregadeira 12B '!$F145-10</f>
        <v>-10</v>
      </c>
    </row>
    <row r="146" ht="14.25" customHeight="1">
      <c r="B146" s="164">
        <v>45373.0</v>
      </c>
      <c r="C146" s="184" t="str">
        <f t="shared" si="1"/>
        <v>3-2024</v>
      </c>
      <c r="D146" s="165" t="str">
        <f t="shared" si="22"/>
        <v/>
      </c>
      <c r="F146" s="54">
        <f>' Carregadeira 12B '!$E146-' Carregadeira 12B '!$D146</f>
        <v>0</v>
      </c>
      <c r="G146" s="54">
        <f>' Carregadeira 12B '!$F146-10</f>
        <v>-10</v>
      </c>
    </row>
    <row r="147" ht="14.25" customHeight="1">
      <c r="B147" s="164">
        <v>45374.0</v>
      </c>
      <c r="C147" s="184" t="str">
        <f t="shared" si="1"/>
        <v>3-2024</v>
      </c>
      <c r="D147" s="165" t="str">
        <f t="shared" si="22"/>
        <v/>
      </c>
      <c r="F147" s="54">
        <f>' Carregadeira 12B '!$E147-' Carregadeira 12B '!$D147</f>
        <v>0</v>
      </c>
      <c r="G147" s="54">
        <f>' Carregadeira 12B '!$F147-10</f>
        <v>-10</v>
      </c>
    </row>
    <row r="148" ht="14.25" customHeight="1">
      <c r="B148" s="164">
        <v>45375.0</v>
      </c>
      <c r="C148" s="184" t="str">
        <f t="shared" si="1"/>
        <v>3-2024</v>
      </c>
      <c r="D148" s="165" t="str">
        <f t="shared" si="22"/>
        <v/>
      </c>
      <c r="F148" s="54">
        <f>' Carregadeira 12B '!$E148-' Carregadeira 12B '!$D148</f>
        <v>0</v>
      </c>
      <c r="G148" s="54">
        <f>' Carregadeira 12B '!$F148-10</f>
        <v>-10</v>
      </c>
    </row>
    <row r="149" ht="14.25" customHeight="1">
      <c r="B149" s="164">
        <v>45376.0</v>
      </c>
      <c r="C149" s="184" t="str">
        <f t="shared" si="1"/>
        <v>3-2024</v>
      </c>
      <c r="D149" s="165" t="str">
        <f t="shared" si="22"/>
        <v/>
      </c>
      <c r="F149" s="54">
        <f>' Carregadeira 12B '!$E149-' Carregadeira 12B '!$D149</f>
        <v>0</v>
      </c>
      <c r="G149" s="54">
        <f>' Carregadeira 12B '!$F149-10</f>
        <v>-10</v>
      </c>
    </row>
    <row r="150" ht="14.25" customHeight="1">
      <c r="B150" s="164">
        <v>45377.0</v>
      </c>
      <c r="C150" s="184" t="str">
        <f t="shared" si="1"/>
        <v>3-2024</v>
      </c>
      <c r="D150" s="165" t="str">
        <f t="shared" si="22"/>
        <v/>
      </c>
      <c r="F150" s="54">
        <f>' Carregadeira 12B '!$E150-' Carregadeira 12B '!$D150</f>
        <v>0</v>
      </c>
      <c r="G150" s="54">
        <f>' Carregadeira 12B '!$F150-10</f>
        <v>-10</v>
      </c>
    </row>
    <row r="151" ht="14.25" customHeight="1">
      <c r="B151" s="164">
        <v>45378.0</v>
      </c>
      <c r="C151" s="184" t="str">
        <f t="shared" si="1"/>
        <v>3-2024</v>
      </c>
      <c r="D151" s="165" t="str">
        <f t="shared" si="22"/>
        <v/>
      </c>
      <c r="F151" s="54">
        <f>' Carregadeira 12B '!$E151-' Carregadeira 12B '!$D151</f>
        <v>0</v>
      </c>
      <c r="G151" s="54">
        <f>' Carregadeira 12B '!$F151-10</f>
        <v>-10</v>
      </c>
    </row>
    <row r="152" ht="14.25" customHeight="1">
      <c r="B152" s="164">
        <v>45379.0</v>
      </c>
      <c r="C152" s="184" t="str">
        <f t="shared" si="1"/>
        <v>3-2024</v>
      </c>
      <c r="D152" s="165" t="str">
        <f t="shared" si="22"/>
        <v/>
      </c>
      <c r="F152" s="54">
        <f>' Carregadeira 12B '!$E152-' Carregadeira 12B '!$D152</f>
        <v>0</v>
      </c>
      <c r="G152" s="54">
        <f>' Carregadeira 12B '!$F152-10</f>
        <v>-10</v>
      </c>
    </row>
    <row r="153" ht="14.25" customHeight="1">
      <c r="B153" s="164">
        <v>45380.0</v>
      </c>
      <c r="C153" s="184" t="str">
        <f t="shared" si="1"/>
        <v>3-2024</v>
      </c>
      <c r="D153" s="165" t="str">
        <f t="shared" si="22"/>
        <v/>
      </c>
      <c r="F153" s="54">
        <f>' Carregadeira 12B '!$E153-' Carregadeira 12B '!$D153</f>
        <v>0</v>
      </c>
      <c r="G153" s="54">
        <f>' Carregadeira 12B '!$F153-10</f>
        <v>-10</v>
      </c>
    </row>
    <row r="154" ht="14.25" customHeight="1">
      <c r="B154" s="164">
        <v>45381.0</v>
      </c>
      <c r="C154" s="184" t="str">
        <f t="shared" si="1"/>
        <v>3-2024</v>
      </c>
      <c r="D154" s="165" t="str">
        <f t="shared" si="22"/>
        <v/>
      </c>
      <c r="F154" s="54">
        <f>' Carregadeira 12B '!$E154-' Carregadeira 12B '!$D154</f>
        <v>0</v>
      </c>
      <c r="G154" s="54">
        <f>' Carregadeira 12B '!$F154-10</f>
        <v>-10</v>
      </c>
    </row>
    <row r="155" ht="14.25" customHeight="1">
      <c r="B155" s="164">
        <v>45382.0</v>
      </c>
      <c r="C155" s="184" t="str">
        <f t="shared" si="1"/>
        <v>3-2024</v>
      </c>
      <c r="D155" s="165" t="str">
        <f t="shared" si="22"/>
        <v/>
      </c>
      <c r="F155" s="54">
        <f>' Carregadeira 12B '!$E155-' Carregadeira 12B '!$D155</f>
        <v>0</v>
      </c>
      <c r="G155" s="54">
        <f>' Carregadeira 12B '!$F155-10</f>
        <v>-10</v>
      </c>
    </row>
    <row r="156" ht="14.25" customHeight="1">
      <c r="B156" s="164">
        <v>45383.0</v>
      </c>
      <c r="C156" s="141" t="str">
        <f t="shared" si="1"/>
        <v>4-2024</v>
      </c>
      <c r="D156" s="28">
        <v>2269.8</v>
      </c>
      <c r="E156" s="28">
        <v>2277.2</v>
      </c>
      <c r="F156" s="54">
        <f>' Carregadeira 12B '!$E156-' Carregadeira 12B '!$D156</f>
        <v>7.4</v>
      </c>
      <c r="G156" s="54">
        <f>' Carregadeira 12B '!$F156-10</f>
        <v>-2.6</v>
      </c>
    </row>
    <row r="157" ht="14.25" customHeight="1">
      <c r="B157" s="164">
        <v>45384.0</v>
      </c>
      <c r="C157" s="141" t="str">
        <f t="shared" si="1"/>
        <v>4-2024</v>
      </c>
      <c r="D157" s="165">
        <f t="shared" ref="D157:D159" si="23">E156</f>
        <v>2277.2</v>
      </c>
      <c r="E157" s="28">
        <v>2283.6</v>
      </c>
      <c r="F157" s="54">
        <f>' Carregadeira 12B '!$E157-' Carregadeira 12B '!$D157</f>
        <v>6.4</v>
      </c>
      <c r="G157" s="54">
        <f>' Carregadeira 12B '!$F157-10</f>
        <v>-3.6</v>
      </c>
    </row>
    <row r="158" ht="14.25" customHeight="1">
      <c r="B158" s="164">
        <v>45385.0</v>
      </c>
      <c r="C158" s="141" t="str">
        <f t="shared" si="1"/>
        <v>4-2024</v>
      </c>
      <c r="D158" s="165">
        <f t="shared" si="23"/>
        <v>2283.6</v>
      </c>
      <c r="E158" s="28">
        <v>2291.2</v>
      </c>
      <c r="F158" s="54">
        <f>' Carregadeira 12B '!$E158-' Carregadeira 12B '!$D158</f>
        <v>7.6</v>
      </c>
      <c r="G158" s="54">
        <f>' Carregadeira 12B '!$F158-10</f>
        <v>-2.4</v>
      </c>
    </row>
    <row r="159" ht="14.25" customHeight="1">
      <c r="B159" s="164">
        <v>45386.0</v>
      </c>
      <c r="C159" s="141" t="str">
        <f t="shared" si="1"/>
        <v>4-2024</v>
      </c>
      <c r="D159" s="165">
        <f t="shared" si="23"/>
        <v>2291.2</v>
      </c>
      <c r="E159" s="28">
        <v>2297.9</v>
      </c>
      <c r="F159" s="54">
        <f>' Carregadeira 12B '!$E159-' Carregadeira 12B '!$D159</f>
        <v>6.7</v>
      </c>
      <c r="G159" s="54">
        <f>' Carregadeira 12B '!$F159-10</f>
        <v>-3.3</v>
      </c>
    </row>
    <row r="160" ht="14.25" customHeight="1">
      <c r="B160" s="164">
        <v>45387.0</v>
      </c>
      <c r="C160" s="141" t="str">
        <f t="shared" si="1"/>
        <v>4-2024</v>
      </c>
      <c r="F160" s="54">
        <f>' Carregadeira 12B '!$E160-' Carregadeira 12B '!$D160</f>
        <v>0</v>
      </c>
      <c r="G160" s="54">
        <f>' Carregadeira 12B '!$F160-10</f>
        <v>-10</v>
      </c>
      <c r="H160" s="28" t="s">
        <v>197</v>
      </c>
    </row>
    <row r="161" ht="14.25" customHeight="1">
      <c r="B161" s="164">
        <v>45388.0</v>
      </c>
      <c r="C161" s="141" t="str">
        <f t="shared" si="1"/>
        <v>4-2024</v>
      </c>
      <c r="D161" s="165" t="str">
        <f t="shared" ref="D161:D216" si="24">E160</f>
        <v/>
      </c>
      <c r="F161" s="54">
        <f>' Carregadeira 12B '!$E161-' Carregadeira 12B '!$D161</f>
        <v>0</v>
      </c>
      <c r="G161" s="54">
        <f>' Carregadeira 12B '!$F161-10</f>
        <v>-10</v>
      </c>
      <c r="H161" s="28" t="s">
        <v>197</v>
      </c>
    </row>
    <row r="162" ht="14.25" customHeight="1">
      <c r="B162" s="164">
        <v>45389.0</v>
      </c>
      <c r="C162" s="141" t="str">
        <f t="shared" si="1"/>
        <v>4-2024</v>
      </c>
      <c r="D162" s="165" t="str">
        <f t="shared" si="24"/>
        <v/>
      </c>
      <c r="F162" s="54">
        <f>' Carregadeira 12B '!$E162-' Carregadeira 12B '!$D162</f>
        <v>0</v>
      </c>
      <c r="G162" s="54">
        <f>' Carregadeira 12B '!$F162-10</f>
        <v>-10</v>
      </c>
      <c r="H162" s="28" t="s">
        <v>197</v>
      </c>
    </row>
    <row r="163" ht="14.25" customHeight="1">
      <c r="B163" s="164">
        <v>45390.0</v>
      </c>
      <c r="C163" s="141" t="str">
        <f t="shared" si="1"/>
        <v>4-2024</v>
      </c>
      <c r="D163" s="165" t="str">
        <f t="shared" si="24"/>
        <v/>
      </c>
      <c r="F163" s="54">
        <f>' Carregadeira 12B '!$E163-' Carregadeira 12B '!$D163</f>
        <v>0</v>
      </c>
      <c r="G163" s="54">
        <f>' Carregadeira 12B '!$F163-10</f>
        <v>-10</v>
      </c>
      <c r="H163" s="28" t="s">
        <v>197</v>
      </c>
    </row>
    <row r="164" ht="14.25" customHeight="1">
      <c r="B164" s="164">
        <v>45391.0</v>
      </c>
      <c r="C164" s="141" t="str">
        <f t="shared" si="1"/>
        <v>4-2024</v>
      </c>
      <c r="D164" s="165" t="str">
        <f t="shared" si="24"/>
        <v/>
      </c>
      <c r="F164" s="54">
        <f>' Carregadeira 12B '!$E164-' Carregadeira 12B '!$D164</f>
        <v>0</v>
      </c>
      <c r="G164" s="54">
        <f>' Carregadeira 12B '!$F164-10</f>
        <v>-10</v>
      </c>
      <c r="H164" s="28" t="s">
        <v>197</v>
      </c>
    </row>
    <row r="165" ht="14.25" customHeight="1">
      <c r="B165" s="164">
        <v>45392.0</v>
      </c>
      <c r="C165" s="141" t="str">
        <f t="shared" si="1"/>
        <v>4-2024</v>
      </c>
      <c r="D165" s="165" t="str">
        <f t="shared" si="24"/>
        <v/>
      </c>
      <c r="F165" s="54">
        <f>' Carregadeira 12B '!$E165-' Carregadeira 12B '!$D165</f>
        <v>0</v>
      </c>
      <c r="G165" s="54">
        <f>' Carregadeira 12B '!$F165-10</f>
        <v>-10</v>
      </c>
      <c r="H165" s="28" t="s">
        <v>197</v>
      </c>
    </row>
    <row r="166" ht="14.25" customHeight="1">
      <c r="B166" s="164">
        <v>45393.0</v>
      </c>
      <c r="C166" s="141" t="str">
        <f t="shared" si="1"/>
        <v>4-2024</v>
      </c>
      <c r="D166" s="165" t="str">
        <f t="shared" si="24"/>
        <v/>
      </c>
      <c r="F166" s="54">
        <f>' Carregadeira 12B '!$E166-' Carregadeira 12B '!$D166</f>
        <v>0</v>
      </c>
      <c r="G166" s="54">
        <f>' Carregadeira 12B '!$F166-10</f>
        <v>-10</v>
      </c>
      <c r="H166" s="28" t="s">
        <v>197</v>
      </c>
    </row>
    <row r="167" ht="14.25" customHeight="1">
      <c r="B167" s="164">
        <v>45394.0</v>
      </c>
      <c r="C167" s="141" t="str">
        <f t="shared" si="1"/>
        <v>4-2024</v>
      </c>
      <c r="D167" s="165" t="str">
        <f t="shared" si="24"/>
        <v/>
      </c>
      <c r="F167" s="54">
        <f>' Carregadeira 12B '!$E167-' Carregadeira 12B '!$D167</f>
        <v>0</v>
      </c>
      <c r="G167" s="54">
        <f>' Carregadeira 12B '!$F167-10</f>
        <v>-10</v>
      </c>
      <c r="H167" s="28" t="s">
        <v>197</v>
      </c>
    </row>
    <row r="168" ht="14.25" customHeight="1">
      <c r="B168" s="164">
        <v>45395.0</v>
      </c>
      <c r="C168" s="141" t="str">
        <f t="shared" si="1"/>
        <v>4-2024</v>
      </c>
      <c r="D168" s="165" t="str">
        <f t="shared" si="24"/>
        <v/>
      </c>
      <c r="F168" s="54">
        <f>' Carregadeira 12B '!$E168-' Carregadeira 12B '!$D168</f>
        <v>0</v>
      </c>
      <c r="G168" s="54">
        <f>' Carregadeira 12B '!$F168-10</f>
        <v>-10</v>
      </c>
      <c r="H168" s="28" t="s">
        <v>197</v>
      </c>
    </row>
    <row r="169" ht="14.25" customHeight="1">
      <c r="B169" s="164">
        <v>45396.0</v>
      </c>
      <c r="C169" s="141" t="str">
        <f t="shared" si="1"/>
        <v>4-2024</v>
      </c>
      <c r="D169" s="165" t="str">
        <f t="shared" si="24"/>
        <v/>
      </c>
      <c r="F169" s="54">
        <f>' Carregadeira 12B '!$E169-' Carregadeira 12B '!$D169</f>
        <v>0</v>
      </c>
      <c r="G169" s="54">
        <f>' Carregadeira 12B '!$F169-10</f>
        <v>-10</v>
      </c>
      <c r="H169" s="28" t="s">
        <v>197</v>
      </c>
    </row>
    <row r="170" ht="14.25" customHeight="1">
      <c r="B170" s="164">
        <v>45397.0</v>
      </c>
      <c r="C170" s="141" t="str">
        <f t="shared" si="1"/>
        <v>4-2024</v>
      </c>
      <c r="D170" s="165" t="str">
        <f t="shared" si="24"/>
        <v/>
      </c>
      <c r="F170" s="54">
        <f>' Carregadeira 12B '!$E170-' Carregadeira 12B '!$D170</f>
        <v>0</v>
      </c>
      <c r="G170" s="54">
        <f>' Carregadeira 12B '!$F170-10</f>
        <v>-10</v>
      </c>
      <c r="H170" s="28" t="s">
        <v>197</v>
      </c>
    </row>
    <row r="171" ht="14.25" customHeight="1">
      <c r="B171" s="164">
        <v>45398.0</v>
      </c>
      <c r="C171" s="141" t="str">
        <f t="shared" si="1"/>
        <v>4-2024</v>
      </c>
      <c r="D171" s="165" t="str">
        <f t="shared" si="24"/>
        <v/>
      </c>
      <c r="F171" s="54">
        <f>' Carregadeira 12B '!$E171-' Carregadeira 12B '!$D171</f>
        <v>0</v>
      </c>
      <c r="G171" s="54">
        <f>' Carregadeira 12B '!$F171-10</f>
        <v>-10</v>
      </c>
      <c r="H171" s="28" t="s">
        <v>197</v>
      </c>
    </row>
    <row r="172" ht="14.25" customHeight="1">
      <c r="B172" s="164">
        <v>45399.0</v>
      </c>
      <c r="C172" s="141" t="str">
        <f t="shared" si="1"/>
        <v>4-2024</v>
      </c>
      <c r="D172" s="165" t="str">
        <f t="shared" si="24"/>
        <v/>
      </c>
      <c r="F172" s="54">
        <f>' Carregadeira 12B '!$E172-' Carregadeira 12B '!$D172</f>
        <v>0</v>
      </c>
      <c r="G172" s="54">
        <f>' Carregadeira 12B '!$F172-10</f>
        <v>-10</v>
      </c>
      <c r="H172" s="28" t="s">
        <v>197</v>
      </c>
    </row>
    <row r="173" ht="14.25" customHeight="1">
      <c r="B173" s="164">
        <v>45400.0</v>
      </c>
      <c r="C173" s="141" t="str">
        <f t="shared" si="1"/>
        <v>4-2024</v>
      </c>
      <c r="D173" s="165" t="str">
        <f t="shared" si="24"/>
        <v/>
      </c>
      <c r="F173" s="54">
        <f>' Carregadeira 12B '!$E173-' Carregadeira 12B '!$D173</f>
        <v>0</v>
      </c>
      <c r="G173" s="54">
        <f>' Carregadeira 12B '!$F173-10</f>
        <v>-10</v>
      </c>
      <c r="H173" s="28" t="s">
        <v>197</v>
      </c>
    </row>
    <row r="174" ht="14.25" customHeight="1">
      <c r="B174" s="164">
        <v>45401.0</v>
      </c>
      <c r="C174" s="141" t="str">
        <f t="shared" si="1"/>
        <v>4-2024</v>
      </c>
      <c r="D174" s="165" t="str">
        <f t="shared" si="24"/>
        <v/>
      </c>
      <c r="F174" s="54">
        <f>' Carregadeira 12B '!$E174-' Carregadeira 12B '!$D174</f>
        <v>0</v>
      </c>
      <c r="G174" s="54">
        <f>' Carregadeira 12B '!$F174-10</f>
        <v>-10</v>
      </c>
      <c r="H174" s="28" t="s">
        <v>197</v>
      </c>
    </row>
    <row r="175" ht="14.25" customHeight="1">
      <c r="B175" s="164">
        <v>45402.0</v>
      </c>
      <c r="C175" s="141" t="str">
        <f t="shared" si="1"/>
        <v>4-2024</v>
      </c>
      <c r="D175" s="165" t="str">
        <f t="shared" si="24"/>
        <v/>
      </c>
      <c r="F175" s="54">
        <f>' Carregadeira 12B '!$E175-' Carregadeira 12B '!$D175</f>
        <v>0</v>
      </c>
      <c r="G175" s="54">
        <f>' Carregadeira 12B '!$F175-10</f>
        <v>-10</v>
      </c>
      <c r="H175" s="28" t="s">
        <v>197</v>
      </c>
    </row>
    <row r="176" ht="14.25" customHeight="1">
      <c r="B176" s="164">
        <v>45403.0</v>
      </c>
      <c r="C176" s="141" t="str">
        <f t="shared" si="1"/>
        <v>4-2024</v>
      </c>
      <c r="D176" s="165" t="str">
        <f t="shared" si="24"/>
        <v/>
      </c>
      <c r="F176" s="54">
        <f>' Carregadeira 12B '!$E176-' Carregadeira 12B '!$D176</f>
        <v>0</v>
      </c>
      <c r="G176" s="54">
        <f>' Carregadeira 12B '!$F176-10</f>
        <v>-10</v>
      </c>
      <c r="H176" s="28" t="s">
        <v>197</v>
      </c>
    </row>
    <row r="177" ht="14.25" customHeight="1">
      <c r="B177" s="164">
        <v>45404.0</v>
      </c>
      <c r="C177" s="141" t="str">
        <f t="shared" si="1"/>
        <v>4-2024</v>
      </c>
      <c r="D177" s="165" t="str">
        <f t="shared" si="24"/>
        <v/>
      </c>
      <c r="F177" s="54">
        <f>' Carregadeira 12B '!$E177-' Carregadeira 12B '!$D177</f>
        <v>0</v>
      </c>
      <c r="G177" s="54">
        <f>' Carregadeira 12B '!$F177-10</f>
        <v>-10</v>
      </c>
      <c r="H177" s="28" t="s">
        <v>197</v>
      </c>
    </row>
    <row r="178" ht="14.25" customHeight="1">
      <c r="B178" s="164">
        <v>45405.0</v>
      </c>
      <c r="C178" s="141" t="str">
        <f t="shared" si="1"/>
        <v>4-2024</v>
      </c>
      <c r="D178" s="165" t="str">
        <f t="shared" si="24"/>
        <v/>
      </c>
      <c r="F178" s="54">
        <f>' Carregadeira 12B '!$E178-' Carregadeira 12B '!$D178</f>
        <v>0</v>
      </c>
      <c r="G178" s="54">
        <f>' Carregadeira 12B '!$F178-10</f>
        <v>-10</v>
      </c>
      <c r="H178" s="28" t="s">
        <v>197</v>
      </c>
    </row>
    <row r="179" ht="14.25" customHeight="1">
      <c r="B179" s="164">
        <v>45406.0</v>
      </c>
      <c r="C179" s="141" t="str">
        <f t="shared" si="1"/>
        <v>4-2024</v>
      </c>
      <c r="D179" s="165" t="str">
        <f t="shared" si="24"/>
        <v/>
      </c>
      <c r="F179" s="54">
        <f>' Carregadeira 12B '!$E179-' Carregadeira 12B '!$D179</f>
        <v>0</v>
      </c>
      <c r="G179" s="54">
        <f>' Carregadeira 12B '!$F179-10</f>
        <v>-10</v>
      </c>
      <c r="H179" s="28" t="s">
        <v>197</v>
      </c>
    </row>
    <row r="180" ht="14.25" customHeight="1">
      <c r="B180" s="164">
        <v>45407.0</v>
      </c>
      <c r="C180" s="141" t="str">
        <f t="shared" si="1"/>
        <v>4-2024</v>
      </c>
      <c r="D180" s="165" t="str">
        <f t="shared" si="24"/>
        <v/>
      </c>
      <c r="F180" s="54">
        <f>' Carregadeira 12B '!$E180-' Carregadeira 12B '!$D180</f>
        <v>0</v>
      </c>
      <c r="G180" s="54">
        <f>' Carregadeira 12B '!$F180-10</f>
        <v>-10</v>
      </c>
      <c r="H180" s="28" t="s">
        <v>197</v>
      </c>
    </row>
    <row r="181" ht="14.25" customHeight="1">
      <c r="B181" s="164">
        <v>45408.0</v>
      </c>
      <c r="C181" s="141" t="str">
        <f t="shared" si="1"/>
        <v>4-2024</v>
      </c>
      <c r="D181" s="165" t="str">
        <f t="shared" si="24"/>
        <v/>
      </c>
      <c r="F181" s="54">
        <f>' Carregadeira 12B '!$E181-' Carregadeira 12B '!$D181</f>
        <v>0</v>
      </c>
      <c r="G181" s="54">
        <f>' Carregadeira 12B '!$F181-10</f>
        <v>-10</v>
      </c>
      <c r="H181" s="28" t="s">
        <v>197</v>
      </c>
    </row>
    <row r="182" ht="14.25" customHeight="1">
      <c r="B182" s="164">
        <v>45409.0</v>
      </c>
      <c r="C182" s="141" t="str">
        <f t="shared" si="1"/>
        <v>4-2024</v>
      </c>
      <c r="D182" s="165" t="str">
        <f t="shared" si="24"/>
        <v/>
      </c>
      <c r="F182" s="54">
        <f>' Carregadeira 12B '!$E182-' Carregadeira 12B '!$D182</f>
        <v>0</v>
      </c>
      <c r="G182" s="54">
        <f>' Carregadeira 12B '!$F182-10</f>
        <v>-10</v>
      </c>
      <c r="H182" s="28" t="s">
        <v>197</v>
      </c>
    </row>
    <row r="183" ht="14.25" customHeight="1">
      <c r="B183" s="164">
        <v>45410.0</v>
      </c>
      <c r="C183" s="141" t="str">
        <f t="shared" si="1"/>
        <v>4-2024</v>
      </c>
      <c r="D183" s="165" t="str">
        <f t="shared" si="24"/>
        <v/>
      </c>
      <c r="F183" s="54">
        <f>' Carregadeira 12B '!$E183-' Carregadeira 12B '!$D183</f>
        <v>0</v>
      </c>
      <c r="G183" s="54">
        <f>' Carregadeira 12B '!$F183-10</f>
        <v>-10</v>
      </c>
      <c r="H183" s="28" t="s">
        <v>197</v>
      </c>
    </row>
    <row r="184" ht="14.25" customHeight="1">
      <c r="B184" s="164">
        <v>45411.0</v>
      </c>
      <c r="C184" s="141" t="str">
        <f t="shared" si="1"/>
        <v>4-2024</v>
      </c>
      <c r="D184" s="165" t="str">
        <f t="shared" si="24"/>
        <v/>
      </c>
      <c r="F184" s="54">
        <f>' Carregadeira 12B '!$E184-' Carregadeira 12B '!$D184</f>
        <v>0</v>
      </c>
      <c r="G184" s="54">
        <f>' Carregadeira 12B '!$F184-10</f>
        <v>-10</v>
      </c>
      <c r="H184" s="28" t="s">
        <v>197</v>
      </c>
    </row>
    <row r="185" ht="14.25" customHeight="1">
      <c r="B185" s="164">
        <v>45412.0</v>
      </c>
      <c r="C185" s="141" t="str">
        <f t="shared" si="1"/>
        <v>4-2024</v>
      </c>
      <c r="D185" s="165" t="str">
        <f t="shared" si="24"/>
        <v/>
      </c>
      <c r="F185" s="54">
        <f>' Carregadeira 12B '!$E185-' Carregadeira 12B '!$D185</f>
        <v>0</v>
      </c>
      <c r="G185" s="54">
        <f>' Carregadeira 12B '!$F185-10</f>
        <v>-10</v>
      </c>
      <c r="H185" s="28" t="s">
        <v>197</v>
      </c>
    </row>
    <row r="186" ht="14.25" customHeight="1">
      <c r="B186" s="164">
        <v>45413.0</v>
      </c>
      <c r="C186" s="141" t="str">
        <f t="shared" si="1"/>
        <v>5-2024</v>
      </c>
      <c r="D186" s="165" t="str">
        <f t="shared" si="24"/>
        <v/>
      </c>
      <c r="F186" s="54">
        <f>' Carregadeira 12B '!$E186-' Carregadeira 12B '!$D186</f>
        <v>0</v>
      </c>
      <c r="G186" s="54">
        <f>' Carregadeira 12B '!$F186-10</f>
        <v>-10</v>
      </c>
      <c r="H186" s="28" t="s">
        <v>197</v>
      </c>
    </row>
    <row r="187" ht="14.25" customHeight="1">
      <c r="B187" s="164">
        <v>45414.0</v>
      </c>
      <c r="C187" s="141" t="str">
        <f t="shared" si="1"/>
        <v>5-2024</v>
      </c>
      <c r="D187" s="165" t="str">
        <f t="shared" si="24"/>
        <v/>
      </c>
      <c r="F187" s="54">
        <f>' Carregadeira 12B '!$E187-' Carregadeira 12B '!$D187</f>
        <v>0</v>
      </c>
      <c r="G187" s="54">
        <f>' Carregadeira 12B '!$F187-10</f>
        <v>-10</v>
      </c>
      <c r="H187" s="28" t="s">
        <v>197</v>
      </c>
    </row>
    <row r="188" ht="14.25" customHeight="1">
      <c r="B188" s="164">
        <v>45415.0</v>
      </c>
      <c r="C188" s="141" t="str">
        <f t="shared" si="1"/>
        <v>5-2024</v>
      </c>
      <c r="D188" s="165" t="str">
        <f t="shared" si="24"/>
        <v/>
      </c>
      <c r="F188" s="54">
        <f>' Carregadeira 12B '!$E188-' Carregadeira 12B '!$D188</f>
        <v>0</v>
      </c>
      <c r="G188" s="54">
        <f>' Carregadeira 12B '!$F188-10</f>
        <v>-10</v>
      </c>
      <c r="H188" s="28" t="s">
        <v>197</v>
      </c>
    </row>
    <row r="189" ht="14.25" customHeight="1">
      <c r="B189" s="164">
        <v>45416.0</v>
      </c>
      <c r="C189" s="141" t="str">
        <f t="shared" si="1"/>
        <v>5-2024</v>
      </c>
      <c r="D189" s="165" t="str">
        <f t="shared" si="24"/>
        <v/>
      </c>
      <c r="F189" s="54">
        <f>' Carregadeira 12B '!$E189-' Carregadeira 12B '!$D189</f>
        <v>0</v>
      </c>
      <c r="G189" s="54">
        <f>' Carregadeira 12B '!$F189-10</f>
        <v>-10</v>
      </c>
      <c r="H189" s="28" t="s">
        <v>197</v>
      </c>
    </row>
    <row r="190" ht="14.25" customHeight="1">
      <c r="B190" s="164">
        <v>45417.0</v>
      </c>
      <c r="C190" s="141" t="str">
        <f t="shared" si="1"/>
        <v>5-2024</v>
      </c>
      <c r="D190" s="165" t="str">
        <f t="shared" si="24"/>
        <v/>
      </c>
      <c r="F190" s="54">
        <f>' Carregadeira 12B '!$E190-' Carregadeira 12B '!$D190</f>
        <v>0</v>
      </c>
      <c r="G190" s="54">
        <f>' Carregadeira 12B '!$F190-10</f>
        <v>-10</v>
      </c>
      <c r="H190" s="28" t="s">
        <v>197</v>
      </c>
    </row>
    <row r="191" ht="14.25" customHeight="1">
      <c r="B191" s="164">
        <v>45418.0</v>
      </c>
      <c r="C191" s="141" t="str">
        <f t="shared" si="1"/>
        <v>5-2024</v>
      </c>
      <c r="D191" s="165" t="str">
        <f t="shared" si="24"/>
        <v/>
      </c>
      <c r="F191" s="54">
        <f>' Carregadeira 12B '!$E191-' Carregadeira 12B '!$D191</f>
        <v>0</v>
      </c>
      <c r="G191" s="54">
        <f>' Carregadeira 12B '!$F191-10</f>
        <v>-10</v>
      </c>
      <c r="H191" s="28" t="s">
        <v>197</v>
      </c>
    </row>
    <row r="192" ht="14.25" customHeight="1">
      <c r="B192" s="164">
        <v>45419.0</v>
      </c>
      <c r="C192" s="141" t="str">
        <f t="shared" si="1"/>
        <v>5-2024</v>
      </c>
      <c r="D192" s="165" t="str">
        <f t="shared" si="24"/>
        <v/>
      </c>
      <c r="F192" s="54">
        <f>' Carregadeira 12B '!$E192-' Carregadeira 12B '!$D192</f>
        <v>0</v>
      </c>
      <c r="G192" s="54">
        <f>' Carregadeira 12B '!$F192-10</f>
        <v>-10</v>
      </c>
      <c r="H192" s="28" t="s">
        <v>197</v>
      </c>
    </row>
    <row r="193" ht="14.25" customHeight="1">
      <c r="B193" s="164">
        <v>45420.0</v>
      </c>
      <c r="C193" s="141" t="str">
        <f t="shared" si="1"/>
        <v>5-2024</v>
      </c>
      <c r="D193" s="165" t="str">
        <f t="shared" si="24"/>
        <v/>
      </c>
      <c r="F193" s="54">
        <f>' Carregadeira 12B '!$E193-' Carregadeira 12B '!$D193</f>
        <v>0</v>
      </c>
      <c r="G193" s="54">
        <f>' Carregadeira 12B '!$F193-10</f>
        <v>-10</v>
      </c>
      <c r="H193" s="28" t="s">
        <v>197</v>
      </c>
    </row>
    <row r="194" ht="14.25" customHeight="1">
      <c r="B194" s="164">
        <v>45421.0</v>
      </c>
      <c r="C194" s="141" t="str">
        <f t="shared" si="1"/>
        <v>5-2024</v>
      </c>
      <c r="D194" s="165" t="str">
        <f t="shared" si="24"/>
        <v/>
      </c>
      <c r="F194" s="54">
        <f>' Carregadeira 12B '!$E194-' Carregadeira 12B '!$D194</f>
        <v>0</v>
      </c>
      <c r="G194" s="54">
        <f>' Carregadeira 12B '!$F194-10</f>
        <v>-10</v>
      </c>
      <c r="H194" s="28" t="s">
        <v>197</v>
      </c>
    </row>
    <row r="195" ht="14.25" customHeight="1">
      <c r="B195" s="164">
        <v>45422.0</v>
      </c>
      <c r="C195" s="141" t="str">
        <f t="shared" si="1"/>
        <v>5-2024</v>
      </c>
      <c r="D195" s="165" t="str">
        <f t="shared" si="24"/>
        <v/>
      </c>
      <c r="F195" s="54">
        <f>' Carregadeira 12B '!$E195-' Carregadeira 12B '!$D195</f>
        <v>0</v>
      </c>
      <c r="G195" s="54">
        <f>' Carregadeira 12B '!$F195-10</f>
        <v>-10</v>
      </c>
      <c r="H195" s="28" t="s">
        <v>197</v>
      </c>
    </row>
    <row r="196" ht="14.25" customHeight="1">
      <c r="B196" s="164">
        <v>45423.0</v>
      </c>
      <c r="C196" s="141" t="str">
        <f t="shared" si="1"/>
        <v>5-2024</v>
      </c>
      <c r="D196" s="165" t="str">
        <f t="shared" si="24"/>
        <v/>
      </c>
      <c r="F196" s="54">
        <f>' Carregadeira 12B '!$E196-' Carregadeira 12B '!$D196</f>
        <v>0</v>
      </c>
      <c r="G196" s="54">
        <f>' Carregadeira 12B '!$F196-10</f>
        <v>-10</v>
      </c>
      <c r="H196" s="28" t="s">
        <v>197</v>
      </c>
    </row>
    <row r="197" ht="14.25" customHeight="1">
      <c r="B197" s="164">
        <v>45424.0</v>
      </c>
      <c r="C197" s="141" t="str">
        <f t="shared" si="1"/>
        <v>5-2024</v>
      </c>
      <c r="D197" s="165" t="str">
        <f t="shared" si="24"/>
        <v/>
      </c>
      <c r="F197" s="54">
        <f>' Carregadeira 12B '!$E197-' Carregadeira 12B '!$D197</f>
        <v>0</v>
      </c>
      <c r="G197" s="54">
        <f>' Carregadeira 12B '!$F197-10</f>
        <v>-10</v>
      </c>
      <c r="H197" s="28" t="s">
        <v>197</v>
      </c>
    </row>
    <row r="198" ht="14.25" customHeight="1">
      <c r="B198" s="164">
        <v>45425.0</v>
      </c>
      <c r="C198" s="141" t="str">
        <f t="shared" si="1"/>
        <v>5-2024</v>
      </c>
      <c r="D198" s="165" t="str">
        <f t="shared" si="24"/>
        <v/>
      </c>
      <c r="F198" s="54">
        <f>' Carregadeira 12B '!$E198-' Carregadeira 12B '!$D198</f>
        <v>0</v>
      </c>
      <c r="G198" s="54">
        <f>' Carregadeira 12B '!$F198-10</f>
        <v>-10</v>
      </c>
      <c r="H198" s="28" t="s">
        <v>197</v>
      </c>
    </row>
    <row r="199" ht="14.25" customHeight="1">
      <c r="B199" s="164">
        <v>45426.0</v>
      </c>
      <c r="C199" s="141" t="str">
        <f t="shared" si="1"/>
        <v>5-2024</v>
      </c>
      <c r="D199" s="165" t="str">
        <f t="shared" si="24"/>
        <v/>
      </c>
      <c r="F199" s="54">
        <f>' Carregadeira 12B '!$E199-' Carregadeira 12B '!$D199</f>
        <v>0</v>
      </c>
      <c r="G199" s="54">
        <f>' Carregadeira 12B '!$F199-10</f>
        <v>-10</v>
      </c>
      <c r="H199" s="28" t="s">
        <v>197</v>
      </c>
    </row>
    <row r="200" ht="14.25" customHeight="1">
      <c r="B200" s="164">
        <v>45427.0</v>
      </c>
      <c r="C200" s="141" t="str">
        <f t="shared" si="1"/>
        <v>5-2024</v>
      </c>
      <c r="D200" s="165" t="str">
        <f t="shared" si="24"/>
        <v/>
      </c>
      <c r="F200" s="54">
        <f>' Carregadeira 12B '!$E200-' Carregadeira 12B '!$D200</f>
        <v>0</v>
      </c>
      <c r="G200" s="54">
        <f>' Carregadeira 12B '!$F200-10</f>
        <v>-10</v>
      </c>
      <c r="H200" s="28" t="s">
        <v>197</v>
      </c>
    </row>
    <row r="201" ht="14.25" customHeight="1">
      <c r="B201" s="164">
        <v>45428.0</v>
      </c>
      <c r="C201" s="141" t="str">
        <f t="shared" si="1"/>
        <v>5-2024</v>
      </c>
      <c r="D201" s="165" t="str">
        <f t="shared" si="24"/>
        <v/>
      </c>
      <c r="F201" s="54">
        <f>' Carregadeira 12B '!$E201-' Carregadeira 12B '!$D201</f>
        <v>0</v>
      </c>
      <c r="G201" s="54">
        <f>' Carregadeira 12B '!$F201-10</f>
        <v>-10</v>
      </c>
      <c r="H201" s="28" t="s">
        <v>197</v>
      </c>
    </row>
    <row r="202" ht="14.25" customHeight="1">
      <c r="B202" s="164">
        <v>45429.0</v>
      </c>
      <c r="C202" s="141" t="str">
        <f t="shared" si="1"/>
        <v>5-2024</v>
      </c>
      <c r="D202" s="165" t="str">
        <f t="shared" si="24"/>
        <v/>
      </c>
      <c r="F202" s="54">
        <f>' Carregadeira 12B '!$E202-' Carregadeira 12B '!$D202</f>
        <v>0</v>
      </c>
      <c r="G202" s="54">
        <f>' Carregadeira 12B '!$F202-10</f>
        <v>-10</v>
      </c>
      <c r="H202" s="28" t="s">
        <v>197</v>
      </c>
    </row>
    <row r="203" ht="14.25" customHeight="1">
      <c r="B203" s="164">
        <v>45430.0</v>
      </c>
      <c r="C203" s="141" t="str">
        <f t="shared" si="1"/>
        <v>5-2024</v>
      </c>
      <c r="D203" s="165" t="str">
        <f t="shared" si="24"/>
        <v/>
      </c>
      <c r="F203" s="54">
        <f>' Carregadeira 12B '!$E203-' Carregadeira 12B '!$D203</f>
        <v>0</v>
      </c>
      <c r="G203" s="54">
        <f>' Carregadeira 12B '!$F203-10</f>
        <v>-10</v>
      </c>
      <c r="H203" s="28" t="s">
        <v>197</v>
      </c>
    </row>
    <row r="204" ht="14.25" customHeight="1">
      <c r="B204" s="164">
        <v>45431.0</v>
      </c>
      <c r="C204" s="141" t="str">
        <f t="shared" si="1"/>
        <v>5-2024</v>
      </c>
      <c r="D204" s="165" t="str">
        <f t="shared" si="24"/>
        <v/>
      </c>
      <c r="F204" s="54">
        <f>' Carregadeira 12B '!$E204-' Carregadeira 12B '!$D204</f>
        <v>0</v>
      </c>
      <c r="G204" s="54">
        <f>' Carregadeira 12B '!$F204-10</f>
        <v>-10</v>
      </c>
      <c r="H204" s="28" t="s">
        <v>197</v>
      </c>
    </row>
    <row r="205" ht="14.25" customHeight="1">
      <c r="B205" s="164">
        <v>45432.0</v>
      </c>
      <c r="C205" s="141" t="str">
        <f t="shared" si="1"/>
        <v>5-2024</v>
      </c>
      <c r="D205" s="165" t="str">
        <f t="shared" si="24"/>
        <v/>
      </c>
      <c r="F205" s="54">
        <f>' Carregadeira 12B '!$E205-' Carregadeira 12B '!$D205</f>
        <v>0</v>
      </c>
      <c r="G205" s="54">
        <f>' Carregadeira 12B '!$F205-10</f>
        <v>-10</v>
      </c>
      <c r="H205" s="28" t="s">
        <v>197</v>
      </c>
    </row>
    <row r="206" ht="14.25" customHeight="1">
      <c r="B206" s="164">
        <v>45433.0</v>
      </c>
      <c r="C206" s="141" t="str">
        <f t="shared" si="1"/>
        <v>5-2024</v>
      </c>
      <c r="D206" s="165" t="str">
        <f t="shared" si="24"/>
        <v/>
      </c>
      <c r="F206" s="54">
        <f>' Carregadeira 12B '!$E206-' Carregadeira 12B '!$D206</f>
        <v>0</v>
      </c>
      <c r="G206" s="54">
        <f>' Carregadeira 12B '!$F206-10</f>
        <v>-10</v>
      </c>
      <c r="H206" s="28" t="s">
        <v>197</v>
      </c>
    </row>
    <row r="207" ht="14.25" customHeight="1">
      <c r="B207" s="164">
        <v>45434.0</v>
      </c>
      <c r="C207" s="141" t="str">
        <f t="shared" si="1"/>
        <v>5-2024</v>
      </c>
      <c r="D207" s="165" t="str">
        <f t="shared" si="24"/>
        <v/>
      </c>
      <c r="F207" s="54">
        <f>' Carregadeira 12B '!$E207-' Carregadeira 12B '!$D207</f>
        <v>0</v>
      </c>
      <c r="G207" s="54">
        <f>' Carregadeira 12B '!$F207-10</f>
        <v>-10</v>
      </c>
      <c r="H207" s="28" t="s">
        <v>197</v>
      </c>
    </row>
    <row r="208" ht="14.25" customHeight="1">
      <c r="B208" s="164">
        <v>45435.0</v>
      </c>
      <c r="C208" s="141" t="str">
        <f t="shared" si="1"/>
        <v>5-2024</v>
      </c>
      <c r="D208" s="165" t="str">
        <f t="shared" si="24"/>
        <v/>
      </c>
      <c r="F208" s="54">
        <f>' Carregadeira 12B '!$E208-' Carregadeira 12B '!$D208</f>
        <v>0</v>
      </c>
      <c r="G208" s="54">
        <f>' Carregadeira 12B '!$F208-10</f>
        <v>-10</v>
      </c>
      <c r="H208" s="28" t="s">
        <v>197</v>
      </c>
    </row>
    <row r="209" ht="14.25" customHeight="1">
      <c r="B209" s="164">
        <v>45436.0</v>
      </c>
      <c r="C209" s="141" t="str">
        <f t="shared" si="1"/>
        <v>5-2024</v>
      </c>
      <c r="D209" s="165" t="str">
        <f t="shared" si="24"/>
        <v/>
      </c>
      <c r="F209" s="54">
        <f>' Carregadeira 12B '!$E209-' Carregadeira 12B '!$D209</f>
        <v>0</v>
      </c>
      <c r="G209" s="54">
        <f>' Carregadeira 12B '!$F209-10</f>
        <v>-10</v>
      </c>
      <c r="H209" s="28" t="s">
        <v>197</v>
      </c>
    </row>
    <row r="210" ht="14.25" customHeight="1">
      <c r="B210" s="164">
        <v>45437.0</v>
      </c>
      <c r="C210" s="141" t="str">
        <f t="shared" si="1"/>
        <v>5-2024</v>
      </c>
      <c r="D210" s="165" t="str">
        <f t="shared" si="24"/>
        <v/>
      </c>
      <c r="F210" s="54">
        <f>' Carregadeira 12B '!$E210-' Carregadeira 12B '!$D210</f>
        <v>0</v>
      </c>
      <c r="G210" s="54">
        <f>' Carregadeira 12B '!$F210-10</f>
        <v>-10</v>
      </c>
      <c r="H210" s="28" t="s">
        <v>197</v>
      </c>
    </row>
    <row r="211" ht="14.25" customHeight="1">
      <c r="B211" s="164">
        <v>45438.0</v>
      </c>
      <c r="C211" s="141" t="str">
        <f t="shared" si="1"/>
        <v>5-2024</v>
      </c>
      <c r="D211" s="165" t="str">
        <f t="shared" si="24"/>
        <v/>
      </c>
      <c r="F211" s="54">
        <f>' Carregadeira 12B '!$E211-' Carregadeira 12B '!$D211</f>
        <v>0</v>
      </c>
      <c r="G211" s="54">
        <f>' Carregadeira 12B '!$F211-10</f>
        <v>-10</v>
      </c>
      <c r="H211" s="28" t="s">
        <v>197</v>
      </c>
    </row>
    <row r="212" ht="14.25" customHeight="1">
      <c r="B212" s="164">
        <v>45439.0</v>
      </c>
      <c r="C212" s="141" t="str">
        <f t="shared" si="1"/>
        <v>5-2024</v>
      </c>
      <c r="D212" s="165" t="str">
        <f t="shared" si="24"/>
        <v/>
      </c>
      <c r="F212" s="54">
        <f>' Carregadeira 12B '!$E212-' Carregadeira 12B '!$D212</f>
        <v>0</v>
      </c>
      <c r="G212" s="54">
        <f>' Carregadeira 12B '!$F212-10</f>
        <v>-10</v>
      </c>
      <c r="H212" s="28" t="s">
        <v>197</v>
      </c>
    </row>
    <row r="213" ht="14.25" customHeight="1">
      <c r="B213" s="164">
        <v>45440.0</v>
      </c>
      <c r="C213" s="141" t="str">
        <f t="shared" si="1"/>
        <v>5-2024</v>
      </c>
      <c r="D213" s="165" t="str">
        <f t="shared" si="24"/>
        <v/>
      </c>
      <c r="F213" s="54">
        <f>' Carregadeira 12B '!$E213-' Carregadeira 12B '!$D213</f>
        <v>0</v>
      </c>
      <c r="G213" s="54">
        <f>' Carregadeira 12B '!$F213-10</f>
        <v>-10</v>
      </c>
      <c r="H213" s="28" t="s">
        <v>197</v>
      </c>
    </row>
    <row r="214" ht="14.25" customHeight="1">
      <c r="B214" s="164">
        <v>45441.0</v>
      </c>
      <c r="C214" s="141" t="str">
        <f t="shared" si="1"/>
        <v>5-2024</v>
      </c>
      <c r="D214" s="165" t="str">
        <f t="shared" si="24"/>
        <v/>
      </c>
      <c r="F214" s="54">
        <f>' Carregadeira 12B '!$E214-' Carregadeira 12B '!$D214</f>
        <v>0</v>
      </c>
      <c r="G214" s="54">
        <f>' Carregadeira 12B '!$F214-10</f>
        <v>-10</v>
      </c>
      <c r="H214" s="28" t="s">
        <v>197</v>
      </c>
    </row>
    <row r="215" ht="14.25" customHeight="1">
      <c r="B215" s="164">
        <v>45442.0</v>
      </c>
      <c r="C215" s="141" t="str">
        <f t="shared" si="1"/>
        <v>5-2024</v>
      </c>
      <c r="D215" s="165" t="str">
        <f t="shared" si="24"/>
        <v/>
      </c>
      <c r="F215" s="54">
        <f>' Carregadeira 12B '!$E215-' Carregadeira 12B '!$D215</f>
        <v>0</v>
      </c>
      <c r="G215" s="54">
        <f>' Carregadeira 12B '!$F215-10</f>
        <v>-10</v>
      </c>
      <c r="H215" s="28" t="s">
        <v>197</v>
      </c>
    </row>
    <row r="216" ht="14.25" customHeight="1">
      <c r="B216" s="164">
        <v>45443.0</v>
      </c>
      <c r="C216" s="141" t="str">
        <f t="shared" si="1"/>
        <v>5-2024</v>
      </c>
      <c r="D216" s="165" t="str">
        <f t="shared" si="24"/>
        <v/>
      </c>
      <c r="F216" s="54">
        <f>' Carregadeira 12B '!$E216-' Carregadeira 12B '!$D216</f>
        <v>0</v>
      </c>
      <c r="G216" s="54">
        <f>' Carregadeira 12B '!$F216-10</f>
        <v>-10</v>
      </c>
      <c r="H216" s="28" t="s">
        <v>197</v>
      </c>
    </row>
    <row r="217" ht="14.25" customHeight="1">
      <c r="B217" s="145">
        <v>45444.0</v>
      </c>
      <c r="C217" s="166" t="str">
        <f t="shared" si="1"/>
        <v>6-2024</v>
      </c>
      <c r="D217" s="54"/>
      <c r="E217" s="54"/>
      <c r="F217" s="54">
        <f>'220 Antiga Silvinho '!$E217-'220 Antiga Silvinho '!$D217</f>
        <v>0</v>
      </c>
      <c r="G217" s="54">
        <f>'220 Antiga Silvinho '!$F217-10</f>
        <v>-10</v>
      </c>
    </row>
    <row r="218" ht="14.25" customHeight="1">
      <c r="B218" s="145">
        <v>45445.0</v>
      </c>
      <c r="C218" s="166" t="str">
        <f t="shared" si="1"/>
        <v>6-2024</v>
      </c>
      <c r="D218" s="54"/>
      <c r="E218" s="54"/>
      <c r="F218" s="54">
        <f>'220 Antiga Silvinho '!$E218-'220 Antiga Silvinho '!$D218</f>
        <v>0</v>
      </c>
      <c r="G218" s="54">
        <f>'220 Antiga Silvinho '!$F218-10</f>
        <v>-10</v>
      </c>
    </row>
    <row r="219" ht="14.25" customHeight="1">
      <c r="B219" s="164">
        <v>45446.0</v>
      </c>
      <c r="C219" s="141" t="str">
        <f t="shared" si="1"/>
        <v>6-2024</v>
      </c>
      <c r="D219" s="54"/>
      <c r="E219" s="54"/>
      <c r="F219" s="54">
        <f>'220 Antiga Silvinho '!$E219-'220 Antiga Silvinho '!$D219</f>
        <v>0</v>
      </c>
      <c r="G219" s="54">
        <f>'220 Antiga Silvinho '!$F219-10</f>
        <v>-10</v>
      </c>
    </row>
    <row r="220" ht="14.25" customHeight="1">
      <c r="B220" s="164">
        <v>45447.0</v>
      </c>
      <c r="C220" s="141" t="str">
        <f t="shared" si="1"/>
        <v>6-2024</v>
      </c>
      <c r="D220" s="138">
        <v>66.1</v>
      </c>
      <c r="E220" s="138">
        <v>75.5</v>
      </c>
      <c r="F220" s="54">
        <f t="shared" ref="F220:F394" si="25">E220-D220</f>
        <v>9.4</v>
      </c>
      <c r="G220" s="54">
        <f t="shared" ref="G220:G394" si="26">F220-10</f>
        <v>-0.6</v>
      </c>
      <c r="I220" s="28" t="s">
        <v>200</v>
      </c>
    </row>
    <row r="221" ht="14.25" customHeight="1">
      <c r="B221" s="164">
        <v>45448.0</v>
      </c>
      <c r="C221" s="141" t="str">
        <f t="shared" si="1"/>
        <v>6-2024</v>
      </c>
      <c r="D221" s="54">
        <f t="shared" ref="D221:D224" si="27">E220</f>
        <v>75.5</v>
      </c>
      <c r="E221" s="138">
        <v>79.7</v>
      </c>
      <c r="F221" s="54">
        <f t="shared" si="25"/>
        <v>4.2</v>
      </c>
      <c r="G221" s="54">
        <f t="shared" si="26"/>
        <v>-5.8</v>
      </c>
      <c r="I221" s="28" t="s">
        <v>200</v>
      </c>
    </row>
    <row r="222" ht="14.25" customHeight="1">
      <c r="B222" s="164">
        <v>45449.0</v>
      </c>
      <c r="C222" s="141" t="str">
        <f t="shared" si="1"/>
        <v>6-2024</v>
      </c>
      <c r="D222" s="54">
        <f t="shared" si="27"/>
        <v>79.7</v>
      </c>
      <c r="E222" s="138">
        <v>83.3</v>
      </c>
      <c r="F222" s="54">
        <f t="shared" si="25"/>
        <v>3.6</v>
      </c>
      <c r="G222" s="54">
        <f t="shared" si="26"/>
        <v>-6.4</v>
      </c>
      <c r="I222" s="28" t="s">
        <v>200</v>
      </c>
    </row>
    <row r="223" ht="14.25" customHeight="1">
      <c r="B223" s="164">
        <v>45450.0</v>
      </c>
      <c r="C223" s="141" t="str">
        <f t="shared" si="1"/>
        <v>6-2024</v>
      </c>
      <c r="D223" s="54">
        <f t="shared" si="27"/>
        <v>83.3</v>
      </c>
      <c r="E223" s="138">
        <v>85.9</v>
      </c>
      <c r="F223" s="54">
        <f t="shared" si="25"/>
        <v>2.6</v>
      </c>
      <c r="G223" s="54">
        <f t="shared" si="26"/>
        <v>-7.4</v>
      </c>
      <c r="I223" s="28" t="s">
        <v>200</v>
      </c>
    </row>
    <row r="224" ht="14.25" customHeight="1">
      <c r="B224" s="145">
        <v>45451.0</v>
      </c>
      <c r="C224" s="166" t="str">
        <f t="shared" si="1"/>
        <v>6-2024</v>
      </c>
      <c r="D224" s="54">
        <f t="shared" si="27"/>
        <v>85.9</v>
      </c>
      <c r="E224" s="138">
        <v>88.2</v>
      </c>
      <c r="F224" s="54">
        <f t="shared" si="25"/>
        <v>2.3</v>
      </c>
      <c r="G224" s="54">
        <f t="shared" si="26"/>
        <v>-7.7</v>
      </c>
      <c r="I224" s="28" t="s">
        <v>200</v>
      </c>
    </row>
    <row r="225" ht="14.25" customHeight="1">
      <c r="B225" s="145">
        <v>45452.0</v>
      </c>
      <c r="C225" s="166" t="str">
        <f t="shared" si="1"/>
        <v>6-2024</v>
      </c>
      <c r="D225" s="54"/>
      <c r="E225" s="54"/>
      <c r="F225" s="54">
        <f t="shared" si="25"/>
        <v>0</v>
      </c>
      <c r="G225" s="54">
        <f t="shared" si="26"/>
        <v>-10</v>
      </c>
    </row>
    <row r="226" ht="14.25" customHeight="1">
      <c r="B226" s="164">
        <v>45453.0</v>
      </c>
      <c r="C226" s="141" t="str">
        <f t="shared" si="1"/>
        <v>6-2024</v>
      </c>
      <c r="D226" s="138">
        <v>88.2</v>
      </c>
      <c r="E226" s="138">
        <v>89.2</v>
      </c>
      <c r="F226" s="54">
        <f t="shared" si="25"/>
        <v>1</v>
      </c>
      <c r="G226" s="54">
        <f t="shared" si="26"/>
        <v>-9</v>
      </c>
      <c r="I226" s="28" t="s">
        <v>200</v>
      </c>
    </row>
    <row r="227" ht="14.25" customHeight="1">
      <c r="B227" s="164">
        <v>45454.0</v>
      </c>
      <c r="C227" s="141" t="str">
        <f t="shared" si="1"/>
        <v>6-2024</v>
      </c>
      <c r="D227" s="54">
        <f t="shared" ref="D227:D229" si="28">E226</f>
        <v>89.2</v>
      </c>
      <c r="E227" s="138">
        <v>91.2</v>
      </c>
      <c r="F227" s="54">
        <f t="shared" si="25"/>
        <v>2</v>
      </c>
      <c r="G227" s="54">
        <f t="shared" si="26"/>
        <v>-8</v>
      </c>
      <c r="I227" s="28" t="s">
        <v>200</v>
      </c>
    </row>
    <row r="228" ht="14.25" customHeight="1">
      <c r="B228" s="164">
        <v>45455.0</v>
      </c>
      <c r="C228" s="141" t="str">
        <f t="shared" si="1"/>
        <v>6-2024</v>
      </c>
      <c r="D228" s="54">
        <f t="shared" si="28"/>
        <v>91.2</v>
      </c>
      <c r="E228" s="138">
        <v>95.5</v>
      </c>
      <c r="F228" s="54">
        <f t="shared" si="25"/>
        <v>4.3</v>
      </c>
      <c r="G228" s="54">
        <f t="shared" si="26"/>
        <v>-5.7</v>
      </c>
      <c r="I228" s="28" t="s">
        <v>200</v>
      </c>
    </row>
    <row r="229" ht="14.25" customHeight="1">
      <c r="B229" s="164">
        <v>45456.0</v>
      </c>
      <c r="C229" s="141" t="str">
        <f t="shared" si="1"/>
        <v>6-2024</v>
      </c>
      <c r="D229" s="54">
        <f t="shared" si="28"/>
        <v>95.5</v>
      </c>
      <c r="E229" s="138">
        <v>97.2</v>
      </c>
      <c r="F229" s="54">
        <f t="shared" si="25"/>
        <v>1.7</v>
      </c>
      <c r="G229" s="54">
        <f t="shared" si="26"/>
        <v>-8.3</v>
      </c>
      <c r="I229" s="28" t="s">
        <v>200</v>
      </c>
    </row>
    <row r="230" ht="14.25" customHeight="1">
      <c r="B230" s="164">
        <v>45457.0</v>
      </c>
      <c r="C230" s="141" t="str">
        <f t="shared" si="1"/>
        <v>6-2024</v>
      </c>
      <c r="D230" s="54"/>
      <c r="E230" s="54"/>
      <c r="F230" s="54">
        <f t="shared" si="25"/>
        <v>0</v>
      </c>
      <c r="G230" s="54">
        <f t="shared" si="26"/>
        <v>-10</v>
      </c>
    </row>
    <row r="231" ht="14.25" customHeight="1">
      <c r="B231" s="145">
        <v>45458.0</v>
      </c>
      <c r="C231" s="166" t="str">
        <f t="shared" si="1"/>
        <v>6-2024</v>
      </c>
      <c r="D231" s="138">
        <v>97.2</v>
      </c>
      <c r="E231" s="138">
        <v>98.8</v>
      </c>
      <c r="F231" s="54">
        <f t="shared" si="25"/>
        <v>1.6</v>
      </c>
      <c r="G231" s="54">
        <f t="shared" si="26"/>
        <v>-8.4</v>
      </c>
      <c r="I231" s="28" t="s">
        <v>200</v>
      </c>
    </row>
    <row r="232" ht="14.25" customHeight="1">
      <c r="B232" s="145">
        <v>45459.0</v>
      </c>
      <c r="C232" s="166" t="str">
        <f t="shared" si="1"/>
        <v>6-2024</v>
      </c>
      <c r="D232" s="54"/>
      <c r="E232" s="54"/>
      <c r="F232" s="54">
        <f t="shared" si="25"/>
        <v>0</v>
      </c>
      <c r="G232" s="54">
        <f t="shared" si="26"/>
        <v>-10</v>
      </c>
    </row>
    <row r="233" ht="14.25" customHeight="1">
      <c r="B233" s="164">
        <v>45460.0</v>
      </c>
      <c r="C233" s="141" t="str">
        <f t="shared" si="1"/>
        <v>6-2024</v>
      </c>
      <c r="D233" s="54" t="str">
        <f>E232</f>
        <v/>
      </c>
      <c r="E233" s="54"/>
      <c r="F233" s="54">
        <f t="shared" si="25"/>
        <v>0</v>
      </c>
      <c r="G233" s="54">
        <f t="shared" si="26"/>
        <v>-10</v>
      </c>
    </row>
    <row r="234" ht="14.25" customHeight="1">
      <c r="B234" s="164">
        <v>45461.0</v>
      </c>
      <c r="C234" s="141" t="str">
        <f t="shared" si="1"/>
        <v>6-2024</v>
      </c>
      <c r="D234" s="138">
        <v>97.8</v>
      </c>
      <c r="E234" s="138">
        <v>101.8</v>
      </c>
      <c r="F234" s="54">
        <f t="shared" si="25"/>
        <v>4</v>
      </c>
      <c r="G234" s="54">
        <f t="shared" si="26"/>
        <v>-6</v>
      </c>
      <c r="I234" s="28" t="s">
        <v>200</v>
      </c>
    </row>
    <row r="235" ht="14.25" customHeight="1">
      <c r="B235" s="164">
        <v>45462.0</v>
      </c>
      <c r="C235" s="141" t="str">
        <f t="shared" si="1"/>
        <v>6-2024</v>
      </c>
      <c r="D235" s="54">
        <f>E234</f>
        <v>101.8</v>
      </c>
      <c r="E235" s="138">
        <v>104.8</v>
      </c>
      <c r="F235" s="54">
        <f t="shared" si="25"/>
        <v>3</v>
      </c>
      <c r="G235" s="54">
        <f t="shared" si="26"/>
        <v>-7</v>
      </c>
      <c r="I235" s="28" t="s">
        <v>200</v>
      </c>
    </row>
    <row r="236" ht="14.25" customHeight="1">
      <c r="B236" s="164">
        <v>45463.0</v>
      </c>
      <c r="C236" s="141" t="str">
        <f t="shared" si="1"/>
        <v>6-2024</v>
      </c>
      <c r="D236" s="54"/>
      <c r="E236" s="54"/>
      <c r="F236" s="54">
        <f t="shared" si="25"/>
        <v>0</v>
      </c>
      <c r="G236" s="54">
        <f t="shared" si="26"/>
        <v>-10</v>
      </c>
    </row>
    <row r="237" ht="14.25" customHeight="1">
      <c r="B237" s="164">
        <v>45464.0</v>
      </c>
      <c r="C237" s="141" t="str">
        <f t="shared" si="1"/>
        <v>6-2024</v>
      </c>
      <c r="D237" s="138">
        <v>104.8</v>
      </c>
      <c r="E237" s="138">
        <v>107.1</v>
      </c>
      <c r="F237" s="54">
        <f t="shared" si="25"/>
        <v>2.3</v>
      </c>
      <c r="G237" s="54">
        <f t="shared" si="26"/>
        <v>-7.7</v>
      </c>
      <c r="I237" s="28" t="s">
        <v>200</v>
      </c>
    </row>
    <row r="238" ht="14.25" customHeight="1">
      <c r="B238" s="145">
        <v>45465.0</v>
      </c>
      <c r="C238" s="166" t="str">
        <f t="shared" si="1"/>
        <v>6-2024</v>
      </c>
      <c r="D238" s="54">
        <f>E237</f>
        <v>107.1</v>
      </c>
      <c r="E238" s="138">
        <v>109.5</v>
      </c>
      <c r="F238" s="54">
        <f t="shared" si="25"/>
        <v>2.4</v>
      </c>
      <c r="G238" s="54">
        <f t="shared" si="26"/>
        <v>-7.6</v>
      </c>
      <c r="I238" s="28" t="s">
        <v>200</v>
      </c>
    </row>
    <row r="239" ht="14.25" customHeight="1">
      <c r="B239" s="145">
        <v>45466.0</v>
      </c>
      <c r="C239" s="166" t="str">
        <f t="shared" si="1"/>
        <v>6-2024</v>
      </c>
      <c r="D239" s="54"/>
      <c r="E239" s="54"/>
      <c r="F239" s="54">
        <f t="shared" si="25"/>
        <v>0</v>
      </c>
      <c r="G239" s="54">
        <f t="shared" si="26"/>
        <v>-10</v>
      </c>
    </row>
    <row r="240" ht="14.25" customHeight="1">
      <c r="B240" s="164">
        <v>45467.0</v>
      </c>
      <c r="C240" s="141" t="str">
        <f t="shared" si="1"/>
        <v>6-2024</v>
      </c>
      <c r="D240" s="138">
        <v>109.5</v>
      </c>
      <c r="E240" s="138">
        <v>112.4</v>
      </c>
      <c r="F240" s="54">
        <f t="shared" si="25"/>
        <v>2.9</v>
      </c>
      <c r="G240" s="54">
        <f t="shared" si="26"/>
        <v>-7.1</v>
      </c>
      <c r="I240" s="28" t="s">
        <v>200</v>
      </c>
    </row>
    <row r="241" ht="14.25" customHeight="1">
      <c r="B241" s="164">
        <v>45468.0</v>
      </c>
      <c r="C241" s="141" t="str">
        <f t="shared" si="1"/>
        <v>6-2024</v>
      </c>
      <c r="D241" s="54">
        <f>E240</f>
        <v>112.4</v>
      </c>
      <c r="E241" s="138">
        <v>112.6</v>
      </c>
      <c r="F241" s="54">
        <f t="shared" si="25"/>
        <v>0.2</v>
      </c>
      <c r="G241" s="54">
        <f t="shared" si="26"/>
        <v>-9.8</v>
      </c>
    </row>
    <row r="242" ht="14.25" customHeight="1">
      <c r="B242" s="164">
        <v>45469.0</v>
      </c>
      <c r="C242" s="141" t="str">
        <f t="shared" si="1"/>
        <v>6-2024</v>
      </c>
      <c r="D242" s="54"/>
      <c r="E242" s="54"/>
      <c r="F242" s="54">
        <f t="shared" si="25"/>
        <v>0</v>
      </c>
      <c r="G242" s="54">
        <f t="shared" si="26"/>
        <v>-10</v>
      </c>
    </row>
    <row r="243" ht="14.25" customHeight="1">
      <c r="B243" s="164">
        <v>45470.0</v>
      </c>
      <c r="C243" s="141" t="str">
        <f t="shared" si="1"/>
        <v>6-2024</v>
      </c>
      <c r="D243" s="54" t="str">
        <f>E242</f>
        <v/>
      </c>
      <c r="E243" s="54"/>
      <c r="F243" s="54">
        <f t="shared" si="25"/>
        <v>0</v>
      </c>
      <c r="G243" s="54">
        <f t="shared" si="26"/>
        <v>-10</v>
      </c>
    </row>
    <row r="244" ht="14.25" customHeight="1">
      <c r="B244" s="164">
        <v>45471.0</v>
      </c>
      <c r="C244" s="141" t="str">
        <f t="shared" si="1"/>
        <v>6-2024</v>
      </c>
      <c r="D244" s="138">
        <v>2303.2</v>
      </c>
      <c r="E244" s="138">
        <v>2309.1</v>
      </c>
      <c r="F244" s="54">
        <f t="shared" si="25"/>
        <v>5.9</v>
      </c>
      <c r="G244" s="54">
        <f t="shared" si="26"/>
        <v>-4.1</v>
      </c>
      <c r="I244" s="28" t="s">
        <v>147</v>
      </c>
    </row>
    <row r="245" ht="14.25" customHeight="1">
      <c r="B245" s="145">
        <v>45472.0</v>
      </c>
      <c r="C245" s="166" t="str">
        <f t="shared" si="1"/>
        <v>6-2024</v>
      </c>
      <c r="D245" s="54">
        <f>E244</f>
        <v>2309.1</v>
      </c>
      <c r="E245" s="138">
        <v>2309.1</v>
      </c>
      <c r="F245" s="54">
        <f t="shared" si="25"/>
        <v>0</v>
      </c>
      <c r="G245" s="54">
        <f t="shared" si="26"/>
        <v>-10</v>
      </c>
      <c r="I245" s="28" t="s">
        <v>147</v>
      </c>
    </row>
    <row r="246" ht="14.25" customHeight="1">
      <c r="B246" s="145">
        <v>45473.0</v>
      </c>
      <c r="C246" s="166" t="str">
        <f t="shared" si="1"/>
        <v>6-2024</v>
      </c>
      <c r="D246" s="54"/>
      <c r="E246" s="54"/>
      <c r="F246" s="54">
        <f t="shared" si="25"/>
        <v>0</v>
      </c>
      <c r="G246" s="54">
        <f t="shared" si="26"/>
        <v>-10</v>
      </c>
    </row>
    <row r="247" ht="14.25" customHeight="1">
      <c r="B247" s="164">
        <v>45474.0</v>
      </c>
      <c r="C247" s="141" t="str">
        <f t="shared" si="1"/>
        <v>7-2024</v>
      </c>
      <c r="D247" s="138">
        <v>2303.2</v>
      </c>
      <c r="E247" s="138">
        <v>2309.2</v>
      </c>
      <c r="F247" s="54">
        <f t="shared" si="25"/>
        <v>6</v>
      </c>
      <c r="G247" s="54">
        <f t="shared" si="26"/>
        <v>-4</v>
      </c>
    </row>
    <row r="248" ht="14.25" customHeight="1">
      <c r="B248" s="164">
        <v>45475.0</v>
      </c>
      <c r="C248" s="141" t="str">
        <f t="shared" si="1"/>
        <v>7-2024</v>
      </c>
      <c r="D248" s="54">
        <f t="shared" ref="D248:D252" si="29">E247</f>
        <v>2309.2</v>
      </c>
      <c r="E248" s="138">
        <v>2315.8</v>
      </c>
      <c r="F248" s="54">
        <f t="shared" si="25"/>
        <v>6.6</v>
      </c>
      <c r="G248" s="54">
        <f t="shared" si="26"/>
        <v>-3.4</v>
      </c>
    </row>
    <row r="249" ht="14.25" customHeight="1">
      <c r="B249" s="140">
        <v>45476.0</v>
      </c>
      <c r="C249" s="141" t="str">
        <f t="shared" si="1"/>
        <v>7-2024</v>
      </c>
      <c r="D249" s="54">
        <f t="shared" si="29"/>
        <v>2315.8</v>
      </c>
      <c r="E249" s="138">
        <v>2321.0</v>
      </c>
      <c r="F249" s="54">
        <f t="shared" si="25"/>
        <v>5.2</v>
      </c>
      <c r="G249" s="54">
        <f t="shared" si="26"/>
        <v>-4.8</v>
      </c>
    </row>
    <row r="250" ht="14.25" customHeight="1">
      <c r="B250" s="169">
        <v>45477.0</v>
      </c>
      <c r="C250" s="141" t="str">
        <f t="shared" si="1"/>
        <v>7-2024</v>
      </c>
      <c r="D250" s="54">
        <f t="shared" si="29"/>
        <v>2321</v>
      </c>
      <c r="E250" s="138">
        <v>2329.1</v>
      </c>
      <c r="F250" s="54">
        <f t="shared" si="25"/>
        <v>8.1</v>
      </c>
      <c r="G250" s="54">
        <f t="shared" si="26"/>
        <v>-1.9</v>
      </c>
    </row>
    <row r="251" ht="14.25" customHeight="1">
      <c r="B251" s="169">
        <v>45478.0</v>
      </c>
      <c r="C251" s="141" t="str">
        <f t="shared" si="1"/>
        <v>7-2024</v>
      </c>
      <c r="D251" s="54">
        <f t="shared" si="29"/>
        <v>2329.1</v>
      </c>
      <c r="E251" s="138">
        <v>2337.1</v>
      </c>
      <c r="F251" s="54">
        <f t="shared" si="25"/>
        <v>8</v>
      </c>
      <c r="G251" s="54">
        <f t="shared" si="26"/>
        <v>-2</v>
      </c>
    </row>
    <row r="252" ht="14.25" customHeight="1">
      <c r="B252" s="164">
        <v>45479.0</v>
      </c>
      <c r="C252" s="141" t="str">
        <f t="shared" si="1"/>
        <v>7-2024</v>
      </c>
      <c r="D252" s="54">
        <f t="shared" si="29"/>
        <v>2337.1</v>
      </c>
      <c r="E252" s="138">
        <v>2342.0</v>
      </c>
      <c r="F252" s="54">
        <f t="shared" si="25"/>
        <v>4.9</v>
      </c>
      <c r="G252" s="54">
        <f t="shared" si="26"/>
        <v>-5.1</v>
      </c>
    </row>
    <row r="253" ht="14.25" customHeight="1">
      <c r="B253" s="145">
        <v>45480.0</v>
      </c>
      <c r="C253" s="141" t="str">
        <f t="shared" si="1"/>
        <v>7-2024</v>
      </c>
      <c r="D253" s="54"/>
      <c r="E253" s="54"/>
      <c r="F253" s="54">
        <f t="shared" si="25"/>
        <v>0</v>
      </c>
      <c r="G253" s="54">
        <f t="shared" si="26"/>
        <v>-10</v>
      </c>
    </row>
    <row r="254" ht="14.25" customHeight="1">
      <c r="B254" s="145">
        <v>45481.0</v>
      </c>
      <c r="C254" s="141" t="str">
        <f t="shared" si="1"/>
        <v>7-2024</v>
      </c>
      <c r="D254" s="138">
        <v>2342.0</v>
      </c>
      <c r="E254" s="138">
        <v>2347.0</v>
      </c>
      <c r="F254" s="54">
        <f t="shared" si="25"/>
        <v>5</v>
      </c>
      <c r="G254" s="54">
        <f t="shared" si="26"/>
        <v>-5</v>
      </c>
    </row>
    <row r="255" ht="14.25" customHeight="1">
      <c r="B255" s="164">
        <v>45482.0</v>
      </c>
      <c r="C255" s="141" t="str">
        <f t="shared" si="1"/>
        <v>7-2024</v>
      </c>
      <c r="D255" s="54">
        <f t="shared" ref="D255:D259" si="30">E254</f>
        <v>2347</v>
      </c>
      <c r="E255" s="138">
        <v>2350.7</v>
      </c>
      <c r="F255" s="54">
        <f t="shared" si="25"/>
        <v>3.7</v>
      </c>
      <c r="G255" s="54">
        <f t="shared" si="26"/>
        <v>-6.3</v>
      </c>
    </row>
    <row r="256" ht="14.25" customHeight="1">
      <c r="B256" s="164">
        <v>45483.0</v>
      </c>
      <c r="C256" s="141" t="str">
        <f t="shared" si="1"/>
        <v>7-2024</v>
      </c>
      <c r="D256" s="54">
        <f t="shared" si="30"/>
        <v>2350.7</v>
      </c>
      <c r="E256" s="138">
        <v>2358.0</v>
      </c>
      <c r="F256" s="54">
        <f t="shared" si="25"/>
        <v>7.3</v>
      </c>
      <c r="G256" s="54">
        <f t="shared" si="26"/>
        <v>-2.7</v>
      </c>
    </row>
    <row r="257" ht="14.25" customHeight="1">
      <c r="B257" s="164">
        <v>45484.0</v>
      </c>
      <c r="C257" s="141" t="str">
        <f t="shared" si="1"/>
        <v>7-2024</v>
      </c>
      <c r="D257" s="54">
        <f t="shared" si="30"/>
        <v>2358</v>
      </c>
      <c r="E257" s="138">
        <v>2365.0</v>
      </c>
      <c r="F257" s="54">
        <f t="shared" si="25"/>
        <v>7</v>
      </c>
      <c r="G257" s="54">
        <f t="shared" si="26"/>
        <v>-3</v>
      </c>
    </row>
    <row r="258" ht="14.25" customHeight="1">
      <c r="B258" s="164">
        <v>45485.0</v>
      </c>
      <c r="C258" s="141" t="str">
        <f t="shared" si="1"/>
        <v>7-2024</v>
      </c>
      <c r="D258" s="54">
        <f t="shared" si="30"/>
        <v>2365</v>
      </c>
      <c r="E258" s="138">
        <v>2367.0</v>
      </c>
      <c r="F258" s="54">
        <f t="shared" si="25"/>
        <v>2</v>
      </c>
      <c r="G258" s="54">
        <f t="shared" si="26"/>
        <v>-8</v>
      </c>
    </row>
    <row r="259" ht="14.25" customHeight="1">
      <c r="B259" s="145">
        <v>45486.0</v>
      </c>
      <c r="C259" s="141" t="str">
        <f t="shared" si="1"/>
        <v>7-2024</v>
      </c>
      <c r="D259" s="54">
        <f t="shared" si="30"/>
        <v>2367</v>
      </c>
      <c r="E259" s="138">
        <v>2373.0</v>
      </c>
      <c r="F259" s="54">
        <f t="shared" si="25"/>
        <v>6</v>
      </c>
      <c r="G259" s="54">
        <f t="shared" si="26"/>
        <v>-4</v>
      </c>
    </row>
    <row r="260" ht="14.25" customHeight="1">
      <c r="B260" s="145">
        <v>45487.0</v>
      </c>
      <c r="C260" s="141" t="str">
        <f t="shared" si="1"/>
        <v>7-2024</v>
      </c>
      <c r="D260" s="54"/>
      <c r="E260" s="54"/>
      <c r="F260" s="54">
        <f t="shared" si="25"/>
        <v>0</v>
      </c>
      <c r="G260" s="54">
        <f t="shared" si="26"/>
        <v>-10</v>
      </c>
    </row>
    <row r="261" ht="14.25" customHeight="1">
      <c r="B261" s="164">
        <v>45488.0</v>
      </c>
      <c r="C261" s="141" t="str">
        <f t="shared" si="1"/>
        <v>7-2024</v>
      </c>
      <c r="D261" s="138">
        <v>2373.0</v>
      </c>
      <c r="E261" s="138">
        <v>2381.0</v>
      </c>
      <c r="F261" s="54">
        <f t="shared" si="25"/>
        <v>8</v>
      </c>
      <c r="G261" s="54">
        <f t="shared" si="26"/>
        <v>-2</v>
      </c>
    </row>
    <row r="262" ht="14.25" customHeight="1">
      <c r="B262" s="164">
        <v>45489.0</v>
      </c>
      <c r="C262" s="141" t="str">
        <f t="shared" si="1"/>
        <v>7-2024</v>
      </c>
      <c r="D262" s="54">
        <f t="shared" ref="D262:D266" si="31">E261</f>
        <v>2381</v>
      </c>
      <c r="E262" s="138">
        <v>2391.0</v>
      </c>
      <c r="F262" s="54">
        <f t="shared" si="25"/>
        <v>10</v>
      </c>
      <c r="G262" s="54">
        <f t="shared" si="26"/>
        <v>0</v>
      </c>
    </row>
    <row r="263" ht="14.25" customHeight="1">
      <c r="B263" s="164">
        <v>45490.0</v>
      </c>
      <c r="C263" s="141" t="str">
        <f t="shared" si="1"/>
        <v>7-2024</v>
      </c>
      <c r="D263" s="54">
        <f t="shared" si="31"/>
        <v>2391</v>
      </c>
      <c r="E263" s="138">
        <v>2400.0</v>
      </c>
      <c r="F263" s="54">
        <f t="shared" si="25"/>
        <v>9</v>
      </c>
      <c r="G263" s="54">
        <f t="shared" si="26"/>
        <v>-1</v>
      </c>
    </row>
    <row r="264" ht="14.25" customHeight="1">
      <c r="B264" s="164">
        <v>45491.0</v>
      </c>
      <c r="C264" s="141" t="str">
        <f t="shared" si="1"/>
        <v>7-2024</v>
      </c>
      <c r="D264" s="54">
        <f t="shared" si="31"/>
        <v>2400</v>
      </c>
      <c r="E264" s="138">
        <v>2409.0</v>
      </c>
      <c r="F264" s="54">
        <f t="shared" si="25"/>
        <v>9</v>
      </c>
      <c r="G264" s="54">
        <f t="shared" si="26"/>
        <v>-1</v>
      </c>
    </row>
    <row r="265" ht="14.25" customHeight="1">
      <c r="B265" s="164">
        <v>45492.0</v>
      </c>
      <c r="C265" s="141" t="str">
        <f t="shared" si="1"/>
        <v>7-2024</v>
      </c>
      <c r="D265" s="54">
        <f t="shared" si="31"/>
        <v>2409</v>
      </c>
      <c r="E265" s="138">
        <v>2418.0</v>
      </c>
      <c r="F265" s="54">
        <f t="shared" si="25"/>
        <v>9</v>
      </c>
      <c r="G265" s="54">
        <f t="shared" si="26"/>
        <v>-1</v>
      </c>
    </row>
    <row r="266" ht="14.25" customHeight="1">
      <c r="B266" s="145">
        <v>45493.0</v>
      </c>
      <c r="C266" s="141" t="str">
        <f t="shared" si="1"/>
        <v>7-2024</v>
      </c>
      <c r="D266" s="54">
        <f t="shared" si="31"/>
        <v>2418</v>
      </c>
      <c r="E266" s="138">
        <v>2424.0</v>
      </c>
      <c r="F266" s="54">
        <f t="shared" si="25"/>
        <v>6</v>
      </c>
      <c r="G266" s="54">
        <f t="shared" si="26"/>
        <v>-4</v>
      </c>
    </row>
    <row r="267" ht="14.25" customHeight="1">
      <c r="B267" s="145">
        <v>45494.0</v>
      </c>
      <c r="C267" s="141" t="str">
        <f t="shared" si="1"/>
        <v>7-2024</v>
      </c>
      <c r="D267" s="54"/>
      <c r="E267" s="54"/>
      <c r="F267" s="54">
        <f t="shared" si="25"/>
        <v>0</v>
      </c>
      <c r="G267" s="54">
        <f t="shared" si="26"/>
        <v>-10</v>
      </c>
    </row>
    <row r="268" ht="14.25" customHeight="1">
      <c r="B268" s="164">
        <v>45495.0</v>
      </c>
      <c r="C268" s="141" t="str">
        <f t="shared" si="1"/>
        <v>7-2024</v>
      </c>
      <c r="D268" s="138">
        <v>2424.0</v>
      </c>
      <c r="E268" s="138">
        <v>2428.0</v>
      </c>
      <c r="F268" s="54">
        <f t="shared" si="25"/>
        <v>4</v>
      </c>
      <c r="G268" s="54">
        <f t="shared" si="26"/>
        <v>-6</v>
      </c>
    </row>
    <row r="269" ht="14.25" customHeight="1">
      <c r="B269" s="164">
        <v>45496.0</v>
      </c>
      <c r="C269" s="141" t="str">
        <f t="shared" si="1"/>
        <v>7-2024</v>
      </c>
      <c r="D269" s="54">
        <f>E268</f>
        <v>2428</v>
      </c>
      <c r="E269" s="138">
        <v>2434.0</v>
      </c>
      <c r="F269" s="54">
        <f t="shared" si="25"/>
        <v>6</v>
      </c>
      <c r="G269" s="54">
        <f t="shared" si="26"/>
        <v>-4</v>
      </c>
    </row>
    <row r="270" ht="14.25" customHeight="1">
      <c r="B270" s="164">
        <v>45497.0</v>
      </c>
      <c r="C270" s="141" t="str">
        <f t="shared" si="1"/>
        <v>7-2024</v>
      </c>
      <c r="D270" s="54"/>
      <c r="E270" s="54"/>
      <c r="F270" s="54">
        <f t="shared" si="25"/>
        <v>0</v>
      </c>
      <c r="G270" s="54">
        <f t="shared" si="26"/>
        <v>-10</v>
      </c>
    </row>
    <row r="271" ht="14.25" customHeight="1">
      <c r="B271" s="164">
        <v>45498.0</v>
      </c>
      <c r="C271" s="141" t="str">
        <f t="shared" si="1"/>
        <v>7-2024</v>
      </c>
      <c r="D271" s="138">
        <v>2434.0</v>
      </c>
      <c r="E271" s="138">
        <v>2438.7</v>
      </c>
      <c r="F271" s="54">
        <f t="shared" si="25"/>
        <v>4.7</v>
      </c>
      <c r="G271" s="54">
        <f t="shared" si="26"/>
        <v>-5.3</v>
      </c>
    </row>
    <row r="272" ht="14.25" customHeight="1">
      <c r="B272" s="164">
        <v>45499.0</v>
      </c>
      <c r="C272" s="141" t="str">
        <f t="shared" si="1"/>
        <v>7-2024</v>
      </c>
      <c r="D272" s="54">
        <f t="shared" ref="D272:D273" si="32">E271</f>
        <v>2438.7</v>
      </c>
      <c r="E272" s="138">
        <v>2448.0</v>
      </c>
      <c r="F272" s="54">
        <f t="shared" si="25"/>
        <v>9.3</v>
      </c>
      <c r="G272" s="54">
        <f t="shared" si="26"/>
        <v>-0.7</v>
      </c>
    </row>
    <row r="273" ht="14.25" customHeight="1">
      <c r="B273" s="145">
        <v>45500.0</v>
      </c>
      <c r="C273" s="141" t="str">
        <f t="shared" si="1"/>
        <v>7-2024</v>
      </c>
      <c r="D273" s="54">
        <f t="shared" si="32"/>
        <v>2448</v>
      </c>
      <c r="E273" s="138">
        <v>2448.0</v>
      </c>
      <c r="F273" s="54">
        <f t="shared" si="25"/>
        <v>0</v>
      </c>
      <c r="G273" s="54">
        <f t="shared" si="26"/>
        <v>-10</v>
      </c>
    </row>
    <row r="274" ht="14.25" customHeight="1">
      <c r="B274" s="145">
        <v>45501.0</v>
      </c>
      <c r="C274" s="141" t="str">
        <f t="shared" si="1"/>
        <v>7-2024</v>
      </c>
      <c r="D274" s="54"/>
      <c r="E274" s="54"/>
      <c r="F274" s="54">
        <f t="shared" si="25"/>
        <v>0</v>
      </c>
      <c r="G274" s="54">
        <f t="shared" si="26"/>
        <v>-10</v>
      </c>
    </row>
    <row r="275" ht="14.25" customHeight="1">
      <c r="B275" s="164">
        <v>45502.0</v>
      </c>
      <c r="C275" s="141" t="str">
        <f t="shared" si="1"/>
        <v>7-2024</v>
      </c>
      <c r="D275" s="138">
        <v>2448.0</v>
      </c>
      <c r="E275" s="138">
        <v>2458.0</v>
      </c>
      <c r="F275" s="54">
        <f t="shared" si="25"/>
        <v>10</v>
      </c>
      <c r="G275" s="54">
        <f t="shared" si="26"/>
        <v>0</v>
      </c>
    </row>
    <row r="276" ht="14.25" customHeight="1">
      <c r="B276" s="164">
        <v>45503.0</v>
      </c>
      <c r="C276" s="141" t="str">
        <f t="shared" si="1"/>
        <v>7-2024</v>
      </c>
      <c r="D276" s="54">
        <f t="shared" ref="D276:D277" si="33">E275</f>
        <v>2458</v>
      </c>
      <c r="E276" s="138">
        <v>2468.0</v>
      </c>
      <c r="F276" s="54">
        <f t="shared" si="25"/>
        <v>10</v>
      </c>
      <c r="G276" s="54">
        <f t="shared" si="26"/>
        <v>0</v>
      </c>
      <c r="K276" s="28" t="s">
        <v>201</v>
      </c>
    </row>
    <row r="277" ht="14.25" customHeight="1">
      <c r="B277" s="164">
        <v>45504.0</v>
      </c>
      <c r="C277" s="141" t="str">
        <f t="shared" si="1"/>
        <v>7-2024</v>
      </c>
      <c r="D277" s="54">
        <f t="shared" si="33"/>
        <v>2468</v>
      </c>
      <c r="E277" s="138">
        <v>2478.0</v>
      </c>
      <c r="F277" s="54">
        <f t="shared" si="25"/>
        <v>10</v>
      </c>
      <c r="G277" s="54">
        <f t="shared" si="26"/>
        <v>0</v>
      </c>
    </row>
    <row r="278" ht="14.25" customHeight="1">
      <c r="A278" s="28" t="s">
        <v>202</v>
      </c>
      <c r="B278" s="164">
        <v>45505.0</v>
      </c>
      <c r="C278" s="141" t="str">
        <f t="shared" si="1"/>
        <v>8-2024</v>
      </c>
      <c r="D278" s="138">
        <v>2478.0</v>
      </c>
      <c r="E278" s="138">
        <v>2485.0</v>
      </c>
      <c r="F278" s="54">
        <f t="shared" si="25"/>
        <v>7</v>
      </c>
      <c r="G278" s="54">
        <f t="shared" si="26"/>
        <v>-3</v>
      </c>
      <c r="I278" s="28" t="s">
        <v>147</v>
      </c>
      <c r="K278" s="164">
        <v>45505.0</v>
      </c>
      <c r="L278" s="141" t="str">
        <f t="shared" ref="L278:L308" si="34">MONTH(K278)&amp; "-" &amp;YEAR(K278)</f>
        <v>8-2024</v>
      </c>
      <c r="M278" s="138">
        <v>180.3</v>
      </c>
      <c r="N278" s="138">
        <v>184.4</v>
      </c>
      <c r="O278" s="54">
        <f t="shared" ref="O278:O308" si="35">N278-M278</f>
        <v>4.1</v>
      </c>
      <c r="P278" s="54">
        <f t="shared" ref="P278:P308" si="36">O278-10</f>
        <v>-5.9</v>
      </c>
      <c r="Q278" s="28" t="s">
        <v>200</v>
      </c>
    </row>
    <row r="279" ht="14.25" customHeight="1">
      <c r="B279" s="164">
        <v>45506.0</v>
      </c>
      <c r="C279" s="141" t="str">
        <f t="shared" si="1"/>
        <v>8-2024</v>
      </c>
      <c r="D279" s="54">
        <f>E278</f>
        <v>2485</v>
      </c>
      <c r="E279" s="138">
        <v>2492.0</v>
      </c>
      <c r="F279" s="54">
        <f t="shared" si="25"/>
        <v>7</v>
      </c>
      <c r="G279" s="54">
        <f t="shared" si="26"/>
        <v>-3</v>
      </c>
      <c r="H279" s="28">
        <v>220.0</v>
      </c>
      <c r="I279" s="28" t="s">
        <v>147</v>
      </c>
      <c r="K279" s="164">
        <v>45506.0</v>
      </c>
      <c r="L279" s="141" t="str">
        <f t="shared" si="34"/>
        <v>8-2024</v>
      </c>
      <c r="M279" s="54">
        <f>N278</f>
        <v>184.4</v>
      </c>
      <c r="N279" s="138">
        <v>187.9</v>
      </c>
      <c r="O279" s="54">
        <f t="shared" si="35"/>
        <v>3.5</v>
      </c>
      <c r="P279" s="54">
        <f t="shared" si="36"/>
        <v>-6.5</v>
      </c>
      <c r="Q279" s="28" t="s">
        <v>200</v>
      </c>
    </row>
    <row r="280" ht="14.25" customHeight="1">
      <c r="B280" s="145">
        <v>45507.0</v>
      </c>
      <c r="C280" s="141" t="str">
        <f t="shared" si="1"/>
        <v>8-2024</v>
      </c>
      <c r="D280" s="54"/>
      <c r="E280" s="54"/>
      <c r="F280" s="54">
        <f t="shared" si="25"/>
        <v>0</v>
      </c>
      <c r="G280" s="54">
        <f t="shared" si="26"/>
        <v>-10</v>
      </c>
      <c r="K280" s="145">
        <v>45507.0</v>
      </c>
      <c r="L280" s="141" t="str">
        <f t="shared" si="34"/>
        <v>8-2024</v>
      </c>
      <c r="M280" s="54"/>
      <c r="N280" s="54"/>
      <c r="O280" s="54">
        <f t="shared" si="35"/>
        <v>0</v>
      </c>
      <c r="P280" s="54">
        <f t="shared" si="36"/>
        <v>-10</v>
      </c>
    </row>
    <row r="281" ht="14.25" customHeight="1">
      <c r="B281" s="145">
        <v>45508.0</v>
      </c>
      <c r="C281" s="141" t="str">
        <f t="shared" si="1"/>
        <v>8-2024</v>
      </c>
      <c r="D281" s="54" t="str">
        <f>E280</f>
        <v/>
      </c>
      <c r="E281" s="54"/>
      <c r="F281" s="54">
        <f t="shared" si="25"/>
        <v>0</v>
      </c>
      <c r="G281" s="54">
        <f t="shared" si="26"/>
        <v>-10</v>
      </c>
      <c r="K281" s="145">
        <v>45508.0</v>
      </c>
      <c r="L281" s="141" t="str">
        <f t="shared" si="34"/>
        <v>8-2024</v>
      </c>
      <c r="M281" s="54" t="str">
        <f>N280</f>
        <v/>
      </c>
      <c r="N281" s="54"/>
      <c r="O281" s="54">
        <f t="shared" si="35"/>
        <v>0</v>
      </c>
      <c r="P281" s="54">
        <f t="shared" si="36"/>
        <v>-10</v>
      </c>
    </row>
    <row r="282" ht="14.25" customHeight="1">
      <c r="B282" s="164">
        <v>45509.0</v>
      </c>
      <c r="C282" s="141" t="str">
        <f t="shared" si="1"/>
        <v>8-2024</v>
      </c>
      <c r="D282" s="138">
        <v>2495.0</v>
      </c>
      <c r="E282" s="138">
        <v>2502.0</v>
      </c>
      <c r="F282" s="54">
        <f t="shared" si="25"/>
        <v>7</v>
      </c>
      <c r="G282" s="54">
        <f t="shared" si="26"/>
        <v>-3</v>
      </c>
      <c r="I282" s="28" t="s">
        <v>147</v>
      </c>
      <c r="K282" s="164">
        <v>45509.0</v>
      </c>
      <c r="L282" s="141" t="str">
        <f t="shared" si="34"/>
        <v>8-2024</v>
      </c>
      <c r="M282" s="138">
        <v>187.9</v>
      </c>
      <c r="N282" s="138">
        <v>189.1</v>
      </c>
      <c r="O282" s="54">
        <f t="shared" si="35"/>
        <v>1.2</v>
      </c>
      <c r="P282" s="54">
        <f t="shared" si="36"/>
        <v>-8.8</v>
      </c>
      <c r="Q282" s="28" t="s">
        <v>200</v>
      </c>
    </row>
    <row r="283" ht="14.25" customHeight="1">
      <c r="B283" s="164">
        <v>45510.0</v>
      </c>
      <c r="C283" s="141" t="str">
        <f t="shared" si="1"/>
        <v>8-2024</v>
      </c>
      <c r="D283" s="54">
        <f t="shared" ref="D283:D285" si="37">E282</f>
        <v>2502</v>
      </c>
      <c r="E283" s="138">
        <v>2509.0</v>
      </c>
      <c r="F283" s="54">
        <f t="shared" si="25"/>
        <v>7</v>
      </c>
      <c r="G283" s="54">
        <f t="shared" si="26"/>
        <v>-3</v>
      </c>
      <c r="I283" s="28" t="s">
        <v>147</v>
      </c>
      <c r="K283" s="164">
        <v>45510.0</v>
      </c>
      <c r="L283" s="141" t="str">
        <f t="shared" si="34"/>
        <v>8-2024</v>
      </c>
      <c r="M283" s="54"/>
      <c r="N283" s="138"/>
      <c r="O283" s="54">
        <f t="shared" si="35"/>
        <v>0</v>
      </c>
      <c r="P283" s="54">
        <f t="shared" si="36"/>
        <v>-10</v>
      </c>
    </row>
    <row r="284" ht="14.25" customHeight="1">
      <c r="B284" s="164">
        <v>45511.0</v>
      </c>
      <c r="C284" s="141" t="str">
        <f t="shared" si="1"/>
        <v>8-2024</v>
      </c>
      <c r="D284" s="54">
        <f t="shared" si="37"/>
        <v>2509</v>
      </c>
      <c r="E284" s="138">
        <v>2514.0</v>
      </c>
      <c r="F284" s="54">
        <f t="shared" si="25"/>
        <v>5</v>
      </c>
      <c r="G284" s="54">
        <f t="shared" si="26"/>
        <v>-5</v>
      </c>
      <c r="H284" s="28">
        <v>100.0</v>
      </c>
      <c r="I284" s="28" t="s">
        <v>147</v>
      </c>
      <c r="K284" s="164">
        <v>45511.0</v>
      </c>
      <c r="L284" s="141" t="str">
        <f t="shared" si="34"/>
        <v>8-2024</v>
      </c>
      <c r="M284" s="138">
        <v>189.1</v>
      </c>
      <c r="N284" s="138">
        <v>193.0</v>
      </c>
      <c r="O284" s="54">
        <f t="shared" si="35"/>
        <v>3.9</v>
      </c>
      <c r="P284" s="54">
        <f t="shared" si="36"/>
        <v>-6.1</v>
      </c>
      <c r="Q284" s="28" t="s">
        <v>203</v>
      </c>
    </row>
    <row r="285" ht="14.25" customHeight="1">
      <c r="B285" s="164">
        <v>45512.0</v>
      </c>
      <c r="C285" s="141" t="str">
        <f t="shared" si="1"/>
        <v>8-2024</v>
      </c>
      <c r="D285" s="54">
        <f t="shared" si="37"/>
        <v>2514</v>
      </c>
      <c r="E285" s="138">
        <v>2525.5</v>
      </c>
      <c r="F285" s="54">
        <f t="shared" si="25"/>
        <v>11.5</v>
      </c>
      <c r="G285" s="54">
        <f t="shared" si="26"/>
        <v>1.5</v>
      </c>
      <c r="I285" s="28" t="s">
        <v>147</v>
      </c>
      <c r="K285" s="164">
        <v>45512.0</v>
      </c>
      <c r="L285" s="141" t="str">
        <f t="shared" si="34"/>
        <v>8-2024</v>
      </c>
      <c r="M285" s="54">
        <f>N284</f>
        <v>193</v>
      </c>
      <c r="N285" s="138">
        <v>196.9</v>
      </c>
      <c r="O285" s="54">
        <f t="shared" si="35"/>
        <v>3.9</v>
      </c>
      <c r="P285" s="54">
        <f t="shared" si="36"/>
        <v>-6.1</v>
      </c>
      <c r="Q285" s="28" t="s">
        <v>203</v>
      </c>
    </row>
    <row r="286" ht="14.25" customHeight="1">
      <c r="B286" s="164">
        <v>45513.0</v>
      </c>
      <c r="C286" s="141" t="str">
        <f t="shared" si="1"/>
        <v>8-2024</v>
      </c>
      <c r="D286" s="138">
        <v>3296.8</v>
      </c>
      <c r="E286" s="138">
        <v>3305.8</v>
      </c>
      <c r="F286" s="54">
        <f t="shared" si="25"/>
        <v>9</v>
      </c>
      <c r="G286" s="54">
        <f t="shared" si="26"/>
        <v>-1</v>
      </c>
      <c r="H286" s="28">
        <v>200.0</v>
      </c>
      <c r="I286" s="28">
        <v>210.0</v>
      </c>
      <c r="K286" s="164">
        <v>45513.0</v>
      </c>
      <c r="L286" s="141" t="str">
        <f t="shared" si="34"/>
        <v>8-2024</v>
      </c>
      <c r="M286" s="138">
        <v>2525.5</v>
      </c>
      <c r="N286" s="138">
        <v>2533.3</v>
      </c>
      <c r="O286" s="54">
        <f t="shared" si="35"/>
        <v>7.8</v>
      </c>
      <c r="P286" s="54">
        <f t="shared" si="36"/>
        <v>-2.2</v>
      </c>
      <c r="Q286" s="28" t="s">
        <v>204</v>
      </c>
    </row>
    <row r="287" ht="14.25" customHeight="1">
      <c r="B287" s="145">
        <v>45514.0</v>
      </c>
      <c r="C287" s="141" t="str">
        <f t="shared" si="1"/>
        <v>8-2024</v>
      </c>
      <c r="D287" s="54"/>
      <c r="E287" s="54"/>
      <c r="F287" s="54">
        <f t="shared" si="25"/>
        <v>0</v>
      </c>
      <c r="G287" s="54">
        <f t="shared" si="26"/>
        <v>-10</v>
      </c>
      <c r="K287" s="145">
        <v>45514.0</v>
      </c>
      <c r="L287" s="141" t="str">
        <f t="shared" si="34"/>
        <v>8-2024</v>
      </c>
      <c r="M287" s="54"/>
      <c r="N287" s="54"/>
      <c r="O287" s="54">
        <f t="shared" si="35"/>
        <v>0</v>
      </c>
      <c r="P287" s="54">
        <f t="shared" si="36"/>
        <v>-10</v>
      </c>
    </row>
    <row r="288" ht="14.25" customHeight="1">
      <c r="B288" s="145">
        <v>45515.0</v>
      </c>
      <c r="C288" s="141" t="str">
        <f t="shared" si="1"/>
        <v>8-2024</v>
      </c>
      <c r="D288" s="54" t="str">
        <f>E287</f>
        <v/>
      </c>
      <c r="E288" s="54"/>
      <c r="F288" s="54">
        <f t="shared" si="25"/>
        <v>0</v>
      </c>
      <c r="G288" s="54">
        <f t="shared" si="26"/>
        <v>-10</v>
      </c>
      <c r="K288" s="145">
        <v>45515.0</v>
      </c>
      <c r="L288" s="141" t="str">
        <f t="shared" si="34"/>
        <v>8-2024</v>
      </c>
      <c r="M288" s="54"/>
      <c r="N288" s="54"/>
      <c r="O288" s="54">
        <f t="shared" si="35"/>
        <v>0</v>
      </c>
      <c r="P288" s="54">
        <f t="shared" si="36"/>
        <v>-10</v>
      </c>
    </row>
    <row r="289" ht="14.25" customHeight="1">
      <c r="B289" s="164">
        <v>45516.0</v>
      </c>
      <c r="C289" s="141" t="str">
        <f t="shared" si="1"/>
        <v>8-2024</v>
      </c>
      <c r="D289" s="138">
        <v>3305.8</v>
      </c>
      <c r="E289" s="138">
        <v>3308.0</v>
      </c>
      <c r="F289" s="54">
        <f t="shared" si="25"/>
        <v>2.2</v>
      </c>
      <c r="G289" s="54">
        <f t="shared" si="26"/>
        <v>-7.8</v>
      </c>
      <c r="I289" s="28">
        <v>210.0</v>
      </c>
      <c r="K289" s="164">
        <v>45516.0</v>
      </c>
      <c r="L289" s="141" t="str">
        <f t="shared" si="34"/>
        <v>8-2024</v>
      </c>
      <c r="M289" s="138">
        <v>2533.3</v>
      </c>
      <c r="N289" s="138">
        <v>2539.3</v>
      </c>
      <c r="O289" s="54">
        <f t="shared" si="35"/>
        <v>6</v>
      </c>
      <c r="P289" s="54">
        <f t="shared" si="36"/>
        <v>-4</v>
      </c>
      <c r="Q289" s="28" t="s">
        <v>204</v>
      </c>
    </row>
    <row r="290" ht="14.25" customHeight="1">
      <c r="B290" s="164">
        <v>45517.0</v>
      </c>
      <c r="C290" s="141" t="str">
        <f t="shared" si="1"/>
        <v>8-2024</v>
      </c>
      <c r="D290" s="138">
        <v>2539.3</v>
      </c>
      <c r="E290" s="138">
        <v>2547.6</v>
      </c>
      <c r="F290" s="54">
        <f t="shared" si="25"/>
        <v>8.3</v>
      </c>
      <c r="G290" s="54">
        <f t="shared" si="26"/>
        <v>-1.7</v>
      </c>
      <c r="I290" s="28" t="s">
        <v>147</v>
      </c>
      <c r="K290" s="164">
        <v>45517.0</v>
      </c>
      <c r="L290" s="141" t="str">
        <f t="shared" si="34"/>
        <v>8-2024</v>
      </c>
      <c r="M290" s="138">
        <v>200.5</v>
      </c>
      <c r="N290" s="138">
        <v>203.9</v>
      </c>
      <c r="O290" s="54">
        <f t="shared" si="35"/>
        <v>3.4</v>
      </c>
      <c r="P290" s="54">
        <f t="shared" si="36"/>
        <v>-6.6</v>
      </c>
      <c r="Q290" s="28" t="s">
        <v>203</v>
      </c>
    </row>
    <row r="291" ht="14.25" customHeight="1">
      <c r="B291" s="164">
        <v>45518.0</v>
      </c>
      <c r="C291" s="141" t="str">
        <f t="shared" si="1"/>
        <v>8-2024</v>
      </c>
      <c r="D291" s="138">
        <v>2547.6</v>
      </c>
      <c r="E291" s="138">
        <v>2554.0</v>
      </c>
      <c r="F291" s="54">
        <f t="shared" si="25"/>
        <v>6.4</v>
      </c>
      <c r="G291" s="54">
        <f t="shared" si="26"/>
        <v>-3.6</v>
      </c>
      <c r="H291" s="28">
        <v>150.0</v>
      </c>
      <c r="I291" s="28" t="s">
        <v>147</v>
      </c>
      <c r="K291" s="164">
        <v>45518.0</v>
      </c>
      <c r="L291" s="141" t="str">
        <f t="shared" si="34"/>
        <v>8-2024</v>
      </c>
      <c r="M291" s="138">
        <f t="shared" ref="M291:M293" si="38">N290</f>
        <v>203.9</v>
      </c>
      <c r="N291" s="138">
        <v>208.5</v>
      </c>
      <c r="O291" s="54">
        <f t="shared" si="35"/>
        <v>4.6</v>
      </c>
      <c r="P291" s="54">
        <f t="shared" si="36"/>
        <v>-5.4</v>
      </c>
      <c r="Q291" s="28" t="s">
        <v>203</v>
      </c>
    </row>
    <row r="292" ht="14.25" customHeight="1">
      <c r="B292" s="164">
        <v>45519.0</v>
      </c>
      <c r="C292" s="141" t="str">
        <f t="shared" si="1"/>
        <v>8-2024</v>
      </c>
      <c r="D292" s="54">
        <f t="shared" ref="D292:D293" si="39">E291</f>
        <v>2554</v>
      </c>
      <c r="E292" s="138">
        <v>2564.0</v>
      </c>
      <c r="F292" s="54">
        <f t="shared" si="25"/>
        <v>10</v>
      </c>
      <c r="G292" s="54">
        <f t="shared" si="26"/>
        <v>0</v>
      </c>
      <c r="I292" s="28" t="s">
        <v>147</v>
      </c>
      <c r="K292" s="164">
        <v>45519.0</v>
      </c>
      <c r="L292" s="141" t="str">
        <f t="shared" si="34"/>
        <v>8-2024</v>
      </c>
      <c r="M292" s="54">
        <f t="shared" si="38"/>
        <v>208.5</v>
      </c>
      <c r="N292" s="138">
        <v>215.2</v>
      </c>
      <c r="O292" s="54">
        <f t="shared" si="35"/>
        <v>6.7</v>
      </c>
      <c r="P292" s="54">
        <f t="shared" si="36"/>
        <v>-3.3</v>
      </c>
      <c r="Q292" s="28" t="s">
        <v>203</v>
      </c>
    </row>
    <row r="293" ht="14.25" customHeight="1">
      <c r="B293" s="164">
        <v>45520.0</v>
      </c>
      <c r="C293" s="141" t="str">
        <f t="shared" si="1"/>
        <v>8-2024</v>
      </c>
      <c r="D293" s="54">
        <f t="shared" si="39"/>
        <v>2564</v>
      </c>
      <c r="E293" s="138">
        <v>2568.5</v>
      </c>
      <c r="F293" s="54">
        <f t="shared" si="25"/>
        <v>4.5</v>
      </c>
      <c r="G293" s="54">
        <f t="shared" si="26"/>
        <v>-5.5</v>
      </c>
      <c r="H293" s="28">
        <v>184.0</v>
      </c>
      <c r="I293" s="28" t="s">
        <v>147</v>
      </c>
      <c r="K293" s="164">
        <v>45520.0</v>
      </c>
      <c r="L293" s="141" t="str">
        <f t="shared" si="34"/>
        <v>8-2024</v>
      </c>
      <c r="M293" s="54">
        <f t="shared" si="38"/>
        <v>215.2</v>
      </c>
      <c r="N293" s="138">
        <v>221.5</v>
      </c>
      <c r="O293" s="54">
        <f t="shared" si="35"/>
        <v>6.3</v>
      </c>
      <c r="P293" s="54">
        <f t="shared" si="36"/>
        <v>-3.7</v>
      </c>
      <c r="Q293" s="28" t="s">
        <v>203</v>
      </c>
    </row>
    <row r="294" ht="14.25" customHeight="1">
      <c r="B294" s="145">
        <v>45521.0</v>
      </c>
      <c r="C294" s="141" t="str">
        <f t="shared" si="1"/>
        <v>8-2024</v>
      </c>
      <c r="D294" s="54"/>
      <c r="E294" s="54"/>
      <c r="F294" s="54">
        <f t="shared" si="25"/>
        <v>0</v>
      </c>
      <c r="G294" s="54">
        <f t="shared" si="26"/>
        <v>-10</v>
      </c>
      <c r="K294" s="145">
        <v>45521.0</v>
      </c>
      <c r="L294" s="141" t="str">
        <f t="shared" si="34"/>
        <v>8-2024</v>
      </c>
      <c r="M294" s="54"/>
      <c r="N294" s="54"/>
      <c r="O294" s="54">
        <f t="shared" si="35"/>
        <v>0</v>
      </c>
      <c r="P294" s="54">
        <f t="shared" si="36"/>
        <v>-10</v>
      </c>
    </row>
    <row r="295" ht="14.25" customHeight="1">
      <c r="B295" s="145">
        <v>45522.0</v>
      </c>
      <c r="C295" s="141" t="str">
        <f t="shared" si="1"/>
        <v>8-2024</v>
      </c>
      <c r="D295" s="54" t="str">
        <f>E294</f>
        <v/>
      </c>
      <c r="E295" s="54"/>
      <c r="F295" s="54">
        <f t="shared" si="25"/>
        <v>0</v>
      </c>
      <c r="G295" s="54">
        <f t="shared" si="26"/>
        <v>-10</v>
      </c>
      <c r="K295" s="145">
        <v>45522.0</v>
      </c>
      <c r="L295" s="141" t="str">
        <f t="shared" si="34"/>
        <v>8-2024</v>
      </c>
      <c r="M295" s="54" t="str">
        <f>N294</f>
        <v/>
      </c>
      <c r="N295" s="54"/>
      <c r="O295" s="54">
        <f t="shared" si="35"/>
        <v>0</v>
      </c>
      <c r="P295" s="54">
        <f t="shared" si="36"/>
        <v>-10</v>
      </c>
    </row>
    <row r="296" ht="14.25" customHeight="1">
      <c r="B296" s="164">
        <v>45523.0</v>
      </c>
      <c r="C296" s="141" t="str">
        <f t="shared" si="1"/>
        <v>8-2024</v>
      </c>
      <c r="D296" s="138">
        <v>3308.0</v>
      </c>
      <c r="E296" s="138">
        <v>3315.0</v>
      </c>
      <c r="F296" s="54">
        <f t="shared" si="25"/>
        <v>7</v>
      </c>
      <c r="G296" s="54">
        <f t="shared" si="26"/>
        <v>-3</v>
      </c>
      <c r="H296" s="28">
        <v>200.0</v>
      </c>
      <c r="I296" s="28">
        <v>210.0</v>
      </c>
      <c r="K296" s="164">
        <v>45523.0</v>
      </c>
      <c r="L296" s="141" t="str">
        <f t="shared" si="34"/>
        <v>8-2024</v>
      </c>
      <c r="M296" s="138">
        <v>221.5</v>
      </c>
      <c r="N296" s="138">
        <v>223.0</v>
      </c>
      <c r="O296" s="54">
        <f t="shared" si="35"/>
        <v>1.5</v>
      </c>
      <c r="P296" s="54">
        <f t="shared" si="36"/>
        <v>-8.5</v>
      </c>
      <c r="Q296" s="28" t="s">
        <v>203</v>
      </c>
      <c r="R296" s="28" t="s">
        <v>205</v>
      </c>
    </row>
    <row r="297" ht="14.25" customHeight="1">
      <c r="B297" s="164">
        <v>45524.0</v>
      </c>
      <c r="C297" s="141" t="str">
        <f t="shared" si="1"/>
        <v>8-2024</v>
      </c>
      <c r="D297" s="54">
        <f t="shared" ref="D297:D299" si="40">E296</f>
        <v>3315</v>
      </c>
      <c r="E297" s="138">
        <v>3325.0</v>
      </c>
      <c r="F297" s="54">
        <f t="shared" si="25"/>
        <v>10</v>
      </c>
      <c r="G297" s="54">
        <f t="shared" si="26"/>
        <v>0</v>
      </c>
      <c r="I297" s="28">
        <v>210.0</v>
      </c>
      <c r="K297" s="164">
        <v>45524.0</v>
      </c>
      <c r="L297" s="141" t="str">
        <f t="shared" si="34"/>
        <v>8-2024</v>
      </c>
      <c r="M297" s="54">
        <f>N296</f>
        <v>223</v>
      </c>
      <c r="N297" s="138">
        <v>227.0</v>
      </c>
      <c r="O297" s="54">
        <f t="shared" si="35"/>
        <v>4</v>
      </c>
      <c r="P297" s="54">
        <f t="shared" si="36"/>
        <v>-6</v>
      </c>
      <c r="Q297" s="28" t="s">
        <v>147</v>
      </c>
    </row>
    <row r="298" ht="14.25" customHeight="1">
      <c r="B298" s="164">
        <v>45525.0</v>
      </c>
      <c r="C298" s="141" t="str">
        <f t="shared" si="1"/>
        <v>8-2024</v>
      </c>
      <c r="D298" s="54">
        <f t="shared" si="40"/>
        <v>3325</v>
      </c>
      <c r="E298" s="138">
        <v>3335.0</v>
      </c>
      <c r="F298" s="54">
        <f t="shared" si="25"/>
        <v>10</v>
      </c>
      <c r="G298" s="54">
        <f t="shared" si="26"/>
        <v>0</v>
      </c>
      <c r="H298" s="28">
        <v>200.0</v>
      </c>
      <c r="I298" s="28">
        <v>210.0</v>
      </c>
      <c r="K298" s="164">
        <v>45525.0</v>
      </c>
      <c r="L298" s="141" t="str">
        <f t="shared" si="34"/>
        <v>8-2024</v>
      </c>
      <c r="M298" s="138">
        <v>2577.0</v>
      </c>
      <c r="N298" s="138">
        <v>2584.4</v>
      </c>
      <c r="O298" s="54">
        <f t="shared" si="35"/>
        <v>7.4</v>
      </c>
      <c r="P298" s="54">
        <f t="shared" si="36"/>
        <v>-2.6</v>
      </c>
      <c r="Q298" s="28" t="s">
        <v>147</v>
      </c>
    </row>
    <row r="299" ht="14.25" customHeight="1">
      <c r="B299" s="164">
        <v>45526.0</v>
      </c>
      <c r="C299" s="141" t="str">
        <f t="shared" si="1"/>
        <v>8-2024</v>
      </c>
      <c r="D299" s="54">
        <f t="shared" si="40"/>
        <v>3335</v>
      </c>
      <c r="E299" s="138">
        <v>3346.2</v>
      </c>
      <c r="F299" s="54">
        <f t="shared" si="25"/>
        <v>11.2</v>
      </c>
      <c r="G299" s="54">
        <f t="shared" si="26"/>
        <v>1.2</v>
      </c>
      <c r="H299" s="28">
        <v>200.0</v>
      </c>
      <c r="I299" s="28">
        <v>210.0</v>
      </c>
      <c r="K299" s="164">
        <v>45526.0</v>
      </c>
      <c r="L299" s="141" t="str">
        <f t="shared" si="34"/>
        <v>8-2024</v>
      </c>
      <c r="M299" s="54">
        <f>N298</f>
        <v>2584.4</v>
      </c>
      <c r="N299" s="138">
        <v>2590.0</v>
      </c>
      <c r="O299" s="54">
        <f t="shared" si="35"/>
        <v>5.6</v>
      </c>
      <c r="P299" s="54">
        <f t="shared" si="36"/>
        <v>-4.4</v>
      </c>
      <c r="Q299" s="28" t="s">
        <v>204</v>
      </c>
    </row>
    <row r="300" ht="14.25" customHeight="1">
      <c r="B300" s="164">
        <v>45527.0</v>
      </c>
      <c r="C300" s="141" t="str">
        <f t="shared" si="1"/>
        <v>8-2024</v>
      </c>
      <c r="D300" s="138">
        <v>2590.0</v>
      </c>
      <c r="E300" s="138">
        <v>2593.3</v>
      </c>
      <c r="F300" s="54">
        <f t="shared" si="25"/>
        <v>3.3</v>
      </c>
      <c r="G300" s="54">
        <f t="shared" si="26"/>
        <v>-6.7</v>
      </c>
      <c r="I300" s="28" t="s">
        <v>147</v>
      </c>
      <c r="K300" s="164">
        <v>45527.0</v>
      </c>
      <c r="L300" s="141" t="str">
        <f t="shared" si="34"/>
        <v>8-2024</v>
      </c>
      <c r="M300" s="54"/>
      <c r="N300" s="138"/>
      <c r="O300" s="54">
        <f t="shared" si="35"/>
        <v>0</v>
      </c>
      <c r="P300" s="54">
        <f t="shared" si="36"/>
        <v>-10</v>
      </c>
    </row>
    <row r="301" ht="14.25" customHeight="1">
      <c r="B301" s="145">
        <v>45528.0</v>
      </c>
      <c r="C301" s="141" t="str">
        <f t="shared" si="1"/>
        <v>8-2024</v>
      </c>
      <c r="D301" s="54"/>
      <c r="E301" s="54"/>
      <c r="F301" s="54">
        <f t="shared" si="25"/>
        <v>0</v>
      </c>
      <c r="G301" s="54">
        <f t="shared" si="26"/>
        <v>-10</v>
      </c>
      <c r="K301" s="145">
        <v>45528.0</v>
      </c>
      <c r="L301" s="141" t="str">
        <f t="shared" si="34"/>
        <v>8-2024</v>
      </c>
      <c r="M301" s="138">
        <v>235.1</v>
      </c>
      <c r="N301" s="138">
        <v>239.3</v>
      </c>
      <c r="O301" s="54">
        <f t="shared" si="35"/>
        <v>4.2</v>
      </c>
      <c r="P301" s="54">
        <f t="shared" si="36"/>
        <v>-5.8</v>
      </c>
      <c r="Q301" s="28" t="s">
        <v>206</v>
      </c>
      <c r="R301" s="28" t="s">
        <v>207</v>
      </c>
    </row>
    <row r="302" ht="14.25" customHeight="1">
      <c r="B302" s="145">
        <v>45529.0</v>
      </c>
      <c r="C302" s="141" t="str">
        <f t="shared" si="1"/>
        <v>8-2024</v>
      </c>
      <c r="D302" s="54" t="str">
        <f>E301</f>
        <v/>
      </c>
      <c r="E302" s="54"/>
      <c r="F302" s="54">
        <f t="shared" si="25"/>
        <v>0</v>
      </c>
      <c r="G302" s="54">
        <f t="shared" si="26"/>
        <v>-10</v>
      </c>
      <c r="K302" s="145">
        <v>45529.0</v>
      </c>
      <c r="L302" s="141" t="str">
        <f t="shared" si="34"/>
        <v>8-2024</v>
      </c>
      <c r="M302" s="54"/>
      <c r="N302" s="54"/>
      <c r="O302" s="54">
        <f t="shared" si="35"/>
        <v>0</v>
      </c>
      <c r="P302" s="54">
        <f t="shared" si="36"/>
        <v>-10</v>
      </c>
    </row>
    <row r="303" ht="14.25" customHeight="1">
      <c r="B303" s="164">
        <v>45530.0</v>
      </c>
      <c r="C303" s="141" t="str">
        <f t="shared" si="1"/>
        <v>8-2024</v>
      </c>
      <c r="D303" s="138">
        <v>2596.3</v>
      </c>
      <c r="E303" s="138">
        <v>2598.0</v>
      </c>
      <c r="F303" s="54">
        <f t="shared" si="25"/>
        <v>1.7</v>
      </c>
      <c r="G303" s="54">
        <f t="shared" si="26"/>
        <v>-8.3</v>
      </c>
      <c r="I303" s="28" t="s">
        <v>147</v>
      </c>
      <c r="K303" s="164">
        <v>45530.0</v>
      </c>
      <c r="L303" s="141" t="str">
        <f t="shared" si="34"/>
        <v>8-2024</v>
      </c>
      <c r="M303" s="54" t="str">
        <f t="shared" ref="M303:M304" si="41">N302</f>
        <v/>
      </c>
      <c r="N303" s="138"/>
      <c r="O303" s="54">
        <f t="shared" si="35"/>
        <v>0</v>
      </c>
      <c r="P303" s="54">
        <f t="shared" si="36"/>
        <v>-10</v>
      </c>
    </row>
    <row r="304" ht="14.25" customHeight="1">
      <c r="B304" s="164">
        <v>45531.0</v>
      </c>
      <c r="C304" s="141" t="str">
        <f t="shared" si="1"/>
        <v>8-2024</v>
      </c>
      <c r="D304" s="138">
        <v>3348.5</v>
      </c>
      <c r="E304" s="138">
        <v>3358.5</v>
      </c>
      <c r="F304" s="54">
        <f t="shared" si="25"/>
        <v>10</v>
      </c>
      <c r="G304" s="54">
        <f t="shared" si="26"/>
        <v>0</v>
      </c>
      <c r="H304" s="28">
        <v>234.0</v>
      </c>
      <c r="I304" s="28">
        <v>210.0</v>
      </c>
      <c r="K304" s="164">
        <v>45531.0</v>
      </c>
      <c r="L304" s="141" t="str">
        <f t="shared" si="34"/>
        <v>8-2024</v>
      </c>
      <c r="M304" s="54" t="str">
        <f t="shared" si="41"/>
        <v/>
      </c>
      <c r="N304" s="138"/>
      <c r="O304" s="54">
        <f t="shared" si="35"/>
        <v>0</v>
      </c>
      <c r="P304" s="54">
        <f t="shared" si="36"/>
        <v>-10</v>
      </c>
    </row>
    <row r="305" ht="14.25" customHeight="1">
      <c r="B305" s="164">
        <v>45532.0</v>
      </c>
      <c r="C305" s="141" t="str">
        <f t="shared" si="1"/>
        <v>8-2024</v>
      </c>
      <c r="D305" s="138">
        <v>3358.5</v>
      </c>
      <c r="E305" s="138">
        <v>3367.0</v>
      </c>
      <c r="F305" s="54">
        <f t="shared" si="25"/>
        <v>8.5</v>
      </c>
      <c r="G305" s="54">
        <f t="shared" si="26"/>
        <v>-1.5</v>
      </c>
      <c r="I305" s="28">
        <v>210.0</v>
      </c>
      <c r="K305" s="164">
        <v>45532.0</v>
      </c>
      <c r="L305" s="141" t="str">
        <f t="shared" si="34"/>
        <v>8-2024</v>
      </c>
      <c r="M305" s="138">
        <v>2599.3</v>
      </c>
      <c r="N305" s="138">
        <v>2607.5</v>
      </c>
      <c r="O305" s="54">
        <f t="shared" si="35"/>
        <v>8.2</v>
      </c>
      <c r="P305" s="54">
        <f t="shared" si="36"/>
        <v>-1.8</v>
      </c>
      <c r="Q305" s="28" t="s">
        <v>147</v>
      </c>
    </row>
    <row r="306" ht="14.25" customHeight="1">
      <c r="B306" s="164">
        <v>45533.0</v>
      </c>
      <c r="C306" s="141" t="str">
        <f t="shared" si="1"/>
        <v>8-2024</v>
      </c>
      <c r="D306" s="54">
        <f t="shared" ref="D306:D307" si="42">E305</f>
        <v>3367</v>
      </c>
      <c r="E306" s="138">
        <v>3377.0</v>
      </c>
      <c r="F306" s="54">
        <f t="shared" si="25"/>
        <v>10</v>
      </c>
      <c r="G306" s="54">
        <f t="shared" si="26"/>
        <v>0</v>
      </c>
      <c r="I306" s="28">
        <v>210.0</v>
      </c>
      <c r="K306" s="164">
        <v>45533.0</v>
      </c>
      <c r="L306" s="141" t="str">
        <f t="shared" si="34"/>
        <v>8-2024</v>
      </c>
      <c r="M306" s="138">
        <v>2612.2</v>
      </c>
      <c r="N306" s="138">
        <v>2619.2</v>
      </c>
      <c r="O306" s="54">
        <f t="shared" si="35"/>
        <v>7</v>
      </c>
      <c r="P306" s="54">
        <f t="shared" si="36"/>
        <v>-3</v>
      </c>
      <c r="Q306" s="28" t="s">
        <v>147</v>
      </c>
    </row>
    <row r="307" ht="14.25" customHeight="1">
      <c r="B307" s="164">
        <v>45534.0</v>
      </c>
      <c r="C307" s="141" t="str">
        <f t="shared" si="1"/>
        <v>8-2024</v>
      </c>
      <c r="D307" s="54">
        <f t="shared" si="42"/>
        <v>3377</v>
      </c>
      <c r="E307" s="138">
        <v>3380.0</v>
      </c>
      <c r="F307" s="54">
        <f t="shared" si="25"/>
        <v>3</v>
      </c>
      <c r="G307" s="54">
        <f t="shared" si="26"/>
        <v>-7</v>
      </c>
      <c r="I307" s="28">
        <v>210.0</v>
      </c>
      <c r="K307" s="164">
        <v>45534.0</v>
      </c>
      <c r="L307" s="141" t="str">
        <f t="shared" si="34"/>
        <v>8-2024</v>
      </c>
      <c r="M307" s="54"/>
      <c r="N307" s="138"/>
      <c r="O307" s="54">
        <f t="shared" si="35"/>
        <v>0</v>
      </c>
      <c r="P307" s="54">
        <f t="shared" si="36"/>
        <v>-10</v>
      </c>
    </row>
    <row r="308" ht="14.25" customHeight="1">
      <c r="B308" s="145">
        <v>45535.0</v>
      </c>
      <c r="C308" s="141" t="str">
        <f t="shared" si="1"/>
        <v>8-2024</v>
      </c>
      <c r="D308" s="54"/>
      <c r="E308" s="54"/>
      <c r="F308" s="54">
        <f t="shared" si="25"/>
        <v>0</v>
      </c>
      <c r="G308" s="54">
        <f t="shared" si="26"/>
        <v>-10</v>
      </c>
      <c r="K308" s="145">
        <v>45535.0</v>
      </c>
      <c r="L308" s="141" t="str">
        <f t="shared" si="34"/>
        <v>8-2024</v>
      </c>
      <c r="M308" s="138">
        <v>2619.2</v>
      </c>
      <c r="N308" s="203">
        <v>2625.2</v>
      </c>
      <c r="O308" s="54">
        <f t="shared" si="35"/>
        <v>6</v>
      </c>
      <c r="P308" s="54">
        <f t="shared" si="36"/>
        <v>-4</v>
      </c>
      <c r="Q308" s="28" t="s">
        <v>147</v>
      </c>
    </row>
    <row r="309" ht="14.25" customHeight="1">
      <c r="B309" s="145">
        <v>45536.0</v>
      </c>
      <c r="C309" s="141" t="str">
        <f t="shared" si="1"/>
        <v>9-2024</v>
      </c>
      <c r="D309" s="54" t="str">
        <f>E308</f>
        <v/>
      </c>
      <c r="E309" s="54"/>
      <c r="F309" s="54">
        <f t="shared" si="25"/>
        <v>0</v>
      </c>
      <c r="G309" s="54">
        <f t="shared" si="26"/>
        <v>-10</v>
      </c>
      <c r="M309" s="54"/>
    </row>
    <row r="310" ht="14.25" customHeight="1">
      <c r="B310" s="140">
        <v>45537.0</v>
      </c>
      <c r="C310" s="141" t="str">
        <f t="shared" si="1"/>
        <v>9-2024</v>
      </c>
      <c r="D310" s="203">
        <v>2625.2</v>
      </c>
      <c r="E310" s="138">
        <v>2631.9</v>
      </c>
      <c r="F310" s="54">
        <f t="shared" si="25"/>
        <v>6.7</v>
      </c>
      <c r="G310" s="54">
        <f t="shared" si="26"/>
        <v>-3.3</v>
      </c>
      <c r="I310" s="28" t="s">
        <v>147</v>
      </c>
      <c r="J310" s="28" t="s">
        <v>208</v>
      </c>
      <c r="M310" s="54" t="str">
        <f t="shared" ref="M310:M319" si="43">N309</f>
        <v/>
      </c>
    </row>
    <row r="311" ht="14.25" customHeight="1">
      <c r="B311" s="140">
        <v>45538.0</v>
      </c>
      <c r="C311" s="141" t="str">
        <f t="shared" si="1"/>
        <v>9-2024</v>
      </c>
      <c r="D311" s="54">
        <f t="shared" ref="D311:D314" si="44">E310</f>
        <v>2631.9</v>
      </c>
      <c r="E311" s="138">
        <v>2635.2</v>
      </c>
      <c r="F311" s="54">
        <f t="shared" si="25"/>
        <v>3.3</v>
      </c>
      <c r="G311" s="54">
        <f t="shared" si="26"/>
        <v>-6.7</v>
      </c>
      <c r="H311" s="28">
        <v>119.0</v>
      </c>
      <c r="I311" s="28" t="s">
        <v>147</v>
      </c>
      <c r="J311" s="28" t="s">
        <v>208</v>
      </c>
      <c r="M311" s="54" t="str">
        <f t="shared" si="43"/>
        <v/>
      </c>
    </row>
    <row r="312" ht="14.25" customHeight="1">
      <c r="B312" s="140">
        <v>45539.0</v>
      </c>
      <c r="C312" s="141" t="str">
        <f t="shared" si="1"/>
        <v>9-2024</v>
      </c>
      <c r="D312" s="54">
        <f t="shared" si="44"/>
        <v>2635.2</v>
      </c>
      <c r="E312" s="138">
        <v>2643.7</v>
      </c>
      <c r="F312" s="54">
        <f t="shared" si="25"/>
        <v>8.5</v>
      </c>
      <c r="G312" s="54">
        <f t="shared" si="26"/>
        <v>-1.5</v>
      </c>
      <c r="I312" s="28" t="s">
        <v>147</v>
      </c>
      <c r="J312" s="28" t="s">
        <v>208</v>
      </c>
      <c r="M312" s="54" t="str">
        <f t="shared" si="43"/>
        <v/>
      </c>
    </row>
    <row r="313" ht="14.25" customHeight="1">
      <c r="B313" s="140">
        <v>45540.0</v>
      </c>
      <c r="C313" s="141" t="str">
        <f t="shared" si="1"/>
        <v>9-2024</v>
      </c>
      <c r="D313" s="54">
        <f t="shared" si="44"/>
        <v>2643.7</v>
      </c>
      <c r="E313" s="138">
        <v>2652.9</v>
      </c>
      <c r="F313" s="54">
        <f t="shared" si="25"/>
        <v>9.2</v>
      </c>
      <c r="G313" s="54">
        <f t="shared" si="26"/>
        <v>-0.8</v>
      </c>
      <c r="I313" s="28" t="s">
        <v>147</v>
      </c>
      <c r="J313" s="28" t="s">
        <v>208</v>
      </c>
      <c r="M313" s="54" t="str">
        <f t="shared" si="43"/>
        <v/>
      </c>
    </row>
    <row r="314" ht="14.25" customHeight="1">
      <c r="B314" s="140">
        <v>45541.0</v>
      </c>
      <c r="C314" s="141" t="str">
        <f t="shared" si="1"/>
        <v>9-2024</v>
      </c>
      <c r="D314" s="54">
        <f t="shared" si="44"/>
        <v>2652.9</v>
      </c>
      <c r="E314" s="138">
        <v>2660.6</v>
      </c>
      <c r="F314" s="54">
        <f t="shared" si="25"/>
        <v>7.7</v>
      </c>
      <c r="G314" s="54">
        <f t="shared" si="26"/>
        <v>-2.3</v>
      </c>
      <c r="H314" s="28">
        <v>115.0</v>
      </c>
      <c r="I314" s="28" t="s">
        <v>147</v>
      </c>
      <c r="J314" s="28" t="s">
        <v>208</v>
      </c>
      <c r="M314" s="54" t="str">
        <f t="shared" si="43"/>
        <v/>
      </c>
    </row>
    <row r="315" ht="14.25" customHeight="1">
      <c r="B315" s="145">
        <v>45542.0</v>
      </c>
      <c r="C315" s="141" t="str">
        <f t="shared" si="1"/>
        <v>9-2024</v>
      </c>
      <c r="D315" s="54"/>
      <c r="E315" s="54"/>
      <c r="F315" s="54">
        <f t="shared" si="25"/>
        <v>0</v>
      </c>
      <c r="G315" s="54">
        <f t="shared" si="26"/>
        <v>-10</v>
      </c>
      <c r="M315" s="54" t="str">
        <f t="shared" si="43"/>
        <v/>
      </c>
    </row>
    <row r="316" ht="14.25" customHeight="1">
      <c r="B316" s="145">
        <v>45543.0</v>
      </c>
      <c r="C316" s="141" t="str">
        <f t="shared" si="1"/>
        <v>9-2024</v>
      </c>
      <c r="D316" s="138">
        <v>2664.3</v>
      </c>
      <c r="E316" s="138">
        <v>2675.3</v>
      </c>
      <c r="F316" s="54">
        <f t="shared" si="25"/>
        <v>11</v>
      </c>
      <c r="G316" s="54">
        <f t="shared" si="26"/>
        <v>1</v>
      </c>
      <c r="I316" s="28" t="s">
        <v>147</v>
      </c>
      <c r="J316" s="28" t="s">
        <v>208</v>
      </c>
      <c r="M316" s="54" t="str">
        <f t="shared" si="43"/>
        <v/>
      </c>
    </row>
    <row r="317" ht="14.25" customHeight="1">
      <c r="B317" s="140">
        <v>45544.0</v>
      </c>
      <c r="C317" s="141" t="str">
        <f t="shared" si="1"/>
        <v>9-2024</v>
      </c>
      <c r="D317" s="54">
        <f>E316</f>
        <v>2675.3</v>
      </c>
      <c r="E317" s="138">
        <v>2678.0</v>
      </c>
      <c r="F317" s="54">
        <f t="shared" si="25"/>
        <v>2.7</v>
      </c>
      <c r="G317" s="54">
        <f t="shared" si="26"/>
        <v>-7.3</v>
      </c>
      <c r="H317" s="28">
        <v>115.0</v>
      </c>
      <c r="I317" s="28" t="s">
        <v>147</v>
      </c>
      <c r="J317" s="28" t="s">
        <v>208</v>
      </c>
      <c r="M317" s="54" t="str">
        <f t="shared" si="43"/>
        <v/>
      </c>
    </row>
    <row r="318" ht="14.25" customHeight="1">
      <c r="B318" s="140">
        <v>45545.0</v>
      </c>
      <c r="C318" s="141" t="str">
        <f t="shared" si="1"/>
        <v>9-2024</v>
      </c>
      <c r="D318" s="138">
        <v>2678.0</v>
      </c>
      <c r="E318" s="138">
        <v>2685.9</v>
      </c>
      <c r="F318" s="54">
        <f t="shared" si="25"/>
        <v>7.9</v>
      </c>
      <c r="G318" s="54">
        <f t="shared" si="26"/>
        <v>-2.1</v>
      </c>
      <c r="I318" s="28" t="s">
        <v>147</v>
      </c>
      <c r="J318" s="28" t="s">
        <v>208</v>
      </c>
      <c r="M318" s="54" t="str">
        <f t="shared" si="43"/>
        <v/>
      </c>
    </row>
    <row r="319" ht="14.25" customHeight="1">
      <c r="B319" s="140">
        <v>45546.0</v>
      </c>
      <c r="C319" s="141" t="str">
        <f t="shared" si="1"/>
        <v>9-2024</v>
      </c>
      <c r="D319" s="54"/>
      <c r="E319" s="138"/>
      <c r="F319" s="54">
        <f t="shared" si="25"/>
        <v>0</v>
      </c>
      <c r="G319" s="54">
        <f t="shared" si="26"/>
        <v>-10</v>
      </c>
      <c r="M319" s="54" t="str">
        <f t="shared" si="43"/>
        <v/>
      </c>
    </row>
    <row r="320" ht="14.25" customHeight="1">
      <c r="B320" s="142">
        <v>45547.0</v>
      </c>
      <c r="C320" s="143" t="str">
        <f t="shared" si="1"/>
        <v>9-2024</v>
      </c>
      <c r="D320" s="144">
        <v>2685.9</v>
      </c>
      <c r="E320" s="144">
        <v>2692.3</v>
      </c>
      <c r="F320" s="92">
        <f t="shared" si="25"/>
        <v>6.4</v>
      </c>
      <c r="G320" s="92">
        <f t="shared" si="26"/>
        <v>-3.6</v>
      </c>
      <c r="H320" s="144">
        <v>115.0</v>
      </c>
      <c r="I320" s="144" t="s">
        <v>147</v>
      </c>
      <c r="J320" s="144" t="s">
        <v>208</v>
      </c>
    </row>
    <row r="321" ht="14.25" customHeight="1">
      <c r="B321" s="142">
        <v>45548.0</v>
      </c>
      <c r="C321" s="143" t="str">
        <f t="shared" si="1"/>
        <v>9-2024</v>
      </c>
      <c r="D321" s="92">
        <f t="shared" ref="D321:D323" si="45">E320</f>
        <v>2692.3</v>
      </c>
      <c r="E321" s="92"/>
      <c r="F321" s="92">
        <f t="shared" si="25"/>
        <v>-2692.3</v>
      </c>
      <c r="G321" s="92">
        <f t="shared" si="26"/>
        <v>-2702.3</v>
      </c>
      <c r="H321" s="92"/>
      <c r="I321" s="144" t="s">
        <v>147</v>
      </c>
      <c r="J321" s="144" t="s">
        <v>208</v>
      </c>
    </row>
    <row r="322" ht="14.25" customHeight="1">
      <c r="B322" s="142">
        <v>45549.0</v>
      </c>
      <c r="C322" s="143" t="str">
        <f t="shared" si="1"/>
        <v>9-2024</v>
      </c>
      <c r="D322" s="92" t="str">
        <f t="shared" si="45"/>
        <v/>
      </c>
      <c r="E322" s="92"/>
      <c r="F322" s="92">
        <f t="shared" si="25"/>
        <v>0</v>
      </c>
      <c r="G322" s="92">
        <f t="shared" si="26"/>
        <v>-10</v>
      </c>
      <c r="H322" s="92"/>
      <c r="I322" s="92"/>
      <c r="J322" s="92"/>
    </row>
    <row r="323" ht="14.25" customHeight="1">
      <c r="B323" s="142">
        <v>45550.0</v>
      </c>
      <c r="C323" s="143" t="str">
        <f t="shared" si="1"/>
        <v>9-2024</v>
      </c>
      <c r="D323" s="92" t="str">
        <f t="shared" si="45"/>
        <v/>
      </c>
      <c r="E323" s="92"/>
      <c r="F323" s="92">
        <f t="shared" si="25"/>
        <v>0</v>
      </c>
      <c r="G323" s="92">
        <f t="shared" si="26"/>
        <v>-10</v>
      </c>
      <c r="H323" s="92"/>
      <c r="I323" s="92"/>
      <c r="J323" s="92"/>
    </row>
    <row r="324" ht="14.25" customHeight="1">
      <c r="B324" s="142">
        <v>45551.0</v>
      </c>
      <c r="C324" s="143" t="str">
        <f t="shared" si="1"/>
        <v>9-2024</v>
      </c>
      <c r="D324" s="144">
        <v>2706.0</v>
      </c>
      <c r="E324" s="144">
        <v>2714.9</v>
      </c>
      <c r="F324" s="92">
        <f t="shared" si="25"/>
        <v>8.9</v>
      </c>
      <c r="G324" s="92">
        <f t="shared" si="26"/>
        <v>-1.1</v>
      </c>
      <c r="H324" s="92"/>
      <c r="I324" s="92"/>
      <c r="J324" s="144" t="s">
        <v>209</v>
      </c>
    </row>
    <row r="325" ht="14.25" customHeight="1">
      <c r="B325" s="140">
        <v>45552.0</v>
      </c>
      <c r="C325" s="141" t="str">
        <f t="shared" si="1"/>
        <v>9-2024</v>
      </c>
      <c r="D325" s="54">
        <f t="shared" ref="D325:D329" si="46">E324</f>
        <v>2714.9</v>
      </c>
      <c r="E325" s="138">
        <v>2719.3</v>
      </c>
      <c r="F325" s="54">
        <f t="shared" si="25"/>
        <v>4.4</v>
      </c>
      <c r="G325" s="54">
        <f t="shared" si="26"/>
        <v>-5.6</v>
      </c>
      <c r="J325" s="28" t="s">
        <v>209</v>
      </c>
    </row>
    <row r="326" ht="14.25" customHeight="1">
      <c r="B326" s="140">
        <v>45553.0</v>
      </c>
      <c r="C326" s="141" t="str">
        <f t="shared" si="1"/>
        <v>9-2024</v>
      </c>
      <c r="D326" s="54">
        <f t="shared" si="46"/>
        <v>2719.3</v>
      </c>
      <c r="E326" s="138">
        <v>219.9</v>
      </c>
      <c r="F326" s="54">
        <f t="shared" si="25"/>
        <v>-2499.4</v>
      </c>
      <c r="G326" s="54">
        <f t="shared" si="26"/>
        <v>-2509.4</v>
      </c>
      <c r="J326" s="28" t="s">
        <v>209</v>
      </c>
    </row>
    <row r="327" ht="14.25" customHeight="1">
      <c r="B327" s="140">
        <v>45554.0</v>
      </c>
      <c r="C327" s="141" t="str">
        <f t="shared" si="1"/>
        <v>9-2024</v>
      </c>
      <c r="D327" s="54">
        <f t="shared" si="46"/>
        <v>219.9</v>
      </c>
      <c r="E327" s="138">
        <v>2737.8</v>
      </c>
      <c r="F327" s="54">
        <f t="shared" si="25"/>
        <v>2517.9</v>
      </c>
      <c r="G327" s="54">
        <f t="shared" si="26"/>
        <v>2507.9</v>
      </c>
      <c r="J327" s="28" t="s">
        <v>209</v>
      </c>
    </row>
    <row r="328" ht="14.25" customHeight="1">
      <c r="B328" s="140">
        <v>45555.0</v>
      </c>
      <c r="C328" s="141" t="str">
        <f t="shared" si="1"/>
        <v>9-2024</v>
      </c>
      <c r="D328" s="54">
        <f t="shared" si="46"/>
        <v>2737.8</v>
      </c>
      <c r="E328" s="138">
        <v>2743.8</v>
      </c>
      <c r="F328" s="54">
        <f t="shared" si="25"/>
        <v>6</v>
      </c>
      <c r="G328" s="54">
        <f t="shared" si="26"/>
        <v>-4</v>
      </c>
      <c r="J328" s="28" t="s">
        <v>209</v>
      </c>
    </row>
    <row r="329" ht="14.25" customHeight="1">
      <c r="B329" s="145">
        <v>45556.0</v>
      </c>
      <c r="C329" s="141" t="str">
        <f t="shared" si="1"/>
        <v>9-2024</v>
      </c>
      <c r="D329" s="54">
        <f t="shared" si="46"/>
        <v>2743.8</v>
      </c>
      <c r="E329" s="138">
        <v>2744.1</v>
      </c>
      <c r="F329" s="54">
        <f t="shared" si="25"/>
        <v>0.3</v>
      </c>
      <c r="G329" s="54">
        <f t="shared" si="26"/>
        <v>-9.7</v>
      </c>
      <c r="H329" s="28">
        <v>115.0</v>
      </c>
      <c r="I329" s="28" t="s">
        <v>147</v>
      </c>
      <c r="J329" s="28" t="s">
        <v>209</v>
      </c>
    </row>
    <row r="330" ht="14.25" customHeight="1">
      <c r="B330" s="145">
        <v>45557.0</v>
      </c>
      <c r="C330" s="141" t="str">
        <f t="shared" si="1"/>
        <v>9-2024</v>
      </c>
      <c r="D330" s="54"/>
      <c r="E330" s="54"/>
      <c r="F330" s="54">
        <f t="shared" si="25"/>
        <v>0</v>
      </c>
      <c r="G330" s="54">
        <f t="shared" si="26"/>
        <v>-10</v>
      </c>
    </row>
    <row r="331" ht="14.25" customHeight="1">
      <c r="B331" s="140">
        <v>45558.0</v>
      </c>
      <c r="C331" s="141" t="str">
        <f t="shared" si="1"/>
        <v>9-2024</v>
      </c>
      <c r="D331" s="54" t="str">
        <f>E330</f>
        <v/>
      </c>
      <c r="E331" s="54"/>
      <c r="F331" s="54">
        <f t="shared" si="25"/>
        <v>0</v>
      </c>
      <c r="G331" s="54">
        <f t="shared" si="26"/>
        <v>-10</v>
      </c>
    </row>
    <row r="332" ht="14.25" customHeight="1">
      <c r="B332" s="140">
        <v>45559.0</v>
      </c>
      <c r="C332" s="141" t="str">
        <f t="shared" si="1"/>
        <v>9-2024</v>
      </c>
      <c r="D332" s="138">
        <v>2744.1</v>
      </c>
      <c r="E332" s="138">
        <v>2751.7</v>
      </c>
      <c r="F332" s="54">
        <f t="shared" si="25"/>
        <v>7.6</v>
      </c>
      <c r="G332" s="54">
        <f t="shared" si="26"/>
        <v>-2.4</v>
      </c>
      <c r="J332" s="28" t="s">
        <v>209</v>
      </c>
    </row>
    <row r="333" ht="14.25" customHeight="1">
      <c r="B333" s="140">
        <v>45560.0</v>
      </c>
      <c r="C333" s="141" t="str">
        <f t="shared" si="1"/>
        <v>9-2024</v>
      </c>
      <c r="D333" s="54">
        <f t="shared" ref="D333:D336" si="47">E332</f>
        <v>2751.7</v>
      </c>
      <c r="E333" s="138">
        <v>2459.6</v>
      </c>
      <c r="F333" s="54">
        <f t="shared" si="25"/>
        <v>-292.1</v>
      </c>
      <c r="G333" s="54">
        <f t="shared" si="26"/>
        <v>-302.1</v>
      </c>
      <c r="J333" s="28" t="s">
        <v>209</v>
      </c>
    </row>
    <row r="334" ht="14.25" customHeight="1">
      <c r="B334" s="140">
        <v>45561.0</v>
      </c>
      <c r="C334" s="141" t="str">
        <f t="shared" si="1"/>
        <v>9-2024</v>
      </c>
      <c r="D334" s="54">
        <f t="shared" si="47"/>
        <v>2459.6</v>
      </c>
      <c r="E334" s="138">
        <v>2767.5</v>
      </c>
      <c r="F334" s="54">
        <f t="shared" si="25"/>
        <v>307.9</v>
      </c>
      <c r="G334" s="54">
        <f t="shared" si="26"/>
        <v>297.9</v>
      </c>
      <c r="J334" s="28" t="s">
        <v>209</v>
      </c>
    </row>
    <row r="335" ht="14.25" customHeight="1">
      <c r="B335" s="140">
        <v>45562.0</v>
      </c>
      <c r="C335" s="141" t="str">
        <f t="shared" si="1"/>
        <v>9-2024</v>
      </c>
      <c r="D335" s="54">
        <f t="shared" si="47"/>
        <v>2767.5</v>
      </c>
      <c r="E335" s="138">
        <v>2775.9</v>
      </c>
      <c r="F335" s="54">
        <f t="shared" si="25"/>
        <v>8.4</v>
      </c>
      <c r="G335" s="54">
        <f t="shared" si="26"/>
        <v>-1.6</v>
      </c>
      <c r="J335" s="28" t="s">
        <v>209</v>
      </c>
    </row>
    <row r="336" ht="14.25" customHeight="1">
      <c r="B336" s="145">
        <v>45563.0</v>
      </c>
      <c r="C336" s="141" t="str">
        <f t="shared" si="1"/>
        <v>9-2024</v>
      </c>
      <c r="D336" s="54">
        <f t="shared" si="47"/>
        <v>2775.9</v>
      </c>
      <c r="E336" s="138">
        <v>2780.7</v>
      </c>
      <c r="F336" s="54">
        <f t="shared" si="25"/>
        <v>4.8</v>
      </c>
      <c r="G336" s="54">
        <f t="shared" si="26"/>
        <v>-5.2</v>
      </c>
      <c r="H336" s="28">
        <v>120.0</v>
      </c>
      <c r="I336" s="28" t="s">
        <v>147</v>
      </c>
      <c r="J336" s="28" t="s">
        <v>209</v>
      </c>
    </row>
    <row r="337" ht="14.25" customHeight="1">
      <c r="B337" s="145">
        <v>45564.0</v>
      </c>
      <c r="C337" s="141" t="str">
        <f t="shared" si="1"/>
        <v>9-2024</v>
      </c>
      <c r="D337" s="54"/>
      <c r="E337" s="54"/>
      <c r="F337" s="54">
        <f t="shared" si="25"/>
        <v>0</v>
      </c>
      <c r="G337" s="54">
        <f t="shared" si="26"/>
        <v>-10</v>
      </c>
    </row>
    <row r="338" ht="14.25" customHeight="1">
      <c r="B338" s="140">
        <v>45565.0</v>
      </c>
      <c r="C338" s="141" t="str">
        <f t="shared" si="1"/>
        <v>9-2024</v>
      </c>
      <c r="D338" s="138">
        <v>2780.7</v>
      </c>
      <c r="E338" s="138">
        <v>2787.4</v>
      </c>
      <c r="F338" s="54">
        <f t="shared" si="25"/>
        <v>6.7</v>
      </c>
      <c r="G338" s="54">
        <f t="shared" si="26"/>
        <v>-3.3</v>
      </c>
      <c r="J338" s="28" t="s">
        <v>209</v>
      </c>
    </row>
    <row r="339" ht="14.25" customHeight="1">
      <c r="B339" s="140">
        <v>45566.0</v>
      </c>
      <c r="C339" s="141" t="str">
        <f t="shared" si="1"/>
        <v>10-2024</v>
      </c>
      <c r="D339" s="54"/>
      <c r="E339" s="54"/>
      <c r="F339" s="54">
        <f t="shared" si="25"/>
        <v>0</v>
      </c>
      <c r="G339" s="54">
        <f t="shared" si="26"/>
        <v>-10</v>
      </c>
    </row>
    <row r="340" ht="14.25" customHeight="1">
      <c r="B340" s="140">
        <v>45567.0</v>
      </c>
      <c r="C340" s="141" t="str">
        <f t="shared" si="1"/>
        <v>10-2024</v>
      </c>
      <c r="D340" s="54" t="str">
        <f t="shared" ref="D340:D394" si="48">E339</f>
        <v/>
      </c>
      <c r="E340" s="54"/>
      <c r="F340" s="54">
        <f t="shared" si="25"/>
        <v>0</v>
      </c>
      <c r="G340" s="54">
        <f t="shared" si="26"/>
        <v>-10</v>
      </c>
    </row>
    <row r="341" ht="14.25" customHeight="1">
      <c r="B341" s="140">
        <v>45568.0</v>
      </c>
      <c r="C341" s="141" t="str">
        <f t="shared" si="1"/>
        <v>10-2024</v>
      </c>
      <c r="D341" s="54" t="str">
        <f t="shared" si="48"/>
        <v/>
      </c>
      <c r="E341" s="54"/>
      <c r="F341" s="54">
        <f t="shared" si="25"/>
        <v>0</v>
      </c>
      <c r="G341" s="54">
        <f t="shared" si="26"/>
        <v>-10</v>
      </c>
    </row>
    <row r="342" ht="14.25" customHeight="1">
      <c r="B342" s="140">
        <v>45569.0</v>
      </c>
      <c r="C342" s="141" t="str">
        <f t="shared" si="1"/>
        <v>10-2024</v>
      </c>
      <c r="D342" s="54" t="str">
        <f t="shared" si="48"/>
        <v/>
      </c>
      <c r="E342" s="54"/>
      <c r="F342" s="54">
        <f t="shared" si="25"/>
        <v>0</v>
      </c>
      <c r="G342" s="54">
        <f t="shared" si="26"/>
        <v>-10</v>
      </c>
    </row>
    <row r="343" ht="14.25" customHeight="1">
      <c r="B343" s="145">
        <v>45570.0</v>
      </c>
      <c r="C343" s="141" t="str">
        <f t="shared" si="1"/>
        <v>10-2024</v>
      </c>
      <c r="D343" s="54" t="str">
        <f t="shared" si="48"/>
        <v/>
      </c>
      <c r="E343" s="54"/>
      <c r="F343" s="54">
        <f t="shared" si="25"/>
        <v>0</v>
      </c>
      <c r="G343" s="54">
        <f t="shared" si="26"/>
        <v>-10</v>
      </c>
    </row>
    <row r="344" ht="14.25" customHeight="1">
      <c r="B344" s="145">
        <v>45571.0</v>
      </c>
      <c r="C344" s="141" t="str">
        <f t="shared" si="1"/>
        <v>10-2024</v>
      </c>
      <c r="D344" s="54" t="str">
        <f t="shared" si="48"/>
        <v/>
      </c>
      <c r="E344" s="54"/>
      <c r="F344" s="54">
        <f t="shared" si="25"/>
        <v>0</v>
      </c>
      <c r="G344" s="54">
        <f t="shared" si="26"/>
        <v>-10</v>
      </c>
    </row>
    <row r="345" ht="14.25" customHeight="1">
      <c r="B345" s="140">
        <v>45572.0</v>
      </c>
      <c r="C345" s="141" t="str">
        <f t="shared" si="1"/>
        <v>10-2024</v>
      </c>
      <c r="D345" s="54" t="str">
        <f t="shared" si="48"/>
        <v/>
      </c>
      <c r="E345" s="54"/>
      <c r="F345" s="54">
        <f t="shared" si="25"/>
        <v>0</v>
      </c>
      <c r="G345" s="54">
        <f t="shared" si="26"/>
        <v>-10</v>
      </c>
    </row>
    <row r="346" ht="14.25" customHeight="1">
      <c r="B346" s="140">
        <v>45573.0</v>
      </c>
      <c r="C346" s="141" t="str">
        <f t="shared" si="1"/>
        <v>10-2024</v>
      </c>
      <c r="D346" s="54" t="str">
        <f t="shared" si="48"/>
        <v/>
      </c>
      <c r="E346" s="54"/>
      <c r="F346" s="54">
        <f t="shared" si="25"/>
        <v>0</v>
      </c>
      <c r="G346" s="54">
        <f t="shared" si="26"/>
        <v>-10</v>
      </c>
    </row>
    <row r="347" ht="14.25" customHeight="1">
      <c r="B347" s="140">
        <v>45574.0</v>
      </c>
      <c r="C347" s="141" t="str">
        <f t="shared" si="1"/>
        <v>10-2024</v>
      </c>
      <c r="D347" s="54" t="str">
        <f t="shared" si="48"/>
        <v/>
      </c>
      <c r="E347" s="54"/>
      <c r="F347" s="54">
        <f t="shared" si="25"/>
        <v>0</v>
      </c>
      <c r="G347" s="54">
        <f t="shared" si="26"/>
        <v>-10</v>
      </c>
    </row>
    <row r="348" ht="14.25" customHeight="1">
      <c r="B348" s="140">
        <v>45575.0</v>
      </c>
      <c r="C348" s="141" t="str">
        <f t="shared" si="1"/>
        <v>10-2024</v>
      </c>
      <c r="D348" s="54" t="str">
        <f t="shared" si="48"/>
        <v/>
      </c>
      <c r="E348" s="54"/>
      <c r="F348" s="54">
        <f t="shared" si="25"/>
        <v>0</v>
      </c>
      <c r="G348" s="54">
        <f t="shared" si="26"/>
        <v>-10</v>
      </c>
    </row>
    <row r="349" ht="14.25" customHeight="1">
      <c r="B349" s="140">
        <v>45576.0</v>
      </c>
      <c r="C349" s="141" t="str">
        <f t="shared" si="1"/>
        <v>10-2024</v>
      </c>
      <c r="D349" s="54" t="str">
        <f t="shared" si="48"/>
        <v/>
      </c>
      <c r="E349" s="54"/>
      <c r="F349" s="54">
        <f t="shared" si="25"/>
        <v>0</v>
      </c>
      <c r="G349" s="54">
        <f t="shared" si="26"/>
        <v>-10</v>
      </c>
    </row>
    <row r="350" ht="14.25" customHeight="1">
      <c r="B350" s="145">
        <v>45577.0</v>
      </c>
      <c r="C350" s="141" t="str">
        <f t="shared" si="1"/>
        <v>10-2024</v>
      </c>
      <c r="D350" s="54" t="str">
        <f t="shared" si="48"/>
        <v/>
      </c>
      <c r="E350" s="54"/>
      <c r="F350" s="54">
        <f t="shared" si="25"/>
        <v>0</v>
      </c>
      <c r="G350" s="54">
        <f t="shared" si="26"/>
        <v>-10</v>
      </c>
    </row>
    <row r="351" ht="14.25" customHeight="1">
      <c r="B351" s="145">
        <v>45578.0</v>
      </c>
      <c r="C351" s="141" t="str">
        <f t="shared" si="1"/>
        <v>10-2024</v>
      </c>
      <c r="D351" s="54" t="str">
        <f t="shared" si="48"/>
        <v/>
      </c>
      <c r="E351" s="54"/>
      <c r="F351" s="54">
        <f t="shared" si="25"/>
        <v>0</v>
      </c>
      <c r="G351" s="54">
        <f t="shared" si="26"/>
        <v>-10</v>
      </c>
    </row>
    <row r="352" ht="14.25" customHeight="1">
      <c r="B352" s="140">
        <v>45579.0</v>
      </c>
      <c r="C352" s="141" t="str">
        <f t="shared" si="1"/>
        <v>10-2024</v>
      </c>
      <c r="D352" s="54" t="str">
        <f t="shared" si="48"/>
        <v/>
      </c>
      <c r="E352" s="54"/>
      <c r="F352" s="54">
        <f t="shared" si="25"/>
        <v>0</v>
      </c>
      <c r="G352" s="54">
        <f t="shared" si="26"/>
        <v>-10</v>
      </c>
    </row>
    <row r="353" ht="14.25" customHeight="1">
      <c r="B353" s="140">
        <v>45580.0</v>
      </c>
      <c r="C353" s="141" t="str">
        <f t="shared" si="1"/>
        <v>10-2024</v>
      </c>
      <c r="D353" s="54" t="str">
        <f t="shared" si="48"/>
        <v/>
      </c>
      <c r="E353" s="54"/>
      <c r="F353" s="54">
        <f t="shared" si="25"/>
        <v>0</v>
      </c>
      <c r="G353" s="54">
        <f t="shared" si="26"/>
        <v>-10</v>
      </c>
    </row>
    <row r="354" ht="14.25" customHeight="1">
      <c r="B354" s="140">
        <v>45581.0</v>
      </c>
      <c r="C354" s="141" t="str">
        <f t="shared" si="1"/>
        <v>10-2024</v>
      </c>
      <c r="D354" s="54" t="str">
        <f t="shared" si="48"/>
        <v/>
      </c>
      <c r="E354" s="54"/>
      <c r="F354" s="54">
        <f t="shared" si="25"/>
        <v>0</v>
      </c>
      <c r="G354" s="54">
        <f t="shared" si="26"/>
        <v>-10</v>
      </c>
    </row>
    <row r="355" ht="14.25" customHeight="1">
      <c r="B355" s="140">
        <v>45582.0</v>
      </c>
      <c r="C355" s="141" t="str">
        <f t="shared" si="1"/>
        <v>10-2024</v>
      </c>
      <c r="D355" s="54" t="str">
        <f t="shared" si="48"/>
        <v/>
      </c>
      <c r="E355" s="54"/>
      <c r="F355" s="54">
        <f t="shared" si="25"/>
        <v>0</v>
      </c>
      <c r="G355" s="54">
        <f t="shared" si="26"/>
        <v>-10</v>
      </c>
    </row>
    <row r="356" ht="14.25" customHeight="1">
      <c r="B356" s="140">
        <v>45583.0</v>
      </c>
      <c r="C356" s="141" t="str">
        <f t="shared" si="1"/>
        <v>10-2024</v>
      </c>
      <c r="D356" s="54" t="str">
        <f t="shared" si="48"/>
        <v/>
      </c>
      <c r="E356" s="54"/>
      <c r="F356" s="54">
        <f t="shared" si="25"/>
        <v>0</v>
      </c>
      <c r="G356" s="54">
        <f t="shared" si="26"/>
        <v>-10</v>
      </c>
    </row>
    <row r="357" ht="14.25" customHeight="1">
      <c r="B357" s="145">
        <v>45584.0</v>
      </c>
      <c r="C357" s="141" t="str">
        <f t="shared" si="1"/>
        <v>10-2024</v>
      </c>
      <c r="D357" s="54" t="str">
        <f t="shared" si="48"/>
        <v/>
      </c>
      <c r="E357" s="54"/>
      <c r="F357" s="54">
        <f t="shared" si="25"/>
        <v>0</v>
      </c>
      <c r="G357" s="54">
        <f t="shared" si="26"/>
        <v>-10</v>
      </c>
    </row>
    <row r="358" ht="14.25" customHeight="1">
      <c r="B358" s="145">
        <v>45585.0</v>
      </c>
      <c r="C358" s="141" t="str">
        <f t="shared" si="1"/>
        <v>10-2024</v>
      </c>
      <c r="D358" s="54" t="str">
        <f t="shared" si="48"/>
        <v/>
      </c>
      <c r="E358" s="54"/>
      <c r="F358" s="54">
        <f t="shared" si="25"/>
        <v>0</v>
      </c>
      <c r="G358" s="54">
        <f t="shared" si="26"/>
        <v>-10</v>
      </c>
    </row>
    <row r="359" ht="14.25" customHeight="1">
      <c r="B359" s="140">
        <v>45586.0</v>
      </c>
      <c r="C359" s="141" t="str">
        <f t="shared" si="1"/>
        <v>10-2024</v>
      </c>
      <c r="D359" s="54" t="str">
        <f t="shared" si="48"/>
        <v/>
      </c>
      <c r="E359" s="54"/>
      <c r="F359" s="54">
        <f t="shared" si="25"/>
        <v>0</v>
      </c>
      <c r="G359" s="54">
        <f t="shared" si="26"/>
        <v>-10</v>
      </c>
    </row>
    <row r="360" ht="14.25" customHeight="1">
      <c r="B360" s="140">
        <v>45587.0</v>
      </c>
      <c r="C360" s="141" t="str">
        <f t="shared" si="1"/>
        <v>10-2024</v>
      </c>
      <c r="D360" s="54" t="str">
        <f t="shared" si="48"/>
        <v/>
      </c>
      <c r="E360" s="54"/>
      <c r="F360" s="54">
        <f t="shared" si="25"/>
        <v>0</v>
      </c>
      <c r="G360" s="54">
        <f t="shared" si="26"/>
        <v>-10</v>
      </c>
    </row>
    <row r="361" ht="14.25" customHeight="1">
      <c r="B361" s="140">
        <v>45588.0</v>
      </c>
      <c r="C361" s="141" t="str">
        <f t="shared" si="1"/>
        <v>10-2024</v>
      </c>
      <c r="D361" s="54" t="str">
        <f t="shared" si="48"/>
        <v/>
      </c>
      <c r="E361" s="54"/>
      <c r="F361" s="54">
        <f t="shared" si="25"/>
        <v>0</v>
      </c>
      <c r="G361" s="54">
        <f t="shared" si="26"/>
        <v>-10</v>
      </c>
    </row>
    <row r="362" ht="14.25" customHeight="1">
      <c r="B362" s="140">
        <v>45589.0</v>
      </c>
      <c r="C362" s="141" t="str">
        <f t="shared" si="1"/>
        <v>10-2024</v>
      </c>
      <c r="D362" s="54" t="str">
        <f t="shared" si="48"/>
        <v/>
      </c>
      <c r="E362" s="54"/>
      <c r="F362" s="54">
        <f t="shared" si="25"/>
        <v>0</v>
      </c>
      <c r="G362" s="54">
        <f t="shared" si="26"/>
        <v>-10</v>
      </c>
    </row>
    <row r="363" ht="14.25" customHeight="1">
      <c r="B363" s="140">
        <v>45590.0</v>
      </c>
      <c r="C363" s="141" t="str">
        <f t="shared" si="1"/>
        <v>10-2024</v>
      </c>
      <c r="D363" s="54" t="str">
        <f t="shared" si="48"/>
        <v/>
      </c>
      <c r="E363" s="54"/>
      <c r="F363" s="54">
        <f t="shared" si="25"/>
        <v>0</v>
      </c>
      <c r="G363" s="54">
        <f t="shared" si="26"/>
        <v>-10</v>
      </c>
    </row>
    <row r="364" ht="14.25" customHeight="1">
      <c r="B364" s="145">
        <v>45591.0</v>
      </c>
      <c r="C364" s="141" t="str">
        <f t="shared" si="1"/>
        <v>10-2024</v>
      </c>
      <c r="D364" s="54" t="str">
        <f t="shared" si="48"/>
        <v/>
      </c>
      <c r="E364" s="54"/>
      <c r="F364" s="54">
        <f t="shared" si="25"/>
        <v>0</v>
      </c>
      <c r="G364" s="54">
        <f t="shared" si="26"/>
        <v>-10</v>
      </c>
    </row>
    <row r="365" ht="14.25" customHeight="1">
      <c r="B365" s="145">
        <v>45592.0</v>
      </c>
      <c r="C365" s="141" t="str">
        <f t="shared" si="1"/>
        <v>10-2024</v>
      </c>
      <c r="D365" s="54" t="str">
        <f t="shared" si="48"/>
        <v/>
      </c>
      <c r="E365" s="54"/>
      <c r="F365" s="54">
        <f t="shared" si="25"/>
        <v>0</v>
      </c>
      <c r="G365" s="54">
        <f t="shared" si="26"/>
        <v>-10</v>
      </c>
    </row>
    <row r="366" ht="14.25" customHeight="1">
      <c r="B366" s="140">
        <v>45593.0</v>
      </c>
      <c r="C366" s="141" t="str">
        <f t="shared" si="1"/>
        <v>10-2024</v>
      </c>
      <c r="D366" s="54" t="str">
        <f t="shared" si="48"/>
        <v/>
      </c>
      <c r="E366" s="54"/>
      <c r="F366" s="54">
        <f t="shared" si="25"/>
        <v>0</v>
      </c>
      <c r="G366" s="54">
        <f t="shared" si="26"/>
        <v>-10</v>
      </c>
    </row>
    <row r="367" ht="14.25" customHeight="1">
      <c r="B367" s="140">
        <v>45594.0</v>
      </c>
      <c r="C367" s="141" t="str">
        <f t="shared" si="1"/>
        <v>10-2024</v>
      </c>
      <c r="D367" s="54" t="str">
        <f t="shared" si="48"/>
        <v/>
      </c>
      <c r="E367" s="54"/>
      <c r="F367" s="54">
        <f t="shared" si="25"/>
        <v>0</v>
      </c>
      <c r="G367" s="54">
        <f t="shared" si="26"/>
        <v>-10</v>
      </c>
    </row>
    <row r="368" ht="14.25" customHeight="1">
      <c r="B368" s="140">
        <v>45595.0</v>
      </c>
      <c r="C368" s="141" t="str">
        <f t="shared" si="1"/>
        <v>10-2024</v>
      </c>
      <c r="D368" s="54" t="str">
        <f t="shared" si="48"/>
        <v/>
      </c>
      <c r="E368" s="54"/>
      <c r="F368" s="54">
        <f t="shared" si="25"/>
        <v>0</v>
      </c>
      <c r="G368" s="54">
        <f t="shared" si="26"/>
        <v>-10</v>
      </c>
    </row>
    <row r="369" ht="14.25" customHeight="1">
      <c r="B369" s="140">
        <v>45596.0</v>
      </c>
      <c r="C369" s="141" t="str">
        <f t="shared" si="1"/>
        <v>10-2024</v>
      </c>
      <c r="D369" s="54" t="str">
        <f t="shared" si="48"/>
        <v/>
      </c>
      <c r="E369" s="54"/>
      <c r="F369" s="54">
        <f t="shared" si="25"/>
        <v>0</v>
      </c>
      <c r="G369" s="54">
        <f t="shared" si="26"/>
        <v>-10</v>
      </c>
    </row>
    <row r="370" ht="14.25" customHeight="1">
      <c r="B370" s="140">
        <v>45597.0</v>
      </c>
      <c r="C370" s="141" t="str">
        <f t="shared" si="1"/>
        <v>11-2024</v>
      </c>
      <c r="D370" s="54" t="str">
        <f t="shared" si="48"/>
        <v/>
      </c>
      <c r="E370" s="54"/>
      <c r="F370" s="54">
        <f t="shared" si="25"/>
        <v>0</v>
      </c>
      <c r="G370" s="54">
        <f t="shared" si="26"/>
        <v>-10</v>
      </c>
    </row>
    <row r="371" ht="14.25" customHeight="1">
      <c r="B371" s="140">
        <v>45598.0</v>
      </c>
      <c r="C371" s="141" t="str">
        <f t="shared" si="1"/>
        <v>11-2024</v>
      </c>
      <c r="D371" s="54" t="str">
        <f t="shared" si="48"/>
        <v/>
      </c>
      <c r="E371" s="54"/>
      <c r="F371" s="54">
        <f t="shared" si="25"/>
        <v>0</v>
      </c>
      <c r="G371" s="54">
        <f t="shared" si="26"/>
        <v>-10</v>
      </c>
    </row>
    <row r="372" ht="14.25" customHeight="1">
      <c r="B372" s="140">
        <v>45599.0</v>
      </c>
      <c r="C372" s="141" t="str">
        <f t="shared" si="1"/>
        <v>11-2024</v>
      </c>
      <c r="D372" s="54" t="str">
        <f t="shared" si="48"/>
        <v/>
      </c>
      <c r="E372" s="54"/>
      <c r="F372" s="54">
        <f t="shared" si="25"/>
        <v>0</v>
      </c>
      <c r="G372" s="54">
        <f t="shared" si="26"/>
        <v>-10</v>
      </c>
    </row>
    <row r="373" ht="14.25" customHeight="1">
      <c r="B373" s="140">
        <v>45600.0</v>
      </c>
      <c r="C373" s="141" t="str">
        <f t="shared" si="1"/>
        <v>11-2024</v>
      </c>
      <c r="D373" s="54" t="str">
        <f t="shared" si="48"/>
        <v/>
      </c>
      <c r="E373" s="54"/>
      <c r="F373" s="54">
        <f t="shared" si="25"/>
        <v>0</v>
      </c>
      <c r="G373" s="54">
        <f t="shared" si="26"/>
        <v>-10</v>
      </c>
    </row>
    <row r="374" ht="14.25" customHeight="1">
      <c r="B374" s="140">
        <v>45601.0</v>
      </c>
      <c r="C374" s="141" t="str">
        <f t="shared" si="1"/>
        <v>11-2024</v>
      </c>
      <c r="D374" s="54" t="str">
        <f t="shared" si="48"/>
        <v/>
      </c>
      <c r="E374" s="54"/>
      <c r="F374" s="54">
        <f t="shared" si="25"/>
        <v>0</v>
      </c>
      <c r="G374" s="54">
        <f t="shared" si="26"/>
        <v>-10</v>
      </c>
    </row>
    <row r="375" ht="14.25" customHeight="1">
      <c r="B375" s="140">
        <v>45602.0</v>
      </c>
      <c r="C375" s="141" t="str">
        <f t="shared" si="1"/>
        <v>11-2024</v>
      </c>
      <c r="D375" s="54" t="str">
        <f t="shared" si="48"/>
        <v/>
      </c>
      <c r="E375" s="54"/>
      <c r="F375" s="54">
        <f t="shared" si="25"/>
        <v>0</v>
      </c>
      <c r="G375" s="54">
        <f t="shared" si="26"/>
        <v>-10</v>
      </c>
    </row>
    <row r="376" ht="14.25" customHeight="1">
      <c r="B376" s="140">
        <v>45603.0</v>
      </c>
      <c r="C376" s="141" t="str">
        <f t="shared" si="1"/>
        <v>11-2024</v>
      </c>
      <c r="D376" s="54" t="str">
        <f t="shared" si="48"/>
        <v/>
      </c>
      <c r="E376" s="54"/>
      <c r="F376" s="54">
        <f t="shared" si="25"/>
        <v>0</v>
      </c>
      <c r="G376" s="54">
        <f t="shared" si="26"/>
        <v>-10</v>
      </c>
    </row>
    <row r="377" ht="14.25" customHeight="1">
      <c r="B377" s="140">
        <v>45604.0</v>
      </c>
      <c r="C377" s="141" t="str">
        <f t="shared" si="1"/>
        <v>11-2024</v>
      </c>
      <c r="D377" s="54" t="str">
        <f t="shared" si="48"/>
        <v/>
      </c>
      <c r="E377" s="54"/>
      <c r="F377" s="54">
        <f t="shared" si="25"/>
        <v>0</v>
      </c>
      <c r="G377" s="54">
        <f t="shared" si="26"/>
        <v>-10</v>
      </c>
    </row>
    <row r="378" ht="14.25" customHeight="1">
      <c r="B378" s="140">
        <v>45605.0</v>
      </c>
      <c r="C378" s="141" t="str">
        <f t="shared" si="1"/>
        <v>11-2024</v>
      </c>
      <c r="D378" s="54" t="str">
        <f t="shared" si="48"/>
        <v/>
      </c>
      <c r="E378" s="54"/>
      <c r="F378" s="54">
        <f t="shared" si="25"/>
        <v>0</v>
      </c>
      <c r="G378" s="54">
        <f t="shared" si="26"/>
        <v>-10</v>
      </c>
    </row>
    <row r="379" ht="14.25" customHeight="1">
      <c r="B379" s="140">
        <v>45606.0</v>
      </c>
      <c r="C379" s="141" t="str">
        <f t="shared" si="1"/>
        <v>11-2024</v>
      </c>
      <c r="D379" s="54" t="str">
        <f t="shared" si="48"/>
        <v/>
      </c>
      <c r="E379" s="54"/>
      <c r="F379" s="54">
        <f t="shared" si="25"/>
        <v>0</v>
      </c>
      <c r="G379" s="54">
        <f t="shared" si="26"/>
        <v>-10</v>
      </c>
    </row>
    <row r="380" ht="14.25" customHeight="1">
      <c r="B380" s="140">
        <v>45607.0</v>
      </c>
      <c r="C380" s="141" t="str">
        <f t="shared" si="1"/>
        <v>11-2024</v>
      </c>
      <c r="D380" s="54" t="str">
        <f t="shared" si="48"/>
        <v/>
      </c>
      <c r="E380" s="54"/>
      <c r="F380" s="54">
        <f t="shared" si="25"/>
        <v>0</v>
      </c>
      <c r="G380" s="54">
        <f t="shared" si="26"/>
        <v>-10</v>
      </c>
    </row>
    <row r="381" ht="14.25" customHeight="1">
      <c r="B381" s="140">
        <v>45608.0</v>
      </c>
      <c r="C381" s="141" t="str">
        <f t="shared" si="1"/>
        <v>11-2024</v>
      </c>
      <c r="D381" s="54" t="str">
        <f t="shared" si="48"/>
        <v/>
      </c>
      <c r="E381" s="54"/>
      <c r="F381" s="54">
        <f t="shared" si="25"/>
        <v>0</v>
      </c>
      <c r="G381" s="54">
        <f t="shared" si="26"/>
        <v>-10</v>
      </c>
    </row>
    <row r="382" ht="14.25" customHeight="1">
      <c r="B382" s="140">
        <v>45609.0</v>
      </c>
      <c r="C382" s="141" t="str">
        <f t="shared" si="1"/>
        <v>11-2024</v>
      </c>
      <c r="D382" s="54" t="str">
        <f t="shared" si="48"/>
        <v/>
      </c>
      <c r="E382" s="54"/>
      <c r="F382" s="54">
        <f t="shared" si="25"/>
        <v>0</v>
      </c>
      <c r="G382" s="54">
        <f t="shared" si="26"/>
        <v>-10</v>
      </c>
    </row>
    <row r="383" ht="14.25" customHeight="1">
      <c r="B383" s="140">
        <v>45610.0</v>
      </c>
      <c r="C383" s="141" t="str">
        <f t="shared" si="1"/>
        <v>11-2024</v>
      </c>
      <c r="D383" s="54" t="str">
        <f t="shared" si="48"/>
        <v/>
      </c>
      <c r="E383" s="54"/>
      <c r="F383" s="54">
        <f t="shared" si="25"/>
        <v>0</v>
      </c>
      <c r="G383" s="54">
        <f t="shared" si="26"/>
        <v>-10</v>
      </c>
    </row>
    <row r="384" ht="14.25" customHeight="1">
      <c r="B384" s="140">
        <v>45611.0</v>
      </c>
      <c r="C384" s="141" t="str">
        <f t="shared" si="1"/>
        <v>11-2024</v>
      </c>
      <c r="D384" s="54" t="str">
        <f t="shared" si="48"/>
        <v/>
      </c>
      <c r="E384" s="54"/>
      <c r="F384" s="54">
        <f t="shared" si="25"/>
        <v>0</v>
      </c>
      <c r="G384" s="54">
        <f t="shared" si="26"/>
        <v>-10</v>
      </c>
    </row>
    <row r="385" ht="14.25" customHeight="1">
      <c r="B385" s="140">
        <v>45612.0</v>
      </c>
      <c r="C385" s="141" t="str">
        <f t="shared" si="1"/>
        <v>11-2024</v>
      </c>
      <c r="D385" s="54" t="str">
        <f t="shared" si="48"/>
        <v/>
      </c>
      <c r="E385" s="54"/>
      <c r="F385" s="54">
        <f t="shared" si="25"/>
        <v>0</v>
      </c>
      <c r="G385" s="54">
        <f t="shared" si="26"/>
        <v>-10</v>
      </c>
    </row>
    <row r="386" ht="14.25" customHeight="1">
      <c r="B386" s="140">
        <v>45613.0</v>
      </c>
      <c r="C386" s="141" t="str">
        <f t="shared" si="1"/>
        <v>11-2024</v>
      </c>
      <c r="D386" s="54" t="str">
        <f t="shared" si="48"/>
        <v/>
      </c>
      <c r="E386" s="54"/>
      <c r="F386" s="54">
        <f t="shared" si="25"/>
        <v>0</v>
      </c>
      <c r="G386" s="54">
        <f t="shared" si="26"/>
        <v>-10</v>
      </c>
    </row>
    <row r="387" ht="14.25" customHeight="1">
      <c r="B387" s="140">
        <v>45614.0</v>
      </c>
      <c r="C387" s="141" t="str">
        <f t="shared" si="1"/>
        <v>11-2024</v>
      </c>
      <c r="D387" s="54" t="str">
        <f t="shared" si="48"/>
        <v/>
      </c>
      <c r="E387" s="54"/>
      <c r="F387" s="54">
        <f t="shared" si="25"/>
        <v>0</v>
      </c>
      <c r="G387" s="54">
        <f t="shared" si="26"/>
        <v>-10</v>
      </c>
    </row>
    <row r="388" ht="14.25" customHeight="1">
      <c r="B388" s="140">
        <v>45615.0</v>
      </c>
      <c r="C388" s="141" t="str">
        <f t="shared" si="1"/>
        <v>11-2024</v>
      </c>
      <c r="D388" s="54" t="str">
        <f t="shared" si="48"/>
        <v/>
      </c>
      <c r="E388" s="54"/>
      <c r="F388" s="54">
        <f t="shared" si="25"/>
        <v>0</v>
      </c>
      <c r="G388" s="54">
        <f t="shared" si="26"/>
        <v>-10</v>
      </c>
    </row>
    <row r="389" ht="14.25" customHeight="1">
      <c r="B389" s="140">
        <v>45616.0</v>
      </c>
      <c r="C389" s="141" t="str">
        <f t="shared" si="1"/>
        <v>11-2024</v>
      </c>
      <c r="D389" s="54" t="str">
        <f t="shared" si="48"/>
        <v/>
      </c>
      <c r="E389" s="54"/>
      <c r="F389" s="54">
        <f t="shared" si="25"/>
        <v>0</v>
      </c>
      <c r="G389" s="54">
        <f t="shared" si="26"/>
        <v>-10</v>
      </c>
    </row>
    <row r="390" ht="14.25" customHeight="1">
      <c r="B390" s="140">
        <v>45617.0</v>
      </c>
      <c r="C390" s="141" t="str">
        <f t="shared" si="1"/>
        <v>11-2024</v>
      </c>
      <c r="D390" s="54" t="str">
        <f t="shared" si="48"/>
        <v/>
      </c>
      <c r="E390" s="54"/>
      <c r="F390" s="54">
        <f t="shared" si="25"/>
        <v>0</v>
      </c>
      <c r="G390" s="54">
        <f t="shared" si="26"/>
        <v>-10</v>
      </c>
    </row>
    <row r="391" ht="14.25" customHeight="1">
      <c r="B391" s="140">
        <v>45618.0</v>
      </c>
      <c r="C391" s="141" t="str">
        <f t="shared" si="1"/>
        <v>11-2024</v>
      </c>
      <c r="D391" s="54" t="str">
        <f t="shared" si="48"/>
        <v/>
      </c>
      <c r="E391" s="54"/>
      <c r="F391" s="54">
        <f t="shared" si="25"/>
        <v>0</v>
      </c>
      <c r="G391" s="54">
        <f t="shared" si="26"/>
        <v>-10</v>
      </c>
    </row>
    <row r="392" ht="14.25" customHeight="1">
      <c r="B392" s="140">
        <v>45619.0</v>
      </c>
      <c r="C392" s="141" t="str">
        <f t="shared" si="1"/>
        <v>11-2024</v>
      </c>
      <c r="D392" s="54" t="str">
        <f t="shared" si="48"/>
        <v/>
      </c>
      <c r="E392" s="54"/>
      <c r="F392" s="54">
        <f t="shared" si="25"/>
        <v>0</v>
      </c>
      <c r="G392" s="54">
        <f t="shared" si="26"/>
        <v>-10</v>
      </c>
    </row>
    <row r="393" ht="14.25" customHeight="1">
      <c r="B393" s="140">
        <v>45620.0</v>
      </c>
      <c r="C393" s="141" t="str">
        <f t="shared" si="1"/>
        <v>11-2024</v>
      </c>
      <c r="D393" s="54" t="str">
        <f t="shared" si="48"/>
        <v/>
      </c>
      <c r="E393" s="54"/>
      <c r="F393" s="54">
        <f t="shared" si="25"/>
        <v>0</v>
      </c>
      <c r="G393" s="54">
        <f t="shared" si="26"/>
        <v>-10</v>
      </c>
    </row>
    <row r="394" ht="14.25" customHeight="1">
      <c r="B394" s="140">
        <v>45621.0</v>
      </c>
      <c r="C394" s="141" t="str">
        <f t="shared" si="1"/>
        <v>11-2024</v>
      </c>
      <c r="D394" s="54" t="str">
        <f t="shared" si="48"/>
        <v/>
      </c>
      <c r="E394" s="54"/>
      <c r="F394" s="54">
        <f t="shared" si="25"/>
        <v>0</v>
      </c>
      <c r="G394" s="54">
        <f t="shared" si="26"/>
        <v>-10</v>
      </c>
    </row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2"/>
  </mergeCells>
  <printOptions/>
  <pageMargins bottom="0.787401575" footer="0.0" header="0.0" left="0.511811024" right="0.511811024" top="0.7874015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10" width="8.71"/>
  </cols>
  <sheetData>
    <row r="1" ht="14.25" customHeight="1">
      <c r="B1" s="129"/>
    </row>
    <row r="2" ht="14.25" customHeight="1"/>
    <row r="3" ht="14.25" customHeight="1">
      <c r="B3" s="159" t="s">
        <v>108</v>
      </c>
      <c r="C3" s="159" t="s">
        <v>2</v>
      </c>
      <c r="D3" s="159" t="s">
        <v>109</v>
      </c>
      <c r="E3" s="159" t="s">
        <v>110</v>
      </c>
      <c r="F3" s="159" t="s">
        <v>111</v>
      </c>
      <c r="G3" s="159" t="s">
        <v>112</v>
      </c>
      <c r="H3" s="159" t="s">
        <v>129</v>
      </c>
    </row>
    <row r="4" ht="14.25" hidden="1" customHeight="1">
      <c r="B4" s="133">
        <v>45231.0</v>
      </c>
      <c r="C4" s="134" t="str">
        <f t="shared" ref="C4:C586" si="1">MONTH(B4)&amp; "-" &amp;YEAR(B4)</f>
        <v>11-2023</v>
      </c>
      <c r="D4" s="135">
        <v>7306.9</v>
      </c>
      <c r="E4" s="135">
        <v>7314.3</v>
      </c>
      <c r="F4" s="135">
        <f>'7D2 '!$E4-'7D2 '!$D4</f>
        <v>7.4</v>
      </c>
      <c r="G4" s="135">
        <f>'7D2 '!$F4-10</f>
        <v>-2.6</v>
      </c>
      <c r="H4" s="135"/>
    </row>
    <row r="5" ht="14.25" hidden="1" customHeight="1">
      <c r="B5" s="133">
        <v>45231.0</v>
      </c>
      <c r="C5" s="134" t="str">
        <f t="shared" si="1"/>
        <v>11-2023</v>
      </c>
      <c r="D5" s="135">
        <f t="shared" ref="D5:D6" si="2">E4</f>
        <v>7314.3</v>
      </c>
      <c r="E5" s="135">
        <v>7315.5</v>
      </c>
      <c r="F5" s="135">
        <f>'7D2 '!$E5-'7D2 '!$D5</f>
        <v>1.2</v>
      </c>
      <c r="G5" s="135">
        <f>'7D2 '!$F5-10</f>
        <v>-8.8</v>
      </c>
      <c r="H5" s="135">
        <v>180.0</v>
      </c>
    </row>
    <row r="6" ht="14.25" hidden="1" customHeight="1">
      <c r="B6" s="133">
        <v>45232.0</v>
      </c>
      <c r="C6" s="134" t="str">
        <f t="shared" si="1"/>
        <v>11-2023</v>
      </c>
      <c r="D6" s="135">
        <f t="shared" si="2"/>
        <v>7315.5</v>
      </c>
      <c r="E6" s="135">
        <v>7323.7</v>
      </c>
      <c r="F6" s="135">
        <f>'7D2 '!$E6-'7D2 '!$D6</f>
        <v>8.2</v>
      </c>
      <c r="G6" s="135">
        <f>'7D2 '!$F6-10</f>
        <v>-1.8</v>
      </c>
      <c r="H6" s="135"/>
    </row>
    <row r="7" ht="14.25" hidden="1" customHeight="1">
      <c r="B7" s="133">
        <v>45233.0</v>
      </c>
      <c r="C7" s="134" t="str">
        <f t="shared" si="1"/>
        <v>11-2023</v>
      </c>
      <c r="D7" s="135">
        <v>7323.7</v>
      </c>
      <c r="E7" s="135">
        <v>7333.2</v>
      </c>
      <c r="F7" s="135">
        <f>'7D2 '!$E7-'7D2 '!$D7</f>
        <v>9.5</v>
      </c>
      <c r="G7" s="135">
        <f>'7D2 '!$F7-10</f>
        <v>-0.5</v>
      </c>
      <c r="H7" s="135">
        <v>100.0</v>
      </c>
    </row>
    <row r="8" ht="14.25" hidden="1" customHeight="1">
      <c r="B8" s="133">
        <v>45234.0</v>
      </c>
      <c r="C8" s="134" t="str">
        <f t="shared" si="1"/>
        <v>11-2023</v>
      </c>
      <c r="D8" s="135">
        <v>7333.2</v>
      </c>
      <c r="E8" s="135">
        <v>7334.0</v>
      </c>
      <c r="F8" s="135">
        <f>'7D2 '!$E8-'7D2 '!$D8</f>
        <v>0.8</v>
      </c>
      <c r="G8" s="135">
        <f>'7D2 '!$F8-10</f>
        <v>-9.2</v>
      </c>
      <c r="H8" s="135"/>
    </row>
    <row r="9" ht="14.25" hidden="1" customHeight="1">
      <c r="B9" s="133">
        <v>45235.0</v>
      </c>
      <c r="C9" s="134" t="str">
        <f t="shared" si="1"/>
        <v>11-2023</v>
      </c>
      <c r="D9" s="135"/>
      <c r="E9" s="135"/>
      <c r="F9" s="135">
        <f>'7D2 '!$E9-'7D2 '!$D9</f>
        <v>0</v>
      </c>
      <c r="G9" s="135">
        <f>'7D2 '!$F9-10</f>
        <v>-10</v>
      </c>
      <c r="H9" s="135"/>
    </row>
    <row r="10" ht="14.25" hidden="1" customHeight="1">
      <c r="B10" s="133">
        <v>45236.0</v>
      </c>
      <c r="C10" s="134" t="str">
        <f t="shared" si="1"/>
        <v>11-2023</v>
      </c>
      <c r="D10" s="135">
        <v>7334.0</v>
      </c>
      <c r="E10" s="135">
        <v>7347.3</v>
      </c>
      <c r="F10" s="135">
        <f>'7D2 '!$E10-'7D2 '!$D10</f>
        <v>13.3</v>
      </c>
      <c r="G10" s="135">
        <f>'7D2 '!$F10-10</f>
        <v>3.3</v>
      </c>
      <c r="H10" s="135">
        <v>200.0</v>
      </c>
    </row>
    <row r="11" ht="14.25" hidden="1" customHeight="1">
      <c r="B11" s="133">
        <v>45237.0</v>
      </c>
      <c r="C11" s="134" t="str">
        <f t="shared" si="1"/>
        <v>11-2023</v>
      </c>
      <c r="D11" s="135">
        <f>E10</f>
        <v>7347.3</v>
      </c>
      <c r="E11" s="135">
        <v>7353.5</v>
      </c>
      <c r="F11" s="135">
        <f>'7D2 '!$E11-'7D2 '!$D11</f>
        <v>6.2</v>
      </c>
      <c r="G11" s="135">
        <f>'7D2 '!$F11-10</f>
        <v>-3.8</v>
      </c>
      <c r="H11" s="135"/>
    </row>
    <row r="12" ht="14.25" hidden="1" customHeight="1">
      <c r="B12" s="133">
        <v>45238.0</v>
      </c>
      <c r="C12" s="134" t="str">
        <f t="shared" si="1"/>
        <v>11-2023</v>
      </c>
      <c r="D12" s="135">
        <v>715.8</v>
      </c>
      <c r="E12" s="135">
        <v>723.4</v>
      </c>
      <c r="F12" s="135">
        <f>'7D2 '!$E12-'7D2 '!$D12</f>
        <v>7.6</v>
      </c>
      <c r="G12" s="135">
        <f>'7D2 '!$F12-10</f>
        <v>-2.4</v>
      </c>
      <c r="H12" s="135"/>
    </row>
    <row r="13" ht="14.25" hidden="1" customHeight="1">
      <c r="B13" s="133">
        <v>45239.0</v>
      </c>
      <c r="C13" s="134" t="str">
        <f t="shared" si="1"/>
        <v>11-2023</v>
      </c>
      <c r="D13" s="135">
        <f t="shared" ref="D13:D16" si="3">E12</f>
        <v>723.4</v>
      </c>
      <c r="E13" s="135">
        <v>728.0</v>
      </c>
      <c r="F13" s="135">
        <f>'7D2 '!$E13-'7D2 '!$D13</f>
        <v>4.6</v>
      </c>
      <c r="G13" s="135">
        <f>'7D2 '!$F13-10</f>
        <v>-5.4</v>
      </c>
      <c r="H13" s="135"/>
    </row>
    <row r="14" ht="14.25" hidden="1" customHeight="1">
      <c r="B14" s="133">
        <v>45239.0</v>
      </c>
      <c r="C14" s="134" t="str">
        <f t="shared" si="1"/>
        <v>11-2023</v>
      </c>
      <c r="D14" s="135">
        <f t="shared" si="3"/>
        <v>728</v>
      </c>
      <c r="E14" s="135">
        <v>731.6</v>
      </c>
      <c r="F14" s="135">
        <f>'7D2 '!$E14-'7D2 '!$D14</f>
        <v>3.6</v>
      </c>
      <c r="G14" s="135">
        <f>'7D2 '!$F14-10</f>
        <v>-6.4</v>
      </c>
      <c r="H14" s="135">
        <v>120.0</v>
      </c>
    </row>
    <row r="15" ht="14.25" hidden="1" customHeight="1">
      <c r="B15" s="133">
        <v>45240.0</v>
      </c>
      <c r="C15" s="134" t="str">
        <f t="shared" si="1"/>
        <v>11-2023</v>
      </c>
      <c r="D15" s="135">
        <f t="shared" si="3"/>
        <v>731.6</v>
      </c>
      <c r="E15" s="135">
        <v>740.6</v>
      </c>
      <c r="F15" s="135">
        <f>'7D2 '!$E15-'7D2 '!$D15</f>
        <v>9</v>
      </c>
      <c r="G15" s="135">
        <f>'7D2 '!$F15-10</f>
        <v>-1</v>
      </c>
      <c r="H15" s="135"/>
    </row>
    <row r="16" ht="14.25" hidden="1" customHeight="1">
      <c r="B16" s="133">
        <v>45241.0</v>
      </c>
      <c r="C16" s="134" t="str">
        <f t="shared" si="1"/>
        <v>11-2023</v>
      </c>
      <c r="D16" s="135">
        <f t="shared" si="3"/>
        <v>740.6</v>
      </c>
      <c r="E16" s="135">
        <v>744.4</v>
      </c>
      <c r="F16" s="135">
        <f>'7D2 '!$E16-'7D2 '!$D16</f>
        <v>3.8</v>
      </c>
      <c r="G16" s="135">
        <f>'7D2 '!$F16-10</f>
        <v>-6.2</v>
      </c>
      <c r="H16" s="135"/>
    </row>
    <row r="17" ht="14.25" hidden="1" customHeight="1">
      <c r="B17" s="133">
        <v>45242.0</v>
      </c>
      <c r="C17" s="134" t="str">
        <f t="shared" si="1"/>
        <v>11-2023</v>
      </c>
      <c r="D17" s="135"/>
      <c r="E17" s="135"/>
      <c r="F17" s="135">
        <f>'7D2 '!$E17-'7D2 '!$D17</f>
        <v>0</v>
      </c>
      <c r="G17" s="135">
        <f>'7D2 '!$F17-10</f>
        <v>-10</v>
      </c>
      <c r="H17" s="135"/>
    </row>
    <row r="18" ht="14.25" hidden="1" customHeight="1">
      <c r="B18" s="133">
        <v>45243.0</v>
      </c>
      <c r="C18" s="134" t="str">
        <f t="shared" si="1"/>
        <v>11-2023</v>
      </c>
      <c r="D18" s="135">
        <v>744.4</v>
      </c>
      <c r="E18" s="135">
        <v>754.4</v>
      </c>
      <c r="F18" s="135">
        <f>'7D2 '!$E18-'7D2 '!$D18</f>
        <v>10</v>
      </c>
      <c r="G18" s="135">
        <f>'7D2 '!$F18-10</f>
        <v>0</v>
      </c>
      <c r="H18" s="135">
        <v>165.0</v>
      </c>
    </row>
    <row r="19" ht="14.25" hidden="1" customHeight="1">
      <c r="B19" s="133">
        <v>45244.0</v>
      </c>
      <c r="C19" s="134" t="str">
        <f t="shared" si="1"/>
        <v>11-2023</v>
      </c>
      <c r="D19" s="135">
        <f t="shared" ref="D19:D23" si="4">E18</f>
        <v>754.4</v>
      </c>
      <c r="E19" s="135">
        <v>763.8</v>
      </c>
      <c r="F19" s="135">
        <f>'7D2 '!$E19-'7D2 '!$D19</f>
        <v>9.4</v>
      </c>
      <c r="G19" s="135">
        <f>'7D2 '!$F19-10</f>
        <v>-0.6</v>
      </c>
      <c r="H19" s="135"/>
    </row>
    <row r="20" ht="14.25" hidden="1" customHeight="1">
      <c r="B20" s="133">
        <v>45245.0</v>
      </c>
      <c r="C20" s="134" t="str">
        <f t="shared" si="1"/>
        <v>11-2023</v>
      </c>
      <c r="D20" s="135">
        <f t="shared" si="4"/>
        <v>763.8</v>
      </c>
      <c r="E20" s="135">
        <v>772.3</v>
      </c>
      <c r="F20" s="135">
        <f>'7D2 '!$E20-'7D2 '!$D20</f>
        <v>8.5</v>
      </c>
      <c r="G20" s="135">
        <f>'7D2 '!$F20-10</f>
        <v>-1.5</v>
      </c>
      <c r="H20" s="135"/>
    </row>
    <row r="21" ht="14.25" hidden="1" customHeight="1">
      <c r="B21" s="133">
        <v>45246.0</v>
      </c>
      <c r="C21" s="134" t="str">
        <f t="shared" si="1"/>
        <v>11-2023</v>
      </c>
      <c r="D21" s="135">
        <f t="shared" si="4"/>
        <v>772.3</v>
      </c>
      <c r="E21" s="135">
        <v>778.0</v>
      </c>
      <c r="F21" s="135">
        <f>'7D2 '!$E21-'7D2 '!$D21</f>
        <v>5.7</v>
      </c>
      <c r="G21" s="135">
        <f>'7D2 '!$F21-10</f>
        <v>-4.3</v>
      </c>
      <c r="H21" s="135">
        <v>100.0</v>
      </c>
    </row>
    <row r="22" ht="14.25" hidden="1" customHeight="1">
      <c r="B22" s="133">
        <v>45247.0</v>
      </c>
      <c r="C22" s="134" t="str">
        <f t="shared" si="1"/>
        <v>11-2023</v>
      </c>
      <c r="D22" s="135">
        <f t="shared" si="4"/>
        <v>778</v>
      </c>
      <c r="E22" s="135">
        <v>785.7</v>
      </c>
      <c r="F22" s="135">
        <f>'7D2 '!$E22-'7D2 '!$D22</f>
        <v>7.7</v>
      </c>
      <c r="G22" s="135">
        <f>'7D2 '!$F22-10</f>
        <v>-2.3</v>
      </c>
      <c r="H22" s="135"/>
    </row>
    <row r="23" ht="14.25" hidden="1" customHeight="1">
      <c r="B23" s="133">
        <v>45248.0</v>
      </c>
      <c r="C23" s="134" t="str">
        <f t="shared" si="1"/>
        <v>11-2023</v>
      </c>
      <c r="D23" s="135">
        <f t="shared" si="4"/>
        <v>785.7</v>
      </c>
      <c r="E23" s="135">
        <v>789.8</v>
      </c>
      <c r="F23" s="135">
        <f>'7D2 '!$E23-'7D2 '!$D23</f>
        <v>4.1</v>
      </c>
      <c r="G23" s="135">
        <f>'7D2 '!$F23-10</f>
        <v>-5.9</v>
      </c>
      <c r="H23" s="135"/>
    </row>
    <row r="24" ht="14.25" hidden="1" customHeight="1">
      <c r="B24" s="133">
        <v>45249.0</v>
      </c>
      <c r="C24" s="134" t="str">
        <f t="shared" si="1"/>
        <v>11-2023</v>
      </c>
      <c r="D24" s="135"/>
      <c r="E24" s="135"/>
      <c r="F24" s="135">
        <f>'7D2 '!$E24-'7D2 '!$D24</f>
        <v>0</v>
      </c>
      <c r="G24" s="135">
        <f>'7D2 '!$F24-10</f>
        <v>-10</v>
      </c>
      <c r="H24" s="135"/>
    </row>
    <row r="25" ht="14.25" hidden="1" customHeight="1">
      <c r="B25" s="133">
        <v>45250.0</v>
      </c>
      <c r="C25" s="134" t="str">
        <f t="shared" si="1"/>
        <v>11-2023</v>
      </c>
      <c r="D25" s="135" t="str">
        <f t="shared" ref="D25:D28" si="5">E24</f>
        <v/>
      </c>
      <c r="E25" s="135"/>
      <c r="F25" s="135">
        <f>'7D2 '!$E25-'7D2 '!$D25</f>
        <v>0</v>
      </c>
      <c r="G25" s="135">
        <f>'7D2 '!$F25-10</f>
        <v>-10</v>
      </c>
      <c r="H25" s="135"/>
    </row>
    <row r="26" ht="14.25" hidden="1" customHeight="1">
      <c r="B26" s="133">
        <v>45251.0</v>
      </c>
      <c r="C26" s="134" t="str">
        <f t="shared" si="1"/>
        <v>11-2023</v>
      </c>
      <c r="D26" s="135" t="str">
        <f t="shared" si="5"/>
        <v/>
      </c>
      <c r="E26" s="135"/>
      <c r="F26" s="135">
        <f>'7D2 '!$E26-'7D2 '!$D26</f>
        <v>0</v>
      </c>
      <c r="G26" s="135">
        <f>'7D2 '!$F26-10</f>
        <v>-10</v>
      </c>
      <c r="H26" s="135"/>
    </row>
    <row r="27" ht="14.25" hidden="1" customHeight="1">
      <c r="B27" s="133">
        <v>45252.0</v>
      </c>
      <c r="C27" s="134" t="str">
        <f t="shared" si="1"/>
        <v>11-2023</v>
      </c>
      <c r="D27" s="135" t="str">
        <f t="shared" si="5"/>
        <v/>
      </c>
      <c r="E27" s="135"/>
      <c r="F27" s="135">
        <f>'7D2 '!$E27-'7D2 '!$D27</f>
        <v>0</v>
      </c>
      <c r="G27" s="135">
        <f>'7D2 '!$F27-10</f>
        <v>-10</v>
      </c>
      <c r="H27" s="135"/>
    </row>
    <row r="28" ht="14.25" hidden="1" customHeight="1">
      <c r="B28" s="133">
        <v>45253.0</v>
      </c>
      <c r="C28" s="134" t="str">
        <f t="shared" si="1"/>
        <v>11-2023</v>
      </c>
      <c r="D28" s="135" t="str">
        <f t="shared" si="5"/>
        <v/>
      </c>
      <c r="E28" s="135"/>
      <c r="F28" s="135">
        <f>'7D2 '!$E28-'7D2 '!$D28</f>
        <v>0</v>
      </c>
      <c r="G28" s="135">
        <f>'7D2 '!$F28-10</f>
        <v>-10</v>
      </c>
      <c r="H28" s="135"/>
    </row>
    <row r="29" ht="14.25" hidden="1" customHeight="1">
      <c r="B29" s="133">
        <v>45254.0</v>
      </c>
      <c r="C29" s="134" t="str">
        <f t="shared" si="1"/>
        <v>11-2023</v>
      </c>
      <c r="D29" s="135">
        <v>789.8</v>
      </c>
      <c r="E29" s="135">
        <v>798.9</v>
      </c>
      <c r="F29" s="135">
        <f>'7D2 '!$E29-'7D2 '!$D29</f>
        <v>9.1</v>
      </c>
      <c r="G29" s="135">
        <f>'7D2 '!$F29-10</f>
        <v>-0.9</v>
      </c>
      <c r="H29" s="135"/>
    </row>
    <row r="30" ht="14.25" hidden="1" customHeight="1">
      <c r="B30" s="133">
        <v>45255.0</v>
      </c>
      <c r="C30" s="134" t="str">
        <f t="shared" si="1"/>
        <v>11-2023</v>
      </c>
      <c r="D30" s="135">
        <f>E29</f>
        <v>798.9</v>
      </c>
      <c r="E30" s="135">
        <v>801.7</v>
      </c>
      <c r="F30" s="135">
        <f>'7D2 '!$E30-'7D2 '!$D30</f>
        <v>2.8</v>
      </c>
      <c r="G30" s="135">
        <f>'7D2 '!$F30-10</f>
        <v>-7.2</v>
      </c>
      <c r="H30" s="135"/>
    </row>
    <row r="31" ht="14.25" hidden="1" customHeight="1">
      <c r="B31" s="133">
        <v>45256.0</v>
      </c>
      <c r="C31" s="134" t="str">
        <f t="shared" si="1"/>
        <v>11-2023</v>
      </c>
      <c r="D31" s="135"/>
      <c r="E31" s="135"/>
      <c r="F31" s="135">
        <f>'7D2 '!$E31-'7D2 '!$D31</f>
        <v>0</v>
      </c>
      <c r="G31" s="135">
        <f>'7D2 '!$F31-10</f>
        <v>-10</v>
      </c>
      <c r="H31" s="135"/>
    </row>
    <row r="32" ht="14.25" hidden="1" customHeight="1">
      <c r="B32" s="133">
        <v>45257.0</v>
      </c>
      <c r="C32" s="134" t="str">
        <f t="shared" si="1"/>
        <v>11-2023</v>
      </c>
      <c r="D32" s="135">
        <v>801.7</v>
      </c>
      <c r="E32" s="135">
        <v>808.9</v>
      </c>
      <c r="F32" s="135">
        <f>'7D2 '!$E32-'7D2 '!$D32</f>
        <v>7.2</v>
      </c>
      <c r="G32" s="135">
        <f>'7D2 '!$F32-10</f>
        <v>-2.8</v>
      </c>
      <c r="H32" s="135"/>
    </row>
    <row r="33" ht="14.25" hidden="1" customHeight="1">
      <c r="B33" s="133">
        <v>45258.0</v>
      </c>
      <c r="C33" s="134" t="str">
        <f t="shared" si="1"/>
        <v>11-2023</v>
      </c>
      <c r="D33" s="135"/>
      <c r="E33" s="135"/>
      <c r="F33" s="135">
        <f>'7D2 '!$E33-'7D2 '!$D33</f>
        <v>0</v>
      </c>
      <c r="G33" s="135">
        <f>'7D2 '!$F33-10</f>
        <v>-10</v>
      </c>
      <c r="H33" s="135">
        <v>100.0</v>
      </c>
    </row>
    <row r="34" ht="14.25" hidden="1" customHeight="1">
      <c r="B34" s="133">
        <v>45259.0</v>
      </c>
      <c r="C34" s="134" t="str">
        <f t="shared" si="1"/>
        <v>11-2023</v>
      </c>
      <c r="D34" s="135" t="str">
        <f>E33</f>
        <v/>
      </c>
      <c r="E34" s="135"/>
      <c r="F34" s="135">
        <f>'7D2 '!$E34-'7D2 '!$D34</f>
        <v>0</v>
      </c>
      <c r="G34" s="135">
        <f>'7D2 '!$F34-10</f>
        <v>-10</v>
      </c>
      <c r="H34" s="135"/>
    </row>
    <row r="35" ht="14.25" hidden="1" customHeight="1">
      <c r="B35" s="133">
        <v>45260.0</v>
      </c>
      <c r="C35" s="134" t="str">
        <f t="shared" si="1"/>
        <v>11-2023</v>
      </c>
      <c r="D35" s="135">
        <v>808.9</v>
      </c>
      <c r="E35" s="135">
        <v>813.8</v>
      </c>
      <c r="F35" s="135">
        <f>'7D2 '!$E35-'7D2 '!$D35</f>
        <v>4.9</v>
      </c>
      <c r="G35" s="135">
        <f>'7D2 '!$F35-10</f>
        <v>-5.1</v>
      </c>
      <c r="H35" s="135"/>
    </row>
    <row r="36" ht="14.25" customHeight="1">
      <c r="B36" s="204">
        <v>45261.0</v>
      </c>
      <c r="C36" s="139" t="str">
        <f t="shared" si="1"/>
        <v>12-2023</v>
      </c>
      <c r="D36" s="54">
        <v>813.8</v>
      </c>
      <c r="E36" s="54">
        <v>822.1</v>
      </c>
      <c r="F36" s="54">
        <f>'7D2 '!$E36-'7D2 '!$D36</f>
        <v>8.3</v>
      </c>
      <c r="G36" s="54">
        <f>'7D2 '!$F36-10</f>
        <v>-1.7</v>
      </c>
      <c r="H36" s="54"/>
    </row>
    <row r="37" ht="14.25" customHeight="1">
      <c r="B37" s="160">
        <v>45262.0</v>
      </c>
      <c r="C37" s="139" t="str">
        <f t="shared" si="1"/>
        <v>12-2023</v>
      </c>
      <c r="D37" s="54">
        <v>822.1</v>
      </c>
      <c r="E37" s="54">
        <v>828.1</v>
      </c>
      <c r="F37" s="54">
        <f>'7D2 '!$E37-'7D2 '!$D37</f>
        <v>6</v>
      </c>
      <c r="G37" s="54">
        <f>'7D2 '!$F37-10</f>
        <v>-4</v>
      </c>
      <c r="H37" s="54"/>
    </row>
    <row r="38" ht="14.25" customHeight="1">
      <c r="B38" s="160">
        <v>45263.0</v>
      </c>
      <c r="C38" s="139" t="str">
        <f t="shared" si="1"/>
        <v>12-2023</v>
      </c>
      <c r="D38" s="54"/>
      <c r="E38" s="54"/>
      <c r="F38" s="54">
        <f>'7D2 '!$E38-'7D2 '!$D38</f>
        <v>0</v>
      </c>
      <c r="G38" s="54">
        <f>'7D2 '!$F38-10</f>
        <v>-10</v>
      </c>
      <c r="H38" s="54"/>
    </row>
    <row r="39" ht="14.25" customHeight="1">
      <c r="B39" s="160">
        <v>45264.0</v>
      </c>
      <c r="C39" s="139" t="str">
        <f t="shared" si="1"/>
        <v>12-2023</v>
      </c>
      <c r="D39" s="54"/>
      <c r="E39" s="54"/>
      <c r="F39" s="54">
        <f>'7D2 '!$E39-'7D2 '!$D39</f>
        <v>0</v>
      </c>
      <c r="G39" s="54">
        <f>'7D2 '!$F39-10</f>
        <v>-10</v>
      </c>
      <c r="H39" s="54"/>
    </row>
    <row r="40" ht="14.25" customHeight="1">
      <c r="B40" s="160">
        <v>45265.0</v>
      </c>
      <c r="C40" s="139" t="str">
        <f t="shared" si="1"/>
        <v>12-2023</v>
      </c>
      <c r="D40" s="54">
        <v>828.1</v>
      </c>
      <c r="E40" s="54">
        <v>836.8</v>
      </c>
      <c r="F40" s="54">
        <f>'7D2 '!$E40-'7D2 '!$D40</f>
        <v>8.7</v>
      </c>
      <c r="G40" s="54">
        <f>'7D2 '!$F40-10</f>
        <v>-1.3</v>
      </c>
      <c r="H40" s="54"/>
    </row>
    <row r="41" ht="14.25" customHeight="1">
      <c r="B41" s="160">
        <v>45266.0</v>
      </c>
      <c r="C41" s="139" t="str">
        <f t="shared" si="1"/>
        <v>12-2023</v>
      </c>
      <c r="D41" s="54">
        <f t="shared" ref="D41:D44" si="6">E40</f>
        <v>836.8</v>
      </c>
      <c r="E41" s="54">
        <v>841.7</v>
      </c>
      <c r="F41" s="54">
        <f>'7D2 '!$E41-'7D2 '!$D41</f>
        <v>4.9</v>
      </c>
      <c r="G41" s="54">
        <f>'7D2 '!$F41-10</f>
        <v>-5.1</v>
      </c>
      <c r="H41" s="54">
        <v>80.0</v>
      </c>
    </row>
    <row r="42" ht="14.25" customHeight="1">
      <c r="B42" s="160">
        <v>45267.0</v>
      </c>
      <c r="C42" s="139" t="str">
        <f t="shared" si="1"/>
        <v>12-2023</v>
      </c>
      <c r="D42" s="54">
        <f t="shared" si="6"/>
        <v>841.7</v>
      </c>
      <c r="E42" s="54">
        <v>850.6</v>
      </c>
      <c r="F42" s="54">
        <f>'7D2 '!$E42-'7D2 '!$D42</f>
        <v>8.9</v>
      </c>
      <c r="G42" s="54">
        <f>'7D2 '!$F42-10</f>
        <v>-1.1</v>
      </c>
      <c r="H42" s="54"/>
    </row>
    <row r="43" ht="14.25" customHeight="1">
      <c r="B43" s="160">
        <v>45268.0</v>
      </c>
      <c r="C43" s="139" t="str">
        <f t="shared" si="1"/>
        <v>12-2023</v>
      </c>
      <c r="D43" s="54">
        <f t="shared" si="6"/>
        <v>850.6</v>
      </c>
      <c r="E43" s="54">
        <v>859.3</v>
      </c>
      <c r="F43" s="54">
        <f>'7D2 '!$E43-'7D2 '!$D43</f>
        <v>8.7</v>
      </c>
      <c r="G43" s="54">
        <f>'7D2 '!$F43-10</f>
        <v>-1.3</v>
      </c>
      <c r="H43" s="54">
        <v>290.0</v>
      </c>
    </row>
    <row r="44" ht="14.25" customHeight="1">
      <c r="B44" s="160">
        <v>45269.0</v>
      </c>
      <c r="C44" s="139" t="str">
        <f t="shared" si="1"/>
        <v>12-2023</v>
      </c>
      <c r="D44" s="54">
        <f t="shared" si="6"/>
        <v>859.3</v>
      </c>
      <c r="E44" s="54">
        <v>865.2</v>
      </c>
      <c r="F44" s="54">
        <f>'7D2 '!$E44-'7D2 '!$D44</f>
        <v>5.9</v>
      </c>
      <c r="G44" s="54">
        <f>'7D2 '!$F44-10</f>
        <v>-4.1</v>
      </c>
      <c r="H44" s="54"/>
    </row>
    <row r="45" ht="14.25" customHeight="1">
      <c r="B45" s="160">
        <v>45270.0</v>
      </c>
      <c r="C45" s="139" t="str">
        <f t="shared" si="1"/>
        <v>12-2023</v>
      </c>
      <c r="D45" s="54"/>
      <c r="E45" s="54"/>
      <c r="F45" s="54">
        <f>'7D2 '!$E45-'7D2 '!$D45</f>
        <v>0</v>
      </c>
      <c r="G45" s="54">
        <f>'7D2 '!$F45-10</f>
        <v>-10</v>
      </c>
      <c r="H45" s="54"/>
    </row>
    <row r="46" ht="14.25" customHeight="1">
      <c r="B46" s="160">
        <v>45271.0</v>
      </c>
      <c r="C46" s="139" t="str">
        <f t="shared" si="1"/>
        <v>12-2023</v>
      </c>
      <c r="D46" s="54">
        <v>865.2</v>
      </c>
      <c r="E46" s="54">
        <v>868.8</v>
      </c>
      <c r="F46" s="54">
        <f>'7D2 '!$E46-'7D2 '!$D46</f>
        <v>3.6</v>
      </c>
      <c r="G46" s="54">
        <f>'7D2 '!$F46-10</f>
        <v>-6.4</v>
      </c>
      <c r="H46" s="54"/>
    </row>
    <row r="47" ht="14.25" customHeight="1">
      <c r="B47" s="160">
        <v>45272.0</v>
      </c>
      <c r="C47" s="139" t="str">
        <f t="shared" si="1"/>
        <v>12-2023</v>
      </c>
      <c r="D47" s="54">
        <f t="shared" ref="D47:D51" si="7">E46</f>
        <v>868.8</v>
      </c>
      <c r="E47" s="54">
        <v>877.9</v>
      </c>
      <c r="F47" s="54">
        <f>'7D2 '!$E47-'7D2 '!$D47</f>
        <v>9.1</v>
      </c>
      <c r="G47" s="54">
        <f>'7D2 '!$F47-10</f>
        <v>-0.9</v>
      </c>
      <c r="H47" s="54"/>
    </row>
    <row r="48" ht="14.25" customHeight="1">
      <c r="B48" s="160">
        <v>45273.0</v>
      </c>
      <c r="C48" s="139" t="str">
        <f t="shared" si="1"/>
        <v>12-2023</v>
      </c>
      <c r="D48" s="54">
        <f t="shared" si="7"/>
        <v>877.9</v>
      </c>
      <c r="E48" s="54">
        <v>883.5</v>
      </c>
      <c r="F48" s="54">
        <f>'7D2 '!$E48-'7D2 '!$D48</f>
        <v>5.6</v>
      </c>
      <c r="G48" s="54">
        <f>'7D2 '!$F48-10</f>
        <v>-4.4</v>
      </c>
      <c r="H48" s="54"/>
    </row>
    <row r="49" ht="14.25" customHeight="1">
      <c r="B49" s="160">
        <v>45274.0</v>
      </c>
      <c r="C49" s="139" t="str">
        <f t="shared" si="1"/>
        <v>12-2023</v>
      </c>
      <c r="D49" s="54">
        <f t="shared" si="7"/>
        <v>883.5</v>
      </c>
      <c r="E49" s="54">
        <v>891.6</v>
      </c>
      <c r="F49" s="54">
        <f>'7D2 '!$E49-'7D2 '!$D49</f>
        <v>8.1</v>
      </c>
      <c r="G49" s="54">
        <f>'7D2 '!$F49-10</f>
        <v>-1.9</v>
      </c>
      <c r="H49" s="54"/>
    </row>
    <row r="50" ht="14.25" customHeight="1">
      <c r="B50" s="160">
        <v>45275.0</v>
      </c>
      <c r="C50" s="139" t="str">
        <f t="shared" si="1"/>
        <v>12-2023</v>
      </c>
      <c r="D50" s="54">
        <f t="shared" si="7"/>
        <v>891.6</v>
      </c>
      <c r="E50" s="54">
        <v>899.2</v>
      </c>
      <c r="F50" s="54">
        <f>'7D2 '!$E50-'7D2 '!$D50</f>
        <v>7.6</v>
      </c>
      <c r="G50" s="54">
        <f>'7D2 '!$F50-10</f>
        <v>-2.4</v>
      </c>
      <c r="H50" s="54"/>
    </row>
    <row r="51" ht="14.25" customHeight="1">
      <c r="B51" s="160">
        <v>45276.0</v>
      </c>
      <c r="C51" s="139" t="str">
        <f t="shared" si="1"/>
        <v>12-2023</v>
      </c>
      <c r="D51" s="54">
        <f t="shared" si="7"/>
        <v>899.2</v>
      </c>
      <c r="E51" s="54">
        <v>904.5</v>
      </c>
      <c r="F51" s="54">
        <f>'7D2 '!$E51-'7D2 '!$D51</f>
        <v>5.3</v>
      </c>
      <c r="G51" s="54">
        <f>'7D2 '!$F51-10</f>
        <v>-4.7</v>
      </c>
      <c r="H51" s="54">
        <v>225.0</v>
      </c>
    </row>
    <row r="52" ht="14.25" customHeight="1">
      <c r="B52" s="160">
        <v>45277.0</v>
      </c>
      <c r="C52" s="139" t="str">
        <f t="shared" si="1"/>
        <v>12-2023</v>
      </c>
      <c r="D52" s="54"/>
      <c r="E52" s="54"/>
      <c r="F52" s="54">
        <f>'7D2 '!$E52-'7D2 '!$D52</f>
        <v>0</v>
      </c>
      <c r="G52" s="54">
        <f>'7D2 '!$F52-10</f>
        <v>-10</v>
      </c>
      <c r="H52" s="54"/>
    </row>
    <row r="53" ht="14.25" customHeight="1">
      <c r="B53" s="160">
        <v>45278.0</v>
      </c>
      <c r="C53" s="139" t="str">
        <f t="shared" si="1"/>
        <v>12-2023</v>
      </c>
      <c r="D53" s="54">
        <v>904.5</v>
      </c>
      <c r="E53" s="54">
        <v>914.3</v>
      </c>
      <c r="F53" s="54">
        <f>'7D2 '!$E53-'7D2 '!$D53</f>
        <v>9.8</v>
      </c>
      <c r="G53" s="54">
        <f>'7D2 '!$F53-10</f>
        <v>-0.2</v>
      </c>
      <c r="H53" s="54"/>
    </row>
    <row r="54" ht="14.25" customHeight="1">
      <c r="B54" s="160">
        <v>45279.0</v>
      </c>
      <c r="C54" s="139" t="str">
        <f t="shared" si="1"/>
        <v>12-2023</v>
      </c>
      <c r="D54" s="54"/>
      <c r="E54" s="54"/>
      <c r="F54" s="54">
        <f>'7D2 '!$E54-'7D2 '!$D54</f>
        <v>0</v>
      </c>
      <c r="G54" s="54">
        <f>'7D2 '!$F54-10</f>
        <v>-10</v>
      </c>
      <c r="H54" s="54"/>
    </row>
    <row r="55" ht="14.25" customHeight="1">
      <c r="B55" s="160">
        <v>45280.0</v>
      </c>
      <c r="C55" s="139" t="str">
        <f t="shared" si="1"/>
        <v>12-2023</v>
      </c>
      <c r="D55" s="54" t="str">
        <f t="shared" ref="D55:D97" si="8">E54</f>
        <v/>
      </c>
      <c r="E55" s="54"/>
      <c r="F55" s="54">
        <f>'7D2 '!$E55-'7D2 '!$D55</f>
        <v>0</v>
      </c>
      <c r="G55" s="54">
        <f>'7D2 '!$F55-10</f>
        <v>-10</v>
      </c>
      <c r="H55" s="54"/>
    </row>
    <row r="56" ht="14.25" customHeight="1">
      <c r="B56" s="160">
        <v>45281.0</v>
      </c>
      <c r="C56" s="139" t="str">
        <f t="shared" si="1"/>
        <v>12-2023</v>
      </c>
      <c r="D56" s="54" t="str">
        <f t="shared" si="8"/>
        <v/>
      </c>
      <c r="E56" s="54"/>
      <c r="F56" s="54">
        <f>'7D2 '!$E56-'7D2 '!$D56</f>
        <v>0</v>
      </c>
      <c r="G56" s="54">
        <f>'7D2 '!$F56-10</f>
        <v>-10</v>
      </c>
      <c r="H56" s="54"/>
    </row>
    <row r="57" ht="14.25" customHeight="1">
      <c r="B57" s="160">
        <v>45282.0</v>
      </c>
      <c r="C57" s="139" t="str">
        <f t="shared" si="1"/>
        <v>12-2023</v>
      </c>
      <c r="D57" s="54" t="str">
        <f t="shared" si="8"/>
        <v/>
      </c>
      <c r="E57" s="54"/>
      <c r="F57" s="54">
        <f>'7D2 '!$E57-'7D2 '!$D57</f>
        <v>0</v>
      </c>
      <c r="G57" s="54">
        <f>'7D2 '!$F57-10</f>
        <v>-10</v>
      </c>
      <c r="H57" s="54"/>
    </row>
    <row r="58" ht="14.25" customHeight="1">
      <c r="B58" s="160">
        <v>45283.0</v>
      </c>
      <c r="C58" s="139" t="str">
        <f t="shared" si="1"/>
        <v>12-2023</v>
      </c>
      <c r="D58" s="54" t="str">
        <f t="shared" si="8"/>
        <v/>
      </c>
      <c r="E58" s="54"/>
      <c r="F58" s="54">
        <f>'7D2 '!$E58-'7D2 '!$D58</f>
        <v>0</v>
      </c>
      <c r="G58" s="54">
        <f>'7D2 '!$F58-10</f>
        <v>-10</v>
      </c>
      <c r="H58" s="54"/>
    </row>
    <row r="59" ht="14.25" customHeight="1">
      <c r="B59" s="160">
        <v>45284.0</v>
      </c>
      <c r="C59" s="139" t="str">
        <f t="shared" si="1"/>
        <v>12-2023</v>
      </c>
      <c r="D59" s="54" t="str">
        <f t="shared" si="8"/>
        <v/>
      </c>
      <c r="E59" s="54"/>
      <c r="F59" s="54">
        <f>'7D2 '!$E59-'7D2 '!$D59</f>
        <v>0</v>
      </c>
      <c r="G59" s="54">
        <f>'7D2 '!$F59-10</f>
        <v>-10</v>
      </c>
      <c r="H59" s="54"/>
    </row>
    <row r="60" ht="14.25" customHeight="1">
      <c r="B60" s="160">
        <v>45285.0</v>
      </c>
      <c r="C60" s="139" t="str">
        <f t="shared" si="1"/>
        <v>12-2023</v>
      </c>
      <c r="D60" s="54" t="str">
        <f t="shared" si="8"/>
        <v/>
      </c>
      <c r="E60" s="54"/>
      <c r="F60" s="54">
        <f>'7D2 '!$E60-'7D2 '!$D60</f>
        <v>0</v>
      </c>
      <c r="G60" s="54">
        <f>'7D2 '!$F60-10</f>
        <v>-10</v>
      </c>
      <c r="H60" s="54"/>
    </row>
    <row r="61" ht="14.25" customHeight="1">
      <c r="B61" s="160">
        <v>45286.0</v>
      </c>
      <c r="C61" s="139" t="str">
        <f t="shared" si="1"/>
        <v>12-2023</v>
      </c>
      <c r="D61" s="54" t="str">
        <f t="shared" si="8"/>
        <v/>
      </c>
      <c r="E61" s="54"/>
      <c r="F61" s="54">
        <f>'7D2 '!$E61-'7D2 '!$D61</f>
        <v>0</v>
      </c>
      <c r="G61" s="54">
        <f>'7D2 '!$F61-10</f>
        <v>-10</v>
      </c>
      <c r="H61" s="54"/>
    </row>
    <row r="62" ht="14.25" customHeight="1">
      <c r="B62" s="160">
        <v>45287.0</v>
      </c>
      <c r="C62" s="139" t="str">
        <f t="shared" si="1"/>
        <v>12-2023</v>
      </c>
      <c r="D62" s="54" t="str">
        <f t="shared" si="8"/>
        <v/>
      </c>
      <c r="E62" s="54"/>
      <c r="F62" s="54">
        <f>'7D2 '!$E62-'7D2 '!$D62</f>
        <v>0</v>
      </c>
      <c r="G62" s="54">
        <f>'7D2 '!$F62-10</f>
        <v>-10</v>
      </c>
      <c r="H62" s="54"/>
    </row>
    <row r="63" ht="14.25" customHeight="1">
      <c r="B63" s="160">
        <v>45288.0</v>
      </c>
      <c r="C63" s="139" t="str">
        <f t="shared" si="1"/>
        <v>12-2023</v>
      </c>
      <c r="D63" s="54" t="str">
        <f t="shared" si="8"/>
        <v/>
      </c>
      <c r="E63" s="54"/>
      <c r="F63" s="54">
        <f>'7D2 '!$E63-'7D2 '!$D63</f>
        <v>0</v>
      </c>
      <c r="G63" s="54">
        <f>'7D2 '!$F63-10</f>
        <v>-10</v>
      </c>
      <c r="H63" s="54"/>
    </row>
    <row r="64" ht="14.25" customHeight="1">
      <c r="B64" s="160">
        <v>45289.0</v>
      </c>
      <c r="C64" s="139" t="str">
        <f t="shared" si="1"/>
        <v>12-2023</v>
      </c>
      <c r="D64" s="54" t="str">
        <f t="shared" si="8"/>
        <v/>
      </c>
      <c r="E64" s="54"/>
      <c r="F64" s="54">
        <f>'7D2 '!$E64-'7D2 '!$D64</f>
        <v>0</v>
      </c>
      <c r="G64" s="54">
        <f>'7D2 '!$F64-10</f>
        <v>-10</v>
      </c>
      <c r="H64" s="54"/>
    </row>
    <row r="65" ht="14.25" customHeight="1">
      <c r="B65" s="160">
        <v>45290.0</v>
      </c>
      <c r="C65" s="139" t="str">
        <f t="shared" si="1"/>
        <v>12-2023</v>
      </c>
      <c r="D65" s="54" t="str">
        <f t="shared" si="8"/>
        <v/>
      </c>
      <c r="E65" s="54"/>
      <c r="F65" s="54">
        <f>'7D2 '!$E65-'7D2 '!$D65</f>
        <v>0</v>
      </c>
      <c r="G65" s="54">
        <f>'7D2 '!$F65-10</f>
        <v>-10</v>
      </c>
      <c r="H65" s="54"/>
    </row>
    <row r="66" ht="14.25" customHeight="1">
      <c r="B66" s="160">
        <v>45291.0</v>
      </c>
      <c r="C66" s="139" t="str">
        <f t="shared" si="1"/>
        <v>12-2023</v>
      </c>
      <c r="D66" s="54" t="str">
        <f t="shared" si="8"/>
        <v/>
      </c>
      <c r="E66" s="54"/>
      <c r="F66" s="54">
        <f>'7D2 '!$E66-'7D2 '!$D66</f>
        <v>0</v>
      </c>
      <c r="G66" s="54">
        <f>'7D2 '!$F66-10</f>
        <v>-10</v>
      </c>
      <c r="H66" s="54"/>
    </row>
    <row r="67" ht="14.25" customHeight="1">
      <c r="B67" s="160">
        <v>45292.0</v>
      </c>
      <c r="C67" s="139" t="str">
        <f t="shared" si="1"/>
        <v>1-2024</v>
      </c>
      <c r="D67" s="54" t="str">
        <f t="shared" si="8"/>
        <v/>
      </c>
      <c r="E67" s="54"/>
      <c r="F67" s="54">
        <f>'7D2 '!$E67-'7D2 '!$D67</f>
        <v>0</v>
      </c>
      <c r="G67" s="54">
        <f>'7D2 '!$F67-10</f>
        <v>-10</v>
      </c>
      <c r="H67" s="54"/>
    </row>
    <row r="68" ht="14.25" customHeight="1">
      <c r="B68" s="160">
        <v>45293.0</v>
      </c>
      <c r="C68" s="139" t="str">
        <f t="shared" si="1"/>
        <v>1-2024</v>
      </c>
      <c r="D68" s="54" t="str">
        <f t="shared" si="8"/>
        <v/>
      </c>
      <c r="E68" s="54"/>
      <c r="F68" s="54">
        <f>'7D2 '!$E68-'7D2 '!$D68</f>
        <v>0</v>
      </c>
      <c r="G68" s="54">
        <f>'7D2 '!$F68-10</f>
        <v>-10</v>
      </c>
      <c r="H68" s="54"/>
    </row>
    <row r="69" ht="14.25" customHeight="1">
      <c r="B69" s="160">
        <v>45294.0</v>
      </c>
      <c r="C69" s="139" t="str">
        <f t="shared" si="1"/>
        <v>1-2024</v>
      </c>
      <c r="D69" s="54" t="str">
        <f t="shared" si="8"/>
        <v/>
      </c>
      <c r="E69" s="54"/>
      <c r="F69" s="54">
        <f>'7D2 '!$E69-'7D2 '!$D69</f>
        <v>0</v>
      </c>
      <c r="G69" s="54">
        <f>'7D2 '!$F69-10</f>
        <v>-10</v>
      </c>
      <c r="H69" s="54"/>
    </row>
    <row r="70" ht="14.25" customHeight="1">
      <c r="B70" s="160">
        <v>45295.0</v>
      </c>
      <c r="C70" s="139" t="str">
        <f t="shared" si="1"/>
        <v>1-2024</v>
      </c>
      <c r="D70" s="54" t="str">
        <f t="shared" si="8"/>
        <v/>
      </c>
      <c r="E70" s="54"/>
      <c r="F70" s="54">
        <f>'7D2 '!$E70-'7D2 '!$D70</f>
        <v>0</v>
      </c>
      <c r="G70" s="54">
        <f>'7D2 '!$F70-10</f>
        <v>-10</v>
      </c>
      <c r="H70" s="54"/>
    </row>
    <row r="71" ht="14.25" customHeight="1">
      <c r="B71" s="160">
        <v>45296.0</v>
      </c>
      <c r="C71" s="139" t="str">
        <f t="shared" si="1"/>
        <v>1-2024</v>
      </c>
      <c r="D71" s="54" t="str">
        <f t="shared" si="8"/>
        <v/>
      </c>
      <c r="E71" s="54"/>
      <c r="F71" s="54">
        <f>'7D2 '!$E71-'7D2 '!$D71</f>
        <v>0</v>
      </c>
      <c r="G71" s="54">
        <f>'7D2 '!$F71-10</f>
        <v>-10</v>
      </c>
      <c r="H71" s="54"/>
    </row>
    <row r="72" ht="14.25" customHeight="1">
      <c r="B72" s="160">
        <v>45297.0</v>
      </c>
      <c r="C72" s="139" t="str">
        <f t="shared" si="1"/>
        <v>1-2024</v>
      </c>
      <c r="D72" s="54" t="str">
        <f t="shared" si="8"/>
        <v/>
      </c>
      <c r="E72" s="54"/>
      <c r="F72" s="54">
        <f>'7D2 '!$E72-'7D2 '!$D72</f>
        <v>0</v>
      </c>
      <c r="G72" s="54">
        <f>'7D2 '!$F72-10</f>
        <v>-10</v>
      </c>
      <c r="H72" s="54"/>
    </row>
    <row r="73" ht="14.25" customHeight="1">
      <c r="B73" s="160">
        <v>45298.0</v>
      </c>
      <c r="C73" s="139" t="str">
        <f t="shared" si="1"/>
        <v>1-2024</v>
      </c>
      <c r="D73" s="54" t="str">
        <f t="shared" si="8"/>
        <v/>
      </c>
      <c r="E73" s="54"/>
      <c r="F73" s="54">
        <f>'7D2 '!$E73-'7D2 '!$D73</f>
        <v>0</v>
      </c>
      <c r="G73" s="54">
        <f>'7D2 '!$F73-10</f>
        <v>-10</v>
      </c>
      <c r="H73" s="54"/>
    </row>
    <row r="74" ht="14.25" customHeight="1">
      <c r="B74" s="160">
        <v>45299.0</v>
      </c>
      <c r="C74" s="139" t="str">
        <f t="shared" si="1"/>
        <v>1-2024</v>
      </c>
      <c r="D74" s="54" t="str">
        <f t="shared" si="8"/>
        <v/>
      </c>
      <c r="E74" s="54"/>
      <c r="F74" s="54">
        <f>'7D2 '!$E74-'7D2 '!$D74</f>
        <v>0</v>
      </c>
      <c r="G74" s="54">
        <f>'7D2 '!$F74-10</f>
        <v>-10</v>
      </c>
      <c r="H74" s="54"/>
    </row>
    <row r="75" ht="14.25" customHeight="1">
      <c r="B75" s="160">
        <v>45300.0</v>
      </c>
      <c r="C75" s="139" t="str">
        <f t="shared" si="1"/>
        <v>1-2024</v>
      </c>
      <c r="D75" s="54" t="str">
        <f t="shared" si="8"/>
        <v/>
      </c>
      <c r="E75" s="54"/>
      <c r="F75" s="54">
        <f>'7D2 '!$E75-'7D2 '!$D75</f>
        <v>0</v>
      </c>
      <c r="G75" s="54">
        <f>'7D2 '!$F75-10</f>
        <v>-10</v>
      </c>
      <c r="H75" s="54"/>
    </row>
    <row r="76" ht="14.25" customHeight="1">
      <c r="B76" s="160">
        <v>45301.0</v>
      </c>
      <c r="C76" s="139" t="str">
        <f t="shared" si="1"/>
        <v>1-2024</v>
      </c>
      <c r="D76" s="54" t="str">
        <f t="shared" si="8"/>
        <v/>
      </c>
      <c r="E76" s="54"/>
      <c r="F76" s="54">
        <f>'7D2 '!$E76-'7D2 '!$D76</f>
        <v>0</v>
      </c>
      <c r="G76" s="54">
        <f>'7D2 '!$F76-10</f>
        <v>-10</v>
      </c>
      <c r="H76" s="54"/>
    </row>
    <row r="77" ht="14.25" customHeight="1">
      <c r="B77" s="160">
        <v>45302.0</v>
      </c>
      <c r="C77" s="139" t="str">
        <f t="shared" si="1"/>
        <v>1-2024</v>
      </c>
      <c r="D77" s="54" t="str">
        <f t="shared" si="8"/>
        <v/>
      </c>
      <c r="E77" s="54"/>
      <c r="F77" s="54">
        <f>'7D2 '!$E77-'7D2 '!$D77</f>
        <v>0</v>
      </c>
      <c r="G77" s="54">
        <f>'7D2 '!$F77-10</f>
        <v>-10</v>
      </c>
      <c r="H77" s="54"/>
    </row>
    <row r="78" ht="14.25" customHeight="1">
      <c r="B78" s="160">
        <v>45303.0</v>
      </c>
      <c r="C78" s="139" t="str">
        <f t="shared" si="1"/>
        <v>1-2024</v>
      </c>
      <c r="D78" s="54" t="str">
        <f t="shared" si="8"/>
        <v/>
      </c>
      <c r="E78" s="54"/>
      <c r="F78" s="54">
        <f>'7D2 '!$E78-'7D2 '!$D78</f>
        <v>0</v>
      </c>
      <c r="G78" s="54">
        <f>'7D2 '!$F78-10</f>
        <v>-10</v>
      </c>
      <c r="H78" s="54"/>
    </row>
    <row r="79" ht="14.25" customHeight="1">
      <c r="B79" s="160">
        <v>45304.0</v>
      </c>
      <c r="C79" s="139" t="str">
        <f t="shared" si="1"/>
        <v>1-2024</v>
      </c>
      <c r="D79" s="54" t="str">
        <f t="shared" si="8"/>
        <v/>
      </c>
      <c r="E79" s="54"/>
      <c r="F79" s="54">
        <f>'7D2 '!$E79-'7D2 '!$D79</f>
        <v>0</v>
      </c>
      <c r="G79" s="54">
        <f>'7D2 '!$F79-10</f>
        <v>-10</v>
      </c>
      <c r="H79" s="54"/>
    </row>
    <row r="80" ht="14.25" customHeight="1">
      <c r="B80" s="160">
        <v>45305.0</v>
      </c>
      <c r="C80" s="139" t="str">
        <f t="shared" si="1"/>
        <v>1-2024</v>
      </c>
      <c r="D80" s="54" t="str">
        <f t="shared" si="8"/>
        <v/>
      </c>
      <c r="E80" s="54"/>
      <c r="F80" s="54">
        <f>'7D2 '!$E80-'7D2 '!$D80</f>
        <v>0</v>
      </c>
      <c r="G80" s="54">
        <f>'7D2 '!$F80-10</f>
        <v>-10</v>
      </c>
      <c r="H80" s="54"/>
    </row>
    <row r="81" ht="14.25" customHeight="1">
      <c r="B81" s="160">
        <v>45306.0</v>
      </c>
      <c r="C81" s="139" t="str">
        <f t="shared" si="1"/>
        <v>1-2024</v>
      </c>
      <c r="D81" s="54" t="str">
        <f t="shared" si="8"/>
        <v/>
      </c>
      <c r="E81" s="54"/>
      <c r="F81" s="54">
        <f>'7D2 '!$E81-'7D2 '!$D81</f>
        <v>0</v>
      </c>
      <c r="G81" s="54">
        <f>'7D2 '!$F81-10</f>
        <v>-10</v>
      </c>
      <c r="H81" s="54"/>
    </row>
    <row r="82" ht="14.25" customHeight="1">
      <c r="B82" s="160">
        <v>45307.0</v>
      </c>
      <c r="C82" s="139" t="str">
        <f t="shared" si="1"/>
        <v>1-2024</v>
      </c>
      <c r="D82" s="54" t="str">
        <f t="shared" si="8"/>
        <v/>
      </c>
      <c r="E82" s="54"/>
      <c r="F82" s="54">
        <f>'7D2 '!$E82-'7D2 '!$D82</f>
        <v>0</v>
      </c>
      <c r="G82" s="54">
        <f>'7D2 '!$F82-10</f>
        <v>-10</v>
      </c>
      <c r="H82" s="54"/>
    </row>
    <row r="83" ht="14.25" customHeight="1">
      <c r="B83" s="160">
        <v>45308.0</v>
      </c>
      <c r="C83" s="139" t="str">
        <f t="shared" si="1"/>
        <v>1-2024</v>
      </c>
      <c r="D83" s="54" t="str">
        <f t="shared" si="8"/>
        <v/>
      </c>
      <c r="E83" s="54"/>
      <c r="F83" s="54">
        <f>'7D2 '!$E83-'7D2 '!$D83</f>
        <v>0</v>
      </c>
      <c r="G83" s="54">
        <f>'7D2 '!$F83-10</f>
        <v>-10</v>
      </c>
      <c r="H83" s="54"/>
    </row>
    <row r="84" ht="14.25" customHeight="1">
      <c r="B84" s="160">
        <v>45309.0</v>
      </c>
      <c r="C84" s="139" t="str">
        <f t="shared" si="1"/>
        <v>1-2024</v>
      </c>
      <c r="D84" s="54" t="str">
        <f t="shared" si="8"/>
        <v/>
      </c>
      <c r="E84" s="54"/>
      <c r="F84" s="54">
        <f>'7D2 '!$E84-'7D2 '!$D84</f>
        <v>0</v>
      </c>
      <c r="G84" s="54">
        <f>'7D2 '!$F84-10</f>
        <v>-10</v>
      </c>
      <c r="H84" s="54"/>
    </row>
    <row r="85" ht="14.25" customHeight="1">
      <c r="B85" s="160">
        <v>45310.0</v>
      </c>
      <c r="C85" s="139" t="str">
        <f t="shared" si="1"/>
        <v>1-2024</v>
      </c>
      <c r="D85" s="54" t="str">
        <f t="shared" si="8"/>
        <v/>
      </c>
      <c r="E85" s="54"/>
      <c r="F85" s="54">
        <f>'7D2 '!$E85-'7D2 '!$D85</f>
        <v>0</v>
      </c>
      <c r="G85" s="54">
        <f>'7D2 '!$F85-10</f>
        <v>-10</v>
      </c>
      <c r="H85" s="54"/>
    </row>
    <row r="86" ht="14.25" customHeight="1">
      <c r="B86" s="160">
        <v>45311.0</v>
      </c>
      <c r="C86" s="184" t="str">
        <f t="shared" si="1"/>
        <v>1-2024</v>
      </c>
      <c r="D86" s="54" t="str">
        <f t="shared" si="8"/>
        <v/>
      </c>
      <c r="E86" s="54"/>
      <c r="F86" s="54">
        <f>'7D2 '!$E86-'7D2 '!$D86</f>
        <v>0</v>
      </c>
      <c r="G86" s="54">
        <f>'7D2 '!$F86-10</f>
        <v>-10</v>
      </c>
    </row>
    <row r="87" ht="14.25" customHeight="1">
      <c r="B87" s="160">
        <v>45312.0</v>
      </c>
      <c r="C87" s="184" t="str">
        <f t="shared" si="1"/>
        <v>1-2024</v>
      </c>
      <c r="D87" s="54" t="str">
        <f t="shared" si="8"/>
        <v/>
      </c>
      <c r="E87" s="54"/>
      <c r="F87" s="54">
        <f>'7D2 '!$E87-'7D2 '!$D87</f>
        <v>0</v>
      </c>
      <c r="G87" s="54">
        <f>'7D2 '!$F87-10</f>
        <v>-10</v>
      </c>
    </row>
    <row r="88" ht="14.25" customHeight="1">
      <c r="B88" s="160">
        <v>45313.0</v>
      </c>
      <c r="C88" s="184" t="str">
        <f t="shared" si="1"/>
        <v>1-2024</v>
      </c>
      <c r="D88" s="54" t="str">
        <f t="shared" si="8"/>
        <v/>
      </c>
      <c r="E88" s="54"/>
      <c r="F88" s="54">
        <f>'7D2 '!$E88-'7D2 '!$D88</f>
        <v>0</v>
      </c>
      <c r="G88" s="54">
        <f>'7D2 '!$F88-10</f>
        <v>-10</v>
      </c>
    </row>
    <row r="89" ht="14.25" customHeight="1">
      <c r="B89" s="160">
        <v>45314.0</v>
      </c>
      <c r="C89" s="184" t="str">
        <f t="shared" si="1"/>
        <v>1-2024</v>
      </c>
      <c r="D89" s="54" t="str">
        <f t="shared" si="8"/>
        <v/>
      </c>
      <c r="E89" s="54"/>
      <c r="F89" s="54">
        <f>'7D2 '!$E89-'7D2 '!$D89</f>
        <v>0</v>
      </c>
      <c r="G89" s="54">
        <f>'7D2 '!$F89-10</f>
        <v>-10</v>
      </c>
    </row>
    <row r="90" ht="14.25" customHeight="1">
      <c r="B90" s="160">
        <v>45315.0</v>
      </c>
      <c r="C90" s="184" t="str">
        <f t="shared" si="1"/>
        <v>1-2024</v>
      </c>
      <c r="D90" s="54" t="str">
        <f t="shared" si="8"/>
        <v/>
      </c>
      <c r="E90" s="54"/>
      <c r="F90" s="54">
        <f>'7D2 '!$E90-'7D2 '!$D90</f>
        <v>0</v>
      </c>
      <c r="G90" s="54">
        <f>'7D2 '!$F90-10</f>
        <v>-10</v>
      </c>
    </row>
    <row r="91" ht="14.25" customHeight="1">
      <c r="B91" s="160">
        <v>45316.0</v>
      </c>
      <c r="C91" s="184" t="str">
        <f t="shared" si="1"/>
        <v>1-2024</v>
      </c>
      <c r="D91" s="54" t="str">
        <f t="shared" si="8"/>
        <v/>
      </c>
      <c r="E91" s="54"/>
      <c r="F91" s="54">
        <f>'7D2 '!$E91-'7D2 '!$D91</f>
        <v>0</v>
      </c>
      <c r="G91" s="54">
        <f>'7D2 '!$F91-10</f>
        <v>-10</v>
      </c>
    </row>
    <row r="92" ht="14.25" customHeight="1">
      <c r="B92" s="160">
        <v>45317.0</v>
      </c>
      <c r="C92" s="184" t="str">
        <f t="shared" si="1"/>
        <v>1-2024</v>
      </c>
      <c r="D92" s="54" t="str">
        <f t="shared" si="8"/>
        <v/>
      </c>
      <c r="E92" s="54"/>
      <c r="F92" s="54">
        <f>'7D2 '!$E92-'7D2 '!$D92</f>
        <v>0</v>
      </c>
      <c r="G92" s="54">
        <f>'7D2 '!$F92-10</f>
        <v>-10</v>
      </c>
    </row>
    <row r="93" ht="14.25" customHeight="1">
      <c r="B93" s="160">
        <v>45318.0</v>
      </c>
      <c r="C93" s="184" t="str">
        <f t="shared" si="1"/>
        <v>1-2024</v>
      </c>
      <c r="D93" s="54" t="str">
        <f t="shared" si="8"/>
        <v/>
      </c>
      <c r="E93" s="54"/>
      <c r="F93" s="54">
        <f>'7D2 '!$E93-'7D2 '!$D93</f>
        <v>0</v>
      </c>
      <c r="G93" s="54">
        <f>'7D2 '!$F93-10</f>
        <v>-10</v>
      </c>
    </row>
    <row r="94" ht="14.25" customHeight="1">
      <c r="B94" s="160">
        <v>45319.0</v>
      </c>
      <c r="C94" s="184" t="str">
        <f t="shared" si="1"/>
        <v>1-2024</v>
      </c>
      <c r="D94" s="54" t="str">
        <f t="shared" si="8"/>
        <v/>
      </c>
      <c r="E94" s="54"/>
      <c r="F94" s="54">
        <f>'7D2 '!$E94-'7D2 '!$D94</f>
        <v>0</v>
      </c>
      <c r="G94" s="54">
        <f>'7D2 '!$F94-10</f>
        <v>-10</v>
      </c>
    </row>
    <row r="95" ht="14.25" customHeight="1">
      <c r="B95" s="160">
        <v>45320.0</v>
      </c>
      <c r="C95" s="184" t="str">
        <f t="shared" si="1"/>
        <v>1-2024</v>
      </c>
      <c r="D95" s="54" t="str">
        <f t="shared" si="8"/>
        <v/>
      </c>
      <c r="E95" s="54"/>
      <c r="F95" s="54">
        <f>'7D2 '!$E95-'7D2 '!$D95</f>
        <v>0</v>
      </c>
      <c r="G95" s="54">
        <f>'7D2 '!$F95-10</f>
        <v>-10</v>
      </c>
    </row>
    <row r="96" ht="14.25" customHeight="1">
      <c r="B96" s="160">
        <v>45321.0</v>
      </c>
      <c r="C96" s="184" t="str">
        <f t="shared" si="1"/>
        <v>1-2024</v>
      </c>
      <c r="D96" s="54" t="str">
        <f t="shared" si="8"/>
        <v/>
      </c>
      <c r="E96" s="54"/>
      <c r="F96" s="54">
        <f>'7D2 '!$E96-'7D2 '!$D96</f>
        <v>0</v>
      </c>
      <c r="G96" s="54">
        <f>'7D2 '!$F96-10</f>
        <v>-10</v>
      </c>
    </row>
    <row r="97" ht="14.25" customHeight="1">
      <c r="B97" s="160">
        <v>45322.0</v>
      </c>
      <c r="C97" s="184" t="str">
        <f t="shared" si="1"/>
        <v>1-2024</v>
      </c>
      <c r="D97" s="54" t="str">
        <f t="shared" si="8"/>
        <v/>
      </c>
      <c r="E97" s="54"/>
      <c r="F97" s="54">
        <f>'7D2 '!$E97-'7D2 '!$D97</f>
        <v>0</v>
      </c>
      <c r="G97" s="54">
        <f>'7D2 '!$F97-10</f>
        <v>-10</v>
      </c>
    </row>
    <row r="98" ht="14.25" customHeight="1">
      <c r="B98" s="160">
        <v>45323.0</v>
      </c>
      <c r="C98" s="184" t="str">
        <f t="shared" si="1"/>
        <v>2-2024</v>
      </c>
      <c r="D98" s="138"/>
      <c r="E98" s="138"/>
      <c r="F98" s="54">
        <f>'7D2 '!$E98-'7D2 '!$D98</f>
        <v>0</v>
      </c>
      <c r="G98" s="54">
        <f>'7D2 '!$F98-10</f>
        <v>-10</v>
      </c>
    </row>
    <row r="99" ht="14.25" customHeight="1">
      <c r="B99" s="160">
        <v>45324.0</v>
      </c>
      <c r="C99" s="184" t="str">
        <f t="shared" si="1"/>
        <v>2-2024</v>
      </c>
      <c r="D99" s="54"/>
      <c r="E99" s="138"/>
      <c r="F99" s="54">
        <f>'7D2 '!$E99-'7D2 '!$D99</f>
        <v>0</v>
      </c>
      <c r="G99" s="54">
        <f>'7D2 '!$F99-10</f>
        <v>-10</v>
      </c>
    </row>
    <row r="100" ht="14.25" customHeight="1">
      <c r="B100" s="160">
        <v>45325.0</v>
      </c>
      <c r="C100" s="184" t="str">
        <f t="shared" si="1"/>
        <v>2-2024</v>
      </c>
      <c r="D100" s="54"/>
      <c r="E100" s="138"/>
      <c r="F100" s="54">
        <f>'7D2 '!$E100-'7D2 '!$D100</f>
        <v>0</v>
      </c>
      <c r="G100" s="54">
        <f>'7D2 '!$F100-10</f>
        <v>-10</v>
      </c>
    </row>
    <row r="101" ht="14.25" customHeight="1">
      <c r="B101" s="160">
        <v>45326.0</v>
      </c>
      <c r="C101" s="184" t="str">
        <f t="shared" si="1"/>
        <v>2-2024</v>
      </c>
      <c r="D101" s="54"/>
      <c r="E101" s="54"/>
      <c r="F101" s="54">
        <f>'7D2 '!$E101-'7D2 '!$D101</f>
        <v>0</v>
      </c>
      <c r="G101" s="54">
        <f>'7D2 '!$F101-10</f>
        <v>-10</v>
      </c>
    </row>
    <row r="102" ht="14.25" customHeight="1">
      <c r="B102" s="160">
        <v>45327.0</v>
      </c>
      <c r="C102" s="184" t="str">
        <f t="shared" si="1"/>
        <v>2-2024</v>
      </c>
      <c r="D102" s="138"/>
      <c r="E102" s="138"/>
      <c r="F102" s="54">
        <f>'7D2 '!$E102-'7D2 '!$D102</f>
        <v>0</v>
      </c>
      <c r="G102" s="54">
        <f>'7D2 '!$F102-10</f>
        <v>-10</v>
      </c>
    </row>
    <row r="103" ht="14.25" customHeight="1">
      <c r="B103" s="160">
        <v>45328.0</v>
      </c>
      <c r="C103" s="184" t="str">
        <f t="shared" si="1"/>
        <v>2-2024</v>
      </c>
      <c r="D103" s="54"/>
      <c r="E103" s="138"/>
      <c r="F103" s="54">
        <f>'7D2 '!$E103-'7D2 '!$D103</f>
        <v>0</v>
      </c>
      <c r="G103" s="54">
        <f>'7D2 '!$F103-10</f>
        <v>-10</v>
      </c>
    </row>
    <row r="104" ht="14.25" customHeight="1">
      <c r="B104" s="160">
        <v>45329.0</v>
      </c>
      <c r="C104" s="184" t="str">
        <f t="shared" si="1"/>
        <v>2-2024</v>
      </c>
      <c r="D104" s="54"/>
      <c r="E104" s="138"/>
      <c r="F104" s="54">
        <f>'7D2 '!$E104-'7D2 '!$D104</f>
        <v>0</v>
      </c>
      <c r="G104" s="54">
        <f>'7D2 '!$F104-10</f>
        <v>-10</v>
      </c>
    </row>
    <row r="105" ht="14.25" customHeight="1">
      <c r="B105" s="160">
        <v>45330.0</v>
      </c>
      <c r="C105" s="184" t="str">
        <f t="shared" si="1"/>
        <v>2-2024</v>
      </c>
      <c r="D105" s="138">
        <v>918.6</v>
      </c>
      <c r="E105" s="138">
        <v>922.6</v>
      </c>
      <c r="F105" s="54">
        <f>'7D2 '!$E105-'7D2 '!$D105</f>
        <v>4</v>
      </c>
      <c r="G105" s="54">
        <f>'7D2 '!$F105-10</f>
        <v>-6</v>
      </c>
    </row>
    <row r="106" ht="14.25" customHeight="1">
      <c r="B106" s="160">
        <v>45331.0</v>
      </c>
      <c r="C106" s="184" t="str">
        <f t="shared" si="1"/>
        <v>2-2024</v>
      </c>
      <c r="D106" s="54">
        <f t="shared" ref="D106:D107" si="9">E105</f>
        <v>922.6</v>
      </c>
      <c r="E106" s="138">
        <v>927.7</v>
      </c>
      <c r="F106" s="54">
        <f>'7D2 '!$E106-'7D2 '!$D106</f>
        <v>5.1</v>
      </c>
      <c r="G106" s="54">
        <f>'7D2 '!$F106-10</f>
        <v>-4.9</v>
      </c>
    </row>
    <row r="107" ht="14.25" customHeight="1">
      <c r="B107" s="160">
        <v>45332.0</v>
      </c>
      <c r="C107" s="184" t="str">
        <f t="shared" si="1"/>
        <v>2-2024</v>
      </c>
      <c r="D107" s="54">
        <f t="shared" si="9"/>
        <v>927.7</v>
      </c>
      <c r="E107" s="138">
        <v>935.0</v>
      </c>
      <c r="F107" s="54">
        <f>'7D2 '!$E107-'7D2 '!$D107</f>
        <v>7.3</v>
      </c>
      <c r="G107" s="54">
        <f>'7D2 '!$F107-10</f>
        <v>-2.7</v>
      </c>
    </row>
    <row r="108" ht="14.25" customHeight="1">
      <c r="B108" s="160">
        <v>45333.0</v>
      </c>
      <c r="C108" s="184" t="str">
        <f t="shared" si="1"/>
        <v>2-2024</v>
      </c>
      <c r="D108" s="54"/>
      <c r="E108" s="54"/>
      <c r="F108" s="54">
        <f>'7D2 '!$E108-'7D2 '!$D108</f>
        <v>0</v>
      </c>
      <c r="G108" s="54">
        <f>'7D2 '!$F108-10</f>
        <v>-10</v>
      </c>
    </row>
    <row r="109" ht="14.25" customHeight="1">
      <c r="B109" s="160">
        <v>45334.0</v>
      </c>
      <c r="C109" s="184" t="str">
        <f t="shared" si="1"/>
        <v>2-2024</v>
      </c>
      <c r="D109" s="138">
        <v>935.0</v>
      </c>
      <c r="E109" s="138">
        <v>943.5</v>
      </c>
      <c r="F109" s="54">
        <f>'7D2 '!$E109-'7D2 '!$D109</f>
        <v>8.5</v>
      </c>
      <c r="G109" s="54">
        <f>'7D2 '!$F109-10</f>
        <v>-1.5</v>
      </c>
    </row>
    <row r="110" ht="14.25" customHeight="1">
      <c r="B110" s="160">
        <v>45335.0</v>
      </c>
      <c r="C110" s="184" t="str">
        <f t="shared" si="1"/>
        <v>2-2024</v>
      </c>
      <c r="D110" s="54">
        <f t="shared" ref="D110:D114" si="10">E109</f>
        <v>943.5</v>
      </c>
      <c r="E110" s="138">
        <v>952.5</v>
      </c>
      <c r="F110" s="54">
        <f>'7D2 '!$E110-'7D2 '!$D110</f>
        <v>9</v>
      </c>
      <c r="G110" s="54">
        <f>'7D2 '!$F110-10</f>
        <v>-1</v>
      </c>
    </row>
    <row r="111" ht="14.25" customHeight="1">
      <c r="B111" s="160">
        <v>45336.0</v>
      </c>
      <c r="C111" s="184" t="str">
        <f t="shared" si="1"/>
        <v>2-2024</v>
      </c>
      <c r="D111" s="54">
        <f t="shared" si="10"/>
        <v>952.5</v>
      </c>
      <c r="E111" s="138">
        <v>961.0</v>
      </c>
      <c r="F111" s="54">
        <f>'7D2 '!$E111-'7D2 '!$D111</f>
        <v>8.5</v>
      </c>
      <c r="G111" s="54">
        <f>'7D2 '!$F111-10</f>
        <v>-1.5</v>
      </c>
    </row>
    <row r="112" ht="14.25" customHeight="1">
      <c r="B112" s="160">
        <v>45337.0</v>
      </c>
      <c r="C112" s="184" t="str">
        <f t="shared" si="1"/>
        <v>2-2024</v>
      </c>
      <c r="D112" s="54">
        <f t="shared" si="10"/>
        <v>961</v>
      </c>
      <c r="E112" s="138">
        <v>968.3</v>
      </c>
      <c r="F112" s="54">
        <f>'7D2 '!$E112-'7D2 '!$D112</f>
        <v>7.3</v>
      </c>
      <c r="G112" s="54">
        <f>'7D2 '!$F112-10</f>
        <v>-2.7</v>
      </c>
    </row>
    <row r="113" ht="14.25" customHeight="1">
      <c r="B113" s="160">
        <v>45338.0</v>
      </c>
      <c r="C113" s="184" t="str">
        <f t="shared" si="1"/>
        <v>2-2024</v>
      </c>
      <c r="D113" s="54">
        <f t="shared" si="10"/>
        <v>968.3</v>
      </c>
      <c r="E113" s="138">
        <v>973.8</v>
      </c>
      <c r="F113" s="54">
        <f>'7D2 '!$E113-'7D2 '!$D113</f>
        <v>5.5</v>
      </c>
      <c r="G113" s="54">
        <f>'7D2 '!$F113-10</f>
        <v>-4.5</v>
      </c>
    </row>
    <row r="114" ht="14.25" customHeight="1">
      <c r="B114" s="160">
        <v>45339.0</v>
      </c>
      <c r="C114" s="184" t="str">
        <f t="shared" si="1"/>
        <v>2-2024</v>
      </c>
      <c r="D114" s="54">
        <f t="shared" si="10"/>
        <v>973.8</v>
      </c>
      <c r="E114" s="138">
        <v>978.4</v>
      </c>
      <c r="F114" s="54">
        <f>'7D2 '!$E114-'7D2 '!$D114</f>
        <v>4.6</v>
      </c>
      <c r="G114" s="54">
        <f>'7D2 '!$F114-10</f>
        <v>-5.4</v>
      </c>
    </row>
    <row r="115" ht="14.25" customHeight="1">
      <c r="B115" s="160">
        <v>45340.0</v>
      </c>
      <c r="C115" s="184" t="str">
        <f t="shared" si="1"/>
        <v>2-2024</v>
      </c>
      <c r="D115" s="54"/>
      <c r="E115" s="54"/>
      <c r="F115" s="54">
        <f>'7D2 '!$E115-'7D2 '!$D115</f>
        <v>0</v>
      </c>
      <c r="G115" s="54">
        <f>'7D2 '!$F115-10</f>
        <v>-10</v>
      </c>
    </row>
    <row r="116" ht="14.25" customHeight="1">
      <c r="B116" s="160">
        <v>45341.0</v>
      </c>
      <c r="C116" s="184" t="str">
        <f t="shared" si="1"/>
        <v>2-2024</v>
      </c>
      <c r="D116" s="138"/>
      <c r="E116" s="138"/>
      <c r="F116" s="54">
        <f>'7D2 '!$E116-'7D2 '!$D116</f>
        <v>0</v>
      </c>
      <c r="G116" s="54">
        <f>'7D2 '!$F116-10</f>
        <v>-10</v>
      </c>
    </row>
    <row r="117" ht="14.25" customHeight="1">
      <c r="B117" s="160">
        <v>45342.0</v>
      </c>
      <c r="C117" s="184" t="str">
        <f t="shared" si="1"/>
        <v>2-2024</v>
      </c>
      <c r="D117" s="138">
        <v>978.4</v>
      </c>
      <c r="E117" s="138">
        <v>980.2</v>
      </c>
      <c r="F117" s="54">
        <f>'7D2 '!$E117-'7D2 '!$D117</f>
        <v>1.8</v>
      </c>
      <c r="G117" s="54">
        <f>'7D2 '!$F117-10</f>
        <v>-8.2</v>
      </c>
    </row>
    <row r="118" ht="14.25" customHeight="1">
      <c r="B118" s="160">
        <v>45343.0</v>
      </c>
      <c r="C118" s="184" t="str">
        <f t="shared" si="1"/>
        <v>2-2024</v>
      </c>
      <c r="D118" s="54">
        <f t="shared" ref="D118:D120" si="11">E117</f>
        <v>980.2</v>
      </c>
      <c r="E118" s="138">
        <v>986.3</v>
      </c>
      <c r="F118" s="54">
        <f>'7D2 '!$E118-'7D2 '!$D118</f>
        <v>6.1</v>
      </c>
      <c r="G118" s="54">
        <f>'7D2 '!$F118-10</f>
        <v>-3.9</v>
      </c>
    </row>
    <row r="119" ht="14.25" customHeight="1">
      <c r="B119" s="160">
        <v>45344.0</v>
      </c>
      <c r="C119" s="184" t="str">
        <f t="shared" si="1"/>
        <v>2-2024</v>
      </c>
      <c r="D119" s="54">
        <f t="shared" si="11"/>
        <v>986.3</v>
      </c>
      <c r="E119" s="138">
        <v>994.2</v>
      </c>
      <c r="F119" s="54">
        <f>'7D2 '!$E119-'7D2 '!$D119</f>
        <v>7.9</v>
      </c>
      <c r="G119" s="54">
        <f>'7D2 '!$F119-10</f>
        <v>-2.1</v>
      </c>
    </row>
    <row r="120" ht="14.25" customHeight="1">
      <c r="B120" s="160">
        <v>45345.0</v>
      </c>
      <c r="C120" s="184" t="str">
        <f t="shared" si="1"/>
        <v>2-2024</v>
      </c>
      <c r="D120" s="54">
        <f t="shared" si="11"/>
        <v>994.2</v>
      </c>
      <c r="E120" s="138">
        <v>997.8</v>
      </c>
      <c r="F120" s="54">
        <f>'7D2 '!$E120-'7D2 '!$D120</f>
        <v>3.6</v>
      </c>
      <c r="G120" s="54">
        <f>'7D2 '!$F120-10</f>
        <v>-6.4</v>
      </c>
    </row>
    <row r="121" ht="14.25" customHeight="1">
      <c r="B121" s="160">
        <v>45346.0</v>
      </c>
      <c r="C121" s="184" t="str">
        <f t="shared" si="1"/>
        <v>2-2024</v>
      </c>
      <c r="D121" s="54"/>
      <c r="E121" s="138"/>
      <c r="F121" s="54">
        <f>'7D2 '!$E121-'7D2 '!$D121</f>
        <v>0</v>
      </c>
      <c r="G121" s="54">
        <f>'7D2 '!$F121-10</f>
        <v>-10</v>
      </c>
    </row>
    <row r="122" ht="14.25" customHeight="1">
      <c r="B122" s="160">
        <v>45347.0</v>
      </c>
      <c r="C122" s="184" t="str">
        <f t="shared" si="1"/>
        <v>2-2024</v>
      </c>
      <c r="D122" s="138">
        <v>997.8</v>
      </c>
      <c r="E122" s="138">
        <v>999.6</v>
      </c>
      <c r="F122" s="54">
        <f>'7D2 '!$E122-'7D2 '!$D122</f>
        <v>1.8</v>
      </c>
      <c r="G122" s="54">
        <f>'7D2 '!$F122-10</f>
        <v>-8.2</v>
      </c>
    </row>
    <row r="123" ht="14.25" customHeight="1">
      <c r="B123" s="160">
        <v>45348.0</v>
      </c>
      <c r="C123" s="184" t="str">
        <f t="shared" si="1"/>
        <v>2-2024</v>
      </c>
      <c r="D123" s="54">
        <f t="shared" ref="D123:D126" si="12">E122</f>
        <v>999.6</v>
      </c>
      <c r="E123" s="138">
        <v>1002.8</v>
      </c>
      <c r="F123" s="54">
        <f>'7D2 '!$E123-'7D2 '!$D123</f>
        <v>3.2</v>
      </c>
      <c r="G123" s="54">
        <f>'7D2 '!$F123-10</f>
        <v>-6.8</v>
      </c>
    </row>
    <row r="124" ht="14.25" customHeight="1">
      <c r="B124" s="160">
        <v>45349.0</v>
      </c>
      <c r="C124" s="184" t="str">
        <f t="shared" si="1"/>
        <v>2-2024</v>
      </c>
      <c r="D124" s="54">
        <f t="shared" si="12"/>
        <v>1002.8</v>
      </c>
      <c r="E124" s="138">
        <v>1011.3</v>
      </c>
      <c r="F124" s="54">
        <f>'7D2 '!$E124-'7D2 '!$D124</f>
        <v>8.5</v>
      </c>
      <c r="G124" s="54">
        <f>'7D2 '!$F124-10</f>
        <v>-1.5</v>
      </c>
    </row>
    <row r="125" ht="14.25" customHeight="1">
      <c r="B125" s="160">
        <v>45350.0</v>
      </c>
      <c r="C125" s="184" t="str">
        <f t="shared" si="1"/>
        <v>2-2024</v>
      </c>
      <c r="D125" s="54">
        <f t="shared" si="12"/>
        <v>1011.3</v>
      </c>
      <c r="E125" s="138">
        <v>1022.2</v>
      </c>
      <c r="F125" s="54">
        <f>'7D2 '!$E125-'7D2 '!$D125</f>
        <v>10.9</v>
      </c>
      <c r="G125" s="54">
        <f>'7D2 '!$F125-10</f>
        <v>0.9</v>
      </c>
    </row>
    <row r="126" ht="14.25" customHeight="1">
      <c r="B126" s="160">
        <v>45351.0</v>
      </c>
      <c r="C126" s="184" t="str">
        <f t="shared" si="1"/>
        <v>2-2024</v>
      </c>
      <c r="D126" s="54">
        <f t="shared" si="12"/>
        <v>1022.2</v>
      </c>
      <c r="E126" s="138">
        <v>1029.9</v>
      </c>
      <c r="F126" s="54">
        <f>'7D2 '!$E126-'7D2 '!$D126</f>
        <v>7.7</v>
      </c>
      <c r="G126" s="54">
        <f>'7D2 '!$F126-10</f>
        <v>-2.3</v>
      </c>
    </row>
    <row r="127" ht="14.25" customHeight="1">
      <c r="B127" s="160">
        <v>45352.0</v>
      </c>
      <c r="C127" s="184" t="str">
        <f t="shared" si="1"/>
        <v>3-2024</v>
      </c>
      <c r="D127" s="54"/>
      <c r="E127" s="54"/>
      <c r="F127" s="54">
        <f>'7D2 '!$E127-'7D2 '!$D127</f>
        <v>0</v>
      </c>
      <c r="G127" s="54">
        <f>'7D2 '!$F127-10</f>
        <v>-10</v>
      </c>
    </row>
    <row r="128" ht="14.25" customHeight="1">
      <c r="B128" s="160">
        <v>45353.0</v>
      </c>
      <c r="C128" s="184" t="str">
        <f t="shared" si="1"/>
        <v>3-2024</v>
      </c>
      <c r="D128" s="54" t="str">
        <f t="shared" ref="D128:D157" si="13">E127</f>
        <v/>
      </c>
      <c r="E128" s="54"/>
      <c r="F128" s="54">
        <f>'7D2 '!$E128-'7D2 '!$D128</f>
        <v>0</v>
      </c>
      <c r="G128" s="54">
        <f>'7D2 '!$F128-10</f>
        <v>-10</v>
      </c>
    </row>
    <row r="129" ht="14.25" customHeight="1">
      <c r="B129" s="160">
        <v>45354.0</v>
      </c>
      <c r="C129" s="184" t="str">
        <f t="shared" si="1"/>
        <v>3-2024</v>
      </c>
      <c r="D129" s="54" t="str">
        <f t="shared" si="13"/>
        <v/>
      </c>
      <c r="E129" s="54"/>
      <c r="F129" s="54">
        <f>'7D2 '!$E129-'7D2 '!$D129</f>
        <v>0</v>
      </c>
      <c r="G129" s="54">
        <f>'7D2 '!$F129-10</f>
        <v>-10</v>
      </c>
    </row>
    <row r="130" ht="14.25" customHeight="1">
      <c r="B130" s="160">
        <v>45355.0</v>
      </c>
      <c r="C130" s="184" t="str">
        <f t="shared" si="1"/>
        <v>3-2024</v>
      </c>
      <c r="D130" s="54" t="str">
        <f t="shared" si="13"/>
        <v/>
      </c>
      <c r="E130" s="54"/>
      <c r="F130" s="54">
        <f>'7D2 '!$E130-'7D2 '!$D130</f>
        <v>0</v>
      </c>
      <c r="G130" s="54">
        <f>'7D2 '!$F130-10</f>
        <v>-10</v>
      </c>
    </row>
    <row r="131" ht="14.25" customHeight="1">
      <c r="B131" s="160">
        <v>45356.0</v>
      </c>
      <c r="C131" s="184" t="str">
        <f t="shared" si="1"/>
        <v>3-2024</v>
      </c>
      <c r="D131" s="54" t="str">
        <f t="shared" si="13"/>
        <v/>
      </c>
      <c r="E131" s="54"/>
      <c r="F131" s="54">
        <f>'7D2 '!$E131-'7D2 '!$D131</f>
        <v>0</v>
      </c>
      <c r="G131" s="54">
        <f>'7D2 '!$F131-10</f>
        <v>-10</v>
      </c>
    </row>
    <row r="132" ht="14.25" customHeight="1">
      <c r="B132" s="160">
        <v>45357.0</v>
      </c>
      <c r="C132" s="184" t="str">
        <f t="shared" si="1"/>
        <v>3-2024</v>
      </c>
      <c r="D132" s="54" t="str">
        <f t="shared" si="13"/>
        <v/>
      </c>
      <c r="E132" s="54"/>
      <c r="F132" s="54">
        <f>'7D2 '!$E132-'7D2 '!$D132</f>
        <v>0</v>
      </c>
      <c r="G132" s="54">
        <f>'7D2 '!$F132-10</f>
        <v>-10</v>
      </c>
    </row>
    <row r="133" ht="14.25" customHeight="1">
      <c r="B133" s="160">
        <v>45358.0</v>
      </c>
      <c r="C133" s="184" t="str">
        <f t="shared" si="1"/>
        <v>3-2024</v>
      </c>
      <c r="D133" s="54" t="str">
        <f t="shared" si="13"/>
        <v/>
      </c>
      <c r="E133" s="54"/>
      <c r="F133" s="54">
        <f>'7D2 '!$E133-'7D2 '!$D133</f>
        <v>0</v>
      </c>
      <c r="G133" s="54">
        <f>'7D2 '!$F133-10</f>
        <v>-10</v>
      </c>
    </row>
    <row r="134" ht="14.25" customHeight="1">
      <c r="B134" s="160">
        <v>45359.0</v>
      </c>
      <c r="C134" s="184" t="str">
        <f t="shared" si="1"/>
        <v>3-2024</v>
      </c>
      <c r="D134" s="54" t="str">
        <f t="shared" si="13"/>
        <v/>
      </c>
      <c r="E134" s="54"/>
      <c r="F134" s="54">
        <f>'7D2 '!$E134-'7D2 '!$D134</f>
        <v>0</v>
      </c>
      <c r="G134" s="54">
        <f>'7D2 '!$F134-10</f>
        <v>-10</v>
      </c>
    </row>
    <row r="135" ht="14.25" customHeight="1">
      <c r="B135" s="160">
        <v>45360.0</v>
      </c>
      <c r="C135" s="184" t="str">
        <f t="shared" si="1"/>
        <v>3-2024</v>
      </c>
      <c r="D135" s="54" t="str">
        <f t="shared" si="13"/>
        <v/>
      </c>
      <c r="E135" s="54"/>
      <c r="F135" s="54">
        <f>'7D2 '!$E135-'7D2 '!$D135</f>
        <v>0</v>
      </c>
      <c r="G135" s="54">
        <f>'7D2 '!$F135-10</f>
        <v>-10</v>
      </c>
    </row>
    <row r="136" ht="14.25" customHeight="1">
      <c r="B136" s="160">
        <v>45361.0</v>
      </c>
      <c r="C136" s="184" t="str">
        <f t="shared" si="1"/>
        <v>3-2024</v>
      </c>
      <c r="D136" s="54" t="str">
        <f t="shared" si="13"/>
        <v/>
      </c>
      <c r="E136" s="54"/>
      <c r="F136" s="54">
        <f>'7D2 '!$E136-'7D2 '!$D136</f>
        <v>0</v>
      </c>
      <c r="G136" s="54">
        <f>'7D2 '!$F136-10</f>
        <v>-10</v>
      </c>
    </row>
    <row r="137" ht="14.25" customHeight="1">
      <c r="B137" s="160">
        <v>45362.0</v>
      </c>
      <c r="C137" s="184" t="str">
        <f t="shared" si="1"/>
        <v>3-2024</v>
      </c>
      <c r="D137" s="54" t="str">
        <f t="shared" si="13"/>
        <v/>
      </c>
      <c r="E137" s="54"/>
      <c r="F137" s="54">
        <f>'7D2 '!$E137-'7D2 '!$D137</f>
        <v>0</v>
      </c>
      <c r="G137" s="54">
        <f>'7D2 '!$F137-10</f>
        <v>-10</v>
      </c>
    </row>
    <row r="138" ht="14.25" customHeight="1">
      <c r="B138" s="160">
        <v>45363.0</v>
      </c>
      <c r="C138" s="184" t="str">
        <f t="shared" si="1"/>
        <v>3-2024</v>
      </c>
      <c r="D138" s="54" t="str">
        <f t="shared" si="13"/>
        <v/>
      </c>
      <c r="E138" s="54"/>
      <c r="F138" s="54">
        <f>'7D2 '!$E138-'7D2 '!$D138</f>
        <v>0</v>
      </c>
      <c r="G138" s="54">
        <f>'7D2 '!$F138-10</f>
        <v>-10</v>
      </c>
    </row>
    <row r="139" ht="14.25" customHeight="1">
      <c r="B139" s="160">
        <v>45364.0</v>
      </c>
      <c r="C139" s="184" t="str">
        <f t="shared" si="1"/>
        <v>3-2024</v>
      </c>
      <c r="D139" s="54" t="str">
        <f t="shared" si="13"/>
        <v/>
      </c>
      <c r="E139" s="54"/>
      <c r="F139" s="54">
        <f>'7D2 '!$E139-'7D2 '!$D139</f>
        <v>0</v>
      </c>
      <c r="G139" s="54">
        <f>'7D2 '!$F139-10</f>
        <v>-10</v>
      </c>
    </row>
    <row r="140" ht="14.25" customHeight="1">
      <c r="B140" s="160">
        <v>45365.0</v>
      </c>
      <c r="C140" s="184" t="str">
        <f t="shared" si="1"/>
        <v>3-2024</v>
      </c>
      <c r="D140" s="54" t="str">
        <f t="shared" si="13"/>
        <v/>
      </c>
      <c r="E140" s="54"/>
      <c r="F140" s="54">
        <f>'7D2 '!$E140-'7D2 '!$D140</f>
        <v>0</v>
      </c>
      <c r="G140" s="54">
        <f>'7D2 '!$F140-10</f>
        <v>-10</v>
      </c>
    </row>
    <row r="141" ht="14.25" customHeight="1">
      <c r="B141" s="160">
        <v>45366.0</v>
      </c>
      <c r="C141" s="184" t="str">
        <f t="shared" si="1"/>
        <v>3-2024</v>
      </c>
      <c r="D141" s="54" t="str">
        <f t="shared" si="13"/>
        <v/>
      </c>
      <c r="E141" s="54"/>
      <c r="F141" s="54">
        <f>'7D2 '!$E141-'7D2 '!$D141</f>
        <v>0</v>
      </c>
      <c r="G141" s="54">
        <f>'7D2 '!$F141-10</f>
        <v>-10</v>
      </c>
    </row>
    <row r="142" ht="14.25" customHeight="1">
      <c r="B142" s="160">
        <v>45367.0</v>
      </c>
      <c r="C142" s="184" t="str">
        <f t="shared" si="1"/>
        <v>3-2024</v>
      </c>
      <c r="D142" s="54" t="str">
        <f t="shared" si="13"/>
        <v/>
      </c>
      <c r="E142" s="54"/>
      <c r="F142" s="54">
        <f>'7D2 '!$E142-'7D2 '!$D142</f>
        <v>0</v>
      </c>
      <c r="G142" s="54">
        <f>'7D2 '!$F142-10</f>
        <v>-10</v>
      </c>
    </row>
    <row r="143" ht="14.25" customHeight="1">
      <c r="B143" s="160">
        <v>45368.0</v>
      </c>
      <c r="C143" s="184" t="str">
        <f t="shared" si="1"/>
        <v>3-2024</v>
      </c>
      <c r="D143" s="54" t="str">
        <f t="shared" si="13"/>
        <v/>
      </c>
      <c r="E143" s="54"/>
      <c r="F143" s="54">
        <f>'7D2 '!$E143-'7D2 '!$D143</f>
        <v>0</v>
      </c>
      <c r="G143" s="54">
        <f>'7D2 '!$F143-10</f>
        <v>-10</v>
      </c>
    </row>
    <row r="144" ht="14.25" customHeight="1">
      <c r="B144" s="160">
        <v>45369.0</v>
      </c>
      <c r="C144" s="184" t="str">
        <f t="shared" si="1"/>
        <v>3-2024</v>
      </c>
      <c r="D144" s="54" t="str">
        <f t="shared" si="13"/>
        <v/>
      </c>
      <c r="E144" s="54"/>
      <c r="F144" s="54">
        <f>'7D2 '!$E144-'7D2 '!$D144</f>
        <v>0</v>
      </c>
      <c r="G144" s="54">
        <f>'7D2 '!$F144-10</f>
        <v>-10</v>
      </c>
    </row>
    <row r="145" ht="14.25" customHeight="1">
      <c r="B145" s="160">
        <v>45370.0</v>
      </c>
      <c r="C145" s="184" t="str">
        <f t="shared" si="1"/>
        <v>3-2024</v>
      </c>
      <c r="D145" s="54" t="str">
        <f t="shared" si="13"/>
        <v/>
      </c>
      <c r="E145" s="54"/>
      <c r="F145" s="54">
        <f>'7D2 '!$E145-'7D2 '!$D145</f>
        <v>0</v>
      </c>
      <c r="G145" s="54">
        <f>'7D2 '!$F145-10</f>
        <v>-10</v>
      </c>
    </row>
    <row r="146" ht="14.25" customHeight="1">
      <c r="B146" s="160">
        <v>45371.0</v>
      </c>
      <c r="C146" s="184" t="str">
        <f t="shared" si="1"/>
        <v>3-2024</v>
      </c>
      <c r="D146" s="54" t="str">
        <f t="shared" si="13"/>
        <v/>
      </c>
      <c r="E146" s="54"/>
      <c r="F146" s="54">
        <f>'7D2 '!$E146-'7D2 '!$D146</f>
        <v>0</v>
      </c>
      <c r="G146" s="54">
        <f>'7D2 '!$F146-10</f>
        <v>-10</v>
      </c>
    </row>
    <row r="147" ht="14.25" customHeight="1">
      <c r="B147" s="160">
        <v>45372.0</v>
      </c>
      <c r="C147" s="184" t="str">
        <f t="shared" si="1"/>
        <v>3-2024</v>
      </c>
      <c r="D147" s="54" t="str">
        <f t="shared" si="13"/>
        <v/>
      </c>
      <c r="E147" s="54"/>
      <c r="F147" s="54">
        <f>'7D2 '!$E147-'7D2 '!$D147</f>
        <v>0</v>
      </c>
      <c r="G147" s="54">
        <f>'7D2 '!$F147-10</f>
        <v>-10</v>
      </c>
    </row>
    <row r="148" ht="14.25" customHeight="1">
      <c r="B148" s="160">
        <v>45373.0</v>
      </c>
      <c r="C148" s="184" t="str">
        <f t="shared" si="1"/>
        <v>3-2024</v>
      </c>
      <c r="D148" s="54" t="str">
        <f t="shared" si="13"/>
        <v/>
      </c>
      <c r="E148" s="54"/>
      <c r="F148" s="54">
        <f>'7D2 '!$E148-'7D2 '!$D148</f>
        <v>0</v>
      </c>
      <c r="G148" s="54">
        <f>'7D2 '!$F148-10</f>
        <v>-10</v>
      </c>
    </row>
    <row r="149" ht="14.25" customHeight="1">
      <c r="B149" s="160">
        <v>45374.0</v>
      </c>
      <c r="C149" s="184" t="str">
        <f t="shared" si="1"/>
        <v>3-2024</v>
      </c>
      <c r="D149" s="54" t="str">
        <f t="shared" si="13"/>
        <v/>
      </c>
      <c r="E149" s="54"/>
      <c r="F149" s="54">
        <f>'7D2 '!$E149-'7D2 '!$D149</f>
        <v>0</v>
      </c>
      <c r="G149" s="54">
        <f>'7D2 '!$F149-10</f>
        <v>-10</v>
      </c>
    </row>
    <row r="150" ht="14.25" customHeight="1">
      <c r="B150" s="160">
        <v>45375.0</v>
      </c>
      <c r="C150" s="184" t="str">
        <f t="shared" si="1"/>
        <v>3-2024</v>
      </c>
      <c r="D150" s="54" t="str">
        <f t="shared" si="13"/>
        <v/>
      </c>
      <c r="E150" s="54"/>
      <c r="F150" s="54">
        <f>'7D2 '!$E150-'7D2 '!$D150</f>
        <v>0</v>
      </c>
      <c r="G150" s="54">
        <f>'7D2 '!$F150-10</f>
        <v>-10</v>
      </c>
    </row>
    <row r="151" ht="14.25" customHeight="1">
      <c r="B151" s="160">
        <v>45376.0</v>
      </c>
      <c r="C151" s="184" t="str">
        <f t="shared" si="1"/>
        <v>3-2024</v>
      </c>
      <c r="D151" s="54" t="str">
        <f t="shared" si="13"/>
        <v/>
      </c>
      <c r="E151" s="54"/>
      <c r="F151" s="54">
        <f>'7D2 '!$E151-'7D2 '!$D151</f>
        <v>0</v>
      </c>
      <c r="G151" s="54">
        <f>'7D2 '!$F151-10</f>
        <v>-10</v>
      </c>
    </row>
    <row r="152" ht="14.25" customHeight="1">
      <c r="B152" s="160">
        <v>45377.0</v>
      </c>
      <c r="C152" s="184" t="str">
        <f t="shared" si="1"/>
        <v>3-2024</v>
      </c>
      <c r="D152" s="54" t="str">
        <f t="shared" si="13"/>
        <v/>
      </c>
      <c r="E152" s="54"/>
      <c r="F152" s="54">
        <f>'7D2 '!$E152-'7D2 '!$D152</f>
        <v>0</v>
      </c>
      <c r="G152" s="54">
        <f>'7D2 '!$F152-10</f>
        <v>-10</v>
      </c>
    </row>
    <row r="153" ht="14.25" customHeight="1">
      <c r="B153" s="160">
        <v>45378.0</v>
      </c>
      <c r="C153" s="184" t="str">
        <f t="shared" si="1"/>
        <v>3-2024</v>
      </c>
      <c r="D153" s="54" t="str">
        <f t="shared" si="13"/>
        <v/>
      </c>
      <c r="E153" s="54"/>
      <c r="F153" s="54">
        <f>'7D2 '!$E153-'7D2 '!$D153</f>
        <v>0</v>
      </c>
      <c r="G153" s="54">
        <f>'7D2 '!$F153-10</f>
        <v>-10</v>
      </c>
    </row>
    <row r="154" ht="14.25" customHeight="1">
      <c r="B154" s="160">
        <v>45379.0</v>
      </c>
      <c r="C154" s="184" t="str">
        <f t="shared" si="1"/>
        <v>3-2024</v>
      </c>
      <c r="D154" s="54" t="str">
        <f t="shared" si="13"/>
        <v/>
      </c>
      <c r="E154" s="54"/>
      <c r="F154" s="54">
        <f>'7D2 '!$E154-'7D2 '!$D154</f>
        <v>0</v>
      </c>
      <c r="G154" s="54">
        <f>'7D2 '!$F154-10</f>
        <v>-10</v>
      </c>
    </row>
    <row r="155" ht="14.25" customHeight="1">
      <c r="B155" s="160">
        <v>45380.0</v>
      </c>
      <c r="C155" s="184" t="str">
        <f t="shared" si="1"/>
        <v>3-2024</v>
      </c>
      <c r="D155" s="54" t="str">
        <f t="shared" si="13"/>
        <v/>
      </c>
      <c r="E155" s="54"/>
      <c r="F155" s="54">
        <f>'7D2 '!$E155-'7D2 '!$D155</f>
        <v>0</v>
      </c>
      <c r="G155" s="54">
        <f>'7D2 '!$F155-10</f>
        <v>-10</v>
      </c>
    </row>
    <row r="156" ht="14.25" customHeight="1">
      <c r="B156" s="160">
        <v>45381.0</v>
      </c>
      <c r="C156" s="184" t="str">
        <f t="shared" si="1"/>
        <v>3-2024</v>
      </c>
      <c r="D156" s="54" t="str">
        <f t="shared" si="13"/>
        <v/>
      </c>
      <c r="E156" s="54"/>
      <c r="F156" s="54">
        <f>'7D2 '!$E156-'7D2 '!$D156</f>
        <v>0</v>
      </c>
      <c r="G156" s="54">
        <f>'7D2 '!$F156-10</f>
        <v>-10</v>
      </c>
    </row>
    <row r="157" ht="14.25" customHeight="1">
      <c r="B157" s="160">
        <v>45382.0</v>
      </c>
      <c r="C157" s="184" t="str">
        <f t="shared" si="1"/>
        <v>3-2024</v>
      </c>
      <c r="D157" s="54" t="str">
        <f t="shared" si="13"/>
        <v/>
      </c>
      <c r="E157" s="54"/>
      <c r="F157" s="138">
        <v>9.5</v>
      </c>
      <c r="G157" s="54">
        <f>'7D2 '!$F157-10</f>
        <v>-0.5</v>
      </c>
    </row>
    <row r="158" ht="14.25" customHeight="1">
      <c r="B158" s="164">
        <v>45383.0</v>
      </c>
      <c r="C158" s="141" t="str">
        <f t="shared" si="1"/>
        <v>4-2024</v>
      </c>
      <c r="D158" s="138">
        <v>0.0</v>
      </c>
      <c r="E158" s="138">
        <v>8.5</v>
      </c>
      <c r="F158" s="54">
        <f>'7D2 '!$E158-'7D2 '!$D158</f>
        <v>8.5</v>
      </c>
      <c r="G158" s="54">
        <f>'7D2 '!$F158-10</f>
        <v>-1.5</v>
      </c>
    </row>
    <row r="159" ht="14.25" customHeight="1">
      <c r="B159" s="164">
        <v>45384.0</v>
      </c>
      <c r="C159" s="141" t="str">
        <f t="shared" si="1"/>
        <v>4-2024</v>
      </c>
      <c r="D159" s="54">
        <f>E158</f>
        <v>8.5</v>
      </c>
      <c r="E159" s="138">
        <v>12.9</v>
      </c>
      <c r="F159" s="54">
        <f>'7D2 '!$E159-'7D2 '!$D159</f>
        <v>4.4</v>
      </c>
      <c r="G159" s="54">
        <f>'7D2 '!$F159-10</f>
        <v>-5.6</v>
      </c>
    </row>
    <row r="160" ht="14.25" customHeight="1">
      <c r="B160" s="164">
        <v>45385.0</v>
      </c>
      <c r="C160" s="141" t="str">
        <f t="shared" si="1"/>
        <v>4-2024</v>
      </c>
      <c r="D160" s="138">
        <v>13.9</v>
      </c>
      <c r="E160" s="138">
        <v>18.8</v>
      </c>
      <c r="F160" s="54">
        <f>'7D2 '!$E160-'7D2 '!$D160</f>
        <v>4.9</v>
      </c>
      <c r="G160" s="54">
        <f>'7D2 '!$F160-10</f>
        <v>-5.1</v>
      </c>
    </row>
    <row r="161" ht="14.25" customHeight="1">
      <c r="B161" s="164">
        <v>45386.0</v>
      </c>
      <c r="C161" s="141" t="str">
        <f t="shared" si="1"/>
        <v>4-2024</v>
      </c>
      <c r="D161" s="54">
        <f t="shared" ref="D161:D167" si="14">E160</f>
        <v>18.8</v>
      </c>
      <c r="E161" s="138">
        <v>26.8</v>
      </c>
      <c r="F161" s="54">
        <f>'7D2 '!$E161-'7D2 '!$D161</f>
        <v>8</v>
      </c>
      <c r="G161" s="54">
        <f>'7D2 '!$F161-10</f>
        <v>-2</v>
      </c>
    </row>
    <row r="162" ht="14.25" customHeight="1">
      <c r="B162" s="164">
        <v>45387.0</v>
      </c>
      <c r="C162" s="141" t="str">
        <f t="shared" si="1"/>
        <v>4-2024</v>
      </c>
      <c r="D162" s="54">
        <f t="shared" si="14"/>
        <v>26.8</v>
      </c>
      <c r="E162" s="138">
        <v>34.0</v>
      </c>
      <c r="F162" s="54">
        <f>'7D2 '!$E162-'7D2 '!$D162</f>
        <v>7.2</v>
      </c>
      <c r="G162" s="54">
        <f>'7D2 '!$F162-10</f>
        <v>-2.8</v>
      </c>
    </row>
    <row r="163" ht="14.25" customHeight="1">
      <c r="B163" s="164">
        <v>45388.0</v>
      </c>
      <c r="C163" s="141" t="str">
        <f t="shared" si="1"/>
        <v>4-2024</v>
      </c>
      <c r="D163" s="54">
        <f t="shared" si="14"/>
        <v>34</v>
      </c>
      <c r="E163" s="138">
        <v>43.0</v>
      </c>
      <c r="F163" s="54">
        <f>'7D2 '!$E163-'7D2 '!$D163</f>
        <v>9</v>
      </c>
      <c r="G163" s="54">
        <f>'7D2 '!$F163-10</f>
        <v>-1</v>
      </c>
    </row>
    <row r="164" ht="14.25" customHeight="1">
      <c r="B164" s="164">
        <v>45389.0</v>
      </c>
      <c r="C164" s="141" t="str">
        <f t="shared" si="1"/>
        <v>4-2024</v>
      </c>
      <c r="D164" s="54">
        <f t="shared" si="14"/>
        <v>43</v>
      </c>
      <c r="E164" s="138">
        <v>53.0</v>
      </c>
      <c r="F164" s="54">
        <f>'7D2 '!$E164-'7D2 '!$D164</f>
        <v>10</v>
      </c>
      <c r="G164" s="54">
        <f>'7D2 '!$F164-10</f>
        <v>0</v>
      </c>
    </row>
    <row r="165" ht="14.25" customHeight="1">
      <c r="B165" s="164">
        <v>45390.0</v>
      </c>
      <c r="C165" s="141" t="str">
        <f t="shared" si="1"/>
        <v>4-2024</v>
      </c>
      <c r="D165" s="54">
        <f t="shared" si="14"/>
        <v>53</v>
      </c>
      <c r="E165" s="138">
        <v>63.0</v>
      </c>
      <c r="F165" s="54">
        <f>'7D2 '!$E165-'7D2 '!$D165</f>
        <v>10</v>
      </c>
      <c r="G165" s="54">
        <f>'7D2 '!$F165-10</f>
        <v>0</v>
      </c>
    </row>
    <row r="166" ht="14.25" customHeight="1">
      <c r="B166" s="164">
        <v>45391.0</v>
      </c>
      <c r="C166" s="141" t="str">
        <f t="shared" si="1"/>
        <v>4-2024</v>
      </c>
      <c r="D166" s="54">
        <f t="shared" si="14"/>
        <v>63</v>
      </c>
      <c r="E166" s="138">
        <v>71.6</v>
      </c>
      <c r="F166" s="54">
        <f>'7D2 '!$E166-'7D2 '!$D166</f>
        <v>8.6</v>
      </c>
      <c r="G166" s="54">
        <f>'7D2 '!$F166-10</f>
        <v>-1.4</v>
      </c>
    </row>
    <row r="167" ht="14.25" customHeight="1">
      <c r="B167" s="164">
        <v>45392.0</v>
      </c>
      <c r="C167" s="141" t="str">
        <f t="shared" si="1"/>
        <v>4-2024</v>
      </c>
      <c r="D167" s="54">
        <f t="shared" si="14"/>
        <v>71.6</v>
      </c>
      <c r="E167" s="138">
        <v>81.0</v>
      </c>
      <c r="F167" s="54">
        <f>'7D2 '!$E167-'7D2 '!$D167</f>
        <v>9.4</v>
      </c>
      <c r="G167" s="54">
        <f>'7D2 '!$F167-10</f>
        <v>-0.6</v>
      </c>
    </row>
    <row r="168" ht="14.25" customHeight="1">
      <c r="B168" s="164">
        <v>45393.0</v>
      </c>
      <c r="C168" s="141" t="str">
        <f t="shared" si="1"/>
        <v>4-2024</v>
      </c>
      <c r="D168" s="54"/>
      <c r="E168" s="54"/>
      <c r="F168" s="54">
        <f>'7D2 '!$E168-'7D2 '!$D168</f>
        <v>0</v>
      </c>
      <c r="G168" s="54">
        <f>'7D2 '!$F168-10</f>
        <v>-10</v>
      </c>
    </row>
    <row r="169" ht="14.25" customHeight="1">
      <c r="B169" s="164">
        <v>45394.0</v>
      </c>
      <c r="C169" s="141" t="str">
        <f t="shared" si="1"/>
        <v>4-2024</v>
      </c>
      <c r="D169" s="54" t="str">
        <f t="shared" ref="D169:D172" si="15">E168</f>
        <v/>
      </c>
      <c r="E169" s="54"/>
      <c r="F169" s="54">
        <f>'7D2 '!$E169-'7D2 '!$D169</f>
        <v>0</v>
      </c>
      <c r="G169" s="54">
        <f>'7D2 '!$F169-10</f>
        <v>-10</v>
      </c>
    </row>
    <row r="170" ht="14.25" customHeight="1">
      <c r="B170" s="164">
        <v>45395.0</v>
      </c>
      <c r="C170" s="141" t="str">
        <f t="shared" si="1"/>
        <v>4-2024</v>
      </c>
      <c r="D170" s="54" t="str">
        <f t="shared" si="15"/>
        <v/>
      </c>
      <c r="E170" s="54"/>
      <c r="F170" s="54">
        <f>'7D2 '!$E170-'7D2 '!$D170</f>
        <v>0</v>
      </c>
      <c r="G170" s="54">
        <f>'7D2 '!$F170-10</f>
        <v>-10</v>
      </c>
    </row>
    <row r="171" ht="14.25" customHeight="1">
      <c r="B171" s="164">
        <v>45396.0</v>
      </c>
      <c r="C171" s="141" t="str">
        <f t="shared" si="1"/>
        <v>4-2024</v>
      </c>
      <c r="D171" s="54" t="str">
        <f t="shared" si="15"/>
        <v/>
      </c>
      <c r="E171" s="54"/>
      <c r="F171" s="54">
        <f>'7D2 '!$E171-'7D2 '!$D171</f>
        <v>0</v>
      </c>
      <c r="G171" s="54">
        <f>'7D2 '!$F171-10</f>
        <v>-10</v>
      </c>
    </row>
    <row r="172" ht="14.25" customHeight="1">
      <c r="B172" s="164">
        <v>45397.0</v>
      </c>
      <c r="C172" s="141" t="str">
        <f t="shared" si="1"/>
        <v>4-2024</v>
      </c>
      <c r="D172" s="54" t="str">
        <f t="shared" si="15"/>
        <v/>
      </c>
      <c r="E172" s="54"/>
      <c r="F172" s="54">
        <f>'7D2 '!$E172-'7D2 '!$D172</f>
        <v>0</v>
      </c>
      <c r="G172" s="54">
        <f>'7D2 '!$F172-10</f>
        <v>-10</v>
      </c>
    </row>
    <row r="173" ht="14.25" customHeight="1">
      <c r="B173" s="164">
        <v>45398.0</v>
      </c>
      <c r="C173" s="141" t="str">
        <f t="shared" si="1"/>
        <v>4-2024</v>
      </c>
      <c r="D173" s="138">
        <v>81.0</v>
      </c>
      <c r="E173" s="138">
        <v>84.0</v>
      </c>
      <c r="F173" s="54">
        <f>'7D2 '!$E173-'7D2 '!$D173</f>
        <v>3</v>
      </c>
      <c r="G173" s="54">
        <f>'7D2 '!$F173-10</f>
        <v>-7</v>
      </c>
    </row>
    <row r="174" ht="14.25" customHeight="1">
      <c r="B174" s="164">
        <v>45399.0</v>
      </c>
      <c r="C174" s="141" t="str">
        <f t="shared" si="1"/>
        <v>4-2024</v>
      </c>
      <c r="D174" s="54">
        <f t="shared" ref="D174:D186" si="16">E173</f>
        <v>84</v>
      </c>
      <c r="E174" s="138">
        <v>92.3</v>
      </c>
      <c r="F174" s="54">
        <f>'7D2 '!$E174-'7D2 '!$D174</f>
        <v>8.3</v>
      </c>
      <c r="G174" s="54">
        <f>'7D2 '!$F174-10</f>
        <v>-1.7</v>
      </c>
    </row>
    <row r="175" ht="14.25" customHeight="1">
      <c r="B175" s="164">
        <v>45400.0</v>
      </c>
      <c r="C175" s="141" t="str">
        <f t="shared" si="1"/>
        <v>4-2024</v>
      </c>
      <c r="D175" s="54">
        <f t="shared" si="16"/>
        <v>92.3</v>
      </c>
      <c r="E175" s="138">
        <v>100.5</v>
      </c>
      <c r="F175" s="54">
        <f>'7D2 '!$E175-'7D2 '!$D175</f>
        <v>8.2</v>
      </c>
      <c r="G175" s="54">
        <f>'7D2 '!$F175-10</f>
        <v>-1.8</v>
      </c>
    </row>
    <row r="176" ht="14.25" customHeight="1">
      <c r="B176" s="164">
        <v>45401.0</v>
      </c>
      <c r="C176" s="141" t="str">
        <f t="shared" si="1"/>
        <v>4-2024</v>
      </c>
      <c r="D176" s="54">
        <f t="shared" si="16"/>
        <v>100.5</v>
      </c>
      <c r="E176" s="138">
        <v>106.5</v>
      </c>
      <c r="F176" s="54">
        <f>'7D2 '!$E176-'7D2 '!$D176</f>
        <v>6</v>
      </c>
      <c r="G176" s="54">
        <f>'7D2 '!$F176-10</f>
        <v>-4</v>
      </c>
    </row>
    <row r="177" ht="14.25" customHeight="1">
      <c r="B177" s="164">
        <v>45402.0</v>
      </c>
      <c r="C177" s="141" t="str">
        <f t="shared" si="1"/>
        <v>4-2024</v>
      </c>
      <c r="D177" s="54">
        <f t="shared" si="16"/>
        <v>106.5</v>
      </c>
      <c r="E177" s="138">
        <v>115.9</v>
      </c>
      <c r="F177" s="54">
        <f>'7D2 '!$E177-'7D2 '!$D177</f>
        <v>9.4</v>
      </c>
      <c r="G177" s="54">
        <f>'7D2 '!$F177-10</f>
        <v>-0.6</v>
      </c>
    </row>
    <row r="178" ht="14.25" customHeight="1">
      <c r="B178" s="164">
        <v>45403.0</v>
      </c>
      <c r="C178" s="141" t="str">
        <f t="shared" si="1"/>
        <v>4-2024</v>
      </c>
      <c r="D178" s="54">
        <f t="shared" si="16"/>
        <v>115.9</v>
      </c>
      <c r="E178" s="138">
        <v>127.0</v>
      </c>
      <c r="F178" s="54">
        <f>'7D2 '!$E178-'7D2 '!$D178</f>
        <v>11.1</v>
      </c>
      <c r="G178" s="54">
        <f>'7D2 '!$F178-10</f>
        <v>1.1</v>
      </c>
    </row>
    <row r="179" ht="14.25" customHeight="1">
      <c r="B179" s="164">
        <v>45404.0</v>
      </c>
      <c r="C179" s="141" t="str">
        <f t="shared" si="1"/>
        <v>4-2024</v>
      </c>
      <c r="D179" s="54">
        <f t="shared" si="16"/>
        <v>127</v>
      </c>
      <c r="E179" s="138">
        <v>132.5</v>
      </c>
      <c r="F179" s="54">
        <f>'7D2 '!$E179-'7D2 '!$D179</f>
        <v>5.5</v>
      </c>
      <c r="G179" s="54">
        <f>'7D2 '!$F179-10</f>
        <v>-4.5</v>
      </c>
    </row>
    <row r="180" ht="14.25" customHeight="1">
      <c r="B180" s="164">
        <v>45405.0</v>
      </c>
      <c r="C180" s="141" t="str">
        <f t="shared" si="1"/>
        <v>4-2024</v>
      </c>
      <c r="D180" s="54">
        <f t="shared" si="16"/>
        <v>132.5</v>
      </c>
      <c r="E180" s="138">
        <v>143.5</v>
      </c>
      <c r="F180" s="54">
        <f>'7D2 '!$E180-'7D2 '!$D180</f>
        <v>11</v>
      </c>
      <c r="G180" s="54">
        <f>'7D2 '!$F180-10</f>
        <v>1</v>
      </c>
    </row>
    <row r="181" ht="14.25" customHeight="1">
      <c r="B181" s="164">
        <v>45406.0</v>
      </c>
      <c r="C181" s="141" t="str">
        <f t="shared" si="1"/>
        <v>4-2024</v>
      </c>
      <c r="D181" s="54">
        <f t="shared" si="16"/>
        <v>143.5</v>
      </c>
      <c r="E181" s="138">
        <v>154.0</v>
      </c>
      <c r="F181" s="54">
        <f>'7D2 '!$E181-'7D2 '!$D181</f>
        <v>10.5</v>
      </c>
      <c r="G181" s="54">
        <f>'7D2 '!$F181-10</f>
        <v>0.5</v>
      </c>
    </row>
    <row r="182" ht="14.25" customHeight="1">
      <c r="B182" s="164">
        <v>45407.0</v>
      </c>
      <c r="C182" s="141" t="str">
        <f t="shared" si="1"/>
        <v>4-2024</v>
      </c>
      <c r="D182" s="54">
        <f t="shared" si="16"/>
        <v>154</v>
      </c>
      <c r="E182" s="138">
        <v>165.0</v>
      </c>
      <c r="F182" s="54">
        <f>'7D2 '!$E182-'7D2 '!$D182</f>
        <v>11</v>
      </c>
      <c r="G182" s="54">
        <f>'7D2 '!$F182-10</f>
        <v>1</v>
      </c>
    </row>
    <row r="183" ht="14.25" customHeight="1">
      <c r="B183" s="164">
        <v>45408.0</v>
      </c>
      <c r="C183" s="141" t="str">
        <f t="shared" si="1"/>
        <v>4-2024</v>
      </c>
      <c r="D183" s="54">
        <f t="shared" si="16"/>
        <v>165</v>
      </c>
      <c r="E183" s="138">
        <v>172.5</v>
      </c>
      <c r="F183" s="54">
        <f>'7D2 '!$E183-'7D2 '!$D183</f>
        <v>7.5</v>
      </c>
      <c r="G183" s="54">
        <f>'7D2 '!$F183-10</f>
        <v>-2.5</v>
      </c>
    </row>
    <row r="184" ht="14.25" customHeight="1">
      <c r="B184" s="164">
        <v>45409.0</v>
      </c>
      <c r="C184" s="141" t="str">
        <f t="shared" si="1"/>
        <v>4-2024</v>
      </c>
      <c r="D184" s="54">
        <f t="shared" si="16"/>
        <v>172.5</v>
      </c>
      <c r="E184" s="138">
        <v>182.5</v>
      </c>
      <c r="F184" s="54">
        <f>'7D2 '!$E184-'7D2 '!$D184</f>
        <v>10</v>
      </c>
      <c r="G184" s="54">
        <f>'7D2 '!$F184-10</f>
        <v>0</v>
      </c>
    </row>
    <row r="185" ht="14.25" customHeight="1">
      <c r="B185" s="164">
        <v>45410.0</v>
      </c>
      <c r="C185" s="141" t="str">
        <f t="shared" si="1"/>
        <v>4-2024</v>
      </c>
      <c r="D185" s="54">
        <f t="shared" si="16"/>
        <v>182.5</v>
      </c>
      <c r="E185" s="138">
        <v>193.5</v>
      </c>
      <c r="F185" s="54">
        <f>'7D2 '!$E185-'7D2 '!$D185</f>
        <v>11</v>
      </c>
      <c r="G185" s="54">
        <f>'7D2 '!$F185-10</f>
        <v>1</v>
      </c>
    </row>
    <row r="186" ht="14.25" customHeight="1">
      <c r="B186" s="164">
        <v>45411.0</v>
      </c>
      <c r="C186" s="141" t="str">
        <f t="shared" si="1"/>
        <v>4-2024</v>
      </c>
      <c r="D186" s="54">
        <f t="shared" si="16"/>
        <v>193.5</v>
      </c>
      <c r="E186" s="138">
        <v>204.5</v>
      </c>
      <c r="F186" s="54">
        <f>'7D2 '!$E186-'7D2 '!$D186</f>
        <v>11</v>
      </c>
      <c r="G186" s="54">
        <f>'7D2 '!$F186-10</f>
        <v>1</v>
      </c>
    </row>
    <row r="187" ht="14.25" customHeight="1">
      <c r="B187" s="164">
        <v>45412.0</v>
      </c>
      <c r="C187" s="141" t="str">
        <f t="shared" si="1"/>
        <v>4-2024</v>
      </c>
      <c r="F187" s="54">
        <f>'7D2 '!$E187-'7D2 '!$D187</f>
        <v>0</v>
      </c>
      <c r="G187" s="54">
        <f>'7D2 '!$F187-10</f>
        <v>-10</v>
      </c>
    </row>
    <row r="188" ht="14.25" customHeight="1">
      <c r="B188" s="142">
        <v>45413.0</v>
      </c>
      <c r="C188" s="143" t="str">
        <f t="shared" si="1"/>
        <v>5-2024</v>
      </c>
      <c r="D188" s="144">
        <v>204.5</v>
      </c>
      <c r="E188" s="144">
        <v>214.5</v>
      </c>
      <c r="F188" s="92">
        <f>'7D2 '!$E188-'7D2 '!$D188</f>
        <v>10</v>
      </c>
      <c r="G188" s="92">
        <f>'7D2 '!$F188-10</f>
        <v>0</v>
      </c>
    </row>
    <row r="189" ht="14.25" customHeight="1">
      <c r="B189" s="164">
        <v>45414.0</v>
      </c>
      <c r="C189" s="141" t="str">
        <f t="shared" si="1"/>
        <v>5-2024</v>
      </c>
      <c r="D189" s="165">
        <f>E188</f>
        <v>214.5</v>
      </c>
      <c r="E189" s="28">
        <v>225.0</v>
      </c>
      <c r="F189" s="54">
        <f t="shared" ref="F189:F218" si="17">E189-D189</f>
        <v>10.5</v>
      </c>
      <c r="G189" s="54">
        <f>'7D2 '!$F189-10</f>
        <v>0.5</v>
      </c>
    </row>
    <row r="190" ht="14.25" customHeight="1">
      <c r="B190" s="164">
        <v>45415.0</v>
      </c>
      <c r="C190" s="141" t="str">
        <f t="shared" si="1"/>
        <v>5-2024</v>
      </c>
      <c r="F190" s="54">
        <f t="shared" si="17"/>
        <v>0</v>
      </c>
      <c r="G190" s="54">
        <f>'7D2 '!$F190-10</f>
        <v>-10</v>
      </c>
    </row>
    <row r="191" ht="14.25" customHeight="1">
      <c r="B191" s="145">
        <v>45416.0</v>
      </c>
      <c r="C191" s="166" t="str">
        <f t="shared" si="1"/>
        <v>5-2024</v>
      </c>
      <c r="D191" s="167" t="str">
        <f t="shared" ref="D191:D193" si="18">E190</f>
        <v/>
      </c>
      <c r="E191" s="167"/>
      <c r="F191" s="167">
        <f t="shared" si="17"/>
        <v>0</v>
      </c>
      <c r="G191" s="167">
        <f>'7D2 '!$F191-10</f>
        <v>-10</v>
      </c>
    </row>
    <row r="192" ht="14.25" customHeight="1">
      <c r="B192" s="145">
        <v>45417.0</v>
      </c>
      <c r="C192" s="166" t="str">
        <f t="shared" si="1"/>
        <v>5-2024</v>
      </c>
      <c r="D192" s="167" t="str">
        <f t="shared" si="18"/>
        <v/>
      </c>
      <c r="E192" s="167"/>
      <c r="F192" s="167">
        <f t="shared" si="17"/>
        <v>0</v>
      </c>
      <c r="G192" s="167">
        <f>'7D2 '!$F192-10</f>
        <v>-10</v>
      </c>
    </row>
    <row r="193" ht="14.25" customHeight="1">
      <c r="B193" s="164">
        <v>45418.0</v>
      </c>
      <c r="C193" s="141" t="str">
        <f t="shared" si="1"/>
        <v>5-2024</v>
      </c>
      <c r="D193" s="165" t="str">
        <f t="shared" si="18"/>
        <v/>
      </c>
      <c r="F193" s="54">
        <f t="shared" si="17"/>
        <v>0</v>
      </c>
      <c r="G193" s="54">
        <f>'7D2 '!$F193-10</f>
        <v>-10</v>
      </c>
    </row>
    <row r="194" ht="14.25" customHeight="1">
      <c r="B194" s="164">
        <v>45419.0</v>
      </c>
      <c r="C194" s="141" t="str">
        <f t="shared" si="1"/>
        <v>5-2024</v>
      </c>
      <c r="D194" s="28">
        <v>226.4</v>
      </c>
      <c r="E194" s="28">
        <v>232.5</v>
      </c>
      <c r="F194" s="54">
        <f t="shared" si="17"/>
        <v>6.1</v>
      </c>
      <c r="G194" s="54">
        <f>'7D2 '!$F194-10</f>
        <v>-3.9</v>
      </c>
    </row>
    <row r="195" ht="14.25" customHeight="1">
      <c r="B195" s="164">
        <v>45420.0</v>
      </c>
      <c r="C195" s="141" t="str">
        <f t="shared" si="1"/>
        <v>5-2024</v>
      </c>
      <c r="D195" s="165">
        <f>E194</f>
        <v>232.5</v>
      </c>
      <c r="E195" s="28">
        <v>241.0</v>
      </c>
      <c r="F195" s="54">
        <f t="shared" si="17"/>
        <v>8.5</v>
      </c>
      <c r="G195" s="54">
        <f>'7D2 '!$F195-10</f>
        <v>-1.5</v>
      </c>
    </row>
    <row r="196" ht="14.25" customHeight="1">
      <c r="B196" s="164">
        <v>45421.0</v>
      </c>
      <c r="C196" s="141" t="str">
        <f t="shared" si="1"/>
        <v>5-2024</v>
      </c>
      <c r="F196" s="54">
        <f t="shared" si="17"/>
        <v>0</v>
      </c>
      <c r="G196" s="54">
        <f>'7D2 '!$F196-10</f>
        <v>-10</v>
      </c>
    </row>
    <row r="197" ht="14.25" customHeight="1">
      <c r="B197" s="164">
        <v>45422.0</v>
      </c>
      <c r="C197" s="141" t="str">
        <f t="shared" si="1"/>
        <v>5-2024</v>
      </c>
      <c r="D197" s="165" t="str">
        <f>E196</f>
        <v/>
      </c>
      <c r="F197" s="54">
        <f t="shared" si="17"/>
        <v>0</v>
      </c>
      <c r="G197" s="54">
        <f>'7D2 '!$F197-10</f>
        <v>-10</v>
      </c>
    </row>
    <row r="198" ht="14.25" customHeight="1">
      <c r="B198" s="145">
        <v>45423.0</v>
      </c>
      <c r="C198" s="166" t="str">
        <f t="shared" si="1"/>
        <v>5-2024</v>
      </c>
      <c r="D198" s="168">
        <v>8240.5</v>
      </c>
      <c r="E198" s="168">
        <v>8246.5</v>
      </c>
      <c r="F198" s="167">
        <f t="shared" si="17"/>
        <v>6</v>
      </c>
      <c r="G198" s="167">
        <f>'7D2 '!$F198-10</f>
        <v>-4</v>
      </c>
      <c r="H198" s="28" t="s">
        <v>196</v>
      </c>
    </row>
    <row r="199" ht="14.25" customHeight="1">
      <c r="B199" s="145">
        <v>45424.0</v>
      </c>
      <c r="C199" s="166" t="str">
        <f t="shared" si="1"/>
        <v>5-2024</v>
      </c>
      <c r="D199" s="167">
        <f>E198</f>
        <v>8246.5</v>
      </c>
      <c r="E199" s="168">
        <v>8258.2</v>
      </c>
      <c r="F199" s="167">
        <f t="shared" si="17"/>
        <v>11.7</v>
      </c>
      <c r="G199" s="167">
        <f>'7D2 '!$F199-10</f>
        <v>1.7</v>
      </c>
      <c r="H199" s="28" t="s">
        <v>196</v>
      </c>
    </row>
    <row r="200" ht="14.25" customHeight="1">
      <c r="B200" s="164">
        <v>45425.0</v>
      </c>
      <c r="C200" s="141" t="str">
        <f t="shared" si="1"/>
        <v>5-2024</v>
      </c>
      <c r="F200" s="54">
        <f t="shared" si="17"/>
        <v>0</v>
      </c>
      <c r="G200" s="54">
        <f>'7D2 '!$F200-10</f>
        <v>-10</v>
      </c>
    </row>
    <row r="201" ht="14.25" customHeight="1">
      <c r="B201" s="164">
        <v>45426.0</v>
      </c>
      <c r="C201" s="141" t="str">
        <f t="shared" si="1"/>
        <v>5-2024</v>
      </c>
      <c r="D201" s="165" t="str">
        <f>E200</f>
        <v/>
      </c>
      <c r="F201" s="54">
        <f t="shared" si="17"/>
        <v>0</v>
      </c>
      <c r="G201" s="54">
        <f>'7D2 '!$F201-10</f>
        <v>-10</v>
      </c>
    </row>
    <row r="202" ht="14.25" customHeight="1">
      <c r="B202" s="164">
        <v>45427.0</v>
      </c>
      <c r="C202" s="141" t="str">
        <f t="shared" si="1"/>
        <v>5-2024</v>
      </c>
      <c r="D202" s="28">
        <v>241.0</v>
      </c>
      <c r="E202" s="138">
        <v>248.5</v>
      </c>
      <c r="F202" s="54">
        <f t="shared" si="17"/>
        <v>7.5</v>
      </c>
      <c r="G202" s="54">
        <f>'7D2 '!$F202-10</f>
        <v>-2.5</v>
      </c>
    </row>
    <row r="203" ht="14.25" customHeight="1">
      <c r="B203" s="164">
        <v>45428.0</v>
      </c>
      <c r="C203" s="141" t="str">
        <f t="shared" si="1"/>
        <v>5-2024</v>
      </c>
      <c r="D203" s="165">
        <f t="shared" ref="D203:D205" si="19">E202</f>
        <v>248.5</v>
      </c>
      <c r="E203" s="138">
        <v>257.0</v>
      </c>
      <c r="F203" s="54">
        <f t="shared" si="17"/>
        <v>8.5</v>
      </c>
      <c r="G203" s="54">
        <f>'7D2 '!$F203-10</f>
        <v>-1.5</v>
      </c>
    </row>
    <row r="204" ht="14.25" customHeight="1">
      <c r="B204" s="164">
        <v>45429.0</v>
      </c>
      <c r="C204" s="141" t="str">
        <f t="shared" si="1"/>
        <v>5-2024</v>
      </c>
      <c r="D204" s="165">
        <f t="shared" si="19"/>
        <v>257</v>
      </c>
      <c r="E204" s="138">
        <v>265.5</v>
      </c>
      <c r="F204" s="54">
        <f t="shared" si="17"/>
        <v>8.5</v>
      </c>
      <c r="G204" s="54">
        <f>'7D2 '!$F204-10</f>
        <v>-1.5</v>
      </c>
    </row>
    <row r="205" ht="14.25" customHeight="1">
      <c r="B205" s="145">
        <v>45430.0</v>
      </c>
      <c r="C205" s="166" t="str">
        <f t="shared" si="1"/>
        <v>5-2024</v>
      </c>
      <c r="D205" s="167">
        <f t="shared" si="19"/>
        <v>265.5</v>
      </c>
      <c r="E205" s="168">
        <v>272.3</v>
      </c>
      <c r="F205" s="167">
        <f t="shared" si="17"/>
        <v>6.8</v>
      </c>
      <c r="G205" s="167">
        <f>'7D2 '!$F205-10</f>
        <v>-3.2</v>
      </c>
    </row>
    <row r="206" ht="14.25" customHeight="1">
      <c r="B206" s="145">
        <v>45431.0</v>
      </c>
      <c r="C206" s="166" t="str">
        <f t="shared" si="1"/>
        <v>5-2024</v>
      </c>
      <c r="D206" s="167"/>
      <c r="E206" s="167"/>
      <c r="F206" s="167">
        <f t="shared" si="17"/>
        <v>0</v>
      </c>
      <c r="G206" s="167">
        <f>'7D2 '!$F206-10</f>
        <v>-10</v>
      </c>
    </row>
    <row r="207" ht="14.25" customHeight="1">
      <c r="B207" s="164">
        <v>45432.0</v>
      </c>
      <c r="C207" s="141" t="str">
        <f t="shared" si="1"/>
        <v>5-2024</v>
      </c>
      <c r="D207" s="28">
        <v>272.3</v>
      </c>
      <c r="E207" s="28">
        <v>280.0</v>
      </c>
      <c r="F207" s="54">
        <f t="shared" si="17"/>
        <v>7.7</v>
      </c>
      <c r="G207" s="54">
        <f>'7D2 '!$F207-10</f>
        <v>-2.3</v>
      </c>
    </row>
    <row r="208" ht="14.25" customHeight="1">
      <c r="B208" s="164">
        <v>45433.0</v>
      </c>
      <c r="C208" s="141" t="str">
        <f t="shared" si="1"/>
        <v>5-2024</v>
      </c>
      <c r="D208" s="165">
        <f t="shared" ref="D208:D212" si="20">E207</f>
        <v>280</v>
      </c>
      <c r="E208" s="28">
        <v>289.2</v>
      </c>
      <c r="F208" s="54">
        <f t="shared" si="17"/>
        <v>9.2</v>
      </c>
      <c r="G208" s="54">
        <f>'7D2 '!$F208-10</f>
        <v>-0.8</v>
      </c>
    </row>
    <row r="209" ht="14.25" customHeight="1">
      <c r="B209" s="164">
        <v>45434.0</v>
      </c>
      <c r="C209" s="141" t="str">
        <f t="shared" si="1"/>
        <v>5-2024</v>
      </c>
      <c r="D209" s="165">
        <f t="shared" si="20"/>
        <v>289.2</v>
      </c>
      <c r="E209" s="28">
        <v>290.2</v>
      </c>
      <c r="F209" s="54">
        <f t="shared" si="17"/>
        <v>1</v>
      </c>
      <c r="G209" s="54">
        <f>'7D2 '!$F209-10</f>
        <v>-9</v>
      </c>
    </row>
    <row r="210" ht="14.25" customHeight="1">
      <c r="B210" s="164">
        <v>45435.0</v>
      </c>
      <c r="C210" s="141" t="str">
        <f t="shared" si="1"/>
        <v>5-2024</v>
      </c>
      <c r="D210" s="165">
        <f t="shared" si="20"/>
        <v>290.2</v>
      </c>
      <c r="E210" s="28">
        <v>299.2</v>
      </c>
      <c r="F210" s="54">
        <f t="shared" si="17"/>
        <v>9</v>
      </c>
      <c r="G210" s="54">
        <f>'7D2 '!$F210-10</f>
        <v>-1</v>
      </c>
    </row>
    <row r="211" ht="14.25" customHeight="1">
      <c r="B211" s="164">
        <v>45436.0</v>
      </c>
      <c r="C211" s="141" t="str">
        <f t="shared" si="1"/>
        <v>5-2024</v>
      </c>
      <c r="D211" s="165">
        <f t="shared" si="20"/>
        <v>299.2</v>
      </c>
      <c r="E211" s="28">
        <v>308.0</v>
      </c>
      <c r="F211" s="54">
        <f t="shared" si="17"/>
        <v>8.8</v>
      </c>
      <c r="G211" s="54">
        <f>'7D2 '!$F211-10</f>
        <v>-1.2</v>
      </c>
    </row>
    <row r="212" ht="14.25" customHeight="1">
      <c r="B212" s="145">
        <v>45437.0</v>
      </c>
      <c r="C212" s="166" t="str">
        <f t="shared" si="1"/>
        <v>5-2024</v>
      </c>
      <c r="D212" s="167">
        <f t="shared" si="20"/>
        <v>308</v>
      </c>
      <c r="E212" s="168">
        <v>313.5</v>
      </c>
      <c r="F212" s="167">
        <f t="shared" si="17"/>
        <v>5.5</v>
      </c>
      <c r="G212" s="167">
        <f>'7D2 '!$F212-10</f>
        <v>-4.5</v>
      </c>
    </row>
    <row r="213" ht="14.25" customHeight="1">
      <c r="B213" s="145">
        <v>45438.0</v>
      </c>
      <c r="C213" s="166" t="str">
        <f t="shared" si="1"/>
        <v>5-2024</v>
      </c>
      <c r="D213" s="167"/>
      <c r="E213" s="167"/>
      <c r="F213" s="167">
        <f t="shared" si="17"/>
        <v>0</v>
      </c>
      <c r="G213" s="167">
        <f>'7D2 '!$F213-10</f>
        <v>-10</v>
      </c>
    </row>
    <row r="214" ht="14.25" customHeight="1">
      <c r="B214" s="164">
        <v>45439.0</v>
      </c>
      <c r="C214" s="141" t="str">
        <f t="shared" si="1"/>
        <v>5-2024</v>
      </c>
      <c r="D214" s="165" t="str">
        <f>E213</f>
        <v/>
      </c>
      <c r="F214" s="54">
        <f t="shared" si="17"/>
        <v>0</v>
      </c>
      <c r="G214" s="54">
        <f>'7D2 '!$F214-10</f>
        <v>-10</v>
      </c>
    </row>
    <row r="215" ht="14.25" customHeight="1">
      <c r="B215" s="164">
        <v>45440.0</v>
      </c>
      <c r="C215" s="141" t="str">
        <f t="shared" si="1"/>
        <v>5-2024</v>
      </c>
      <c r="D215" s="28">
        <v>313.5</v>
      </c>
      <c r="E215" s="28">
        <v>323.5</v>
      </c>
      <c r="F215" s="54">
        <f t="shared" si="17"/>
        <v>10</v>
      </c>
      <c r="G215" s="54">
        <f>'7D2 '!$F215-10</f>
        <v>0</v>
      </c>
    </row>
    <row r="216" ht="14.25" customHeight="1">
      <c r="B216" s="164">
        <v>45441.0</v>
      </c>
      <c r="C216" s="141" t="str">
        <f t="shared" si="1"/>
        <v>5-2024</v>
      </c>
      <c r="D216" s="165">
        <f t="shared" ref="D216:D217" si="21">E215</f>
        <v>323.5</v>
      </c>
      <c r="E216" s="28">
        <v>332.5</v>
      </c>
      <c r="F216" s="54">
        <f t="shared" si="17"/>
        <v>9</v>
      </c>
      <c r="G216" s="54">
        <f>'7D2 '!$F216-10</f>
        <v>-1</v>
      </c>
    </row>
    <row r="217" ht="14.25" customHeight="1">
      <c r="B217" s="142">
        <v>45442.0</v>
      </c>
      <c r="C217" s="143" t="str">
        <f t="shared" si="1"/>
        <v>5-2024</v>
      </c>
      <c r="D217" s="92">
        <f t="shared" si="21"/>
        <v>332.5</v>
      </c>
      <c r="E217" s="144">
        <v>342.5</v>
      </c>
      <c r="F217" s="92">
        <f t="shared" si="17"/>
        <v>10</v>
      </c>
      <c r="G217" s="92">
        <f>'7D2 '!$F217-10</f>
        <v>0</v>
      </c>
    </row>
    <row r="218" ht="14.25" customHeight="1">
      <c r="B218" s="164">
        <v>45443.0</v>
      </c>
      <c r="C218" s="141" t="str">
        <f t="shared" si="1"/>
        <v>5-2024</v>
      </c>
      <c r="D218" s="28">
        <v>342.5</v>
      </c>
      <c r="E218" s="28">
        <v>351.0</v>
      </c>
      <c r="F218" s="54">
        <f t="shared" si="17"/>
        <v>8.5</v>
      </c>
      <c r="G218" s="54">
        <f>'7D2 '!$F218-10</f>
        <v>-1.5</v>
      </c>
    </row>
    <row r="219" ht="14.25" customHeight="1">
      <c r="B219" s="145">
        <v>45444.0</v>
      </c>
      <c r="C219" s="166" t="str">
        <f t="shared" si="1"/>
        <v>6-2024</v>
      </c>
      <c r="D219" s="167"/>
      <c r="E219" s="167"/>
      <c r="F219" s="167">
        <f>'220 Antiga Silvinho '!$E219-'220 Antiga Silvinho '!$D219</f>
        <v>0</v>
      </c>
      <c r="G219" s="167">
        <f>'220 Antiga Silvinho '!$F219-10</f>
        <v>-10</v>
      </c>
    </row>
    <row r="220" ht="14.25" customHeight="1">
      <c r="B220" s="145">
        <v>45445.0</v>
      </c>
      <c r="C220" s="166" t="str">
        <f t="shared" si="1"/>
        <v>6-2024</v>
      </c>
      <c r="D220" s="167"/>
      <c r="E220" s="167"/>
      <c r="F220" s="167">
        <f>'220 Antiga Silvinho '!$E220-'220 Antiga Silvinho '!$D220</f>
        <v>0</v>
      </c>
      <c r="G220" s="167">
        <f>'220 Antiga Silvinho '!$F220-10</f>
        <v>-10</v>
      </c>
    </row>
    <row r="221" ht="14.25" customHeight="1">
      <c r="B221" s="164">
        <v>45446.0</v>
      </c>
      <c r="C221" s="141" t="str">
        <f t="shared" si="1"/>
        <v>6-2024</v>
      </c>
      <c r="F221" s="54">
        <f>'220 Antiga Silvinho '!$E221-'220 Antiga Silvinho '!$D221</f>
        <v>0</v>
      </c>
      <c r="G221" s="54">
        <f>'220 Antiga Silvinho '!$F221-10</f>
        <v>-10</v>
      </c>
    </row>
    <row r="222" ht="14.25" customHeight="1">
      <c r="B222" s="164">
        <v>45447.0</v>
      </c>
      <c r="C222" s="141" t="str">
        <f t="shared" si="1"/>
        <v>6-2024</v>
      </c>
      <c r="F222" s="54">
        <f>'220 Antiga Silvinho '!$E222-'220 Antiga Silvinho '!$D222</f>
        <v>0</v>
      </c>
      <c r="G222" s="54">
        <f>'220 Antiga Silvinho '!$F222-10</f>
        <v>-10</v>
      </c>
    </row>
    <row r="223" ht="14.25" customHeight="1">
      <c r="B223" s="164">
        <v>45448.0</v>
      </c>
      <c r="C223" s="141" t="str">
        <f t="shared" si="1"/>
        <v>6-2024</v>
      </c>
      <c r="F223" s="54">
        <f>'220 Antiga Silvinho '!$E223-'220 Antiga Silvinho '!$D223</f>
        <v>0</v>
      </c>
      <c r="G223" s="54">
        <f>'220 Antiga Silvinho '!$F223-10</f>
        <v>-10</v>
      </c>
    </row>
    <row r="224" ht="14.25" customHeight="1">
      <c r="B224" s="164">
        <v>45449.0</v>
      </c>
      <c r="C224" s="141" t="str">
        <f t="shared" si="1"/>
        <v>6-2024</v>
      </c>
      <c r="F224" s="54">
        <f>'220 Antiga Silvinho '!$E224-'220 Antiga Silvinho '!$D224</f>
        <v>0</v>
      </c>
      <c r="G224" s="54">
        <f>'220 Antiga Silvinho '!$F224-10</f>
        <v>-10</v>
      </c>
    </row>
    <row r="225" ht="14.25" customHeight="1">
      <c r="B225" s="164">
        <v>45450.0</v>
      </c>
      <c r="C225" s="141" t="str">
        <f t="shared" si="1"/>
        <v>6-2024</v>
      </c>
      <c r="F225" s="54">
        <f>'220 Antiga Silvinho '!$E225-'220 Antiga Silvinho '!$D225</f>
        <v>0</v>
      </c>
      <c r="G225" s="54">
        <f>'220 Antiga Silvinho '!$F225-10</f>
        <v>-10</v>
      </c>
    </row>
    <row r="226" ht="14.25" customHeight="1">
      <c r="B226" s="145">
        <v>45451.0</v>
      </c>
      <c r="C226" s="166" t="str">
        <f t="shared" si="1"/>
        <v>6-2024</v>
      </c>
      <c r="D226" s="167"/>
      <c r="E226" s="167"/>
      <c r="F226" s="167">
        <f>'220 Antiga Silvinho '!$E226-'220 Antiga Silvinho '!$D226</f>
        <v>0</v>
      </c>
      <c r="G226" s="167">
        <f>'220 Antiga Silvinho '!$F226-10</f>
        <v>-10</v>
      </c>
    </row>
    <row r="227" ht="14.25" customHeight="1">
      <c r="B227" s="145">
        <v>45452.0</v>
      </c>
      <c r="C227" s="166" t="str">
        <f t="shared" si="1"/>
        <v>6-2024</v>
      </c>
      <c r="D227" s="167"/>
      <c r="E227" s="167"/>
      <c r="F227" s="167">
        <f>'220 Antiga Silvinho '!$E227-'220 Antiga Silvinho '!$D227</f>
        <v>0</v>
      </c>
      <c r="G227" s="167">
        <f>'220 Antiga Silvinho '!$F227-10</f>
        <v>-10</v>
      </c>
    </row>
    <row r="228" ht="14.25" customHeight="1">
      <c r="B228" s="164">
        <v>45453.0</v>
      </c>
      <c r="C228" s="141" t="str">
        <f t="shared" si="1"/>
        <v>6-2024</v>
      </c>
      <c r="F228" s="54">
        <f>'220 Antiga Silvinho '!$E228-'220 Antiga Silvinho '!$D228</f>
        <v>0</v>
      </c>
      <c r="G228" s="54">
        <f>'220 Antiga Silvinho '!$F228-10</f>
        <v>-10</v>
      </c>
    </row>
    <row r="229" ht="14.25" customHeight="1">
      <c r="B229" s="164">
        <v>45454.0</v>
      </c>
      <c r="C229" s="141" t="str">
        <f t="shared" si="1"/>
        <v>6-2024</v>
      </c>
      <c r="F229" s="54">
        <f>'220 Antiga Silvinho '!$E229-'220 Antiga Silvinho '!$D229</f>
        <v>0</v>
      </c>
      <c r="G229" s="54">
        <f>'220 Antiga Silvinho '!$F229-10</f>
        <v>-10</v>
      </c>
    </row>
    <row r="230" ht="14.25" customHeight="1">
      <c r="B230" s="164">
        <v>45455.0</v>
      </c>
      <c r="C230" s="141" t="str">
        <f t="shared" si="1"/>
        <v>6-2024</v>
      </c>
      <c r="F230" s="54">
        <f>'220 Antiga Silvinho '!$E230-'220 Antiga Silvinho '!$D230</f>
        <v>0</v>
      </c>
      <c r="G230" s="54">
        <f>'220 Antiga Silvinho '!$F230-10</f>
        <v>-10</v>
      </c>
    </row>
    <row r="231" ht="14.25" customHeight="1">
      <c r="B231" s="164">
        <v>45456.0</v>
      </c>
      <c r="C231" s="141" t="str">
        <f t="shared" si="1"/>
        <v>6-2024</v>
      </c>
      <c r="F231" s="54">
        <f>'220 Antiga Silvinho '!$E231-'220 Antiga Silvinho '!$D231</f>
        <v>0</v>
      </c>
      <c r="G231" s="54">
        <f>'220 Antiga Silvinho '!$F231-10</f>
        <v>-10</v>
      </c>
    </row>
    <row r="232" ht="14.25" customHeight="1">
      <c r="B232" s="164">
        <v>45457.0</v>
      </c>
      <c r="C232" s="141" t="str">
        <f t="shared" si="1"/>
        <v>6-2024</v>
      </c>
      <c r="F232" s="54">
        <f>'220 Antiga Silvinho '!$E232-'220 Antiga Silvinho '!$D232</f>
        <v>0</v>
      </c>
      <c r="G232" s="54">
        <f>'220 Antiga Silvinho '!$F232-10</f>
        <v>-10</v>
      </c>
    </row>
    <row r="233" ht="14.25" customHeight="1">
      <c r="B233" s="145">
        <v>45458.0</v>
      </c>
      <c r="C233" s="166" t="str">
        <f t="shared" si="1"/>
        <v>6-2024</v>
      </c>
      <c r="D233" s="167"/>
      <c r="E233" s="167"/>
      <c r="F233" s="167">
        <f>'220 Antiga Silvinho '!$E233-'220 Antiga Silvinho '!$D233</f>
        <v>0</v>
      </c>
      <c r="G233" s="167">
        <f>'220 Antiga Silvinho '!$F233-10</f>
        <v>-10</v>
      </c>
    </row>
    <row r="234" ht="14.25" customHeight="1">
      <c r="B234" s="145">
        <v>45459.0</v>
      </c>
      <c r="C234" s="166" t="str">
        <f t="shared" si="1"/>
        <v>6-2024</v>
      </c>
      <c r="D234" s="167"/>
      <c r="E234" s="167"/>
      <c r="F234" s="167">
        <f>'220 Antiga Silvinho '!$E234-'220 Antiga Silvinho '!$D234</f>
        <v>0</v>
      </c>
      <c r="G234" s="167">
        <f>'220 Antiga Silvinho '!$F234-10</f>
        <v>-10</v>
      </c>
    </row>
    <row r="235" ht="14.25" customHeight="1">
      <c r="B235" s="164">
        <v>45460.0</v>
      </c>
      <c r="C235" s="141" t="str">
        <f t="shared" si="1"/>
        <v>6-2024</v>
      </c>
      <c r="F235" s="54">
        <f>'220 Antiga Silvinho '!$E235-'220 Antiga Silvinho '!$D235</f>
        <v>0</v>
      </c>
      <c r="G235" s="54">
        <f>'220 Antiga Silvinho '!$F235-10</f>
        <v>-10</v>
      </c>
    </row>
    <row r="236" ht="14.25" customHeight="1">
      <c r="B236" s="164">
        <v>45461.0</v>
      </c>
      <c r="C236" s="141" t="str">
        <f t="shared" si="1"/>
        <v>6-2024</v>
      </c>
      <c r="F236" s="54">
        <f>'220 Antiga Silvinho '!$E236-'220 Antiga Silvinho '!$D236</f>
        <v>0</v>
      </c>
      <c r="G236" s="54">
        <f>'220 Antiga Silvinho '!$F236-10</f>
        <v>-10</v>
      </c>
    </row>
    <row r="237" ht="14.25" customHeight="1">
      <c r="B237" s="164">
        <v>45462.0</v>
      </c>
      <c r="C237" s="141" t="str">
        <f t="shared" si="1"/>
        <v>6-2024</v>
      </c>
      <c r="F237" s="54">
        <f>'220 Antiga Silvinho '!$E237-'220 Antiga Silvinho '!$D237</f>
        <v>0</v>
      </c>
      <c r="G237" s="54">
        <f>'220 Antiga Silvinho '!$F237-10</f>
        <v>-10</v>
      </c>
    </row>
    <row r="238" ht="14.25" customHeight="1">
      <c r="B238" s="164">
        <v>45463.0</v>
      </c>
      <c r="C238" s="141" t="str">
        <f t="shared" si="1"/>
        <v>6-2024</v>
      </c>
      <c r="F238" s="54">
        <f>'220 Antiga Silvinho '!$E238-'220 Antiga Silvinho '!$D238</f>
        <v>0</v>
      </c>
      <c r="G238" s="54">
        <f>'220 Antiga Silvinho '!$F238-10</f>
        <v>-10</v>
      </c>
    </row>
    <row r="239" ht="14.25" customHeight="1">
      <c r="B239" s="164">
        <v>45464.0</v>
      </c>
      <c r="C239" s="141" t="str">
        <f t="shared" si="1"/>
        <v>6-2024</v>
      </c>
      <c r="F239" s="54">
        <f>'220 Antiga Silvinho '!$E239-'220 Antiga Silvinho '!$D239</f>
        <v>0</v>
      </c>
      <c r="G239" s="54">
        <f>'220 Antiga Silvinho '!$F239-10</f>
        <v>-10</v>
      </c>
    </row>
    <row r="240" ht="14.25" customHeight="1">
      <c r="B240" s="145">
        <v>45465.0</v>
      </c>
      <c r="C240" s="166" t="str">
        <f t="shared" si="1"/>
        <v>6-2024</v>
      </c>
      <c r="D240" s="167"/>
      <c r="E240" s="167"/>
      <c r="F240" s="167">
        <f>'220 Antiga Silvinho '!$E240-'220 Antiga Silvinho '!$D240</f>
        <v>0</v>
      </c>
      <c r="G240" s="167">
        <f>'220 Antiga Silvinho '!$F240-10</f>
        <v>-10</v>
      </c>
    </row>
    <row r="241" ht="14.25" customHeight="1">
      <c r="B241" s="145">
        <v>45466.0</v>
      </c>
      <c r="C241" s="166" t="str">
        <f t="shared" si="1"/>
        <v>6-2024</v>
      </c>
      <c r="D241" s="167"/>
      <c r="E241" s="167"/>
      <c r="F241" s="167">
        <f>'220 Antiga Silvinho '!$E241-'220 Antiga Silvinho '!$D241</f>
        <v>0</v>
      </c>
      <c r="G241" s="167">
        <f>'220 Antiga Silvinho '!$F241-10</f>
        <v>-10</v>
      </c>
    </row>
    <row r="242" ht="14.25" customHeight="1">
      <c r="B242" s="164">
        <v>45467.0</v>
      </c>
      <c r="C242" s="141" t="str">
        <f t="shared" si="1"/>
        <v>6-2024</v>
      </c>
      <c r="F242" s="54">
        <f>'220 Antiga Silvinho '!$E242-'220 Antiga Silvinho '!$D242</f>
        <v>0</v>
      </c>
      <c r="G242" s="54">
        <f>'220 Antiga Silvinho '!$F242-10</f>
        <v>-10</v>
      </c>
    </row>
    <row r="243" ht="14.25" customHeight="1">
      <c r="B243" s="164">
        <v>45468.0</v>
      </c>
      <c r="C243" s="141" t="str">
        <f t="shared" si="1"/>
        <v>6-2024</v>
      </c>
      <c r="F243" s="54">
        <f>'220 Antiga Silvinho '!$E243-'220 Antiga Silvinho '!$D243</f>
        <v>0</v>
      </c>
      <c r="G243" s="54">
        <f>'220 Antiga Silvinho '!$F243-10</f>
        <v>-10</v>
      </c>
    </row>
    <row r="244" ht="14.25" customHeight="1">
      <c r="B244" s="164">
        <v>45469.0</v>
      </c>
      <c r="C244" s="141" t="str">
        <f t="shared" si="1"/>
        <v>6-2024</v>
      </c>
      <c r="F244" s="54">
        <f>'220 Antiga Silvinho '!$E244-'220 Antiga Silvinho '!$D244</f>
        <v>0</v>
      </c>
      <c r="G244" s="54">
        <f>'220 Antiga Silvinho '!$F244-10</f>
        <v>-10</v>
      </c>
    </row>
    <row r="245" ht="14.25" customHeight="1">
      <c r="B245" s="164">
        <v>45470.0</v>
      </c>
      <c r="C245" s="141" t="str">
        <f t="shared" si="1"/>
        <v>6-2024</v>
      </c>
      <c r="F245" s="54">
        <f>'220 Antiga Silvinho '!$E245-'220 Antiga Silvinho '!$D245</f>
        <v>0</v>
      </c>
      <c r="G245" s="54">
        <f>'220 Antiga Silvinho '!$F245-10</f>
        <v>-10</v>
      </c>
    </row>
    <row r="246" ht="14.25" customHeight="1">
      <c r="B246" s="164">
        <v>45471.0</v>
      </c>
      <c r="C246" s="141" t="str">
        <f t="shared" si="1"/>
        <v>6-2024</v>
      </c>
      <c r="F246" s="54">
        <f>'220 Antiga Silvinho '!$E246-'220 Antiga Silvinho '!$D246</f>
        <v>0</v>
      </c>
      <c r="G246" s="54">
        <f>'220 Antiga Silvinho '!$F246-10</f>
        <v>-10</v>
      </c>
    </row>
    <row r="247" ht="14.25" customHeight="1">
      <c r="B247" s="145">
        <v>45472.0</v>
      </c>
      <c r="C247" s="166" t="str">
        <f t="shared" si="1"/>
        <v>6-2024</v>
      </c>
      <c r="D247" s="167"/>
      <c r="E247" s="167"/>
      <c r="F247" s="167">
        <f>'220 Antiga Silvinho '!$E247-'220 Antiga Silvinho '!$D247</f>
        <v>0</v>
      </c>
      <c r="G247" s="167">
        <f>'220 Antiga Silvinho '!$F247-10</f>
        <v>-10</v>
      </c>
    </row>
    <row r="248" ht="14.25" customHeight="1">
      <c r="B248" s="145">
        <v>45473.0</v>
      </c>
      <c r="C248" s="166" t="str">
        <f t="shared" si="1"/>
        <v>6-2024</v>
      </c>
      <c r="D248" s="167"/>
      <c r="E248" s="167"/>
      <c r="F248" s="167">
        <f>'220 Antiga Silvinho '!$E248-'220 Antiga Silvinho '!$D248</f>
        <v>0</v>
      </c>
      <c r="G248" s="167">
        <f>'220 Antiga Silvinho '!$F248-10</f>
        <v>-10</v>
      </c>
    </row>
    <row r="249" ht="14.25" customHeight="1">
      <c r="B249" s="164">
        <v>45474.0</v>
      </c>
      <c r="C249" s="141" t="str">
        <f t="shared" si="1"/>
        <v>7-2024</v>
      </c>
      <c r="D249" s="28">
        <v>495.4</v>
      </c>
      <c r="E249" s="28">
        <v>503.2</v>
      </c>
      <c r="F249" s="54">
        <f t="shared" ref="F249:F586" si="22">E249-D249</f>
        <v>7.8</v>
      </c>
      <c r="G249" s="54">
        <f t="shared" ref="G249:G586" si="23">F249-10</f>
        <v>-2.2</v>
      </c>
    </row>
    <row r="250" ht="14.25" customHeight="1">
      <c r="B250" s="164">
        <v>45475.0</v>
      </c>
      <c r="C250" s="141" t="str">
        <f t="shared" si="1"/>
        <v>7-2024</v>
      </c>
      <c r="D250" s="165">
        <f t="shared" ref="D250:D254" si="24">E249</f>
        <v>503.2</v>
      </c>
      <c r="E250" s="28">
        <v>513.2</v>
      </c>
      <c r="F250" s="54">
        <f t="shared" si="22"/>
        <v>10</v>
      </c>
      <c r="G250" s="54">
        <f t="shared" si="23"/>
        <v>0</v>
      </c>
    </row>
    <row r="251" ht="14.25" customHeight="1">
      <c r="B251" s="140">
        <v>45476.0</v>
      </c>
      <c r="C251" s="141" t="str">
        <f t="shared" si="1"/>
        <v>7-2024</v>
      </c>
      <c r="D251" s="165">
        <f t="shared" si="24"/>
        <v>513.2</v>
      </c>
      <c r="E251" s="28">
        <v>521.4</v>
      </c>
      <c r="F251" s="54">
        <f t="shared" si="22"/>
        <v>8.2</v>
      </c>
      <c r="G251" s="54">
        <f t="shared" si="23"/>
        <v>-1.8</v>
      </c>
    </row>
    <row r="252" ht="14.25" customHeight="1">
      <c r="B252" s="169">
        <v>45477.0</v>
      </c>
      <c r="C252" s="141" t="str">
        <f t="shared" si="1"/>
        <v>7-2024</v>
      </c>
      <c r="D252" s="165">
        <f t="shared" si="24"/>
        <v>521.4</v>
      </c>
      <c r="E252" s="28">
        <v>530.4</v>
      </c>
      <c r="F252" s="54">
        <f t="shared" si="22"/>
        <v>9</v>
      </c>
      <c r="G252" s="54">
        <f t="shared" si="23"/>
        <v>-1</v>
      </c>
    </row>
    <row r="253" ht="14.25" customHeight="1">
      <c r="B253" s="169">
        <v>45478.0</v>
      </c>
      <c r="C253" s="141" t="str">
        <f t="shared" si="1"/>
        <v>7-2024</v>
      </c>
      <c r="D253" s="165">
        <f t="shared" si="24"/>
        <v>530.4</v>
      </c>
      <c r="E253" s="28">
        <v>538.9</v>
      </c>
      <c r="F253" s="54">
        <f t="shared" si="22"/>
        <v>8.5</v>
      </c>
      <c r="G253" s="54">
        <f t="shared" si="23"/>
        <v>-1.5</v>
      </c>
    </row>
    <row r="254" ht="14.25" customHeight="1">
      <c r="B254" s="164">
        <v>45479.0</v>
      </c>
      <c r="C254" s="141" t="str">
        <f t="shared" si="1"/>
        <v>7-2024</v>
      </c>
      <c r="D254" s="165">
        <f t="shared" si="24"/>
        <v>538.9</v>
      </c>
      <c r="E254" s="28">
        <v>544.5</v>
      </c>
      <c r="F254" s="54">
        <f t="shared" si="22"/>
        <v>5.6</v>
      </c>
      <c r="G254" s="54">
        <f t="shared" si="23"/>
        <v>-4.4</v>
      </c>
    </row>
    <row r="255" ht="14.25" customHeight="1">
      <c r="B255" s="145">
        <v>45480.0</v>
      </c>
      <c r="C255" s="141" t="str">
        <f t="shared" si="1"/>
        <v>7-2024</v>
      </c>
      <c r="F255" s="54">
        <f t="shared" si="22"/>
        <v>0</v>
      </c>
      <c r="G255" s="54">
        <f t="shared" si="23"/>
        <v>-10</v>
      </c>
    </row>
    <row r="256" ht="14.25" customHeight="1">
      <c r="B256" s="145">
        <v>45481.0</v>
      </c>
      <c r="C256" s="141" t="str">
        <f t="shared" si="1"/>
        <v>7-2024</v>
      </c>
      <c r="D256" s="28">
        <v>2337.3</v>
      </c>
      <c r="E256" s="28">
        <v>2341.0</v>
      </c>
      <c r="F256" s="54">
        <f t="shared" si="22"/>
        <v>3.7</v>
      </c>
      <c r="G256" s="54">
        <f t="shared" si="23"/>
        <v>-6.3</v>
      </c>
      <c r="H256" s="28" t="s">
        <v>210</v>
      </c>
    </row>
    <row r="257" ht="14.25" customHeight="1">
      <c r="B257" s="164">
        <v>45482.0</v>
      </c>
      <c r="C257" s="141" t="str">
        <f t="shared" si="1"/>
        <v>7-2024</v>
      </c>
      <c r="D257" s="28">
        <v>544.5</v>
      </c>
      <c r="E257" s="28">
        <v>551.5</v>
      </c>
      <c r="F257" s="54">
        <f t="shared" si="22"/>
        <v>7</v>
      </c>
      <c r="G257" s="54">
        <f t="shared" si="23"/>
        <v>-3</v>
      </c>
    </row>
    <row r="258" ht="14.25" customHeight="1">
      <c r="B258" s="164">
        <v>45483.0</v>
      </c>
      <c r="C258" s="141" t="str">
        <f t="shared" si="1"/>
        <v>7-2024</v>
      </c>
      <c r="D258" s="165">
        <f t="shared" ref="D258:D260" si="25">E257</f>
        <v>551.5</v>
      </c>
      <c r="E258" s="28">
        <v>559.7</v>
      </c>
      <c r="F258" s="54">
        <f t="shared" si="22"/>
        <v>8.2</v>
      </c>
      <c r="G258" s="54">
        <f t="shared" si="23"/>
        <v>-1.8</v>
      </c>
    </row>
    <row r="259" ht="14.25" customHeight="1">
      <c r="B259" s="164">
        <v>45484.0</v>
      </c>
      <c r="C259" s="141" t="str">
        <f t="shared" si="1"/>
        <v>7-2024</v>
      </c>
      <c r="D259" s="165">
        <f t="shared" si="25"/>
        <v>559.7</v>
      </c>
      <c r="E259" s="28">
        <v>566.0</v>
      </c>
      <c r="F259" s="54">
        <f t="shared" si="22"/>
        <v>6.3</v>
      </c>
      <c r="G259" s="54">
        <f t="shared" si="23"/>
        <v>-3.7</v>
      </c>
    </row>
    <row r="260" ht="14.25" customHeight="1">
      <c r="B260" s="164">
        <v>45485.0</v>
      </c>
      <c r="C260" s="141" t="str">
        <f t="shared" si="1"/>
        <v>7-2024</v>
      </c>
      <c r="D260" s="165">
        <f t="shared" si="25"/>
        <v>566</v>
      </c>
      <c r="E260" s="28">
        <v>574.7</v>
      </c>
      <c r="F260" s="54">
        <f t="shared" si="22"/>
        <v>8.7</v>
      </c>
      <c r="G260" s="54">
        <f t="shared" si="23"/>
        <v>-1.3</v>
      </c>
    </row>
    <row r="261" ht="14.25" customHeight="1">
      <c r="B261" s="145">
        <v>45486.0</v>
      </c>
      <c r="C261" s="141" t="str">
        <f t="shared" si="1"/>
        <v>7-2024</v>
      </c>
      <c r="F261" s="54">
        <f t="shared" si="22"/>
        <v>0</v>
      </c>
      <c r="G261" s="54">
        <f t="shared" si="23"/>
        <v>-10</v>
      </c>
    </row>
    <row r="262" ht="14.25" customHeight="1">
      <c r="B262" s="145">
        <v>45487.0</v>
      </c>
      <c r="C262" s="141" t="str">
        <f t="shared" si="1"/>
        <v>7-2024</v>
      </c>
      <c r="D262" s="165" t="str">
        <f>E261</f>
        <v/>
      </c>
      <c r="F262" s="54">
        <f t="shared" si="22"/>
        <v>0</v>
      </c>
      <c r="G262" s="54">
        <f t="shared" si="23"/>
        <v>-10</v>
      </c>
    </row>
    <row r="263" ht="14.25" customHeight="1">
      <c r="B263" s="164">
        <v>45488.0</v>
      </c>
      <c r="C263" s="141" t="str">
        <f t="shared" si="1"/>
        <v>7-2024</v>
      </c>
      <c r="D263" s="28">
        <v>574.7</v>
      </c>
      <c r="E263" s="28">
        <v>582.9</v>
      </c>
      <c r="F263" s="54">
        <f t="shared" si="22"/>
        <v>8.2</v>
      </c>
      <c r="G263" s="54">
        <f t="shared" si="23"/>
        <v>-1.8</v>
      </c>
    </row>
    <row r="264" ht="14.25" customHeight="1">
      <c r="B264" s="164">
        <v>45489.0</v>
      </c>
      <c r="C264" s="141" t="str">
        <f t="shared" si="1"/>
        <v>7-2024</v>
      </c>
      <c r="D264" s="165">
        <f t="shared" ref="D264:D268" si="26">E263</f>
        <v>582.9</v>
      </c>
      <c r="E264" s="28">
        <v>589.4</v>
      </c>
      <c r="F264" s="54">
        <f t="shared" si="22"/>
        <v>6.5</v>
      </c>
      <c r="G264" s="54">
        <f t="shared" si="23"/>
        <v>-3.5</v>
      </c>
    </row>
    <row r="265" ht="14.25" customHeight="1">
      <c r="B265" s="164">
        <v>45490.0</v>
      </c>
      <c r="C265" s="141" t="str">
        <f t="shared" si="1"/>
        <v>7-2024</v>
      </c>
      <c r="D265" s="165">
        <f t="shared" si="26"/>
        <v>589.4</v>
      </c>
      <c r="E265" s="28">
        <v>598.4</v>
      </c>
      <c r="F265" s="54">
        <f t="shared" si="22"/>
        <v>9</v>
      </c>
      <c r="G265" s="54">
        <f t="shared" si="23"/>
        <v>-1</v>
      </c>
    </row>
    <row r="266" ht="14.25" customHeight="1">
      <c r="B266" s="164">
        <v>45491.0</v>
      </c>
      <c r="C266" s="141" t="str">
        <f t="shared" si="1"/>
        <v>7-2024</v>
      </c>
      <c r="D266" s="165">
        <f t="shared" si="26"/>
        <v>598.4</v>
      </c>
      <c r="E266" s="28">
        <v>604.6</v>
      </c>
      <c r="F266" s="54">
        <f t="shared" si="22"/>
        <v>6.2</v>
      </c>
      <c r="G266" s="54">
        <f t="shared" si="23"/>
        <v>-3.8</v>
      </c>
    </row>
    <row r="267" ht="14.25" customHeight="1">
      <c r="B267" s="164">
        <v>45492.0</v>
      </c>
      <c r="C267" s="141" t="str">
        <f t="shared" si="1"/>
        <v>7-2024</v>
      </c>
      <c r="D267" s="165">
        <f t="shared" si="26"/>
        <v>604.6</v>
      </c>
      <c r="E267" s="28">
        <v>614.6</v>
      </c>
      <c r="F267" s="54">
        <f t="shared" si="22"/>
        <v>10</v>
      </c>
      <c r="G267" s="54">
        <f t="shared" si="23"/>
        <v>0</v>
      </c>
    </row>
    <row r="268" ht="14.25" customHeight="1">
      <c r="B268" s="145">
        <v>45493.0</v>
      </c>
      <c r="C268" s="141" t="str">
        <f t="shared" si="1"/>
        <v>7-2024</v>
      </c>
      <c r="D268" s="165">
        <f t="shared" si="26"/>
        <v>614.6</v>
      </c>
      <c r="E268" s="28">
        <v>619.0</v>
      </c>
      <c r="F268" s="54">
        <f t="shared" si="22"/>
        <v>4.4</v>
      </c>
      <c r="G268" s="54">
        <f t="shared" si="23"/>
        <v>-5.6</v>
      </c>
    </row>
    <row r="269" ht="14.25" customHeight="1">
      <c r="B269" s="145">
        <v>45494.0</v>
      </c>
      <c r="C269" s="141" t="str">
        <f t="shared" si="1"/>
        <v>7-2024</v>
      </c>
      <c r="F269" s="54">
        <f t="shared" si="22"/>
        <v>0</v>
      </c>
      <c r="G269" s="54">
        <f t="shared" si="23"/>
        <v>-10</v>
      </c>
    </row>
    <row r="270" ht="14.25" customHeight="1">
      <c r="B270" s="164">
        <v>45495.0</v>
      </c>
      <c r="C270" s="141" t="str">
        <f t="shared" si="1"/>
        <v>7-2024</v>
      </c>
      <c r="D270" s="28">
        <v>619.0</v>
      </c>
      <c r="E270" s="28">
        <v>624.8</v>
      </c>
      <c r="F270" s="54">
        <f t="shared" si="22"/>
        <v>5.8</v>
      </c>
      <c r="G270" s="54">
        <f t="shared" si="23"/>
        <v>-4.2</v>
      </c>
    </row>
    <row r="271" ht="14.25" customHeight="1">
      <c r="B271" s="164">
        <v>45496.0</v>
      </c>
      <c r="C271" s="141" t="str">
        <f t="shared" si="1"/>
        <v>7-2024</v>
      </c>
      <c r="D271" s="165">
        <f t="shared" ref="D271:D275" si="27">E270</f>
        <v>624.8</v>
      </c>
      <c r="E271" s="28">
        <v>633.2</v>
      </c>
      <c r="F271" s="54">
        <f t="shared" si="22"/>
        <v>8.4</v>
      </c>
      <c r="G271" s="54">
        <f t="shared" si="23"/>
        <v>-1.6</v>
      </c>
    </row>
    <row r="272" ht="14.25" customHeight="1">
      <c r="B272" s="164">
        <v>45497.0</v>
      </c>
      <c r="C272" s="141" t="str">
        <f t="shared" si="1"/>
        <v>7-2024</v>
      </c>
      <c r="D272" s="165">
        <f t="shared" si="27"/>
        <v>633.2</v>
      </c>
      <c r="E272" s="28">
        <v>642.7</v>
      </c>
      <c r="F272" s="54">
        <f t="shared" si="22"/>
        <v>9.5</v>
      </c>
      <c r="G272" s="54">
        <f t="shared" si="23"/>
        <v>-0.5</v>
      </c>
    </row>
    <row r="273" ht="14.25" customHeight="1">
      <c r="B273" s="164">
        <v>45498.0</v>
      </c>
      <c r="C273" s="141" t="str">
        <f t="shared" si="1"/>
        <v>7-2024</v>
      </c>
      <c r="D273" s="165">
        <f t="shared" si="27"/>
        <v>642.7</v>
      </c>
      <c r="E273" s="28">
        <v>652.7</v>
      </c>
      <c r="F273" s="54">
        <f t="shared" si="22"/>
        <v>10</v>
      </c>
      <c r="G273" s="54">
        <f t="shared" si="23"/>
        <v>0</v>
      </c>
    </row>
    <row r="274" ht="14.25" customHeight="1">
      <c r="B274" s="164">
        <v>45499.0</v>
      </c>
      <c r="C274" s="141" t="str">
        <f t="shared" si="1"/>
        <v>7-2024</v>
      </c>
      <c r="D274" s="165">
        <f t="shared" si="27"/>
        <v>652.7</v>
      </c>
      <c r="E274" s="28">
        <v>662.7</v>
      </c>
      <c r="F274" s="54">
        <f t="shared" si="22"/>
        <v>10</v>
      </c>
      <c r="G274" s="54">
        <f t="shared" si="23"/>
        <v>0</v>
      </c>
    </row>
    <row r="275" ht="14.25" customHeight="1">
      <c r="B275" s="145">
        <v>45500.0</v>
      </c>
      <c r="C275" s="141" t="str">
        <f t="shared" si="1"/>
        <v>7-2024</v>
      </c>
      <c r="D275" s="165">
        <f t="shared" si="27"/>
        <v>662.7</v>
      </c>
      <c r="E275" s="28">
        <v>665.9</v>
      </c>
      <c r="F275" s="54">
        <f t="shared" si="22"/>
        <v>3.2</v>
      </c>
      <c r="G275" s="54">
        <f t="shared" si="23"/>
        <v>-6.8</v>
      </c>
    </row>
    <row r="276" ht="14.25" customHeight="1">
      <c r="B276" s="145">
        <v>45501.0</v>
      </c>
      <c r="C276" s="141" t="str">
        <f t="shared" si="1"/>
        <v>7-2024</v>
      </c>
      <c r="F276" s="54">
        <f t="shared" si="22"/>
        <v>0</v>
      </c>
      <c r="G276" s="54">
        <f t="shared" si="23"/>
        <v>-10</v>
      </c>
    </row>
    <row r="277" ht="14.25" customHeight="1">
      <c r="B277" s="164">
        <v>45502.0</v>
      </c>
      <c r="C277" s="141" t="str">
        <f t="shared" si="1"/>
        <v>7-2024</v>
      </c>
      <c r="D277" s="28">
        <v>665.9</v>
      </c>
      <c r="E277" s="28">
        <v>671.9</v>
      </c>
      <c r="F277" s="54">
        <f t="shared" si="22"/>
        <v>6</v>
      </c>
      <c r="G277" s="54">
        <f t="shared" si="23"/>
        <v>-4</v>
      </c>
    </row>
    <row r="278" ht="14.25" customHeight="1">
      <c r="B278" s="164">
        <v>45503.0</v>
      </c>
      <c r="C278" s="141" t="str">
        <f t="shared" si="1"/>
        <v>7-2024</v>
      </c>
      <c r="D278" s="165">
        <f t="shared" ref="D278:D279" si="28">E277</f>
        <v>671.9</v>
      </c>
      <c r="E278" s="28">
        <v>681.3</v>
      </c>
      <c r="F278" s="54">
        <f t="shared" si="22"/>
        <v>9.4</v>
      </c>
      <c r="G278" s="54">
        <f t="shared" si="23"/>
        <v>-0.6</v>
      </c>
    </row>
    <row r="279" ht="14.25" customHeight="1">
      <c r="B279" s="164">
        <v>45504.0</v>
      </c>
      <c r="C279" s="141" t="str">
        <f t="shared" si="1"/>
        <v>7-2024</v>
      </c>
      <c r="D279" s="165">
        <f t="shared" si="28"/>
        <v>681.3</v>
      </c>
      <c r="E279" s="28">
        <v>690.0</v>
      </c>
      <c r="F279" s="54">
        <f t="shared" si="22"/>
        <v>8.7</v>
      </c>
      <c r="G279" s="54">
        <f t="shared" si="23"/>
        <v>-1.3</v>
      </c>
    </row>
    <row r="280" ht="14.25" customHeight="1">
      <c r="B280" s="164">
        <v>45505.0</v>
      </c>
      <c r="C280" s="141" t="str">
        <f t="shared" si="1"/>
        <v>8-2024</v>
      </c>
      <c r="D280" s="28">
        <v>690.0</v>
      </c>
      <c r="E280" s="28">
        <v>699.5</v>
      </c>
      <c r="F280" s="54">
        <f t="shared" si="22"/>
        <v>9.5</v>
      </c>
      <c r="G280" s="54">
        <f t="shared" si="23"/>
        <v>-0.5</v>
      </c>
      <c r="H280" s="28">
        <v>200.0</v>
      </c>
    </row>
    <row r="281" ht="14.25" customHeight="1">
      <c r="B281" s="164">
        <v>45506.0</v>
      </c>
      <c r="C281" s="141" t="str">
        <f t="shared" si="1"/>
        <v>8-2024</v>
      </c>
      <c r="D281" s="165">
        <f t="shared" ref="D281:D282" si="29">E280</f>
        <v>699.5</v>
      </c>
      <c r="E281" s="28">
        <v>708.7</v>
      </c>
      <c r="F281" s="54">
        <f t="shared" si="22"/>
        <v>9.2</v>
      </c>
      <c r="G281" s="54">
        <f t="shared" si="23"/>
        <v>-0.8</v>
      </c>
    </row>
    <row r="282" ht="14.25" customHeight="1">
      <c r="B282" s="145">
        <v>45507.0</v>
      </c>
      <c r="C282" s="141" t="str">
        <f t="shared" si="1"/>
        <v>8-2024</v>
      </c>
      <c r="D282" s="165">
        <f t="shared" si="29"/>
        <v>708.7</v>
      </c>
      <c r="E282" s="28">
        <v>716.5</v>
      </c>
      <c r="F282" s="54">
        <f t="shared" si="22"/>
        <v>7.8</v>
      </c>
      <c r="G282" s="54">
        <f t="shared" si="23"/>
        <v>-2.2</v>
      </c>
    </row>
    <row r="283" ht="14.25" customHeight="1">
      <c r="B283" s="145">
        <v>45508.0</v>
      </c>
      <c r="C283" s="141" t="str">
        <f t="shared" si="1"/>
        <v>8-2024</v>
      </c>
      <c r="F283" s="54">
        <f t="shared" si="22"/>
        <v>0</v>
      </c>
      <c r="G283" s="54">
        <f t="shared" si="23"/>
        <v>-10</v>
      </c>
    </row>
    <row r="284" ht="14.25" customHeight="1">
      <c r="B284" s="164">
        <v>45509.0</v>
      </c>
      <c r="C284" s="141" t="str">
        <f t="shared" si="1"/>
        <v>8-2024</v>
      </c>
      <c r="D284" s="28">
        <v>716.5</v>
      </c>
      <c r="E284" s="28">
        <v>725.6</v>
      </c>
      <c r="F284" s="54">
        <f t="shared" si="22"/>
        <v>9.1</v>
      </c>
      <c r="G284" s="54">
        <f t="shared" si="23"/>
        <v>-0.9</v>
      </c>
    </row>
    <row r="285" ht="14.25" customHeight="1">
      <c r="B285" s="164">
        <v>45510.0</v>
      </c>
      <c r="C285" s="141" t="str">
        <f t="shared" si="1"/>
        <v>8-2024</v>
      </c>
      <c r="D285" s="165">
        <f t="shared" ref="D285:D289" si="30">E284</f>
        <v>725.6</v>
      </c>
      <c r="E285" s="28">
        <v>735.4</v>
      </c>
      <c r="F285" s="54">
        <f t="shared" si="22"/>
        <v>9.8</v>
      </c>
      <c r="G285" s="54">
        <f t="shared" si="23"/>
        <v>-0.2</v>
      </c>
      <c r="H285" s="28">
        <v>230.0</v>
      </c>
    </row>
    <row r="286" ht="14.25" customHeight="1">
      <c r="B286" s="164">
        <v>45511.0</v>
      </c>
      <c r="C286" s="141" t="str">
        <f t="shared" si="1"/>
        <v>8-2024</v>
      </c>
      <c r="D286" s="165">
        <f t="shared" si="30"/>
        <v>735.4</v>
      </c>
      <c r="E286" s="28">
        <v>744.6</v>
      </c>
      <c r="F286" s="54">
        <f t="shared" si="22"/>
        <v>9.2</v>
      </c>
      <c r="G286" s="54">
        <f t="shared" si="23"/>
        <v>-0.8</v>
      </c>
    </row>
    <row r="287" ht="14.25" customHeight="1">
      <c r="B287" s="164">
        <v>45512.0</v>
      </c>
      <c r="C287" s="141" t="str">
        <f t="shared" si="1"/>
        <v>8-2024</v>
      </c>
      <c r="D287" s="165">
        <f t="shared" si="30"/>
        <v>744.6</v>
      </c>
      <c r="E287" s="28">
        <v>753.9</v>
      </c>
      <c r="F287" s="54">
        <f t="shared" si="22"/>
        <v>9.3</v>
      </c>
      <c r="G287" s="54">
        <f t="shared" si="23"/>
        <v>-0.7</v>
      </c>
    </row>
    <row r="288" ht="14.25" customHeight="1">
      <c r="B288" s="164">
        <v>45513.0</v>
      </c>
      <c r="C288" s="141" t="str">
        <f t="shared" si="1"/>
        <v>8-2024</v>
      </c>
      <c r="D288" s="165">
        <f t="shared" si="30"/>
        <v>753.9</v>
      </c>
      <c r="E288" s="28">
        <v>760.5</v>
      </c>
      <c r="F288" s="54">
        <f t="shared" si="22"/>
        <v>6.6</v>
      </c>
      <c r="G288" s="54">
        <f t="shared" si="23"/>
        <v>-3.4</v>
      </c>
    </row>
    <row r="289" ht="14.25" customHeight="1">
      <c r="B289" s="145">
        <v>45514.0</v>
      </c>
      <c r="C289" s="141" t="str">
        <f t="shared" si="1"/>
        <v>8-2024</v>
      </c>
      <c r="D289" s="165">
        <f t="shared" si="30"/>
        <v>760.5</v>
      </c>
      <c r="E289" s="28">
        <v>769.1</v>
      </c>
      <c r="F289" s="54">
        <f t="shared" si="22"/>
        <v>8.6</v>
      </c>
      <c r="G289" s="54">
        <f t="shared" si="23"/>
        <v>-1.4</v>
      </c>
      <c r="H289" s="28">
        <v>196.0</v>
      </c>
    </row>
    <row r="290" ht="14.25" customHeight="1">
      <c r="B290" s="145">
        <v>45515.0</v>
      </c>
      <c r="C290" s="141" t="str">
        <f t="shared" si="1"/>
        <v>8-2024</v>
      </c>
      <c r="F290" s="54">
        <f t="shared" si="22"/>
        <v>0</v>
      </c>
      <c r="G290" s="54">
        <f t="shared" si="23"/>
        <v>-10</v>
      </c>
    </row>
    <row r="291" ht="14.25" customHeight="1">
      <c r="B291" s="164">
        <v>45516.0</v>
      </c>
      <c r="C291" s="141" t="str">
        <f t="shared" si="1"/>
        <v>8-2024</v>
      </c>
      <c r="D291" s="28">
        <v>769.1</v>
      </c>
      <c r="E291" s="28">
        <v>776.2</v>
      </c>
      <c r="F291" s="54">
        <f t="shared" si="22"/>
        <v>7.1</v>
      </c>
      <c r="G291" s="54">
        <f t="shared" si="23"/>
        <v>-2.9</v>
      </c>
    </row>
    <row r="292" ht="14.25" customHeight="1">
      <c r="B292" s="164">
        <v>45517.0</v>
      </c>
      <c r="C292" s="141" t="str">
        <f t="shared" si="1"/>
        <v>8-2024</v>
      </c>
      <c r="F292" s="54">
        <f t="shared" si="22"/>
        <v>0</v>
      </c>
      <c r="G292" s="54">
        <f t="shared" si="23"/>
        <v>-10</v>
      </c>
    </row>
    <row r="293" ht="14.25" customHeight="1">
      <c r="B293" s="164">
        <v>45518.0</v>
      </c>
      <c r="C293" s="141" t="str">
        <f t="shared" si="1"/>
        <v>8-2024</v>
      </c>
      <c r="D293" s="165" t="str">
        <f>E292</f>
        <v/>
      </c>
      <c r="F293" s="54">
        <f t="shared" si="22"/>
        <v>0</v>
      </c>
      <c r="G293" s="54">
        <f t="shared" si="23"/>
        <v>-10</v>
      </c>
    </row>
    <row r="294" ht="14.25" customHeight="1">
      <c r="B294" s="164">
        <v>45519.0</v>
      </c>
      <c r="C294" s="141" t="str">
        <f t="shared" si="1"/>
        <v>8-2024</v>
      </c>
      <c r="F294" s="54">
        <f t="shared" si="22"/>
        <v>0</v>
      </c>
      <c r="G294" s="54">
        <f t="shared" si="23"/>
        <v>-10</v>
      </c>
    </row>
    <row r="295" ht="14.25" customHeight="1">
      <c r="B295" s="164">
        <v>45520.0</v>
      </c>
      <c r="C295" s="141" t="str">
        <f t="shared" si="1"/>
        <v>8-2024</v>
      </c>
      <c r="F295" s="54">
        <f t="shared" si="22"/>
        <v>0</v>
      </c>
      <c r="G295" s="54">
        <f t="shared" si="23"/>
        <v>-10</v>
      </c>
    </row>
    <row r="296" ht="14.25" customHeight="1">
      <c r="B296" s="145">
        <v>45521.0</v>
      </c>
      <c r="C296" s="141" t="str">
        <f t="shared" si="1"/>
        <v>8-2024</v>
      </c>
      <c r="F296" s="54">
        <f t="shared" si="22"/>
        <v>0</v>
      </c>
      <c r="G296" s="54">
        <f t="shared" si="23"/>
        <v>-10</v>
      </c>
    </row>
    <row r="297" ht="14.25" customHeight="1">
      <c r="B297" s="145">
        <v>45522.0</v>
      </c>
      <c r="C297" s="141" t="str">
        <f t="shared" si="1"/>
        <v>8-2024</v>
      </c>
      <c r="F297" s="54">
        <f t="shared" si="22"/>
        <v>0</v>
      </c>
      <c r="G297" s="54">
        <f t="shared" si="23"/>
        <v>-10</v>
      </c>
    </row>
    <row r="298" ht="14.25" customHeight="1">
      <c r="B298" s="164">
        <v>45523.0</v>
      </c>
      <c r="C298" s="141" t="str">
        <f t="shared" si="1"/>
        <v>8-2024</v>
      </c>
      <c r="F298" s="54">
        <f t="shared" si="22"/>
        <v>0</v>
      </c>
      <c r="G298" s="54">
        <f t="shared" si="23"/>
        <v>-10</v>
      </c>
    </row>
    <row r="299" ht="14.25" customHeight="1">
      <c r="B299" s="164">
        <v>45524.0</v>
      </c>
      <c r="C299" s="141" t="str">
        <f t="shared" si="1"/>
        <v>8-2024</v>
      </c>
      <c r="D299" s="28">
        <v>573.9</v>
      </c>
      <c r="E299" s="28">
        <v>576.9</v>
      </c>
      <c r="F299" s="54">
        <f t="shared" si="22"/>
        <v>3</v>
      </c>
      <c r="G299" s="54">
        <f t="shared" si="23"/>
        <v>-7</v>
      </c>
      <c r="I299" s="28" t="s">
        <v>147</v>
      </c>
    </row>
    <row r="300" ht="14.25" customHeight="1">
      <c r="B300" s="164">
        <v>45525.0</v>
      </c>
      <c r="C300" s="141" t="str">
        <f t="shared" si="1"/>
        <v>8-2024</v>
      </c>
      <c r="F300" s="54">
        <f t="shared" si="22"/>
        <v>0</v>
      </c>
      <c r="G300" s="54">
        <f t="shared" si="23"/>
        <v>-10</v>
      </c>
    </row>
    <row r="301" ht="14.25" customHeight="1">
      <c r="B301" s="164">
        <v>45526.0</v>
      </c>
      <c r="C301" s="141" t="str">
        <f t="shared" si="1"/>
        <v>8-2024</v>
      </c>
      <c r="F301" s="54">
        <f t="shared" si="22"/>
        <v>0</v>
      </c>
      <c r="G301" s="54">
        <f t="shared" si="23"/>
        <v>-10</v>
      </c>
    </row>
    <row r="302" ht="14.25" customHeight="1">
      <c r="B302" s="164">
        <v>45527.0</v>
      </c>
      <c r="C302" s="141" t="str">
        <f t="shared" si="1"/>
        <v>8-2024</v>
      </c>
      <c r="F302" s="54">
        <f t="shared" si="22"/>
        <v>0</v>
      </c>
      <c r="G302" s="54">
        <f t="shared" si="23"/>
        <v>-10</v>
      </c>
    </row>
    <row r="303" ht="14.25" customHeight="1">
      <c r="B303" s="145">
        <v>45528.0</v>
      </c>
      <c r="C303" s="141" t="str">
        <f t="shared" si="1"/>
        <v>8-2024</v>
      </c>
      <c r="D303" s="28">
        <v>776.7</v>
      </c>
      <c r="E303" s="28">
        <v>778.2</v>
      </c>
      <c r="F303" s="54">
        <f t="shared" si="22"/>
        <v>1.5</v>
      </c>
      <c r="G303" s="54">
        <f t="shared" si="23"/>
        <v>-8.5</v>
      </c>
    </row>
    <row r="304" ht="14.25" customHeight="1">
      <c r="B304" s="145">
        <v>45529.0</v>
      </c>
      <c r="C304" s="141" t="str">
        <f t="shared" si="1"/>
        <v>8-2024</v>
      </c>
      <c r="F304" s="54">
        <f t="shared" si="22"/>
        <v>0</v>
      </c>
      <c r="G304" s="54">
        <f t="shared" si="23"/>
        <v>-10</v>
      </c>
    </row>
    <row r="305" ht="14.25" customHeight="1">
      <c r="B305" s="164">
        <v>45530.0</v>
      </c>
      <c r="C305" s="141" t="str">
        <f t="shared" si="1"/>
        <v>8-2024</v>
      </c>
      <c r="D305" s="28">
        <v>778.2</v>
      </c>
      <c r="E305" s="28">
        <v>784.0</v>
      </c>
      <c r="F305" s="54">
        <f t="shared" si="22"/>
        <v>5.8</v>
      </c>
      <c r="G305" s="54">
        <f t="shared" si="23"/>
        <v>-4.2</v>
      </c>
    </row>
    <row r="306" ht="14.25" customHeight="1">
      <c r="B306" s="164">
        <v>45531.0</v>
      </c>
      <c r="C306" s="141" t="str">
        <f t="shared" si="1"/>
        <v>8-2024</v>
      </c>
      <c r="D306" s="165">
        <f t="shared" ref="D306:D307" si="31">E305</f>
        <v>784</v>
      </c>
      <c r="E306" s="28">
        <v>789.7</v>
      </c>
      <c r="F306" s="54">
        <f t="shared" si="22"/>
        <v>5.7</v>
      </c>
      <c r="G306" s="54">
        <f t="shared" si="23"/>
        <v>-4.3</v>
      </c>
    </row>
    <row r="307" ht="14.25" customHeight="1">
      <c r="B307" s="164">
        <v>45532.0</v>
      </c>
      <c r="C307" s="141" t="str">
        <f t="shared" si="1"/>
        <v>8-2024</v>
      </c>
      <c r="D307" s="165">
        <f t="shared" si="31"/>
        <v>789.7</v>
      </c>
      <c r="E307" s="28">
        <v>794.5</v>
      </c>
      <c r="F307" s="54">
        <f t="shared" si="22"/>
        <v>4.8</v>
      </c>
      <c r="G307" s="54">
        <f t="shared" si="23"/>
        <v>-5.2</v>
      </c>
      <c r="H307" s="28">
        <v>243.0</v>
      </c>
    </row>
    <row r="308" ht="14.25" customHeight="1">
      <c r="B308" s="164">
        <v>45533.0</v>
      </c>
      <c r="C308" s="141" t="str">
        <f t="shared" si="1"/>
        <v>8-2024</v>
      </c>
      <c r="D308" s="28">
        <v>794.5</v>
      </c>
      <c r="E308" s="28">
        <v>796.2</v>
      </c>
      <c r="F308" s="54">
        <f t="shared" si="22"/>
        <v>1.7</v>
      </c>
      <c r="G308" s="54">
        <f t="shared" si="23"/>
        <v>-8.3</v>
      </c>
    </row>
    <row r="309" ht="14.25" customHeight="1">
      <c r="B309" s="164">
        <v>45534.0</v>
      </c>
      <c r="C309" s="141" t="str">
        <f t="shared" si="1"/>
        <v>8-2024</v>
      </c>
      <c r="D309" s="165">
        <f t="shared" ref="D309:D310" si="32">E308</f>
        <v>796.2</v>
      </c>
      <c r="E309" s="28">
        <v>809.4</v>
      </c>
      <c r="F309" s="54">
        <f t="shared" si="22"/>
        <v>13.2</v>
      </c>
      <c r="G309" s="54">
        <f t="shared" si="23"/>
        <v>3.2</v>
      </c>
    </row>
    <row r="310" ht="14.25" customHeight="1">
      <c r="B310" s="145">
        <v>45535.0</v>
      </c>
      <c r="C310" s="141" t="str">
        <f t="shared" si="1"/>
        <v>8-2024</v>
      </c>
      <c r="D310" s="165">
        <f t="shared" si="32"/>
        <v>809.4</v>
      </c>
      <c r="E310" s="28">
        <v>810.0</v>
      </c>
      <c r="F310" s="54">
        <f t="shared" si="22"/>
        <v>0.6</v>
      </c>
      <c r="G310" s="54">
        <f t="shared" si="23"/>
        <v>-9.4</v>
      </c>
      <c r="H310" s="28">
        <v>200.0</v>
      </c>
    </row>
    <row r="311" ht="14.25" customHeight="1">
      <c r="B311" s="145">
        <v>45536.0</v>
      </c>
      <c r="C311" s="141" t="str">
        <f t="shared" si="1"/>
        <v>9-2024</v>
      </c>
      <c r="D311" s="28">
        <v>810.0</v>
      </c>
      <c r="E311" s="28">
        <v>819.8</v>
      </c>
      <c r="F311" s="54">
        <f t="shared" si="22"/>
        <v>9.8</v>
      </c>
      <c r="G311" s="54">
        <f t="shared" si="23"/>
        <v>-0.2</v>
      </c>
    </row>
    <row r="312" ht="14.25" customHeight="1">
      <c r="B312" s="140">
        <v>45537.0</v>
      </c>
      <c r="C312" s="141" t="str">
        <f t="shared" si="1"/>
        <v>9-2024</v>
      </c>
      <c r="D312" s="165">
        <f t="shared" ref="D312:D323" si="33">E311</f>
        <v>819.8</v>
      </c>
      <c r="E312" s="28">
        <v>828.0</v>
      </c>
      <c r="F312" s="54">
        <f t="shared" si="22"/>
        <v>8.2</v>
      </c>
      <c r="G312" s="54">
        <f t="shared" si="23"/>
        <v>-1.8</v>
      </c>
    </row>
    <row r="313" ht="14.25" customHeight="1">
      <c r="B313" s="140">
        <v>45538.0</v>
      </c>
      <c r="C313" s="141" t="str">
        <f t="shared" si="1"/>
        <v>9-2024</v>
      </c>
      <c r="D313" s="165">
        <f t="shared" si="33"/>
        <v>828</v>
      </c>
      <c r="E313" s="28">
        <v>836.0</v>
      </c>
      <c r="F313" s="54">
        <f t="shared" si="22"/>
        <v>8</v>
      </c>
      <c r="G313" s="54">
        <f t="shared" si="23"/>
        <v>-2</v>
      </c>
    </row>
    <row r="314" ht="14.25" customHeight="1">
      <c r="B314" s="140">
        <v>45539.0</v>
      </c>
      <c r="C314" s="141" t="str">
        <f t="shared" si="1"/>
        <v>9-2024</v>
      </c>
      <c r="D314" s="165">
        <f t="shared" si="33"/>
        <v>836</v>
      </c>
      <c r="E314" s="28">
        <v>844.7</v>
      </c>
      <c r="F314" s="54">
        <f t="shared" si="22"/>
        <v>8.7</v>
      </c>
      <c r="G314" s="54">
        <f t="shared" si="23"/>
        <v>-1.3</v>
      </c>
    </row>
    <row r="315" ht="14.25" customHeight="1">
      <c r="B315" s="140">
        <v>45540.0</v>
      </c>
      <c r="C315" s="141" t="str">
        <f t="shared" si="1"/>
        <v>9-2024</v>
      </c>
      <c r="D315" s="165">
        <f t="shared" si="33"/>
        <v>844.7</v>
      </c>
      <c r="E315" s="28">
        <v>853.2</v>
      </c>
      <c r="F315" s="54">
        <f t="shared" si="22"/>
        <v>8.5</v>
      </c>
      <c r="G315" s="54">
        <f t="shared" si="23"/>
        <v>-1.5</v>
      </c>
    </row>
    <row r="316" ht="14.25" customHeight="1">
      <c r="B316" s="140">
        <v>45541.0</v>
      </c>
      <c r="C316" s="141" t="str">
        <f t="shared" si="1"/>
        <v>9-2024</v>
      </c>
      <c r="D316" s="165">
        <f t="shared" si="33"/>
        <v>853.2</v>
      </c>
      <c r="E316" s="28">
        <v>861.5</v>
      </c>
      <c r="F316" s="54">
        <f t="shared" si="22"/>
        <v>8.3</v>
      </c>
      <c r="G316" s="54">
        <f t="shared" si="23"/>
        <v>-1.7</v>
      </c>
      <c r="H316" s="28">
        <v>115.0</v>
      </c>
    </row>
    <row r="317" ht="14.25" customHeight="1">
      <c r="B317" s="145">
        <v>45542.0</v>
      </c>
      <c r="C317" s="141" t="str">
        <f t="shared" si="1"/>
        <v>9-2024</v>
      </c>
      <c r="D317" s="165">
        <f t="shared" si="33"/>
        <v>861.5</v>
      </c>
      <c r="E317" s="28">
        <v>865.7</v>
      </c>
      <c r="F317" s="54">
        <f t="shared" si="22"/>
        <v>4.2</v>
      </c>
      <c r="G317" s="54">
        <f t="shared" si="23"/>
        <v>-5.8</v>
      </c>
    </row>
    <row r="318" ht="14.25" customHeight="1">
      <c r="B318" s="145">
        <v>45543.0</v>
      </c>
      <c r="C318" s="141" t="str">
        <f t="shared" si="1"/>
        <v>9-2024</v>
      </c>
      <c r="D318" s="165">
        <f t="shared" si="33"/>
        <v>865.7</v>
      </c>
      <c r="E318" s="28">
        <v>874.7</v>
      </c>
      <c r="F318" s="54">
        <f t="shared" si="22"/>
        <v>9</v>
      </c>
      <c r="G318" s="54">
        <f t="shared" si="23"/>
        <v>-1</v>
      </c>
      <c r="H318" s="28">
        <v>200.0</v>
      </c>
    </row>
    <row r="319" ht="14.25" customHeight="1">
      <c r="B319" s="140">
        <v>45544.0</v>
      </c>
      <c r="C319" s="141" t="str">
        <f t="shared" si="1"/>
        <v>9-2024</v>
      </c>
      <c r="D319" s="165">
        <f t="shared" si="33"/>
        <v>874.7</v>
      </c>
      <c r="E319" s="28">
        <v>877.8</v>
      </c>
      <c r="F319" s="54">
        <f t="shared" si="22"/>
        <v>3.1</v>
      </c>
      <c r="G319" s="54">
        <f t="shared" si="23"/>
        <v>-6.9</v>
      </c>
      <c r="H319" s="28">
        <v>115.0</v>
      </c>
    </row>
    <row r="320" ht="14.25" customHeight="1">
      <c r="B320" s="140">
        <v>45545.0</v>
      </c>
      <c r="C320" s="141" t="str">
        <f t="shared" si="1"/>
        <v>9-2024</v>
      </c>
      <c r="D320" s="165">
        <f t="shared" si="33"/>
        <v>877.8</v>
      </c>
      <c r="E320" s="28">
        <v>885.5</v>
      </c>
      <c r="F320" s="54">
        <f t="shared" si="22"/>
        <v>7.7</v>
      </c>
      <c r="G320" s="54">
        <f t="shared" si="23"/>
        <v>-2.3</v>
      </c>
    </row>
    <row r="321" ht="14.25" customHeight="1">
      <c r="B321" s="140">
        <v>45546.0</v>
      </c>
      <c r="C321" s="141" t="str">
        <f t="shared" si="1"/>
        <v>9-2024</v>
      </c>
      <c r="D321" s="165">
        <f t="shared" si="33"/>
        <v>885.5</v>
      </c>
      <c r="E321" s="28">
        <v>890.5</v>
      </c>
      <c r="F321" s="54">
        <f t="shared" si="22"/>
        <v>5</v>
      </c>
      <c r="G321" s="54">
        <f t="shared" si="23"/>
        <v>-5</v>
      </c>
    </row>
    <row r="322" ht="14.25" customHeight="1">
      <c r="B322" s="140">
        <v>45547.0</v>
      </c>
      <c r="C322" s="141" t="str">
        <f t="shared" si="1"/>
        <v>9-2024</v>
      </c>
      <c r="D322" s="165">
        <f t="shared" si="33"/>
        <v>890.5</v>
      </c>
      <c r="E322" s="28">
        <v>893.5</v>
      </c>
      <c r="F322" s="54">
        <f t="shared" si="22"/>
        <v>3</v>
      </c>
      <c r="G322" s="54">
        <f t="shared" si="23"/>
        <v>-7</v>
      </c>
    </row>
    <row r="323" ht="14.25" customHeight="1">
      <c r="B323" s="140">
        <v>45548.0</v>
      </c>
      <c r="C323" s="141" t="str">
        <f t="shared" si="1"/>
        <v>9-2024</v>
      </c>
      <c r="D323" s="165">
        <f t="shared" si="33"/>
        <v>893.5</v>
      </c>
      <c r="E323" s="28">
        <v>900.6</v>
      </c>
      <c r="F323" s="54">
        <f t="shared" si="22"/>
        <v>7.1</v>
      </c>
      <c r="G323" s="54">
        <f t="shared" si="23"/>
        <v>-2.9</v>
      </c>
      <c r="H323" s="28">
        <v>120.0</v>
      </c>
    </row>
    <row r="324" ht="14.25" customHeight="1">
      <c r="B324" s="145">
        <v>45549.0</v>
      </c>
      <c r="C324" s="141" t="str">
        <f t="shared" si="1"/>
        <v>9-2024</v>
      </c>
      <c r="D324" s="28">
        <v>2699.8</v>
      </c>
      <c r="E324" s="28">
        <v>2706.0</v>
      </c>
      <c r="F324" s="54">
        <f t="shared" si="22"/>
        <v>6.2</v>
      </c>
      <c r="G324" s="54">
        <f t="shared" si="23"/>
        <v>-3.8</v>
      </c>
    </row>
    <row r="325" ht="14.25" customHeight="1">
      <c r="B325" s="145">
        <v>45550.0</v>
      </c>
      <c r="C325" s="141" t="str">
        <f t="shared" si="1"/>
        <v>9-2024</v>
      </c>
      <c r="F325" s="54">
        <f t="shared" si="22"/>
        <v>0</v>
      </c>
      <c r="G325" s="54">
        <f t="shared" si="23"/>
        <v>-10</v>
      </c>
    </row>
    <row r="326" ht="14.25" customHeight="1">
      <c r="B326" s="140">
        <v>45551.0</v>
      </c>
      <c r="C326" s="141" t="str">
        <f t="shared" si="1"/>
        <v>9-2024</v>
      </c>
      <c r="D326" s="28">
        <v>900.6</v>
      </c>
      <c r="E326" s="28">
        <v>908.8</v>
      </c>
      <c r="F326" s="54">
        <f t="shared" si="22"/>
        <v>8.2</v>
      </c>
      <c r="G326" s="54">
        <f t="shared" si="23"/>
        <v>-1.8</v>
      </c>
    </row>
    <row r="327" ht="14.25" customHeight="1">
      <c r="B327" s="140">
        <v>45552.0</v>
      </c>
      <c r="C327" s="141" t="str">
        <f t="shared" si="1"/>
        <v>9-2024</v>
      </c>
      <c r="D327" s="165">
        <f t="shared" ref="D327:D331" si="34">E326</f>
        <v>908.8</v>
      </c>
      <c r="E327" s="28">
        <v>916.3</v>
      </c>
      <c r="F327" s="54">
        <f t="shared" si="22"/>
        <v>7.5</v>
      </c>
      <c r="G327" s="54">
        <f t="shared" si="23"/>
        <v>-2.5</v>
      </c>
    </row>
    <row r="328" ht="14.25" customHeight="1">
      <c r="B328" s="140">
        <v>45553.0</v>
      </c>
      <c r="C328" s="141" t="str">
        <f t="shared" si="1"/>
        <v>9-2024</v>
      </c>
      <c r="D328" s="165">
        <f t="shared" si="34"/>
        <v>916.3</v>
      </c>
      <c r="E328" s="28">
        <v>925.1</v>
      </c>
      <c r="F328" s="54">
        <f t="shared" si="22"/>
        <v>8.8</v>
      </c>
      <c r="G328" s="54">
        <f t="shared" si="23"/>
        <v>-1.2</v>
      </c>
    </row>
    <row r="329" ht="14.25" customHeight="1">
      <c r="B329" s="140">
        <v>45554.0</v>
      </c>
      <c r="C329" s="141" t="str">
        <f t="shared" si="1"/>
        <v>9-2024</v>
      </c>
      <c r="D329" s="165">
        <f t="shared" si="34"/>
        <v>925.1</v>
      </c>
      <c r="E329" s="28">
        <v>933.9</v>
      </c>
      <c r="F329" s="54">
        <f t="shared" si="22"/>
        <v>8.8</v>
      </c>
      <c r="G329" s="54">
        <f t="shared" si="23"/>
        <v>-1.2</v>
      </c>
    </row>
    <row r="330" ht="14.25" customHeight="1">
      <c r="B330" s="140">
        <v>45555.0</v>
      </c>
      <c r="C330" s="141" t="str">
        <f t="shared" si="1"/>
        <v>9-2024</v>
      </c>
      <c r="D330" s="165">
        <f t="shared" si="34"/>
        <v>933.9</v>
      </c>
      <c r="E330" s="28">
        <v>939.7</v>
      </c>
      <c r="F330" s="54">
        <f t="shared" si="22"/>
        <v>5.8</v>
      </c>
      <c r="G330" s="54">
        <f t="shared" si="23"/>
        <v>-4.2</v>
      </c>
    </row>
    <row r="331" ht="14.25" customHeight="1">
      <c r="B331" s="145">
        <v>45556.0</v>
      </c>
      <c r="C331" s="141" t="str">
        <f t="shared" si="1"/>
        <v>9-2024</v>
      </c>
      <c r="D331" s="165">
        <f t="shared" si="34"/>
        <v>939.7</v>
      </c>
      <c r="E331" s="28">
        <v>940.7</v>
      </c>
      <c r="F331" s="54">
        <f t="shared" si="22"/>
        <v>1</v>
      </c>
      <c r="G331" s="54">
        <f t="shared" si="23"/>
        <v>-9</v>
      </c>
      <c r="H331" s="28">
        <v>115.0</v>
      </c>
    </row>
    <row r="332" ht="14.25" customHeight="1">
      <c r="B332" s="145">
        <v>45557.0</v>
      </c>
      <c r="C332" s="141" t="str">
        <f t="shared" si="1"/>
        <v>9-2024</v>
      </c>
      <c r="F332" s="54">
        <f t="shared" si="22"/>
        <v>0</v>
      </c>
      <c r="G332" s="54">
        <f t="shared" si="23"/>
        <v>-10</v>
      </c>
    </row>
    <row r="333" ht="14.25" customHeight="1">
      <c r="B333" s="140">
        <v>45558.0</v>
      </c>
      <c r="C333" s="141" t="str">
        <f t="shared" si="1"/>
        <v>9-2024</v>
      </c>
      <c r="D333" s="165" t="str">
        <f>E332</f>
        <v/>
      </c>
      <c r="F333" s="54">
        <f t="shared" si="22"/>
        <v>0</v>
      </c>
      <c r="G333" s="54">
        <f t="shared" si="23"/>
        <v>-10</v>
      </c>
    </row>
    <row r="334" ht="14.25" customHeight="1">
      <c r="B334" s="140">
        <v>45559.0</v>
      </c>
      <c r="C334" s="141" t="str">
        <f t="shared" si="1"/>
        <v>9-2024</v>
      </c>
      <c r="D334" s="28">
        <v>940.7</v>
      </c>
      <c r="E334" s="28">
        <v>947.9</v>
      </c>
      <c r="F334" s="54">
        <f t="shared" si="22"/>
        <v>7.2</v>
      </c>
      <c r="G334" s="54">
        <f t="shared" si="23"/>
        <v>-2.8</v>
      </c>
    </row>
    <row r="335" ht="14.25" customHeight="1">
      <c r="B335" s="140">
        <v>45560.0</v>
      </c>
      <c r="C335" s="141" t="str">
        <f t="shared" si="1"/>
        <v>9-2024</v>
      </c>
      <c r="D335" s="165">
        <f t="shared" ref="D335:D338" si="35">E334</f>
        <v>947.9</v>
      </c>
      <c r="E335" s="28">
        <v>955.8</v>
      </c>
      <c r="F335" s="54">
        <f t="shared" si="22"/>
        <v>7.9</v>
      </c>
      <c r="G335" s="54">
        <f t="shared" si="23"/>
        <v>-2.1</v>
      </c>
    </row>
    <row r="336" ht="14.25" customHeight="1">
      <c r="B336" s="140">
        <v>45561.0</v>
      </c>
      <c r="C336" s="141" t="str">
        <f t="shared" si="1"/>
        <v>9-2024</v>
      </c>
      <c r="D336" s="165">
        <f t="shared" si="35"/>
        <v>955.8</v>
      </c>
      <c r="E336" s="28">
        <v>963.1</v>
      </c>
      <c r="F336" s="54">
        <f t="shared" si="22"/>
        <v>7.3</v>
      </c>
      <c r="G336" s="54">
        <f t="shared" si="23"/>
        <v>-2.7</v>
      </c>
    </row>
    <row r="337" ht="14.25" customHeight="1">
      <c r="B337" s="140">
        <v>45562.0</v>
      </c>
      <c r="C337" s="141" t="str">
        <f t="shared" si="1"/>
        <v>9-2024</v>
      </c>
      <c r="D337" s="165">
        <f t="shared" si="35"/>
        <v>963.1</v>
      </c>
      <c r="E337" s="28">
        <v>972.0</v>
      </c>
      <c r="F337" s="54">
        <f t="shared" si="22"/>
        <v>8.9</v>
      </c>
      <c r="G337" s="54">
        <f t="shared" si="23"/>
        <v>-1.1</v>
      </c>
    </row>
    <row r="338" ht="14.25" customHeight="1">
      <c r="B338" s="145">
        <v>45563.0</v>
      </c>
      <c r="C338" s="141" t="str">
        <f t="shared" si="1"/>
        <v>9-2024</v>
      </c>
      <c r="D338" s="165">
        <f t="shared" si="35"/>
        <v>972</v>
      </c>
      <c r="E338" s="28">
        <v>976.8</v>
      </c>
      <c r="F338" s="54">
        <f t="shared" si="22"/>
        <v>4.8</v>
      </c>
      <c r="G338" s="54">
        <f t="shared" si="23"/>
        <v>-5.2</v>
      </c>
      <c r="H338" s="28">
        <v>120.0</v>
      </c>
    </row>
    <row r="339" ht="14.25" customHeight="1">
      <c r="B339" s="145">
        <v>45564.0</v>
      </c>
      <c r="C339" s="141" t="str">
        <f t="shared" si="1"/>
        <v>9-2024</v>
      </c>
      <c r="F339" s="54">
        <f t="shared" si="22"/>
        <v>0</v>
      </c>
      <c r="G339" s="54">
        <f t="shared" si="23"/>
        <v>-10</v>
      </c>
    </row>
    <row r="340" ht="14.25" customHeight="1">
      <c r="B340" s="140">
        <v>45565.0</v>
      </c>
      <c r="C340" s="141" t="str">
        <f t="shared" si="1"/>
        <v>9-2024</v>
      </c>
      <c r="D340" s="28">
        <v>976.8</v>
      </c>
      <c r="E340" s="28">
        <v>980.0</v>
      </c>
      <c r="F340" s="54">
        <f t="shared" si="22"/>
        <v>3.2</v>
      </c>
      <c r="G340" s="54">
        <f t="shared" si="23"/>
        <v>-6.8</v>
      </c>
    </row>
    <row r="341" ht="14.25" customHeight="1">
      <c r="B341" s="140">
        <v>45566.0</v>
      </c>
      <c r="C341" s="141" t="str">
        <f t="shared" si="1"/>
        <v>10-2024</v>
      </c>
      <c r="F341" s="54">
        <f t="shared" si="22"/>
        <v>0</v>
      </c>
      <c r="G341" s="54">
        <f t="shared" si="23"/>
        <v>-10</v>
      </c>
      <c r="I341" s="28" t="s">
        <v>211</v>
      </c>
    </row>
    <row r="342" ht="14.25" customHeight="1">
      <c r="B342" s="140">
        <v>45567.0</v>
      </c>
      <c r="C342" s="141" t="str">
        <f t="shared" si="1"/>
        <v>10-2024</v>
      </c>
      <c r="D342" s="28">
        <v>980.0</v>
      </c>
      <c r="E342" s="28">
        <v>985.0</v>
      </c>
      <c r="F342" s="54">
        <f t="shared" si="22"/>
        <v>5</v>
      </c>
      <c r="G342" s="54">
        <f t="shared" si="23"/>
        <v>-5</v>
      </c>
    </row>
    <row r="343" ht="14.25" customHeight="1">
      <c r="B343" s="140">
        <v>45568.0</v>
      </c>
      <c r="C343" s="141" t="str">
        <f t="shared" si="1"/>
        <v>10-2024</v>
      </c>
      <c r="D343" s="165">
        <f t="shared" ref="D343:D344" si="36">E342</f>
        <v>985</v>
      </c>
      <c r="E343" s="28">
        <v>989.2</v>
      </c>
      <c r="F343" s="54">
        <f t="shared" si="22"/>
        <v>4.2</v>
      </c>
      <c r="G343" s="54">
        <f t="shared" si="23"/>
        <v>-5.8</v>
      </c>
      <c r="H343" s="28">
        <v>50.0</v>
      </c>
    </row>
    <row r="344" ht="14.25" customHeight="1">
      <c r="B344" s="140">
        <v>45569.0</v>
      </c>
      <c r="C344" s="141" t="str">
        <f t="shared" si="1"/>
        <v>10-2024</v>
      </c>
      <c r="D344" s="165">
        <f t="shared" si="36"/>
        <v>989.2</v>
      </c>
      <c r="E344" s="28">
        <v>1000.1</v>
      </c>
      <c r="F344" s="54">
        <f t="shared" si="22"/>
        <v>10.9</v>
      </c>
      <c r="G344" s="54">
        <f t="shared" si="23"/>
        <v>0.9</v>
      </c>
    </row>
    <row r="345" ht="14.25" customHeight="1">
      <c r="B345" s="145">
        <v>45570.0</v>
      </c>
      <c r="C345" s="141" t="str">
        <f t="shared" si="1"/>
        <v>10-2024</v>
      </c>
      <c r="F345" s="54">
        <f t="shared" si="22"/>
        <v>0</v>
      </c>
      <c r="G345" s="54">
        <f t="shared" si="23"/>
        <v>-10</v>
      </c>
    </row>
    <row r="346" ht="14.25" customHeight="1">
      <c r="B346" s="145">
        <v>45571.0</v>
      </c>
      <c r="C346" s="141" t="str">
        <f t="shared" si="1"/>
        <v>10-2024</v>
      </c>
      <c r="D346" s="165" t="str">
        <f>E345</f>
        <v/>
      </c>
      <c r="F346" s="54">
        <f t="shared" si="22"/>
        <v>0</v>
      </c>
      <c r="G346" s="54">
        <f t="shared" si="23"/>
        <v>-10</v>
      </c>
    </row>
    <row r="347" ht="14.25" customHeight="1">
      <c r="B347" s="140">
        <v>45572.0</v>
      </c>
      <c r="C347" s="141" t="str">
        <f t="shared" si="1"/>
        <v>10-2024</v>
      </c>
      <c r="D347" s="28">
        <v>1000.1</v>
      </c>
      <c r="E347" s="28">
        <v>1008.0</v>
      </c>
      <c r="F347" s="54">
        <f t="shared" si="22"/>
        <v>7.9</v>
      </c>
      <c r="G347" s="54">
        <f t="shared" si="23"/>
        <v>-2.1</v>
      </c>
    </row>
    <row r="348" ht="14.25" customHeight="1">
      <c r="B348" s="140">
        <v>45573.0</v>
      </c>
      <c r="C348" s="141" t="str">
        <f t="shared" si="1"/>
        <v>10-2024</v>
      </c>
      <c r="D348" s="165">
        <f t="shared" ref="D348:D350" si="37">E347</f>
        <v>1008</v>
      </c>
      <c r="E348" s="28">
        <v>1015.0</v>
      </c>
      <c r="F348" s="54">
        <f t="shared" si="22"/>
        <v>7</v>
      </c>
      <c r="G348" s="54">
        <f t="shared" si="23"/>
        <v>-3</v>
      </c>
      <c r="H348" s="28">
        <v>100.0</v>
      </c>
    </row>
    <row r="349" ht="14.25" customHeight="1">
      <c r="B349" s="140">
        <v>45574.0</v>
      </c>
      <c r="C349" s="141" t="str">
        <f t="shared" si="1"/>
        <v>10-2024</v>
      </c>
      <c r="D349" s="165">
        <f t="shared" si="37"/>
        <v>1015</v>
      </c>
      <c r="E349" s="28">
        <v>1018.0</v>
      </c>
      <c r="F349" s="54">
        <f t="shared" si="22"/>
        <v>3</v>
      </c>
      <c r="G349" s="54">
        <f t="shared" si="23"/>
        <v>-7</v>
      </c>
    </row>
    <row r="350" ht="14.25" customHeight="1">
      <c r="B350" s="140">
        <v>45575.0</v>
      </c>
      <c r="C350" s="141" t="str">
        <f t="shared" si="1"/>
        <v>10-2024</v>
      </c>
      <c r="D350" s="165">
        <f t="shared" si="37"/>
        <v>1018</v>
      </c>
      <c r="E350" s="28">
        <v>1021.0</v>
      </c>
      <c r="F350" s="54">
        <f t="shared" si="22"/>
        <v>3</v>
      </c>
      <c r="G350" s="54">
        <f t="shared" si="23"/>
        <v>-7</v>
      </c>
      <c r="H350" s="28">
        <v>115.0</v>
      </c>
    </row>
    <row r="351" ht="14.25" customHeight="1">
      <c r="B351" s="140">
        <v>45576.0</v>
      </c>
      <c r="C351" s="141" t="str">
        <f t="shared" si="1"/>
        <v>10-2024</v>
      </c>
      <c r="F351" s="54">
        <f t="shared" si="22"/>
        <v>0</v>
      </c>
      <c r="G351" s="54">
        <f t="shared" si="23"/>
        <v>-10</v>
      </c>
    </row>
    <row r="352" ht="14.25" customHeight="1">
      <c r="B352" s="145">
        <v>45577.0</v>
      </c>
      <c r="C352" s="141" t="str">
        <f t="shared" si="1"/>
        <v>10-2024</v>
      </c>
      <c r="D352" s="165" t="str">
        <f>E351</f>
        <v/>
      </c>
      <c r="F352" s="54">
        <f t="shared" si="22"/>
        <v>0</v>
      </c>
      <c r="G352" s="54">
        <f t="shared" si="23"/>
        <v>-10</v>
      </c>
    </row>
    <row r="353" ht="14.25" customHeight="1">
      <c r="B353" s="145">
        <v>45578.0</v>
      </c>
      <c r="C353" s="141" t="str">
        <f t="shared" si="1"/>
        <v>10-2024</v>
      </c>
      <c r="D353" s="28">
        <v>1021.0</v>
      </c>
      <c r="E353" s="28">
        <v>1023.6</v>
      </c>
      <c r="F353" s="54">
        <f t="shared" si="22"/>
        <v>2.6</v>
      </c>
      <c r="G353" s="54">
        <f t="shared" si="23"/>
        <v>-7.4</v>
      </c>
    </row>
    <row r="354" ht="14.25" customHeight="1">
      <c r="B354" s="140">
        <v>45579.0</v>
      </c>
      <c r="C354" s="141" t="str">
        <f t="shared" si="1"/>
        <v>10-2024</v>
      </c>
      <c r="D354" s="165">
        <f t="shared" ref="D354:D358" si="38">E353</f>
        <v>1023.6</v>
      </c>
      <c r="E354" s="28">
        <v>1027.0</v>
      </c>
      <c r="F354" s="54">
        <f t="shared" si="22"/>
        <v>3.4</v>
      </c>
      <c r="G354" s="54">
        <f t="shared" si="23"/>
        <v>-6.6</v>
      </c>
    </row>
    <row r="355" ht="14.25" customHeight="1">
      <c r="B355" s="140">
        <v>45580.0</v>
      </c>
      <c r="C355" s="141" t="str">
        <f t="shared" si="1"/>
        <v>10-2024</v>
      </c>
      <c r="D355" s="165">
        <f t="shared" si="38"/>
        <v>1027</v>
      </c>
      <c r="E355" s="28">
        <v>1034.0</v>
      </c>
      <c r="F355" s="54">
        <f t="shared" si="22"/>
        <v>7</v>
      </c>
      <c r="G355" s="54">
        <f t="shared" si="23"/>
        <v>-3</v>
      </c>
    </row>
    <row r="356" ht="14.25" customHeight="1">
      <c r="B356" s="140">
        <v>45581.0</v>
      </c>
      <c r="C356" s="141" t="str">
        <f t="shared" si="1"/>
        <v>10-2024</v>
      </c>
      <c r="D356" s="165">
        <f t="shared" si="38"/>
        <v>1034</v>
      </c>
      <c r="E356" s="28">
        <v>1040.0</v>
      </c>
      <c r="F356" s="54">
        <f t="shared" si="22"/>
        <v>6</v>
      </c>
      <c r="G356" s="54">
        <f t="shared" si="23"/>
        <v>-4</v>
      </c>
      <c r="H356" s="28">
        <v>100.0</v>
      </c>
    </row>
    <row r="357" ht="14.25" customHeight="1">
      <c r="B357" s="140">
        <v>45582.0</v>
      </c>
      <c r="C357" s="141" t="str">
        <f t="shared" si="1"/>
        <v>10-2024</v>
      </c>
      <c r="D357" s="165">
        <f t="shared" si="38"/>
        <v>1040</v>
      </c>
      <c r="E357" s="28">
        <v>1046.1</v>
      </c>
      <c r="F357" s="54">
        <f t="shared" si="22"/>
        <v>6.1</v>
      </c>
      <c r="G357" s="54">
        <f t="shared" si="23"/>
        <v>-3.9</v>
      </c>
    </row>
    <row r="358" ht="14.25" customHeight="1">
      <c r="B358" s="140">
        <v>45583.0</v>
      </c>
      <c r="C358" s="141" t="str">
        <f t="shared" si="1"/>
        <v>10-2024</v>
      </c>
      <c r="D358" s="165">
        <f t="shared" si="38"/>
        <v>1046.1</v>
      </c>
      <c r="E358" s="28">
        <v>1055.9</v>
      </c>
      <c r="F358" s="54">
        <f t="shared" si="22"/>
        <v>9.8</v>
      </c>
      <c r="G358" s="54">
        <f t="shared" si="23"/>
        <v>-0.2</v>
      </c>
      <c r="H358" s="28">
        <v>120.0</v>
      </c>
    </row>
    <row r="359" ht="14.25" customHeight="1">
      <c r="B359" s="145">
        <v>45584.0</v>
      </c>
      <c r="C359" s="141" t="str">
        <f t="shared" si="1"/>
        <v>10-2024</v>
      </c>
      <c r="F359" s="54">
        <f t="shared" si="22"/>
        <v>0</v>
      </c>
      <c r="G359" s="54">
        <f t="shared" si="23"/>
        <v>-10</v>
      </c>
    </row>
    <row r="360" ht="14.25" customHeight="1">
      <c r="B360" s="145">
        <v>45585.0</v>
      </c>
      <c r="C360" s="141" t="str">
        <f t="shared" si="1"/>
        <v>10-2024</v>
      </c>
      <c r="D360" s="165" t="str">
        <f t="shared" ref="D360:D366" si="39">E359</f>
        <v/>
      </c>
      <c r="F360" s="54">
        <f t="shared" si="22"/>
        <v>0</v>
      </c>
      <c r="G360" s="54">
        <f t="shared" si="23"/>
        <v>-10</v>
      </c>
    </row>
    <row r="361" ht="14.25" customHeight="1">
      <c r="B361" s="140">
        <v>45586.0</v>
      </c>
      <c r="C361" s="141" t="str">
        <f t="shared" si="1"/>
        <v>10-2024</v>
      </c>
      <c r="D361" s="165" t="str">
        <f t="shared" si="39"/>
        <v/>
      </c>
      <c r="F361" s="54">
        <f t="shared" si="22"/>
        <v>0</v>
      </c>
      <c r="G361" s="54">
        <f t="shared" si="23"/>
        <v>-10</v>
      </c>
    </row>
    <row r="362" ht="14.25" customHeight="1">
      <c r="B362" s="140">
        <v>45587.0</v>
      </c>
      <c r="C362" s="141" t="str">
        <f t="shared" si="1"/>
        <v>10-2024</v>
      </c>
      <c r="D362" s="165" t="str">
        <f t="shared" si="39"/>
        <v/>
      </c>
      <c r="F362" s="54">
        <f t="shared" si="22"/>
        <v>0</v>
      </c>
      <c r="G362" s="54">
        <f t="shared" si="23"/>
        <v>-10</v>
      </c>
    </row>
    <row r="363" ht="14.25" customHeight="1">
      <c r="B363" s="140">
        <v>45588.0</v>
      </c>
      <c r="C363" s="141" t="str">
        <f t="shared" si="1"/>
        <v>10-2024</v>
      </c>
      <c r="D363" s="165" t="str">
        <f t="shared" si="39"/>
        <v/>
      </c>
      <c r="F363" s="54">
        <f t="shared" si="22"/>
        <v>0</v>
      </c>
      <c r="G363" s="54">
        <f t="shared" si="23"/>
        <v>-10</v>
      </c>
    </row>
    <row r="364" ht="14.25" customHeight="1">
      <c r="B364" s="140">
        <v>45589.0</v>
      </c>
      <c r="C364" s="141" t="str">
        <f t="shared" si="1"/>
        <v>10-2024</v>
      </c>
      <c r="D364" s="165" t="str">
        <f t="shared" si="39"/>
        <v/>
      </c>
      <c r="F364" s="54">
        <f t="shared" si="22"/>
        <v>0</v>
      </c>
      <c r="G364" s="54">
        <f t="shared" si="23"/>
        <v>-10</v>
      </c>
    </row>
    <row r="365" ht="14.25" customHeight="1">
      <c r="B365" s="140">
        <v>45590.0</v>
      </c>
      <c r="C365" s="141" t="str">
        <f t="shared" si="1"/>
        <v>10-2024</v>
      </c>
      <c r="D365" s="165" t="str">
        <f t="shared" si="39"/>
        <v/>
      </c>
      <c r="F365" s="54">
        <f t="shared" si="22"/>
        <v>0</v>
      </c>
      <c r="G365" s="54">
        <f t="shared" si="23"/>
        <v>-10</v>
      </c>
    </row>
    <row r="366" ht="14.25" customHeight="1">
      <c r="B366" s="145">
        <v>45591.0</v>
      </c>
      <c r="C366" s="141" t="str">
        <f t="shared" si="1"/>
        <v>10-2024</v>
      </c>
      <c r="D366" s="165" t="str">
        <f t="shared" si="39"/>
        <v/>
      </c>
      <c r="F366" s="54">
        <f t="shared" si="22"/>
        <v>0</v>
      </c>
      <c r="G366" s="54">
        <f t="shared" si="23"/>
        <v>-10</v>
      </c>
    </row>
    <row r="367" ht="14.25" customHeight="1">
      <c r="B367" s="145">
        <v>45592.0</v>
      </c>
      <c r="C367" s="141" t="str">
        <f t="shared" si="1"/>
        <v>10-2024</v>
      </c>
      <c r="D367" s="28">
        <v>1055.9</v>
      </c>
      <c r="E367" s="28">
        <v>1058.8</v>
      </c>
      <c r="F367" s="54">
        <f t="shared" si="22"/>
        <v>2.9</v>
      </c>
      <c r="G367" s="54">
        <f t="shared" si="23"/>
        <v>-7.1</v>
      </c>
    </row>
    <row r="368" ht="14.25" customHeight="1">
      <c r="B368" s="164">
        <v>45593.0</v>
      </c>
      <c r="C368" s="141" t="str">
        <f t="shared" si="1"/>
        <v>10-2024</v>
      </c>
      <c r="D368" s="165">
        <f t="shared" ref="D368:D371" si="40">E367</f>
        <v>1058.8</v>
      </c>
      <c r="E368" s="28">
        <v>1063.8</v>
      </c>
      <c r="F368" s="54">
        <f t="shared" si="22"/>
        <v>5</v>
      </c>
      <c r="G368" s="54">
        <f t="shared" si="23"/>
        <v>-5</v>
      </c>
    </row>
    <row r="369" ht="14.25" customHeight="1">
      <c r="B369" s="164">
        <v>45594.0</v>
      </c>
      <c r="C369" s="141" t="str">
        <f t="shared" si="1"/>
        <v>10-2024</v>
      </c>
      <c r="D369" s="165">
        <f t="shared" si="40"/>
        <v>1063.8</v>
      </c>
      <c r="E369" s="28">
        <v>1072.8</v>
      </c>
      <c r="F369" s="54">
        <f t="shared" si="22"/>
        <v>9</v>
      </c>
      <c r="G369" s="54">
        <f t="shared" si="23"/>
        <v>-1</v>
      </c>
      <c r="H369" s="28">
        <v>223.0</v>
      </c>
    </row>
    <row r="370" ht="14.25" customHeight="1">
      <c r="B370" s="164">
        <v>45595.0</v>
      </c>
      <c r="C370" s="141" t="str">
        <f t="shared" si="1"/>
        <v>10-2024</v>
      </c>
      <c r="D370" s="165">
        <f t="shared" si="40"/>
        <v>1072.8</v>
      </c>
      <c r="E370" s="28">
        <v>1082.1</v>
      </c>
      <c r="F370" s="54">
        <f t="shared" si="22"/>
        <v>9.3</v>
      </c>
      <c r="G370" s="54">
        <f t="shared" si="23"/>
        <v>-0.7</v>
      </c>
    </row>
    <row r="371" ht="14.25" customHeight="1">
      <c r="B371" s="164">
        <v>45596.0</v>
      </c>
      <c r="C371" s="141" t="str">
        <f t="shared" si="1"/>
        <v>10-2024</v>
      </c>
      <c r="D371" s="165">
        <f t="shared" si="40"/>
        <v>1082.1</v>
      </c>
      <c r="E371" s="28">
        <v>1090.6</v>
      </c>
      <c r="F371" s="54">
        <f t="shared" si="22"/>
        <v>8.5</v>
      </c>
      <c r="G371" s="54">
        <f t="shared" si="23"/>
        <v>-1.5</v>
      </c>
      <c r="H371" s="28">
        <v>100.0</v>
      </c>
    </row>
    <row r="372" ht="14.25" customHeight="1">
      <c r="B372" s="140">
        <v>45597.0</v>
      </c>
      <c r="C372" s="141" t="str">
        <f t="shared" si="1"/>
        <v>11-2024</v>
      </c>
      <c r="D372" s="28">
        <v>1090.6</v>
      </c>
      <c r="E372" s="28">
        <v>1097.0</v>
      </c>
      <c r="F372" s="54">
        <f t="shared" si="22"/>
        <v>6.4</v>
      </c>
      <c r="G372" s="54">
        <f t="shared" si="23"/>
        <v>-3.6</v>
      </c>
    </row>
    <row r="373" ht="14.25" customHeight="1">
      <c r="B373" s="145">
        <v>45598.0</v>
      </c>
      <c r="C373" s="148" t="str">
        <f t="shared" si="1"/>
        <v>11-2024</v>
      </c>
      <c r="D373" s="165">
        <f t="shared" ref="D373:D379" si="41">E372</f>
        <v>1097</v>
      </c>
      <c r="E373" s="28">
        <v>1106.0</v>
      </c>
      <c r="F373" s="54">
        <f t="shared" si="22"/>
        <v>9</v>
      </c>
      <c r="G373" s="54">
        <f t="shared" si="23"/>
        <v>-1</v>
      </c>
    </row>
    <row r="374" ht="14.25" customHeight="1">
      <c r="B374" s="145">
        <v>45599.0</v>
      </c>
      <c r="C374" s="141" t="str">
        <f t="shared" si="1"/>
        <v>11-2024</v>
      </c>
      <c r="D374" s="165">
        <f t="shared" si="41"/>
        <v>1106</v>
      </c>
      <c r="E374" s="28">
        <v>1112.7</v>
      </c>
      <c r="F374" s="54">
        <f t="shared" si="22"/>
        <v>6.7</v>
      </c>
      <c r="G374" s="54">
        <f t="shared" si="23"/>
        <v>-3.3</v>
      </c>
    </row>
    <row r="375" ht="14.25" customHeight="1">
      <c r="B375" s="140">
        <v>45600.0</v>
      </c>
      <c r="C375" s="141" t="str">
        <f t="shared" si="1"/>
        <v>11-2024</v>
      </c>
      <c r="D375" s="165">
        <f t="shared" si="41"/>
        <v>1112.7</v>
      </c>
      <c r="E375" s="28">
        <v>1122.7</v>
      </c>
      <c r="F375" s="54">
        <f t="shared" si="22"/>
        <v>10</v>
      </c>
      <c r="G375" s="54">
        <f t="shared" si="23"/>
        <v>0</v>
      </c>
    </row>
    <row r="376" ht="14.25" customHeight="1">
      <c r="B376" s="140">
        <v>45601.0</v>
      </c>
      <c r="C376" s="141" t="str">
        <f t="shared" si="1"/>
        <v>11-2024</v>
      </c>
      <c r="D376" s="165">
        <f t="shared" si="41"/>
        <v>1122.7</v>
      </c>
      <c r="E376" s="28">
        <v>1132.0</v>
      </c>
      <c r="F376" s="54">
        <f t="shared" si="22"/>
        <v>9.3</v>
      </c>
      <c r="G376" s="54">
        <f t="shared" si="23"/>
        <v>-0.7</v>
      </c>
    </row>
    <row r="377" ht="14.25" customHeight="1">
      <c r="B377" s="140">
        <v>45602.0</v>
      </c>
      <c r="C377" s="141" t="str">
        <f t="shared" si="1"/>
        <v>11-2024</v>
      </c>
      <c r="D377" s="165">
        <f t="shared" si="41"/>
        <v>1132</v>
      </c>
      <c r="E377" s="28">
        <v>1141.0</v>
      </c>
      <c r="F377" s="54">
        <f t="shared" si="22"/>
        <v>9</v>
      </c>
      <c r="G377" s="54">
        <f t="shared" si="23"/>
        <v>-1</v>
      </c>
    </row>
    <row r="378" ht="14.25" customHeight="1">
      <c r="B378" s="140">
        <v>45603.0</v>
      </c>
      <c r="C378" s="141" t="str">
        <f t="shared" si="1"/>
        <v>11-2024</v>
      </c>
      <c r="D378" s="165">
        <f t="shared" si="41"/>
        <v>1141</v>
      </c>
      <c r="E378" s="28">
        <v>1151.0</v>
      </c>
      <c r="F378" s="54">
        <f t="shared" si="22"/>
        <v>10</v>
      </c>
      <c r="G378" s="54">
        <f t="shared" si="23"/>
        <v>0</v>
      </c>
    </row>
    <row r="379" ht="14.25" customHeight="1">
      <c r="B379" s="140">
        <v>45604.0</v>
      </c>
      <c r="C379" s="141" t="str">
        <f t="shared" si="1"/>
        <v>11-2024</v>
      </c>
      <c r="D379" s="165">
        <f t="shared" si="41"/>
        <v>1151</v>
      </c>
      <c r="E379" s="28">
        <v>1157.2</v>
      </c>
      <c r="F379" s="54">
        <f t="shared" si="22"/>
        <v>6.2</v>
      </c>
      <c r="G379" s="54">
        <f t="shared" si="23"/>
        <v>-3.8</v>
      </c>
    </row>
    <row r="380" ht="14.25" customHeight="1">
      <c r="B380" s="145">
        <v>45605.0</v>
      </c>
      <c r="C380" s="141" t="str">
        <f t="shared" si="1"/>
        <v>11-2024</v>
      </c>
      <c r="F380" s="54">
        <f t="shared" si="22"/>
        <v>0</v>
      </c>
      <c r="G380" s="54">
        <f t="shared" si="23"/>
        <v>-10</v>
      </c>
    </row>
    <row r="381" ht="14.25" customHeight="1">
      <c r="B381" s="145">
        <v>45606.0</v>
      </c>
      <c r="C381" s="141" t="str">
        <f t="shared" si="1"/>
        <v>11-2024</v>
      </c>
      <c r="D381" s="28">
        <v>1157.2</v>
      </c>
      <c r="E381" s="28">
        <v>1160.0</v>
      </c>
      <c r="F381" s="54">
        <f t="shared" si="22"/>
        <v>2.8</v>
      </c>
      <c r="G381" s="54">
        <f t="shared" si="23"/>
        <v>-7.2</v>
      </c>
    </row>
    <row r="382" ht="14.25" customHeight="1">
      <c r="B382" s="140">
        <v>45607.0</v>
      </c>
      <c r="C382" s="141" t="str">
        <f t="shared" si="1"/>
        <v>11-2024</v>
      </c>
      <c r="D382" s="165">
        <f t="shared" ref="D382:D383" si="42">E381</f>
        <v>1160</v>
      </c>
      <c r="E382" s="28">
        <v>1168.0</v>
      </c>
      <c r="F382" s="54">
        <f t="shared" si="22"/>
        <v>8</v>
      </c>
      <c r="G382" s="54">
        <f t="shared" si="23"/>
        <v>-2</v>
      </c>
    </row>
    <row r="383" ht="14.25" customHeight="1">
      <c r="B383" s="140">
        <v>45608.0</v>
      </c>
      <c r="C383" s="141" t="str">
        <f t="shared" si="1"/>
        <v>11-2024</v>
      </c>
      <c r="D383" s="165">
        <f t="shared" si="42"/>
        <v>1168</v>
      </c>
      <c r="E383" s="28">
        <v>1175.1</v>
      </c>
      <c r="F383" s="54">
        <f t="shared" si="22"/>
        <v>7.1</v>
      </c>
      <c r="G383" s="54">
        <f t="shared" si="23"/>
        <v>-2.9</v>
      </c>
    </row>
    <row r="384" ht="14.25" customHeight="1">
      <c r="B384" s="140">
        <v>45609.0</v>
      </c>
      <c r="C384" s="141" t="str">
        <f t="shared" si="1"/>
        <v>11-2024</v>
      </c>
      <c r="D384" s="28">
        <v>1175.1</v>
      </c>
      <c r="E384" s="28">
        <v>1177.9</v>
      </c>
      <c r="F384" s="54">
        <f t="shared" si="22"/>
        <v>2.8</v>
      </c>
      <c r="G384" s="54">
        <f t="shared" si="23"/>
        <v>-7.2</v>
      </c>
    </row>
    <row r="385" ht="14.25" customHeight="1">
      <c r="B385" s="140">
        <v>45610.0</v>
      </c>
      <c r="C385" s="141" t="str">
        <f t="shared" si="1"/>
        <v>11-2024</v>
      </c>
      <c r="F385" s="54">
        <f t="shared" si="22"/>
        <v>0</v>
      </c>
      <c r="G385" s="54">
        <f t="shared" si="23"/>
        <v>-10</v>
      </c>
    </row>
    <row r="386" ht="14.25" customHeight="1">
      <c r="B386" s="140">
        <v>45611.0</v>
      </c>
      <c r="C386" s="148" t="str">
        <f t="shared" si="1"/>
        <v>11-2024</v>
      </c>
      <c r="D386" s="28">
        <v>1177.9</v>
      </c>
      <c r="E386" s="28">
        <v>1186.2</v>
      </c>
      <c r="F386" s="54">
        <f t="shared" si="22"/>
        <v>8.3</v>
      </c>
      <c r="G386" s="54">
        <f t="shared" si="23"/>
        <v>-1.7</v>
      </c>
    </row>
    <row r="387" ht="14.25" customHeight="1">
      <c r="B387" s="145">
        <v>45612.0</v>
      </c>
      <c r="C387" s="141" t="str">
        <f t="shared" si="1"/>
        <v>11-2024</v>
      </c>
      <c r="F387" s="54">
        <f t="shared" si="22"/>
        <v>0</v>
      </c>
      <c r="G387" s="54">
        <f t="shared" si="23"/>
        <v>-10</v>
      </c>
    </row>
    <row r="388" ht="14.25" customHeight="1">
      <c r="B388" s="145">
        <v>45613.0</v>
      </c>
      <c r="C388" s="141" t="str">
        <f t="shared" si="1"/>
        <v>11-2024</v>
      </c>
      <c r="D388" s="165" t="str">
        <f>E387</f>
        <v/>
      </c>
      <c r="F388" s="54">
        <f t="shared" si="22"/>
        <v>0</v>
      </c>
      <c r="G388" s="54">
        <f t="shared" si="23"/>
        <v>-10</v>
      </c>
    </row>
    <row r="389" ht="14.25" customHeight="1">
      <c r="B389" s="140">
        <v>45614.0</v>
      </c>
      <c r="C389" s="141" t="str">
        <f t="shared" si="1"/>
        <v>11-2024</v>
      </c>
      <c r="D389" s="28">
        <v>1186.2</v>
      </c>
      <c r="E389" s="28">
        <v>1196.0</v>
      </c>
      <c r="F389" s="54">
        <f t="shared" si="22"/>
        <v>9.8</v>
      </c>
      <c r="G389" s="54">
        <f t="shared" si="23"/>
        <v>-0.2</v>
      </c>
    </row>
    <row r="390" ht="14.25" customHeight="1">
      <c r="B390" s="140">
        <v>45615.0</v>
      </c>
      <c r="C390" s="141" t="str">
        <f t="shared" si="1"/>
        <v>11-2024</v>
      </c>
      <c r="D390" s="165">
        <f t="shared" ref="D390:D393" si="43">E389</f>
        <v>1196</v>
      </c>
      <c r="E390" s="28">
        <v>1199.4</v>
      </c>
      <c r="F390" s="54">
        <f t="shared" si="22"/>
        <v>3.4</v>
      </c>
      <c r="G390" s="54">
        <f t="shared" si="23"/>
        <v>-6.6</v>
      </c>
    </row>
    <row r="391" ht="14.25" customHeight="1">
      <c r="B391" s="140">
        <v>45616.0</v>
      </c>
      <c r="C391" s="148" t="str">
        <f t="shared" si="1"/>
        <v>11-2024</v>
      </c>
      <c r="D391" s="165">
        <f t="shared" si="43"/>
        <v>1199.4</v>
      </c>
      <c r="E391" s="28">
        <v>1200.0</v>
      </c>
      <c r="F391" s="54">
        <f t="shared" si="22"/>
        <v>0.6</v>
      </c>
      <c r="G391" s="54">
        <f t="shared" si="23"/>
        <v>-9.4</v>
      </c>
    </row>
    <row r="392" ht="14.25" customHeight="1">
      <c r="B392" s="140">
        <v>45617.0</v>
      </c>
      <c r="C392" s="141" t="str">
        <f t="shared" si="1"/>
        <v>11-2024</v>
      </c>
      <c r="D392" s="165">
        <f t="shared" si="43"/>
        <v>1200</v>
      </c>
      <c r="E392" s="28">
        <v>1206.4</v>
      </c>
      <c r="F392" s="54">
        <f t="shared" si="22"/>
        <v>6.4</v>
      </c>
      <c r="G392" s="54">
        <f t="shared" si="23"/>
        <v>-3.6</v>
      </c>
    </row>
    <row r="393" ht="14.25" customHeight="1">
      <c r="B393" s="140">
        <v>45618.0</v>
      </c>
      <c r="C393" s="141" t="str">
        <f t="shared" si="1"/>
        <v>11-2024</v>
      </c>
      <c r="D393" s="165">
        <f t="shared" si="43"/>
        <v>1206.4</v>
      </c>
      <c r="E393" s="28">
        <v>1212.3</v>
      </c>
      <c r="F393" s="54">
        <f t="shared" si="22"/>
        <v>5.9</v>
      </c>
      <c r="G393" s="54">
        <f t="shared" si="23"/>
        <v>-4.1</v>
      </c>
    </row>
    <row r="394" ht="14.25" customHeight="1">
      <c r="B394" s="145">
        <v>45619.0</v>
      </c>
      <c r="C394" s="141" t="str">
        <f t="shared" si="1"/>
        <v>11-2024</v>
      </c>
      <c r="F394" s="54">
        <f t="shared" si="22"/>
        <v>0</v>
      </c>
      <c r="G394" s="54">
        <f t="shared" si="23"/>
        <v>-10</v>
      </c>
    </row>
    <row r="395" ht="14.25" customHeight="1">
      <c r="B395" s="145">
        <v>45620.0</v>
      </c>
      <c r="C395" s="141" t="str">
        <f t="shared" si="1"/>
        <v>11-2024</v>
      </c>
      <c r="D395" s="165" t="str">
        <f t="shared" ref="D395:D396" si="44">E394</f>
        <v/>
      </c>
      <c r="F395" s="54">
        <f t="shared" si="22"/>
        <v>0</v>
      </c>
      <c r="G395" s="54">
        <f t="shared" si="23"/>
        <v>-10</v>
      </c>
    </row>
    <row r="396" ht="14.25" customHeight="1">
      <c r="B396" s="140">
        <v>45621.0</v>
      </c>
      <c r="C396" s="141" t="str">
        <f t="shared" si="1"/>
        <v>11-2024</v>
      </c>
      <c r="D396" s="165" t="str">
        <f t="shared" si="44"/>
        <v/>
      </c>
      <c r="F396" s="54">
        <f t="shared" si="22"/>
        <v>0</v>
      </c>
      <c r="G396" s="54">
        <f t="shared" si="23"/>
        <v>-10</v>
      </c>
    </row>
    <row r="397" ht="14.25" customHeight="1">
      <c r="B397" s="140">
        <v>45622.0</v>
      </c>
      <c r="C397" s="141" t="str">
        <f t="shared" si="1"/>
        <v>11-2024</v>
      </c>
      <c r="D397" s="28">
        <v>1212.3</v>
      </c>
      <c r="E397" s="28">
        <v>1214.7</v>
      </c>
      <c r="F397" s="54">
        <f t="shared" si="22"/>
        <v>2.4</v>
      </c>
      <c r="G397" s="54">
        <f t="shared" si="23"/>
        <v>-7.6</v>
      </c>
    </row>
    <row r="398" ht="14.25" customHeight="1">
      <c r="B398" s="140">
        <v>45623.0</v>
      </c>
      <c r="C398" s="141" t="str">
        <f t="shared" si="1"/>
        <v>11-2024</v>
      </c>
      <c r="D398" s="165">
        <f t="shared" ref="D398:D400" si="45">E397</f>
        <v>1214.7</v>
      </c>
      <c r="E398" s="28">
        <v>1221.4</v>
      </c>
      <c r="F398" s="54">
        <f t="shared" si="22"/>
        <v>6.7</v>
      </c>
      <c r="G398" s="54">
        <f t="shared" si="23"/>
        <v>-3.3</v>
      </c>
    </row>
    <row r="399" ht="14.25" customHeight="1">
      <c r="B399" s="140">
        <v>45624.0</v>
      </c>
      <c r="C399" s="141" t="str">
        <f t="shared" si="1"/>
        <v>11-2024</v>
      </c>
      <c r="D399" s="165">
        <f t="shared" si="45"/>
        <v>1221.4</v>
      </c>
      <c r="E399" s="28">
        <v>1224.0</v>
      </c>
      <c r="F399" s="54">
        <f t="shared" si="22"/>
        <v>2.6</v>
      </c>
      <c r="G399" s="54">
        <f t="shared" si="23"/>
        <v>-7.4</v>
      </c>
    </row>
    <row r="400" ht="14.25" customHeight="1">
      <c r="B400" s="140">
        <v>45625.0</v>
      </c>
      <c r="C400" s="141" t="str">
        <f t="shared" si="1"/>
        <v>11-2024</v>
      </c>
      <c r="D400" s="165">
        <f t="shared" si="45"/>
        <v>1224</v>
      </c>
      <c r="E400" s="28">
        <v>1229.2</v>
      </c>
      <c r="F400" s="54">
        <f t="shared" si="22"/>
        <v>5.2</v>
      </c>
      <c r="G400" s="54">
        <f t="shared" si="23"/>
        <v>-4.8</v>
      </c>
    </row>
    <row r="401" ht="14.25" customHeight="1">
      <c r="B401" s="145">
        <v>45626.0</v>
      </c>
      <c r="C401" s="141" t="str">
        <f t="shared" si="1"/>
        <v>11-2024</v>
      </c>
      <c r="D401" s="28">
        <v>1229.2</v>
      </c>
      <c r="E401" s="28">
        <v>1234.1</v>
      </c>
      <c r="F401" s="54">
        <f t="shared" si="22"/>
        <v>4.9</v>
      </c>
      <c r="G401" s="54">
        <f t="shared" si="23"/>
        <v>-5.1</v>
      </c>
    </row>
    <row r="402" ht="14.25" customHeight="1">
      <c r="B402" s="145">
        <v>45627.0</v>
      </c>
      <c r="C402" s="141" t="str">
        <f t="shared" si="1"/>
        <v>12-2024</v>
      </c>
      <c r="F402" s="54">
        <f t="shared" si="22"/>
        <v>0</v>
      </c>
      <c r="G402" s="54">
        <f t="shared" si="23"/>
        <v>-10</v>
      </c>
    </row>
    <row r="403" ht="14.25" customHeight="1">
      <c r="B403" s="140">
        <v>45628.0</v>
      </c>
      <c r="C403" s="141" t="str">
        <f t="shared" si="1"/>
        <v>12-2024</v>
      </c>
      <c r="D403" s="28">
        <v>1234.1</v>
      </c>
      <c r="E403" s="28">
        <v>1239.0</v>
      </c>
      <c r="F403" s="54">
        <f t="shared" si="22"/>
        <v>4.9</v>
      </c>
      <c r="G403" s="54">
        <f t="shared" si="23"/>
        <v>-5.1</v>
      </c>
    </row>
    <row r="404" ht="14.25" customHeight="1">
      <c r="B404" s="140">
        <v>45629.0</v>
      </c>
      <c r="C404" s="141" t="str">
        <f t="shared" si="1"/>
        <v>12-2024</v>
      </c>
      <c r="D404" s="165">
        <f t="shared" ref="D404:D405" si="46">E403</f>
        <v>1239</v>
      </c>
      <c r="E404" s="28">
        <v>1245.0</v>
      </c>
      <c r="F404" s="54">
        <f t="shared" si="22"/>
        <v>6</v>
      </c>
      <c r="G404" s="54">
        <f t="shared" si="23"/>
        <v>-4</v>
      </c>
    </row>
    <row r="405" ht="14.25" customHeight="1">
      <c r="B405" s="140">
        <v>45630.0</v>
      </c>
      <c r="C405" s="141" t="str">
        <f t="shared" si="1"/>
        <v>12-2024</v>
      </c>
      <c r="D405" s="165">
        <f t="shared" si="46"/>
        <v>1245</v>
      </c>
      <c r="E405" s="28">
        <v>1245.0</v>
      </c>
      <c r="F405" s="54">
        <f t="shared" si="22"/>
        <v>0</v>
      </c>
      <c r="G405" s="54">
        <f t="shared" si="23"/>
        <v>-10</v>
      </c>
    </row>
    <row r="406" ht="14.25" customHeight="1">
      <c r="B406" s="140">
        <v>45631.0</v>
      </c>
      <c r="C406" s="141" t="str">
        <f t="shared" si="1"/>
        <v>12-2024</v>
      </c>
      <c r="F406" s="54">
        <f t="shared" si="22"/>
        <v>0</v>
      </c>
      <c r="G406" s="54">
        <f t="shared" si="23"/>
        <v>-10</v>
      </c>
    </row>
    <row r="407" ht="14.25" customHeight="1">
      <c r="B407" s="140">
        <v>45632.0</v>
      </c>
      <c r="C407" s="141" t="str">
        <f t="shared" si="1"/>
        <v>12-2024</v>
      </c>
      <c r="D407" s="165" t="str">
        <f t="shared" ref="D407:D410" si="47">E406</f>
        <v/>
      </c>
      <c r="F407" s="54">
        <f t="shared" si="22"/>
        <v>0</v>
      </c>
      <c r="G407" s="54">
        <f t="shared" si="23"/>
        <v>-10</v>
      </c>
    </row>
    <row r="408" ht="14.25" customHeight="1">
      <c r="B408" s="145">
        <v>45633.0</v>
      </c>
      <c r="C408" s="141" t="str">
        <f t="shared" si="1"/>
        <v>12-2024</v>
      </c>
      <c r="D408" s="165" t="str">
        <f t="shared" si="47"/>
        <v/>
      </c>
      <c r="F408" s="54">
        <f t="shared" si="22"/>
        <v>0</v>
      </c>
      <c r="G408" s="54">
        <f t="shared" si="23"/>
        <v>-10</v>
      </c>
    </row>
    <row r="409" ht="14.25" customHeight="1">
      <c r="B409" s="145">
        <v>45634.0</v>
      </c>
      <c r="C409" s="141" t="str">
        <f t="shared" si="1"/>
        <v>12-2024</v>
      </c>
      <c r="D409" s="165" t="str">
        <f t="shared" si="47"/>
        <v/>
      </c>
      <c r="F409" s="54">
        <f t="shared" si="22"/>
        <v>0</v>
      </c>
      <c r="G409" s="54">
        <f t="shared" si="23"/>
        <v>-10</v>
      </c>
    </row>
    <row r="410" ht="14.25" customHeight="1">
      <c r="B410" s="140">
        <v>45635.0</v>
      </c>
      <c r="C410" s="141" t="str">
        <f t="shared" si="1"/>
        <v>12-2024</v>
      </c>
      <c r="D410" s="165" t="str">
        <f t="shared" si="47"/>
        <v/>
      </c>
      <c r="F410" s="54">
        <f t="shared" si="22"/>
        <v>0</v>
      </c>
      <c r="G410" s="54">
        <f t="shared" si="23"/>
        <v>-10</v>
      </c>
    </row>
    <row r="411" ht="14.25" customHeight="1">
      <c r="B411" s="140">
        <v>45636.0</v>
      </c>
      <c r="C411" s="141" t="str">
        <f t="shared" si="1"/>
        <v>12-2024</v>
      </c>
      <c r="D411" s="28">
        <v>1245.0</v>
      </c>
      <c r="E411" s="28">
        <v>1251.1</v>
      </c>
      <c r="F411" s="54">
        <f t="shared" si="22"/>
        <v>6.1</v>
      </c>
      <c r="G411" s="54">
        <f t="shared" si="23"/>
        <v>-3.9</v>
      </c>
    </row>
    <row r="412" ht="14.25" customHeight="1">
      <c r="B412" s="140">
        <v>45637.0</v>
      </c>
      <c r="C412" s="141" t="str">
        <f t="shared" si="1"/>
        <v>12-2024</v>
      </c>
      <c r="D412" s="165">
        <f t="shared" ref="D412:D413" si="48">E411</f>
        <v>1251.1</v>
      </c>
      <c r="E412" s="28">
        <v>1259.0</v>
      </c>
      <c r="F412" s="54">
        <f t="shared" si="22"/>
        <v>7.9</v>
      </c>
      <c r="G412" s="54">
        <f t="shared" si="23"/>
        <v>-2.1</v>
      </c>
    </row>
    <row r="413" ht="14.25" customHeight="1">
      <c r="B413" s="140">
        <v>45638.0</v>
      </c>
      <c r="C413" s="141" t="str">
        <f t="shared" si="1"/>
        <v>12-2024</v>
      </c>
      <c r="D413" s="165">
        <f t="shared" si="48"/>
        <v>1259</v>
      </c>
      <c r="E413" s="28">
        <v>1262.0</v>
      </c>
      <c r="F413" s="54">
        <f t="shared" si="22"/>
        <v>3</v>
      </c>
      <c r="G413" s="54">
        <f t="shared" si="23"/>
        <v>-7</v>
      </c>
    </row>
    <row r="414" ht="14.25" customHeight="1">
      <c r="B414" s="140">
        <v>45639.0</v>
      </c>
      <c r="C414" s="141" t="str">
        <f t="shared" si="1"/>
        <v>12-2024</v>
      </c>
      <c r="F414" s="54">
        <f t="shared" si="22"/>
        <v>0</v>
      </c>
      <c r="G414" s="54">
        <f t="shared" si="23"/>
        <v>-10</v>
      </c>
    </row>
    <row r="415" ht="14.25" customHeight="1">
      <c r="B415" s="145">
        <v>45640.0</v>
      </c>
      <c r="C415" s="141" t="str">
        <f t="shared" si="1"/>
        <v>12-2024</v>
      </c>
      <c r="D415" s="165" t="str">
        <f t="shared" ref="D415:D423" si="49">E414</f>
        <v/>
      </c>
      <c r="F415" s="54">
        <f t="shared" si="22"/>
        <v>0</v>
      </c>
      <c r="G415" s="54">
        <f t="shared" si="23"/>
        <v>-10</v>
      </c>
    </row>
    <row r="416" ht="14.25" customHeight="1">
      <c r="B416" s="145">
        <v>45641.0</v>
      </c>
      <c r="C416" s="141" t="str">
        <f t="shared" si="1"/>
        <v>12-2024</v>
      </c>
      <c r="D416" s="165" t="str">
        <f t="shared" si="49"/>
        <v/>
      </c>
      <c r="F416" s="54">
        <f t="shared" si="22"/>
        <v>0</v>
      </c>
      <c r="G416" s="54">
        <f t="shared" si="23"/>
        <v>-10</v>
      </c>
    </row>
    <row r="417" ht="14.25" customHeight="1">
      <c r="B417" s="140">
        <v>45642.0</v>
      </c>
      <c r="C417" s="141" t="str">
        <f t="shared" si="1"/>
        <v>12-2024</v>
      </c>
      <c r="D417" s="165" t="str">
        <f t="shared" si="49"/>
        <v/>
      </c>
      <c r="F417" s="54">
        <f t="shared" si="22"/>
        <v>0</v>
      </c>
      <c r="G417" s="54">
        <f t="shared" si="23"/>
        <v>-10</v>
      </c>
    </row>
    <row r="418" ht="14.25" customHeight="1">
      <c r="B418" s="140">
        <v>45643.0</v>
      </c>
      <c r="C418" s="141" t="str">
        <f t="shared" si="1"/>
        <v>12-2024</v>
      </c>
      <c r="D418" s="165" t="str">
        <f t="shared" si="49"/>
        <v/>
      </c>
      <c r="F418" s="54">
        <f t="shared" si="22"/>
        <v>0</v>
      </c>
      <c r="G418" s="54">
        <f t="shared" si="23"/>
        <v>-10</v>
      </c>
    </row>
    <row r="419" ht="14.25" customHeight="1">
      <c r="B419" s="140">
        <v>45644.0</v>
      </c>
      <c r="C419" s="141" t="str">
        <f t="shared" si="1"/>
        <v>12-2024</v>
      </c>
      <c r="D419" s="165" t="str">
        <f t="shared" si="49"/>
        <v/>
      </c>
      <c r="F419" s="54">
        <f t="shared" si="22"/>
        <v>0</v>
      </c>
      <c r="G419" s="54">
        <f t="shared" si="23"/>
        <v>-10</v>
      </c>
    </row>
    <row r="420" ht="14.25" customHeight="1">
      <c r="B420" s="140">
        <v>45645.0</v>
      </c>
      <c r="C420" s="141" t="str">
        <f t="shared" si="1"/>
        <v>12-2024</v>
      </c>
      <c r="D420" s="165" t="str">
        <f t="shared" si="49"/>
        <v/>
      </c>
      <c r="F420" s="54">
        <f t="shared" si="22"/>
        <v>0</v>
      </c>
      <c r="G420" s="54">
        <f t="shared" si="23"/>
        <v>-10</v>
      </c>
    </row>
    <row r="421" ht="14.25" customHeight="1">
      <c r="B421" s="140">
        <v>45646.0</v>
      </c>
      <c r="C421" s="141" t="str">
        <f t="shared" si="1"/>
        <v>12-2024</v>
      </c>
      <c r="D421" s="165" t="str">
        <f t="shared" si="49"/>
        <v/>
      </c>
      <c r="F421" s="54">
        <f t="shared" si="22"/>
        <v>0</v>
      </c>
      <c r="G421" s="54">
        <f t="shared" si="23"/>
        <v>-10</v>
      </c>
    </row>
    <row r="422" ht="14.25" customHeight="1">
      <c r="B422" s="145">
        <v>45647.0</v>
      </c>
      <c r="C422" s="141" t="str">
        <f t="shared" si="1"/>
        <v>12-2024</v>
      </c>
      <c r="D422" s="165" t="str">
        <f t="shared" si="49"/>
        <v/>
      </c>
      <c r="F422" s="54">
        <f t="shared" si="22"/>
        <v>0</v>
      </c>
      <c r="G422" s="54">
        <f t="shared" si="23"/>
        <v>-10</v>
      </c>
    </row>
    <row r="423" ht="14.25" customHeight="1">
      <c r="B423" s="145">
        <v>45648.0</v>
      </c>
      <c r="C423" s="141" t="str">
        <f t="shared" si="1"/>
        <v>12-2024</v>
      </c>
      <c r="D423" s="165" t="str">
        <f t="shared" si="49"/>
        <v/>
      </c>
      <c r="F423" s="54">
        <f t="shared" si="22"/>
        <v>0</v>
      </c>
      <c r="G423" s="54">
        <f t="shared" si="23"/>
        <v>-10</v>
      </c>
    </row>
    <row r="424" ht="14.25" customHeight="1">
      <c r="B424" s="140">
        <v>45649.0</v>
      </c>
      <c r="C424" s="141" t="str">
        <f t="shared" si="1"/>
        <v>12-2024</v>
      </c>
      <c r="D424" s="28">
        <v>1262.0</v>
      </c>
      <c r="E424" s="28">
        <v>1264.0</v>
      </c>
      <c r="F424" s="54">
        <f t="shared" si="22"/>
        <v>2</v>
      </c>
      <c r="G424" s="54">
        <f t="shared" si="23"/>
        <v>-8</v>
      </c>
    </row>
    <row r="425" ht="14.25" customHeight="1">
      <c r="B425" s="140">
        <v>45650.0</v>
      </c>
      <c r="C425" s="141" t="str">
        <f t="shared" si="1"/>
        <v>12-2024</v>
      </c>
      <c r="D425" s="165">
        <f>E424</f>
        <v>1264</v>
      </c>
      <c r="E425" s="28">
        <v>1268.0</v>
      </c>
      <c r="F425" s="54">
        <f t="shared" si="22"/>
        <v>4</v>
      </c>
      <c r="G425" s="54">
        <f t="shared" si="23"/>
        <v>-6</v>
      </c>
    </row>
    <row r="426" ht="14.25" customHeight="1">
      <c r="B426" s="151">
        <v>45651.0</v>
      </c>
      <c r="C426" s="141" t="str">
        <f t="shared" si="1"/>
        <v>12-2024</v>
      </c>
      <c r="F426" s="54">
        <f t="shared" si="22"/>
        <v>0</v>
      </c>
      <c r="G426" s="54">
        <f t="shared" si="23"/>
        <v>-10</v>
      </c>
    </row>
    <row r="427" ht="14.25" customHeight="1">
      <c r="B427" s="140">
        <v>45652.0</v>
      </c>
      <c r="C427" s="141" t="str">
        <f t="shared" si="1"/>
        <v>12-2024</v>
      </c>
      <c r="D427" s="28">
        <v>1268.0</v>
      </c>
      <c r="E427" s="28">
        <v>1272.0</v>
      </c>
      <c r="F427" s="54">
        <f t="shared" si="22"/>
        <v>4</v>
      </c>
      <c r="G427" s="54">
        <f t="shared" si="23"/>
        <v>-6</v>
      </c>
    </row>
    <row r="428" ht="14.25" customHeight="1">
      <c r="B428" s="140">
        <v>45653.0</v>
      </c>
      <c r="C428" s="141" t="str">
        <f t="shared" si="1"/>
        <v>12-2024</v>
      </c>
      <c r="D428" s="28">
        <v>1272.0</v>
      </c>
      <c r="E428" s="28">
        <v>1280.1</v>
      </c>
      <c r="F428" s="54">
        <f t="shared" si="22"/>
        <v>8.1</v>
      </c>
      <c r="G428" s="54">
        <f t="shared" si="23"/>
        <v>-1.9</v>
      </c>
    </row>
    <row r="429" ht="14.25" customHeight="1">
      <c r="B429" s="145">
        <v>45654.0</v>
      </c>
      <c r="C429" s="141" t="str">
        <f t="shared" si="1"/>
        <v>12-2024</v>
      </c>
      <c r="D429" s="165">
        <f>E428</f>
        <v>1280.1</v>
      </c>
      <c r="E429" s="28">
        <v>1286.4</v>
      </c>
      <c r="F429" s="54">
        <f t="shared" si="22"/>
        <v>6.3</v>
      </c>
      <c r="G429" s="54">
        <f t="shared" si="23"/>
        <v>-3.7</v>
      </c>
    </row>
    <row r="430" ht="14.25" customHeight="1">
      <c r="B430" s="145">
        <v>45655.0</v>
      </c>
      <c r="C430" s="141" t="str">
        <f t="shared" si="1"/>
        <v>12-2024</v>
      </c>
      <c r="F430" s="54">
        <f t="shared" si="22"/>
        <v>0</v>
      </c>
      <c r="G430" s="54">
        <f t="shared" si="23"/>
        <v>-10</v>
      </c>
    </row>
    <row r="431" ht="14.25" customHeight="1">
      <c r="B431" s="140">
        <v>45656.0</v>
      </c>
      <c r="C431" s="141" t="str">
        <f t="shared" si="1"/>
        <v>12-2024</v>
      </c>
      <c r="D431" s="165" t="str">
        <f t="shared" ref="D431:D432" si="50">E430</f>
        <v/>
      </c>
      <c r="F431" s="54">
        <f t="shared" si="22"/>
        <v>0</v>
      </c>
      <c r="G431" s="54">
        <f t="shared" si="23"/>
        <v>-10</v>
      </c>
    </row>
    <row r="432" ht="14.25" customHeight="1">
      <c r="B432" s="140">
        <v>45657.0</v>
      </c>
      <c r="C432" s="141" t="str">
        <f t="shared" si="1"/>
        <v>12-2024</v>
      </c>
      <c r="D432" s="165" t="str">
        <f t="shared" si="50"/>
        <v/>
      </c>
      <c r="F432" s="54">
        <f t="shared" si="22"/>
        <v>0</v>
      </c>
      <c r="G432" s="54">
        <f t="shared" si="23"/>
        <v>-10</v>
      </c>
    </row>
    <row r="433" ht="14.25" customHeight="1">
      <c r="B433" s="152">
        <v>45658.0</v>
      </c>
      <c r="C433" s="141" t="str">
        <f t="shared" si="1"/>
        <v>1-2025</v>
      </c>
      <c r="F433" s="54">
        <f t="shared" si="22"/>
        <v>0</v>
      </c>
      <c r="G433" s="54">
        <f t="shared" si="23"/>
        <v>-10</v>
      </c>
    </row>
    <row r="434" ht="14.25" customHeight="1">
      <c r="B434" s="140">
        <v>45659.0</v>
      </c>
      <c r="C434" s="141" t="str">
        <f t="shared" si="1"/>
        <v>1-2025</v>
      </c>
      <c r="F434" s="54">
        <f t="shared" si="22"/>
        <v>0</v>
      </c>
      <c r="G434" s="54">
        <f t="shared" si="23"/>
        <v>-10</v>
      </c>
    </row>
    <row r="435" ht="14.25" customHeight="1">
      <c r="B435" s="140">
        <v>45660.0</v>
      </c>
      <c r="C435" s="141" t="str">
        <f t="shared" si="1"/>
        <v>1-2025</v>
      </c>
      <c r="F435" s="54">
        <f t="shared" si="22"/>
        <v>0</v>
      </c>
      <c r="G435" s="54">
        <f t="shared" si="23"/>
        <v>-10</v>
      </c>
    </row>
    <row r="436" ht="14.25" customHeight="1">
      <c r="B436" s="152">
        <v>45661.0</v>
      </c>
      <c r="C436" s="141" t="str">
        <f t="shared" si="1"/>
        <v>1-2025</v>
      </c>
      <c r="D436" s="28">
        <v>1296.3</v>
      </c>
      <c r="E436" s="28">
        <v>1299.0</v>
      </c>
      <c r="F436" s="54">
        <f t="shared" si="22"/>
        <v>2.7</v>
      </c>
      <c r="G436" s="54">
        <f t="shared" si="23"/>
        <v>-7.3</v>
      </c>
      <c r="H436" s="28">
        <v>320.0</v>
      </c>
    </row>
    <row r="437" ht="14.25" customHeight="1">
      <c r="B437" s="152">
        <v>45662.0</v>
      </c>
      <c r="C437" s="141" t="str">
        <f t="shared" si="1"/>
        <v>1-2025</v>
      </c>
      <c r="D437" s="165">
        <f>E436</f>
        <v>1299</v>
      </c>
      <c r="E437" s="28">
        <v>1299.0</v>
      </c>
      <c r="F437" s="54">
        <f t="shared" si="22"/>
        <v>0</v>
      </c>
      <c r="G437" s="54">
        <f t="shared" si="23"/>
        <v>-10</v>
      </c>
    </row>
    <row r="438" ht="14.25" customHeight="1">
      <c r="B438" s="140">
        <v>45663.0</v>
      </c>
      <c r="C438" s="141" t="str">
        <f t="shared" si="1"/>
        <v>1-2025</v>
      </c>
      <c r="D438" s="28">
        <v>1299.0</v>
      </c>
      <c r="E438" s="28">
        <v>1309.0</v>
      </c>
      <c r="F438" s="54">
        <f t="shared" si="22"/>
        <v>10</v>
      </c>
      <c r="G438" s="54">
        <f t="shared" si="23"/>
        <v>0</v>
      </c>
    </row>
    <row r="439" ht="14.25" customHeight="1">
      <c r="B439" s="140">
        <v>45664.0</v>
      </c>
      <c r="C439" s="141" t="str">
        <f t="shared" si="1"/>
        <v>1-2025</v>
      </c>
      <c r="D439" s="28">
        <v>1309.0</v>
      </c>
      <c r="E439" s="28">
        <v>1317.6</v>
      </c>
      <c r="F439" s="54">
        <f t="shared" si="22"/>
        <v>8.6</v>
      </c>
      <c r="G439" s="54">
        <f t="shared" si="23"/>
        <v>-1.4</v>
      </c>
    </row>
    <row r="440" ht="14.25" customHeight="1">
      <c r="B440" s="140">
        <v>45665.0</v>
      </c>
      <c r="C440" s="141" t="str">
        <f t="shared" si="1"/>
        <v>1-2025</v>
      </c>
      <c r="D440" s="165">
        <f t="shared" ref="D440:D441" si="51">E439</f>
        <v>1317.6</v>
      </c>
      <c r="E440" s="28">
        <v>1327.0</v>
      </c>
      <c r="F440" s="54">
        <f t="shared" si="22"/>
        <v>9.4</v>
      </c>
      <c r="G440" s="54">
        <f t="shared" si="23"/>
        <v>-0.6</v>
      </c>
    </row>
    <row r="441" ht="14.25" customHeight="1">
      <c r="B441" s="140">
        <v>45666.0</v>
      </c>
      <c r="C441" s="141" t="str">
        <f t="shared" si="1"/>
        <v>1-2025</v>
      </c>
      <c r="D441" s="165">
        <f t="shared" si="51"/>
        <v>1327</v>
      </c>
      <c r="E441" s="28">
        <v>1328.4</v>
      </c>
      <c r="F441" s="54">
        <f t="shared" si="22"/>
        <v>1.4</v>
      </c>
      <c r="G441" s="54">
        <f t="shared" si="23"/>
        <v>-8.6</v>
      </c>
    </row>
    <row r="442" ht="14.25" customHeight="1">
      <c r="B442" s="140">
        <v>45667.0</v>
      </c>
      <c r="C442" s="141" t="str">
        <f t="shared" si="1"/>
        <v>1-2025</v>
      </c>
      <c r="F442" s="54">
        <f t="shared" si="22"/>
        <v>0</v>
      </c>
      <c r="G442" s="54">
        <f t="shared" si="23"/>
        <v>-10</v>
      </c>
    </row>
    <row r="443" ht="14.25" customHeight="1">
      <c r="B443" s="152">
        <v>45668.0</v>
      </c>
      <c r="C443" s="141" t="str">
        <f t="shared" si="1"/>
        <v>1-2025</v>
      </c>
      <c r="D443" s="28">
        <v>1328.4</v>
      </c>
      <c r="E443" s="28">
        <v>1330.0</v>
      </c>
      <c r="F443" s="54">
        <f t="shared" si="22"/>
        <v>1.6</v>
      </c>
      <c r="G443" s="54">
        <f t="shared" si="23"/>
        <v>-8.4</v>
      </c>
      <c r="H443" s="28">
        <v>311.0</v>
      </c>
    </row>
    <row r="444" ht="14.25" customHeight="1">
      <c r="B444" s="152">
        <v>45669.0</v>
      </c>
      <c r="C444" s="141" t="str">
        <f t="shared" si="1"/>
        <v>1-2025</v>
      </c>
      <c r="D444" s="165">
        <f>E443</f>
        <v>1330</v>
      </c>
      <c r="E444" s="28">
        <v>1335.1</v>
      </c>
      <c r="F444" s="54">
        <f t="shared" si="22"/>
        <v>5.1</v>
      </c>
      <c r="G444" s="54">
        <f t="shared" si="23"/>
        <v>-4.9</v>
      </c>
    </row>
    <row r="445" ht="14.25" customHeight="1">
      <c r="B445" s="140">
        <v>45670.0</v>
      </c>
      <c r="C445" s="141" t="str">
        <f t="shared" si="1"/>
        <v>1-2025</v>
      </c>
      <c r="F445" s="54">
        <f t="shared" si="22"/>
        <v>0</v>
      </c>
      <c r="G445" s="54">
        <f t="shared" si="23"/>
        <v>-10</v>
      </c>
    </row>
    <row r="446" ht="14.25" customHeight="1">
      <c r="B446" s="140">
        <v>45671.0</v>
      </c>
      <c r="C446" s="141" t="str">
        <f t="shared" si="1"/>
        <v>1-2025</v>
      </c>
      <c r="D446" s="28">
        <v>1335.1</v>
      </c>
      <c r="E446" s="28">
        <v>1340.1</v>
      </c>
      <c r="F446" s="54">
        <f t="shared" si="22"/>
        <v>5</v>
      </c>
      <c r="G446" s="54">
        <f t="shared" si="23"/>
        <v>-5</v>
      </c>
    </row>
    <row r="447" ht="14.25" customHeight="1">
      <c r="B447" s="140">
        <v>45672.0</v>
      </c>
      <c r="C447" s="141" t="str">
        <f t="shared" si="1"/>
        <v>1-2025</v>
      </c>
      <c r="D447" s="28">
        <v>1340.2</v>
      </c>
      <c r="E447" s="28">
        <v>1350.2</v>
      </c>
      <c r="F447" s="54">
        <f t="shared" si="22"/>
        <v>10</v>
      </c>
      <c r="G447" s="54">
        <f t="shared" si="23"/>
        <v>0</v>
      </c>
    </row>
    <row r="448" ht="14.25" customHeight="1">
      <c r="B448" s="140">
        <v>45673.0</v>
      </c>
      <c r="C448" s="141" t="str">
        <f t="shared" si="1"/>
        <v>1-2025</v>
      </c>
      <c r="D448" s="165">
        <f t="shared" ref="D448:D451" si="52">E447</f>
        <v>1350.2</v>
      </c>
      <c r="E448" s="28">
        <v>1360.0</v>
      </c>
      <c r="F448" s="54">
        <f t="shared" si="22"/>
        <v>9.8</v>
      </c>
      <c r="G448" s="54">
        <f t="shared" si="23"/>
        <v>-0.2</v>
      </c>
    </row>
    <row r="449" ht="14.25" customHeight="1">
      <c r="B449" s="140">
        <v>45674.0</v>
      </c>
      <c r="C449" s="141" t="str">
        <f t="shared" si="1"/>
        <v>1-2025</v>
      </c>
      <c r="D449" s="165">
        <f t="shared" si="52"/>
        <v>1360</v>
      </c>
      <c r="E449" s="28">
        <v>1369.0</v>
      </c>
      <c r="F449" s="54">
        <f t="shared" si="22"/>
        <v>9</v>
      </c>
      <c r="G449" s="54">
        <f t="shared" si="23"/>
        <v>-1</v>
      </c>
    </row>
    <row r="450" ht="14.25" customHeight="1">
      <c r="B450" s="152">
        <v>45675.0</v>
      </c>
      <c r="C450" s="141" t="str">
        <f t="shared" si="1"/>
        <v>1-2025</v>
      </c>
      <c r="D450" s="165">
        <f t="shared" si="52"/>
        <v>1369</v>
      </c>
      <c r="E450" s="28">
        <v>1375.0</v>
      </c>
      <c r="F450" s="54">
        <f t="shared" si="22"/>
        <v>6</v>
      </c>
      <c r="G450" s="54">
        <f t="shared" si="23"/>
        <v>-4</v>
      </c>
    </row>
    <row r="451" ht="14.25" customHeight="1">
      <c r="B451" s="152">
        <v>45676.0</v>
      </c>
      <c r="C451" s="141" t="str">
        <f t="shared" si="1"/>
        <v>1-2025</v>
      </c>
      <c r="D451" s="165">
        <f t="shared" si="52"/>
        <v>1375</v>
      </c>
      <c r="E451" s="28">
        <v>1380.5</v>
      </c>
      <c r="F451" s="54">
        <f t="shared" si="22"/>
        <v>5.5</v>
      </c>
      <c r="G451" s="54">
        <f t="shared" si="23"/>
        <v>-4.5</v>
      </c>
    </row>
    <row r="452" ht="14.25" customHeight="1">
      <c r="B452" s="140">
        <v>45677.0</v>
      </c>
      <c r="C452" s="141" t="str">
        <f t="shared" si="1"/>
        <v>1-2025</v>
      </c>
      <c r="F452" s="54">
        <f t="shared" si="22"/>
        <v>0</v>
      </c>
      <c r="G452" s="54">
        <f t="shared" si="23"/>
        <v>-10</v>
      </c>
    </row>
    <row r="453" ht="14.25" customHeight="1">
      <c r="B453" s="140">
        <v>45678.0</v>
      </c>
      <c r="C453" s="141" t="str">
        <f t="shared" si="1"/>
        <v>1-2025</v>
      </c>
      <c r="D453" s="28">
        <v>1380.5</v>
      </c>
      <c r="E453" s="28">
        <v>1388.0</v>
      </c>
      <c r="F453" s="54">
        <f t="shared" si="22"/>
        <v>7.5</v>
      </c>
      <c r="G453" s="54">
        <f t="shared" si="23"/>
        <v>-2.5</v>
      </c>
    </row>
    <row r="454" ht="14.25" customHeight="1">
      <c r="B454" s="140">
        <v>45679.0</v>
      </c>
      <c r="C454" s="141" t="str">
        <f t="shared" si="1"/>
        <v>1-2025</v>
      </c>
      <c r="D454" s="165">
        <f t="shared" ref="D454:D456" si="53">E453</f>
        <v>1388</v>
      </c>
      <c r="E454" s="28">
        <v>1394.0</v>
      </c>
      <c r="F454" s="54">
        <f t="shared" si="22"/>
        <v>6</v>
      </c>
      <c r="G454" s="54">
        <f t="shared" si="23"/>
        <v>-4</v>
      </c>
      <c r="H454" s="28">
        <v>220.0</v>
      </c>
    </row>
    <row r="455" ht="14.25" customHeight="1">
      <c r="B455" s="140">
        <v>45680.0</v>
      </c>
      <c r="C455" s="141" t="str">
        <f t="shared" si="1"/>
        <v>1-2025</v>
      </c>
      <c r="D455" s="165">
        <f t="shared" si="53"/>
        <v>1394</v>
      </c>
      <c r="E455" s="28">
        <v>1402.0</v>
      </c>
      <c r="F455" s="54">
        <f t="shared" si="22"/>
        <v>8</v>
      </c>
      <c r="G455" s="54">
        <f t="shared" si="23"/>
        <v>-2</v>
      </c>
    </row>
    <row r="456" ht="14.25" customHeight="1">
      <c r="B456" s="140">
        <v>45681.0</v>
      </c>
      <c r="C456" s="141" t="str">
        <f t="shared" si="1"/>
        <v>1-2025</v>
      </c>
      <c r="D456" s="165">
        <f t="shared" si="53"/>
        <v>1402</v>
      </c>
      <c r="E456" s="28">
        <v>1407.0</v>
      </c>
      <c r="F456" s="54">
        <f t="shared" si="22"/>
        <v>5</v>
      </c>
      <c r="G456" s="54">
        <f t="shared" si="23"/>
        <v>-5</v>
      </c>
    </row>
    <row r="457" ht="14.25" customHeight="1">
      <c r="B457" s="152">
        <v>45682.0</v>
      </c>
      <c r="C457" s="141" t="str">
        <f t="shared" si="1"/>
        <v>1-2025</v>
      </c>
      <c r="D457" s="28">
        <v>1416.0</v>
      </c>
      <c r="E457" s="28">
        <v>1418.1</v>
      </c>
      <c r="F457" s="54">
        <f t="shared" si="22"/>
        <v>2.1</v>
      </c>
      <c r="G457" s="54">
        <f t="shared" si="23"/>
        <v>-7.9</v>
      </c>
    </row>
    <row r="458" ht="14.25" customHeight="1">
      <c r="B458" s="152">
        <v>45683.0</v>
      </c>
      <c r="C458" s="141" t="str">
        <f t="shared" si="1"/>
        <v>1-2025</v>
      </c>
      <c r="F458" s="54">
        <f t="shared" si="22"/>
        <v>0</v>
      </c>
      <c r="G458" s="54">
        <f t="shared" si="23"/>
        <v>-10</v>
      </c>
    </row>
    <row r="459" ht="14.25" customHeight="1">
      <c r="B459" s="140">
        <v>45684.0</v>
      </c>
      <c r="C459" s="141" t="str">
        <f t="shared" si="1"/>
        <v>1-2025</v>
      </c>
      <c r="D459" s="28">
        <v>1418.1</v>
      </c>
      <c r="E459" s="28">
        <v>1427.0</v>
      </c>
      <c r="F459" s="54">
        <f t="shared" si="22"/>
        <v>8.9</v>
      </c>
      <c r="G459" s="54">
        <f t="shared" si="23"/>
        <v>-1.1</v>
      </c>
    </row>
    <row r="460" ht="14.25" customHeight="1">
      <c r="B460" s="140">
        <v>45685.0</v>
      </c>
      <c r="C460" s="141" t="str">
        <f t="shared" si="1"/>
        <v>1-2025</v>
      </c>
      <c r="D460" s="165">
        <f t="shared" ref="D460:D462" si="54">E459</f>
        <v>1427</v>
      </c>
      <c r="E460" s="28">
        <v>1431.0</v>
      </c>
      <c r="F460" s="54">
        <f t="shared" si="22"/>
        <v>4</v>
      </c>
      <c r="G460" s="54">
        <f t="shared" si="23"/>
        <v>-6</v>
      </c>
      <c r="H460" s="28">
        <v>242.0</v>
      </c>
    </row>
    <row r="461" ht="14.25" customHeight="1">
      <c r="B461" s="140">
        <v>45686.0</v>
      </c>
      <c r="C461" s="141" t="str">
        <f t="shared" si="1"/>
        <v>1-2025</v>
      </c>
      <c r="D461" s="165">
        <f t="shared" si="54"/>
        <v>1431</v>
      </c>
      <c r="E461" s="28">
        <v>1435.0</v>
      </c>
      <c r="F461" s="54">
        <f t="shared" si="22"/>
        <v>4</v>
      </c>
      <c r="G461" s="54">
        <f t="shared" si="23"/>
        <v>-6</v>
      </c>
    </row>
    <row r="462" ht="14.25" customHeight="1">
      <c r="B462" s="140">
        <v>45687.0</v>
      </c>
      <c r="C462" s="141" t="str">
        <f t="shared" si="1"/>
        <v>1-2025</v>
      </c>
      <c r="D462" s="165">
        <f t="shared" si="54"/>
        <v>1435</v>
      </c>
      <c r="E462" s="28">
        <v>1440.0</v>
      </c>
      <c r="F462" s="54">
        <f t="shared" si="22"/>
        <v>5</v>
      </c>
      <c r="G462" s="54">
        <f t="shared" si="23"/>
        <v>-5</v>
      </c>
    </row>
    <row r="463" ht="14.25" customHeight="1">
      <c r="B463" s="140">
        <v>45688.0</v>
      </c>
      <c r="C463" s="141" t="str">
        <f t="shared" si="1"/>
        <v>1-2025</v>
      </c>
      <c r="F463" s="54">
        <f t="shared" si="22"/>
        <v>0</v>
      </c>
      <c r="G463" s="54">
        <f t="shared" si="23"/>
        <v>-10</v>
      </c>
    </row>
    <row r="464" ht="14.25" customHeight="1">
      <c r="B464" s="145">
        <v>45689.0</v>
      </c>
      <c r="C464" s="141" t="str">
        <f t="shared" si="1"/>
        <v>2-2025</v>
      </c>
      <c r="F464" s="54">
        <f t="shared" si="22"/>
        <v>0</v>
      </c>
      <c r="G464" s="54">
        <f t="shared" si="23"/>
        <v>-10</v>
      </c>
    </row>
    <row r="465" ht="14.25" customHeight="1">
      <c r="B465" s="145">
        <v>45690.0</v>
      </c>
      <c r="C465" s="141" t="str">
        <f t="shared" si="1"/>
        <v>2-2025</v>
      </c>
      <c r="F465" s="54">
        <f t="shared" si="22"/>
        <v>0</v>
      </c>
      <c r="G465" s="54">
        <f t="shared" si="23"/>
        <v>-10</v>
      </c>
    </row>
    <row r="466" ht="14.25" customHeight="1">
      <c r="B466" s="140">
        <v>45691.0</v>
      </c>
      <c r="C466" s="141" t="str">
        <f t="shared" si="1"/>
        <v>2-2025</v>
      </c>
      <c r="F466" s="54">
        <f t="shared" si="22"/>
        <v>0</v>
      </c>
      <c r="G466" s="54">
        <f t="shared" si="23"/>
        <v>-10</v>
      </c>
    </row>
    <row r="467" ht="14.25" customHeight="1">
      <c r="B467" s="140">
        <v>45692.0</v>
      </c>
      <c r="C467" s="141" t="str">
        <f t="shared" si="1"/>
        <v>2-2025</v>
      </c>
      <c r="D467" s="28">
        <v>1440.0</v>
      </c>
      <c r="E467" s="28">
        <v>1449.0</v>
      </c>
      <c r="F467" s="54">
        <f t="shared" si="22"/>
        <v>9</v>
      </c>
      <c r="G467" s="54">
        <f t="shared" si="23"/>
        <v>-1</v>
      </c>
    </row>
    <row r="468" ht="14.25" customHeight="1">
      <c r="B468" s="140">
        <v>45693.0</v>
      </c>
      <c r="C468" s="141" t="str">
        <f t="shared" si="1"/>
        <v>2-2025</v>
      </c>
      <c r="D468" s="28">
        <v>1449.0</v>
      </c>
      <c r="E468" s="28">
        <v>1454.5</v>
      </c>
      <c r="F468" s="54">
        <f t="shared" si="22"/>
        <v>5.5</v>
      </c>
      <c r="G468" s="54">
        <f t="shared" si="23"/>
        <v>-4.5</v>
      </c>
    </row>
    <row r="469" ht="14.25" customHeight="1">
      <c r="B469" s="140">
        <v>45694.0</v>
      </c>
      <c r="C469" s="141" t="str">
        <f t="shared" si="1"/>
        <v>2-2025</v>
      </c>
      <c r="D469" s="28">
        <v>1454.5</v>
      </c>
      <c r="E469" s="28">
        <v>1461.3</v>
      </c>
      <c r="F469" s="54">
        <f t="shared" si="22"/>
        <v>6.8</v>
      </c>
      <c r="G469" s="54">
        <f t="shared" si="23"/>
        <v>-3.2</v>
      </c>
    </row>
    <row r="470" ht="14.25" customHeight="1">
      <c r="B470" s="140">
        <v>45695.0</v>
      </c>
      <c r="C470" s="141" t="str">
        <f t="shared" si="1"/>
        <v>2-2025</v>
      </c>
      <c r="F470" s="54">
        <f t="shared" si="22"/>
        <v>0</v>
      </c>
      <c r="G470" s="54">
        <f t="shared" si="23"/>
        <v>-10</v>
      </c>
    </row>
    <row r="471" ht="14.25" customHeight="1">
      <c r="B471" s="145">
        <v>45696.0</v>
      </c>
      <c r="C471" s="141" t="str">
        <f t="shared" si="1"/>
        <v>2-2025</v>
      </c>
      <c r="F471" s="54">
        <f t="shared" si="22"/>
        <v>0</v>
      </c>
      <c r="G471" s="54">
        <f t="shared" si="23"/>
        <v>-10</v>
      </c>
    </row>
    <row r="472" ht="14.25" customHeight="1">
      <c r="B472" s="145">
        <v>45697.0</v>
      </c>
      <c r="C472" s="141" t="str">
        <f t="shared" si="1"/>
        <v>2-2025</v>
      </c>
      <c r="F472" s="54">
        <f t="shared" si="22"/>
        <v>0</v>
      </c>
      <c r="G472" s="54">
        <f t="shared" si="23"/>
        <v>-10</v>
      </c>
    </row>
    <row r="473" ht="14.25" customHeight="1">
      <c r="B473" s="140">
        <v>45698.0</v>
      </c>
      <c r="C473" s="141" t="str">
        <f t="shared" si="1"/>
        <v>2-2025</v>
      </c>
      <c r="D473" s="28">
        <v>1462.9</v>
      </c>
      <c r="E473" s="28">
        <v>1471.9</v>
      </c>
      <c r="F473" s="54">
        <f t="shared" si="22"/>
        <v>9</v>
      </c>
      <c r="G473" s="54">
        <f t="shared" si="23"/>
        <v>-1</v>
      </c>
    </row>
    <row r="474" ht="14.25" customHeight="1">
      <c r="B474" s="140">
        <v>45699.0</v>
      </c>
      <c r="C474" s="141" t="str">
        <f t="shared" si="1"/>
        <v>2-2025</v>
      </c>
      <c r="D474" s="165">
        <f t="shared" ref="D474:D478" si="55">E473</f>
        <v>1471.9</v>
      </c>
      <c r="E474" s="28">
        <v>1476.6</v>
      </c>
      <c r="F474" s="54">
        <f t="shared" si="22"/>
        <v>4.7</v>
      </c>
      <c r="G474" s="54">
        <f t="shared" si="23"/>
        <v>-5.3</v>
      </c>
    </row>
    <row r="475" ht="14.25" customHeight="1">
      <c r="B475" s="140">
        <v>45700.0</v>
      </c>
      <c r="C475" s="141" t="str">
        <f t="shared" si="1"/>
        <v>2-2025</v>
      </c>
      <c r="D475" s="165">
        <f t="shared" si="55"/>
        <v>1476.6</v>
      </c>
      <c r="E475" s="28">
        <v>1479.7</v>
      </c>
      <c r="F475" s="54">
        <f t="shared" si="22"/>
        <v>3.1</v>
      </c>
      <c r="G475" s="54">
        <f t="shared" si="23"/>
        <v>-6.9</v>
      </c>
    </row>
    <row r="476" ht="14.25" customHeight="1">
      <c r="B476" s="140">
        <v>45701.0</v>
      </c>
      <c r="C476" s="141" t="str">
        <f t="shared" si="1"/>
        <v>2-2025</v>
      </c>
      <c r="D476" s="165">
        <f t="shared" si="55"/>
        <v>1479.7</v>
      </c>
      <c r="E476" s="28">
        <v>1488.6</v>
      </c>
      <c r="F476" s="54">
        <f t="shared" si="22"/>
        <v>8.9</v>
      </c>
      <c r="G476" s="54">
        <f t="shared" si="23"/>
        <v>-1.1</v>
      </c>
    </row>
    <row r="477" ht="14.25" customHeight="1">
      <c r="B477" s="140">
        <v>45702.0</v>
      </c>
      <c r="C477" s="141" t="str">
        <f t="shared" si="1"/>
        <v>2-2025</v>
      </c>
      <c r="D477" s="165">
        <f t="shared" si="55"/>
        <v>1488.6</v>
      </c>
      <c r="E477" s="28">
        <v>1498.5</v>
      </c>
      <c r="F477" s="54">
        <f t="shared" si="22"/>
        <v>9.9</v>
      </c>
      <c r="G477" s="54">
        <f t="shared" si="23"/>
        <v>-0.1</v>
      </c>
    </row>
    <row r="478" ht="14.25" customHeight="1">
      <c r="B478" s="145">
        <v>45703.0</v>
      </c>
      <c r="C478" s="141" t="str">
        <f t="shared" si="1"/>
        <v>2-2025</v>
      </c>
      <c r="D478" s="165">
        <f t="shared" si="55"/>
        <v>1498.5</v>
      </c>
      <c r="E478" s="28">
        <v>1507.0</v>
      </c>
      <c r="F478" s="54">
        <f t="shared" si="22"/>
        <v>8.5</v>
      </c>
      <c r="G478" s="54">
        <f t="shared" si="23"/>
        <v>-1.5</v>
      </c>
    </row>
    <row r="479" ht="14.25" customHeight="1">
      <c r="B479" s="145">
        <v>45704.0</v>
      </c>
      <c r="C479" s="141" t="str">
        <f t="shared" si="1"/>
        <v>2-2025</v>
      </c>
      <c r="F479" s="54">
        <f t="shared" si="22"/>
        <v>0</v>
      </c>
      <c r="G479" s="54">
        <f t="shared" si="23"/>
        <v>-10</v>
      </c>
    </row>
    <row r="480" ht="14.25" customHeight="1">
      <c r="B480" s="140">
        <v>45705.0</v>
      </c>
      <c r="C480" s="141" t="str">
        <f t="shared" si="1"/>
        <v>2-2025</v>
      </c>
      <c r="D480" s="28">
        <v>1507.0</v>
      </c>
      <c r="E480" s="28">
        <v>1513.9</v>
      </c>
      <c r="F480" s="54">
        <f t="shared" si="22"/>
        <v>6.9</v>
      </c>
      <c r="G480" s="54">
        <f t="shared" si="23"/>
        <v>-3.1</v>
      </c>
    </row>
    <row r="481" ht="14.25" customHeight="1">
      <c r="B481" s="140">
        <v>45706.0</v>
      </c>
      <c r="C481" s="141" t="str">
        <f t="shared" si="1"/>
        <v>2-2025</v>
      </c>
      <c r="D481" s="165">
        <f t="shared" ref="D481:D482" si="56">E480</f>
        <v>1513.9</v>
      </c>
      <c r="E481" s="28">
        <v>1524.3</v>
      </c>
      <c r="F481" s="54">
        <f t="shared" si="22"/>
        <v>10.4</v>
      </c>
      <c r="G481" s="54">
        <f t="shared" si="23"/>
        <v>0.4</v>
      </c>
    </row>
    <row r="482" ht="14.25" customHeight="1">
      <c r="B482" s="140">
        <v>45707.0</v>
      </c>
      <c r="C482" s="141" t="str">
        <f t="shared" si="1"/>
        <v>2-2025</v>
      </c>
      <c r="D482" s="165">
        <f t="shared" si="56"/>
        <v>1524.3</v>
      </c>
      <c r="E482" s="28">
        <v>1534.8</v>
      </c>
      <c r="F482" s="54">
        <f t="shared" si="22"/>
        <v>10.5</v>
      </c>
      <c r="G482" s="54">
        <f t="shared" si="23"/>
        <v>0.5</v>
      </c>
    </row>
    <row r="483" ht="14.25" customHeight="1">
      <c r="B483" s="140">
        <v>45708.0</v>
      </c>
      <c r="C483" s="141" t="str">
        <f t="shared" si="1"/>
        <v>2-2025</v>
      </c>
      <c r="F483" s="54">
        <f t="shared" si="22"/>
        <v>0</v>
      </c>
      <c r="G483" s="54">
        <f t="shared" si="23"/>
        <v>-10</v>
      </c>
    </row>
    <row r="484" ht="14.25" customHeight="1">
      <c r="B484" s="140">
        <v>45709.0</v>
      </c>
      <c r="C484" s="141" t="str">
        <f t="shared" si="1"/>
        <v>2-2025</v>
      </c>
      <c r="D484" s="28">
        <v>1534.8</v>
      </c>
      <c r="E484" s="28">
        <v>1545.3</v>
      </c>
      <c r="F484" s="54">
        <f t="shared" si="22"/>
        <v>10.5</v>
      </c>
      <c r="G484" s="54">
        <f t="shared" si="23"/>
        <v>0.5</v>
      </c>
    </row>
    <row r="485" ht="14.25" customHeight="1">
      <c r="B485" s="145">
        <v>45710.0</v>
      </c>
      <c r="C485" s="141" t="str">
        <f t="shared" si="1"/>
        <v>2-2025</v>
      </c>
      <c r="D485" s="165">
        <f>E484</f>
        <v>1545.3</v>
      </c>
      <c r="E485" s="28">
        <v>1553.4</v>
      </c>
      <c r="F485" s="54">
        <f t="shared" si="22"/>
        <v>8.1</v>
      </c>
      <c r="G485" s="54">
        <f t="shared" si="23"/>
        <v>-1.9</v>
      </c>
    </row>
    <row r="486" ht="14.25" customHeight="1">
      <c r="B486" s="145">
        <v>45711.0</v>
      </c>
      <c r="C486" s="141" t="str">
        <f t="shared" si="1"/>
        <v>2-2025</v>
      </c>
      <c r="F486" s="54">
        <f t="shared" si="22"/>
        <v>0</v>
      </c>
      <c r="G486" s="54">
        <f t="shared" si="23"/>
        <v>-10</v>
      </c>
    </row>
    <row r="487" ht="14.25" customHeight="1">
      <c r="B487" s="140">
        <v>45712.0</v>
      </c>
      <c r="C487" s="141" t="str">
        <f t="shared" si="1"/>
        <v>2-2025</v>
      </c>
      <c r="D487" s="28">
        <v>1553.4</v>
      </c>
      <c r="E487" s="28">
        <v>1563.5</v>
      </c>
      <c r="F487" s="54">
        <f t="shared" si="22"/>
        <v>10.1</v>
      </c>
      <c r="G487" s="54">
        <f t="shared" si="23"/>
        <v>0.1</v>
      </c>
    </row>
    <row r="488" ht="14.25" customHeight="1">
      <c r="B488" s="140">
        <v>45713.0</v>
      </c>
      <c r="C488" s="141" t="str">
        <f t="shared" si="1"/>
        <v>2-2025</v>
      </c>
      <c r="D488" s="165">
        <f t="shared" ref="D488:D490" si="57">E487</f>
        <v>1563.5</v>
      </c>
      <c r="E488" s="28">
        <v>1574.1</v>
      </c>
      <c r="F488" s="54">
        <f t="shared" si="22"/>
        <v>10.6</v>
      </c>
      <c r="G488" s="54">
        <f t="shared" si="23"/>
        <v>0.6</v>
      </c>
    </row>
    <row r="489" ht="14.25" customHeight="1">
      <c r="B489" s="140">
        <v>45714.0</v>
      </c>
      <c r="C489" s="141" t="str">
        <f t="shared" si="1"/>
        <v>2-2025</v>
      </c>
      <c r="D489" s="165">
        <f t="shared" si="57"/>
        <v>1574.1</v>
      </c>
      <c r="E489" s="28">
        <v>1584.7</v>
      </c>
      <c r="F489" s="54">
        <f t="shared" si="22"/>
        <v>10.6</v>
      </c>
      <c r="G489" s="54">
        <f t="shared" si="23"/>
        <v>0.6</v>
      </c>
    </row>
    <row r="490" ht="14.25" customHeight="1">
      <c r="B490" s="140">
        <v>45715.0</v>
      </c>
      <c r="C490" s="141" t="str">
        <f t="shared" si="1"/>
        <v>2-2025</v>
      </c>
      <c r="D490" s="165">
        <f t="shared" si="57"/>
        <v>1584.7</v>
      </c>
      <c r="E490" s="28">
        <v>1592.3</v>
      </c>
      <c r="F490" s="54">
        <f t="shared" si="22"/>
        <v>7.6</v>
      </c>
      <c r="G490" s="54">
        <f t="shared" si="23"/>
        <v>-2.4</v>
      </c>
    </row>
    <row r="491" ht="14.25" customHeight="1">
      <c r="B491" s="140">
        <v>45716.0</v>
      </c>
      <c r="C491" s="141" t="str">
        <f t="shared" si="1"/>
        <v>2-2025</v>
      </c>
      <c r="D491" s="28">
        <v>1592.9</v>
      </c>
      <c r="E491" s="28">
        <v>1602.3</v>
      </c>
      <c r="F491" s="54">
        <f t="shared" si="22"/>
        <v>9.4</v>
      </c>
      <c r="G491" s="54">
        <f t="shared" si="23"/>
        <v>-0.6</v>
      </c>
    </row>
    <row r="492" ht="14.25" customHeight="1">
      <c r="B492" s="145">
        <v>45717.0</v>
      </c>
      <c r="C492" s="141" t="str">
        <f t="shared" si="1"/>
        <v>3-2025</v>
      </c>
      <c r="F492" s="54">
        <f t="shared" si="22"/>
        <v>0</v>
      </c>
      <c r="G492" s="54">
        <f t="shared" si="23"/>
        <v>-10</v>
      </c>
    </row>
    <row r="493" ht="14.25" customHeight="1">
      <c r="B493" s="145">
        <v>45718.0</v>
      </c>
      <c r="C493" s="141" t="str">
        <f t="shared" si="1"/>
        <v>3-2025</v>
      </c>
      <c r="D493" s="165" t="str">
        <f>E492</f>
        <v/>
      </c>
      <c r="F493" s="54">
        <f t="shared" si="22"/>
        <v>0</v>
      </c>
      <c r="G493" s="54">
        <f t="shared" si="23"/>
        <v>-10</v>
      </c>
    </row>
    <row r="494" ht="14.25" customHeight="1">
      <c r="B494" s="140">
        <v>45719.0</v>
      </c>
      <c r="C494" s="141" t="str">
        <f t="shared" si="1"/>
        <v>3-2025</v>
      </c>
      <c r="D494" s="28">
        <v>1602.3</v>
      </c>
      <c r="E494" s="28">
        <v>1643.1</v>
      </c>
      <c r="F494" s="54">
        <f t="shared" si="22"/>
        <v>40.8</v>
      </c>
      <c r="G494" s="54">
        <f t="shared" si="23"/>
        <v>30.8</v>
      </c>
    </row>
    <row r="495" ht="14.25" customHeight="1">
      <c r="B495" s="140">
        <v>45720.0</v>
      </c>
      <c r="C495" s="141" t="str">
        <f t="shared" si="1"/>
        <v>3-2025</v>
      </c>
      <c r="D495" s="165">
        <f t="shared" ref="D495:D498" si="58">E494</f>
        <v>1643.1</v>
      </c>
      <c r="E495" s="28">
        <v>1623.6</v>
      </c>
      <c r="F495" s="54">
        <f t="shared" si="22"/>
        <v>-19.5</v>
      </c>
      <c r="G495" s="54">
        <f t="shared" si="23"/>
        <v>-29.5</v>
      </c>
    </row>
    <row r="496" ht="14.25" customHeight="1">
      <c r="B496" s="140">
        <v>45721.0</v>
      </c>
      <c r="C496" s="141" t="str">
        <f t="shared" si="1"/>
        <v>3-2025</v>
      </c>
      <c r="D496" s="165">
        <f t="shared" si="58"/>
        <v>1623.6</v>
      </c>
      <c r="E496" s="28">
        <v>1628.4</v>
      </c>
      <c r="F496" s="54">
        <f t="shared" si="22"/>
        <v>4.8</v>
      </c>
      <c r="G496" s="54">
        <f t="shared" si="23"/>
        <v>-5.2</v>
      </c>
    </row>
    <row r="497" ht="14.25" customHeight="1">
      <c r="B497" s="140">
        <v>45722.0</v>
      </c>
      <c r="C497" s="141" t="str">
        <f t="shared" si="1"/>
        <v>3-2025</v>
      </c>
      <c r="D497" s="165">
        <f t="shared" si="58"/>
        <v>1628.4</v>
      </c>
      <c r="E497" s="28">
        <v>1639.0</v>
      </c>
      <c r="F497" s="54">
        <f t="shared" si="22"/>
        <v>10.6</v>
      </c>
      <c r="G497" s="54">
        <f t="shared" si="23"/>
        <v>0.6</v>
      </c>
    </row>
    <row r="498" ht="14.25" customHeight="1">
      <c r="B498" s="140">
        <v>45723.0</v>
      </c>
      <c r="C498" s="141" t="str">
        <f t="shared" si="1"/>
        <v>3-2025</v>
      </c>
      <c r="D498" s="165">
        <f t="shared" si="58"/>
        <v>1639</v>
      </c>
      <c r="E498" s="28">
        <v>1649.1</v>
      </c>
      <c r="F498" s="54">
        <f t="shared" si="22"/>
        <v>10.1</v>
      </c>
      <c r="G498" s="54">
        <f t="shared" si="23"/>
        <v>0.1</v>
      </c>
    </row>
    <row r="499" ht="14.25" customHeight="1">
      <c r="B499" s="145">
        <v>45724.0</v>
      </c>
      <c r="C499" s="141" t="str">
        <f t="shared" si="1"/>
        <v>3-2025</v>
      </c>
      <c r="F499" s="54">
        <f t="shared" si="22"/>
        <v>0</v>
      </c>
      <c r="G499" s="54">
        <f t="shared" si="23"/>
        <v>-10</v>
      </c>
    </row>
    <row r="500" ht="14.25" customHeight="1">
      <c r="B500" s="145">
        <v>45725.0</v>
      </c>
      <c r="C500" s="141" t="str">
        <f t="shared" si="1"/>
        <v>3-2025</v>
      </c>
      <c r="D500" s="165" t="str">
        <f>E499</f>
        <v/>
      </c>
      <c r="F500" s="54">
        <f t="shared" si="22"/>
        <v>0</v>
      </c>
      <c r="G500" s="54">
        <f t="shared" si="23"/>
        <v>-10</v>
      </c>
    </row>
    <row r="501" ht="14.25" customHeight="1">
      <c r="B501" s="140">
        <v>45726.0</v>
      </c>
      <c r="C501" s="141" t="str">
        <f t="shared" si="1"/>
        <v>3-2025</v>
      </c>
      <c r="D501" s="28">
        <v>1649.1</v>
      </c>
      <c r="E501" s="28">
        <v>1659.4</v>
      </c>
      <c r="F501" s="54">
        <f t="shared" si="22"/>
        <v>10.3</v>
      </c>
      <c r="G501" s="54">
        <f t="shared" si="23"/>
        <v>0.3</v>
      </c>
    </row>
    <row r="502" ht="14.25" customHeight="1">
      <c r="B502" s="140">
        <v>45727.0</v>
      </c>
      <c r="C502" s="141" t="str">
        <f t="shared" si="1"/>
        <v>3-2025</v>
      </c>
      <c r="D502" s="165">
        <f t="shared" ref="D502:D506" si="59">E501</f>
        <v>1659.4</v>
      </c>
      <c r="E502" s="28">
        <v>1669.6</v>
      </c>
      <c r="F502" s="54">
        <f t="shared" si="22"/>
        <v>10.2</v>
      </c>
      <c r="G502" s="54">
        <f t="shared" si="23"/>
        <v>0.2</v>
      </c>
    </row>
    <row r="503" ht="14.25" customHeight="1">
      <c r="B503" s="140">
        <v>45728.0</v>
      </c>
      <c r="C503" s="141" t="str">
        <f t="shared" si="1"/>
        <v>3-2025</v>
      </c>
      <c r="D503" s="165">
        <f t="shared" si="59"/>
        <v>1669.6</v>
      </c>
      <c r="E503" s="28">
        <v>1678.9</v>
      </c>
      <c r="F503" s="54">
        <f t="shared" si="22"/>
        <v>9.3</v>
      </c>
      <c r="G503" s="54">
        <f t="shared" si="23"/>
        <v>-0.7</v>
      </c>
    </row>
    <row r="504" ht="14.25" customHeight="1">
      <c r="B504" s="140">
        <v>45729.0</v>
      </c>
      <c r="C504" s="141" t="str">
        <f t="shared" si="1"/>
        <v>3-2025</v>
      </c>
      <c r="D504" s="165">
        <f t="shared" si="59"/>
        <v>1678.9</v>
      </c>
      <c r="E504" s="28">
        <v>1689.7</v>
      </c>
      <c r="F504" s="54">
        <f t="shared" si="22"/>
        <v>10.8</v>
      </c>
      <c r="G504" s="54">
        <f t="shared" si="23"/>
        <v>0.8</v>
      </c>
    </row>
    <row r="505" ht="14.25" customHeight="1">
      <c r="B505" s="140">
        <v>45730.0</v>
      </c>
      <c r="C505" s="141" t="str">
        <f t="shared" si="1"/>
        <v>3-2025</v>
      </c>
      <c r="D505" s="165">
        <f t="shared" si="59"/>
        <v>1689.7</v>
      </c>
      <c r="E505" s="28">
        <v>1699.9</v>
      </c>
      <c r="F505" s="54">
        <f t="shared" si="22"/>
        <v>10.2</v>
      </c>
      <c r="G505" s="54">
        <f t="shared" si="23"/>
        <v>0.2</v>
      </c>
    </row>
    <row r="506" ht="14.25" customHeight="1">
      <c r="B506" s="145">
        <v>45731.0</v>
      </c>
      <c r="C506" s="141" t="str">
        <f t="shared" si="1"/>
        <v>3-2025</v>
      </c>
      <c r="D506" s="165">
        <f t="shared" si="59"/>
        <v>1699.9</v>
      </c>
      <c r="E506" s="28">
        <v>1708.6</v>
      </c>
      <c r="F506" s="54">
        <f t="shared" si="22"/>
        <v>8.7</v>
      </c>
      <c r="G506" s="54">
        <f t="shared" si="23"/>
        <v>-1.3</v>
      </c>
    </row>
    <row r="507" ht="14.25" customHeight="1">
      <c r="B507" s="145">
        <v>45732.0</v>
      </c>
      <c r="C507" s="141" t="str">
        <f t="shared" si="1"/>
        <v>3-2025</v>
      </c>
      <c r="F507" s="54">
        <f t="shared" si="22"/>
        <v>0</v>
      </c>
      <c r="G507" s="54">
        <f t="shared" si="23"/>
        <v>-10</v>
      </c>
    </row>
    <row r="508" ht="14.25" customHeight="1">
      <c r="B508" s="140">
        <v>45733.0</v>
      </c>
      <c r="C508" s="141" t="str">
        <f t="shared" si="1"/>
        <v>3-2025</v>
      </c>
      <c r="D508" s="28">
        <v>1708.6</v>
      </c>
      <c r="E508" s="28">
        <v>1717.7</v>
      </c>
      <c r="F508" s="54">
        <f t="shared" si="22"/>
        <v>9.1</v>
      </c>
      <c r="G508" s="54">
        <f t="shared" si="23"/>
        <v>-0.9</v>
      </c>
    </row>
    <row r="509" ht="14.25" customHeight="1">
      <c r="B509" s="140">
        <v>45734.0</v>
      </c>
      <c r="C509" s="141" t="str">
        <f t="shared" si="1"/>
        <v>3-2025</v>
      </c>
      <c r="D509" s="165">
        <f t="shared" ref="D509:D513" si="60">E508</f>
        <v>1717.7</v>
      </c>
      <c r="E509" s="28">
        <v>1727.9</v>
      </c>
      <c r="F509" s="54">
        <f t="shared" si="22"/>
        <v>10.2</v>
      </c>
      <c r="G509" s="54">
        <f t="shared" si="23"/>
        <v>0.2</v>
      </c>
    </row>
    <row r="510" ht="14.25" customHeight="1">
      <c r="B510" s="140">
        <v>45735.0</v>
      </c>
      <c r="C510" s="141" t="str">
        <f t="shared" si="1"/>
        <v>3-2025</v>
      </c>
      <c r="D510" s="165">
        <f t="shared" si="60"/>
        <v>1727.9</v>
      </c>
      <c r="E510" s="28">
        <v>1737.9</v>
      </c>
      <c r="F510" s="54">
        <f t="shared" si="22"/>
        <v>10</v>
      </c>
      <c r="G510" s="54">
        <f t="shared" si="23"/>
        <v>0</v>
      </c>
    </row>
    <row r="511" ht="14.25" customHeight="1">
      <c r="B511" s="140">
        <v>45736.0</v>
      </c>
      <c r="C511" s="141" t="str">
        <f t="shared" si="1"/>
        <v>3-2025</v>
      </c>
      <c r="D511" s="165">
        <f t="shared" si="60"/>
        <v>1737.9</v>
      </c>
      <c r="E511" s="28">
        <v>1744.8</v>
      </c>
      <c r="F511" s="54">
        <f t="shared" si="22"/>
        <v>6.9</v>
      </c>
      <c r="G511" s="54">
        <f t="shared" si="23"/>
        <v>-3.1</v>
      </c>
    </row>
    <row r="512" ht="14.25" customHeight="1">
      <c r="B512" s="140">
        <v>45737.0</v>
      </c>
      <c r="C512" s="141" t="str">
        <f t="shared" si="1"/>
        <v>3-2025</v>
      </c>
      <c r="D512" s="165">
        <f t="shared" si="60"/>
        <v>1744.8</v>
      </c>
      <c r="E512" s="28">
        <v>1754.4</v>
      </c>
      <c r="F512" s="54">
        <f t="shared" si="22"/>
        <v>9.6</v>
      </c>
      <c r="G512" s="54">
        <f t="shared" si="23"/>
        <v>-0.4</v>
      </c>
    </row>
    <row r="513" ht="14.25" customHeight="1">
      <c r="B513" s="145">
        <v>45738.0</v>
      </c>
      <c r="C513" s="141" t="str">
        <f t="shared" si="1"/>
        <v>3-2025</v>
      </c>
      <c r="D513" s="165">
        <f t="shared" si="60"/>
        <v>1754.4</v>
      </c>
      <c r="E513" s="28">
        <v>1763.6</v>
      </c>
      <c r="F513" s="54">
        <f t="shared" si="22"/>
        <v>9.2</v>
      </c>
      <c r="G513" s="54">
        <f t="shared" si="23"/>
        <v>-0.8</v>
      </c>
    </row>
    <row r="514" ht="14.25" customHeight="1">
      <c r="B514" s="145">
        <v>45739.0</v>
      </c>
      <c r="C514" s="141" t="str">
        <f t="shared" si="1"/>
        <v>3-2025</v>
      </c>
      <c r="F514" s="54">
        <f t="shared" si="22"/>
        <v>0</v>
      </c>
      <c r="G514" s="54">
        <f t="shared" si="23"/>
        <v>-10</v>
      </c>
    </row>
    <row r="515" ht="14.25" customHeight="1">
      <c r="B515" s="140">
        <v>45740.0</v>
      </c>
      <c r="C515" s="141" t="str">
        <f t="shared" si="1"/>
        <v>3-2025</v>
      </c>
      <c r="D515" s="28">
        <v>1763.6</v>
      </c>
      <c r="E515" s="28">
        <v>1769.9</v>
      </c>
      <c r="F515" s="54">
        <f t="shared" si="22"/>
        <v>6.3</v>
      </c>
      <c r="G515" s="54">
        <f t="shared" si="23"/>
        <v>-3.7</v>
      </c>
    </row>
    <row r="516" ht="14.25" customHeight="1">
      <c r="B516" s="140">
        <v>45741.0</v>
      </c>
      <c r="C516" s="141" t="str">
        <f t="shared" si="1"/>
        <v>3-2025</v>
      </c>
      <c r="D516" s="165">
        <f t="shared" ref="D516:D521" si="61">E515</f>
        <v>1769.9</v>
      </c>
      <c r="E516" s="28">
        <v>1780.8</v>
      </c>
      <c r="F516" s="54">
        <f t="shared" si="22"/>
        <v>10.9</v>
      </c>
      <c r="G516" s="54">
        <f t="shared" si="23"/>
        <v>0.9</v>
      </c>
    </row>
    <row r="517" ht="14.25" customHeight="1">
      <c r="B517" s="140">
        <v>45742.0</v>
      </c>
      <c r="C517" s="141" t="str">
        <f t="shared" si="1"/>
        <v>3-2025</v>
      </c>
      <c r="D517" s="165">
        <f t="shared" si="61"/>
        <v>1780.8</v>
      </c>
      <c r="E517" s="28">
        <v>1783.9</v>
      </c>
      <c r="F517" s="54">
        <f t="shared" si="22"/>
        <v>3.1</v>
      </c>
      <c r="G517" s="54">
        <f t="shared" si="23"/>
        <v>-6.9</v>
      </c>
    </row>
    <row r="518" ht="14.25" customHeight="1">
      <c r="B518" s="140">
        <v>45743.0</v>
      </c>
      <c r="C518" s="141" t="str">
        <f t="shared" si="1"/>
        <v>3-2025</v>
      </c>
      <c r="D518" s="165">
        <f t="shared" si="61"/>
        <v>1783.9</v>
      </c>
      <c r="E518" s="28">
        <v>1789.8</v>
      </c>
      <c r="F518" s="54">
        <f t="shared" si="22"/>
        <v>5.9</v>
      </c>
      <c r="G518" s="54">
        <f t="shared" si="23"/>
        <v>-4.1</v>
      </c>
    </row>
    <row r="519" ht="14.25" customHeight="1">
      <c r="B519" s="140">
        <v>45744.0</v>
      </c>
      <c r="C519" s="141" t="str">
        <f t="shared" si="1"/>
        <v>3-2025</v>
      </c>
      <c r="D519" s="165">
        <f t="shared" si="61"/>
        <v>1789.8</v>
      </c>
      <c r="E519" s="28">
        <v>1799.8</v>
      </c>
      <c r="F519" s="54">
        <f t="shared" si="22"/>
        <v>10</v>
      </c>
      <c r="G519" s="54">
        <f t="shared" si="23"/>
        <v>0</v>
      </c>
    </row>
    <row r="520" ht="14.25" customHeight="1">
      <c r="B520" s="145">
        <v>45745.0</v>
      </c>
      <c r="C520" s="141" t="str">
        <f t="shared" si="1"/>
        <v>3-2025</v>
      </c>
      <c r="D520" s="165">
        <f t="shared" si="61"/>
        <v>1799.8</v>
      </c>
      <c r="E520" s="28">
        <v>1807.2</v>
      </c>
      <c r="F520" s="54">
        <f t="shared" si="22"/>
        <v>7.4</v>
      </c>
      <c r="G520" s="54">
        <f t="shared" si="23"/>
        <v>-2.6</v>
      </c>
    </row>
    <row r="521" ht="14.25" customHeight="1">
      <c r="B521" s="145">
        <v>45746.0</v>
      </c>
      <c r="C521" s="141" t="str">
        <f t="shared" si="1"/>
        <v>3-2025</v>
      </c>
      <c r="D521" s="165">
        <f t="shared" si="61"/>
        <v>1807.2</v>
      </c>
      <c r="E521" s="28">
        <v>1817.9</v>
      </c>
      <c r="F521" s="54">
        <f t="shared" si="22"/>
        <v>10.7</v>
      </c>
      <c r="G521" s="54">
        <f t="shared" si="23"/>
        <v>0.7</v>
      </c>
    </row>
    <row r="522" ht="14.25" customHeight="1">
      <c r="B522" s="140">
        <v>45747.0</v>
      </c>
      <c r="C522" s="141" t="str">
        <f t="shared" si="1"/>
        <v>3-2025</v>
      </c>
      <c r="F522" s="54">
        <f t="shared" si="22"/>
        <v>0</v>
      </c>
      <c r="G522" s="54">
        <f t="shared" si="23"/>
        <v>-10</v>
      </c>
    </row>
    <row r="523" ht="14.25" customHeight="1">
      <c r="B523" s="140">
        <v>45748.0</v>
      </c>
      <c r="C523" s="141" t="str">
        <f t="shared" si="1"/>
        <v>4-2025</v>
      </c>
      <c r="D523" s="28">
        <v>1817.9</v>
      </c>
      <c r="E523" s="28">
        <v>1828.3</v>
      </c>
      <c r="F523" s="54">
        <f t="shared" si="22"/>
        <v>10.4</v>
      </c>
      <c r="G523" s="54">
        <f t="shared" si="23"/>
        <v>0.4</v>
      </c>
      <c r="H523" s="28">
        <v>100.0</v>
      </c>
    </row>
    <row r="524" ht="14.25" customHeight="1">
      <c r="B524" s="140">
        <v>45749.0</v>
      </c>
      <c r="C524" s="141" t="str">
        <f t="shared" si="1"/>
        <v>4-2025</v>
      </c>
      <c r="D524" s="165">
        <f t="shared" ref="D524:D527" si="62">E523</f>
        <v>1828.3</v>
      </c>
      <c r="E524" s="28">
        <v>1839.0</v>
      </c>
      <c r="F524" s="54">
        <f t="shared" si="22"/>
        <v>10.7</v>
      </c>
      <c r="G524" s="54">
        <f t="shared" si="23"/>
        <v>0.7</v>
      </c>
      <c r="H524" s="28">
        <v>230.0</v>
      </c>
    </row>
    <row r="525" ht="14.25" customHeight="1">
      <c r="B525" s="140">
        <v>45750.0</v>
      </c>
      <c r="C525" s="141" t="str">
        <f t="shared" si="1"/>
        <v>4-2025</v>
      </c>
      <c r="D525" s="165">
        <f t="shared" si="62"/>
        <v>1839</v>
      </c>
      <c r="E525" s="28">
        <v>1849.6</v>
      </c>
      <c r="F525" s="54">
        <f t="shared" si="22"/>
        <v>10.6</v>
      </c>
      <c r="G525" s="54">
        <f t="shared" si="23"/>
        <v>0.6</v>
      </c>
    </row>
    <row r="526" ht="14.25" customHeight="1">
      <c r="B526" s="140">
        <v>45751.0</v>
      </c>
      <c r="C526" s="141" t="str">
        <f t="shared" si="1"/>
        <v>4-2025</v>
      </c>
      <c r="D526" s="165">
        <f t="shared" si="62"/>
        <v>1849.6</v>
      </c>
      <c r="E526" s="28">
        <v>1859.1</v>
      </c>
      <c r="F526" s="54">
        <f t="shared" si="22"/>
        <v>9.5</v>
      </c>
      <c r="G526" s="54">
        <f t="shared" si="23"/>
        <v>-0.5</v>
      </c>
      <c r="H526" s="28">
        <v>200.0</v>
      </c>
    </row>
    <row r="527" ht="14.25" customHeight="1">
      <c r="B527" s="152">
        <v>45752.0</v>
      </c>
      <c r="C527" s="141" t="str">
        <f t="shared" si="1"/>
        <v>4-2025</v>
      </c>
      <c r="D527" s="165">
        <f t="shared" si="62"/>
        <v>1859.1</v>
      </c>
      <c r="E527" s="28">
        <v>1866.9</v>
      </c>
      <c r="F527" s="54">
        <f t="shared" si="22"/>
        <v>7.8</v>
      </c>
      <c r="G527" s="54">
        <f t="shared" si="23"/>
        <v>-2.2</v>
      </c>
    </row>
    <row r="528" ht="14.25" customHeight="1">
      <c r="B528" s="152">
        <v>45753.0</v>
      </c>
      <c r="C528" s="141" t="str">
        <f t="shared" si="1"/>
        <v>4-2025</v>
      </c>
      <c r="F528" s="54">
        <f t="shared" si="22"/>
        <v>0</v>
      </c>
      <c r="G528" s="54">
        <f t="shared" si="23"/>
        <v>-10</v>
      </c>
    </row>
    <row r="529" ht="14.25" customHeight="1">
      <c r="B529" s="140">
        <v>45754.0</v>
      </c>
      <c r="C529" s="141" t="str">
        <f t="shared" si="1"/>
        <v>4-2025</v>
      </c>
      <c r="D529" s="28">
        <v>1866.9</v>
      </c>
      <c r="E529" s="28">
        <v>1879.4</v>
      </c>
      <c r="F529" s="54">
        <f t="shared" si="22"/>
        <v>12.5</v>
      </c>
      <c r="G529" s="54">
        <f t="shared" si="23"/>
        <v>2.5</v>
      </c>
      <c r="H529" s="28">
        <v>200.0</v>
      </c>
    </row>
    <row r="530" ht="14.25" customHeight="1">
      <c r="B530" s="140">
        <v>45755.0</v>
      </c>
      <c r="C530" s="141" t="str">
        <f t="shared" si="1"/>
        <v>4-2025</v>
      </c>
      <c r="D530" s="165">
        <f t="shared" ref="D530:D531" si="63">E529</f>
        <v>1879.4</v>
      </c>
      <c r="E530" s="28">
        <v>1889.8</v>
      </c>
      <c r="F530" s="54">
        <f t="shared" si="22"/>
        <v>10.4</v>
      </c>
      <c r="G530" s="54">
        <f t="shared" si="23"/>
        <v>0.4</v>
      </c>
    </row>
    <row r="531" ht="14.25" customHeight="1">
      <c r="B531" s="140">
        <v>45756.0</v>
      </c>
      <c r="C531" s="141" t="str">
        <f t="shared" si="1"/>
        <v>4-2025</v>
      </c>
      <c r="D531" s="165">
        <f t="shared" si="63"/>
        <v>1889.8</v>
      </c>
      <c r="E531" s="28">
        <v>1894.9</v>
      </c>
      <c r="F531" s="54">
        <f t="shared" si="22"/>
        <v>5.1</v>
      </c>
      <c r="G531" s="54">
        <f t="shared" si="23"/>
        <v>-4.9</v>
      </c>
      <c r="H531" s="28">
        <v>400.0</v>
      </c>
    </row>
    <row r="532" ht="14.25" customHeight="1">
      <c r="B532" s="140">
        <v>45756.0</v>
      </c>
      <c r="C532" s="141" t="str">
        <f t="shared" si="1"/>
        <v>4-2025</v>
      </c>
      <c r="D532" s="28">
        <v>5769.4</v>
      </c>
      <c r="E532" s="28">
        <v>5775.2</v>
      </c>
      <c r="F532" s="54">
        <f t="shared" si="22"/>
        <v>5.8</v>
      </c>
      <c r="G532" s="54">
        <f t="shared" si="23"/>
        <v>-4.2</v>
      </c>
    </row>
    <row r="533" ht="14.25" customHeight="1">
      <c r="B533" s="140">
        <v>45757.0</v>
      </c>
      <c r="C533" s="141" t="str">
        <f t="shared" si="1"/>
        <v>4-2025</v>
      </c>
      <c r="D533" s="165">
        <f t="shared" ref="D533:D534" si="64">E532</f>
        <v>5775.2</v>
      </c>
      <c r="E533" s="28">
        <v>5785.6</v>
      </c>
      <c r="F533" s="54">
        <f t="shared" si="22"/>
        <v>10.4</v>
      </c>
      <c r="G533" s="54">
        <f t="shared" si="23"/>
        <v>0.4</v>
      </c>
    </row>
    <row r="534" ht="14.25" customHeight="1">
      <c r="B534" s="140">
        <v>45758.0</v>
      </c>
      <c r="C534" s="141" t="str">
        <f t="shared" si="1"/>
        <v>4-2025</v>
      </c>
      <c r="D534" s="165">
        <f t="shared" si="64"/>
        <v>5785.6</v>
      </c>
      <c r="E534" s="28">
        <v>5796.1</v>
      </c>
      <c r="F534" s="54">
        <f t="shared" si="22"/>
        <v>10.5</v>
      </c>
      <c r="G534" s="54">
        <f t="shared" si="23"/>
        <v>0.5</v>
      </c>
    </row>
    <row r="535" ht="14.25" customHeight="1">
      <c r="B535" s="152">
        <v>45759.0</v>
      </c>
      <c r="C535" s="141" t="str">
        <f t="shared" si="1"/>
        <v>4-2025</v>
      </c>
      <c r="F535" s="54">
        <f t="shared" si="22"/>
        <v>0</v>
      </c>
      <c r="G535" s="54">
        <f t="shared" si="23"/>
        <v>-10</v>
      </c>
    </row>
    <row r="536" ht="14.25" customHeight="1">
      <c r="B536" s="152">
        <v>45760.0</v>
      </c>
      <c r="C536" s="141" t="str">
        <f t="shared" si="1"/>
        <v>4-2025</v>
      </c>
      <c r="D536" s="165" t="str">
        <f>E535</f>
        <v/>
      </c>
      <c r="F536" s="54">
        <f t="shared" si="22"/>
        <v>0</v>
      </c>
      <c r="G536" s="54">
        <f t="shared" si="23"/>
        <v>-10</v>
      </c>
    </row>
    <row r="537" ht="14.25" customHeight="1">
      <c r="B537" s="140">
        <v>45761.0</v>
      </c>
      <c r="C537" s="141" t="str">
        <f t="shared" si="1"/>
        <v>4-2025</v>
      </c>
      <c r="D537" s="28">
        <v>5796.1</v>
      </c>
      <c r="E537" s="28">
        <v>5807.0</v>
      </c>
      <c r="F537" s="54">
        <f t="shared" si="22"/>
        <v>10.9</v>
      </c>
      <c r="G537" s="54">
        <f t="shared" si="23"/>
        <v>0.9</v>
      </c>
      <c r="H537" s="28">
        <v>200.0</v>
      </c>
    </row>
    <row r="538" ht="14.25" customHeight="1">
      <c r="B538" s="140">
        <v>45762.0</v>
      </c>
      <c r="C538" s="141" t="str">
        <f t="shared" si="1"/>
        <v>4-2025</v>
      </c>
      <c r="D538" s="165">
        <f>E537</f>
        <v>5807</v>
      </c>
      <c r="E538" s="28">
        <v>5817.4</v>
      </c>
      <c r="F538" s="54">
        <f t="shared" si="22"/>
        <v>10.4</v>
      </c>
      <c r="G538" s="54">
        <f t="shared" si="23"/>
        <v>0.4</v>
      </c>
    </row>
    <row r="539" ht="14.25" customHeight="1">
      <c r="B539" s="140">
        <v>45763.0</v>
      </c>
      <c r="C539" s="141" t="str">
        <f t="shared" si="1"/>
        <v>4-2025</v>
      </c>
      <c r="F539" s="54">
        <f t="shared" si="22"/>
        <v>0</v>
      </c>
      <c r="G539" s="54">
        <f t="shared" si="23"/>
        <v>-10</v>
      </c>
    </row>
    <row r="540" ht="14.25" customHeight="1">
      <c r="B540" s="140">
        <v>45764.0</v>
      </c>
      <c r="C540" s="141" t="str">
        <f t="shared" si="1"/>
        <v>4-2025</v>
      </c>
      <c r="D540" s="28">
        <v>5817.4</v>
      </c>
      <c r="E540" s="28">
        <v>5825.7</v>
      </c>
      <c r="F540" s="54">
        <f t="shared" si="22"/>
        <v>8.3</v>
      </c>
      <c r="G540" s="54">
        <f t="shared" si="23"/>
        <v>-1.7</v>
      </c>
      <c r="H540" s="28">
        <v>200.0</v>
      </c>
    </row>
    <row r="541" ht="14.25" customHeight="1">
      <c r="B541" s="153">
        <v>45765.0</v>
      </c>
      <c r="C541" s="141" t="str">
        <f t="shared" si="1"/>
        <v>4-2025</v>
      </c>
      <c r="F541" s="54">
        <f t="shared" si="22"/>
        <v>0</v>
      </c>
      <c r="G541" s="54">
        <f t="shared" si="23"/>
        <v>-10</v>
      </c>
    </row>
    <row r="542" ht="14.25" customHeight="1">
      <c r="B542" s="152">
        <v>45766.0</v>
      </c>
      <c r="C542" s="141" t="str">
        <f t="shared" si="1"/>
        <v>4-2025</v>
      </c>
      <c r="D542" s="165" t="str">
        <f t="shared" ref="D542:D543" si="65">E541</f>
        <v/>
      </c>
      <c r="F542" s="54">
        <f t="shared" si="22"/>
        <v>0</v>
      </c>
      <c r="G542" s="54">
        <f t="shared" si="23"/>
        <v>-10</v>
      </c>
    </row>
    <row r="543" ht="14.25" customHeight="1">
      <c r="B543" s="152">
        <v>45767.0</v>
      </c>
      <c r="C543" s="141" t="str">
        <f t="shared" si="1"/>
        <v>4-2025</v>
      </c>
      <c r="D543" s="165" t="str">
        <f t="shared" si="65"/>
        <v/>
      </c>
      <c r="F543" s="54">
        <f t="shared" si="22"/>
        <v>0</v>
      </c>
      <c r="G543" s="54">
        <f t="shared" si="23"/>
        <v>-10</v>
      </c>
    </row>
    <row r="544" ht="14.25" customHeight="1">
      <c r="B544" s="153">
        <v>45768.0</v>
      </c>
      <c r="C544" s="141" t="str">
        <f t="shared" si="1"/>
        <v>4-2025</v>
      </c>
      <c r="D544" s="28">
        <v>5825.7</v>
      </c>
      <c r="E544" s="28">
        <v>5837.0</v>
      </c>
      <c r="F544" s="54">
        <f t="shared" si="22"/>
        <v>11.3</v>
      </c>
      <c r="G544" s="54">
        <f t="shared" si="23"/>
        <v>1.3</v>
      </c>
    </row>
    <row r="545" ht="14.25" customHeight="1">
      <c r="B545" s="140">
        <v>45769.0</v>
      </c>
      <c r="C545" s="141" t="str">
        <f t="shared" si="1"/>
        <v>4-2025</v>
      </c>
      <c r="D545" s="165">
        <f t="shared" ref="D545:D549" si="66">E544</f>
        <v>5837</v>
      </c>
      <c r="E545" s="28">
        <v>5847.5</v>
      </c>
      <c r="F545" s="54">
        <f t="shared" si="22"/>
        <v>10.5</v>
      </c>
      <c r="G545" s="54">
        <f t="shared" si="23"/>
        <v>0.5</v>
      </c>
      <c r="H545" s="28">
        <v>203.0</v>
      </c>
    </row>
    <row r="546" ht="14.25" customHeight="1">
      <c r="B546" s="140">
        <v>45770.0</v>
      </c>
      <c r="C546" s="141" t="str">
        <f t="shared" si="1"/>
        <v>4-2025</v>
      </c>
      <c r="D546" s="165">
        <f t="shared" si="66"/>
        <v>5847.5</v>
      </c>
      <c r="E546" s="28">
        <v>5858.0</v>
      </c>
      <c r="F546" s="54">
        <f t="shared" si="22"/>
        <v>10.5</v>
      </c>
      <c r="G546" s="54">
        <f t="shared" si="23"/>
        <v>0.5</v>
      </c>
    </row>
    <row r="547" ht="14.25" customHeight="1">
      <c r="B547" s="140">
        <v>45771.0</v>
      </c>
      <c r="C547" s="141" t="str">
        <f t="shared" si="1"/>
        <v>4-2025</v>
      </c>
      <c r="D547" s="165">
        <f t="shared" si="66"/>
        <v>5858</v>
      </c>
      <c r="E547" s="28">
        <v>5868.5</v>
      </c>
      <c r="F547" s="54">
        <f t="shared" si="22"/>
        <v>10.5</v>
      </c>
      <c r="G547" s="54">
        <f t="shared" si="23"/>
        <v>0.5</v>
      </c>
      <c r="H547" s="28">
        <v>150.0</v>
      </c>
    </row>
    <row r="548" ht="14.25" customHeight="1">
      <c r="B548" s="140">
        <v>45772.0</v>
      </c>
      <c r="C548" s="141" t="str">
        <f t="shared" si="1"/>
        <v>4-2025</v>
      </c>
      <c r="D548" s="165">
        <f t="shared" si="66"/>
        <v>5868.5</v>
      </c>
      <c r="E548" s="28">
        <v>5879.2</v>
      </c>
      <c r="F548" s="54">
        <f t="shared" si="22"/>
        <v>10.7</v>
      </c>
      <c r="G548" s="54">
        <f t="shared" si="23"/>
        <v>0.7</v>
      </c>
      <c r="H548" s="28">
        <v>230.0</v>
      </c>
    </row>
    <row r="549" ht="14.25" customHeight="1">
      <c r="B549" s="152">
        <v>45773.0</v>
      </c>
      <c r="C549" s="141" t="str">
        <f t="shared" si="1"/>
        <v>4-2025</v>
      </c>
      <c r="D549" s="165">
        <f t="shared" si="66"/>
        <v>5879.2</v>
      </c>
      <c r="E549" s="28">
        <v>5886.1</v>
      </c>
      <c r="F549" s="54">
        <f t="shared" si="22"/>
        <v>6.9</v>
      </c>
      <c r="G549" s="54">
        <f t="shared" si="23"/>
        <v>-3.1</v>
      </c>
    </row>
    <row r="550" ht="14.25" customHeight="1">
      <c r="B550" s="152">
        <v>45774.0</v>
      </c>
      <c r="C550" s="141" t="str">
        <f t="shared" si="1"/>
        <v>4-2025</v>
      </c>
      <c r="F550" s="54">
        <f t="shared" si="22"/>
        <v>0</v>
      </c>
      <c r="G550" s="54">
        <f t="shared" si="23"/>
        <v>-10</v>
      </c>
    </row>
    <row r="551" ht="14.25" customHeight="1">
      <c r="B551" s="140">
        <v>45775.0</v>
      </c>
      <c r="C551" s="141" t="str">
        <f t="shared" si="1"/>
        <v>4-2025</v>
      </c>
      <c r="D551" s="28">
        <v>5886.1</v>
      </c>
      <c r="E551" s="28">
        <v>5894.7</v>
      </c>
      <c r="F551" s="54">
        <f t="shared" si="22"/>
        <v>8.6</v>
      </c>
      <c r="G551" s="54">
        <f t="shared" si="23"/>
        <v>-1.4</v>
      </c>
      <c r="H551" s="28">
        <v>250.0</v>
      </c>
    </row>
    <row r="552" ht="14.25" customHeight="1">
      <c r="B552" s="140">
        <v>45776.0</v>
      </c>
      <c r="C552" s="141" t="str">
        <f t="shared" si="1"/>
        <v>4-2025</v>
      </c>
      <c r="D552" s="165">
        <f t="shared" ref="D552:D553" si="67">E551</f>
        <v>5894.7</v>
      </c>
      <c r="E552" s="28">
        <v>5905.2</v>
      </c>
      <c r="F552" s="54">
        <f t="shared" si="22"/>
        <v>10.5</v>
      </c>
      <c r="G552" s="54">
        <f t="shared" si="23"/>
        <v>0.5</v>
      </c>
    </row>
    <row r="553" ht="14.25" customHeight="1">
      <c r="B553" s="140">
        <v>45777.0</v>
      </c>
      <c r="C553" s="141" t="str">
        <f t="shared" si="1"/>
        <v>4-2025</v>
      </c>
      <c r="D553" s="165">
        <f t="shared" si="67"/>
        <v>5905.2</v>
      </c>
      <c r="E553" s="28">
        <v>5917.0</v>
      </c>
      <c r="F553" s="54">
        <f t="shared" si="22"/>
        <v>11.8</v>
      </c>
      <c r="G553" s="54">
        <f t="shared" si="23"/>
        <v>1.8</v>
      </c>
    </row>
    <row r="554" ht="14.25" customHeight="1">
      <c r="B554" s="154">
        <v>45778.0</v>
      </c>
      <c r="C554" s="141" t="str">
        <f t="shared" si="1"/>
        <v>5-2025</v>
      </c>
      <c r="F554" s="54">
        <f t="shared" si="22"/>
        <v>0</v>
      </c>
      <c r="G554" s="54">
        <f t="shared" si="23"/>
        <v>-10</v>
      </c>
    </row>
    <row r="555" ht="14.25" customHeight="1">
      <c r="B555" s="140">
        <v>45779.0</v>
      </c>
      <c r="C555" s="141" t="str">
        <f t="shared" si="1"/>
        <v>5-2025</v>
      </c>
      <c r="D555" s="165" t="str">
        <f t="shared" ref="D555:D586" si="68">E554</f>
        <v/>
      </c>
      <c r="F555" s="54">
        <f t="shared" si="22"/>
        <v>0</v>
      </c>
      <c r="G555" s="54">
        <f t="shared" si="23"/>
        <v>-10</v>
      </c>
    </row>
    <row r="556" ht="14.25" customHeight="1">
      <c r="B556" s="145">
        <v>45780.0</v>
      </c>
      <c r="C556" s="141" t="str">
        <f t="shared" si="1"/>
        <v>5-2025</v>
      </c>
      <c r="D556" s="165" t="str">
        <f t="shared" si="68"/>
        <v/>
      </c>
      <c r="F556" s="54">
        <f t="shared" si="22"/>
        <v>0</v>
      </c>
      <c r="G556" s="54">
        <f t="shared" si="23"/>
        <v>-10</v>
      </c>
    </row>
    <row r="557" ht="14.25" customHeight="1">
      <c r="B557" s="145">
        <v>45781.0</v>
      </c>
      <c r="C557" s="141" t="str">
        <f t="shared" si="1"/>
        <v>5-2025</v>
      </c>
      <c r="D557" s="165" t="str">
        <f t="shared" si="68"/>
        <v/>
      </c>
      <c r="F557" s="54">
        <f t="shared" si="22"/>
        <v>0</v>
      </c>
      <c r="G557" s="54">
        <f t="shared" si="23"/>
        <v>-10</v>
      </c>
    </row>
    <row r="558" ht="14.25" customHeight="1">
      <c r="B558" s="140">
        <v>45782.0</v>
      </c>
      <c r="C558" s="141" t="str">
        <f t="shared" si="1"/>
        <v>5-2025</v>
      </c>
      <c r="D558" s="165" t="str">
        <f t="shared" si="68"/>
        <v/>
      </c>
      <c r="F558" s="54">
        <f t="shared" si="22"/>
        <v>0</v>
      </c>
      <c r="G558" s="54">
        <f t="shared" si="23"/>
        <v>-10</v>
      </c>
    </row>
    <row r="559" ht="14.25" customHeight="1">
      <c r="B559" s="140">
        <v>45783.0</v>
      </c>
      <c r="C559" s="141" t="str">
        <f t="shared" si="1"/>
        <v>5-2025</v>
      </c>
      <c r="D559" s="165" t="str">
        <f t="shared" si="68"/>
        <v/>
      </c>
      <c r="F559" s="54">
        <f t="shared" si="22"/>
        <v>0</v>
      </c>
      <c r="G559" s="54">
        <f t="shared" si="23"/>
        <v>-10</v>
      </c>
    </row>
    <row r="560" ht="14.25" customHeight="1">
      <c r="B560" s="140">
        <v>45784.0</v>
      </c>
      <c r="C560" s="141" t="str">
        <f t="shared" si="1"/>
        <v>5-2025</v>
      </c>
      <c r="D560" s="165" t="str">
        <f t="shared" si="68"/>
        <v/>
      </c>
      <c r="F560" s="54">
        <f t="shared" si="22"/>
        <v>0</v>
      </c>
      <c r="G560" s="54">
        <f t="shared" si="23"/>
        <v>-10</v>
      </c>
    </row>
    <row r="561" ht="14.25" customHeight="1">
      <c r="B561" s="140">
        <v>45785.0</v>
      </c>
      <c r="C561" s="141" t="str">
        <f t="shared" si="1"/>
        <v>5-2025</v>
      </c>
      <c r="D561" s="165" t="str">
        <f t="shared" si="68"/>
        <v/>
      </c>
      <c r="F561" s="54">
        <f t="shared" si="22"/>
        <v>0</v>
      </c>
      <c r="G561" s="54">
        <f t="shared" si="23"/>
        <v>-10</v>
      </c>
    </row>
    <row r="562" ht="14.25" customHeight="1">
      <c r="B562" s="140">
        <v>45786.0</v>
      </c>
      <c r="C562" s="141" t="str">
        <f t="shared" si="1"/>
        <v>5-2025</v>
      </c>
      <c r="D562" s="165" t="str">
        <f t="shared" si="68"/>
        <v/>
      </c>
      <c r="F562" s="54">
        <f t="shared" si="22"/>
        <v>0</v>
      </c>
      <c r="G562" s="54">
        <f t="shared" si="23"/>
        <v>-10</v>
      </c>
    </row>
    <row r="563" ht="14.25" customHeight="1">
      <c r="B563" s="145">
        <v>45787.0</v>
      </c>
      <c r="C563" s="141" t="str">
        <f t="shared" si="1"/>
        <v>5-2025</v>
      </c>
      <c r="D563" s="165" t="str">
        <f t="shared" si="68"/>
        <v/>
      </c>
      <c r="F563" s="54">
        <f t="shared" si="22"/>
        <v>0</v>
      </c>
      <c r="G563" s="54">
        <f t="shared" si="23"/>
        <v>-10</v>
      </c>
    </row>
    <row r="564" ht="14.25" customHeight="1">
      <c r="B564" s="145">
        <v>45788.0</v>
      </c>
      <c r="C564" s="141" t="str">
        <f t="shared" si="1"/>
        <v>5-2025</v>
      </c>
      <c r="D564" s="165" t="str">
        <f t="shared" si="68"/>
        <v/>
      </c>
      <c r="F564" s="54">
        <f t="shared" si="22"/>
        <v>0</v>
      </c>
      <c r="G564" s="54">
        <f t="shared" si="23"/>
        <v>-10</v>
      </c>
    </row>
    <row r="565" ht="14.25" customHeight="1">
      <c r="B565" s="140">
        <v>45789.0</v>
      </c>
      <c r="C565" s="141" t="str">
        <f t="shared" si="1"/>
        <v>5-2025</v>
      </c>
      <c r="D565" s="165" t="str">
        <f t="shared" si="68"/>
        <v/>
      </c>
      <c r="F565" s="54">
        <f t="shared" si="22"/>
        <v>0</v>
      </c>
      <c r="G565" s="54">
        <f t="shared" si="23"/>
        <v>-10</v>
      </c>
    </row>
    <row r="566" ht="14.25" customHeight="1">
      <c r="B566" s="140">
        <v>45790.0</v>
      </c>
      <c r="C566" s="141" t="str">
        <f t="shared" si="1"/>
        <v>5-2025</v>
      </c>
      <c r="D566" s="165" t="str">
        <f t="shared" si="68"/>
        <v/>
      </c>
      <c r="F566" s="54">
        <f t="shared" si="22"/>
        <v>0</v>
      </c>
      <c r="G566" s="54">
        <f t="shared" si="23"/>
        <v>-10</v>
      </c>
    </row>
    <row r="567" ht="14.25" customHeight="1">
      <c r="B567" s="140">
        <v>45791.0</v>
      </c>
      <c r="C567" s="141" t="str">
        <f t="shared" si="1"/>
        <v>5-2025</v>
      </c>
      <c r="D567" s="165" t="str">
        <f t="shared" si="68"/>
        <v/>
      </c>
      <c r="F567" s="54">
        <f t="shared" si="22"/>
        <v>0</v>
      </c>
      <c r="G567" s="54">
        <f t="shared" si="23"/>
        <v>-10</v>
      </c>
    </row>
    <row r="568" ht="14.25" customHeight="1">
      <c r="B568" s="140">
        <v>45792.0</v>
      </c>
      <c r="C568" s="141" t="str">
        <f t="shared" si="1"/>
        <v>5-2025</v>
      </c>
      <c r="D568" s="165" t="str">
        <f t="shared" si="68"/>
        <v/>
      </c>
      <c r="F568" s="54">
        <f t="shared" si="22"/>
        <v>0</v>
      </c>
      <c r="G568" s="54">
        <f t="shared" si="23"/>
        <v>-10</v>
      </c>
    </row>
    <row r="569" ht="14.25" customHeight="1">
      <c r="B569" s="140">
        <v>45793.0</v>
      </c>
      <c r="C569" s="141" t="str">
        <f t="shared" si="1"/>
        <v>5-2025</v>
      </c>
      <c r="D569" s="165" t="str">
        <f t="shared" si="68"/>
        <v/>
      </c>
      <c r="F569" s="54">
        <f t="shared" si="22"/>
        <v>0</v>
      </c>
      <c r="G569" s="54">
        <f t="shared" si="23"/>
        <v>-10</v>
      </c>
    </row>
    <row r="570" ht="14.25" customHeight="1">
      <c r="B570" s="145">
        <v>45794.0</v>
      </c>
      <c r="C570" s="141" t="str">
        <f t="shared" si="1"/>
        <v>5-2025</v>
      </c>
      <c r="D570" s="165" t="str">
        <f t="shared" si="68"/>
        <v/>
      </c>
      <c r="F570" s="54">
        <f t="shared" si="22"/>
        <v>0</v>
      </c>
      <c r="G570" s="54">
        <f t="shared" si="23"/>
        <v>-10</v>
      </c>
    </row>
    <row r="571" ht="14.25" customHeight="1">
      <c r="B571" s="145">
        <v>45795.0</v>
      </c>
      <c r="C571" s="141" t="str">
        <f t="shared" si="1"/>
        <v>5-2025</v>
      </c>
      <c r="D571" s="165" t="str">
        <f t="shared" si="68"/>
        <v/>
      </c>
      <c r="F571" s="54">
        <f t="shared" si="22"/>
        <v>0</v>
      </c>
      <c r="G571" s="54">
        <f t="shared" si="23"/>
        <v>-10</v>
      </c>
    </row>
    <row r="572" ht="14.25" customHeight="1">
      <c r="B572" s="140">
        <v>45796.0</v>
      </c>
      <c r="C572" s="141" t="str">
        <f t="shared" si="1"/>
        <v>5-2025</v>
      </c>
      <c r="D572" s="165" t="str">
        <f t="shared" si="68"/>
        <v/>
      </c>
      <c r="F572" s="54">
        <f t="shared" si="22"/>
        <v>0</v>
      </c>
      <c r="G572" s="54">
        <f t="shared" si="23"/>
        <v>-10</v>
      </c>
    </row>
    <row r="573" ht="14.25" customHeight="1">
      <c r="B573" s="140">
        <v>45797.0</v>
      </c>
      <c r="C573" s="141" t="str">
        <f t="shared" si="1"/>
        <v>5-2025</v>
      </c>
      <c r="D573" s="165" t="str">
        <f t="shared" si="68"/>
        <v/>
      </c>
      <c r="F573" s="54">
        <f t="shared" si="22"/>
        <v>0</v>
      </c>
      <c r="G573" s="54">
        <f t="shared" si="23"/>
        <v>-10</v>
      </c>
    </row>
    <row r="574" ht="14.25" customHeight="1">
      <c r="B574" s="140">
        <v>45798.0</v>
      </c>
      <c r="C574" s="141" t="str">
        <f t="shared" si="1"/>
        <v>5-2025</v>
      </c>
      <c r="D574" s="165" t="str">
        <f t="shared" si="68"/>
        <v/>
      </c>
      <c r="F574" s="54">
        <f t="shared" si="22"/>
        <v>0</v>
      </c>
      <c r="G574" s="54">
        <f t="shared" si="23"/>
        <v>-10</v>
      </c>
    </row>
    <row r="575" ht="14.25" customHeight="1">
      <c r="B575" s="140">
        <v>45799.0</v>
      </c>
      <c r="C575" s="141" t="str">
        <f t="shared" si="1"/>
        <v>5-2025</v>
      </c>
      <c r="D575" s="165" t="str">
        <f t="shared" si="68"/>
        <v/>
      </c>
      <c r="F575" s="54">
        <f t="shared" si="22"/>
        <v>0</v>
      </c>
      <c r="G575" s="54">
        <f t="shared" si="23"/>
        <v>-10</v>
      </c>
    </row>
    <row r="576" ht="14.25" customHeight="1">
      <c r="B576" s="140">
        <v>45800.0</v>
      </c>
      <c r="C576" s="141" t="str">
        <f t="shared" si="1"/>
        <v>5-2025</v>
      </c>
      <c r="D576" s="165" t="str">
        <f t="shared" si="68"/>
        <v/>
      </c>
      <c r="F576" s="54">
        <f t="shared" si="22"/>
        <v>0</v>
      </c>
      <c r="G576" s="54">
        <f t="shared" si="23"/>
        <v>-10</v>
      </c>
    </row>
    <row r="577" ht="14.25" customHeight="1">
      <c r="B577" s="145">
        <v>45801.0</v>
      </c>
      <c r="C577" s="141" t="str">
        <f t="shared" si="1"/>
        <v>5-2025</v>
      </c>
      <c r="D577" s="165" t="str">
        <f t="shared" si="68"/>
        <v/>
      </c>
      <c r="F577" s="54">
        <f t="shared" si="22"/>
        <v>0</v>
      </c>
      <c r="G577" s="54">
        <f t="shared" si="23"/>
        <v>-10</v>
      </c>
    </row>
    <row r="578" ht="14.25" customHeight="1">
      <c r="B578" s="145">
        <v>45802.0</v>
      </c>
      <c r="C578" s="141" t="str">
        <f t="shared" si="1"/>
        <v>5-2025</v>
      </c>
      <c r="D578" s="165" t="str">
        <f t="shared" si="68"/>
        <v/>
      </c>
      <c r="F578" s="54">
        <f t="shared" si="22"/>
        <v>0</v>
      </c>
      <c r="G578" s="54">
        <f t="shared" si="23"/>
        <v>-10</v>
      </c>
    </row>
    <row r="579" ht="14.25" customHeight="1">
      <c r="B579" s="140">
        <v>45803.0</v>
      </c>
      <c r="C579" s="141" t="str">
        <f t="shared" si="1"/>
        <v>5-2025</v>
      </c>
      <c r="D579" s="165" t="str">
        <f t="shared" si="68"/>
        <v/>
      </c>
      <c r="F579" s="54">
        <f t="shared" si="22"/>
        <v>0</v>
      </c>
      <c r="G579" s="54">
        <f t="shared" si="23"/>
        <v>-10</v>
      </c>
    </row>
    <row r="580" ht="14.25" customHeight="1">
      <c r="B580" s="140">
        <v>45804.0</v>
      </c>
      <c r="C580" s="141" t="str">
        <f t="shared" si="1"/>
        <v>5-2025</v>
      </c>
      <c r="D580" s="165" t="str">
        <f t="shared" si="68"/>
        <v/>
      </c>
      <c r="F580" s="54">
        <f t="shared" si="22"/>
        <v>0</v>
      </c>
      <c r="G580" s="54">
        <f t="shared" si="23"/>
        <v>-10</v>
      </c>
    </row>
    <row r="581" ht="14.25" customHeight="1">
      <c r="B581" s="140">
        <v>45805.0</v>
      </c>
      <c r="C581" s="141" t="str">
        <f t="shared" si="1"/>
        <v>5-2025</v>
      </c>
      <c r="D581" s="165" t="str">
        <f t="shared" si="68"/>
        <v/>
      </c>
      <c r="F581" s="54">
        <f t="shared" si="22"/>
        <v>0</v>
      </c>
      <c r="G581" s="54">
        <f t="shared" si="23"/>
        <v>-10</v>
      </c>
    </row>
    <row r="582" ht="14.25" customHeight="1">
      <c r="B582" s="140">
        <v>45806.0</v>
      </c>
      <c r="C582" s="141" t="str">
        <f t="shared" si="1"/>
        <v>5-2025</v>
      </c>
      <c r="D582" s="165" t="str">
        <f t="shared" si="68"/>
        <v/>
      </c>
      <c r="F582" s="54">
        <f t="shared" si="22"/>
        <v>0</v>
      </c>
      <c r="G582" s="54">
        <f t="shared" si="23"/>
        <v>-10</v>
      </c>
    </row>
    <row r="583" ht="14.25" customHeight="1">
      <c r="B583" s="140">
        <v>45807.0</v>
      </c>
      <c r="C583" s="141" t="str">
        <f t="shared" si="1"/>
        <v>5-2025</v>
      </c>
      <c r="D583" s="165" t="str">
        <f t="shared" si="68"/>
        <v/>
      </c>
      <c r="F583" s="54">
        <f t="shared" si="22"/>
        <v>0</v>
      </c>
      <c r="G583" s="54">
        <f t="shared" si="23"/>
        <v>-10</v>
      </c>
    </row>
    <row r="584" ht="14.25" customHeight="1">
      <c r="B584" s="145">
        <v>45808.0</v>
      </c>
      <c r="C584" s="141" t="str">
        <f t="shared" si="1"/>
        <v>5-2025</v>
      </c>
      <c r="D584" s="165" t="str">
        <f t="shared" si="68"/>
        <v/>
      </c>
      <c r="F584" s="54">
        <f t="shared" si="22"/>
        <v>0</v>
      </c>
      <c r="G584" s="54">
        <f t="shared" si="23"/>
        <v>-10</v>
      </c>
    </row>
    <row r="585" ht="14.25" customHeight="1">
      <c r="B585" s="145">
        <v>45809.0</v>
      </c>
      <c r="C585" s="141" t="str">
        <f t="shared" si="1"/>
        <v>6-2025</v>
      </c>
      <c r="D585" s="165" t="str">
        <f t="shared" si="68"/>
        <v/>
      </c>
      <c r="F585" s="54">
        <f t="shared" si="22"/>
        <v>0</v>
      </c>
      <c r="G585" s="54">
        <f t="shared" si="23"/>
        <v>-10</v>
      </c>
    </row>
    <row r="586" ht="14.25" customHeight="1">
      <c r="C586" s="141" t="str">
        <f t="shared" si="1"/>
        <v>12-1899</v>
      </c>
      <c r="D586" s="165" t="str">
        <f t="shared" si="68"/>
        <v/>
      </c>
      <c r="F586" s="54">
        <f t="shared" si="22"/>
        <v>0</v>
      </c>
      <c r="G586" s="54">
        <f t="shared" si="23"/>
        <v>-10</v>
      </c>
    </row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B1:D2"/>
  </mergeCells>
  <printOptions/>
  <pageMargins bottom="0.787401575" footer="0.0" header="0.0" left="0.511811024" right="0.511811024" top="0.787401575"/>
  <pageSetup orientation="landscape"/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11.71"/>
    <col customWidth="1" min="4" max="5" width="12.29"/>
    <col customWidth="1" min="6" max="6" width="7.43"/>
    <col customWidth="1" min="7" max="7" width="8.71"/>
    <col customWidth="1" min="8" max="8" width="11.0"/>
    <col customWidth="1" min="9" max="9" width="11.71"/>
    <col customWidth="1" min="10" max="11" width="12.29"/>
    <col customWidth="1" min="12" max="12" width="7.43"/>
    <col customWidth="1" min="13" max="13" width="8.71"/>
    <col customWidth="1" min="14" max="14" width="11.0"/>
    <col customWidth="1" min="15" max="15" width="11.71"/>
    <col customWidth="1" min="16" max="17" width="12.29"/>
    <col customWidth="1" min="18" max="18" width="7.43"/>
    <col customWidth="1" min="19" max="19" width="8.71"/>
    <col customWidth="1" min="20" max="20" width="11.0"/>
    <col customWidth="1" min="21" max="21" width="15.43"/>
    <col customWidth="1" min="22" max="22" width="14.29"/>
    <col customWidth="1" min="23" max="23" width="8.29"/>
    <col customWidth="1" min="24" max="24" width="7.43"/>
    <col customWidth="1" min="25" max="25" width="8.71"/>
    <col customWidth="1" min="26" max="26" width="11.0"/>
    <col customWidth="1" min="27" max="27" width="11.71"/>
    <col customWidth="1" min="28" max="29" width="12.29"/>
    <col customWidth="1" min="30" max="30" width="7.43"/>
    <col customWidth="1" min="31" max="31" width="8.71"/>
    <col customWidth="1" min="32" max="32" width="11.0"/>
    <col customWidth="1" min="33" max="33" width="11.71"/>
    <col customWidth="1" min="34" max="35" width="12.29"/>
    <col customWidth="1" min="36" max="36" width="7.43"/>
    <col customWidth="1" min="37" max="37" width="8.71"/>
    <col customWidth="1" min="38" max="38" width="10.57"/>
    <col customWidth="1" min="39" max="39" width="11.71"/>
    <col customWidth="1" min="40" max="41" width="12.29"/>
    <col customWidth="1" min="42" max="42" width="7.43"/>
    <col customWidth="1" min="43" max="43" width="8.71"/>
    <col customWidth="1" min="44" max="44" width="10.57"/>
    <col customWidth="1" min="45" max="45" width="11.71"/>
    <col customWidth="1" min="46" max="47" width="12.29"/>
    <col customWidth="1" min="48" max="48" width="7.43"/>
    <col customWidth="1" min="49" max="49" width="8.71"/>
    <col customWidth="1" min="50" max="50" width="10.57"/>
    <col customWidth="1" min="51" max="51" width="11.71"/>
    <col customWidth="1" min="52" max="53" width="12.29"/>
    <col customWidth="1" min="54" max="54" width="7.43"/>
  </cols>
  <sheetData>
    <row r="1" ht="26.25" customHeight="1">
      <c r="A1" s="205">
        <v>2023.0</v>
      </c>
    </row>
    <row r="2" ht="13.5" customHeight="1">
      <c r="B2" s="206" t="s">
        <v>18</v>
      </c>
      <c r="C2" s="207"/>
      <c r="D2" s="207"/>
      <c r="E2" s="207"/>
      <c r="F2" s="208"/>
      <c r="G2" s="209"/>
      <c r="H2" s="206"/>
      <c r="I2" s="207"/>
      <c r="J2" s="207"/>
      <c r="K2" s="207"/>
      <c r="L2" s="208"/>
      <c r="M2" s="209"/>
      <c r="N2" s="206" t="s">
        <v>142</v>
      </c>
      <c r="O2" s="207"/>
      <c r="P2" s="207"/>
      <c r="Q2" s="207"/>
      <c r="R2" s="208"/>
      <c r="S2" s="209"/>
      <c r="T2" s="206" t="s">
        <v>95</v>
      </c>
      <c r="U2" s="207"/>
      <c r="V2" s="207"/>
      <c r="W2" s="207"/>
      <c r="X2" s="208"/>
      <c r="Y2" s="209"/>
      <c r="Z2" s="206" t="s">
        <v>32</v>
      </c>
      <c r="AA2" s="207"/>
      <c r="AB2" s="207"/>
      <c r="AC2" s="207"/>
      <c r="AD2" s="208"/>
      <c r="AE2" s="209"/>
      <c r="AF2" s="206" t="s">
        <v>27</v>
      </c>
      <c r="AG2" s="207"/>
      <c r="AH2" s="207"/>
      <c r="AI2" s="207"/>
      <c r="AJ2" s="208"/>
      <c r="AK2" s="209"/>
      <c r="AL2" s="206" t="s">
        <v>34</v>
      </c>
      <c r="AM2" s="207"/>
      <c r="AN2" s="207"/>
      <c r="AO2" s="207"/>
      <c r="AP2" s="208"/>
      <c r="AQ2" s="209"/>
      <c r="AR2" s="206" t="s">
        <v>212</v>
      </c>
      <c r="AS2" s="207"/>
      <c r="AT2" s="207"/>
      <c r="AU2" s="207"/>
      <c r="AV2" s="208"/>
      <c r="AW2" s="209"/>
      <c r="AX2" s="206"/>
      <c r="AY2" s="207"/>
      <c r="AZ2" s="207"/>
      <c r="BA2" s="207"/>
      <c r="BB2" s="208"/>
    </row>
    <row r="3" ht="14.25" customHeight="1">
      <c r="B3" s="210"/>
      <c r="F3" s="211"/>
      <c r="G3" s="209"/>
      <c r="H3" s="210"/>
      <c r="L3" s="211"/>
      <c r="M3" s="209"/>
      <c r="N3" s="210"/>
      <c r="R3" s="211"/>
      <c r="S3" s="209"/>
      <c r="T3" s="210"/>
      <c r="X3" s="211"/>
      <c r="Y3" s="209"/>
      <c r="Z3" s="210"/>
      <c r="AD3" s="211"/>
      <c r="AE3" s="209"/>
      <c r="AF3" s="210"/>
      <c r="AJ3" s="211"/>
      <c r="AK3" s="209"/>
      <c r="AL3" s="210"/>
      <c r="AP3" s="211"/>
      <c r="AQ3" s="209"/>
      <c r="AR3" s="210"/>
      <c r="AV3" s="211"/>
      <c r="AW3" s="209"/>
      <c r="AX3" s="210"/>
      <c r="BB3" s="211"/>
    </row>
    <row r="4" ht="9.75" customHeight="1">
      <c r="B4" s="212"/>
      <c r="C4" s="213"/>
      <c r="D4" s="213"/>
      <c r="E4" s="213"/>
      <c r="F4" s="214"/>
      <c r="G4" s="209"/>
      <c r="H4" s="212"/>
      <c r="I4" s="213"/>
      <c r="J4" s="213"/>
      <c r="K4" s="213"/>
      <c r="L4" s="214"/>
      <c r="M4" s="209"/>
      <c r="N4" s="212"/>
      <c r="O4" s="213"/>
      <c r="P4" s="213"/>
      <c r="Q4" s="213"/>
      <c r="R4" s="214"/>
      <c r="S4" s="209"/>
      <c r="T4" s="212"/>
      <c r="U4" s="213"/>
      <c r="V4" s="213"/>
      <c r="W4" s="213"/>
      <c r="X4" s="214"/>
      <c r="Y4" s="209"/>
      <c r="Z4" s="212"/>
      <c r="AA4" s="213"/>
      <c r="AB4" s="213"/>
      <c r="AC4" s="213"/>
      <c r="AD4" s="214"/>
      <c r="AE4" s="209"/>
      <c r="AF4" s="212"/>
      <c r="AG4" s="213"/>
      <c r="AH4" s="213"/>
      <c r="AI4" s="213"/>
      <c r="AJ4" s="214"/>
      <c r="AK4" s="209"/>
      <c r="AL4" s="212"/>
      <c r="AM4" s="213"/>
      <c r="AN4" s="213"/>
      <c r="AO4" s="213"/>
      <c r="AP4" s="214"/>
      <c r="AQ4" s="209"/>
      <c r="AR4" s="212"/>
      <c r="AS4" s="213"/>
      <c r="AT4" s="213"/>
      <c r="AU4" s="213"/>
      <c r="AV4" s="214"/>
      <c r="AW4" s="209"/>
      <c r="AX4" s="212"/>
      <c r="AY4" s="213"/>
      <c r="AZ4" s="213"/>
      <c r="BA4" s="213"/>
      <c r="BB4" s="214"/>
    </row>
    <row r="5" ht="14.25" customHeight="1">
      <c r="A5" s="215" t="s">
        <v>213</v>
      </c>
      <c r="B5" s="216" t="s">
        <v>214</v>
      </c>
      <c r="C5" s="216" t="s">
        <v>215</v>
      </c>
      <c r="D5" s="216" t="s">
        <v>216</v>
      </c>
      <c r="E5" s="216" t="s">
        <v>217</v>
      </c>
      <c r="F5" s="216" t="s">
        <v>218</v>
      </c>
      <c r="H5" s="217" t="s">
        <v>214</v>
      </c>
      <c r="I5" s="216" t="s">
        <v>215</v>
      </c>
      <c r="J5" s="216" t="s">
        <v>216</v>
      </c>
      <c r="K5" s="216" t="s">
        <v>217</v>
      </c>
      <c r="L5" s="216" t="s">
        <v>218</v>
      </c>
      <c r="N5" s="216" t="s">
        <v>214</v>
      </c>
      <c r="O5" s="216" t="s">
        <v>215</v>
      </c>
      <c r="P5" s="216" t="s">
        <v>216</v>
      </c>
      <c r="Q5" s="216" t="s">
        <v>217</v>
      </c>
      <c r="R5" s="216" t="s">
        <v>218</v>
      </c>
      <c r="T5" s="216" t="s">
        <v>214</v>
      </c>
      <c r="U5" s="216" t="s">
        <v>215</v>
      </c>
      <c r="V5" s="216" t="s">
        <v>216</v>
      </c>
      <c r="W5" s="216" t="s">
        <v>217</v>
      </c>
      <c r="X5" s="216" t="s">
        <v>218</v>
      </c>
      <c r="Z5" s="216" t="s">
        <v>214</v>
      </c>
      <c r="AA5" s="216" t="s">
        <v>215</v>
      </c>
      <c r="AB5" s="216" t="s">
        <v>216</v>
      </c>
      <c r="AC5" s="216" t="s">
        <v>217</v>
      </c>
      <c r="AD5" s="216" t="s">
        <v>218</v>
      </c>
      <c r="AF5" s="216" t="s">
        <v>214</v>
      </c>
      <c r="AG5" s="216" t="s">
        <v>215</v>
      </c>
      <c r="AH5" s="216" t="s">
        <v>216</v>
      </c>
      <c r="AI5" s="216" t="s">
        <v>217</v>
      </c>
      <c r="AJ5" s="216" t="s">
        <v>218</v>
      </c>
      <c r="AL5" s="216" t="s">
        <v>214</v>
      </c>
      <c r="AM5" s="216" t="s">
        <v>215</v>
      </c>
      <c r="AN5" s="216" t="s">
        <v>216</v>
      </c>
      <c r="AO5" s="216" t="s">
        <v>217</v>
      </c>
      <c r="AP5" s="216" t="s">
        <v>218</v>
      </c>
      <c r="AR5" s="216" t="s">
        <v>214</v>
      </c>
      <c r="AS5" s="216" t="s">
        <v>215</v>
      </c>
      <c r="AT5" s="216" t="s">
        <v>216</v>
      </c>
      <c r="AU5" s="216" t="s">
        <v>217</v>
      </c>
      <c r="AV5" s="216" t="s">
        <v>218</v>
      </c>
      <c r="AX5" s="216" t="s">
        <v>214</v>
      </c>
      <c r="AY5" s="216" t="s">
        <v>215</v>
      </c>
      <c r="AZ5" s="216" t="s">
        <v>216</v>
      </c>
      <c r="BA5" s="216" t="s">
        <v>217</v>
      </c>
      <c r="BB5" s="216" t="s">
        <v>218</v>
      </c>
    </row>
    <row r="6" ht="14.25" customHeight="1">
      <c r="A6" s="218"/>
      <c r="B6" s="219">
        <v>45170.0</v>
      </c>
      <c r="C6" s="220">
        <v>2114.0</v>
      </c>
      <c r="D6" s="220">
        <v>2117.0</v>
      </c>
      <c r="E6" s="220">
        <f t="shared" ref="E6:E36" si="1">D6-C6</f>
        <v>3</v>
      </c>
      <c r="F6" s="220">
        <f t="shared" ref="F6:F37" si="2">E6-10</f>
        <v>-7</v>
      </c>
      <c r="H6" s="219">
        <v>45170.0</v>
      </c>
      <c r="I6" s="220"/>
      <c r="J6" s="220"/>
      <c r="K6" s="220">
        <f t="shared" ref="K6:K36" si="3">J6-I6</f>
        <v>0</v>
      </c>
      <c r="L6" s="220">
        <f t="shared" ref="L6:L37" si="4">K6-10</f>
        <v>-10</v>
      </c>
      <c r="N6" s="219">
        <v>45170.0</v>
      </c>
      <c r="O6" s="220">
        <v>1908.2</v>
      </c>
      <c r="P6" s="220">
        <v>1912.2</v>
      </c>
      <c r="Q6" s="220">
        <f t="shared" ref="Q6:Q36" si="5">P6-O6</f>
        <v>4</v>
      </c>
      <c r="R6" s="220">
        <f t="shared" ref="R6:R37" si="6">Q6-10</f>
        <v>-6</v>
      </c>
      <c r="T6" s="219">
        <v>45170.0</v>
      </c>
      <c r="U6" s="220">
        <v>3075.6</v>
      </c>
      <c r="V6" s="220">
        <v>3085.1</v>
      </c>
      <c r="W6" s="220">
        <f t="shared" ref="W6:W11" si="7">V6-U6</f>
        <v>9.5</v>
      </c>
      <c r="X6" s="220">
        <f t="shared" ref="X6:X37" si="8">W6-10</f>
        <v>-0.5</v>
      </c>
      <c r="Z6" s="219">
        <v>45170.0</v>
      </c>
      <c r="AA6" s="220">
        <v>1147.7</v>
      </c>
      <c r="AB6" s="220">
        <v>1155.7</v>
      </c>
      <c r="AC6" s="220">
        <f t="shared" ref="AC6:AC36" si="9">AB6-AA6</f>
        <v>8</v>
      </c>
      <c r="AD6" s="220">
        <f t="shared" ref="AD6:AD37" si="10">AC6-10</f>
        <v>-2</v>
      </c>
      <c r="AF6" s="219">
        <v>45170.0</v>
      </c>
      <c r="AG6" s="220"/>
      <c r="AH6" s="220"/>
      <c r="AI6" s="220">
        <f t="shared" ref="AI6:AI36" si="11">AH6-AG6</f>
        <v>0</v>
      </c>
      <c r="AJ6" s="220">
        <f t="shared" ref="AJ6:AJ37" si="12">AI6-10</f>
        <v>-10</v>
      </c>
      <c r="AL6" s="219">
        <v>45170.0</v>
      </c>
      <c r="AM6" s="220"/>
      <c r="AN6" s="220"/>
      <c r="AO6" s="220">
        <f t="shared" ref="AO6:AO36" si="13">AN6-AM6</f>
        <v>0</v>
      </c>
      <c r="AP6" s="220">
        <f t="shared" ref="AP6:AP37" si="14">AO6-10</f>
        <v>-10</v>
      </c>
      <c r="AR6" s="219">
        <v>45170.0</v>
      </c>
      <c r="AS6" s="220">
        <v>6911.2</v>
      </c>
      <c r="AT6" s="220">
        <v>6920.6</v>
      </c>
      <c r="AU6" s="220">
        <f t="shared" ref="AU6:AU36" si="15">AT6-AS6</f>
        <v>9.4</v>
      </c>
      <c r="AV6" s="220">
        <f t="shared" ref="AV6:AV37" si="16">AU6-10</f>
        <v>-0.6</v>
      </c>
      <c r="AX6" s="219">
        <v>45170.0</v>
      </c>
      <c r="AY6" s="220"/>
      <c r="AZ6" s="220"/>
      <c r="BA6" s="220">
        <f t="shared" ref="BA6:BA36" si="17">AZ6-AY6</f>
        <v>0</v>
      </c>
      <c r="BB6" s="220">
        <f t="shared" ref="BB6:BB37" si="18">BA6-10</f>
        <v>-10</v>
      </c>
    </row>
    <row r="7" ht="14.25" customHeight="1">
      <c r="A7" s="218"/>
      <c r="B7" s="219">
        <v>45171.0</v>
      </c>
      <c r="C7" s="220">
        <f>D6</f>
        <v>2117</v>
      </c>
      <c r="D7" s="220">
        <v>2121.0</v>
      </c>
      <c r="E7" s="220">
        <f t="shared" si="1"/>
        <v>4</v>
      </c>
      <c r="F7" s="220">
        <f t="shared" si="2"/>
        <v>-6</v>
      </c>
      <c r="G7" s="221"/>
      <c r="H7" s="219">
        <v>45171.0</v>
      </c>
      <c r="I7" s="220" t="str">
        <f t="shared" ref="I7:I36" si="19">J6</f>
        <v/>
      </c>
      <c r="J7" s="220"/>
      <c r="K7" s="220">
        <f t="shared" si="3"/>
        <v>0</v>
      </c>
      <c r="L7" s="220">
        <f t="shared" si="4"/>
        <v>-10</v>
      </c>
      <c r="M7" s="221"/>
      <c r="N7" s="219">
        <v>45171.0</v>
      </c>
      <c r="O7" s="220">
        <f t="shared" ref="O7:O19" si="20">P6</f>
        <v>1912.2</v>
      </c>
      <c r="P7" s="220">
        <v>1922.2</v>
      </c>
      <c r="Q7" s="220">
        <f t="shared" si="5"/>
        <v>10</v>
      </c>
      <c r="R7" s="220">
        <f t="shared" si="6"/>
        <v>0</v>
      </c>
      <c r="S7" s="221"/>
      <c r="T7" s="219">
        <v>45171.0</v>
      </c>
      <c r="U7" s="220">
        <f>V6</f>
        <v>3085.1</v>
      </c>
      <c r="V7" s="220">
        <v>3090.6</v>
      </c>
      <c r="W7" s="220">
        <f t="shared" si="7"/>
        <v>5.5</v>
      </c>
      <c r="X7" s="220">
        <f t="shared" si="8"/>
        <v>-4.5</v>
      </c>
      <c r="Y7" s="221"/>
      <c r="Z7" s="219">
        <v>45171.0</v>
      </c>
      <c r="AA7" s="220">
        <f>AB6</f>
        <v>1155.7</v>
      </c>
      <c r="AB7" s="220">
        <v>1160.3</v>
      </c>
      <c r="AC7" s="220">
        <f t="shared" si="9"/>
        <v>4.6</v>
      </c>
      <c r="AD7" s="220">
        <f t="shared" si="10"/>
        <v>-5.4</v>
      </c>
      <c r="AE7" s="221"/>
      <c r="AF7" s="219">
        <v>45171.0</v>
      </c>
      <c r="AG7" s="220" t="str">
        <f t="shared" ref="AG7:AG36" si="21">AH6</f>
        <v/>
      </c>
      <c r="AH7" s="220"/>
      <c r="AI7" s="220">
        <f t="shared" si="11"/>
        <v>0</v>
      </c>
      <c r="AJ7" s="220">
        <f t="shared" si="12"/>
        <v>-10</v>
      </c>
      <c r="AK7" s="221"/>
      <c r="AL7" s="219">
        <v>45171.0</v>
      </c>
      <c r="AM7" s="220" t="str">
        <f t="shared" ref="AM7:AM36" si="22">AN6</f>
        <v/>
      </c>
      <c r="AN7" s="220"/>
      <c r="AO7" s="220">
        <f t="shared" si="13"/>
        <v>0</v>
      </c>
      <c r="AP7" s="220">
        <f t="shared" si="14"/>
        <v>-10</v>
      </c>
      <c r="AQ7" s="221"/>
      <c r="AR7" s="219">
        <v>45171.0</v>
      </c>
      <c r="AS7" s="220">
        <f>AT6</f>
        <v>6920.6</v>
      </c>
      <c r="AT7" s="220">
        <v>6929.2</v>
      </c>
      <c r="AU7" s="220">
        <f t="shared" si="15"/>
        <v>8.6</v>
      </c>
      <c r="AV7" s="220">
        <f t="shared" si="16"/>
        <v>-1.4</v>
      </c>
      <c r="AW7" s="221"/>
      <c r="AX7" s="219">
        <v>45171.0</v>
      </c>
      <c r="AY7" s="220" t="str">
        <f t="shared" ref="AY7:AY36" si="23">AZ6</f>
        <v/>
      </c>
      <c r="AZ7" s="220"/>
      <c r="BA7" s="220">
        <f t="shared" si="17"/>
        <v>0</v>
      </c>
      <c r="BB7" s="220">
        <f t="shared" si="18"/>
        <v>-10</v>
      </c>
    </row>
    <row r="8" ht="14.25" customHeight="1">
      <c r="A8" s="218"/>
      <c r="B8" s="219">
        <v>45172.0</v>
      </c>
      <c r="C8" s="220"/>
      <c r="D8" s="220"/>
      <c r="E8" s="220">
        <f t="shared" si="1"/>
        <v>0</v>
      </c>
      <c r="F8" s="220">
        <f t="shared" si="2"/>
        <v>-10</v>
      </c>
      <c r="G8" s="221"/>
      <c r="H8" s="219">
        <v>45172.0</v>
      </c>
      <c r="I8" s="220" t="str">
        <f t="shared" si="19"/>
        <v/>
      </c>
      <c r="J8" s="220"/>
      <c r="K8" s="220">
        <f t="shared" si="3"/>
        <v>0</v>
      </c>
      <c r="L8" s="220">
        <f t="shared" si="4"/>
        <v>-10</v>
      </c>
      <c r="M8" s="221"/>
      <c r="N8" s="219">
        <v>45172.0</v>
      </c>
      <c r="O8" s="220">
        <f t="shared" si="20"/>
        <v>1922.2</v>
      </c>
      <c r="P8" s="220">
        <v>1932.3</v>
      </c>
      <c r="Q8" s="220">
        <f t="shared" si="5"/>
        <v>10.1</v>
      </c>
      <c r="R8" s="220">
        <f t="shared" si="6"/>
        <v>0.1</v>
      </c>
      <c r="S8" s="221"/>
      <c r="T8" s="219">
        <v>45172.0</v>
      </c>
      <c r="U8" s="220"/>
      <c r="V8" s="220"/>
      <c r="W8" s="220">
        <f t="shared" si="7"/>
        <v>0</v>
      </c>
      <c r="X8" s="220">
        <f t="shared" si="8"/>
        <v>-10</v>
      </c>
      <c r="Y8" s="221"/>
      <c r="Z8" s="219">
        <v>45172.0</v>
      </c>
      <c r="AA8" s="220"/>
      <c r="AB8" s="220"/>
      <c r="AC8" s="220">
        <f t="shared" si="9"/>
        <v>0</v>
      </c>
      <c r="AD8" s="220">
        <f t="shared" si="10"/>
        <v>-10</v>
      </c>
      <c r="AE8" s="221"/>
      <c r="AF8" s="219">
        <v>45172.0</v>
      </c>
      <c r="AG8" s="220" t="str">
        <f t="shared" si="21"/>
        <v/>
      </c>
      <c r="AH8" s="220"/>
      <c r="AI8" s="220">
        <f t="shared" si="11"/>
        <v>0</v>
      </c>
      <c r="AJ8" s="220">
        <f t="shared" si="12"/>
        <v>-10</v>
      </c>
      <c r="AK8" s="221"/>
      <c r="AL8" s="219">
        <v>45172.0</v>
      </c>
      <c r="AM8" s="220" t="str">
        <f t="shared" si="22"/>
        <v/>
      </c>
      <c r="AN8" s="220"/>
      <c r="AO8" s="220">
        <f t="shared" si="13"/>
        <v>0</v>
      </c>
      <c r="AP8" s="220">
        <f t="shared" si="14"/>
        <v>-10</v>
      </c>
      <c r="AQ8" s="221"/>
      <c r="AR8" s="219">
        <v>45172.0</v>
      </c>
      <c r="AS8" s="220"/>
      <c r="AT8" s="220"/>
      <c r="AU8" s="220">
        <f t="shared" si="15"/>
        <v>0</v>
      </c>
      <c r="AV8" s="220">
        <f t="shared" si="16"/>
        <v>-10</v>
      </c>
      <c r="AW8" s="221"/>
      <c r="AX8" s="219">
        <v>45172.0</v>
      </c>
      <c r="AY8" s="220" t="str">
        <f t="shared" si="23"/>
        <v/>
      </c>
      <c r="AZ8" s="220"/>
      <c r="BA8" s="220">
        <f t="shared" si="17"/>
        <v>0</v>
      </c>
      <c r="BB8" s="220">
        <f t="shared" si="18"/>
        <v>-10</v>
      </c>
    </row>
    <row r="9" ht="14.25" customHeight="1">
      <c r="A9" s="218"/>
      <c r="B9" s="219">
        <v>45173.0</v>
      </c>
      <c r="C9" s="220">
        <v>2121.0</v>
      </c>
      <c r="D9" s="220">
        <v>2125.0</v>
      </c>
      <c r="E9" s="220">
        <f t="shared" si="1"/>
        <v>4</v>
      </c>
      <c r="F9" s="220">
        <f t="shared" si="2"/>
        <v>-6</v>
      </c>
      <c r="G9" s="221"/>
      <c r="H9" s="219">
        <v>45173.0</v>
      </c>
      <c r="I9" s="220" t="str">
        <f t="shared" si="19"/>
        <v/>
      </c>
      <c r="J9" s="220"/>
      <c r="K9" s="220">
        <f t="shared" si="3"/>
        <v>0</v>
      </c>
      <c r="L9" s="220">
        <f t="shared" si="4"/>
        <v>-10</v>
      </c>
      <c r="M9" s="221"/>
      <c r="N9" s="219">
        <v>45173.0</v>
      </c>
      <c r="O9" s="220">
        <f t="shared" si="20"/>
        <v>1932.3</v>
      </c>
      <c r="P9" s="220">
        <v>1942.0</v>
      </c>
      <c r="Q9" s="220">
        <f t="shared" si="5"/>
        <v>9.7</v>
      </c>
      <c r="R9" s="220">
        <f t="shared" si="6"/>
        <v>-0.3</v>
      </c>
      <c r="S9" s="221"/>
      <c r="T9" s="219">
        <v>45173.0</v>
      </c>
      <c r="U9" s="220">
        <v>3090.6</v>
      </c>
      <c r="V9" s="220">
        <v>3100.6</v>
      </c>
      <c r="W9" s="220">
        <f t="shared" si="7"/>
        <v>10</v>
      </c>
      <c r="X9" s="220">
        <f t="shared" si="8"/>
        <v>0</v>
      </c>
      <c r="Y9" s="221"/>
      <c r="Z9" s="219">
        <v>45173.0</v>
      </c>
      <c r="AA9" s="220">
        <v>1160.3</v>
      </c>
      <c r="AB9" s="220">
        <v>1170.8</v>
      </c>
      <c r="AC9" s="220">
        <f t="shared" si="9"/>
        <v>10.5</v>
      </c>
      <c r="AD9" s="220">
        <f t="shared" si="10"/>
        <v>0.5</v>
      </c>
      <c r="AE9" s="221"/>
      <c r="AF9" s="219">
        <v>45173.0</v>
      </c>
      <c r="AG9" s="220" t="str">
        <f t="shared" si="21"/>
        <v/>
      </c>
      <c r="AH9" s="220"/>
      <c r="AI9" s="220">
        <f t="shared" si="11"/>
        <v>0</v>
      </c>
      <c r="AJ9" s="220">
        <f t="shared" si="12"/>
        <v>-10</v>
      </c>
      <c r="AK9" s="221"/>
      <c r="AL9" s="219">
        <v>45173.0</v>
      </c>
      <c r="AM9" s="220" t="str">
        <f t="shared" si="22"/>
        <v/>
      </c>
      <c r="AN9" s="220"/>
      <c r="AO9" s="220">
        <f t="shared" si="13"/>
        <v>0</v>
      </c>
      <c r="AP9" s="220">
        <f t="shared" si="14"/>
        <v>-10</v>
      </c>
      <c r="AQ9" s="221"/>
      <c r="AR9" s="219">
        <v>45173.0</v>
      </c>
      <c r="AS9" s="220">
        <v>6926.5</v>
      </c>
      <c r="AT9" s="220">
        <v>6935.7</v>
      </c>
      <c r="AU9" s="220">
        <f t="shared" si="15"/>
        <v>9.2</v>
      </c>
      <c r="AV9" s="220">
        <f t="shared" si="16"/>
        <v>-0.8</v>
      </c>
      <c r="AW9" s="221"/>
      <c r="AX9" s="219">
        <v>45173.0</v>
      </c>
      <c r="AY9" s="220" t="str">
        <f t="shared" si="23"/>
        <v/>
      </c>
      <c r="AZ9" s="220"/>
      <c r="BA9" s="220">
        <f t="shared" si="17"/>
        <v>0</v>
      </c>
      <c r="BB9" s="220">
        <f t="shared" si="18"/>
        <v>-10</v>
      </c>
    </row>
    <row r="10" ht="14.25" customHeight="1">
      <c r="A10" s="218"/>
      <c r="B10" s="219">
        <v>45174.0</v>
      </c>
      <c r="C10" s="220">
        <f t="shared" ref="C10:C13" si="24">D9</f>
        <v>2125</v>
      </c>
      <c r="D10" s="220">
        <v>2132.0</v>
      </c>
      <c r="E10" s="220">
        <f t="shared" si="1"/>
        <v>7</v>
      </c>
      <c r="F10" s="220">
        <f t="shared" si="2"/>
        <v>-3</v>
      </c>
      <c r="H10" s="219">
        <v>45174.0</v>
      </c>
      <c r="I10" s="220" t="str">
        <f t="shared" si="19"/>
        <v/>
      </c>
      <c r="J10" s="220"/>
      <c r="K10" s="220">
        <f t="shared" si="3"/>
        <v>0</v>
      </c>
      <c r="L10" s="220">
        <f t="shared" si="4"/>
        <v>-10</v>
      </c>
      <c r="N10" s="219">
        <v>45174.0</v>
      </c>
      <c r="O10" s="220">
        <f t="shared" si="20"/>
        <v>1942</v>
      </c>
      <c r="P10" s="220">
        <v>1952.0</v>
      </c>
      <c r="Q10" s="220">
        <f t="shared" si="5"/>
        <v>10</v>
      </c>
      <c r="R10" s="220">
        <f t="shared" si="6"/>
        <v>0</v>
      </c>
      <c r="T10" s="219">
        <v>45174.0</v>
      </c>
      <c r="U10" s="220">
        <f t="shared" ref="U10:U11" si="25">V9</f>
        <v>3100.6</v>
      </c>
      <c r="V10" s="220">
        <v>3111.2</v>
      </c>
      <c r="W10" s="220">
        <f t="shared" si="7"/>
        <v>10.6</v>
      </c>
      <c r="X10" s="220">
        <f t="shared" si="8"/>
        <v>0.6</v>
      </c>
      <c r="Z10" s="219">
        <v>45174.0</v>
      </c>
      <c r="AA10" s="220">
        <f t="shared" ref="AA10:AA15" si="26">AB9</f>
        <v>1170.8</v>
      </c>
      <c r="AB10" s="220">
        <v>1178.9</v>
      </c>
      <c r="AC10" s="220">
        <f t="shared" si="9"/>
        <v>8.1</v>
      </c>
      <c r="AD10" s="220">
        <f t="shared" si="10"/>
        <v>-1.9</v>
      </c>
      <c r="AF10" s="219">
        <v>45174.0</v>
      </c>
      <c r="AG10" s="220" t="str">
        <f t="shared" si="21"/>
        <v/>
      </c>
      <c r="AH10" s="220"/>
      <c r="AI10" s="220">
        <f t="shared" si="11"/>
        <v>0</v>
      </c>
      <c r="AJ10" s="220">
        <f t="shared" si="12"/>
        <v>-10</v>
      </c>
      <c r="AL10" s="219">
        <v>45174.0</v>
      </c>
      <c r="AM10" s="220" t="str">
        <f t="shared" si="22"/>
        <v/>
      </c>
      <c r="AN10" s="220"/>
      <c r="AO10" s="220">
        <f t="shared" si="13"/>
        <v>0</v>
      </c>
      <c r="AP10" s="220">
        <f t="shared" si="14"/>
        <v>-10</v>
      </c>
      <c r="AR10" s="219">
        <v>45174.0</v>
      </c>
      <c r="AS10" s="220">
        <f t="shared" ref="AS10:AS20" si="27">AT9</f>
        <v>6935.7</v>
      </c>
      <c r="AT10" s="220">
        <v>6944.9</v>
      </c>
      <c r="AU10" s="220">
        <f t="shared" si="15"/>
        <v>9.2</v>
      </c>
      <c r="AV10" s="220">
        <f t="shared" si="16"/>
        <v>-0.8</v>
      </c>
      <c r="AX10" s="219">
        <v>45174.0</v>
      </c>
      <c r="AY10" s="220" t="str">
        <f t="shared" si="23"/>
        <v/>
      </c>
      <c r="AZ10" s="220"/>
      <c r="BA10" s="220">
        <f t="shared" si="17"/>
        <v>0</v>
      </c>
      <c r="BB10" s="220">
        <f t="shared" si="18"/>
        <v>-10</v>
      </c>
    </row>
    <row r="11" ht="14.25" customHeight="1">
      <c r="A11" s="218"/>
      <c r="B11" s="219">
        <v>45175.0</v>
      </c>
      <c r="C11" s="220">
        <f t="shared" si="24"/>
        <v>2132</v>
      </c>
      <c r="D11" s="220">
        <v>2140.0</v>
      </c>
      <c r="E11" s="220">
        <f t="shared" si="1"/>
        <v>8</v>
      </c>
      <c r="F11" s="220">
        <f t="shared" si="2"/>
        <v>-2</v>
      </c>
      <c r="H11" s="219">
        <v>45175.0</v>
      </c>
      <c r="I11" s="220" t="str">
        <f t="shared" si="19"/>
        <v/>
      </c>
      <c r="J11" s="220"/>
      <c r="K11" s="220">
        <f t="shared" si="3"/>
        <v>0</v>
      </c>
      <c r="L11" s="220">
        <f t="shared" si="4"/>
        <v>-10</v>
      </c>
      <c r="N11" s="219">
        <v>45175.0</v>
      </c>
      <c r="O11" s="220">
        <f t="shared" si="20"/>
        <v>1952</v>
      </c>
      <c r="P11" s="220">
        <v>1964.1</v>
      </c>
      <c r="Q11" s="220">
        <f t="shared" si="5"/>
        <v>12.1</v>
      </c>
      <c r="R11" s="220">
        <f t="shared" si="6"/>
        <v>2.1</v>
      </c>
      <c r="T11" s="219">
        <v>45175.0</v>
      </c>
      <c r="U11" s="220">
        <f t="shared" si="25"/>
        <v>3111.2</v>
      </c>
      <c r="V11" s="220">
        <v>3120.6</v>
      </c>
      <c r="W11" s="220">
        <f t="shared" si="7"/>
        <v>9.4</v>
      </c>
      <c r="X11" s="220">
        <f t="shared" si="8"/>
        <v>-0.6</v>
      </c>
      <c r="Z11" s="219">
        <v>45175.0</v>
      </c>
      <c r="AA11" s="220">
        <f t="shared" si="26"/>
        <v>1178.9</v>
      </c>
      <c r="AB11" s="220">
        <v>1188.9</v>
      </c>
      <c r="AC11" s="220">
        <f t="shared" si="9"/>
        <v>10</v>
      </c>
      <c r="AD11" s="220">
        <f t="shared" si="10"/>
        <v>0</v>
      </c>
      <c r="AF11" s="219">
        <v>45175.0</v>
      </c>
      <c r="AG11" s="220" t="str">
        <f t="shared" si="21"/>
        <v/>
      </c>
      <c r="AH11" s="220"/>
      <c r="AI11" s="220">
        <f t="shared" si="11"/>
        <v>0</v>
      </c>
      <c r="AJ11" s="220">
        <f t="shared" si="12"/>
        <v>-10</v>
      </c>
      <c r="AL11" s="219">
        <v>45175.0</v>
      </c>
      <c r="AM11" s="220" t="str">
        <f t="shared" si="22"/>
        <v/>
      </c>
      <c r="AN11" s="220"/>
      <c r="AO11" s="220">
        <f t="shared" si="13"/>
        <v>0</v>
      </c>
      <c r="AP11" s="220">
        <f t="shared" si="14"/>
        <v>-10</v>
      </c>
      <c r="AR11" s="219">
        <v>45175.0</v>
      </c>
      <c r="AS11" s="220">
        <f t="shared" si="27"/>
        <v>6944.9</v>
      </c>
      <c r="AT11" s="220">
        <v>6954.1</v>
      </c>
      <c r="AU11" s="220">
        <f t="shared" si="15"/>
        <v>9.2</v>
      </c>
      <c r="AV11" s="220">
        <f t="shared" si="16"/>
        <v>-0.8</v>
      </c>
      <c r="AX11" s="219">
        <v>45175.0</v>
      </c>
      <c r="AY11" s="220" t="str">
        <f t="shared" si="23"/>
        <v/>
      </c>
      <c r="AZ11" s="220"/>
      <c r="BA11" s="220">
        <f t="shared" si="17"/>
        <v>0</v>
      </c>
      <c r="BB11" s="220">
        <f t="shared" si="18"/>
        <v>-10</v>
      </c>
    </row>
    <row r="12" ht="14.25" customHeight="1">
      <c r="A12" s="218"/>
      <c r="B12" s="219">
        <v>45176.0</v>
      </c>
      <c r="C12" s="220">
        <f t="shared" si="24"/>
        <v>2140</v>
      </c>
      <c r="D12" s="220">
        <v>2144.0</v>
      </c>
      <c r="E12" s="220">
        <f t="shared" si="1"/>
        <v>4</v>
      </c>
      <c r="F12" s="220">
        <f t="shared" si="2"/>
        <v>-6</v>
      </c>
      <c r="H12" s="219">
        <v>45176.0</v>
      </c>
      <c r="I12" s="220" t="str">
        <f t="shared" si="19"/>
        <v/>
      </c>
      <c r="J12" s="220"/>
      <c r="K12" s="220">
        <f t="shared" si="3"/>
        <v>0</v>
      </c>
      <c r="L12" s="220">
        <f t="shared" si="4"/>
        <v>-10</v>
      </c>
      <c r="N12" s="219">
        <v>45176.0</v>
      </c>
      <c r="O12" s="220">
        <f t="shared" si="20"/>
        <v>1964.1</v>
      </c>
      <c r="P12" s="220">
        <v>1976.1</v>
      </c>
      <c r="Q12" s="220">
        <f t="shared" si="5"/>
        <v>12</v>
      </c>
      <c r="R12" s="220">
        <f t="shared" si="6"/>
        <v>2</v>
      </c>
      <c r="T12" s="219">
        <v>45176.0</v>
      </c>
      <c r="U12" s="220" t="s">
        <v>219</v>
      </c>
      <c r="V12" s="220" t="s">
        <v>220</v>
      </c>
      <c r="W12" s="220">
        <v>8.0</v>
      </c>
      <c r="X12" s="220">
        <f t="shared" si="8"/>
        <v>-2</v>
      </c>
      <c r="Z12" s="219">
        <v>45176.0</v>
      </c>
      <c r="AA12" s="220">
        <f t="shared" si="26"/>
        <v>1188.9</v>
      </c>
      <c r="AB12" s="220">
        <v>1197.7</v>
      </c>
      <c r="AC12" s="220">
        <f t="shared" si="9"/>
        <v>8.8</v>
      </c>
      <c r="AD12" s="220">
        <f t="shared" si="10"/>
        <v>-1.2</v>
      </c>
      <c r="AF12" s="219">
        <v>45176.0</v>
      </c>
      <c r="AG12" s="220" t="str">
        <f t="shared" si="21"/>
        <v/>
      </c>
      <c r="AH12" s="220"/>
      <c r="AI12" s="220">
        <f t="shared" si="11"/>
        <v>0</v>
      </c>
      <c r="AJ12" s="220">
        <f t="shared" si="12"/>
        <v>-10</v>
      </c>
      <c r="AL12" s="219">
        <v>45176.0</v>
      </c>
      <c r="AM12" s="220" t="str">
        <f t="shared" si="22"/>
        <v/>
      </c>
      <c r="AN12" s="220"/>
      <c r="AO12" s="220">
        <f t="shared" si="13"/>
        <v>0</v>
      </c>
      <c r="AP12" s="220">
        <f t="shared" si="14"/>
        <v>-10</v>
      </c>
      <c r="AR12" s="219">
        <v>45176.0</v>
      </c>
      <c r="AS12" s="220">
        <f t="shared" si="27"/>
        <v>6954.1</v>
      </c>
      <c r="AT12" s="220">
        <v>6962.9</v>
      </c>
      <c r="AU12" s="220">
        <f t="shared" si="15"/>
        <v>8.8</v>
      </c>
      <c r="AV12" s="220">
        <f t="shared" si="16"/>
        <v>-1.2</v>
      </c>
      <c r="AX12" s="219">
        <v>45176.0</v>
      </c>
      <c r="AY12" s="220" t="str">
        <f t="shared" si="23"/>
        <v/>
      </c>
      <c r="AZ12" s="220"/>
      <c r="BA12" s="220">
        <f t="shared" si="17"/>
        <v>0</v>
      </c>
      <c r="BB12" s="220">
        <f t="shared" si="18"/>
        <v>-10</v>
      </c>
    </row>
    <row r="13" ht="14.25" customHeight="1">
      <c r="A13" s="218"/>
      <c r="B13" s="219">
        <v>45177.0</v>
      </c>
      <c r="C13" s="220">
        <f t="shared" si="24"/>
        <v>2144</v>
      </c>
      <c r="D13" s="220">
        <v>2154.0</v>
      </c>
      <c r="E13" s="220">
        <f t="shared" si="1"/>
        <v>10</v>
      </c>
      <c r="F13" s="220">
        <f t="shared" si="2"/>
        <v>0</v>
      </c>
      <c r="H13" s="219">
        <v>45177.0</v>
      </c>
      <c r="I13" s="220" t="str">
        <f t="shared" si="19"/>
        <v/>
      </c>
      <c r="J13" s="220"/>
      <c r="K13" s="220">
        <f t="shared" si="3"/>
        <v>0</v>
      </c>
      <c r="L13" s="220">
        <f t="shared" si="4"/>
        <v>-10</v>
      </c>
      <c r="N13" s="219">
        <v>45177.0</v>
      </c>
      <c r="O13" s="220">
        <f t="shared" si="20"/>
        <v>1976.1</v>
      </c>
      <c r="P13" s="220">
        <v>1983.1</v>
      </c>
      <c r="Q13" s="220">
        <f t="shared" si="5"/>
        <v>7</v>
      </c>
      <c r="R13" s="220">
        <f t="shared" si="6"/>
        <v>-3</v>
      </c>
      <c r="T13" s="219">
        <v>45177.0</v>
      </c>
      <c r="U13" s="220">
        <v>3128.2</v>
      </c>
      <c r="V13" s="220">
        <v>3138.2</v>
      </c>
      <c r="W13" s="220">
        <f t="shared" ref="W13:W20" si="28">V13-U13</f>
        <v>10</v>
      </c>
      <c r="X13" s="220">
        <f t="shared" si="8"/>
        <v>0</v>
      </c>
      <c r="Z13" s="219">
        <v>45177.0</v>
      </c>
      <c r="AA13" s="220">
        <f t="shared" si="26"/>
        <v>1197.7</v>
      </c>
      <c r="AB13" s="220">
        <v>1207.1</v>
      </c>
      <c r="AC13" s="220">
        <f t="shared" si="9"/>
        <v>9.4</v>
      </c>
      <c r="AD13" s="220">
        <f t="shared" si="10"/>
        <v>-0.6</v>
      </c>
      <c r="AF13" s="219">
        <v>45177.0</v>
      </c>
      <c r="AG13" s="220" t="str">
        <f t="shared" si="21"/>
        <v/>
      </c>
      <c r="AH13" s="220"/>
      <c r="AI13" s="220">
        <f t="shared" si="11"/>
        <v>0</v>
      </c>
      <c r="AJ13" s="220">
        <f t="shared" si="12"/>
        <v>-10</v>
      </c>
      <c r="AL13" s="219">
        <v>45177.0</v>
      </c>
      <c r="AM13" s="220" t="str">
        <f t="shared" si="22"/>
        <v/>
      </c>
      <c r="AN13" s="220"/>
      <c r="AO13" s="220">
        <f t="shared" si="13"/>
        <v>0</v>
      </c>
      <c r="AP13" s="220">
        <f t="shared" si="14"/>
        <v>-10</v>
      </c>
      <c r="AR13" s="219">
        <v>45177.0</v>
      </c>
      <c r="AS13" s="220">
        <f t="shared" si="27"/>
        <v>6962.9</v>
      </c>
      <c r="AT13" s="220">
        <v>6972.2</v>
      </c>
      <c r="AU13" s="220">
        <f t="shared" si="15"/>
        <v>9.3</v>
      </c>
      <c r="AV13" s="220">
        <f t="shared" si="16"/>
        <v>-0.7</v>
      </c>
      <c r="AX13" s="219">
        <v>45177.0</v>
      </c>
      <c r="AY13" s="220" t="str">
        <f t="shared" si="23"/>
        <v/>
      </c>
      <c r="AZ13" s="220"/>
      <c r="BA13" s="220">
        <f t="shared" si="17"/>
        <v>0</v>
      </c>
      <c r="BB13" s="220">
        <f t="shared" si="18"/>
        <v>-10</v>
      </c>
    </row>
    <row r="14" ht="14.25" customHeight="1">
      <c r="A14" s="218"/>
      <c r="B14" s="219">
        <v>45178.0</v>
      </c>
      <c r="C14" s="220"/>
      <c r="D14" s="220"/>
      <c r="E14" s="220">
        <f t="shared" si="1"/>
        <v>0</v>
      </c>
      <c r="F14" s="220">
        <f t="shared" si="2"/>
        <v>-10</v>
      </c>
      <c r="H14" s="219">
        <v>45178.0</v>
      </c>
      <c r="I14" s="220" t="str">
        <f t="shared" si="19"/>
        <v/>
      </c>
      <c r="J14" s="220"/>
      <c r="K14" s="220">
        <f t="shared" si="3"/>
        <v>0</v>
      </c>
      <c r="L14" s="220">
        <f t="shared" si="4"/>
        <v>-10</v>
      </c>
      <c r="N14" s="219">
        <v>45178.0</v>
      </c>
      <c r="O14" s="220">
        <f t="shared" si="20"/>
        <v>1983.1</v>
      </c>
      <c r="P14" s="220">
        <v>1994.2</v>
      </c>
      <c r="Q14" s="220">
        <f t="shared" si="5"/>
        <v>11.1</v>
      </c>
      <c r="R14" s="220">
        <f t="shared" si="6"/>
        <v>1.1</v>
      </c>
      <c r="T14" s="219">
        <v>45178.0</v>
      </c>
      <c r="U14" s="220"/>
      <c r="V14" s="220"/>
      <c r="W14" s="220">
        <f t="shared" si="28"/>
        <v>0</v>
      </c>
      <c r="X14" s="220">
        <f t="shared" si="8"/>
        <v>-10</v>
      </c>
      <c r="Z14" s="219">
        <v>45178.0</v>
      </c>
      <c r="AA14" s="220">
        <f t="shared" si="26"/>
        <v>1207.1</v>
      </c>
      <c r="AB14" s="220">
        <v>1214.8</v>
      </c>
      <c r="AC14" s="220">
        <f t="shared" si="9"/>
        <v>7.7</v>
      </c>
      <c r="AD14" s="220">
        <f t="shared" si="10"/>
        <v>-2.3</v>
      </c>
      <c r="AF14" s="219">
        <v>45178.0</v>
      </c>
      <c r="AG14" s="220" t="str">
        <f t="shared" si="21"/>
        <v/>
      </c>
      <c r="AH14" s="220"/>
      <c r="AI14" s="220">
        <f t="shared" si="11"/>
        <v>0</v>
      </c>
      <c r="AJ14" s="220">
        <f t="shared" si="12"/>
        <v>-10</v>
      </c>
      <c r="AL14" s="219">
        <v>45178.0</v>
      </c>
      <c r="AM14" s="220" t="str">
        <f t="shared" si="22"/>
        <v/>
      </c>
      <c r="AN14" s="220"/>
      <c r="AO14" s="220">
        <f t="shared" si="13"/>
        <v>0</v>
      </c>
      <c r="AP14" s="220">
        <f t="shared" si="14"/>
        <v>-10</v>
      </c>
      <c r="AR14" s="219">
        <v>45178.0</v>
      </c>
      <c r="AS14" s="220">
        <f t="shared" si="27"/>
        <v>6972.2</v>
      </c>
      <c r="AT14" s="220">
        <v>6979.1</v>
      </c>
      <c r="AU14" s="220">
        <f t="shared" si="15"/>
        <v>6.9</v>
      </c>
      <c r="AV14" s="220">
        <f t="shared" si="16"/>
        <v>-3.1</v>
      </c>
      <c r="AX14" s="219">
        <v>45178.0</v>
      </c>
      <c r="AY14" s="220" t="str">
        <f t="shared" si="23"/>
        <v/>
      </c>
      <c r="AZ14" s="220"/>
      <c r="BA14" s="220">
        <f t="shared" si="17"/>
        <v>0</v>
      </c>
      <c r="BB14" s="220">
        <f t="shared" si="18"/>
        <v>-10</v>
      </c>
    </row>
    <row r="15" ht="14.25" customHeight="1">
      <c r="A15" s="218"/>
      <c r="B15" s="219">
        <v>45179.0</v>
      </c>
      <c r="C15" s="220" t="str">
        <f>D14</f>
        <v/>
      </c>
      <c r="D15" s="220"/>
      <c r="E15" s="220">
        <f t="shared" si="1"/>
        <v>0</v>
      </c>
      <c r="F15" s="220">
        <f t="shared" si="2"/>
        <v>-10</v>
      </c>
      <c r="G15" s="221"/>
      <c r="H15" s="219">
        <v>45179.0</v>
      </c>
      <c r="I15" s="220" t="str">
        <f t="shared" si="19"/>
        <v/>
      </c>
      <c r="J15" s="220"/>
      <c r="K15" s="220">
        <f t="shared" si="3"/>
        <v>0</v>
      </c>
      <c r="L15" s="220">
        <f t="shared" si="4"/>
        <v>-10</v>
      </c>
      <c r="M15" s="221"/>
      <c r="N15" s="219">
        <v>45179.0</v>
      </c>
      <c r="O15" s="220">
        <f t="shared" si="20"/>
        <v>1994.2</v>
      </c>
      <c r="P15" s="220">
        <v>2005.2</v>
      </c>
      <c r="Q15" s="220">
        <f t="shared" si="5"/>
        <v>11</v>
      </c>
      <c r="R15" s="220">
        <f t="shared" si="6"/>
        <v>1</v>
      </c>
      <c r="S15" s="221"/>
      <c r="T15" s="219">
        <v>45179.0</v>
      </c>
      <c r="U15" s="220"/>
      <c r="V15" s="220"/>
      <c r="W15" s="220">
        <f t="shared" si="28"/>
        <v>0</v>
      </c>
      <c r="X15" s="220">
        <f t="shared" si="8"/>
        <v>-10</v>
      </c>
      <c r="Y15" s="221"/>
      <c r="Z15" s="219">
        <v>45179.0</v>
      </c>
      <c r="AA15" s="220">
        <f t="shared" si="26"/>
        <v>1214.8</v>
      </c>
      <c r="AB15" s="220">
        <v>1221.7</v>
      </c>
      <c r="AC15" s="220">
        <f t="shared" si="9"/>
        <v>6.9</v>
      </c>
      <c r="AD15" s="220">
        <f t="shared" si="10"/>
        <v>-3.1</v>
      </c>
      <c r="AE15" s="221"/>
      <c r="AF15" s="219">
        <v>45179.0</v>
      </c>
      <c r="AG15" s="220" t="str">
        <f t="shared" si="21"/>
        <v/>
      </c>
      <c r="AH15" s="220"/>
      <c r="AI15" s="220">
        <f t="shared" si="11"/>
        <v>0</v>
      </c>
      <c r="AJ15" s="220">
        <f t="shared" si="12"/>
        <v>-10</v>
      </c>
      <c r="AK15" s="221"/>
      <c r="AL15" s="219">
        <v>45179.0</v>
      </c>
      <c r="AM15" s="220" t="str">
        <f t="shared" si="22"/>
        <v/>
      </c>
      <c r="AN15" s="220"/>
      <c r="AO15" s="220">
        <f t="shared" si="13"/>
        <v>0</v>
      </c>
      <c r="AP15" s="220">
        <f t="shared" si="14"/>
        <v>-10</v>
      </c>
      <c r="AQ15" s="221"/>
      <c r="AR15" s="219">
        <v>45179.0</v>
      </c>
      <c r="AS15" s="220">
        <f t="shared" si="27"/>
        <v>6979.1</v>
      </c>
      <c r="AT15" s="220">
        <v>6985.7</v>
      </c>
      <c r="AU15" s="220">
        <f t="shared" si="15"/>
        <v>6.6</v>
      </c>
      <c r="AV15" s="220">
        <f t="shared" si="16"/>
        <v>-3.4</v>
      </c>
      <c r="AW15" s="221"/>
      <c r="AX15" s="219">
        <v>45179.0</v>
      </c>
      <c r="AY15" s="220" t="str">
        <f t="shared" si="23"/>
        <v/>
      </c>
      <c r="AZ15" s="220"/>
      <c r="BA15" s="220">
        <f t="shared" si="17"/>
        <v>0</v>
      </c>
      <c r="BB15" s="220">
        <f t="shared" si="18"/>
        <v>-10</v>
      </c>
    </row>
    <row r="16" ht="14.25" customHeight="1">
      <c r="A16" s="218"/>
      <c r="B16" s="219">
        <v>45180.0</v>
      </c>
      <c r="C16" s="220">
        <v>2154.0</v>
      </c>
      <c r="D16" s="220">
        <v>2161.0</v>
      </c>
      <c r="E16" s="220">
        <f t="shared" si="1"/>
        <v>7</v>
      </c>
      <c r="F16" s="220">
        <f t="shared" si="2"/>
        <v>-3</v>
      </c>
      <c r="G16" s="221"/>
      <c r="H16" s="219">
        <v>45180.0</v>
      </c>
      <c r="I16" s="220" t="str">
        <f t="shared" si="19"/>
        <v/>
      </c>
      <c r="J16" s="220"/>
      <c r="K16" s="220">
        <f t="shared" si="3"/>
        <v>0</v>
      </c>
      <c r="L16" s="220">
        <f t="shared" si="4"/>
        <v>-10</v>
      </c>
      <c r="M16" s="221"/>
      <c r="N16" s="219">
        <v>45180.0</v>
      </c>
      <c r="O16" s="220">
        <f t="shared" si="20"/>
        <v>2005.2</v>
      </c>
      <c r="P16" s="220">
        <v>2017.2</v>
      </c>
      <c r="Q16" s="220">
        <f t="shared" si="5"/>
        <v>12</v>
      </c>
      <c r="R16" s="220">
        <f t="shared" si="6"/>
        <v>2</v>
      </c>
      <c r="S16" s="221"/>
      <c r="T16" s="219">
        <v>45180.0</v>
      </c>
      <c r="U16" s="220">
        <v>15880.9</v>
      </c>
      <c r="V16" s="220">
        <v>15886.1</v>
      </c>
      <c r="W16" s="220">
        <f t="shared" si="28"/>
        <v>5.2</v>
      </c>
      <c r="X16" s="220">
        <f t="shared" si="8"/>
        <v>-4.8</v>
      </c>
      <c r="Y16" s="221"/>
      <c r="Z16" s="219">
        <v>45180.0</v>
      </c>
      <c r="AA16" s="220"/>
      <c r="AB16" s="220"/>
      <c r="AC16" s="220">
        <f t="shared" si="9"/>
        <v>0</v>
      </c>
      <c r="AD16" s="220">
        <f t="shared" si="10"/>
        <v>-10</v>
      </c>
      <c r="AE16" s="221"/>
      <c r="AF16" s="219">
        <v>45180.0</v>
      </c>
      <c r="AG16" s="220" t="str">
        <f t="shared" si="21"/>
        <v/>
      </c>
      <c r="AH16" s="220"/>
      <c r="AI16" s="220">
        <f t="shared" si="11"/>
        <v>0</v>
      </c>
      <c r="AJ16" s="220">
        <f t="shared" si="12"/>
        <v>-10</v>
      </c>
      <c r="AK16" s="221"/>
      <c r="AL16" s="219">
        <v>45180.0</v>
      </c>
      <c r="AM16" s="220" t="str">
        <f t="shared" si="22"/>
        <v/>
      </c>
      <c r="AN16" s="220"/>
      <c r="AO16" s="220">
        <f t="shared" si="13"/>
        <v>0</v>
      </c>
      <c r="AP16" s="220">
        <f t="shared" si="14"/>
        <v>-10</v>
      </c>
      <c r="AQ16" s="221"/>
      <c r="AR16" s="219">
        <v>45180.0</v>
      </c>
      <c r="AS16" s="220">
        <f t="shared" si="27"/>
        <v>6985.7</v>
      </c>
      <c r="AT16" s="220">
        <v>6995.1</v>
      </c>
      <c r="AU16" s="220">
        <f t="shared" si="15"/>
        <v>9.4</v>
      </c>
      <c r="AV16" s="220">
        <f t="shared" si="16"/>
        <v>-0.6</v>
      </c>
      <c r="AW16" s="221"/>
      <c r="AX16" s="219">
        <v>45180.0</v>
      </c>
      <c r="AY16" s="220" t="str">
        <f t="shared" si="23"/>
        <v/>
      </c>
      <c r="AZ16" s="220"/>
      <c r="BA16" s="220">
        <f t="shared" si="17"/>
        <v>0</v>
      </c>
      <c r="BB16" s="220">
        <f t="shared" si="18"/>
        <v>-10</v>
      </c>
    </row>
    <row r="17" ht="14.25" customHeight="1">
      <c r="A17" s="218"/>
      <c r="B17" s="219">
        <v>45181.0</v>
      </c>
      <c r="C17" s="220"/>
      <c r="D17" s="220"/>
      <c r="E17" s="220">
        <f t="shared" si="1"/>
        <v>0</v>
      </c>
      <c r="F17" s="220">
        <f t="shared" si="2"/>
        <v>-10</v>
      </c>
      <c r="H17" s="219">
        <v>45181.0</v>
      </c>
      <c r="I17" s="220" t="str">
        <f t="shared" si="19"/>
        <v/>
      </c>
      <c r="J17" s="220"/>
      <c r="K17" s="220">
        <f t="shared" si="3"/>
        <v>0</v>
      </c>
      <c r="L17" s="220">
        <f t="shared" si="4"/>
        <v>-10</v>
      </c>
      <c r="N17" s="219">
        <v>45181.0</v>
      </c>
      <c r="O17" s="220">
        <f t="shared" si="20"/>
        <v>2017.2</v>
      </c>
      <c r="P17" s="220">
        <v>2023.3</v>
      </c>
      <c r="Q17" s="220">
        <f t="shared" si="5"/>
        <v>6.1</v>
      </c>
      <c r="R17" s="220">
        <f t="shared" si="6"/>
        <v>-3.9</v>
      </c>
      <c r="T17" s="219">
        <v>45181.0</v>
      </c>
      <c r="U17" s="220">
        <v>3143.4</v>
      </c>
      <c r="V17" s="220">
        <v>3151.8</v>
      </c>
      <c r="W17" s="220">
        <f t="shared" si="28"/>
        <v>8.4</v>
      </c>
      <c r="X17" s="220">
        <f t="shared" si="8"/>
        <v>-1.6</v>
      </c>
      <c r="Z17" s="219">
        <v>45181.0</v>
      </c>
      <c r="AA17" s="220">
        <v>1221.7</v>
      </c>
      <c r="AB17" s="220">
        <v>1230.1</v>
      </c>
      <c r="AC17" s="220">
        <f t="shared" si="9"/>
        <v>8.4</v>
      </c>
      <c r="AD17" s="220">
        <f t="shared" si="10"/>
        <v>-1.6</v>
      </c>
      <c r="AF17" s="219">
        <v>45181.0</v>
      </c>
      <c r="AG17" s="220" t="str">
        <f t="shared" si="21"/>
        <v/>
      </c>
      <c r="AH17" s="220"/>
      <c r="AI17" s="220">
        <f t="shared" si="11"/>
        <v>0</v>
      </c>
      <c r="AJ17" s="220">
        <f t="shared" si="12"/>
        <v>-10</v>
      </c>
      <c r="AL17" s="219">
        <v>45181.0</v>
      </c>
      <c r="AM17" s="220" t="str">
        <f t="shared" si="22"/>
        <v/>
      </c>
      <c r="AN17" s="220"/>
      <c r="AO17" s="220">
        <f t="shared" si="13"/>
        <v>0</v>
      </c>
      <c r="AP17" s="220">
        <f t="shared" si="14"/>
        <v>-10</v>
      </c>
      <c r="AR17" s="219">
        <v>45181.0</v>
      </c>
      <c r="AS17" s="220">
        <f t="shared" si="27"/>
        <v>6995.1</v>
      </c>
      <c r="AT17" s="220">
        <v>6997.9</v>
      </c>
      <c r="AU17" s="220">
        <f t="shared" si="15"/>
        <v>2.8</v>
      </c>
      <c r="AV17" s="220">
        <f t="shared" si="16"/>
        <v>-7.2</v>
      </c>
      <c r="AX17" s="219">
        <v>45181.0</v>
      </c>
      <c r="AY17" s="220" t="str">
        <f t="shared" si="23"/>
        <v/>
      </c>
      <c r="AZ17" s="220"/>
      <c r="BA17" s="220">
        <f t="shared" si="17"/>
        <v>0</v>
      </c>
      <c r="BB17" s="220">
        <f t="shared" si="18"/>
        <v>-10</v>
      </c>
    </row>
    <row r="18" ht="14.25" customHeight="1">
      <c r="A18" s="218"/>
      <c r="B18" s="219">
        <v>45182.0</v>
      </c>
      <c r="C18" s="220" t="str">
        <f t="shared" ref="C18:C23" si="29">D17</f>
        <v/>
      </c>
      <c r="D18" s="220"/>
      <c r="E18" s="220">
        <f t="shared" si="1"/>
        <v>0</v>
      </c>
      <c r="F18" s="220">
        <f t="shared" si="2"/>
        <v>-10</v>
      </c>
      <c r="H18" s="219">
        <v>45182.0</v>
      </c>
      <c r="I18" s="220" t="str">
        <f t="shared" si="19"/>
        <v/>
      </c>
      <c r="J18" s="220"/>
      <c r="K18" s="220">
        <f t="shared" si="3"/>
        <v>0</v>
      </c>
      <c r="L18" s="220">
        <f t="shared" si="4"/>
        <v>-10</v>
      </c>
      <c r="N18" s="219">
        <v>45182.0</v>
      </c>
      <c r="O18" s="220">
        <f t="shared" si="20"/>
        <v>2023.3</v>
      </c>
      <c r="P18" s="220">
        <v>2035.2</v>
      </c>
      <c r="Q18" s="220">
        <f t="shared" si="5"/>
        <v>11.9</v>
      </c>
      <c r="R18" s="220">
        <f t="shared" si="6"/>
        <v>1.9</v>
      </c>
      <c r="T18" s="219">
        <v>45182.0</v>
      </c>
      <c r="U18" s="220">
        <f t="shared" ref="U18:U21" si="30">V17</f>
        <v>3151.8</v>
      </c>
      <c r="V18" s="220">
        <v>3162.8</v>
      </c>
      <c r="W18" s="220">
        <f t="shared" si="28"/>
        <v>11</v>
      </c>
      <c r="X18" s="220">
        <f t="shared" si="8"/>
        <v>1</v>
      </c>
      <c r="Z18" s="219">
        <v>45182.0</v>
      </c>
      <c r="AA18" s="220">
        <f t="shared" ref="AA18:AA20" si="31">AB17</f>
        <v>1230.1</v>
      </c>
      <c r="AB18" s="220">
        <v>1237.6</v>
      </c>
      <c r="AC18" s="220">
        <f t="shared" si="9"/>
        <v>7.5</v>
      </c>
      <c r="AD18" s="220">
        <f t="shared" si="10"/>
        <v>-2.5</v>
      </c>
      <c r="AF18" s="219">
        <v>45182.0</v>
      </c>
      <c r="AG18" s="220" t="str">
        <f t="shared" si="21"/>
        <v/>
      </c>
      <c r="AH18" s="220"/>
      <c r="AI18" s="220">
        <f t="shared" si="11"/>
        <v>0</v>
      </c>
      <c r="AJ18" s="220">
        <f t="shared" si="12"/>
        <v>-10</v>
      </c>
      <c r="AL18" s="219">
        <v>45182.0</v>
      </c>
      <c r="AM18" s="220" t="str">
        <f t="shared" si="22"/>
        <v/>
      </c>
      <c r="AN18" s="220"/>
      <c r="AO18" s="220">
        <f t="shared" si="13"/>
        <v>0</v>
      </c>
      <c r="AP18" s="220">
        <f t="shared" si="14"/>
        <v>-10</v>
      </c>
      <c r="AR18" s="219">
        <v>45182.0</v>
      </c>
      <c r="AS18" s="220">
        <f t="shared" si="27"/>
        <v>6997.9</v>
      </c>
      <c r="AT18" s="220">
        <v>7006.4</v>
      </c>
      <c r="AU18" s="220">
        <f t="shared" si="15"/>
        <v>8.5</v>
      </c>
      <c r="AV18" s="220">
        <f t="shared" si="16"/>
        <v>-1.5</v>
      </c>
      <c r="AX18" s="219">
        <v>45182.0</v>
      </c>
      <c r="AY18" s="220" t="str">
        <f t="shared" si="23"/>
        <v/>
      </c>
      <c r="AZ18" s="220"/>
      <c r="BA18" s="220">
        <f t="shared" si="17"/>
        <v>0</v>
      </c>
      <c r="BB18" s="220">
        <f t="shared" si="18"/>
        <v>-10</v>
      </c>
    </row>
    <row r="19" ht="15.0" customHeight="1">
      <c r="A19" s="218"/>
      <c r="B19" s="219">
        <v>45183.0</v>
      </c>
      <c r="C19" s="220" t="str">
        <f t="shared" si="29"/>
        <v/>
      </c>
      <c r="D19" s="220"/>
      <c r="E19" s="220">
        <f t="shared" si="1"/>
        <v>0</v>
      </c>
      <c r="F19" s="220">
        <f t="shared" si="2"/>
        <v>-10</v>
      </c>
      <c r="H19" s="219">
        <v>45183.0</v>
      </c>
      <c r="I19" s="220" t="str">
        <f t="shared" si="19"/>
        <v/>
      </c>
      <c r="J19" s="220"/>
      <c r="K19" s="220">
        <f t="shared" si="3"/>
        <v>0</v>
      </c>
      <c r="L19" s="220">
        <f t="shared" si="4"/>
        <v>-10</v>
      </c>
      <c r="N19" s="219">
        <v>45183.0</v>
      </c>
      <c r="O19" s="220">
        <f t="shared" si="20"/>
        <v>2035.2</v>
      </c>
      <c r="P19" s="220">
        <v>2038.4</v>
      </c>
      <c r="Q19" s="220">
        <f t="shared" si="5"/>
        <v>3.2</v>
      </c>
      <c r="R19" s="220">
        <f t="shared" si="6"/>
        <v>-6.8</v>
      </c>
      <c r="T19" s="219">
        <v>45183.0</v>
      </c>
      <c r="U19" s="220">
        <f t="shared" si="30"/>
        <v>3162.8</v>
      </c>
      <c r="V19" s="220">
        <v>3172.2</v>
      </c>
      <c r="W19" s="220">
        <f t="shared" si="28"/>
        <v>9.4</v>
      </c>
      <c r="X19" s="220">
        <f t="shared" si="8"/>
        <v>-0.6</v>
      </c>
      <c r="Z19" s="219">
        <v>45183.0</v>
      </c>
      <c r="AA19" s="220">
        <f t="shared" si="31"/>
        <v>1237.6</v>
      </c>
      <c r="AB19" s="220">
        <v>1243.9</v>
      </c>
      <c r="AC19" s="220">
        <f t="shared" si="9"/>
        <v>6.3</v>
      </c>
      <c r="AD19" s="220">
        <f t="shared" si="10"/>
        <v>-3.7</v>
      </c>
      <c r="AF19" s="219">
        <v>45183.0</v>
      </c>
      <c r="AG19" s="220" t="str">
        <f t="shared" si="21"/>
        <v/>
      </c>
      <c r="AH19" s="220"/>
      <c r="AI19" s="220">
        <f t="shared" si="11"/>
        <v>0</v>
      </c>
      <c r="AJ19" s="220">
        <f t="shared" si="12"/>
        <v>-10</v>
      </c>
      <c r="AL19" s="219">
        <v>45183.0</v>
      </c>
      <c r="AM19" s="220" t="str">
        <f t="shared" si="22"/>
        <v/>
      </c>
      <c r="AN19" s="220"/>
      <c r="AO19" s="220">
        <f t="shared" si="13"/>
        <v>0</v>
      </c>
      <c r="AP19" s="220">
        <f t="shared" si="14"/>
        <v>-10</v>
      </c>
      <c r="AR19" s="219">
        <v>45183.0</v>
      </c>
      <c r="AS19" s="220">
        <f t="shared" si="27"/>
        <v>7006.4</v>
      </c>
      <c r="AT19" s="220">
        <v>7014.6</v>
      </c>
      <c r="AU19" s="220">
        <f t="shared" si="15"/>
        <v>8.2</v>
      </c>
      <c r="AV19" s="220">
        <f t="shared" si="16"/>
        <v>-1.8</v>
      </c>
      <c r="AX19" s="219">
        <v>45183.0</v>
      </c>
      <c r="AY19" s="220" t="str">
        <f t="shared" si="23"/>
        <v/>
      </c>
      <c r="AZ19" s="220"/>
      <c r="BA19" s="220">
        <f t="shared" si="17"/>
        <v>0</v>
      </c>
      <c r="BB19" s="220">
        <f t="shared" si="18"/>
        <v>-10</v>
      </c>
    </row>
    <row r="20" ht="14.25" customHeight="1">
      <c r="A20" s="218"/>
      <c r="B20" s="219">
        <v>45184.0</v>
      </c>
      <c r="C20" s="220" t="str">
        <f t="shared" si="29"/>
        <v/>
      </c>
      <c r="D20" s="220"/>
      <c r="E20" s="220">
        <f t="shared" si="1"/>
        <v>0</v>
      </c>
      <c r="F20" s="220">
        <f t="shared" si="2"/>
        <v>-10</v>
      </c>
      <c r="H20" s="219">
        <v>45184.0</v>
      </c>
      <c r="I20" s="220" t="str">
        <f t="shared" si="19"/>
        <v/>
      </c>
      <c r="J20" s="220"/>
      <c r="K20" s="220">
        <f t="shared" si="3"/>
        <v>0</v>
      </c>
      <c r="L20" s="220">
        <f t="shared" si="4"/>
        <v>-10</v>
      </c>
      <c r="N20" s="219">
        <v>45184.0</v>
      </c>
      <c r="O20" s="220"/>
      <c r="P20" s="220"/>
      <c r="Q20" s="220">
        <f t="shared" si="5"/>
        <v>0</v>
      </c>
      <c r="R20" s="220">
        <f t="shared" si="6"/>
        <v>-10</v>
      </c>
      <c r="T20" s="219">
        <v>45184.0</v>
      </c>
      <c r="U20" s="220">
        <f t="shared" si="30"/>
        <v>3172.2</v>
      </c>
      <c r="V20" s="220">
        <v>3181.0</v>
      </c>
      <c r="W20" s="220">
        <f t="shared" si="28"/>
        <v>8.8</v>
      </c>
      <c r="X20" s="220">
        <f t="shared" si="8"/>
        <v>-1.2</v>
      </c>
      <c r="Z20" s="219">
        <v>45184.0</v>
      </c>
      <c r="AA20" s="220">
        <f t="shared" si="31"/>
        <v>1243.9</v>
      </c>
      <c r="AB20" s="220">
        <v>1252.0</v>
      </c>
      <c r="AC20" s="220">
        <f t="shared" si="9"/>
        <v>8.1</v>
      </c>
      <c r="AD20" s="220">
        <f t="shared" si="10"/>
        <v>-1.9</v>
      </c>
      <c r="AF20" s="219">
        <v>45184.0</v>
      </c>
      <c r="AG20" s="220" t="str">
        <f t="shared" si="21"/>
        <v/>
      </c>
      <c r="AH20" s="220"/>
      <c r="AI20" s="220">
        <f t="shared" si="11"/>
        <v>0</v>
      </c>
      <c r="AJ20" s="220">
        <f t="shared" si="12"/>
        <v>-10</v>
      </c>
      <c r="AL20" s="219">
        <v>45184.0</v>
      </c>
      <c r="AM20" s="220" t="str">
        <f t="shared" si="22"/>
        <v/>
      </c>
      <c r="AN20" s="220"/>
      <c r="AO20" s="220">
        <f t="shared" si="13"/>
        <v>0</v>
      </c>
      <c r="AP20" s="220">
        <f t="shared" si="14"/>
        <v>-10</v>
      </c>
      <c r="AR20" s="219">
        <v>45184.0</v>
      </c>
      <c r="AS20" s="220">
        <f t="shared" si="27"/>
        <v>7014.6</v>
      </c>
      <c r="AT20" s="220">
        <v>7019.8</v>
      </c>
      <c r="AU20" s="220">
        <f t="shared" si="15"/>
        <v>5.2</v>
      </c>
      <c r="AV20" s="220">
        <f t="shared" si="16"/>
        <v>-4.8</v>
      </c>
      <c r="AX20" s="219">
        <v>45184.0</v>
      </c>
      <c r="AY20" s="220" t="str">
        <f t="shared" si="23"/>
        <v/>
      </c>
      <c r="AZ20" s="220"/>
      <c r="BA20" s="220">
        <f t="shared" si="17"/>
        <v>0</v>
      </c>
      <c r="BB20" s="220">
        <f t="shared" si="18"/>
        <v>-10</v>
      </c>
    </row>
    <row r="21" ht="14.25" customHeight="1">
      <c r="A21" s="218"/>
      <c r="B21" s="219">
        <v>45185.0</v>
      </c>
      <c r="C21" s="220" t="str">
        <f t="shared" si="29"/>
        <v/>
      </c>
      <c r="D21" s="220"/>
      <c r="E21" s="220">
        <f t="shared" si="1"/>
        <v>0</v>
      </c>
      <c r="F21" s="220">
        <f t="shared" si="2"/>
        <v>-10</v>
      </c>
      <c r="H21" s="219">
        <v>45185.0</v>
      </c>
      <c r="I21" s="220" t="str">
        <f t="shared" si="19"/>
        <v/>
      </c>
      <c r="J21" s="220"/>
      <c r="K21" s="220">
        <f t="shared" si="3"/>
        <v>0</v>
      </c>
      <c r="L21" s="220">
        <f t="shared" si="4"/>
        <v>-10</v>
      </c>
      <c r="N21" s="219">
        <v>45185.0</v>
      </c>
      <c r="O21" s="220" t="str">
        <f t="shared" ref="O21:O23" si="32">P20</f>
        <v/>
      </c>
      <c r="P21" s="220"/>
      <c r="Q21" s="220">
        <f t="shared" si="5"/>
        <v>0</v>
      </c>
      <c r="R21" s="220">
        <f t="shared" si="6"/>
        <v>-10</v>
      </c>
      <c r="T21" s="219">
        <v>45185.0</v>
      </c>
      <c r="U21" s="220">
        <f t="shared" si="30"/>
        <v>3181</v>
      </c>
      <c r="V21" s="220">
        <v>3183.1</v>
      </c>
      <c r="W21" s="220"/>
      <c r="X21" s="220">
        <f t="shared" si="8"/>
        <v>-10</v>
      </c>
      <c r="Z21" s="219">
        <v>45185.0</v>
      </c>
      <c r="AA21" s="220"/>
      <c r="AB21" s="220"/>
      <c r="AC21" s="220">
        <f t="shared" si="9"/>
        <v>0</v>
      </c>
      <c r="AD21" s="220">
        <f t="shared" si="10"/>
        <v>-10</v>
      </c>
      <c r="AF21" s="219">
        <v>45185.0</v>
      </c>
      <c r="AG21" s="220" t="str">
        <f t="shared" si="21"/>
        <v/>
      </c>
      <c r="AH21" s="220"/>
      <c r="AI21" s="220">
        <f t="shared" si="11"/>
        <v>0</v>
      </c>
      <c r="AJ21" s="220">
        <f t="shared" si="12"/>
        <v>-10</v>
      </c>
      <c r="AL21" s="219">
        <v>45185.0</v>
      </c>
      <c r="AM21" s="220" t="str">
        <f t="shared" si="22"/>
        <v/>
      </c>
      <c r="AN21" s="220"/>
      <c r="AO21" s="220">
        <f t="shared" si="13"/>
        <v>0</v>
      </c>
      <c r="AP21" s="220">
        <f t="shared" si="14"/>
        <v>-10</v>
      </c>
      <c r="AR21" s="219">
        <v>45185.0</v>
      </c>
      <c r="AS21" s="220"/>
      <c r="AT21" s="220"/>
      <c r="AU21" s="220">
        <f t="shared" si="15"/>
        <v>0</v>
      </c>
      <c r="AV21" s="220">
        <f t="shared" si="16"/>
        <v>-10</v>
      </c>
      <c r="AX21" s="219">
        <v>45185.0</v>
      </c>
      <c r="AY21" s="220" t="str">
        <f t="shared" si="23"/>
        <v/>
      </c>
      <c r="AZ21" s="220"/>
      <c r="BA21" s="220">
        <f t="shared" si="17"/>
        <v>0</v>
      </c>
      <c r="BB21" s="220">
        <f t="shared" si="18"/>
        <v>-10</v>
      </c>
    </row>
    <row r="22" ht="14.25" customHeight="1">
      <c r="A22" s="218"/>
      <c r="B22" s="219">
        <v>45186.0</v>
      </c>
      <c r="C22" s="220" t="str">
        <f t="shared" si="29"/>
        <v/>
      </c>
      <c r="D22" s="220"/>
      <c r="E22" s="220">
        <f t="shared" si="1"/>
        <v>0</v>
      </c>
      <c r="F22" s="220">
        <f t="shared" si="2"/>
        <v>-10</v>
      </c>
      <c r="G22" s="221"/>
      <c r="H22" s="219">
        <v>45186.0</v>
      </c>
      <c r="I22" s="220" t="str">
        <f t="shared" si="19"/>
        <v/>
      </c>
      <c r="J22" s="220"/>
      <c r="K22" s="220">
        <f t="shared" si="3"/>
        <v>0</v>
      </c>
      <c r="L22" s="220">
        <f t="shared" si="4"/>
        <v>-10</v>
      </c>
      <c r="M22" s="221"/>
      <c r="N22" s="219">
        <v>45186.0</v>
      </c>
      <c r="O22" s="220" t="str">
        <f t="shared" si="32"/>
        <v/>
      </c>
      <c r="P22" s="220"/>
      <c r="Q22" s="220">
        <f t="shared" si="5"/>
        <v>0</v>
      </c>
      <c r="R22" s="220">
        <f t="shared" si="6"/>
        <v>-10</v>
      </c>
      <c r="S22" s="221"/>
      <c r="T22" s="219">
        <v>45186.0</v>
      </c>
      <c r="U22" s="220"/>
      <c r="V22" s="220"/>
      <c r="W22" s="220">
        <f t="shared" ref="W22:W36" si="33">V22-U22</f>
        <v>0</v>
      </c>
      <c r="X22" s="220">
        <f t="shared" si="8"/>
        <v>-10</v>
      </c>
      <c r="Y22" s="221"/>
      <c r="Z22" s="219">
        <v>45186.0</v>
      </c>
      <c r="AA22" s="220" t="str">
        <f t="shared" ref="AA22:AA26" si="34">AB21</f>
        <v/>
      </c>
      <c r="AB22" s="220"/>
      <c r="AC22" s="220">
        <f t="shared" si="9"/>
        <v>0</v>
      </c>
      <c r="AD22" s="220">
        <f t="shared" si="10"/>
        <v>-10</v>
      </c>
      <c r="AE22" s="221"/>
      <c r="AF22" s="219">
        <v>45186.0</v>
      </c>
      <c r="AG22" s="220" t="str">
        <f t="shared" si="21"/>
        <v/>
      </c>
      <c r="AH22" s="220"/>
      <c r="AI22" s="220">
        <f t="shared" si="11"/>
        <v>0</v>
      </c>
      <c r="AJ22" s="220">
        <f t="shared" si="12"/>
        <v>-10</v>
      </c>
      <c r="AK22" s="221"/>
      <c r="AL22" s="219">
        <v>45186.0</v>
      </c>
      <c r="AM22" s="220" t="str">
        <f t="shared" si="22"/>
        <v/>
      </c>
      <c r="AN22" s="220"/>
      <c r="AO22" s="220">
        <f t="shared" si="13"/>
        <v>0</v>
      </c>
      <c r="AP22" s="220">
        <f t="shared" si="14"/>
        <v>-10</v>
      </c>
      <c r="AQ22" s="221"/>
      <c r="AR22" s="219">
        <v>45186.0</v>
      </c>
      <c r="AS22" s="220" t="str">
        <f>AT21</f>
        <v/>
      </c>
      <c r="AT22" s="220"/>
      <c r="AU22" s="220">
        <f t="shared" si="15"/>
        <v>0</v>
      </c>
      <c r="AV22" s="220">
        <f t="shared" si="16"/>
        <v>-10</v>
      </c>
      <c r="AW22" s="221"/>
      <c r="AX22" s="219">
        <v>45186.0</v>
      </c>
      <c r="AY22" s="220" t="str">
        <f t="shared" si="23"/>
        <v/>
      </c>
      <c r="AZ22" s="220"/>
      <c r="BA22" s="220">
        <f t="shared" si="17"/>
        <v>0</v>
      </c>
      <c r="BB22" s="220">
        <f t="shared" si="18"/>
        <v>-10</v>
      </c>
    </row>
    <row r="23" ht="14.25" customHeight="1">
      <c r="A23" s="218"/>
      <c r="B23" s="219">
        <v>45187.0</v>
      </c>
      <c r="C23" s="220" t="str">
        <f t="shared" si="29"/>
        <v/>
      </c>
      <c r="D23" s="220"/>
      <c r="E23" s="220">
        <f t="shared" si="1"/>
        <v>0</v>
      </c>
      <c r="F23" s="220">
        <f t="shared" si="2"/>
        <v>-10</v>
      </c>
      <c r="G23" s="221"/>
      <c r="H23" s="219">
        <v>45187.0</v>
      </c>
      <c r="I23" s="220" t="str">
        <f t="shared" si="19"/>
        <v/>
      </c>
      <c r="J23" s="220"/>
      <c r="K23" s="220">
        <f t="shared" si="3"/>
        <v>0</v>
      </c>
      <c r="L23" s="220">
        <f t="shared" si="4"/>
        <v>-10</v>
      </c>
      <c r="M23" s="221"/>
      <c r="N23" s="219">
        <v>45187.0</v>
      </c>
      <c r="O23" s="220" t="str">
        <f t="shared" si="32"/>
        <v/>
      </c>
      <c r="P23" s="220"/>
      <c r="Q23" s="220">
        <f t="shared" si="5"/>
        <v>0</v>
      </c>
      <c r="R23" s="220">
        <f t="shared" si="6"/>
        <v>-10</v>
      </c>
      <c r="S23" s="221"/>
      <c r="T23" s="219">
        <v>45187.0</v>
      </c>
      <c r="U23" s="220">
        <v>3183.1</v>
      </c>
      <c r="V23" s="220">
        <v>3194.6</v>
      </c>
      <c r="W23" s="220">
        <f t="shared" si="33"/>
        <v>11.5</v>
      </c>
      <c r="X23" s="220">
        <f t="shared" si="8"/>
        <v>1.5</v>
      </c>
      <c r="Y23" s="221"/>
      <c r="Z23" s="219">
        <v>45187.0</v>
      </c>
      <c r="AA23" s="220" t="str">
        <f t="shared" si="34"/>
        <v/>
      </c>
      <c r="AB23" s="220"/>
      <c r="AC23" s="220">
        <f t="shared" si="9"/>
        <v>0</v>
      </c>
      <c r="AD23" s="220">
        <f t="shared" si="10"/>
        <v>-10</v>
      </c>
      <c r="AE23" s="221"/>
      <c r="AF23" s="219">
        <v>45187.0</v>
      </c>
      <c r="AG23" s="220" t="str">
        <f t="shared" si="21"/>
        <v/>
      </c>
      <c r="AH23" s="220"/>
      <c r="AI23" s="220">
        <f t="shared" si="11"/>
        <v>0</v>
      </c>
      <c r="AJ23" s="220">
        <f t="shared" si="12"/>
        <v>-10</v>
      </c>
      <c r="AK23" s="221"/>
      <c r="AL23" s="219">
        <v>45187.0</v>
      </c>
      <c r="AM23" s="220" t="str">
        <f t="shared" si="22"/>
        <v/>
      </c>
      <c r="AN23" s="220"/>
      <c r="AO23" s="220">
        <f t="shared" si="13"/>
        <v>0</v>
      </c>
      <c r="AP23" s="220">
        <f t="shared" si="14"/>
        <v>-10</v>
      </c>
      <c r="AQ23" s="221"/>
      <c r="AR23" s="219">
        <v>45187.0</v>
      </c>
      <c r="AS23" s="220">
        <v>7020.3</v>
      </c>
      <c r="AT23" s="220">
        <v>7030.6</v>
      </c>
      <c r="AU23" s="220">
        <f t="shared" si="15"/>
        <v>10.3</v>
      </c>
      <c r="AV23" s="220">
        <f t="shared" si="16"/>
        <v>0.3</v>
      </c>
      <c r="AW23" s="221"/>
      <c r="AX23" s="219">
        <v>45187.0</v>
      </c>
      <c r="AY23" s="220" t="str">
        <f t="shared" si="23"/>
        <v/>
      </c>
      <c r="AZ23" s="220"/>
      <c r="BA23" s="220">
        <f t="shared" si="17"/>
        <v>0</v>
      </c>
      <c r="BB23" s="220">
        <f t="shared" si="18"/>
        <v>-10</v>
      </c>
    </row>
    <row r="24" ht="14.25" customHeight="1">
      <c r="A24" s="218"/>
      <c r="B24" s="219">
        <v>45188.0</v>
      </c>
      <c r="C24" s="220">
        <v>2161.0</v>
      </c>
      <c r="D24" s="220">
        <v>2163.0</v>
      </c>
      <c r="E24" s="220">
        <f t="shared" si="1"/>
        <v>2</v>
      </c>
      <c r="F24" s="220">
        <f t="shared" si="2"/>
        <v>-8</v>
      </c>
      <c r="H24" s="219">
        <v>45188.0</v>
      </c>
      <c r="I24" s="220" t="str">
        <f t="shared" si="19"/>
        <v/>
      </c>
      <c r="J24" s="220"/>
      <c r="K24" s="220">
        <f t="shared" si="3"/>
        <v>0</v>
      </c>
      <c r="L24" s="220">
        <f t="shared" si="4"/>
        <v>-10</v>
      </c>
      <c r="N24" s="219">
        <v>45188.0</v>
      </c>
      <c r="O24" s="220">
        <v>5153.5</v>
      </c>
      <c r="P24" s="220">
        <v>5161.4</v>
      </c>
      <c r="Q24" s="220">
        <f t="shared" si="5"/>
        <v>7.9</v>
      </c>
      <c r="R24" s="220">
        <f t="shared" si="6"/>
        <v>-2.1</v>
      </c>
      <c r="T24" s="219">
        <v>45188.0</v>
      </c>
      <c r="U24" s="220">
        <f t="shared" ref="U24:U27" si="35">V23</f>
        <v>3194.6</v>
      </c>
      <c r="V24" s="220">
        <v>3205.6</v>
      </c>
      <c r="W24" s="220">
        <f t="shared" si="33"/>
        <v>11</v>
      </c>
      <c r="X24" s="220">
        <f t="shared" si="8"/>
        <v>1</v>
      </c>
      <c r="Z24" s="219">
        <v>45188.0</v>
      </c>
      <c r="AA24" s="220" t="str">
        <f t="shared" si="34"/>
        <v/>
      </c>
      <c r="AB24" s="220"/>
      <c r="AC24" s="220">
        <f t="shared" si="9"/>
        <v>0</v>
      </c>
      <c r="AD24" s="220">
        <f t="shared" si="10"/>
        <v>-10</v>
      </c>
      <c r="AF24" s="219">
        <v>45188.0</v>
      </c>
      <c r="AG24" s="220" t="str">
        <f t="shared" si="21"/>
        <v/>
      </c>
      <c r="AH24" s="220"/>
      <c r="AI24" s="220">
        <f t="shared" si="11"/>
        <v>0</v>
      </c>
      <c r="AJ24" s="220">
        <f t="shared" si="12"/>
        <v>-10</v>
      </c>
      <c r="AL24" s="219">
        <v>45188.0</v>
      </c>
      <c r="AM24" s="220" t="str">
        <f t="shared" si="22"/>
        <v/>
      </c>
      <c r="AN24" s="220"/>
      <c r="AO24" s="220">
        <f t="shared" si="13"/>
        <v>0</v>
      </c>
      <c r="AP24" s="220">
        <f t="shared" si="14"/>
        <v>-10</v>
      </c>
      <c r="AR24" s="219">
        <v>45188.0</v>
      </c>
      <c r="AS24" s="220">
        <f t="shared" ref="AS24:AS27" si="36">AT23</f>
        <v>7030.6</v>
      </c>
      <c r="AT24" s="220">
        <v>7036.9</v>
      </c>
      <c r="AU24" s="220">
        <f t="shared" si="15"/>
        <v>6.3</v>
      </c>
      <c r="AV24" s="220">
        <f t="shared" si="16"/>
        <v>-3.7</v>
      </c>
      <c r="AX24" s="219">
        <v>45188.0</v>
      </c>
      <c r="AY24" s="220" t="str">
        <f t="shared" si="23"/>
        <v/>
      </c>
      <c r="AZ24" s="220"/>
      <c r="BA24" s="220">
        <f t="shared" si="17"/>
        <v>0</v>
      </c>
      <c r="BB24" s="220">
        <f t="shared" si="18"/>
        <v>-10</v>
      </c>
    </row>
    <row r="25" ht="14.25" customHeight="1">
      <c r="A25" s="218"/>
      <c r="B25" s="219">
        <v>45189.0</v>
      </c>
      <c r="C25" s="220">
        <f t="shared" ref="C25:C28" si="37">D24</f>
        <v>2163</v>
      </c>
      <c r="D25" s="220">
        <v>2173.0</v>
      </c>
      <c r="E25" s="220">
        <f t="shared" si="1"/>
        <v>10</v>
      </c>
      <c r="F25" s="220">
        <f t="shared" si="2"/>
        <v>0</v>
      </c>
      <c r="H25" s="219">
        <v>45189.0</v>
      </c>
      <c r="I25" s="220" t="str">
        <f t="shared" si="19"/>
        <v/>
      </c>
      <c r="J25" s="220"/>
      <c r="K25" s="220">
        <f t="shared" si="3"/>
        <v>0</v>
      </c>
      <c r="L25" s="220">
        <f t="shared" si="4"/>
        <v>-10</v>
      </c>
      <c r="N25" s="219">
        <v>45189.0</v>
      </c>
      <c r="O25" s="220">
        <f t="shared" ref="O25:O33" si="38">P24</f>
        <v>5161.4</v>
      </c>
      <c r="P25" s="220">
        <v>5172.4</v>
      </c>
      <c r="Q25" s="220">
        <f t="shared" si="5"/>
        <v>11</v>
      </c>
      <c r="R25" s="220">
        <f t="shared" si="6"/>
        <v>1</v>
      </c>
      <c r="T25" s="219">
        <v>45189.0</v>
      </c>
      <c r="U25" s="220">
        <f t="shared" si="35"/>
        <v>3205.6</v>
      </c>
      <c r="V25" s="220">
        <v>3214.6</v>
      </c>
      <c r="W25" s="220">
        <f t="shared" si="33"/>
        <v>9</v>
      </c>
      <c r="X25" s="220">
        <f t="shared" si="8"/>
        <v>-1</v>
      </c>
      <c r="Z25" s="219">
        <v>45189.0</v>
      </c>
      <c r="AA25" s="220" t="str">
        <f t="shared" si="34"/>
        <v/>
      </c>
      <c r="AB25" s="220"/>
      <c r="AC25" s="220">
        <f t="shared" si="9"/>
        <v>0</v>
      </c>
      <c r="AD25" s="220">
        <f t="shared" si="10"/>
        <v>-10</v>
      </c>
      <c r="AF25" s="219">
        <v>45189.0</v>
      </c>
      <c r="AG25" s="220" t="str">
        <f t="shared" si="21"/>
        <v/>
      </c>
      <c r="AH25" s="220"/>
      <c r="AI25" s="220">
        <f t="shared" si="11"/>
        <v>0</v>
      </c>
      <c r="AJ25" s="220">
        <f t="shared" si="12"/>
        <v>-10</v>
      </c>
      <c r="AL25" s="219">
        <v>45189.0</v>
      </c>
      <c r="AM25" s="220" t="str">
        <f t="shared" si="22"/>
        <v/>
      </c>
      <c r="AN25" s="220"/>
      <c r="AO25" s="220">
        <f t="shared" si="13"/>
        <v>0</v>
      </c>
      <c r="AP25" s="220">
        <f t="shared" si="14"/>
        <v>-10</v>
      </c>
      <c r="AR25" s="219">
        <v>45189.0</v>
      </c>
      <c r="AS25" s="220">
        <f t="shared" si="36"/>
        <v>7036.9</v>
      </c>
      <c r="AT25" s="220">
        <v>7045.5</v>
      </c>
      <c r="AU25" s="220">
        <f t="shared" si="15"/>
        <v>8.6</v>
      </c>
      <c r="AV25" s="220">
        <f t="shared" si="16"/>
        <v>-1.4</v>
      </c>
      <c r="AX25" s="219">
        <v>45189.0</v>
      </c>
      <c r="AY25" s="220" t="str">
        <f t="shared" si="23"/>
        <v/>
      </c>
      <c r="AZ25" s="220"/>
      <c r="BA25" s="220">
        <f t="shared" si="17"/>
        <v>0</v>
      </c>
      <c r="BB25" s="220">
        <f t="shared" si="18"/>
        <v>-10</v>
      </c>
    </row>
    <row r="26" ht="14.25" customHeight="1">
      <c r="A26" s="218"/>
      <c r="B26" s="219">
        <v>45190.0</v>
      </c>
      <c r="C26" s="220">
        <f t="shared" si="37"/>
        <v>2173</v>
      </c>
      <c r="D26" s="220">
        <v>2184.0</v>
      </c>
      <c r="E26" s="220">
        <f t="shared" si="1"/>
        <v>11</v>
      </c>
      <c r="F26" s="220">
        <f t="shared" si="2"/>
        <v>1</v>
      </c>
      <c r="H26" s="219">
        <v>45190.0</v>
      </c>
      <c r="I26" s="220" t="str">
        <f t="shared" si="19"/>
        <v/>
      </c>
      <c r="J26" s="220"/>
      <c r="K26" s="220">
        <f t="shared" si="3"/>
        <v>0</v>
      </c>
      <c r="L26" s="220">
        <f t="shared" si="4"/>
        <v>-10</v>
      </c>
      <c r="N26" s="219">
        <v>45190.0</v>
      </c>
      <c r="O26" s="220">
        <f t="shared" si="38"/>
        <v>5172.4</v>
      </c>
      <c r="P26" s="220">
        <v>5184.4</v>
      </c>
      <c r="Q26" s="220">
        <f t="shared" si="5"/>
        <v>12</v>
      </c>
      <c r="R26" s="220">
        <f t="shared" si="6"/>
        <v>2</v>
      </c>
      <c r="T26" s="219">
        <v>45190.0</v>
      </c>
      <c r="U26" s="220">
        <f t="shared" si="35"/>
        <v>3214.6</v>
      </c>
      <c r="V26" s="220">
        <v>3226.6</v>
      </c>
      <c r="W26" s="220">
        <f t="shared" si="33"/>
        <v>12</v>
      </c>
      <c r="X26" s="220">
        <f t="shared" si="8"/>
        <v>2</v>
      </c>
      <c r="Z26" s="219">
        <v>45190.0</v>
      </c>
      <c r="AA26" s="220" t="str">
        <f t="shared" si="34"/>
        <v/>
      </c>
      <c r="AB26" s="220"/>
      <c r="AC26" s="220">
        <f t="shared" si="9"/>
        <v>0</v>
      </c>
      <c r="AD26" s="220">
        <f t="shared" si="10"/>
        <v>-10</v>
      </c>
      <c r="AF26" s="219">
        <v>45190.0</v>
      </c>
      <c r="AG26" s="220" t="str">
        <f t="shared" si="21"/>
        <v/>
      </c>
      <c r="AH26" s="220"/>
      <c r="AI26" s="220">
        <f t="shared" si="11"/>
        <v>0</v>
      </c>
      <c r="AJ26" s="220">
        <f t="shared" si="12"/>
        <v>-10</v>
      </c>
      <c r="AL26" s="219">
        <v>45190.0</v>
      </c>
      <c r="AM26" s="220" t="str">
        <f t="shared" si="22"/>
        <v/>
      </c>
      <c r="AN26" s="220"/>
      <c r="AO26" s="220">
        <f t="shared" si="13"/>
        <v>0</v>
      </c>
      <c r="AP26" s="220">
        <f t="shared" si="14"/>
        <v>-10</v>
      </c>
      <c r="AR26" s="219">
        <v>45190.0</v>
      </c>
      <c r="AS26" s="220">
        <f t="shared" si="36"/>
        <v>7045.5</v>
      </c>
      <c r="AT26" s="220">
        <v>7055.1</v>
      </c>
      <c r="AU26" s="220">
        <f t="shared" si="15"/>
        <v>9.6</v>
      </c>
      <c r="AV26" s="220">
        <f t="shared" si="16"/>
        <v>-0.4</v>
      </c>
      <c r="AX26" s="219">
        <v>45190.0</v>
      </c>
      <c r="AY26" s="220" t="str">
        <f t="shared" si="23"/>
        <v/>
      </c>
      <c r="AZ26" s="220"/>
      <c r="BA26" s="220">
        <f t="shared" si="17"/>
        <v>0</v>
      </c>
      <c r="BB26" s="220">
        <f t="shared" si="18"/>
        <v>-10</v>
      </c>
    </row>
    <row r="27" ht="14.25" customHeight="1">
      <c r="A27" s="218"/>
      <c r="B27" s="219">
        <v>45191.0</v>
      </c>
      <c r="C27" s="220">
        <f t="shared" si="37"/>
        <v>2184</v>
      </c>
      <c r="D27" s="220">
        <v>2194.0</v>
      </c>
      <c r="E27" s="220">
        <f t="shared" si="1"/>
        <v>10</v>
      </c>
      <c r="F27" s="220">
        <f t="shared" si="2"/>
        <v>0</v>
      </c>
      <c r="H27" s="219">
        <v>45191.0</v>
      </c>
      <c r="I27" s="220" t="str">
        <f t="shared" si="19"/>
        <v/>
      </c>
      <c r="J27" s="220"/>
      <c r="K27" s="220">
        <f t="shared" si="3"/>
        <v>0</v>
      </c>
      <c r="L27" s="220">
        <f t="shared" si="4"/>
        <v>-10</v>
      </c>
      <c r="N27" s="219">
        <v>45191.0</v>
      </c>
      <c r="O27" s="220">
        <f t="shared" si="38"/>
        <v>5184.4</v>
      </c>
      <c r="P27" s="220">
        <v>5195.5</v>
      </c>
      <c r="Q27" s="220">
        <f t="shared" si="5"/>
        <v>11.1</v>
      </c>
      <c r="R27" s="220">
        <f t="shared" si="6"/>
        <v>1.1</v>
      </c>
      <c r="T27" s="219">
        <v>45191.0</v>
      </c>
      <c r="U27" s="220">
        <f t="shared" si="35"/>
        <v>3226.6</v>
      </c>
      <c r="V27" s="220">
        <v>3236.6</v>
      </c>
      <c r="W27" s="220">
        <f t="shared" si="33"/>
        <v>10</v>
      </c>
      <c r="X27" s="220">
        <f t="shared" si="8"/>
        <v>0</v>
      </c>
      <c r="Z27" s="219">
        <v>45191.0</v>
      </c>
      <c r="AA27" s="220">
        <v>1253.6</v>
      </c>
      <c r="AB27" s="220">
        <v>1260.2</v>
      </c>
      <c r="AC27" s="220">
        <f t="shared" si="9"/>
        <v>6.6</v>
      </c>
      <c r="AD27" s="220">
        <f t="shared" si="10"/>
        <v>-3.4</v>
      </c>
      <c r="AF27" s="219">
        <v>45191.0</v>
      </c>
      <c r="AG27" s="220" t="str">
        <f t="shared" si="21"/>
        <v/>
      </c>
      <c r="AH27" s="220"/>
      <c r="AI27" s="220">
        <f t="shared" si="11"/>
        <v>0</v>
      </c>
      <c r="AJ27" s="220">
        <f t="shared" si="12"/>
        <v>-10</v>
      </c>
      <c r="AL27" s="219">
        <v>45191.0</v>
      </c>
      <c r="AM27" s="220" t="str">
        <f t="shared" si="22"/>
        <v/>
      </c>
      <c r="AN27" s="220"/>
      <c r="AO27" s="220">
        <f t="shared" si="13"/>
        <v>0</v>
      </c>
      <c r="AP27" s="220">
        <f t="shared" si="14"/>
        <v>-10</v>
      </c>
      <c r="AR27" s="219">
        <v>45191.0</v>
      </c>
      <c r="AS27" s="220">
        <f t="shared" si="36"/>
        <v>7055.1</v>
      </c>
      <c r="AT27" s="220">
        <v>7065.4</v>
      </c>
      <c r="AU27" s="220">
        <f t="shared" si="15"/>
        <v>10.3</v>
      </c>
      <c r="AV27" s="220">
        <f t="shared" si="16"/>
        <v>0.3</v>
      </c>
      <c r="AX27" s="219">
        <v>45191.0</v>
      </c>
      <c r="AY27" s="220" t="str">
        <f t="shared" si="23"/>
        <v/>
      </c>
      <c r="AZ27" s="220"/>
      <c r="BA27" s="220">
        <f t="shared" si="17"/>
        <v>0</v>
      </c>
      <c r="BB27" s="220">
        <f t="shared" si="18"/>
        <v>-10</v>
      </c>
    </row>
    <row r="28" ht="14.25" customHeight="1">
      <c r="A28" s="218"/>
      <c r="B28" s="219">
        <v>45192.0</v>
      </c>
      <c r="C28" s="220">
        <f t="shared" si="37"/>
        <v>2194</v>
      </c>
      <c r="D28" s="220">
        <v>2202.0</v>
      </c>
      <c r="E28" s="220">
        <f t="shared" si="1"/>
        <v>8</v>
      </c>
      <c r="F28" s="220">
        <f t="shared" si="2"/>
        <v>-2</v>
      </c>
      <c r="H28" s="219">
        <v>45192.0</v>
      </c>
      <c r="I28" s="220" t="str">
        <f t="shared" si="19"/>
        <v/>
      </c>
      <c r="J28" s="220"/>
      <c r="K28" s="220">
        <f t="shared" si="3"/>
        <v>0</v>
      </c>
      <c r="L28" s="220">
        <f t="shared" si="4"/>
        <v>-10</v>
      </c>
      <c r="N28" s="219">
        <v>45192.0</v>
      </c>
      <c r="O28" s="220">
        <f t="shared" si="38"/>
        <v>5195.5</v>
      </c>
      <c r="P28" s="220">
        <v>5205.5</v>
      </c>
      <c r="Q28" s="220">
        <f t="shared" si="5"/>
        <v>10</v>
      </c>
      <c r="R28" s="220">
        <f t="shared" si="6"/>
        <v>0</v>
      </c>
      <c r="T28" s="219">
        <v>45192.0</v>
      </c>
      <c r="U28" s="220"/>
      <c r="V28" s="220"/>
      <c r="W28" s="220">
        <f t="shared" si="33"/>
        <v>0</v>
      </c>
      <c r="X28" s="220">
        <f t="shared" si="8"/>
        <v>-10</v>
      </c>
      <c r="Z28" s="219">
        <v>45192.0</v>
      </c>
      <c r="AA28" s="220">
        <f>AB27</f>
        <v>1260.2</v>
      </c>
      <c r="AB28" s="220">
        <v>1266.0</v>
      </c>
      <c r="AC28" s="220">
        <f t="shared" si="9"/>
        <v>5.8</v>
      </c>
      <c r="AD28" s="220">
        <f t="shared" si="10"/>
        <v>-4.2</v>
      </c>
      <c r="AF28" s="219">
        <v>45192.0</v>
      </c>
      <c r="AG28" s="220" t="str">
        <f t="shared" si="21"/>
        <v/>
      </c>
      <c r="AH28" s="220"/>
      <c r="AI28" s="220">
        <f t="shared" si="11"/>
        <v>0</v>
      </c>
      <c r="AJ28" s="220">
        <f t="shared" si="12"/>
        <v>-10</v>
      </c>
      <c r="AL28" s="219">
        <v>45192.0</v>
      </c>
      <c r="AM28" s="220" t="str">
        <f t="shared" si="22"/>
        <v/>
      </c>
      <c r="AN28" s="220"/>
      <c r="AO28" s="220">
        <f t="shared" si="13"/>
        <v>0</v>
      </c>
      <c r="AP28" s="220">
        <f t="shared" si="14"/>
        <v>-10</v>
      </c>
      <c r="AR28" s="219">
        <v>45192.0</v>
      </c>
      <c r="AS28" s="220"/>
      <c r="AT28" s="220"/>
      <c r="AU28" s="220">
        <f t="shared" si="15"/>
        <v>0</v>
      </c>
      <c r="AV28" s="220">
        <f t="shared" si="16"/>
        <v>-10</v>
      </c>
      <c r="AX28" s="219">
        <v>45192.0</v>
      </c>
      <c r="AY28" s="220" t="str">
        <f t="shared" si="23"/>
        <v/>
      </c>
      <c r="AZ28" s="220"/>
      <c r="BA28" s="220">
        <f t="shared" si="17"/>
        <v>0</v>
      </c>
      <c r="BB28" s="220">
        <f t="shared" si="18"/>
        <v>-10</v>
      </c>
    </row>
    <row r="29" ht="14.25" customHeight="1">
      <c r="A29" s="218"/>
      <c r="B29" s="219">
        <v>45193.0</v>
      </c>
      <c r="C29" s="220"/>
      <c r="D29" s="220"/>
      <c r="E29" s="220">
        <f t="shared" si="1"/>
        <v>0</v>
      </c>
      <c r="F29" s="220">
        <f t="shared" si="2"/>
        <v>-10</v>
      </c>
      <c r="G29" s="221"/>
      <c r="H29" s="219">
        <v>45193.0</v>
      </c>
      <c r="I29" s="220" t="str">
        <f t="shared" si="19"/>
        <v/>
      </c>
      <c r="J29" s="220"/>
      <c r="K29" s="220">
        <f t="shared" si="3"/>
        <v>0</v>
      </c>
      <c r="L29" s="220">
        <f t="shared" si="4"/>
        <v>-10</v>
      </c>
      <c r="M29" s="221"/>
      <c r="N29" s="219">
        <v>45193.0</v>
      </c>
      <c r="O29" s="220">
        <f t="shared" si="38"/>
        <v>5205.5</v>
      </c>
      <c r="P29" s="220">
        <v>5217.1</v>
      </c>
      <c r="Q29" s="220">
        <f t="shared" si="5"/>
        <v>11.6</v>
      </c>
      <c r="R29" s="220">
        <f t="shared" si="6"/>
        <v>1.6</v>
      </c>
      <c r="S29" s="221"/>
      <c r="T29" s="219">
        <v>45193.0</v>
      </c>
      <c r="U29" s="220" t="str">
        <f>V28</f>
        <v/>
      </c>
      <c r="V29" s="220"/>
      <c r="W29" s="220">
        <f t="shared" si="33"/>
        <v>0</v>
      </c>
      <c r="X29" s="220">
        <f t="shared" si="8"/>
        <v>-10</v>
      </c>
      <c r="Y29" s="221"/>
      <c r="Z29" s="219">
        <v>45193.0</v>
      </c>
      <c r="AA29" s="220"/>
      <c r="AB29" s="220"/>
      <c r="AC29" s="220">
        <f t="shared" si="9"/>
        <v>0</v>
      </c>
      <c r="AD29" s="220">
        <f t="shared" si="10"/>
        <v>-10</v>
      </c>
      <c r="AE29" s="221"/>
      <c r="AF29" s="219">
        <v>45193.0</v>
      </c>
      <c r="AG29" s="220" t="str">
        <f t="shared" si="21"/>
        <v/>
      </c>
      <c r="AH29" s="220"/>
      <c r="AI29" s="220">
        <f t="shared" si="11"/>
        <v>0</v>
      </c>
      <c r="AJ29" s="220">
        <f t="shared" si="12"/>
        <v>-10</v>
      </c>
      <c r="AK29" s="221"/>
      <c r="AL29" s="219">
        <v>45193.0</v>
      </c>
      <c r="AM29" s="220" t="str">
        <f t="shared" si="22"/>
        <v/>
      </c>
      <c r="AN29" s="220"/>
      <c r="AO29" s="220">
        <f t="shared" si="13"/>
        <v>0</v>
      </c>
      <c r="AP29" s="220">
        <f t="shared" si="14"/>
        <v>-10</v>
      </c>
      <c r="AQ29" s="221"/>
      <c r="AR29" s="219">
        <v>45193.0</v>
      </c>
      <c r="AS29" s="220" t="str">
        <f>AT28</f>
        <v/>
      </c>
      <c r="AT29" s="220"/>
      <c r="AU29" s="220">
        <f t="shared" si="15"/>
        <v>0</v>
      </c>
      <c r="AV29" s="220">
        <f t="shared" si="16"/>
        <v>-10</v>
      </c>
      <c r="AW29" s="221"/>
      <c r="AX29" s="219">
        <v>45193.0</v>
      </c>
      <c r="AY29" s="220" t="str">
        <f t="shared" si="23"/>
        <v/>
      </c>
      <c r="AZ29" s="220"/>
      <c r="BA29" s="220">
        <f t="shared" si="17"/>
        <v>0</v>
      </c>
      <c r="BB29" s="220">
        <f t="shared" si="18"/>
        <v>-10</v>
      </c>
    </row>
    <row r="30" ht="14.25" customHeight="1">
      <c r="A30" s="218"/>
      <c r="B30" s="219">
        <v>45194.0</v>
      </c>
      <c r="C30" s="220">
        <v>2202.0</v>
      </c>
      <c r="D30" s="220">
        <v>2212.0</v>
      </c>
      <c r="E30" s="220">
        <f t="shared" si="1"/>
        <v>10</v>
      </c>
      <c r="F30" s="220">
        <f t="shared" si="2"/>
        <v>0</v>
      </c>
      <c r="G30" s="221"/>
      <c r="H30" s="219">
        <v>45194.0</v>
      </c>
      <c r="I30" s="220" t="str">
        <f t="shared" si="19"/>
        <v/>
      </c>
      <c r="J30" s="220"/>
      <c r="K30" s="220">
        <f t="shared" si="3"/>
        <v>0</v>
      </c>
      <c r="L30" s="220">
        <f t="shared" si="4"/>
        <v>-10</v>
      </c>
      <c r="M30" s="221"/>
      <c r="N30" s="219">
        <v>45194.0</v>
      </c>
      <c r="O30" s="220">
        <f t="shared" si="38"/>
        <v>5217.1</v>
      </c>
      <c r="P30" s="220">
        <v>5228.2</v>
      </c>
      <c r="Q30" s="220">
        <f t="shared" si="5"/>
        <v>11.1</v>
      </c>
      <c r="R30" s="220">
        <f t="shared" si="6"/>
        <v>1.1</v>
      </c>
      <c r="S30" s="221"/>
      <c r="T30" s="219">
        <v>45194.0</v>
      </c>
      <c r="U30" s="220">
        <v>3242.9</v>
      </c>
      <c r="V30" s="220">
        <v>3251.2</v>
      </c>
      <c r="W30" s="220">
        <f t="shared" si="33"/>
        <v>8.3</v>
      </c>
      <c r="X30" s="220">
        <f t="shared" si="8"/>
        <v>-1.7</v>
      </c>
      <c r="Y30" s="221"/>
      <c r="Z30" s="219">
        <v>45194.0</v>
      </c>
      <c r="AA30" s="220">
        <v>1266.0</v>
      </c>
      <c r="AB30" s="220">
        <v>1275.2</v>
      </c>
      <c r="AC30" s="220">
        <f t="shared" si="9"/>
        <v>9.2</v>
      </c>
      <c r="AD30" s="220">
        <f t="shared" si="10"/>
        <v>-0.8</v>
      </c>
      <c r="AE30" s="221"/>
      <c r="AF30" s="219">
        <v>45194.0</v>
      </c>
      <c r="AG30" s="220" t="str">
        <f t="shared" si="21"/>
        <v/>
      </c>
      <c r="AH30" s="220"/>
      <c r="AI30" s="220">
        <f t="shared" si="11"/>
        <v>0</v>
      </c>
      <c r="AJ30" s="220">
        <f t="shared" si="12"/>
        <v>-10</v>
      </c>
      <c r="AK30" s="221"/>
      <c r="AL30" s="219">
        <v>45194.0</v>
      </c>
      <c r="AM30" s="220" t="str">
        <f t="shared" si="22"/>
        <v/>
      </c>
      <c r="AN30" s="220"/>
      <c r="AO30" s="220">
        <f t="shared" si="13"/>
        <v>0</v>
      </c>
      <c r="AP30" s="220">
        <f t="shared" si="14"/>
        <v>-10</v>
      </c>
      <c r="AQ30" s="221"/>
      <c r="AR30" s="219">
        <v>45194.0</v>
      </c>
      <c r="AS30" s="220">
        <v>7065.4</v>
      </c>
      <c r="AT30" s="220">
        <v>7076.6</v>
      </c>
      <c r="AU30" s="220">
        <f t="shared" si="15"/>
        <v>11.2</v>
      </c>
      <c r="AV30" s="220">
        <f t="shared" si="16"/>
        <v>1.2</v>
      </c>
      <c r="AW30" s="221"/>
      <c r="AX30" s="219">
        <v>45194.0</v>
      </c>
      <c r="AY30" s="220" t="str">
        <f t="shared" si="23"/>
        <v/>
      </c>
      <c r="AZ30" s="220"/>
      <c r="BA30" s="220">
        <f t="shared" si="17"/>
        <v>0</v>
      </c>
      <c r="BB30" s="220">
        <f t="shared" si="18"/>
        <v>-10</v>
      </c>
    </row>
    <row r="31" ht="14.25" customHeight="1">
      <c r="A31" s="218"/>
      <c r="B31" s="219">
        <v>45195.0</v>
      </c>
      <c r="C31" s="220">
        <f t="shared" ref="C31:C34" si="39">D30</f>
        <v>2212</v>
      </c>
      <c r="D31" s="220">
        <v>2222.0</v>
      </c>
      <c r="E31" s="220">
        <f t="shared" si="1"/>
        <v>10</v>
      </c>
      <c r="F31" s="220">
        <f t="shared" si="2"/>
        <v>0</v>
      </c>
      <c r="H31" s="219">
        <v>45195.0</v>
      </c>
      <c r="I31" s="220" t="str">
        <f t="shared" si="19"/>
        <v/>
      </c>
      <c r="J31" s="220"/>
      <c r="K31" s="220">
        <f t="shared" si="3"/>
        <v>0</v>
      </c>
      <c r="L31" s="220">
        <f t="shared" si="4"/>
        <v>-10</v>
      </c>
      <c r="N31" s="219">
        <v>45195.0</v>
      </c>
      <c r="O31" s="220">
        <f t="shared" si="38"/>
        <v>5228.2</v>
      </c>
      <c r="P31" s="220">
        <v>5239.4</v>
      </c>
      <c r="Q31" s="220">
        <f t="shared" si="5"/>
        <v>11.2</v>
      </c>
      <c r="R31" s="220">
        <f t="shared" si="6"/>
        <v>1.2</v>
      </c>
      <c r="T31" s="219">
        <v>45195.0</v>
      </c>
      <c r="U31" s="220">
        <f t="shared" ref="U31:U34" si="40">V30</f>
        <v>3251.2</v>
      </c>
      <c r="V31" s="220">
        <v>3261.4</v>
      </c>
      <c r="W31" s="220">
        <f t="shared" si="33"/>
        <v>10.2</v>
      </c>
      <c r="X31" s="220">
        <f t="shared" si="8"/>
        <v>0.2</v>
      </c>
      <c r="Z31" s="219">
        <v>45195.0</v>
      </c>
      <c r="AA31" s="220">
        <f t="shared" ref="AA31:AA34" si="41">AB30</f>
        <v>1275.2</v>
      </c>
      <c r="AB31" s="220">
        <v>1285.6</v>
      </c>
      <c r="AC31" s="220">
        <f t="shared" si="9"/>
        <v>10.4</v>
      </c>
      <c r="AD31" s="220">
        <f t="shared" si="10"/>
        <v>0.4</v>
      </c>
      <c r="AF31" s="219">
        <v>45195.0</v>
      </c>
      <c r="AG31" s="220" t="str">
        <f t="shared" si="21"/>
        <v/>
      </c>
      <c r="AH31" s="220"/>
      <c r="AI31" s="220">
        <f t="shared" si="11"/>
        <v>0</v>
      </c>
      <c r="AJ31" s="220">
        <f t="shared" si="12"/>
        <v>-10</v>
      </c>
      <c r="AL31" s="219">
        <v>45195.0</v>
      </c>
      <c r="AM31" s="220" t="str">
        <f t="shared" si="22"/>
        <v/>
      </c>
      <c r="AN31" s="220"/>
      <c r="AO31" s="220">
        <f t="shared" si="13"/>
        <v>0</v>
      </c>
      <c r="AP31" s="220">
        <f t="shared" si="14"/>
        <v>-10</v>
      </c>
      <c r="AR31" s="219">
        <v>45195.0</v>
      </c>
      <c r="AS31" s="220">
        <f t="shared" ref="AS31:AS34" si="42">AT30</f>
        <v>7076.6</v>
      </c>
      <c r="AT31" s="220">
        <v>7084.9</v>
      </c>
      <c r="AU31" s="220">
        <f t="shared" si="15"/>
        <v>8.3</v>
      </c>
      <c r="AV31" s="220">
        <f t="shared" si="16"/>
        <v>-1.7</v>
      </c>
      <c r="AX31" s="219">
        <v>45195.0</v>
      </c>
      <c r="AY31" s="220" t="str">
        <f t="shared" si="23"/>
        <v/>
      </c>
      <c r="AZ31" s="220"/>
      <c r="BA31" s="220">
        <f t="shared" si="17"/>
        <v>0</v>
      </c>
      <c r="BB31" s="220">
        <f t="shared" si="18"/>
        <v>-10</v>
      </c>
    </row>
    <row r="32" ht="14.25" customHeight="1">
      <c r="A32" s="218"/>
      <c r="B32" s="219">
        <v>45196.0</v>
      </c>
      <c r="C32" s="220">
        <f t="shared" si="39"/>
        <v>2222</v>
      </c>
      <c r="D32" s="220">
        <v>2226.0</v>
      </c>
      <c r="E32" s="220">
        <f t="shared" si="1"/>
        <v>4</v>
      </c>
      <c r="F32" s="220">
        <f t="shared" si="2"/>
        <v>-6</v>
      </c>
      <c r="H32" s="219">
        <v>45196.0</v>
      </c>
      <c r="I32" s="220" t="str">
        <f t="shared" si="19"/>
        <v/>
      </c>
      <c r="J32" s="220"/>
      <c r="K32" s="220">
        <f t="shared" si="3"/>
        <v>0</v>
      </c>
      <c r="L32" s="220">
        <f t="shared" si="4"/>
        <v>-10</v>
      </c>
      <c r="N32" s="219">
        <v>45196.0</v>
      </c>
      <c r="O32" s="220">
        <f t="shared" si="38"/>
        <v>5239.4</v>
      </c>
      <c r="P32" s="220">
        <v>5250.5</v>
      </c>
      <c r="Q32" s="220">
        <f t="shared" si="5"/>
        <v>11.1</v>
      </c>
      <c r="R32" s="220">
        <f t="shared" si="6"/>
        <v>1.1</v>
      </c>
      <c r="T32" s="219">
        <v>45196.0</v>
      </c>
      <c r="U32" s="220">
        <f t="shared" si="40"/>
        <v>3261.4</v>
      </c>
      <c r="V32" s="220">
        <v>3264.2</v>
      </c>
      <c r="W32" s="220">
        <f t="shared" si="33"/>
        <v>2.8</v>
      </c>
      <c r="X32" s="220">
        <f t="shared" si="8"/>
        <v>-7.2</v>
      </c>
      <c r="Z32" s="219">
        <v>45196.0</v>
      </c>
      <c r="AA32" s="220">
        <f t="shared" si="41"/>
        <v>1285.6</v>
      </c>
      <c r="AB32" s="220">
        <v>1285.6</v>
      </c>
      <c r="AC32" s="220">
        <f t="shared" si="9"/>
        <v>0</v>
      </c>
      <c r="AD32" s="220">
        <f t="shared" si="10"/>
        <v>-10</v>
      </c>
      <c r="AF32" s="219">
        <v>45196.0</v>
      </c>
      <c r="AG32" s="220" t="str">
        <f t="shared" si="21"/>
        <v/>
      </c>
      <c r="AH32" s="220"/>
      <c r="AI32" s="220">
        <f t="shared" si="11"/>
        <v>0</v>
      </c>
      <c r="AJ32" s="220">
        <f t="shared" si="12"/>
        <v>-10</v>
      </c>
      <c r="AL32" s="219">
        <v>45196.0</v>
      </c>
      <c r="AM32" s="220" t="str">
        <f t="shared" si="22"/>
        <v/>
      </c>
      <c r="AN32" s="220"/>
      <c r="AO32" s="220">
        <f t="shared" si="13"/>
        <v>0</v>
      </c>
      <c r="AP32" s="220">
        <f t="shared" si="14"/>
        <v>-10</v>
      </c>
      <c r="AR32" s="219">
        <v>45196.0</v>
      </c>
      <c r="AS32" s="220">
        <f t="shared" si="42"/>
        <v>7084.9</v>
      </c>
      <c r="AT32" s="220">
        <v>7093.7</v>
      </c>
      <c r="AU32" s="220">
        <f t="shared" si="15"/>
        <v>8.8</v>
      </c>
      <c r="AV32" s="220">
        <f t="shared" si="16"/>
        <v>-1.2</v>
      </c>
      <c r="AX32" s="219">
        <v>45196.0</v>
      </c>
      <c r="AY32" s="220" t="str">
        <f t="shared" si="23"/>
        <v/>
      </c>
      <c r="AZ32" s="220"/>
      <c r="BA32" s="220">
        <f t="shared" si="17"/>
        <v>0</v>
      </c>
      <c r="BB32" s="220">
        <f t="shared" si="18"/>
        <v>-10</v>
      </c>
    </row>
    <row r="33" ht="14.25" customHeight="1">
      <c r="A33" s="218"/>
      <c r="B33" s="219">
        <v>45197.0</v>
      </c>
      <c r="C33" s="220">
        <f t="shared" si="39"/>
        <v>2226</v>
      </c>
      <c r="D33" s="220">
        <v>2229.0</v>
      </c>
      <c r="E33" s="220">
        <f t="shared" si="1"/>
        <v>3</v>
      </c>
      <c r="F33" s="220">
        <f t="shared" si="2"/>
        <v>-7</v>
      </c>
      <c r="H33" s="219">
        <v>45197.0</v>
      </c>
      <c r="I33" s="220" t="str">
        <f t="shared" si="19"/>
        <v/>
      </c>
      <c r="J33" s="220"/>
      <c r="K33" s="220">
        <f t="shared" si="3"/>
        <v>0</v>
      </c>
      <c r="L33" s="220">
        <f t="shared" si="4"/>
        <v>-10</v>
      </c>
      <c r="N33" s="219">
        <v>45197.0</v>
      </c>
      <c r="O33" s="220">
        <f t="shared" si="38"/>
        <v>5250.5</v>
      </c>
      <c r="P33" s="220">
        <v>5261.4</v>
      </c>
      <c r="Q33" s="220">
        <f t="shared" si="5"/>
        <v>10.9</v>
      </c>
      <c r="R33" s="220">
        <f t="shared" si="6"/>
        <v>0.9</v>
      </c>
      <c r="T33" s="219">
        <v>45197.0</v>
      </c>
      <c r="U33" s="220">
        <f t="shared" si="40"/>
        <v>3264.2</v>
      </c>
      <c r="V33" s="220">
        <v>3269.2</v>
      </c>
      <c r="W33" s="220">
        <f t="shared" si="33"/>
        <v>5</v>
      </c>
      <c r="X33" s="220">
        <f t="shared" si="8"/>
        <v>-5</v>
      </c>
      <c r="Z33" s="219">
        <v>45197.0</v>
      </c>
      <c r="AA33" s="220">
        <f t="shared" si="41"/>
        <v>1285.6</v>
      </c>
      <c r="AB33" s="220">
        <v>1299.2</v>
      </c>
      <c r="AC33" s="220">
        <f t="shared" si="9"/>
        <v>13.6</v>
      </c>
      <c r="AD33" s="220">
        <f t="shared" si="10"/>
        <v>3.6</v>
      </c>
      <c r="AF33" s="219">
        <v>45197.0</v>
      </c>
      <c r="AG33" s="220" t="str">
        <f t="shared" si="21"/>
        <v/>
      </c>
      <c r="AH33" s="220"/>
      <c r="AI33" s="220">
        <f t="shared" si="11"/>
        <v>0</v>
      </c>
      <c r="AJ33" s="220">
        <f t="shared" si="12"/>
        <v>-10</v>
      </c>
      <c r="AL33" s="219">
        <v>45197.0</v>
      </c>
      <c r="AM33" s="220" t="str">
        <f t="shared" si="22"/>
        <v/>
      </c>
      <c r="AN33" s="220"/>
      <c r="AO33" s="220">
        <f t="shared" si="13"/>
        <v>0</v>
      </c>
      <c r="AP33" s="220">
        <f t="shared" si="14"/>
        <v>-10</v>
      </c>
      <c r="AR33" s="219">
        <v>45197.0</v>
      </c>
      <c r="AS33" s="220">
        <f t="shared" si="42"/>
        <v>7093.7</v>
      </c>
      <c r="AT33" s="220">
        <v>7100.3</v>
      </c>
      <c r="AU33" s="220">
        <f t="shared" si="15"/>
        <v>6.6</v>
      </c>
      <c r="AV33" s="220">
        <f t="shared" si="16"/>
        <v>-3.4</v>
      </c>
      <c r="AX33" s="219">
        <v>45197.0</v>
      </c>
      <c r="AY33" s="220" t="str">
        <f t="shared" si="23"/>
        <v/>
      </c>
      <c r="AZ33" s="220"/>
      <c r="BA33" s="220">
        <f t="shared" si="17"/>
        <v>0</v>
      </c>
      <c r="BB33" s="220">
        <f t="shared" si="18"/>
        <v>-10</v>
      </c>
    </row>
    <row r="34" ht="14.25" customHeight="1">
      <c r="A34" s="218"/>
      <c r="B34" s="219">
        <v>45198.0</v>
      </c>
      <c r="C34" s="220">
        <f t="shared" si="39"/>
        <v>2229</v>
      </c>
      <c r="D34" s="220">
        <v>2239.0</v>
      </c>
      <c r="E34" s="220">
        <f t="shared" si="1"/>
        <v>10</v>
      </c>
      <c r="F34" s="220">
        <f t="shared" si="2"/>
        <v>0</v>
      </c>
      <c r="H34" s="219">
        <v>45198.0</v>
      </c>
      <c r="I34" s="220" t="str">
        <f t="shared" si="19"/>
        <v/>
      </c>
      <c r="J34" s="220"/>
      <c r="K34" s="220">
        <f t="shared" si="3"/>
        <v>0</v>
      </c>
      <c r="L34" s="220">
        <f t="shared" si="4"/>
        <v>-10</v>
      </c>
      <c r="N34" s="219">
        <v>45198.0</v>
      </c>
      <c r="O34" s="220"/>
      <c r="P34" s="220"/>
      <c r="Q34" s="220">
        <f t="shared" si="5"/>
        <v>0</v>
      </c>
      <c r="R34" s="220">
        <f t="shared" si="6"/>
        <v>-10</v>
      </c>
      <c r="T34" s="219">
        <v>45198.0</v>
      </c>
      <c r="U34" s="220">
        <f t="shared" si="40"/>
        <v>3269.2</v>
      </c>
      <c r="V34" s="220">
        <v>3275.0</v>
      </c>
      <c r="W34" s="220">
        <f t="shared" si="33"/>
        <v>5.8</v>
      </c>
      <c r="X34" s="220">
        <f t="shared" si="8"/>
        <v>-4.2</v>
      </c>
      <c r="Z34" s="219">
        <v>45198.0</v>
      </c>
      <c r="AA34" s="220">
        <f t="shared" si="41"/>
        <v>1299.2</v>
      </c>
      <c r="AB34" s="220">
        <v>1304.4</v>
      </c>
      <c r="AC34" s="220">
        <f t="shared" si="9"/>
        <v>5.2</v>
      </c>
      <c r="AD34" s="220">
        <f t="shared" si="10"/>
        <v>-4.8</v>
      </c>
      <c r="AF34" s="219">
        <v>45198.0</v>
      </c>
      <c r="AG34" s="220" t="str">
        <f t="shared" si="21"/>
        <v/>
      </c>
      <c r="AH34" s="220"/>
      <c r="AI34" s="220">
        <f t="shared" si="11"/>
        <v>0</v>
      </c>
      <c r="AJ34" s="220">
        <f t="shared" si="12"/>
        <v>-10</v>
      </c>
      <c r="AL34" s="219">
        <v>45198.0</v>
      </c>
      <c r="AM34" s="220" t="str">
        <f t="shared" si="22"/>
        <v/>
      </c>
      <c r="AN34" s="220"/>
      <c r="AO34" s="220">
        <f t="shared" si="13"/>
        <v>0</v>
      </c>
      <c r="AP34" s="220">
        <f t="shared" si="14"/>
        <v>-10</v>
      </c>
      <c r="AR34" s="219">
        <v>45198.0</v>
      </c>
      <c r="AS34" s="220">
        <f t="shared" si="42"/>
        <v>7100.3</v>
      </c>
      <c r="AT34" s="220">
        <v>7104.6</v>
      </c>
      <c r="AU34" s="220">
        <f t="shared" si="15"/>
        <v>4.3</v>
      </c>
      <c r="AV34" s="220">
        <f t="shared" si="16"/>
        <v>-5.7</v>
      </c>
      <c r="AX34" s="219">
        <v>45198.0</v>
      </c>
      <c r="AY34" s="220" t="str">
        <f t="shared" si="23"/>
        <v/>
      </c>
      <c r="AZ34" s="220"/>
      <c r="BA34" s="220">
        <f t="shared" si="17"/>
        <v>0</v>
      </c>
      <c r="BB34" s="220">
        <f t="shared" si="18"/>
        <v>-10</v>
      </c>
    </row>
    <row r="35" ht="14.25" customHeight="1">
      <c r="A35" s="218"/>
      <c r="B35" s="219">
        <v>45199.0</v>
      </c>
      <c r="C35" s="220"/>
      <c r="D35" s="220"/>
      <c r="E35" s="220">
        <f t="shared" si="1"/>
        <v>0</v>
      </c>
      <c r="F35" s="220">
        <f t="shared" si="2"/>
        <v>-10</v>
      </c>
      <c r="H35" s="219">
        <v>45199.0</v>
      </c>
      <c r="I35" s="220" t="str">
        <f t="shared" si="19"/>
        <v/>
      </c>
      <c r="J35" s="220"/>
      <c r="K35" s="220">
        <f t="shared" si="3"/>
        <v>0</v>
      </c>
      <c r="L35" s="220">
        <f t="shared" si="4"/>
        <v>-10</v>
      </c>
      <c r="N35" s="219">
        <v>45199.0</v>
      </c>
      <c r="O35" s="220" t="str">
        <f t="shared" ref="O35:O36" si="43">P34</f>
        <v/>
      </c>
      <c r="P35" s="220"/>
      <c r="Q35" s="220">
        <f t="shared" si="5"/>
        <v>0</v>
      </c>
      <c r="R35" s="220">
        <f t="shared" si="6"/>
        <v>-10</v>
      </c>
      <c r="T35" s="219">
        <v>45199.0</v>
      </c>
      <c r="U35" s="220"/>
      <c r="V35" s="220"/>
      <c r="W35" s="220">
        <f t="shared" si="33"/>
        <v>0</v>
      </c>
      <c r="X35" s="220">
        <f t="shared" si="8"/>
        <v>-10</v>
      </c>
      <c r="Z35" s="219">
        <v>45199.0</v>
      </c>
      <c r="AA35" s="220"/>
      <c r="AB35" s="220"/>
      <c r="AC35" s="220">
        <f t="shared" si="9"/>
        <v>0</v>
      </c>
      <c r="AD35" s="220">
        <f t="shared" si="10"/>
        <v>-10</v>
      </c>
      <c r="AF35" s="219">
        <v>45199.0</v>
      </c>
      <c r="AG35" s="220" t="str">
        <f t="shared" si="21"/>
        <v/>
      </c>
      <c r="AH35" s="220"/>
      <c r="AI35" s="220">
        <f t="shared" si="11"/>
        <v>0</v>
      </c>
      <c r="AJ35" s="220">
        <f t="shared" si="12"/>
        <v>-10</v>
      </c>
      <c r="AL35" s="219">
        <v>45199.0</v>
      </c>
      <c r="AM35" s="220" t="str">
        <f t="shared" si="22"/>
        <v/>
      </c>
      <c r="AN35" s="220"/>
      <c r="AO35" s="220">
        <f t="shared" si="13"/>
        <v>0</v>
      </c>
      <c r="AP35" s="220">
        <f t="shared" si="14"/>
        <v>-10</v>
      </c>
      <c r="AR35" s="219">
        <v>45199.0</v>
      </c>
      <c r="AS35" s="220">
        <v>7104.6</v>
      </c>
      <c r="AT35" s="220">
        <v>7111.3</v>
      </c>
      <c r="AU35" s="220">
        <f t="shared" si="15"/>
        <v>6.7</v>
      </c>
      <c r="AV35" s="220">
        <f t="shared" si="16"/>
        <v>-3.3</v>
      </c>
      <c r="AX35" s="219">
        <v>45199.0</v>
      </c>
      <c r="AY35" s="220" t="str">
        <f t="shared" si="23"/>
        <v/>
      </c>
      <c r="AZ35" s="220"/>
      <c r="BA35" s="220">
        <f t="shared" si="17"/>
        <v>0</v>
      </c>
      <c r="BB35" s="220">
        <f t="shared" si="18"/>
        <v>-10</v>
      </c>
    </row>
    <row r="36" ht="14.25" customHeight="1">
      <c r="A36" s="218"/>
      <c r="B36" s="219">
        <v>45200.0</v>
      </c>
      <c r="C36" s="220" t="str">
        <f>D35</f>
        <v/>
      </c>
      <c r="D36" s="220"/>
      <c r="E36" s="220">
        <f t="shared" si="1"/>
        <v>0</v>
      </c>
      <c r="F36" s="220">
        <f t="shared" si="2"/>
        <v>-10</v>
      </c>
      <c r="H36" s="219">
        <v>45200.0</v>
      </c>
      <c r="I36" s="220" t="str">
        <f t="shared" si="19"/>
        <v/>
      </c>
      <c r="J36" s="220"/>
      <c r="K36" s="220">
        <f t="shared" si="3"/>
        <v>0</v>
      </c>
      <c r="L36" s="220">
        <f t="shared" si="4"/>
        <v>-10</v>
      </c>
      <c r="N36" s="219">
        <v>45200.0</v>
      </c>
      <c r="O36" s="220" t="str">
        <f t="shared" si="43"/>
        <v/>
      </c>
      <c r="P36" s="220"/>
      <c r="Q36" s="220">
        <f t="shared" si="5"/>
        <v>0</v>
      </c>
      <c r="R36" s="220">
        <f t="shared" si="6"/>
        <v>-10</v>
      </c>
      <c r="T36" s="219">
        <v>45200.0</v>
      </c>
      <c r="U36" s="220" t="str">
        <f>V35</f>
        <v/>
      </c>
      <c r="V36" s="220"/>
      <c r="W36" s="220">
        <f t="shared" si="33"/>
        <v>0</v>
      </c>
      <c r="X36" s="220">
        <f t="shared" si="8"/>
        <v>-10</v>
      </c>
      <c r="Z36" s="219">
        <v>45200.0</v>
      </c>
      <c r="AA36" s="220" t="str">
        <f>AB35</f>
        <v/>
      </c>
      <c r="AB36" s="220"/>
      <c r="AC36" s="220">
        <f t="shared" si="9"/>
        <v>0</v>
      </c>
      <c r="AD36" s="220">
        <f t="shared" si="10"/>
        <v>-10</v>
      </c>
      <c r="AF36" s="219">
        <v>45200.0</v>
      </c>
      <c r="AG36" s="220" t="str">
        <f t="shared" si="21"/>
        <v/>
      </c>
      <c r="AH36" s="220"/>
      <c r="AI36" s="220">
        <f t="shared" si="11"/>
        <v>0</v>
      </c>
      <c r="AJ36" s="220">
        <f t="shared" si="12"/>
        <v>-10</v>
      </c>
      <c r="AL36" s="219">
        <v>45200.0</v>
      </c>
      <c r="AM36" s="220" t="str">
        <f t="shared" si="22"/>
        <v/>
      </c>
      <c r="AN36" s="220"/>
      <c r="AO36" s="220">
        <f t="shared" si="13"/>
        <v>0</v>
      </c>
      <c r="AP36" s="220">
        <f t="shared" si="14"/>
        <v>-10</v>
      </c>
      <c r="AR36" s="219">
        <v>45200.0</v>
      </c>
      <c r="AS36" s="220"/>
      <c r="AT36" s="220"/>
      <c r="AU36" s="220">
        <f t="shared" si="15"/>
        <v>0</v>
      </c>
      <c r="AV36" s="220">
        <f t="shared" si="16"/>
        <v>-10</v>
      </c>
      <c r="AX36" s="219">
        <v>45200.0</v>
      </c>
      <c r="AY36" s="220" t="str">
        <f t="shared" si="23"/>
        <v/>
      </c>
      <c r="AZ36" s="220"/>
      <c r="BA36" s="220">
        <f t="shared" si="17"/>
        <v>0</v>
      </c>
      <c r="BB36" s="220">
        <f t="shared" si="18"/>
        <v>-10</v>
      </c>
    </row>
    <row r="37" ht="14.25" customHeight="1">
      <c r="A37" s="222"/>
      <c r="B37" s="216"/>
      <c r="C37" s="223" t="s">
        <v>221</v>
      </c>
      <c r="D37" s="223"/>
      <c r="E37" s="216">
        <f>SUM(E6:E36)</f>
        <v>125</v>
      </c>
      <c r="F37" s="216">
        <f t="shared" si="2"/>
        <v>115</v>
      </c>
      <c r="H37" s="216"/>
      <c r="I37" s="223" t="s">
        <v>221</v>
      </c>
      <c r="J37" s="223"/>
      <c r="K37" s="216">
        <f>SUM(K6:K36)</f>
        <v>0</v>
      </c>
      <c r="L37" s="216">
        <f t="shared" si="4"/>
        <v>-10</v>
      </c>
      <c r="N37" s="216"/>
      <c r="O37" s="223" t="s">
        <v>221</v>
      </c>
      <c r="P37" s="223"/>
      <c r="Q37" s="216">
        <f>SUM(Q6:Q36)</f>
        <v>238.1</v>
      </c>
      <c r="R37" s="216">
        <f t="shared" si="6"/>
        <v>228.1</v>
      </c>
      <c r="T37" s="216"/>
      <c r="U37" s="223" t="s">
        <v>221</v>
      </c>
      <c r="V37" s="223"/>
      <c r="W37" s="216">
        <f>SUM(W6:W36)</f>
        <v>191.4</v>
      </c>
      <c r="X37" s="216">
        <f t="shared" si="8"/>
        <v>181.4</v>
      </c>
      <c r="Z37" s="216"/>
      <c r="AA37" s="223" t="s">
        <v>221</v>
      </c>
      <c r="AB37" s="223"/>
      <c r="AC37" s="216">
        <f>SUM(AC6:AC36)</f>
        <v>155.1</v>
      </c>
      <c r="AD37" s="216">
        <f t="shared" si="10"/>
        <v>145.1</v>
      </c>
      <c r="AF37" s="216"/>
      <c r="AG37" s="223" t="s">
        <v>221</v>
      </c>
      <c r="AH37" s="223"/>
      <c r="AI37" s="216">
        <f>SUM(AI6:AI36)</f>
        <v>0</v>
      </c>
      <c r="AJ37" s="216">
        <f t="shared" si="12"/>
        <v>-10</v>
      </c>
      <c r="AL37" s="216"/>
      <c r="AM37" s="223" t="s">
        <v>221</v>
      </c>
      <c r="AN37" s="223"/>
      <c r="AO37" s="216">
        <f>SUM(AO6:AO36)</f>
        <v>0</v>
      </c>
      <c r="AP37" s="216">
        <f t="shared" si="14"/>
        <v>-10</v>
      </c>
      <c r="AR37" s="216"/>
      <c r="AS37" s="223" t="s">
        <v>221</v>
      </c>
      <c r="AT37" s="223"/>
      <c r="AU37" s="216">
        <f>SUM(AU6:AU36)</f>
        <v>202.3</v>
      </c>
      <c r="AV37" s="216">
        <f t="shared" si="16"/>
        <v>192.3</v>
      </c>
      <c r="AX37" s="216"/>
      <c r="AY37" s="223" t="s">
        <v>221</v>
      </c>
      <c r="AZ37" s="223"/>
      <c r="BA37" s="216">
        <f>SUM(BA6:BA36)</f>
        <v>0</v>
      </c>
      <c r="BB37" s="216">
        <f t="shared" si="18"/>
        <v>-10</v>
      </c>
    </row>
    <row r="38" ht="14.25" customHeight="1"/>
    <row r="39" ht="14.25" customHeight="1"/>
    <row r="40" ht="14.25" customHeight="1"/>
    <row r="41" ht="18.0" customHeight="1">
      <c r="A41" s="215" t="s">
        <v>222</v>
      </c>
      <c r="B41" s="206" t="s">
        <v>18</v>
      </c>
      <c r="C41" s="207"/>
      <c r="D41" s="207"/>
      <c r="E41" s="207"/>
      <c r="F41" s="208"/>
      <c r="G41" s="209"/>
      <c r="H41" s="206" t="s">
        <v>106</v>
      </c>
      <c r="I41" s="207"/>
      <c r="J41" s="207"/>
      <c r="K41" s="207"/>
      <c r="L41" s="208"/>
      <c r="M41" s="209"/>
      <c r="N41" s="206" t="s">
        <v>142</v>
      </c>
      <c r="O41" s="207"/>
      <c r="P41" s="207"/>
      <c r="Q41" s="207"/>
      <c r="R41" s="208"/>
      <c r="S41" s="209"/>
      <c r="T41" s="206" t="s">
        <v>95</v>
      </c>
      <c r="U41" s="207"/>
      <c r="V41" s="207"/>
      <c r="W41" s="207"/>
      <c r="X41" s="208"/>
      <c r="Y41" s="209"/>
      <c r="Z41" s="206" t="s">
        <v>32</v>
      </c>
      <c r="AA41" s="207"/>
      <c r="AB41" s="207"/>
      <c r="AC41" s="207"/>
      <c r="AD41" s="208"/>
      <c r="AE41" s="209"/>
      <c r="AF41" s="206" t="s">
        <v>27</v>
      </c>
      <c r="AG41" s="207"/>
      <c r="AH41" s="207"/>
      <c r="AI41" s="207"/>
      <c r="AJ41" s="208"/>
      <c r="AK41" s="209"/>
      <c r="AL41" s="206" t="s">
        <v>34</v>
      </c>
      <c r="AM41" s="207"/>
      <c r="AN41" s="207"/>
      <c r="AO41" s="207"/>
      <c r="AP41" s="208"/>
      <c r="AQ41" s="209"/>
      <c r="AR41" s="206"/>
      <c r="AS41" s="207"/>
      <c r="AT41" s="207"/>
      <c r="AU41" s="207"/>
      <c r="AV41" s="208"/>
      <c r="AW41" s="209"/>
      <c r="AX41" s="206"/>
      <c r="AY41" s="207"/>
      <c r="AZ41" s="207"/>
      <c r="BA41" s="207"/>
      <c r="BB41" s="208"/>
    </row>
    <row r="42" ht="14.25" customHeight="1">
      <c r="A42" s="218"/>
      <c r="B42" s="210"/>
      <c r="F42" s="211"/>
      <c r="G42" s="209"/>
      <c r="H42" s="210"/>
      <c r="L42" s="211"/>
      <c r="M42" s="209"/>
      <c r="N42" s="210"/>
      <c r="R42" s="211"/>
      <c r="S42" s="209"/>
      <c r="T42" s="210"/>
      <c r="X42" s="211"/>
      <c r="Y42" s="209"/>
      <c r="Z42" s="210"/>
      <c r="AD42" s="211"/>
      <c r="AE42" s="209"/>
      <c r="AF42" s="210"/>
      <c r="AJ42" s="211"/>
      <c r="AK42" s="209"/>
      <c r="AL42" s="210"/>
      <c r="AP42" s="211"/>
      <c r="AQ42" s="209"/>
      <c r="AR42" s="210"/>
      <c r="AV42" s="211"/>
      <c r="AW42" s="209"/>
      <c r="AX42" s="210"/>
      <c r="BB42" s="211"/>
    </row>
    <row r="43" ht="14.25" customHeight="1">
      <c r="A43" s="218"/>
      <c r="B43" s="212"/>
      <c r="C43" s="213"/>
      <c r="D43" s="213"/>
      <c r="E43" s="213"/>
      <c r="F43" s="214"/>
      <c r="G43" s="209"/>
      <c r="H43" s="212"/>
      <c r="I43" s="213"/>
      <c r="J43" s="213"/>
      <c r="K43" s="213"/>
      <c r="L43" s="214"/>
      <c r="M43" s="209"/>
      <c r="N43" s="212"/>
      <c r="O43" s="213"/>
      <c r="P43" s="213"/>
      <c r="Q43" s="213"/>
      <c r="R43" s="214"/>
      <c r="S43" s="209"/>
      <c r="T43" s="212"/>
      <c r="U43" s="213"/>
      <c r="V43" s="213"/>
      <c r="W43" s="213"/>
      <c r="X43" s="214"/>
      <c r="Y43" s="209"/>
      <c r="Z43" s="212"/>
      <c r="AA43" s="213"/>
      <c r="AB43" s="213"/>
      <c r="AC43" s="213"/>
      <c r="AD43" s="214"/>
      <c r="AE43" s="209"/>
      <c r="AF43" s="212"/>
      <c r="AG43" s="213"/>
      <c r="AH43" s="213"/>
      <c r="AI43" s="213"/>
      <c r="AJ43" s="214"/>
      <c r="AK43" s="209"/>
      <c r="AL43" s="212"/>
      <c r="AM43" s="213"/>
      <c r="AN43" s="213"/>
      <c r="AO43" s="213"/>
      <c r="AP43" s="214"/>
      <c r="AQ43" s="209"/>
      <c r="AR43" s="212"/>
      <c r="AS43" s="213"/>
      <c r="AT43" s="213"/>
      <c r="AU43" s="213"/>
      <c r="AV43" s="214"/>
      <c r="AW43" s="209"/>
      <c r="AX43" s="212"/>
      <c r="AY43" s="213"/>
      <c r="AZ43" s="213"/>
      <c r="BA43" s="213"/>
      <c r="BB43" s="214"/>
    </row>
    <row r="44" ht="14.25" customHeight="1">
      <c r="A44" s="218"/>
      <c r="B44" s="216" t="s">
        <v>214</v>
      </c>
      <c r="C44" s="216" t="s">
        <v>215</v>
      </c>
      <c r="D44" s="216" t="s">
        <v>216</v>
      </c>
      <c r="E44" s="216" t="s">
        <v>217</v>
      </c>
      <c r="F44" s="216" t="s">
        <v>218</v>
      </c>
      <c r="H44" s="217" t="s">
        <v>214</v>
      </c>
      <c r="I44" s="216" t="s">
        <v>215</v>
      </c>
      <c r="J44" s="216" t="s">
        <v>216</v>
      </c>
      <c r="K44" s="216" t="s">
        <v>217</v>
      </c>
      <c r="L44" s="216" t="s">
        <v>218</v>
      </c>
      <c r="N44" s="216" t="s">
        <v>214</v>
      </c>
      <c r="O44" s="216" t="s">
        <v>215</v>
      </c>
      <c r="P44" s="216" t="s">
        <v>216</v>
      </c>
      <c r="Q44" s="216" t="s">
        <v>217</v>
      </c>
      <c r="R44" s="216" t="s">
        <v>218</v>
      </c>
      <c r="T44" s="216" t="s">
        <v>214</v>
      </c>
      <c r="U44" s="216" t="s">
        <v>215</v>
      </c>
      <c r="V44" s="216" t="s">
        <v>216</v>
      </c>
      <c r="W44" s="216" t="s">
        <v>217</v>
      </c>
      <c r="X44" s="216" t="s">
        <v>218</v>
      </c>
      <c r="Z44" s="216" t="s">
        <v>214</v>
      </c>
      <c r="AA44" s="216" t="s">
        <v>215</v>
      </c>
      <c r="AB44" s="216" t="s">
        <v>216</v>
      </c>
      <c r="AC44" s="216" t="s">
        <v>217</v>
      </c>
      <c r="AD44" s="216" t="s">
        <v>218</v>
      </c>
      <c r="AF44" s="216" t="s">
        <v>214</v>
      </c>
      <c r="AG44" s="216" t="s">
        <v>215</v>
      </c>
      <c r="AH44" s="216" t="s">
        <v>216</v>
      </c>
      <c r="AI44" s="216" t="s">
        <v>217</v>
      </c>
      <c r="AJ44" s="216" t="s">
        <v>218</v>
      </c>
      <c r="AL44" s="216" t="s">
        <v>214</v>
      </c>
      <c r="AM44" s="216" t="s">
        <v>215</v>
      </c>
      <c r="AN44" s="216" t="s">
        <v>216</v>
      </c>
      <c r="AO44" s="216" t="s">
        <v>217</v>
      </c>
      <c r="AP44" s="216" t="s">
        <v>218</v>
      </c>
      <c r="AR44" s="216" t="s">
        <v>214</v>
      </c>
      <c r="AS44" s="216" t="s">
        <v>215</v>
      </c>
      <c r="AT44" s="216" t="s">
        <v>216</v>
      </c>
      <c r="AU44" s="216" t="s">
        <v>217</v>
      </c>
      <c r="AV44" s="216" t="s">
        <v>218</v>
      </c>
      <c r="AX44" s="216" t="s">
        <v>214</v>
      </c>
      <c r="AY44" s="216" t="s">
        <v>215</v>
      </c>
      <c r="AZ44" s="216" t="s">
        <v>216</v>
      </c>
      <c r="BA44" s="216" t="s">
        <v>217</v>
      </c>
      <c r="BB44" s="216" t="s">
        <v>218</v>
      </c>
    </row>
    <row r="45" ht="15.75" customHeight="1">
      <c r="A45" s="218"/>
      <c r="B45" s="224">
        <v>45200.0</v>
      </c>
      <c r="C45" s="225"/>
      <c r="D45" s="225"/>
      <c r="E45" s="225">
        <f t="shared" ref="E45:E75" si="44">D45-C45</f>
        <v>0</v>
      </c>
      <c r="F45" s="225">
        <f t="shared" ref="F45:F76" si="45">E45-10</f>
        <v>-10</v>
      </c>
      <c r="G45" s="226"/>
      <c r="H45" s="224">
        <v>45200.0</v>
      </c>
      <c r="I45" s="225"/>
      <c r="J45" s="225"/>
      <c r="K45" s="225">
        <f t="shared" ref="K45:K75" si="46">J45-I45</f>
        <v>0</v>
      </c>
      <c r="L45" s="225">
        <f t="shared" ref="L45:L76" si="47">K45-10</f>
        <v>-10</v>
      </c>
      <c r="M45" s="226"/>
      <c r="N45" s="224">
        <v>45200.0</v>
      </c>
      <c r="O45" s="225"/>
      <c r="P45" s="225"/>
      <c r="Q45" s="225">
        <f t="shared" ref="Q45:Q75" si="48">P45-O45</f>
        <v>0</v>
      </c>
      <c r="R45" s="225">
        <f t="shared" ref="R45:R76" si="49">Q45-10</f>
        <v>-10</v>
      </c>
      <c r="S45" s="226"/>
      <c r="T45" s="224">
        <v>45200.0</v>
      </c>
      <c r="U45" s="225"/>
      <c r="V45" s="225"/>
      <c r="W45" s="225">
        <f t="shared" ref="W45:W75" si="50">V45-U45</f>
        <v>0</v>
      </c>
      <c r="X45" s="225">
        <f t="shared" ref="X45:X76" si="51">W45-10</f>
        <v>-10</v>
      </c>
      <c r="Y45" s="226"/>
      <c r="Z45" s="224">
        <v>45200.0</v>
      </c>
      <c r="AA45" s="225"/>
      <c r="AB45" s="225"/>
      <c r="AC45" s="225">
        <f t="shared" ref="AC45:AC75" si="52">AB45-AA45</f>
        <v>0</v>
      </c>
      <c r="AD45" s="225">
        <f t="shared" ref="AD45:AD76" si="53">AC45-10</f>
        <v>-10</v>
      </c>
      <c r="AE45" s="226"/>
      <c r="AF45" s="224">
        <v>45200.0</v>
      </c>
      <c r="AG45" s="225"/>
      <c r="AH45" s="225"/>
      <c r="AI45" s="225">
        <f t="shared" ref="AI45:AI75" si="54">AH45-AG45</f>
        <v>0</v>
      </c>
      <c r="AJ45" s="225">
        <f t="shared" ref="AJ45:AJ76" si="55">AI45-10</f>
        <v>-10</v>
      </c>
      <c r="AK45" s="226"/>
      <c r="AL45" s="224">
        <v>45200.0</v>
      </c>
      <c r="AM45" s="225"/>
      <c r="AN45" s="225"/>
      <c r="AO45" s="225">
        <f t="shared" ref="AO45:AO75" si="56">AN45-AM45</f>
        <v>0</v>
      </c>
      <c r="AP45" s="225">
        <f t="shared" ref="AP45:AP76" si="57">AO45-10</f>
        <v>-10</v>
      </c>
      <c r="AQ45" s="226"/>
      <c r="AR45" s="224">
        <v>45200.0</v>
      </c>
      <c r="AS45" s="225"/>
      <c r="AT45" s="225"/>
      <c r="AU45" s="225">
        <f t="shared" ref="AU45:AU75" si="58">AT45-AS45</f>
        <v>0</v>
      </c>
      <c r="AV45" s="225">
        <f t="shared" ref="AV45:AV76" si="59">AU45-10</f>
        <v>-10</v>
      </c>
      <c r="AW45" s="226"/>
      <c r="AX45" s="224">
        <v>45200.0</v>
      </c>
      <c r="AY45" s="225"/>
      <c r="AZ45" s="225"/>
      <c r="BA45" s="225">
        <f t="shared" ref="BA45:BA75" si="60">AZ45-AY45</f>
        <v>0</v>
      </c>
      <c r="BB45" s="225">
        <f t="shared" ref="BB45:BB76" si="61">BA45-10</f>
        <v>-10</v>
      </c>
    </row>
    <row r="46" ht="14.25" customHeight="1">
      <c r="A46" s="218"/>
      <c r="B46" s="219">
        <v>45201.0</v>
      </c>
      <c r="C46" s="220" t="str">
        <f>D45</f>
        <v/>
      </c>
      <c r="D46" s="220"/>
      <c r="E46" s="220">
        <f t="shared" si="44"/>
        <v>0</v>
      </c>
      <c r="F46" s="220">
        <f t="shared" si="45"/>
        <v>-10</v>
      </c>
      <c r="H46" s="219">
        <v>45201.0</v>
      </c>
      <c r="I46" s="220">
        <v>7111.3</v>
      </c>
      <c r="J46" s="220">
        <v>7121.4</v>
      </c>
      <c r="K46" s="220">
        <f t="shared" si="46"/>
        <v>10.1</v>
      </c>
      <c r="L46" s="220">
        <f t="shared" si="47"/>
        <v>0.1</v>
      </c>
      <c r="N46" s="219">
        <v>45201.0</v>
      </c>
      <c r="O46" s="220">
        <v>5268.0</v>
      </c>
      <c r="P46" s="220">
        <v>5269.5</v>
      </c>
      <c r="Q46" s="220">
        <f t="shared" si="48"/>
        <v>1.5</v>
      </c>
      <c r="R46" s="220">
        <f t="shared" si="49"/>
        <v>-8.5</v>
      </c>
      <c r="T46" s="219">
        <v>45201.0</v>
      </c>
      <c r="U46" s="220">
        <v>3275.0</v>
      </c>
      <c r="V46" s="220">
        <v>3281.0</v>
      </c>
      <c r="W46" s="220">
        <f t="shared" si="50"/>
        <v>6</v>
      </c>
      <c r="X46" s="220">
        <f t="shared" si="51"/>
        <v>-4</v>
      </c>
      <c r="Z46" s="219">
        <v>45201.0</v>
      </c>
      <c r="AA46" s="220">
        <v>1304.4</v>
      </c>
      <c r="AB46" s="220">
        <v>1314.4</v>
      </c>
      <c r="AC46" s="220">
        <f t="shared" si="52"/>
        <v>10</v>
      </c>
      <c r="AD46" s="220">
        <f t="shared" si="53"/>
        <v>0</v>
      </c>
      <c r="AF46" s="219">
        <v>45201.0</v>
      </c>
      <c r="AG46" s="220" t="str">
        <f t="shared" ref="AG46:AG56" si="62">AH45</f>
        <v/>
      </c>
      <c r="AH46" s="220"/>
      <c r="AI46" s="220">
        <f t="shared" si="54"/>
        <v>0</v>
      </c>
      <c r="AJ46" s="220">
        <f t="shared" si="55"/>
        <v>-10</v>
      </c>
      <c r="AL46" s="219">
        <v>45201.0</v>
      </c>
      <c r="AM46" s="220" t="str">
        <f t="shared" ref="AM46:AM75" si="63">AN45</f>
        <v/>
      </c>
      <c r="AN46" s="220"/>
      <c r="AO46" s="220">
        <f t="shared" si="56"/>
        <v>0</v>
      </c>
      <c r="AP46" s="220">
        <f t="shared" si="57"/>
        <v>-10</v>
      </c>
      <c r="AR46" s="219">
        <v>45201.0</v>
      </c>
      <c r="AS46" s="220" t="str">
        <f t="shared" ref="AS46:AS75" si="64">AT45</f>
        <v/>
      </c>
      <c r="AT46" s="220"/>
      <c r="AU46" s="220">
        <f t="shared" si="58"/>
        <v>0</v>
      </c>
      <c r="AV46" s="220">
        <f t="shared" si="59"/>
        <v>-10</v>
      </c>
      <c r="AX46" s="219">
        <v>45201.0</v>
      </c>
      <c r="AY46" s="220" t="str">
        <f t="shared" ref="AY46:AY75" si="65">AZ45</f>
        <v/>
      </c>
      <c r="AZ46" s="220"/>
      <c r="BA46" s="220">
        <f t="shared" si="60"/>
        <v>0</v>
      </c>
      <c r="BB46" s="220">
        <f t="shared" si="61"/>
        <v>-10</v>
      </c>
    </row>
    <row r="47" ht="14.25" customHeight="1">
      <c r="A47" s="218"/>
      <c r="B47" s="219">
        <v>45202.0</v>
      </c>
      <c r="C47" s="220">
        <v>2239.0</v>
      </c>
      <c r="D47" s="220">
        <v>2247.0</v>
      </c>
      <c r="E47" s="220">
        <f t="shared" si="44"/>
        <v>8</v>
      </c>
      <c r="F47" s="220">
        <f t="shared" si="45"/>
        <v>-2</v>
      </c>
      <c r="G47" s="221"/>
      <c r="H47" s="219">
        <v>45202.0</v>
      </c>
      <c r="I47" s="220">
        <f t="shared" ref="I47:I51" si="66">J46</f>
        <v>7121.4</v>
      </c>
      <c r="J47" s="220">
        <v>7125.6</v>
      </c>
      <c r="K47" s="220">
        <f t="shared" si="46"/>
        <v>4.2</v>
      </c>
      <c r="L47" s="220">
        <f t="shared" si="47"/>
        <v>-5.8</v>
      </c>
      <c r="M47" s="221"/>
      <c r="N47" s="219">
        <v>45202.0</v>
      </c>
      <c r="O47" s="220">
        <f t="shared" ref="O47:O55" si="67">P46</f>
        <v>5269.5</v>
      </c>
      <c r="P47" s="220">
        <v>5280.5</v>
      </c>
      <c r="Q47" s="220">
        <f t="shared" si="48"/>
        <v>11</v>
      </c>
      <c r="R47" s="220">
        <f t="shared" si="49"/>
        <v>1</v>
      </c>
      <c r="S47" s="221"/>
      <c r="T47" s="219">
        <v>45202.0</v>
      </c>
      <c r="U47" s="220">
        <f t="shared" ref="U47:U50" si="68">V46</f>
        <v>3281</v>
      </c>
      <c r="V47" s="220">
        <v>3289.9</v>
      </c>
      <c r="W47" s="220">
        <f t="shared" si="50"/>
        <v>8.9</v>
      </c>
      <c r="X47" s="220">
        <f t="shared" si="51"/>
        <v>-1.1</v>
      </c>
      <c r="Y47" s="221"/>
      <c r="Z47" s="219">
        <v>45202.0</v>
      </c>
      <c r="AA47" s="220">
        <f t="shared" ref="AA47:AA50" si="69">AB46</f>
        <v>1314.4</v>
      </c>
      <c r="AB47" s="220">
        <v>1324.4</v>
      </c>
      <c r="AC47" s="220">
        <f t="shared" si="52"/>
        <v>10</v>
      </c>
      <c r="AD47" s="220">
        <f t="shared" si="53"/>
        <v>0</v>
      </c>
      <c r="AE47" s="221"/>
      <c r="AF47" s="219">
        <v>45202.0</v>
      </c>
      <c r="AG47" s="220" t="str">
        <f t="shared" si="62"/>
        <v/>
      </c>
      <c r="AH47" s="220"/>
      <c r="AI47" s="220">
        <f t="shared" si="54"/>
        <v>0</v>
      </c>
      <c r="AJ47" s="220">
        <f t="shared" si="55"/>
        <v>-10</v>
      </c>
      <c r="AK47" s="221"/>
      <c r="AL47" s="219">
        <v>45202.0</v>
      </c>
      <c r="AM47" s="220" t="str">
        <f t="shared" si="63"/>
        <v/>
      </c>
      <c r="AN47" s="220"/>
      <c r="AO47" s="220">
        <f t="shared" si="56"/>
        <v>0</v>
      </c>
      <c r="AP47" s="220">
        <f t="shared" si="57"/>
        <v>-10</v>
      </c>
      <c r="AQ47" s="221"/>
      <c r="AR47" s="219">
        <v>45202.0</v>
      </c>
      <c r="AS47" s="220" t="str">
        <f t="shared" si="64"/>
        <v/>
      </c>
      <c r="AT47" s="220"/>
      <c r="AU47" s="220">
        <f t="shared" si="58"/>
        <v>0</v>
      </c>
      <c r="AV47" s="220">
        <f t="shared" si="59"/>
        <v>-10</v>
      </c>
      <c r="AW47" s="221"/>
      <c r="AX47" s="219">
        <v>45202.0</v>
      </c>
      <c r="AY47" s="220" t="str">
        <f t="shared" si="65"/>
        <v/>
      </c>
      <c r="AZ47" s="220"/>
      <c r="BA47" s="220">
        <f t="shared" si="60"/>
        <v>0</v>
      </c>
      <c r="BB47" s="220">
        <f t="shared" si="61"/>
        <v>-10</v>
      </c>
    </row>
    <row r="48" ht="14.25" customHeight="1">
      <c r="A48" s="218"/>
      <c r="B48" s="219">
        <v>45203.0</v>
      </c>
      <c r="C48" s="220">
        <f t="shared" ref="C48:C55" si="70">D47</f>
        <v>2247</v>
      </c>
      <c r="D48" s="220">
        <v>2257.0</v>
      </c>
      <c r="E48" s="220">
        <f t="shared" si="44"/>
        <v>10</v>
      </c>
      <c r="F48" s="220">
        <f t="shared" si="45"/>
        <v>0</v>
      </c>
      <c r="G48" s="221"/>
      <c r="H48" s="219">
        <v>45203.0</v>
      </c>
      <c r="I48" s="220">
        <f t="shared" si="66"/>
        <v>7125.6</v>
      </c>
      <c r="J48" s="220">
        <v>7137.1</v>
      </c>
      <c r="K48" s="220">
        <f t="shared" si="46"/>
        <v>11.5</v>
      </c>
      <c r="L48" s="220">
        <f t="shared" si="47"/>
        <v>1.5</v>
      </c>
      <c r="M48" s="221"/>
      <c r="N48" s="219">
        <v>45203.0</v>
      </c>
      <c r="O48" s="220">
        <f t="shared" si="67"/>
        <v>5280.5</v>
      </c>
      <c r="P48" s="220">
        <v>5292.0</v>
      </c>
      <c r="Q48" s="220">
        <f t="shared" si="48"/>
        <v>11.5</v>
      </c>
      <c r="R48" s="220">
        <f t="shared" si="49"/>
        <v>1.5</v>
      </c>
      <c r="S48" s="221"/>
      <c r="T48" s="219">
        <v>45203.0</v>
      </c>
      <c r="U48" s="220">
        <f t="shared" si="68"/>
        <v>3289.9</v>
      </c>
      <c r="V48" s="220">
        <v>3300.3</v>
      </c>
      <c r="W48" s="220">
        <f t="shared" si="50"/>
        <v>10.4</v>
      </c>
      <c r="X48" s="220">
        <f t="shared" si="51"/>
        <v>0.4</v>
      </c>
      <c r="Y48" s="221"/>
      <c r="Z48" s="219">
        <v>45203.0</v>
      </c>
      <c r="AA48" s="220">
        <f t="shared" si="69"/>
        <v>1324.4</v>
      </c>
      <c r="AB48" s="220">
        <v>1334.4</v>
      </c>
      <c r="AC48" s="220">
        <f t="shared" si="52"/>
        <v>10</v>
      </c>
      <c r="AD48" s="220">
        <f t="shared" si="53"/>
        <v>0</v>
      </c>
      <c r="AE48" s="221"/>
      <c r="AF48" s="219">
        <v>45203.0</v>
      </c>
      <c r="AG48" s="220" t="str">
        <f t="shared" si="62"/>
        <v/>
      </c>
      <c r="AH48" s="220"/>
      <c r="AI48" s="220">
        <f t="shared" si="54"/>
        <v>0</v>
      </c>
      <c r="AJ48" s="220">
        <f t="shared" si="55"/>
        <v>-10</v>
      </c>
      <c r="AK48" s="221"/>
      <c r="AL48" s="219">
        <v>45203.0</v>
      </c>
      <c r="AM48" s="220" t="str">
        <f t="shared" si="63"/>
        <v/>
      </c>
      <c r="AN48" s="220"/>
      <c r="AO48" s="220">
        <f t="shared" si="56"/>
        <v>0</v>
      </c>
      <c r="AP48" s="220">
        <f t="shared" si="57"/>
        <v>-10</v>
      </c>
      <c r="AQ48" s="221"/>
      <c r="AR48" s="219">
        <v>45203.0</v>
      </c>
      <c r="AS48" s="220" t="str">
        <f t="shared" si="64"/>
        <v/>
      </c>
      <c r="AT48" s="220"/>
      <c r="AU48" s="220">
        <f t="shared" si="58"/>
        <v>0</v>
      </c>
      <c r="AV48" s="220">
        <f t="shared" si="59"/>
        <v>-10</v>
      </c>
      <c r="AW48" s="221"/>
      <c r="AX48" s="219">
        <v>45203.0</v>
      </c>
      <c r="AY48" s="220" t="str">
        <f t="shared" si="65"/>
        <v/>
      </c>
      <c r="AZ48" s="220"/>
      <c r="BA48" s="220">
        <f t="shared" si="60"/>
        <v>0</v>
      </c>
      <c r="BB48" s="220">
        <f t="shared" si="61"/>
        <v>-10</v>
      </c>
    </row>
    <row r="49" ht="14.25" customHeight="1">
      <c r="A49" s="218"/>
      <c r="B49" s="219">
        <v>45204.0</v>
      </c>
      <c r="C49" s="220">
        <f t="shared" si="70"/>
        <v>2257</v>
      </c>
      <c r="D49" s="220">
        <v>2267.0</v>
      </c>
      <c r="E49" s="220">
        <f t="shared" si="44"/>
        <v>10</v>
      </c>
      <c r="F49" s="220">
        <f t="shared" si="45"/>
        <v>0</v>
      </c>
      <c r="H49" s="219">
        <v>45204.0</v>
      </c>
      <c r="I49" s="220">
        <f t="shared" si="66"/>
        <v>7137.1</v>
      </c>
      <c r="J49" s="220">
        <v>7145.3</v>
      </c>
      <c r="K49" s="220">
        <f t="shared" si="46"/>
        <v>8.2</v>
      </c>
      <c r="L49" s="220">
        <f t="shared" si="47"/>
        <v>-1.8</v>
      </c>
      <c r="N49" s="219">
        <v>45204.0</v>
      </c>
      <c r="O49" s="220">
        <f t="shared" si="67"/>
        <v>5292</v>
      </c>
      <c r="P49" s="220">
        <v>5302.5</v>
      </c>
      <c r="Q49" s="220">
        <f t="shared" si="48"/>
        <v>10.5</v>
      </c>
      <c r="R49" s="220">
        <f t="shared" si="49"/>
        <v>0.5</v>
      </c>
      <c r="T49" s="219">
        <v>45204.0</v>
      </c>
      <c r="U49" s="220">
        <f t="shared" si="68"/>
        <v>3300.3</v>
      </c>
      <c r="V49" s="220">
        <v>3309.0</v>
      </c>
      <c r="W49" s="220">
        <f t="shared" si="50"/>
        <v>8.7</v>
      </c>
      <c r="X49" s="220">
        <f t="shared" si="51"/>
        <v>-1.3</v>
      </c>
      <c r="Z49" s="219">
        <v>45204.0</v>
      </c>
      <c r="AA49" s="220">
        <f t="shared" si="69"/>
        <v>1334.4</v>
      </c>
      <c r="AB49" s="220">
        <v>1345.4</v>
      </c>
      <c r="AC49" s="220">
        <f t="shared" si="52"/>
        <v>11</v>
      </c>
      <c r="AD49" s="220">
        <f t="shared" si="53"/>
        <v>1</v>
      </c>
      <c r="AF49" s="219">
        <v>45204.0</v>
      </c>
      <c r="AG49" s="220" t="str">
        <f t="shared" si="62"/>
        <v/>
      </c>
      <c r="AH49" s="220"/>
      <c r="AI49" s="220">
        <f t="shared" si="54"/>
        <v>0</v>
      </c>
      <c r="AJ49" s="220">
        <f t="shared" si="55"/>
        <v>-10</v>
      </c>
      <c r="AL49" s="219">
        <v>45204.0</v>
      </c>
      <c r="AM49" s="220" t="str">
        <f t="shared" si="63"/>
        <v/>
      </c>
      <c r="AN49" s="220"/>
      <c r="AO49" s="220">
        <f t="shared" si="56"/>
        <v>0</v>
      </c>
      <c r="AP49" s="220">
        <f t="shared" si="57"/>
        <v>-10</v>
      </c>
      <c r="AR49" s="219">
        <v>45204.0</v>
      </c>
      <c r="AS49" s="220" t="str">
        <f t="shared" si="64"/>
        <v/>
      </c>
      <c r="AT49" s="220"/>
      <c r="AU49" s="220">
        <f t="shared" si="58"/>
        <v>0</v>
      </c>
      <c r="AV49" s="220">
        <f t="shared" si="59"/>
        <v>-10</v>
      </c>
      <c r="AX49" s="219">
        <v>45204.0</v>
      </c>
      <c r="AY49" s="220" t="str">
        <f t="shared" si="65"/>
        <v/>
      </c>
      <c r="AZ49" s="220"/>
      <c r="BA49" s="220">
        <f t="shared" si="60"/>
        <v>0</v>
      </c>
      <c r="BB49" s="220">
        <f t="shared" si="61"/>
        <v>-10</v>
      </c>
    </row>
    <row r="50" ht="14.25" customHeight="1">
      <c r="A50" s="218"/>
      <c r="B50" s="219">
        <v>45205.0</v>
      </c>
      <c r="C50" s="220">
        <f t="shared" si="70"/>
        <v>2267</v>
      </c>
      <c r="D50" s="220">
        <v>2271.0</v>
      </c>
      <c r="E50" s="220">
        <f t="shared" si="44"/>
        <v>4</v>
      </c>
      <c r="F50" s="220">
        <f t="shared" si="45"/>
        <v>-6</v>
      </c>
      <c r="H50" s="219">
        <v>45205.0</v>
      </c>
      <c r="I50" s="220">
        <f t="shared" si="66"/>
        <v>7145.3</v>
      </c>
      <c r="J50" s="220">
        <v>7153.4</v>
      </c>
      <c r="K50" s="220">
        <f t="shared" si="46"/>
        <v>8.1</v>
      </c>
      <c r="L50" s="220">
        <f t="shared" si="47"/>
        <v>-1.9</v>
      </c>
      <c r="N50" s="219">
        <v>45205.0</v>
      </c>
      <c r="O50" s="220">
        <f t="shared" si="67"/>
        <v>5302.5</v>
      </c>
      <c r="P50" s="220">
        <v>5309.5</v>
      </c>
      <c r="Q50" s="220">
        <f t="shared" si="48"/>
        <v>7</v>
      </c>
      <c r="R50" s="220">
        <f t="shared" si="49"/>
        <v>-3</v>
      </c>
      <c r="T50" s="219">
        <v>45205.0</v>
      </c>
      <c r="U50" s="220">
        <f t="shared" si="68"/>
        <v>3309</v>
      </c>
      <c r="V50" s="220">
        <v>3313.3</v>
      </c>
      <c r="W50" s="220">
        <f t="shared" si="50"/>
        <v>4.3</v>
      </c>
      <c r="X50" s="220">
        <f t="shared" si="51"/>
        <v>-5.7</v>
      </c>
      <c r="Z50" s="219">
        <v>45205.0</v>
      </c>
      <c r="AA50" s="220">
        <f t="shared" si="69"/>
        <v>1345.4</v>
      </c>
      <c r="AB50" s="220">
        <v>1351.4</v>
      </c>
      <c r="AC50" s="220">
        <f t="shared" si="52"/>
        <v>6</v>
      </c>
      <c r="AD50" s="220">
        <f t="shared" si="53"/>
        <v>-4</v>
      </c>
      <c r="AF50" s="219">
        <v>45205.0</v>
      </c>
      <c r="AG50" s="220" t="str">
        <f t="shared" si="62"/>
        <v/>
      </c>
      <c r="AH50" s="220"/>
      <c r="AI50" s="220">
        <f t="shared" si="54"/>
        <v>0</v>
      </c>
      <c r="AJ50" s="220">
        <f t="shared" si="55"/>
        <v>-10</v>
      </c>
      <c r="AL50" s="219">
        <v>45205.0</v>
      </c>
      <c r="AM50" s="220" t="str">
        <f t="shared" si="63"/>
        <v/>
      </c>
      <c r="AN50" s="220"/>
      <c r="AO50" s="220">
        <f t="shared" si="56"/>
        <v>0</v>
      </c>
      <c r="AP50" s="220">
        <f t="shared" si="57"/>
        <v>-10</v>
      </c>
      <c r="AR50" s="219">
        <v>45205.0</v>
      </c>
      <c r="AS50" s="220" t="str">
        <f t="shared" si="64"/>
        <v/>
      </c>
      <c r="AT50" s="220"/>
      <c r="AU50" s="220">
        <f t="shared" si="58"/>
        <v>0</v>
      </c>
      <c r="AV50" s="220">
        <f t="shared" si="59"/>
        <v>-10</v>
      </c>
      <c r="AX50" s="219">
        <v>45205.0</v>
      </c>
      <c r="AY50" s="220" t="str">
        <f t="shared" si="65"/>
        <v/>
      </c>
      <c r="AZ50" s="220"/>
      <c r="BA50" s="220">
        <f t="shared" si="60"/>
        <v>0</v>
      </c>
      <c r="BB50" s="220">
        <f t="shared" si="61"/>
        <v>-10</v>
      </c>
    </row>
    <row r="51" ht="14.25" customHeight="1">
      <c r="A51" s="218"/>
      <c r="B51" s="224">
        <v>45206.0</v>
      </c>
      <c r="C51" s="225">
        <f t="shared" si="70"/>
        <v>2271</v>
      </c>
      <c r="D51" s="225">
        <v>2273.0</v>
      </c>
      <c r="E51" s="225">
        <f t="shared" si="44"/>
        <v>2</v>
      </c>
      <c r="F51" s="225">
        <f t="shared" si="45"/>
        <v>-8</v>
      </c>
      <c r="G51" s="226"/>
      <c r="H51" s="224">
        <v>45206.0</v>
      </c>
      <c r="I51" s="225">
        <f t="shared" si="66"/>
        <v>7153.4</v>
      </c>
      <c r="J51" s="225">
        <v>7159.1</v>
      </c>
      <c r="K51" s="225">
        <f t="shared" si="46"/>
        <v>5.7</v>
      </c>
      <c r="L51" s="225">
        <f t="shared" si="47"/>
        <v>-4.3</v>
      </c>
      <c r="M51" s="226"/>
      <c r="N51" s="224">
        <v>45206.0</v>
      </c>
      <c r="O51" s="225">
        <f t="shared" si="67"/>
        <v>5309.5</v>
      </c>
      <c r="P51" s="225">
        <v>5321.2</v>
      </c>
      <c r="Q51" s="225">
        <f t="shared" si="48"/>
        <v>11.7</v>
      </c>
      <c r="R51" s="225">
        <f t="shared" si="49"/>
        <v>1.7</v>
      </c>
      <c r="S51" s="226"/>
      <c r="T51" s="224">
        <v>45206.0</v>
      </c>
      <c r="U51" s="225"/>
      <c r="V51" s="225"/>
      <c r="W51" s="225">
        <f t="shared" si="50"/>
        <v>0</v>
      </c>
      <c r="X51" s="225">
        <f t="shared" si="51"/>
        <v>-10</v>
      </c>
      <c r="Y51" s="226"/>
      <c r="Z51" s="224">
        <v>45206.0</v>
      </c>
      <c r="AA51" s="225"/>
      <c r="AB51" s="225"/>
      <c r="AC51" s="225">
        <f t="shared" si="52"/>
        <v>0</v>
      </c>
      <c r="AD51" s="225">
        <f t="shared" si="53"/>
        <v>-10</v>
      </c>
      <c r="AE51" s="226"/>
      <c r="AF51" s="224">
        <v>45206.0</v>
      </c>
      <c r="AG51" s="225" t="str">
        <f t="shared" si="62"/>
        <v/>
      </c>
      <c r="AH51" s="225"/>
      <c r="AI51" s="225">
        <f t="shared" si="54"/>
        <v>0</v>
      </c>
      <c r="AJ51" s="225">
        <f t="shared" si="55"/>
        <v>-10</v>
      </c>
      <c r="AK51" s="226"/>
      <c r="AL51" s="224">
        <v>45206.0</v>
      </c>
      <c r="AM51" s="225" t="str">
        <f t="shared" si="63"/>
        <v/>
      </c>
      <c r="AN51" s="225"/>
      <c r="AO51" s="225">
        <f t="shared" si="56"/>
        <v>0</v>
      </c>
      <c r="AP51" s="225">
        <f t="shared" si="57"/>
        <v>-10</v>
      </c>
      <c r="AQ51" s="226"/>
      <c r="AR51" s="224">
        <v>45206.0</v>
      </c>
      <c r="AS51" s="225" t="str">
        <f t="shared" si="64"/>
        <v/>
      </c>
      <c r="AT51" s="225"/>
      <c r="AU51" s="225">
        <f t="shared" si="58"/>
        <v>0</v>
      </c>
      <c r="AV51" s="225">
        <f t="shared" si="59"/>
        <v>-10</v>
      </c>
      <c r="AW51" s="226"/>
      <c r="AX51" s="224">
        <v>45206.0</v>
      </c>
      <c r="AY51" s="225" t="str">
        <f t="shared" si="65"/>
        <v/>
      </c>
      <c r="AZ51" s="225"/>
      <c r="BA51" s="225">
        <f t="shared" si="60"/>
        <v>0</v>
      </c>
      <c r="BB51" s="225">
        <f t="shared" si="61"/>
        <v>-10</v>
      </c>
    </row>
    <row r="52" ht="14.25" customHeight="1">
      <c r="A52" s="218"/>
      <c r="B52" s="224">
        <v>45207.0</v>
      </c>
      <c r="C52" s="225">
        <f t="shared" si="70"/>
        <v>2273</v>
      </c>
      <c r="D52" s="225">
        <v>2274.0</v>
      </c>
      <c r="E52" s="225">
        <f t="shared" si="44"/>
        <v>1</v>
      </c>
      <c r="F52" s="225">
        <f t="shared" si="45"/>
        <v>-9</v>
      </c>
      <c r="G52" s="226"/>
      <c r="H52" s="224">
        <v>45207.0</v>
      </c>
      <c r="I52" s="225"/>
      <c r="J52" s="225"/>
      <c r="K52" s="225">
        <f t="shared" si="46"/>
        <v>0</v>
      </c>
      <c r="L52" s="225">
        <f t="shared" si="47"/>
        <v>-10</v>
      </c>
      <c r="M52" s="226"/>
      <c r="N52" s="224">
        <v>45207.0</v>
      </c>
      <c r="O52" s="225">
        <f t="shared" si="67"/>
        <v>5321.2</v>
      </c>
      <c r="P52" s="225">
        <v>5332.2</v>
      </c>
      <c r="Q52" s="225">
        <f t="shared" si="48"/>
        <v>11</v>
      </c>
      <c r="R52" s="225">
        <f t="shared" si="49"/>
        <v>1</v>
      </c>
      <c r="S52" s="226"/>
      <c r="T52" s="224">
        <v>45207.0</v>
      </c>
      <c r="U52" s="225" t="str">
        <f t="shared" ref="U52:U59" si="71">V51</f>
        <v/>
      </c>
      <c r="V52" s="225"/>
      <c r="W52" s="225">
        <f t="shared" si="50"/>
        <v>0</v>
      </c>
      <c r="X52" s="225">
        <f t="shared" si="51"/>
        <v>-10</v>
      </c>
      <c r="Y52" s="226"/>
      <c r="Z52" s="224">
        <v>45207.0</v>
      </c>
      <c r="AA52" s="225" t="str">
        <f>AB51</f>
        <v/>
      </c>
      <c r="AB52" s="225"/>
      <c r="AC52" s="225">
        <f t="shared" si="52"/>
        <v>0</v>
      </c>
      <c r="AD52" s="225">
        <f t="shared" si="53"/>
        <v>-10</v>
      </c>
      <c r="AE52" s="226"/>
      <c r="AF52" s="224">
        <v>45207.0</v>
      </c>
      <c r="AG52" s="225" t="str">
        <f t="shared" si="62"/>
        <v/>
      </c>
      <c r="AH52" s="225"/>
      <c r="AI52" s="225">
        <f t="shared" si="54"/>
        <v>0</v>
      </c>
      <c r="AJ52" s="225">
        <f t="shared" si="55"/>
        <v>-10</v>
      </c>
      <c r="AK52" s="226"/>
      <c r="AL52" s="224">
        <v>45207.0</v>
      </c>
      <c r="AM52" s="225" t="str">
        <f t="shared" si="63"/>
        <v/>
      </c>
      <c r="AN52" s="225"/>
      <c r="AO52" s="225">
        <f t="shared" si="56"/>
        <v>0</v>
      </c>
      <c r="AP52" s="225">
        <f t="shared" si="57"/>
        <v>-10</v>
      </c>
      <c r="AQ52" s="226"/>
      <c r="AR52" s="224">
        <v>45207.0</v>
      </c>
      <c r="AS52" s="225" t="str">
        <f t="shared" si="64"/>
        <v/>
      </c>
      <c r="AT52" s="225"/>
      <c r="AU52" s="225">
        <f t="shared" si="58"/>
        <v>0</v>
      </c>
      <c r="AV52" s="225">
        <f t="shared" si="59"/>
        <v>-10</v>
      </c>
      <c r="AW52" s="226"/>
      <c r="AX52" s="224">
        <v>45207.0</v>
      </c>
      <c r="AY52" s="225" t="str">
        <f t="shared" si="65"/>
        <v/>
      </c>
      <c r="AZ52" s="225"/>
      <c r="BA52" s="225">
        <f t="shared" si="60"/>
        <v>0</v>
      </c>
      <c r="BB52" s="225">
        <f t="shared" si="61"/>
        <v>-10</v>
      </c>
    </row>
    <row r="53" ht="14.25" customHeight="1">
      <c r="A53" s="218"/>
      <c r="B53" s="219">
        <v>45208.0</v>
      </c>
      <c r="C53" s="220">
        <f t="shared" si="70"/>
        <v>2274</v>
      </c>
      <c r="D53" s="220">
        <v>2285.0</v>
      </c>
      <c r="E53" s="220">
        <f t="shared" si="44"/>
        <v>11</v>
      </c>
      <c r="F53" s="220">
        <f t="shared" si="45"/>
        <v>1</v>
      </c>
      <c r="H53" s="219">
        <v>45208.0</v>
      </c>
      <c r="I53" s="220">
        <v>7159.1</v>
      </c>
      <c r="J53" s="220">
        <v>7167.2</v>
      </c>
      <c r="K53" s="220">
        <f t="shared" si="46"/>
        <v>8.1</v>
      </c>
      <c r="L53" s="220">
        <f t="shared" si="47"/>
        <v>-1.9</v>
      </c>
      <c r="N53" s="219">
        <v>45208.0</v>
      </c>
      <c r="O53" s="220">
        <f t="shared" si="67"/>
        <v>5332.2</v>
      </c>
      <c r="P53" s="220">
        <v>5344.0</v>
      </c>
      <c r="Q53" s="220">
        <f t="shared" si="48"/>
        <v>11.8</v>
      </c>
      <c r="R53" s="220">
        <f t="shared" si="49"/>
        <v>1.8</v>
      </c>
      <c r="T53" s="219">
        <v>45208.0</v>
      </c>
      <c r="U53" s="220" t="str">
        <f t="shared" si="71"/>
        <v/>
      </c>
      <c r="V53" s="220"/>
      <c r="W53" s="220">
        <f t="shared" si="50"/>
        <v>0</v>
      </c>
      <c r="X53" s="220">
        <f t="shared" si="51"/>
        <v>-10</v>
      </c>
      <c r="Z53" s="219">
        <v>45208.0</v>
      </c>
      <c r="AA53" s="220">
        <v>1351.4</v>
      </c>
      <c r="AB53" s="220">
        <v>1360.8</v>
      </c>
      <c r="AC53" s="220">
        <f t="shared" si="52"/>
        <v>9.4</v>
      </c>
      <c r="AD53" s="220">
        <f t="shared" si="53"/>
        <v>-0.6</v>
      </c>
      <c r="AF53" s="219">
        <v>45208.0</v>
      </c>
      <c r="AG53" s="220" t="str">
        <f t="shared" si="62"/>
        <v/>
      </c>
      <c r="AH53" s="220"/>
      <c r="AI53" s="220">
        <f t="shared" si="54"/>
        <v>0</v>
      </c>
      <c r="AJ53" s="220">
        <f t="shared" si="55"/>
        <v>-10</v>
      </c>
      <c r="AL53" s="219">
        <v>45208.0</v>
      </c>
      <c r="AM53" s="220" t="str">
        <f t="shared" si="63"/>
        <v/>
      </c>
      <c r="AN53" s="220"/>
      <c r="AO53" s="220">
        <f t="shared" si="56"/>
        <v>0</v>
      </c>
      <c r="AP53" s="220">
        <f t="shared" si="57"/>
        <v>-10</v>
      </c>
      <c r="AR53" s="219">
        <v>45208.0</v>
      </c>
      <c r="AS53" s="220" t="str">
        <f t="shared" si="64"/>
        <v/>
      </c>
      <c r="AT53" s="220"/>
      <c r="AU53" s="220">
        <f t="shared" si="58"/>
        <v>0</v>
      </c>
      <c r="AV53" s="220">
        <f t="shared" si="59"/>
        <v>-10</v>
      </c>
      <c r="AX53" s="219">
        <v>45208.0</v>
      </c>
      <c r="AY53" s="220" t="str">
        <f t="shared" si="65"/>
        <v/>
      </c>
      <c r="AZ53" s="220"/>
      <c r="BA53" s="220">
        <f t="shared" si="60"/>
        <v>0</v>
      </c>
      <c r="BB53" s="220">
        <f t="shared" si="61"/>
        <v>-10</v>
      </c>
    </row>
    <row r="54" ht="14.25" customHeight="1">
      <c r="A54" s="218"/>
      <c r="B54" s="219">
        <v>45209.0</v>
      </c>
      <c r="C54" s="220">
        <f t="shared" si="70"/>
        <v>2285</v>
      </c>
      <c r="D54" s="220">
        <v>2296.0</v>
      </c>
      <c r="E54" s="220">
        <f t="shared" si="44"/>
        <v>11</v>
      </c>
      <c r="F54" s="220">
        <f t="shared" si="45"/>
        <v>1</v>
      </c>
      <c r="G54" s="221"/>
      <c r="H54" s="219">
        <v>45209.0</v>
      </c>
      <c r="I54" s="220">
        <f t="shared" ref="I54:I55" si="72">J53</f>
        <v>7167.2</v>
      </c>
      <c r="J54" s="220">
        <v>7177.4</v>
      </c>
      <c r="K54" s="220">
        <f t="shared" si="46"/>
        <v>10.2</v>
      </c>
      <c r="L54" s="220">
        <f t="shared" si="47"/>
        <v>0.2</v>
      </c>
      <c r="M54" s="221"/>
      <c r="N54" s="219">
        <v>45209.0</v>
      </c>
      <c r="O54" s="220">
        <f t="shared" si="67"/>
        <v>5344</v>
      </c>
      <c r="P54" s="220">
        <v>5355.0</v>
      </c>
      <c r="Q54" s="220">
        <f t="shared" si="48"/>
        <v>11</v>
      </c>
      <c r="R54" s="220">
        <f t="shared" si="49"/>
        <v>1</v>
      </c>
      <c r="S54" s="221"/>
      <c r="T54" s="219">
        <v>45209.0</v>
      </c>
      <c r="U54" s="220" t="str">
        <f t="shared" si="71"/>
        <v/>
      </c>
      <c r="V54" s="220"/>
      <c r="W54" s="220">
        <f t="shared" si="50"/>
        <v>0</v>
      </c>
      <c r="X54" s="220">
        <f t="shared" si="51"/>
        <v>-10</v>
      </c>
      <c r="Y54" s="221"/>
      <c r="Z54" s="219">
        <v>45209.0</v>
      </c>
      <c r="AA54" s="220">
        <f t="shared" ref="AA54:AA55" si="73">AB53</f>
        <v>1360.8</v>
      </c>
      <c r="AB54" s="220">
        <v>1372.0</v>
      </c>
      <c r="AC54" s="220">
        <f t="shared" si="52"/>
        <v>11.2</v>
      </c>
      <c r="AD54" s="220">
        <f t="shared" si="53"/>
        <v>1.2</v>
      </c>
      <c r="AE54" s="221"/>
      <c r="AF54" s="219">
        <v>45209.0</v>
      </c>
      <c r="AG54" s="220" t="str">
        <f t="shared" si="62"/>
        <v/>
      </c>
      <c r="AH54" s="220"/>
      <c r="AI54" s="220">
        <f t="shared" si="54"/>
        <v>0</v>
      </c>
      <c r="AJ54" s="220">
        <f t="shared" si="55"/>
        <v>-10</v>
      </c>
      <c r="AK54" s="221"/>
      <c r="AL54" s="219">
        <v>45209.0</v>
      </c>
      <c r="AM54" s="220" t="str">
        <f t="shared" si="63"/>
        <v/>
      </c>
      <c r="AN54" s="220"/>
      <c r="AO54" s="220">
        <f t="shared" si="56"/>
        <v>0</v>
      </c>
      <c r="AP54" s="220">
        <f t="shared" si="57"/>
        <v>-10</v>
      </c>
      <c r="AQ54" s="221"/>
      <c r="AR54" s="219">
        <v>45209.0</v>
      </c>
      <c r="AS54" s="220" t="str">
        <f t="shared" si="64"/>
        <v/>
      </c>
      <c r="AT54" s="220"/>
      <c r="AU54" s="220">
        <f t="shared" si="58"/>
        <v>0</v>
      </c>
      <c r="AV54" s="220">
        <f t="shared" si="59"/>
        <v>-10</v>
      </c>
      <c r="AW54" s="221"/>
      <c r="AX54" s="219">
        <v>45209.0</v>
      </c>
      <c r="AY54" s="220" t="str">
        <f t="shared" si="65"/>
        <v/>
      </c>
      <c r="AZ54" s="220"/>
      <c r="BA54" s="220">
        <f t="shared" si="60"/>
        <v>0</v>
      </c>
      <c r="BB54" s="220">
        <f t="shared" si="61"/>
        <v>-10</v>
      </c>
    </row>
    <row r="55" ht="14.25" customHeight="1">
      <c r="A55" s="218"/>
      <c r="B55" s="219">
        <v>45210.0</v>
      </c>
      <c r="C55" s="220">
        <f t="shared" si="70"/>
        <v>2296</v>
      </c>
      <c r="D55" s="220">
        <v>2306.0</v>
      </c>
      <c r="E55" s="220">
        <f t="shared" si="44"/>
        <v>10</v>
      </c>
      <c r="F55" s="220">
        <f t="shared" si="45"/>
        <v>0</v>
      </c>
      <c r="G55" s="221"/>
      <c r="H55" s="219">
        <v>45210.0</v>
      </c>
      <c r="I55" s="220">
        <f t="shared" si="72"/>
        <v>7177.4</v>
      </c>
      <c r="J55" s="227">
        <v>7187.0</v>
      </c>
      <c r="K55" s="220">
        <f t="shared" si="46"/>
        <v>9.6</v>
      </c>
      <c r="L55" s="220">
        <f t="shared" si="47"/>
        <v>-0.4</v>
      </c>
      <c r="M55" s="221"/>
      <c r="N55" s="219">
        <v>45210.0</v>
      </c>
      <c r="O55" s="220">
        <f t="shared" si="67"/>
        <v>5355</v>
      </c>
      <c r="P55" s="220">
        <v>5364.7</v>
      </c>
      <c r="Q55" s="220">
        <f t="shared" si="48"/>
        <v>9.7</v>
      </c>
      <c r="R55" s="220">
        <f t="shared" si="49"/>
        <v>-0.3</v>
      </c>
      <c r="S55" s="221"/>
      <c r="T55" s="219">
        <v>45210.0</v>
      </c>
      <c r="U55" s="220" t="str">
        <f t="shared" si="71"/>
        <v/>
      </c>
      <c r="V55" s="220"/>
      <c r="W55" s="220">
        <f t="shared" si="50"/>
        <v>0</v>
      </c>
      <c r="X55" s="220">
        <f t="shared" si="51"/>
        <v>-10</v>
      </c>
      <c r="Y55" s="221"/>
      <c r="Z55" s="219">
        <v>45210.0</v>
      </c>
      <c r="AA55" s="220">
        <f t="shared" si="73"/>
        <v>1372</v>
      </c>
      <c r="AB55" s="220">
        <v>1380.5</v>
      </c>
      <c r="AC55" s="220">
        <f t="shared" si="52"/>
        <v>8.5</v>
      </c>
      <c r="AD55" s="220">
        <f t="shared" si="53"/>
        <v>-1.5</v>
      </c>
      <c r="AE55" s="221"/>
      <c r="AF55" s="219">
        <v>45210.0</v>
      </c>
      <c r="AG55" s="220" t="str">
        <f t="shared" si="62"/>
        <v/>
      </c>
      <c r="AH55" s="220"/>
      <c r="AI55" s="220">
        <f t="shared" si="54"/>
        <v>0</v>
      </c>
      <c r="AJ55" s="220">
        <f t="shared" si="55"/>
        <v>-10</v>
      </c>
      <c r="AK55" s="221"/>
      <c r="AL55" s="219">
        <v>45210.0</v>
      </c>
      <c r="AM55" s="220" t="str">
        <f t="shared" si="63"/>
        <v/>
      </c>
      <c r="AN55" s="220"/>
      <c r="AO55" s="220">
        <f t="shared" si="56"/>
        <v>0</v>
      </c>
      <c r="AP55" s="220">
        <f t="shared" si="57"/>
        <v>-10</v>
      </c>
      <c r="AQ55" s="221"/>
      <c r="AR55" s="219">
        <v>45210.0</v>
      </c>
      <c r="AS55" s="220" t="str">
        <f t="shared" si="64"/>
        <v/>
      </c>
      <c r="AT55" s="220"/>
      <c r="AU55" s="220">
        <f t="shared" si="58"/>
        <v>0</v>
      </c>
      <c r="AV55" s="220">
        <f t="shared" si="59"/>
        <v>-10</v>
      </c>
      <c r="AW55" s="221"/>
      <c r="AX55" s="219">
        <v>45210.0</v>
      </c>
      <c r="AY55" s="220" t="str">
        <f t="shared" si="65"/>
        <v/>
      </c>
      <c r="AZ55" s="220"/>
      <c r="BA55" s="220">
        <f t="shared" si="60"/>
        <v>0</v>
      </c>
      <c r="BB55" s="220">
        <f t="shared" si="61"/>
        <v>-10</v>
      </c>
    </row>
    <row r="56" ht="14.25" customHeight="1">
      <c r="A56" s="218"/>
      <c r="B56" s="219">
        <v>45211.0</v>
      </c>
      <c r="C56" s="220"/>
      <c r="D56" s="220"/>
      <c r="E56" s="220">
        <f t="shared" si="44"/>
        <v>0</v>
      </c>
      <c r="F56" s="220">
        <f t="shared" si="45"/>
        <v>-10</v>
      </c>
      <c r="H56" s="219">
        <v>45211.0</v>
      </c>
      <c r="I56" s="220"/>
      <c r="J56" s="220"/>
      <c r="K56" s="220">
        <f t="shared" si="46"/>
        <v>0</v>
      </c>
      <c r="L56" s="220">
        <f t="shared" si="47"/>
        <v>-10</v>
      </c>
      <c r="N56" s="219">
        <v>45211.0</v>
      </c>
      <c r="O56" s="220"/>
      <c r="P56" s="220"/>
      <c r="Q56" s="220">
        <f t="shared" si="48"/>
        <v>0</v>
      </c>
      <c r="R56" s="220">
        <f t="shared" si="49"/>
        <v>-10</v>
      </c>
      <c r="T56" s="219">
        <v>45211.0</v>
      </c>
      <c r="U56" s="220" t="str">
        <f t="shared" si="71"/>
        <v/>
      </c>
      <c r="V56" s="220"/>
      <c r="W56" s="220">
        <f t="shared" si="50"/>
        <v>0</v>
      </c>
      <c r="X56" s="220">
        <f t="shared" si="51"/>
        <v>-10</v>
      </c>
      <c r="Z56" s="219">
        <v>45211.0</v>
      </c>
      <c r="AA56" s="220"/>
      <c r="AB56" s="220"/>
      <c r="AC56" s="220">
        <f t="shared" si="52"/>
        <v>0</v>
      </c>
      <c r="AD56" s="220">
        <f t="shared" si="53"/>
        <v>-10</v>
      </c>
      <c r="AF56" s="219">
        <v>45211.0</v>
      </c>
      <c r="AG56" s="220" t="str">
        <f t="shared" si="62"/>
        <v/>
      </c>
      <c r="AH56" s="220"/>
      <c r="AI56" s="220">
        <f t="shared" si="54"/>
        <v>0</v>
      </c>
      <c r="AJ56" s="220">
        <f t="shared" si="55"/>
        <v>-10</v>
      </c>
      <c r="AL56" s="219">
        <v>45211.0</v>
      </c>
      <c r="AM56" s="220" t="str">
        <f t="shared" si="63"/>
        <v/>
      </c>
      <c r="AN56" s="220"/>
      <c r="AO56" s="220">
        <f t="shared" si="56"/>
        <v>0</v>
      </c>
      <c r="AP56" s="220">
        <f t="shared" si="57"/>
        <v>-10</v>
      </c>
      <c r="AR56" s="219">
        <v>45211.0</v>
      </c>
      <c r="AS56" s="220" t="str">
        <f t="shared" si="64"/>
        <v/>
      </c>
      <c r="AT56" s="220"/>
      <c r="AU56" s="220">
        <f t="shared" si="58"/>
        <v>0</v>
      </c>
      <c r="AV56" s="220">
        <f t="shared" si="59"/>
        <v>-10</v>
      </c>
      <c r="AX56" s="219">
        <v>45211.0</v>
      </c>
      <c r="AY56" s="220" t="str">
        <f t="shared" si="65"/>
        <v/>
      </c>
      <c r="AZ56" s="220"/>
      <c r="BA56" s="220">
        <f t="shared" si="60"/>
        <v>0</v>
      </c>
      <c r="BB56" s="220">
        <f t="shared" si="61"/>
        <v>-10</v>
      </c>
    </row>
    <row r="57" ht="14.25" customHeight="1">
      <c r="A57" s="218"/>
      <c r="B57" s="219">
        <v>45212.0</v>
      </c>
      <c r="C57" s="220">
        <v>2306.0</v>
      </c>
      <c r="D57" s="220">
        <v>2311.0</v>
      </c>
      <c r="E57" s="220">
        <f t="shared" si="44"/>
        <v>5</v>
      </c>
      <c r="F57" s="220">
        <f t="shared" si="45"/>
        <v>-5</v>
      </c>
      <c r="H57" s="219">
        <v>45212.0</v>
      </c>
      <c r="I57" s="220">
        <v>7187.6</v>
      </c>
      <c r="J57" s="220">
        <v>7191.3</v>
      </c>
      <c r="K57" s="220">
        <f t="shared" si="46"/>
        <v>3.7</v>
      </c>
      <c r="L57" s="220">
        <f t="shared" si="47"/>
        <v>-6.3</v>
      </c>
      <c r="N57" s="219">
        <v>45212.0</v>
      </c>
      <c r="O57" s="220" t="str">
        <f t="shared" ref="O57:O59" si="74">P56</f>
        <v/>
      </c>
      <c r="P57" s="220"/>
      <c r="Q57" s="220">
        <f t="shared" si="48"/>
        <v>0</v>
      </c>
      <c r="R57" s="220">
        <f t="shared" si="49"/>
        <v>-10</v>
      </c>
      <c r="T57" s="219">
        <v>45212.0</v>
      </c>
      <c r="U57" s="220" t="str">
        <f t="shared" si="71"/>
        <v/>
      </c>
      <c r="V57" s="220"/>
      <c r="W57" s="220">
        <f t="shared" si="50"/>
        <v>0</v>
      </c>
      <c r="X57" s="220">
        <f t="shared" si="51"/>
        <v>-10</v>
      </c>
      <c r="Z57" s="219">
        <v>45212.0</v>
      </c>
      <c r="AA57" s="220">
        <v>1380.5</v>
      </c>
      <c r="AB57" s="220">
        <v>1390.5</v>
      </c>
      <c r="AC57" s="220">
        <f t="shared" si="52"/>
        <v>10</v>
      </c>
      <c r="AD57" s="220">
        <f t="shared" si="53"/>
        <v>0</v>
      </c>
      <c r="AF57" s="219">
        <v>45212.0</v>
      </c>
      <c r="AG57" s="220">
        <v>615.6</v>
      </c>
      <c r="AH57" s="220">
        <v>616.2</v>
      </c>
      <c r="AI57" s="220">
        <f t="shared" si="54"/>
        <v>0.6</v>
      </c>
      <c r="AJ57" s="220">
        <f t="shared" si="55"/>
        <v>-9.4</v>
      </c>
      <c r="AL57" s="219">
        <v>45212.0</v>
      </c>
      <c r="AM57" s="220" t="str">
        <f t="shared" si="63"/>
        <v/>
      </c>
      <c r="AN57" s="220"/>
      <c r="AO57" s="220">
        <f t="shared" si="56"/>
        <v>0</v>
      </c>
      <c r="AP57" s="220">
        <f t="shared" si="57"/>
        <v>-10</v>
      </c>
      <c r="AR57" s="219">
        <v>45212.0</v>
      </c>
      <c r="AS57" s="220" t="str">
        <f t="shared" si="64"/>
        <v/>
      </c>
      <c r="AT57" s="220"/>
      <c r="AU57" s="220">
        <f t="shared" si="58"/>
        <v>0</v>
      </c>
      <c r="AV57" s="220">
        <f t="shared" si="59"/>
        <v>-10</v>
      </c>
      <c r="AX57" s="219">
        <v>45212.0</v>
      </c>
      <c r="AY57" s="220" t="str">
        <f t="shared" si="65"/>
        <v/>
      </c>
      <c r="AZ57" s="220"/>
      <c r="BA57" s="220">
        <f t="shared" si="60"/>
        <v>0</v>
      </c>
      <c r="BB57" s="220">
        <f t="shared" si="61"/>
        <v>-10</v>
      </c>
    </row>
    <row r="58" ht="14.25" customHeight="1">
      <c r="A58" s="218"/>
      <c r="B58" s="224">
        <v>45213.0</v>
      </c>
      <c r="C58" s="225">
        <f>D57</f>
        <v>2311</v>
      </c>
      <c r="D58" s="225">
        <v>2315.3</v>
      </c>
      <c r="E58" s="225">
        <f t="shared" si="44"/>
        <v>4.3</v>
      </c>
      <c r="F58" s="225">
        <f t="shared" si="45"/>
        <v>-5.7</v>
      </c>
      <c r="G58" s="226"/>
      <c r="H58" s="224">
        <v>45213.0</v>
      </c>
      <c r="I58" s="225">
        <f>J57</f>
        <v>7191.3</v>
      </c>
      <c r="J58" s="225">
        <v>7196.6</v>
      </c>
      <c r="K58" s="225">
        <f t="shared" si="46"/>
        <v>5.3</v>
      </c>
      <c r="L58" s="225">
        <f t="shared" si="47"/>
        <v>-4.7</v>
      </c>
      <c r="M58" s="226"/>
      <c r="N58" s="224">
        <v>45213.0</v>
      </c>
      <c r="O58" s="225" t="str">
        <f t="shared" si="74"/>
        <v/>
      </c>
      <c r="P58" s="225"/>
      <c r="Q58" s="225">
        <f t="shared" si="48"/>
        <v>0</v>
      </c>
      <c r="R58" s="225">
        <f t="shared" si="49"/>
        <v>-10</v>
      </c>
      <c r="S58" s="226"/>
      <c r="T58" s="224">
        <v>45213.0</v>
      </c>
      <c r="U58" s="225" t="str">
        <f t="shared" si="71"/>
        <v/>
      </c>
      <c r="V58" s="225"/>
      <c r="W58" s="225">
        <f t="shared" si="50"/>
        <v>0</v>
      </c>
      <c r="X58" s="225">
        <f t="shared" si="51"/>
        <v>-10</v>
      </c>
      <c r="Y58" s="226"/>
      <c r="Z58" s="224">
        <v>45213.0</v>
      </c>
      <c r="AA58" s="225">
        <f>AB57</f>
        <v>1390.5</v>
      </c>
      <c r="AB58" s="225">
        <v>1398.5</v>
      </c>
      <c r="AC58" s="225">
        <f t="shared" si="52"/>
        <v>8</v>
      </c>
      <c r="AD58" s="225">
        <f t="shared" si="53"/>
        <v>-2</v>
      </c>
      <c r="AE58" s="226"/>
      <c r="AF58" s="224">
        <v>45213.0</v>
      </c>
      <c r="AG58" s="225"/>
      <c r="AH58" s="225"/>
      <c r="AI58" s="225">
        <f t="shared" si="54"/>
        <v>0</v>
      </c>
      <c r="AJ58" s="225">
        <f t="shared" si="55"/>
        <v>-10</v>
      </c>
      <c r="AK58" s="226"/>
      <c r="AL58" s="224">
        <v>45213.0</v>
      </c>
      <c r="AM58" s="225" t="str">
        <f t="shared" si="63"/>
        <v/>
      </c>
      <c r="AN58" s="225"/>
      <c r="AO58" s="225">
        <f t="shared" si="56"/>
        <v>0</v>
      </c>
      <c r="AP58" s="225">
        <f t="shared" si="57"/>
        <v>-10</v>
      </c>
      <c r="AQ58" s="226"/>
      <c r="AR58" s="224">
        <v>45213.0</v>
      </c>
      <c r="AS58" s="225" t="str">
        <f t="shared" si="64"/>
        <v/>
      </c>
      <c r="AT58" s="225"/>
      <c r="AU58" s="225">
        <f t="shared" si="58"/>
        <v>0</v>
      </c>
      <c r="AV58" s="225">
        <f t="shared" si="59"/>
        <v>-10</v>
      </c>
      <c r="AW58" s="226"/>
      <c r="AX58" s="224">
        <v>45213.0</v>
      </c>
      <c r="AY58" s="225" t="str">
        <f t="shared" si="65"/>
        <v/>
      </c>
      <c r="AZ58" s="225"/>
      <c r="BA58" s="225">
        <f t="shared" si="60"/>
        <v>0</v>
      </c>
      <c r="BB58" s="225">
        <f t="shared" si="61"/>
        <v>-10</v>
      </c>
    </row>
    <row r="59" ht="14.25" customHeight="1">
      <c r="A59" s="218"/>
      <c r="B59" s="224">
        <v>45214.0</v>
      </c>
      <c r="C59" s="225"/>
      <c r="D59" s="225"/>
      <c r="E59" s="225">
        <f t="shared" si="44"/>
        <v>0</v>
      </c>
      <c r="F59" s="225">
        <f t="shared" si="45"/>
        <v>-10</v>
      </c>
      <c r="G59" s="226"/>
      <c r="H59" s="224">
        <v>45214.0</v>
      </c>
      <c r="I59" s="225"/>
      <c r="J59" s="225"/>
      <c r="K59" s="225">
        <f t="shared" si="46"/>
        <v>0</v>
      </c>
      <c r="L59" s="225">
        <f t="shared" si="47"/>
        <v>-10</v>
      </c>
      <c r="M59" s="226"/>
      <c r="N59" s="224">
        <v>45214.0</v>
      </c>
      <c r="O59" s="225" t="str">
        <f t="shared" si="74"/>
        <v/>
      </c>
      <c r="P59" s="225"/>
      <c r="Q59" s="225">
        <f t="shared" si="48"/>
        <v>0</v>
      </c>
      <c r="R59" s="225">
        <f t="shared" si="49"/>
        <v>-10</v>
      </c>
      <c r="S59" s="226"/>
      <c r="T59" s="224">
        <v>45214.0</v>
      </c>
      <c r="U59" s="225" t="str">
        <f t="shared" si="71"/>
        <v/>
      </c>
      <c r="V59" s="225"/>
      <c r="W59" s="225">
        <f t="shared" si="50"/>
        <v>0</v>
      </c>
      <c r="X59" s="225">
        <f t="shared" si="51"/>
        <v>-10</v>
      </c>
      <c r="Y59" s="226"/>
      <c r="Z59" s="224">
        <v>45214.0</v>
      </c>
      <c r="AA59" s="225"/>
      <c r="AB59" s="225"/>
      <c r="AC59" s="225">
        <f t="shared" si="52"/>
        <v>0</v>
      </c>
      <c r="AD59" s="225">
        <f t="shared" si="53"/>
        <v>-10</v>
      </c>
      <c r="AE59" s="226"/>
      <c r="AF59" s="224">
        <v>45214.0</v>
      </c>
      <c r="AG59" s="225" t="str">
        <f>AH58</f>
        <v/>
      </c>
      <c r="AH59" s="225"/>
      <c r="AI59" s="225">
        <f t="shared" si="54"/>
        <v>0</v>
      </c>
      <c r="AJ59" s="225">
        <f t="shared" si="55"/>
        <v>-10</v>
      </c>
      <c r="AK59" s="226"/>
      <c r="AL59" s="224">
        <v>45214.0</v>
      </c>
      <c r="AM59" s="225" t="str">
        <f t="shared" si="63"/>
        <v/>
      </c>
      <c r="AN59" s="225"/>
      <c r="AO59" s="225">
        <f t="shared" si="56"/>
        <v>0</v>
      </c>
      <c r="AP59" s="225">
        <f t="shared" si="57"/>
        <v>-10</v>
      </c>
      <c r="AQ59" s="226"/>
      <c r="AR59" s="224">
        <v>45214.0</v>
      </c>
      <c r="AS59" s="225" t="str">
        <f t="shared" si="64"/>
        <v/>
      </c>
      <c r="AT59" s="225"/>
      <c r="AU59" s="225">
        <f t="shared" si="58"/>
        <v>0</v>
      </c>
      <c r="AV59" s="225">
        <f t="shared" si="59"/>
        <v>-10</v>
      </c>
      <c r="AW59" s="226"/>
      <c r="AX59" s="224">
        <v>45214.0</v>
      </c>
      <c r="AY59" s="225" t="str">
        <f t="shared" si="65"/>
        <v/>
      </c>
      <c r="AZ59" s="225"/>
      <c r="BA59" s="225">
        <f t="shared" si="60"/>
        <v>0</v>
      </c>
      <c r="BB59" s="225">
        <f t="shared" si="61"/>
        <v>-10</v>
      </c>
    </row>
    <row r="60" ht="14.25" customHeight="1">
      <c r="A60" s="218"/>
      <c r="B60" s="219">
        <v>45215.0</v>
      </c>
      <c r="C60" s="220">
        <v>2315.3</v>
      </c>
      <c r="D60" s="220">
        <v>2322.0</v>
      </c>
      <c r="E60" s="220">
        <f t="shared" si="44"/>
        <v>6.7</v>
      </c>
      <c r="F60" s="220">
        <f t="shared" si="45"/>
        <v>-3.3</v>
      </c>
      <c r="H60" s="219">
        <v>45215.0</v>
      </c>
      <c r="I60" s="220">
        <v>7196.6</v>
      </c>
      <c r="J60" s="220">
        <v>7202.1</v>
      </c>
      <c r="K60" s="220">
        <f t="shared" si="46"/>
        <v>5.5</v>
      </c>
      <c r="L60" s="220">
        <f t="shared" si="47"/>
        <v>-4.5</v>
      </c>
      <c r="N60" s="219">
        <v>45215.0</v>
      </c>
      <c r="O60" s="220">
        <v>5366.3</v>
      </c>
      <c r="P60" s="220">
        <v>5374.3</v>
      </c>
      <c r="Q60" s="220">
        <f t="shared" si="48"/>
        <v>8</v>
      </c>
      <c r="R60" s="220">
        <f t="shared" si="49"/>
        <v>-2</v>
      </c>
      <c r="T60" s="219">
        <v>45215.0</v>
      </c>
      <c r="U60" s="220">
        <v>3313.3</v>
      </c>
      <c r="V60" s="220">
        <v>3319.0</v>
      </c>
      <c r="W60" s="220">
        <f t="shared" si="50"/>
        <v>5.7</v>
      </c>
      <c r="X60" s="220">
        <f t="shared" si="51"/>
        <v>-4.3</v>
      </c>
      <c r="Z60" s="219">
        <v>45215.0</v>
      </c>
      <c r="AA60" s="220">
        <v>1398.5</v>
      </c>
      <c r="AB60" s="220">
        <v>1408.5</v>
      </c>
      <c r="AC60" s="220">
        <f t="shared" si="52"/>
        <v>10</v>
      </c>
      <c r="AD60" s="220">
        <f t="shared" si="53"/>
        <v>0</v>
      </c>
      <c r="AF60" s="219">
        <v>45215.0</v>
      </c>
      <c r="AG60" s="220">
        <v>616.2</v>
      </c>
      <c r="AH60" s="220">
        <v>622.3</v>
      </c>
      <c r="AI60" s="220">
        <f t="shared" si="54"/>
        <v>6.1</v>
      </c>
      <c r="AJ60" s="220">
        <f t="shared" si="55"/>
        <v>-3.9</v>
      </c>
      <c r="AL60" s="219">
        <v>45215.0</v>
      </c>
      <c r="AM60" s="220" t="str">
        <f t="shared" si="63"/>
        <v/>
      </c>
      <c r="AN60" s="220"/>
      <c r="AO60" s="220">
        <f t="shared" si="56"/>
        <v>0</v>
      </c>
      <c r="AP60" s="220">
        <f t="shared" si="57"/>
        <v>-10</v>
      </c>
      <c r="AR60" s="219">
        <v>45215.0</v>
      </c>
      <c r="AS60" s="220" t="str">
        <f t="shared" si="64"/>
        <v/>
      </c>
      <c r="AT60" s="220"/>
      <c r="AU60" s="220">
        <f t="shared" si="58"/>
        <v>0</v>
      </c>
      <c r="AV60" s="220">
        <f t="shared" si="59"/>
        <v>-10</v>
      </c>
      <c r="AX60" s="219">
        <v>45215.0</v>
      </c>
      <c r="AY60" s="220" t="str">
        <f t="shared" si="65"/>
        <v/>
      </c>
      <c r="AZ60" s="220"/>
      <c r="BA60" s="220">
        <f t="shared" si="60"/>
        <v>0</v>
      </c>
      <c r="BB60" s="220">
        <f t="shared" si="61"/>
        <v>-10</v>
      </c>
    </row>
    <row r="61" ht="14.25" customHeight="1">
      <c r="A61" s="218"/>
      <c r="B61" s="219">
        <v>45216.0</v>
      </c>
      <c r="C61" s="220">
        <f t="shared" ref="C61:C65" si="75">D60</f>
        <v>2322</v>
      </c>
      <c r="D61" s="220">
        <v>2328.0</v>
      </c>
      <c r="E61" s="220">
        <f t="shared" si="44"/>
        <v>6</v>
      </c>
      <c r="F61" s="220">
        <f t="shared" si="45"/>
        <v>-4</v>
      </c>
      <c r="G61" s="221"/>
      <c r="H61" s="219">
        <v>45216.0</v>
      </c>
      <c r="I61" s="220">
        <f t="shared" ref="I61:I64" si="76">J60</f>
        <v>7202.1</v>
      </c>
      <c r="J61" s="220">
        <v>7210.3</v>
      </c>
      <c r="K61" s="220">
        <f t="shared" si="46"/>
        <v>8.2</v>
      </c>
      <c r="L61" s="220">
        <f t="shared" si="47"/>
        <v>-1.8</v>
      </c>
      <c r="M61" s="221"/>
      <c r="N61" s="219">
        <v>45216.0</v>
      </c>
      <c r="O61" s="220">
        <f t="shared" ref="O61:O70" si="77">P60</f>
        <v>5374.3</v>
      </c>
      <c r="P61" s="220">
        <v>5382.6</v>
      </c>
      <c r="Q61" s="220">
        <f t="shared" si="48"/>
        <v>8.3</v>
      </c>
      <c r="R61" s="220">
        <f t="shared" si="49"/>
        <v>-1.7</v>
      </c>
      <c r="S61" s="221"/>
      <c r="T61" s="219">
        <v>45216.0</v>
      </c>
      <c r="U61" s="220">
        <f t="shared" ref="U61:U71" si="78">V60</f>
        <v>3319</v>
      </c>
      <c r="V61" s="220">
        <v>3323.7</v>
      </c>
      <c r="W61" s="220">
        <f t="shared" si="50"/>
        <v>4.7</v>
      </c>
      <c r="X61" s="220">
        <f t="shared" si="51"/>
        <v>-5.3</v>
      </c>
      <c r="Y61" s="221"/>
      <c r="Z61" s="219">
        <v>45216.0</v>
      </c>
      <c r="AA61" s="220">
        <f t="shared" ref="AA61:AA65" si="79">AB60</f>
        <v>1408.5</v>
      </c>
      <c r="AB61" s="220">
        <v>1416.5</v>
      </c>
      <c r="AC61" s="220">
        <f t="shared" si="52"/>
        <v>8</v>
      </c>
      <c r="AD61" s="220">
        <f t="shared" si="53"/>
        <v>-2</v>
      </c>
      <c r="AE61" s="221"/>
      <c r="AF61" s="219">
        <v>45216.0</v>
      </c>
      <c r="AG61" s="220">
        <f>AH60</f>
        <v>622.3</v>
      </c>
      <c r="AH61" s="220">
        <v>631.9</v>
      </c>
      <c r="AI61" s="220">
        <f t="shared" si="54"/>
        <v>9.6</v>
      </c>
      <c r="AJ61" s="220">
        <f t="shared" si="55"/>
        <v>-0.4</v>
      </c>
      <c r="AK61" s="221"/>
      <c r="AL61" s="219">
        <v>45216.0</v>
      </c>
      <c r="AM61" s="220" t="str">
        <f t="shared" si="63"/>
        <v/>
      </c>
      <c r="AN61" s="220"/>
      <c r="AO61" s="220">
        <f t="shared" si="56"/>
        <v>0</v>
      </c>
      <c r="AP61" s="220">
        <f t="shared" si="57"/>
        <v>-10</v>
      </c>
      <c r="AQ61" s="221"/>
      <c r="AR61" s="219">
        <v>45216.0</v>
      </c>
      <c r="AS61" s="220" t="str">
        <f t="shared" si="64"/>
        <v/>
      </c>
      <c r="AT61" s="220"/>
      <c r="AU61" s="220">
        <f t="shared" si="58"/>
        <v>0</v>
      </c>
      <c r="AV61" s="220">
        <f t="shared" si="59"/>
        <v>-10</v>
      </c>
      <c r="AW61" s="221"/>
      <c r="AX61" s="219">
        <v>45216.0</v>
      </c>
      <c r="AY61" s="220" t="str">
        <f t="shared" si="65"/>
        <v/>
      </c>
      <c r="AZ61" s="220"/>
      <c r="BA61" s="220">
        <f t="shared" si="60"/>
        <v>0</v>
      </c>
      <c r="BB61" s="220">
        <f t="shared" si="61"/>
        <v>-10</v>
      </c>
    </row>
    <row r="62" ht="14.25" customHeight="1">
      <c r="A62" s="218"/>
      <c r="B62" s="219">
        <v>45217.0</v>
      </c>
      <c r="C62" s="220">
        <f t="shared" si="75"/>
        <v>2328</v>
      </c>
      <c r="D62" s="220">
        <v>2336.0</v>
      </c>
      <c r="E62" s="220">
        <f t="shared" si="44"/>
        <v>8</v>
      </c>
      <c r="F62" s="220">
        <f t="shared" si="45"/>
        <v>-2</v>
      </c>
      <c r="G62" s="221"/>
      <c r="H62" s="219">
        <v>45217.0</v>
      </c>
      <c r="I62" s="220">
        <f t="shared" si="76"/>
        <v>7210.3</v>
      </c>
      <c r="J62" s="220">
        <v>7220.1</v>
      </c>
      <c r="K62" s="220">
        <f t="shared" si="46"/>
        <v>9.8</v>
      </c>
      <c r="L62" s="220">
        <f t="shared" si="47"/>
        <v>-0.2</v>
      </c>
      <c r="M62" s="221"/>
      <c r="N62" s="219">
        <v>45217.0</v>
      </c>
      <c r="O62" s="220">
        <f t="shared" si="77"/>
        <v>5382.6</v>
      </c>
      <c r="P62" s="220">
        <v>5392.1</v>
      </c>
      <c r="Q62" s="220">
        <f t="shared" si="48"/>
        <v>9.5</v>
      </c>
      <c r="R62" s="220">
        <f t="shared" si="49"/>
        <v>-0.5</v>
      </c>
      <c r="S62" s="221"/>
      <c r="T62" s="219">
        <v>45217.0</v>
      </c>
      <c r="U62" s="220">
        <f t="shared" si="78"/>
        <v>3323.7</v>
      </c>
      <c r="V62" s="220">
        <v>3331.7</v>
      </c>
      <c r="W62" s="220">
        <f t="shared" si="50"/>
        <v>8</v>
      </c>
      <c r="X62" s="220">
        <f t="shared" si="51"/>
        <v>-2</v>
      </c>
      <c r="Y62" s="221"/>
      <c r="Z62" s="219">
        <v>45217.0</v>
      </c>
      <c r="AA62" s="220">
        <f t="shared" si="79"/>
        <v>1416.5</v>
      </c>
      <c r="AB62" s="220">
        <v>1426.5</v>
      </c>
      <c r="AC62" s="220">
        <f t="shared" si="52"/>
        <v>10</v>
      </c>
      <c r="AD62" s="220">
        <f t="shared" si="53"/>
        <v>0</v>
      </c>
      <c r="AE62" s="221"/>
      <c r="AF62" s="219">
        <v>45217.0</v>
      </c>
      <c r="AG62" s="220"/>
      <c r="AH62" s="220"/>
      <c r="AI62" s="220">
        <f t="shared" si="54"/>
        <v>0</v>
      </c>
      <c r="AJ62" s="220">
        <f t="shared" si="55"/>
        <v>-10</v>
      </c>
      <c r="AK62" s="221"/>
      <c r="AL62" s="219">
        <v>45217.0</v>
      </c>
      <c r="AM62" s="220" t="str">
        <f t="shared" si="63"/>
        <v/>
      </c>
      <c r="AN62" s="220"/>
      <c r="AO62" s="220">
        <f t="shared" si="56"/>
        <v>0</v>
      </c>
      <c r="AP62" s="220">
        <f t="shared" si="57"/>
        <v>-10</v>
      </c>
      <c r="AQ62" s="221"/>
      <c r="AR62" s="219">
        <v>45217.0</v>
      </c>
      <c r="AS62" s="220" t="str">
        <f t="shared" si="64"/>
        <v/>
      </c>
      <c r="AT62" s="220"/>
      <c r="AU62" s="220">
        <f t="shared" si="58"/>
        <v>0</v>
      </c>
      <c r="AV62" s="220">
        <f t="shared" si="59"/>
        <v>-10</v>
      </c>
      <c r="AW62" s="221"/>
      <c r="AX62" s="219">
        <v>45217.0</v>
      </c>
      <c r="AY62" s="220" t="str">
        <f t="shared" si="65"/>
        <v/>
      </c>
      <c r="AZ62" s="220"/>
      <c r="BA62" s="220">
        <f t="shared" si="60"/>
        <v>0</v>
      </c>
      <c r="BB62" s="220">
        <f t="shared" si="61"/>
        <v>-10</v>
      </c>
    </row>
    <row r="63" ht="14.25" customHeight="1">
      <c r="A63" s="218"/>
      <c r="B63" s="219">
        <v>45218.0</v>
      </c>
      <c r="C63" s="220">
        <f t="shared" si="75"/>
        <v>2336</v>
      </c>
      <c r="D63" s="220">
        <v>2343.0</v>
      </c>
      <c r="E63" s="220">
        <f t="shared" si="44"/>
        <v>7</v>
      </c>
      <c r="F63" s="220">
        <f t="shared" si="45"/>
        <v>-3</v>
      </c>
      <c r="H63" s="219">
        <v>45218.0</v>
      </c>
      <c r="I63" s="220">
        <f t="shared" si="76"/>
        <v>7220.1</v>
      </c>
      <c r="J63" s="220">
        <v>7230.5</v>
      </c>
      <c r="K63" s="220">
        <f t="shared" si="46"/>
        <v>10.4</v>
      </c>
      <c r="L63" s="220">
        <f t="shared" si="47"/>
        <v>0.4</v>
      </c>
      <c r="N63" s="219">
        <v>45218.0</v>
      </c>
      <c r="O63" s="220">
        <f t="shared" si="77"/>
        <v>5392.1</v>
      </c>
      <c r="P63" s="220">
        <v>5403.1</v>
      </c>
      <c r="Q63" s="220">
        <f t="shared" si="48"/>
        <v>11</v>
      </c>
      <c r="R63" s="220">
        <f t="shared" si="49"/>
        <v>1</v>
      </c>
      <c r="T63" s="219">
        <v>45218.0</v>
      </c>
      <c r="U63" s="220">
        <f t="shared" si="78"/>
        <v>3331.7</v>
      </c>
      <c r="V63" s="220">
        <v>3341.2</v>
      </c>
      <c r="W63" s="220">
        <f t="shared" si="50"/>
        <v>9.5</v>
      </c>
      <c r="X63" s="220">
        <f t="shared" si="51"/>
        <v>-0.5</v>
      </c>
      <c r="Z63" s="219">
        <v>45218.0</v>
      </c>
      <c r="AA63" s="220">
        <f t="shared" si="79"/>
        <v>1426.5</v>
      </c>
      <c r="AB63" s="220">
        <v>1436.6</v>
      </c>
      <c r="AC63" s="220">
        <f t="shared" si="52"/>
        <v>10.1</v>
      </c>
      <c r="AD63" s="220">
        <f t="shared" si="53"/>
        <v>0.1</v>
      </c>
      <c r="AF63" s="219">
        <v>45218.0</v>
      </c>
      <c r="AG63" s="220">
        <v>631.9</v>
      </c>
      <c r="AH63" s="220">
        <v>640.2</v>
      </c>
      <c r="AI63" s="220">
        <f t="shared" si="54"/>
        <v>8.3</v>
      </c>
      <c r="AJ63" s="220">
        <f t="shared" si="55"/>
        <v>-1.7</v>
      </c>
      <c r="AL63" s="219">
        <v>45218.0</v>
      </c>
      <c r="AM63" s="220" t="str">
        <f t="shared" si="63"/>
        <v/>
      </c>
      <c r="AN63" s="220"/>
      <c r="AO63" s="220">
        <f t="shared" si="56"/>
        <v>0</v>
      </c>
      <c r="AP63" s="220">
        <f t="shared" si="57"/>
        <v>-10</v>
      </c>
      <c r="AR63" s="219">
        <v>45218.0</v>
      </c>
      <c r="AS63" s="220" t="str">
        <f t="shared" si="64"/>
        <v/>
      </c>
      <c r="AT63" s="220"/>
      <c r="AU63" s="220">
        <f t="shared" si="58"/>
        <v>0</v>
      </c>
      <c r="AV63" s="220">
        <f t="shared" si="59"/>
        <v>-10</v>
      </c>
      <c r="AX63" s="219">
        <v>45218.0</v>
      </c>
      <c r="AY63" s="220" t="str">
        <f t="shared" si="65"/>
        <v/>
      </c>
      <c r="AZ63" s="220"/>
      <c r="BA63" s="220">
        <f t="shared" si="60"/>
        <v>0</v>
      </c>
      <c r="BB63" s="220">
        <f t="shared" si="61"/>
        <v>-10</v>
      </c>
    </row>
    <row r="64" ht="14.25" customHeight="1">
      <c r="A64" s="218"/>
      <c r="B64" s="219">
        <v>45219.0</v>
      </c>
      <c r="C64" s="220">
        <f t="shared" si="75"/>
        <v>2343</v>
      </c>
      <c r="D64" s="220">
        <v>2350.0</v>
      </c>
      <c r="E64" s="220">
        <f t="shared" si="44"/>
        <v>7</v>
      </c>
      <c r="F64" s="220">
        <f t="shared" si="45"/>
        <v>-3</v>
      </c>
      <c r="H64" s="219">
        <v>45219.0</v>
      </c>
      <c r="I64" s="220">
        <f t="shared" si="76"/>
        <v>7230.5</v>
      </c>
      <c r="J64" s="220">
        <v>7241.5</v>
      </c>
      <c r="K64" s="220">
        <f t="shared" si="46"/>
        <v>11</v>
      </c>
      <c r="L64" s="220">
        <f t="shared" si="47"/>
        <v>1</v>
      </c>
      <c r="N64" s="219">
        <v>45219.0</v>
      </c>
      <c r="O64" s="220">
        <f t="shared" si="77"/>
        <v>5403.1</v>
      </c>
      <c r="P64" s="220">
        <v>5414.8</v>
      </c>
      <c r="Q64" s="220">
        <f t="shared" si="48"/>
        <v>11.7</v>
      </c>
      <c r="R64" s="220">
        <f t="shared" si="49"/>
        <v>1.7</v>
      </c>
      <c r="T64" s="219">
        <v>45219.0</v>
      </c>
      <c r="U64" s="220">
        <f t="shared" si="78"/>
        <v>3341.2</v>
      </c>
      <c r="V64" s="220">
        <v>3349.6</v>
      </c>
      <c r="W64" s="220">
        <f t="shared" si="50"/>
        <v>8.4</v>
      </c>
      <c r="X64" s="220">
        <f t="shared" si="51"/>
        <v>-1.6</v>
      </c>
      <c r="Z64" s="219">
        <v>45219.0</v>
      </c>
      <c r="AA64" s="220">
        <f t="shared" si="79"/>
        <v>1436.6</v>
      </c>
      <c r="AB64" s="220">
        <v>1446.6</v>
      </c>
      <c r="AC64" s="220">
        <f t="shared" si="52"/>
        <v>10</v>
      </c>
      <c r="AD64" s="220">
        <f t="shared" si="53"/>
        <v>0</v>
      </c>
      <c r="AF64" s="219">
        <v>45219.0</v>
      </c>
      <c r="AG64" s="220">
        <f>AH63</f>
        <v>640.2</v>
      </c>
      <c r="AH64" s="220">
        <v>650.2</v>
      </c>
      <c r="AI64" s="220">
        <f t="shared" si="54"/>
        <v>10</v>
      </c>
      <c r="AJ64" s="220">
        <f t="shared" si="55"/>
        <v>0</v>
      </c>
      <c r="AL64" s="219">
        <v>45219.0</v>
      </c>
      <c r="AM64" s="220" t="str">
        <f t="shared" si="63"/>
        <v/>
      </c>
      <c r="AN64" s="220"/>
      <c r="AO64" s="220">
        <f t="shared" si="56"/>
        <v>0</v>
      </c>
      <c r="AP64" s="220">
        <f t="shared" si="57"/>
        <v>-10</v>
      </c>
      <c r="AR64" s="219">
        <v>45219.0</v>
      </c>
      <c r="AS64" s="220" t="str">
        <f t="shared" si="64"/>
        <v/>
      </c>
      <c r="AT64" s="220"/>
      <c r="AU64" s="220">
        <f t="shared" si="58"/>
        <v>0</v>
      </c>
      <c r="AV64" s="220">
        <f t="shared" si="59"/>
        <v>-10</v>
      </c>
      <c r="AX64" s="219">
        <v>45219.0</v>
      </c>
      <c r="AY64" s="220" t="str">
        <f t="shared" si="65"/>
        <v/>
      </c>
      <c r="AZ64" s="220"/>
      <c r="BA64" s="220">
        <f t="shared" si="60"/>
        <v>0</v>
      </c>
      <c r="BB64" s="220">
        <f t="shared" si="61"/>
        <v>-10</v>
      </c>
    </row>
    <row r="65" ht="14.25" customHeight="1">
      <c r="A65" s="218"/>
      <c r="B65" s="224">
        <v>45220.0</v>
      </c>
      <c r="C65" s="225">
        <f t="shared" si="75"/>
        <v>2350</v>
      </c>
      <c r="D65" s="225">
        <v>2356.0</v>
      </c>
      <c r="E65" s="225">
        <f t="shared" si="44"/>
        <v>6</v>
      </c>
      <c r="F65" s="225">
        <f t="shared" si="45"/>
        <v>-4</v>
      </c>
      <c r="G65" s="226"/>
      <c r="H65" s="224">
        <v>45220.0</v>
      </c>
      <c r="I65" s="225">
        <v>7241.5</v>
      </c>
      <c r="J65" s="225">
        <v>7246.7</v>
      </c>
      <c r="K65" s="225">
        <f t="shared" si="46"/>
        <v>5.2</v>
      </c>
      <c r="L65" s="225">
        <f t="shared" si="47"/>
        <v>-4.8</v>
      </c>
      <c r="M65" s="226"/>
      <c r="N65" s="224">
        <v>45220.0</v>
      </c>
      <c r="O65" s="225">
        <f t="shared" si="77"/>
        <v>5414.8</v>
      </c>
      <c r="P65" s="225">
        <v>5426.1</v>
      </c>
      <c r="Q65" s="225">
        <f t="shared" si="48"/>
        <v>11.3</v>
      </c>
      <c r="R65" s="225">
        <f t="shared" si="49"/>
        <v>1.3</v>
      </c>
      <c r="S65" s="226"/>
      <c r="T65" s="224">
        <v>45220.0</v>
      </c>
      <c r="U65" s="225">
        <f t="shared" si="78"/>
        <v>3349.6</v>
      </c>
      <c r="V65" s="225">
        <v>3357.1</v>
      </c>
      <c r="W65" s="225">
        <f t="shared" si="50"/>
        <v>7.5</v>
      </c>
      <c r="X65" s="225">
        <f t="shared" si="51"/>
        <v>-2.5</v>
      </c>
      <c r="Y65" s="226"/>
      <c r="Z65" s="224">
        <v>45220.0</v>
      </c>
      <c r="AA65" s="225">
        <f t="shared" si="79"/>
        <v>1446.6</v>
      </c>
      <c r="AB65" s="225">
        <v>1452.6</v>
      </c>
      <c r="AC65" s="225">
        <f t="shared" si="52"/>
        <v>6</v>
      </c>
      <c r="AD65" s="225">
        <f t="shared" si="53"/>
        <v>-4</v>
      </c>
      <c r="AE65" s="226"/>
      <c r="AF65" s="224">
        <v>45220.0</v>
      </c>
      <c r="AG65" s="225"/>
      <c r="AH65" s="225"/>
      <c r="AI65" s="225">
        <f t="shared" si="54"/>
        <v>0</v>
      </c>
      <c r="AJ65" s="225">
        <f t="shared" si="55"/>
        <v>-10</v>
      </c>
      <c r="AK65" s="226"/>
      <c r="AL65" s="224">
        <v>45220.0</v>
      </c>
      <c r="AM65" s="225" t="str">
        <f t="shared" si="63"/>
        <v/>
      </c>
      <c r="AN65" s="225"/>
      <c r="AO65" s="225">
        <f t="shared" si="56"/>
        <v>0</v>
      </c>
      <c r="AP65" s="225">
        <f t="shared" si="57"/>
        <v>-10</v>
      </c>
      <c r="AQ65" s="226"/>
      <c r="AR65" s="224">
        <v>45220.0</v>
      </c>
      <c r="AS65" s="225" t="str">
        <f t="shared" si="64"/>
        <v/>
      </c>
      <c r="AT65" s="225"/>
      <c r="AU65" s="225">
        <f t="shared" si="58"/>
        <v>0</v>
      </c>
      <c r="AV65" s="225">
        <f t="shared" si="59"/>
        <v>-10</v>
      </c>
      <c r="AW65" s="226"/>
      <c r="AX65" s="224">
        <v>45220.0</v>
      </c>
      <c r="AY65" s="225" t="str">
        <f t="shared" si="65"/>
        <v/>
      </c>
      <c r="AZ65" s="225"/>
      <c r="BA65" s="225">
        <f t="shared" si="60"/>
        <v>0</v>
      </c>
      <c r="BB65" s="225">
        <f t="shared" si="61"/>
        <v>-10</v>
      </c>
    </row>
    <row r="66" ht="14.25" customHeight="1">
      <c r="A66" s="218"/>
      <c r="B66" s="224">
        <v>45221.0</v>
      </c>
      <c r="C66" s="225"/>
      <c r="D66" s="225"/>
      <c r="E66" s="225">
        <f t="shared" si="44"/>
        <v>0</v>
      </c>
      <c r="F66" s="225">
        <f t="shared" si="45"/>
        <v>-10</v>
      </c>
      <c r="G66" s="226"/>
      <c r="H66" s="224">
        <v>45221.0</v>
      </c>
      <c r="I66" s="225">
        <f t="shared" ref="I66:I72" si="80">J65</f>
        <v>7246.7</v>
      </c>
      <c r="J66" s="225">
        <v>7251.8</v>
      </c>
      <c r="K66" s="225">
        <f t="shared" si="46"/>
        <v>5.1</v>
      </c>
      <c r="L66" s="225">
        <f t="shared" si="47"/>
        <v>-4.9</v>
      </c>
      <c r="M66" s="226"/>
      <c r="N66" s="224">
        <v>45221.0</v>
      </c>
      <c r="O66" s="225">
        <f t="shared" si="77"/>
        <v>5426.1</v>
      </c>
      <c r="P66" s="225">
        <v>5437.4</v>
      </c>
      <c r="Q66" s="225">
        <f t="shared" si="48"/>
        <v>11.3</v>
      </c>
      <c r="R66" s="225">
        <f t="shared" si="49"/>
        <v>1.3</v>
      </c>
      <c r="S66" s="226"/>
      <c r="T66" s="224">
        <v>45221.0</v>
      </c>
      <c r="U66" s="225">
        <f t="shared" si="78"/>
        <v>3357.1</v>
      </c>
      <c r="V66" s="225">
        <v>3360.9</v>
      </c>
      <c r="W66" s="225">
        <f t="shared" si="50"/>
        <v>3.8</v>
      </c>
      <c r="X66" s="225">
        <f t="shared" si="51"/>
        <v>-6.2</v>
      </c>
      <c r="Y66" s="226"/>
      <c r="Z66" s="224">
        <v>45221.0</v>
      </c>
      <c r="AA66" s="225"/>
      <c r="AB66" s="225"/>
      <c r="AC66" s="225">
        <f t="shared" si="52"/>
        <v>0</v>
      </c>
      <c r="AD66" s="225">
        <f t="shared" si="53"/>
        <v>-10</v>
      </c>
      <c r="AE66" s="226"/>
      <c r="AF66" s="224">
        <v>45221.0</v>
      </c>
      <c r="AG66" s="225" t="str">
        <f>AH65</f>
        <v/>
      </c>
      <c r="AH66" s="225"/>
      <c r="AI66" s="225">
        <f t="shared" si="54"/>
        <v>0</v>
      </c>
      <c r="AJ66" s="225">
        <f t="shared" si="55"/>
        <v>-10</v>
      </c>
      <c r="AK66" s="226"/>
      <c r="AL66" s="224">
        <v>45221.0</v>
      </c>
      <c r="AM66" s="225" t="str">
        <f t="shared" si="63"/>
        <v/>
      </c>
      <c r="AN66" s="225"/>
      <c r="AO66" s="225">
        <f t="shared" si="56"/>
        <v>0</v>
      </c>
      <c r="AP66" s="225">
        <f t="shared" si="57"/>
        <v>-10</v>
      </c>
      <c r="AQ66" s="226"/>
      <c r="AR66" s="224">
        <v>45221.0</v>
      </c>
      <c r="AS66" s="225" t="str">
        <f t="shared" si="64"/>
        <v/>
      </c>
      <c r="AT66" s="225"/>
      <c r="AU66" s="225">
        <f t="shared" si="58"/>
        <v>0</v>
      </c>
      <c r="AV66" s="225">
        <f t="shared" si="59"/>
        <v>-10</v>
      </c>
      <c r="AW66" s="226"/>
      <c r="AX66" s="224">
        <v>45221.0</v>
      </c>
      <c r="AY66" s="225" t="str">
        <f t="shared" si="65"/>
        <v/>
      </c>
      <c r="AZ66" s="225"/>
      <c r="BA66" s="225">
        <f t="shared" si="60"/>
        <v>0</v>
      </c>
      <c r="BB66" s="225">
        <f t="shared" si="61"/>
        <v>-10</v>
      </c>
    </row>
    <row r="67" ht="14.25" customHeight="1">
      <c r="A67" s="218"/>
      <c r="B67" s="219">
        <v>45222.0</v>
      </c>
      <c r="C67" s="220">
        <v>2356.0</v>
      </c>
      <c r="D67" s="220">
        <v>2361.0</v>
      </c>
      <c r="E67" s="220">
        <f t="shared" si="44"/>
        <v>5</v>
      </c>
      <c r="F67" s="220">
        <f t="shared" si="45"/>
        <v>-5</v>
      </c>
      <c r="H67" s="219">
        <v>45222.0</v>
      </c>
      <c r="I67" s="220">
        <f t="shared" si="80"/>
        <v>7251.8</v>
      </c>
      <c r="J67" s="220">
        <v>7261.3</v>
      </c>
      <c r="K67" s="220">
        <f t="shared" si="46"/>
        <v>9.5</v>
      </c>
      <c r="L67" s="220">
        <f t="shared" si="47"/>
        <v>-0.5</v>
      </c>
      <c r="N67" s="219">
        <v>45222.0</v>
      </c>
      <c r="O67" s="220">
        <f t="shared" si="77"/>
        <v>5437.4</v>
      </c>
      <c r="P67" s="220">
        <v>5447.8</v>
      </c>
      <c r="Q67" s="220">
        <f t="shared" si="48"/>
        <v>10.4</v>
      </c>
      <c r="R67" s="220">
        <f t="shared" si="49"/>
        <v>0.4</v>
      </c>
      <c r="T67" s="219">
        <v>45222.0</v>
      </c>
      <c r="U67" s="220">
        <f t="shared" si="78"/>
        <v>3360.9</v>
      </c>
      <c r="V67" s="220">
        <v>3367.7</v>
      </c>
      <c r="W67" s="220">
        <f t="shared" si="50"/>
        <v>6.8</v>
      </c>
      <c r="X67" s="220">
        <f t="shared" si="51"/>
        <v>-3.2</v>
      </c>
      <c r="Z67" s="219">
        <v>45222.0</v>
      </c>
      <c r="AA67" s="220">
        <v>1452.6</v>
      </c>
      <c r="AB67" s="220">
        <v>1462.6</v>
      </c>
      <c r="AC67" s="220">
        <f t="shared" si="52"/>
        <v>10</v>
      </c>
      <c r="AD67" s="220">
        <f t="shared" si="53"/>
        <v>0</v>
      </c>
      <c r="AF67" s="219">
        <v>45222.0</v>
      </c>
      <c r="AG67" s="220">
        <v>650.2</v>
      </c>
      <c r="AH67" s="220">
        <v>660.2</v>
      </c>
      <c r="AI67" s="220">
        <f t="shared" si="54"/>
        <v>10</v>
      </c>
      <c r="AJ67" s="220">
        <f t="shared" si="55"/>
        <v>0</v>
      </c>
      <c r="AL67" s="219">
        <v>45222.0</v>
      </c>
      <c r="AM67" s="220" t="str">
        <f t="shared" si="63"/>
        <v/>
      </c>
      <c r="AN67" s="220"/>
      <c r="AO67" s="220">
        <f t="shared" si="56"/>
        <v>0</v>
      </c>
      <c r="AP67" s="220">
        <f t="shared" si="57"/>
        <v>-10</v>
      </c>
      <c r="AR67" s="219">
        <v>45222.0</v>
      </c>
      <c r="AS67" s="220" t="str">
        <f t="shared" si="64"/>
        <v/>
      </c>
      <c r="AT67" s="220"/>
      <c r="AU67" s="220">
        <f t="shared" si="58"/>
        <v>0</v>
      </c>
      <c r="AV67" s="220">
        <f t="shared" si="59"/>
        <v>-10</v>
      </c>
      <c r="AX67" s="219">
        <v>45222.0</v>
      </c>
      <c r="AY67" s="220" t="str">
        <f t="shared" si="65"/>
        <v/>
      </c>
      <c r="AZ67" s="220"/>
      <c r="BA67" s="220">
        <f t="shared" si="60"/>
        <v>0</v>
      </c>
      <c r="BB67" s="220">
        <f t="shared" si="61"/>
        <v>-10</v>
      </c>
    </row>
    <row r="68" ht="14.25" customHeight="1">
      <c r="A68" s="218"/>
      <c r="B68" s="219">
        <v>45223.0</v>
      </c>
      <c r="C68" s="220">
        <f t="shared" ref="C68:C71" si="81">D67</f>
        <v>2361</v>
      </c>
      <c r="D68" s="220">
        <v>2370.0</v>
      </c>
      <c r="E68" s="220">
        <f t="shared" si="44"/>
        <v>9</v>
      </c>
      <c r="F68" s="220">
        <f t="shared" si="45"/>
        <v>-1</v>
      </c>
      <c r="G68" s="221"/>
      <c r="H68" s="219">
        <v>45223.0</v>
      </c>
      <c r="I68" s="220">
        <f t="shared" si="80"/>
        <v>7261.3</v>
      </c>
      <c r="J68" s="220">
        <v>7268.1</v>
      </c>
      <c r="K68" s="220">
        <f t="shared" si="46"/>
        <v>6.8</v>
      </c>
      <c r="L68" s="220">
        <f t="shared" si="47"/>
        <v>-3.2</v>
      </c>
      <c r="M68" s="221"/>
      <c r="N68" s="219">
        <v>45223.0</v>
      </c>
      <c r="O68" s="220">
        <f t="shared" si="77"/>
        <v>5447.8</v>
      </c>
      <c r="P68" s="220">
        <v>5458.8</v>
      </c>
      <c r="Q68" s="220">
        <f t="shared" si="48"/>
        <v>11</v>
      </c>
      <c r="R68" s="220">
        <f t="shared" si="49"/>
        <v>1</v>
      </c>
      <c r="S68" s="221"/>
      <c r="T68" s="219">
        <v>45223.0</v>
      </c>
      <c r="U68" s="220">
        <f t="shared" si="78"/>
        <v>3367.7</v>
      </c>
      <c r="V68" s="220">
        <v>3378.7</v>
      </c>
      <c r="W68" s="220">
        <f t="shared" si="50"/>
        <v>11</v>
      </c>
      <c r="X68" s="220">
        <f t="shared" si="51"/>
        <v>1</v>
      </c>
      <c r="Y68" s="221"/>
      <c r="Z68" s="219">
        <v>45223.0</v>
      </c>
      <c r="AA68" s="220">
        <f>AB67</f>
        <v>1462.6</v>
      </c>
      <c r="AB68" s="228">
        <v>1467.0</v>
      </c>
      <c r="AC68" s="220">
        <f t="shared" si="52"/>
        <v>4.4</v>
      </c>
      <c r="AD68" s="220">
        <f t="shared" si="53"/>
        <v>-5.6</v>
      </c>
      <c r="AE68" s="221"/>
      <c r="AF68" s="219">
        <v>45223.0</v>
      </c>
      <c r="AG68" s="220">
        <f t="shared" ref="AG68:AG69" si="82">AH67</f>
        <v>660.2</v>
      </c>
      <c r="AH68" s="220">
        <v>669.0</v>
      </c>
      <c r="AI68" s="220">
        <f t="shared" si="54"/>
        <v>8.8</v>
      </c>
      <c r="AJ68" s="220">
        <f t="shared" si="55"/>
        <v>-1.2</v>
      </c>
      <c r="AK68" s="221"/>
      <c r="AL68" s="219">
        <v>45223.0</v>
      </c>
      <c r="AM68" s="220" t="str">
        <f t="shared" si="63"/>
        <v/>
      </c>
      <c r="AN68" s="220"/>
      <c r="AO68" s="220">
        <f t="shared" si="56"/>
        <v>0</v>
      </c>
      <c r="AP68" s="220">
        <f t="shared" si="57"/>
        <v>-10</v>
      </c>
      <c r="AQ68" s="221"/>
      <c r="AR68" s="219">
        <v>45223.0</v>
      </c>
      <c r="AS68" s="220" t="str">
        <f t="shared" si="64"/>
        <v/>
      </c>
      <c r="AT68" s="220"/>
      <c r="AU68" s="220">
        <f t="shared" si="58"/>
        <v>0</v>
      </c>
      <c r="AV68" s="220">
        <f t="shared" si="59"/>
        <v>-10</v>
      </c>
      <c r="AW68" s="221"/>
      <c r="AX68" s="219">
        <v>45223.0</v>
      </c>
      <c r="AY68" s="220" t="str">
        <f t="shared" si="65"/>
        <v/>
      </c>
      <c r="AZ68" s="220"/>
      <c r="BA68" s="220">
        <f t="shared" si="60"/>
        <v>0</v>
      </c>
      <c r="BB68" s="220">
        <f t="shared" si="61"/>
        <v>-10</v>
      </c>
    </row>
    <row r="69" ht="14.25" customHeight="1">
      <c r="A69" s="218"/>
      <c r="B69" s="219">
        <v>45224.0</v>
      </c>
      <c r="C69" s="220">
        <f t="shared" si="81"/>
        <v>2370</v>
      </c>
      <c r="D69" s="220">
        <v>2380.0</v>
      </c>
      <c r="E69" s="220">
        <f t="shared" si="44"/>
        <v>10</v>
      </c>
      <c r="F69" s="220">
        <f t="shared" si="45"/>
        <v>0</v>
      </c>
      <c r="G69" s="221"/>
      <c r="H69" s="219">
        <v>45224.0</v>
      </c>
      <c r="I69" s="220">
        <f t="shared" si="80"/>
        <v>7268.1</v>
      </c>
      <c r="J69" s="220">
        <v>7272.3</v>
      </c>
      <c r="K69" s="220">
        <f t="shared" si="46"/>
        <v>4.2</v>
      </c>
      <c r="L69" s="220">
        <f t="shared" si="47"/>
        <v>-5.8</v>
      </c>
      <c r="M69" s="221"/>
      <c r="N69" s="219">
        <v>45224.0</v>
      </c>
      <c r="O69" s="220">
        <f t="shared" si="77"/>
        <v>5458.8</v>
      </c>
      <c r="P69" s="220">
        <v>5469.2</v>
      </c>
      <c r="Q69" s="220">
        <f t="shared" si="48"/>
        <v>10.4</v>
      </c>
      <c r="R69" s="220">
        <f t="shared" si="49"/>
        <v>0.4</v>
      </c>
      <c r="S69" s="221"/>
      <c r="T69" s="219">
        <v>45224.0</v>
      </c>
      <c r="U69" s="220">
        <f t="shared" si="78"/>
        <v>3378.7</v>
      </c>
      <c r="V69" s="220">
        <v>3388.7</v>
      </c>
      <c r="W69" s="220">
        <f t="shared" si="50"/>
        <v>10</v>
      </c>
      <c r="X69" s="220">
        <f t="shared" si="51"/>
        <v>0</v>
      </c>
      <c r="Y69" s="221"/>
      <c r="Z69" s="219">
        <v>45224.0</v>
      </c>
      <c r="AA69" s="220">
        <v>1471.4</v>
      </c>
      <c r="AB69" s="220">
        <v>1481.8</v>
      </c>
      <c r="AC69" s="220">
        <f t="shared" si="52"/>
        <v>10.4</v>
      </c>
      <c r="AD69" s="220">
        <f t="shared" si="53"/>
        <v>0.4</v>
      </c>
      <c r="AE69" s="221"/>
      <c r="AF69" s="219">
        <v>45224.0</v>
      </c>
      <c r="AG69" s="220">
        <f t="shared" si="82"/>
        <v>669</v>
      </c>
      <c r="AH69" s="220">
        <v>680.2</v>
      </c>
      <c r="AI69" s="220">
        <f t="shared" si="54"/>
        <v>11.2</v>
      </c>
      <c r="AJ69" s="220">
        <f t="shared" si="55"/>
        <v>1.2</v>
      </c>
      <c r="AK69" s="221"/>
      <c r="AL69" s="219">
        <v>45224.0</v>
      </c>
      <c r="AM69" s="220" t="str">
        <f t="shared" si="63"/>
        <v/>
      </c>
      <c r="AN69" s="220"/>
      <c r="AO69" s="220">
        <f t="shared" si="56"/>
        <v>0</v>
      </c>
      <c r="AP69" s="220">
        <f t="shared" si="57"/>
        <v>-10</v>
      </c>
      <c r="AQ69" s="221"/>
      <c r="AR69" s="219">
        <v>45224.0</v>
      </c>
      <c r="AS69" s="220" t="str">
        <f t="shared" si="64"/>
        <v/>
      </c>
      <c r="AT69" s="220"/>
      <c r="AU69" s="220">
        <f t="shared" si="58"/>
        <v>0</v>
      </c>
      <c r="AV69" s="220">
        <f t="shared" si="59"/>
        <v>-10</v>
      </c>
      <c r="AW69" s="221"/>
      <c r="AX69" s="219">
        <v>45224.0</v>
      </c>
      <c r="AY69" s="220" t="str">
        <f t="shared" si="65"/>
        <v/>
      </c>
      <c r="AZ69" s="220"/>
      <c r="BA69" s="220">
        <f t="shared" si="60"/>
        <v>0</v>
      </c>
      <c r="BB69" s="220">
        <f t="shared" si="61"/>
        <v>-10</v>
      </c>
    </row>
    <row r="70" ht="14.25" customHeight="1">
      <c r="A70" s="218"/>
      <c r="B70" s="219">
        <v>45225.0</v>
      </c>
      <c r="C70" s="220">
        <f t="shared" si="81"/>
        <v>2380</v>
      </c>
      <c r="D70" s="220">
        <v>2391.0</v>
      </c>
      <c r="E70" s="220">
        <f t="shared" si="44"/>
        <v>11</v>
      </c>
      <c r="F70" s="220">
        <f t="shared" si="45"/>
        <v>1</v>
      </c>
      <c r="H70" s="219">
        <v>45225.0</v>
      </c>
      <c r="I70" s="220">
        <f t="shared" si="80"/>
        <v>7272.3</v>
      </c>
      <c r="J70" s="220">
        <v>7275.1</v>
      </c>
      <c r="K70" s="220">
        <f t="shared" si="46"/>
        <v>2.8</v>
      </c>
      <c r="L70" s="220">
        <f t="shared" si="47"/>
        <v>-7.2</v>
      </c>
      <c r="N70" s="219">
        <v>45225.0</v>
      </c>
      <c r="O70" s="220">
        <f t="shared" si="77"/>
        <v>5469.2</v>
      </c>
      <c r="P70" s="220">
        <v>5479.0</v>
      </c>
      <c r="Q70" s="220">
        <f t="shared" si="48"/>
        <v>9.8</v>
      </c>
      <c r="R70" s="220">
        <f t="shared" si="49"/>
        <v>-0.2</v>
      </c>
      <c r="T70" s="219">
        <v>45225.0</v>
      </c>
      <c r="U70" s="220">
        <f t="shared" si="78"/>
        <v>3388.7</v>
      </c>
      <c r="V70" s="220">
        <v>3396.7</v>
      </c>
      <c r="W70" s="220">
        <f t="shared" si="50"/>
        <v>8</v>
      </c>
      <c r="X70" s="220">
        <f t="shared" si="51"/>
        <v>-2</v>
      </c>
      <c r="Z70" s="219">
        <v>45225.0</v>
      </c>
      <c r="AA70" s="220">
        <f t="shared" ref="AA70:AA72" si="83">AB69</f>
        <v>1481.8</v>
      </c>
      <c r="AB70" s="220">
        <v>1490.4</v>
      </c>
      <c r="AC70" s="220">
        <f t="shared" si="52"/>
        <v>8.6</v>
      </c>
      <c r="AD70" s="220">
        <f t="shared" si="53"/>
        <v>-1.4</v>
      </c>
      <c r="AF70" s="219">
        <v>45225.0</v>
      </c>
      <c r="AG70" s="220"/>
      <c r="AH70" s="220"/>
      <c r="AI70" s="220">
        <f t="shared" si="54"/>
        <v>0</v>
      </c>
      <c r="AJ70" s="220">
        <f t="shared" si="55"/>
        <v>-10</v>
      </c>
      <c r="AL70" s="219">
        <v>45225.0</v>
      </c>
      <c r="AM70" s="220" t="str">
        <f t="shared" si="63"/>
        <v/>
      </c>
      <c r="AN70" s="220"/>
      <c r="AO70" s="220">
        <f t="shared" si="56"/>
        <v>0</v>
      </c>
      <c r="AP70" s="220">
        <f t="shared" si="57"/>
        <v>-10</v>
      </c>
      <c r="AR70" s="219">
        <v>45225.0</v>
      </c>
      <c r="AS70" s="220" t="str">
        <f t="shared" si="64"/>
        <v/>
      </c>
      <c r="AT70" s="220"/>
      <c r="AU70" s="220">
        <f t="shared" si="58"/>
        <v>0</v>
      </c>
      <c r="AV70" s="220">
        <f t="shared" si="59"/>
        <v>-10</v>
      </c>
      <c r="AX70" s="219">
        <v>45225.0</v>
      </c>
      <c r="AY70" s="220" t="str">
        <f t="shared" si="65"/>
        <v/>
      </c>
      <c r="AZ70" s="220"/>
      <c r="BA70" s="220">
        <f t="shared" si="60"/>
        <v>0</v>
      </c>
      <c r="BB70" s="220">
        <f t="shared" si="61"/>
        <v>-10</v>
      </c>
    </row>
    <row r="71" ht="14.25" customHeight="1">
      <c r="A71" s="218"/>
      <c r="B71" s="219">
        <v>45226.0</v>
      </c>
      <c r="C71" s="220">
        <f t="shared" si="81"/>
        <v>2391</v>
      </c>
      <c r="D71" s="220">
        <v>2402.0</v>
      </c>
      <c r="E71" s="220">
        <f t="shared" si="44"/>
        <v>11</v>
      </c>
      <c r="F71" s="220">
        <f t="shared" si="45"/>
        <v>1</v>
      </c>
      <c r="H71" s="219">
        <v>45226.0</v>
      </c>
      <c r="I71" s="220">
        <f t="shared" si="80"/>
        <v>7275.1</v>
      </c>
      <c r="J71" s="220">
        <v>7284.4</v>
      </c>
      <c r="K71" s="220">
        <f t="shared" si="46"/>
        <v>9.3</v>
      </c>
      <c r="L71" s="220">
        <f t="shared" si="47"/>
        <v>-0.7</v>
      </c>
      <c r="N71" s="219">
        <v>45226.0</v>
      </c>
      <c r="O71" s="220"/>
      <c r="P71" s="220"/>
      <c r="Q71" s="220">
        <f t="shared" si="48"/>
        <v>0</v>
      </c>
      <c r="R71" s="220">
        <f t="shared" si="49"/>
        <v>-10</v>
      </c>
      <c r="T71" s="219">
        <v>45226.0</v>
      </c>
      <c r="U71" s="220">
        <f t="shared" si="78"/>
        <v>3396.7</v>
      </c>
      <c r="V71" s="220">
        <v>3407.4</v>
      </c>
      <c r="W71" s="220">
        <f t="shared" si="50"/>
        <v>10.7</v>
      </c>
      <c r="X71" s="220">
        <f t="shared" si="51"/>
        <v>0.7</v>
      </c>
      <c r="Z71" s="219">
        <v>45226.0</v>
      </c>
      <c r="AA71" s="220">
        <f t="shared" si="83"/>
        <v>1490.4</v>
      </c>
      <c r="AB71" s="220">
        <v>1495.4</v>
      </c>
      <c r="AC71" s="220">
        <f t="shared" si="52"/>
        <v>5</v>
      </c>
      <c r="AD71" s="220">
        <f t="shared" si="53"/>
        <v>-5</v>
      </c>
      <c r="AF71" s="219">
        <v>45226.0</v>
      </c>
      <c r="AG71" s="220">
        <v>680.2</v>
      </c>
      <c r="AH71" s="220">
        <v>687.0</v>
      </c>
      <c r="AI71" s="220">
        <f t="shared" si="54"/>
        <v>6.8</v>
      </c>
      <c r="AJ71" s="220">
        <f t="shared" si="55"/>
        <v>-3.2</v>
      </c>
      <c r="AL71" s="219">
        <v>45226.0</v>
      </c>
      <c r="AM71" s="220" t="str">
        <f t="shared" si="63"/>
        <v/>
      </c>
      <c r="AN71" s="220"/>
      <c r="AO71" s="220">
        <f t="shared" si="56"/>
        <v>0</v>
      </c>
      <c r="AP71" s="220">
        <f t="shared" si="57"/>
        <v>-10</v>
      </c>
      <c r="AR71" s="219">
        <v>45226.0</v>
      </c>
      <c r="AS71" s="220" t="str">
        <f t="shared" si="64"/>
        <v/>
      </c>
      <c r="AT71" s="220"/>
      <c r="AU71" s="220">
        <f t="shared" si="58"/>
        <v>0</v>
      </c>
      <c r="AV71" s="220">
        <f t="shared" si="59"/>
        <v>-10</v>
      </c>
      <c r="AX71" s="219">
        <v>45226.0</v>
      </c>
      <c r="AY71" s="220" t="str">
        <f t="shared" si="65"/>
        <v/>
      </c>
      <c r="AZ71" s="220"/>
      <c r="BA71" s="220">
        <f t="shared" si="60"/>
        <v>0</v>
      </c>
      <c r="BB71" s="220">
        <f t="shared" si="61"/>
        <v>-10</v>
      </c>
    </row>
    <row r="72" ht="14.25" customHeight="1">
      <c r="A72" s="218"/>
      <c r="B72" s="224">
        <v>45227.0</v>
      </c>
      <c r="C72" s="225"/>
      <c r="D72" s="225"/>
      <c r="E72" s="225">
        <f t="shared" si="44"/>
        <v>0</v>
      </c>
      <c r="F72" s="225">
        <f t="shared" si="45"/>
        <v>-10</v>
      </c>
      <c r="G72" s="226"/>
      <c r="H72" s="224">
        <v>45227.0</v>
      </c>
      <c r="I72" s="225">
        <f t="shared" si="80"/>
        <v>7284.4</v>
      </c>
      <c r="J72" s="225">
        <v>7290.1</v>
      </c>
      <c r="K72" s="225">
        <f t="shared" si="46"/>
        <v>5.7</v>
      </c>
      <c r="L72" s="225">
        <f t="shared" si="47"/>
        <v>-4.3</v>
      </c>
      <c r="M72" s="226"/>
      <c r="N72" s="224">
        <v>45227.0</v>
      </c>
      <c r="O72" s="225"/>
      <c r="P72" s="225"/>
      <c r="Q72" s="225">
        <f t="shared" si="48"/>
        <v>0</v>
      </c>
      <c r="R72" s="225">
        <f t="shared" si="49"/>
        <v>-10</v>
      </c>
      <c r="S72" s="226"/>
      <c r="T72" s="224">
        <v>45227.0</v>
      </c>
      <c r="U72" s="225"/>
      <c r="V72" s="225"/>
      <c r="W72" s="225">
        <f t="shared" si="50"/>
        <v>0</v>
      </c>
      <c r="X72" s="225">
        <f t="shared" si="51"/>
        <v>-10</v>
      </c>
      <c r="Y72" s="226"/>
      <c r="Z72" s="224">
        <v>45227.0</v>
      </c>
      <c r="AA72" s="225">
        <f t="shared" si="83"/>
        <v>1495.4</v>
      </c>
      <c r="AB72" s="225">
        <v>1501.4</v>
      </c>
      <c r="AC72" s="225">
        <f t="shared" si="52"/>
        <v>6</v>
      </c>
      <c r="AD72" s="225">
        <f t="shared" si="53"/>
        <v>-4</v>
      </c>
      <c r="AE72" s="226"/>
      <c r="AF72" s="224">
        <v>45227.0</v>
      </c>
      <c r="AG72" s="225"/>
      <c r="AH72" s="225"/>
      <c r="AI72" s="225">
        <f t="shared" si="54"/>
        <v>0</v>
      </c>
      <c r="AJ72" s="225">
        <f t="shared" si="55"/>
        <v>-10</v>
      </c>
      <c r="AK72" s="226"/>
      <c r="AL72" s="224">
        <v>45227.0</v>
      </c>
      <c r="AM72" s="225" t="str">
        <f t="shared" si="63"/>
        <v/>
      </c>
      <c r="AN72" s="225"/>
      <c r="AO72" s="225">
        <f t="shared" si="56"/>
        <v>0</v>
      </c>
      <c r="AP72" s="225">
        <f t="shared" si="57"/>
        <v>-10</v>
      </c>
      <c r="AQ72" s="226"/>
      <c r="AR72" s="224">
        <v>45227.0</v>
      </c>
      <c r="AS72" s="225" t="str">
        <f t="shared" si="64"/>
        <v/>
      </c>
      <c r="AT72" s="225"/>
      <c r="AU72" s="225">
        <f t="shared" si="58"/>
        <v>0</v>
      </c>
      <c r="AV72" s="225">
        <f t="shared" si="59"/>
        <v>-10</v>
      </c>
      <c r="AW72" s="226"/>
      <c r="AX72" s="224">
        <v>45227.0</v>
      </c>
      <c r="AY72" s="225" t="str">
        <f t="shared" si="65"/>
        <v/>
      </c>
      <c r="AZ72" s="225"/>
      <c r="BA72" s="225">
        <f t="shared" si="60"/>
        <v>0</v>
      </c>
      <c r="BB72" s="225">
        <f t="shared" si="61"/>
        <v>-10</v>
      </c>
    </row>
    <row r="73" ht="14.25" customHeight="1">
      <c r="A73" s="218"/>
      <c r="B73" s="224">
        <v>45228.0</v>
      </c>
      <c r="C73" s="225">
        <v>2402.0</v>
      </c>
      <c r="D73" s="225">
        <v>2409.0</v>
      </c>
      <c r="E73" s="225">
        <f t="shared" si="44"/>
        <v>7</v>
      </c>
      <c r="F73" s="225">
        <f t="shared" si="45"/>
        <v>-3</v>
      </c>
      <c r="G73" s="226"/>
      <c r="H73" s="224">
        <v>45228.0</v>
      </c>
      <c r="I73" s="225"/>
      <c r="J73" s="225"/>
      <c r="K73" s="225">
        <f t="shared" si="46"/>
        <v>0</v>
      </c>
      <c r="L73" s="225">
        <f t="shared" si="47"/>
        <v>-10</v>
      </c>
      <c r="M73" s="226"/>
      <c r="N73" s="224">
        <v>45228.0</v>
      </c>
      <c r="O73" s="225"/>
      <c r="P73" s="225"/>
      <c r="Q73" s="225">
        <f t="shared" si="48"/>
        <v>0</v>
      </c>
      <c r="R73" s="225">
        <f t="shared" si="49"/>
        <v>-10</v>
      </c>
      <c r="S73" s="226"/>
      <c r="T73" s="224">
        <v>45228.0</v>
      </c>
      <c r="U73" s="225">
        <v>3407.4</v>
      </c>
      <c r="V73" s="225">
        <v>3412.7</v>
      </c>
      <c r="W73" s="225">
        <f t="shared" si="50"/>
        <v>5.3</v>
      </c>
      <c r="X73" s="225">
        <f t="shared" si="51"/>
        <v>-4.7</v>
      </c>
      <c r="Y73" s="226" t="s">
        <v>223</v>
      </c>
      <c r="Z73" s="224">
        <v>45228.0</v>
      </c>
      <c r="AA73" s="225"/>
      <c r="AB73" s="225"/>
      <c r="AC73" s="225">
        <f t="shared" si="52"/>
        <v>0</v>
      </c>
      <c r="AD73" s="225">
        <f t="shared" si="53"/>
        <v>-10</v>
      </c>
      <c r="AE73" s="226"/>
      <c r="AF73" s="224">
        <v>45228.0</v>
      </c>
      <c r="AG73" s="225" t="str">
        <f>AH72</f>
        <v/>
      </c>
      <c r="AH73" s="225"/>
      <c r="AI73" s="225">
        <f t="shared" si="54"/>
        <v>0</v>
      </c>
      <c r="AJ73" s="225">
        <f t="shared" si="55"/>
        <v>-10</v>
      </c>
      <c r="AK73" s="226"/>
      <c r="AL73" s="224">
        <v>45228.0</v>
      </c>
      <c r="AM73" s="225" t="str">
        <f t="shared" si="63"/>
        <v/>
      </c>
      <c r="AN73" s="225"/>
      <c r="AO73" s="225">
        <f t="shared" si="56"/>
        <v>0</v>
      </c>
      <c r="AP73" s="225">
        <f t="shared" si="57"/>
        <v>-10</v>
      </c>
      <c r="AQ73" s="226"/>
      <c r="AR73" s="224">
        <v>45228.0</v>
      </c>
      <c r="AS73" s="225" t="str">
        <f t="shared" si="64"/>
        <v/>
      </c>
      <c r="AT73" s="225"/>
      <c r="AU73" s="225">
        <f t="shared" si="58"/>
        <v>0</v>
      </c>
      <c r="AV73" s="225">
        <f t="shared" si="59"/>
        <v>-10</v>
      </c>
      <c r="AW73" s="226"/>
      <c r="AX73" s="224">
        <v>45228.0</v>
      </c>
      <c r="AY73" s="225" t="str">
        <f t="shared" si="65"/>
        <v/>
      </c>
      <c r="AZ73" s="225"/>
      <c r="BA73" s="225">
        <f t="shared" si="60"/>
        <v>0</v>
      </c>
      <c r="BB73" s="225">
        <f t="shared" si="61"/>
        <v>-10</v>
      </c>
    </row>
    <row r="74" ht="14.25" customHeight="1">
      <c r="A74" s="218"/>
      <c r="B74" s="219">
        <v>45229.0</v>
      </c>
      <c r="C74" s="220">
        <f t="shared" ref="C74:C75" si="84">D73</f>
        <v>2409</v>
      </c>
      <c r="D74" s="220">
        <v>2413.0</v>
      </c>
      <c r="E74" s="220">
        <f t="shared" si="44"/>
        <v>4</v>
      </c>
      <c r="F74" s="220">
        <f t="shared" si="45"/>
        <v>-6</v>
      </c>
      <c r="H74" s="219">
        <v>45229.0</v>
      </c>
      <c r="I74" s="220">
        <v>7290.1</v>
      </c>
      <c r="J74" s="220">
        <v>7299.4</v>
      </c>
      <c r="K74" s="220">
        <f t="shared" si="46"/>
        <v>9.3</v>
      </c>
      <c r="L74" s="220">
        <f t="shared" si="47"/>
        <v>-0.7</v>
      </c>
      <c r="N74" s="219">
        <v>45229.0</v>
      </c>
      <c r="O74" s="220">
        <v>5479.0</v>
      </c>
      <c r="P74" s="220">
        <v>5484.0</v>
      </c>
      <c r="Q74" s="220">
        <f t="shared" si="48"/>
        <v>5</v>
      </c>
      <c r="R74" s="220">
        <f t="shared" si="49"/>
        <v>-5</v>
      </c>
      <c r="T74" s="219">
        <v>45229.0</v>
      </c>
      <c r="U74" s="220">
        <f t="shared" ref="U74:U75" si="85">V73</f>
        <v>3412.7</v>
      </c>
      <c r="V74" s="220">
        <v>3421.7</v>
      </c>
      <c r="W74" s="220">
        <f t="shared" si="50"/>
        <v>9</v>
      </c>
      <c r="X74" s="220">
        <f t="shared" si="51"/>
        <v>-1</v>
      </c>
      <c r="Z74" s="219">
        <v>45229.0</v>
      </c>
      <c r="AA74" s="220">
        <v>1501.4</v>
      </c>
      <c r="AB74" s="220">
        <v>1509.8</v>
      </c>
      <c r="AC74" s="220">
        <f t="shared" si="52"/>
        <v>8.4</v>
      </c>
      <c r="AD74" s="220">
        <f t="shared" si="53"/>
        <v>-1.6</v>
      </c>
      <c r="AF74" s="219">
        <v>45229.0</v>
      </c>
      <c r="AG74" s="220">
        <v>687.0</v>
      </c>
      <c r="AH74" s="220">
        <v>698.1</v>
      </c>
      <c r="AI74" s="220">
        <f t="shared" si="54"/>
        <v>11.1</v>
      </c>
      <c r="AJ74" s="220">
        <f t="shared" si="55"/>
        <v>1.1</v>
      </c>
      <c r="AL74" s="219">
        <v>45229.0</v>
      </c>
      <c r="AM74" s="220" t="str">
        <f t="shared" si="63"/>
        <v/>
      </c>
      <c r="AN74" s="220"/>
      <c r="AO74" s="220">
        <f t="shared" si="56"/>
        <v>0</v>
      </c>
      <c r="AP74" s="220">
        <f t="shared" si="57"/>
        <v>-10</v>
      </c>
      <c r="AR74" s="219">
        <v>45229.0</v>
      </c>
      <c r="AS74" s="220" t="str">
        <f t="shared" si="64"/>
        <v/>
      </c>
      <c r="AT74" s="220"/>
      <c r="AU74" s="220">
        <f t="shared" si="58"/>
        <v>0</v>
      </c>
      <c r="AV74" s="220">
        <f t="shared" si="59"/>
        <v>-10</v>
      </c>
      <c r="AX74" s="219">
        <v>45229.0</v>
      </c>
      <c r="AY74" s="220" t="str">
        <f t="shared" si="65"/>
        <v/>
      </c>
      <c r="AZ74" s="220"/>
      <c r="BA74" s="220">
        <f t="shared" si="60"/>
        <v>0</v>
      </c>
      <c r="BB74" s="220">
        <f t="shared" si="61"/>
        <v>-10</v>
      </c>
    </row>
    <row r="75" ht="14.25" customHeight="1">
      <c r="A75" s="218"/>
      <c r="B75" s="219">
        <v>45230.0</v>
      </c>
      <c r="C75" s="220">
        <f t="shared" si="84"/>
        <v>2413</v>
      </c>
      <c r="D75" s="220">
        <v>2425.0</v>
      </c>
      <c r="E75" s="220">
        <f t="shared" si="44"/>
        <v>12</v>
      </c>
      <c r="F75" s="220">
        <f t="shared" si="45"/>
        <v>2</v>
      </c>
      <c r="H75" s="219">
        <v>45230.0</v>
      </c>
      <c r="I75" s="220">
        <f>J74</f>
        <v>7299.4</v>
      </c>
      <c r="J75" s="220">
        <v>7306.9</v>
      </c>
      <c r="K75" s="220">
        <f t="shared" si="46"/>
        <v>7.5</v>
      </c>
      <c r="L75" s="220">
        <f t="shared" si="47"/>
        <v>-2.5</v>
      </c>
      <c r="N75" s="219">
        <v>45230.0</v>
      </c>
      <c r="O75" s="220">
        <f>P74</f>
        <v>5484</v>
      </c>
      <c r="P75" s="220">
        <v>5494.3</v>
      </c>
      <c r="Q75" s="220">
        <f t="shared" si="48"/>
        <v>10.3</v>
      </c>
      <c r="R75" s="220">
        <f t="shared" si="49"/>
        <v>0.3</v>
      </c>
      <c r="T75" s="219">
        <v>45230.0</v>
      </c>
      <c r="U75" s="220">
        <f t="shared" si="85"/>
        <v>3421.7</v>
      </c>
      <c r="V75" s="220">
        <v>3432.0</v>
      </c>
      <c r="W75" s="220">
        <f t="shared" si="50"/>
        <v>10.3</v>
      </c>
      <c r="X75" s="220">
        <f t="shared" si="51"/>
        <v>0.3</v>
      </c>
      <c r="Z75" s="219">
        <v>45230.0</v>
      </c>
      <c r="AA75" s="220">
        <f>AB74</f>
        <v>1509.8</v>
      </c>
      <c r="AB75" s="220">
        <v>1516.0</v>
      </c>
      <c r="AC75" s="220">
        <f t="shared" si="52"/>
        <v>6.2</v>
      </c>
      <c r="AD75" s="220">
        <f t="shared" si="53"/>
        <v>-3.8</v>
      </c>
      <c r="AF75" s="219">
        <v>45230.0</v>
      </c>
      <c r="AG75" s="220">
        <f>AH74</f>
        <v>698.1</v>
      </c>
      <c r="AH75" s="220">
        <v>706.8</v>
      </c>
      <c r="AI75" s="220">
        <f t="shared" si="54"/>
        <v>8.7</v>
      </c>
      <c r="AJ75" s="220">
        <f t="shared" si="55"/>
        <v>-1.3</v>
      </c>
      <c r="AL75" s="219">
        <v>45230.0</v>
      </c>
      <c r="AM75" s="220" t="str">
        <f t="shared" si="63"/>
        <v/>
      </c>
      <c r="AN75" s="220"/>
      <c r="AO75" s="220">
        <f t="shared" si="56"/>
        <v>0</v>
      </c>
      <c r="AP75" s="220">
        <f t="shared" si="57"/>
        <v>-10</v>
      </c>
      <c r="AR75" s="219">
        <v>45230.0</v>
      </c>
      <c r="AS75" s="220" t="str">
        <f t="shared" si="64"/>
        <v/>
      </c>
      <c r="AT75" s="220"/>
      <c r="AU75" s="220">
        <f t="shared" si="58"/>
        <v>0</v>
      </c>
      <c r="AV75" s="220">
        <f t="shared" si="59"/>
        <v>-10</v>
      </c>
      <c r="AX75" s="219">
        <v>45230.0</v>
      </c>
      <c r="AY75" s="220" t="str">
        <f t="shared" si="65"/>
        <v/>
      </c>
      <c r="AZ75" s="220"/>
      <c r="BA75" s="220">
        <f t="shared" si="60"/>
        <v>0</v>
      </c>
      <c r="BB75" s="220">
        <f t="shared" si="61"/>
        <v>-10</v>
      </c>
    </row>
    <row r="76" ht="14.25" customHeight="1">
      <c r="A76" s="222"/>
      <c r="B76" s="216"/>
      <c r="C76" s="223" t="s">
        <v>221</v>
      </c>
      <c r="D76" s="223"/>
      <c r="E76" s="216">
        <f>SUM(E45:E75)</f>
        <v>186</v>
      </c>
      <c r="F76" s="216">
        <f t="shared" si="45"/>
        <v>176</v>
      </c>
      <c r="H76" s="216"/>
      <c r="I76" s="223" t="s">
        <v>221</v>
      </c>
      <c r="J76" s="223"/>
      <c r="K76" s="216">
        <f>SUM(K45:K75)</f>
        <v>195</v>
      </c>
      <c r="L76" s="216">
        <f t="shared" si="47"/>
        <v>185</v>
      </c>
      <c r="N76" s="216"/>
      <c r="O76" s="223" t="s">
        <v>221</v>
      </c>
      <c r="P76" s="223"/>
      <c r="Q76" s="216">
        <f>SUM(Q45:Q75)</f>
        <v>224.7</v>
      </c>
      <c r="R76" s="216">
        <f t="shared" si="49"/>
        <v>214.7</v>
      </c>
      <c r="T76" s="216"/>
      <c r="U76" s="223" t="s">
        <v>221</v>
      </c>
      <c r="V76" s="223"/>
      <c r="W76" s="216">
        <f>SUM(W45:W75)</f>
        <v>157</v>
      </c>
      <c r="X76" s="216">
        <f t="shared" si="51"/>
        <v>147</v>
      </c>
      <c r="Z76" s="216"/>
      <c r="AA76" s="223" t="s">
        <v>221</v>
      </c>
      <c r="AB76" s="223"/>
      <c r="AC76" s="216">
        <f>SUM(AC45:AC75)</f>
        <v>207.2</v>
      </c>
      <c r="AD76" s="216">
        <f t="shared" si="53"/>
        <v>197.2</v>
      </c>
      <c r="AF76" s="216"/>
      <c r="AG76" s="223" t="s">
        <v>221</v>
      </c>
      <c r="AH76" s="223"/>
      <c r="AI76" s="216">
        <f>SUM(AI45:AI75)</f>
        <v>91.2</v>
      </c>
      <c r="AJ76" s="216">
        <f t="shared" si="55"/>
        <v>81.2</v>
      </c>
      <c r="AL76" s="216"/>
      <c r="AM76" s="223" t="s">
        <v>221</v>
      </c>
      <c r="AN76" s="223"/>
      <c r="AO76" s="216">
        <f>SUM(AO45:AO75)</f>
        <v>0</v>
      </c>
      <c r="AP76" s="216">
        <f t="shared" si="57"/>
        <v>-10</v>
      </c>
      <c r="AR76" s="216"/>
      <c r="AS76" s="223" t="s">
        <v>221</v>
      </c>
      <c r="AT76" s="223"/>
      <c r="AU76" s="216">
        <f>SUM(AU45:AU75)</f>
        <v>0</v>
      </c>
      <c r="AV76" s="216">
        <f t="shared" si="59"/>
        <v>-10</v>
      </c>
      <c r="AX76" s="216"/>
      <c r="AY76" s="223" t="s">
        <v>221</v>
      </c>
      <c r="AZ76" s="223"/>
      <c r="BA76" s="216">
        <f>SUM(BA45:BA75)</f>
        <v>0</v>
      </c>
      <c r="BB76" s="216">
        <f t="shared" si="61"/>
        <v>-10</v>
      </c>
    </row>
    <row r="77" ht="14.25" customHeight="1">
      <c r="AC77" s="165">
        <v>211.6</v>
      </c>
    </row>
    <row r="78" ht="15.0" customHeight="1"/>
    <row r="79" ht="18.0" customHeight="1">
      <c r="A79" s="215" t="s">
        <v>224</v>
      </c>
      <c r="B79" s="206" t="s">
        <v>18</v>
      </c>
      <c r="C79" s="207"/>
      <c r="D79" s="207"/>
      <c r="E79" s="207"/>
      <c r="F79" s="208"/>
      <c r="G79" s="209"/>
      <c r="H79" s="206" t="s">
        <v>20</v>
      </c>
      <c r="I79" s="207"/>
      <c r="J79" s="207"/>
      <c r="K79" s="207"/>
      <c r="L79" s="208"/>
      <c r="M79" s="209"/>
      <c r="N79" s="206" t="s">
        <v>142</v>
      </c>
      <c r="O79" s="207"/>
      <c r="P79" s="207"/>
      <c r="Q79" s="207"/>
      <c r="R79" s="208"/>
      <c r="S79" s="209"/>
      <c r="T79" s="206" t="s">
        <v>95</v>
      </c>
      <c r="U79" s="207"/>
      <c r="V79" s="207"/>
      <c r="W79" s="207"/>
      <c r="X79" s="208"/>
      <c r="Y79" s="209"/>
      <c r="Z79" s="206" t="s">
        <v>32</v>
      </c>
      <c r="AA79" s="207"/>
      <c r="AB79" s="207"/>
      <c r="AC79" s="207"/>
      <c r="AD79" s="208"/>
      <c r="AE79" s="209"/>
      <c r="AF79" s="206" t="s">
        <v>27</v>
      </c>
      <c r="AG79" s="207"/>
      <c r="AH79" s="207"/>
      <c r="AI79" s="207"/>
      <c r="AJ79" s="208"/>
      <c r="AK79" s="209"/>
      <c r="AL79" s="206" t="s">
        <v>34</v>
      </c>
      <c r="AM79" s="207"/>
      <c r="AN79" s="207"/>
      <c r="AO79" s="207"/>
      <c r="AP79" s="208"/>
      <c r="AQ79" s="209"/>
      <c r="AR79" s="206"/>
      <c r="AS79" s="207"/>
      <c r="AT79" s="207"/>
      <c r="AU79" s="207"/>
      <c r="AV79" s="208"/>
      <c r="AW79" s="209"/>
      <c r="AX79" s="206"/>
      <c r="AY79" s="207"/>
      <c r="AZ79" s="207"/>
      <c r="BA79" s="207"/>
      <c r="BB79" s="208"/>
    </row>
    <row r="80" ht="14.25" customHeight="1">
      <c r="A80" s="218"/>
      <c r="B80" s="210"/>
      <c r="F80" s="211"/>
      <c r="G80" s="209"/>
      <c r="H80" s="210"/>
      <c r="L80" s="211"/>
      <c r="M80" s="209"/>
      <c r="N80" s="210"/>
      <c r="R80" s="211"/>
      <c r="S80" s="209"/>
      <c r="T80" s="210"/>
      <c r="X80" s="211"/>
      <c r="Y80" s="209"/>
      <c r="Z80" s="210"/>
      <c r="AD80" s="211"/>
      <c r="AE80" s="209"/>
      <c r="AF80" s="210"/>
      <c r="AJ80" s="211"/>
      <c r="AK80" s="209"/>
      <c r="AL80" s="210"/>
      <c r="AP80" s="211"/>
      <c r="AQ80" s="209"/>
      <c r="AR80" s="210"/>
      <c r="AV80" s="211"/>
      <c r="AW80" s="209"/>
      <c r="AX80" s="210"/>
      <c r="BB80" s="211"/>
    </row>
    <row r="81" ht="14.25" customHeight="1">
      <c r="A81" s="218"/>
      <c r="B81" s="212"/>
      <c r="C81" s="213"/>
      <c r="D81" s="213"/>
      <c r="E81" s="213"/>
      <c r="F81" s="214"/>
      <c r="G81" s="209"/>
      <c r="H81" s="212"/>
      <c r="I81" s="213"/>
      <c r="J81" s="213"/>
      <c r="K81" s="213"/>
      <c r="L81" s="214"/>
      <c r="M81" s="209"/>
      <c r="N81" s="212"/>
      <c r="O81" s="213"/>
      <c r="P81" s="213"/>
      <c r="Q81" s="213"/>
      <c r="R81" s="214"/>
      <c r="S81" s="209"/>
      <c r="T81" s="212"/>
      <c r="U81" s="213"/>
      <c r="V81" s="213"/>
      <c r="W81" s="213"/>
      <c r="X81" s="214"/>
      <c r="Y81" s="209"/>
      <c r="Z81" s="212"/>
      <c r="AA81" s="213"/>
      <c r="AB81" s="213"/>
      <c r="AC81" s="213"/>
      <c r="AD81" s="214"/>
      <c r="AE81" s="209"/>
      <c r="AF81" s="212"/>
      <c r="AG81" s="213"/>
      <c r="AH81" s="213"/>
      <c r="AI81" s="213"/>
      <c r="AJ81" s="214"/>
      <c r="AK81" s="209"/>
      <c r="AL81" s="212"/>
      <c r="AM81" s="213"/>
      <c r="AN81" s="213"/>
      <c r="AO81" s="213"/>
      <c r="AP81" s="214"/>
      <c r="AQ81" s="209"/>
      <c r="AR81" s="212"/>
      <c r="AS81" s="213"/>
      <c r="AT81" s="213"/>
      <c r="AU81" s="213"/>
      <c r="AV81" s="214"/>
      <c r="AW81" s="209"/>
      <c r="AX81" s="212"/>
      <c r="AY81" s="213"/>
      <c r="AZ81" s="213"/>
      <c r="BA81" s="213"/>
      <c r="BB81" s="214"/>
    </row>
    <row r="82" ht="14.25" customHeight="1">
      <c r="A82" s="218"/>
      <c r="B82" s="216" t="s">
        <v>214</v>
      </c>
      <c r="C82" s="216" t="s">
        <v>215</v>
      </c>
      <c r="D82" s="216" t="s">
        <v>216</v>
      </c>
      <c r="E82" s="216" t="s">
        <v>217</v>
      </c>
      <c r="F82" s="216" t="s">
        <v>218</v>
      </c>
      <c r="H82" s="217" t="s">
        <v>214</v>
      </c>
      <c r="I82" s="216" t="s">
        <v>215</v>
      </c>
      <c r="J82" s="216" t="s">
        <v>216</v>
      </c>
      <c r="K82" s="216" t="s">
        <v>217</v>
      </c>
      <c r="L82" s="216" t="s">
        <v>218</v>
      </c>
      <c r="N82" s="216" t="s">
        <v>214</v>
      </c>
      <c r="O82" s="216" t="s">
        <v>215</v>
      </c>
      <c r="P82" s="216" t="s">
        <v>216</v>
      </c>
      <c r="Q82" s="216" t="s">
        <v>217</v>
      </c>
      <c r="R82" s="216" t="s">
        <v>218</v>
      </c>
      <c r="T82" s="216" t="s">
        <v>214</v>
      </c>
      <c r="U82" s="216" t="s">
        <v>215</v>
      </c>
      <c r="V82" s="216" t="s">
        <v>216</v>
      </c>
      <c r="W82" s="216" t="s">
        <v>217</v>
      </c>
      <c r="X82" s="216" t="s">
        <v>218</v>
      </c>
      <c r="Z82" s="216" t="s">
        <v>214</v>
      </c>
      <c r="AA82" s="216" t="s">
        <v>215</v>
      </c>
      <c r="AB82" s="216" t="s">
        <v>216</v>
      </c>
      <c r="AC82" s="216" t="s">
        <v>217</v>
      </c>
      <c r="AD82" s="216" t="s">
        <v>218</v>
      </c>
      <c r="AF82" s="216" t="s">
        <v>214</v>
      </c>
      <c r="AG82" s="216" t="s">
        <v>215</v>
      </c>
      <c r="AH82" s="216" t="s">
        <v>216</v>
      </c>
      <c r="AI82" s="216" t="s">
        <v>217</v>
      </c>
      <c r="AJ82" s="216" t="s">
        <v>218</v>
      </c>
      <c r="AL82" s="216" t="s">
        <v>214</v>
      </c>
      <c r="AM82" s="216" t="s">
        <v>215</v>
      </c>
      <c r="AN82" s="216" t="s">
        <v>216</v>
      </c>
      <c r="AO82" s="216" t="s">
        <v>217</v>
      </c>
      <c r="AP82" s="216" t="s">
        <v>218</v>
      </c>
      <c r="AR82" s="216" t="s">
        <v>214</v>
      </c>
      <c r="AS82" s="216" t="s">
        <v>215</v>
      </c>
      <c r="AT82" s="216" t="s">
        <v>216</v>
      </c>
      <c r="AU82" s="216" t="s">
        <v>217</v>
      </c>
      <c r="AV82" s="216" t="s">
        <v>218</v>
      </c>
      <c r="AX82" s="216" t="s">
        <v>214</v>
      </c>
      <c r="AY82" s="216" t="s">
        <v>215</v>
      </c>
      <c r="AZ82" s="216" t="s">
        <v>216</v>
      </c>
      <c r="BA82" s="216" t="s">
        <v>217</v>
      </c>
      <c r="BB82" s="216" t="s">
        <v>218</v>
      </c>
    </row>
    <row r="83" ht="14.25" customHeight="1">
      <c r="A83" s="218"/>
      <c r="B83" s="219">
        <v>45231.0</v>
      </c>
      <c r="C83" s="220"/>
      <c r="D83" s="220"/>
      <c r="E83" s="220">
        <f t="shared" ref="E83:E113" si="86">D83-C83</f>
        <v>0</v>
      </c>
      <c r="F83" s="220">
        <f t="shared" ref="F83:F114" si="87">E83-10</f>
        <v>-10</v>
      </c>
      <c r="H83" s="219">
        <v>45231.0</v>
      </c>
      <c r="I83" s="220"/>
      <c r="J83" s="220"/>
      <c r="K83" s="220">
        <f t="shared" ref="K83:K113" si="88">J83-I83</f>
        <v>0</v>
      </c>
      <c r="L83" s="220">
        <f t="shared" ref="L83:L114" si="89">K83-10</f>
        <v>-10</v>
      </c>
      <c r="N83" s="219">
        <v>45231.0</v>
      </c>
      <c r="O83" s="220"/>
      <c r="P83" s="220"/>
      <c r="Q83" s="220">
        <f t="shared" ref="Q83:Q113" si="90">P83-O83</f>
        <v>0</v>
      </c>
      <c r="R83" s="220">
        <f t="shared" ref="R83:R114" si="91">Q83-10</f>
        <v>-10</v>
      </c>
      <c r="T83" s="219">
        <v>45231.0</v>
      </c>
      <c r="U83" s="220"/>
      <c r="V83" s="220"/>
      <c r="W83" s="220">
        <f t="shared" ref="W83:W113" si="92">V83-U83</f>
        <v>0</v>
      </c>
      <c r="X83" s="220">
        <f t="shared" ref="X83:X114" si="93">W83-10</f>
        <v>-10</v>
      </c>
      <c r="Z83" s="219">
        <v>45231.0</v>
      </c>
      <c r="AA83" s="220"/>
      <c r="AB83" s="220"/>
      <c r="AC83" s="220">
        <f t="shared" ref="AC83:AC113" si="94">AB83-AA83</f>
        <v>0</v>
      </c>
      <c r="AD83" s="220">
        <f t="shared" ref="AD83:AD114" si="95">AC83-10</f>
        <v>-10</v>
      </c>
      <c r="AF83" s="219">
        <v>45231.0</v>
      </c>
      <c r="AG83" s="220"/>
      <c r="AH83" s="220"/>
      <c r="AI83" s="220">
        <f t="shared" ref="AI83:AI113" si="96">AH83-AG83</f>
        <v>0</v>
      </c>
      <c r="AJ83" s="220">
        <f t="shared" ref="AJ83:AJ114" si="97">AI83-10</f>
        <v>-10</v>
      </c>
      <c r="AL83" s="219">
        <v>45231.0</v>
      </c>
      <c r="AM83" s="220"/>
      <c r="AN83" s="220"/>
      <c r="AO83" s="220">
        <f t="shared" ref="AO83:AO113" si="98">AN83-AM83</f>
        <v>0</v>
      </c>
      <c r="AP83" s="220">
        <f t="shared" ref="AP83:AP114" si="99">AO83-10</f>
        <v>-10</v>
      </c>
      <c r="AR83" s="219">
        <v>45231.0</v>
      </c>
      <c r="AS83" s="220"/>
      <c r="AT83" s="220"/>
      <c r="AU83" s="220">
        <f t="shared" ref="AU83:AU113" si="100">AT83-AS83</f>
        <v>0</v>
      </c>
      <c r="AV83" s="220">
        <f t="shared" ref="AV83:AV114" si="101">AU83-10</f>
        <v>-10</v>
      </c>
      <c r="AX83" s="219">
        <v>45231.0</v>
      </c>
      <c r="AY83" s="220"/>
      <c r="AZ83" s="220"/>
      <c r="BA83" s="220">
        <f t="shared" ref="BA83:BA113" si="102">AZ83-AY83</f>
        <v>0</v>
      </c>
      <c r="BB83" s="220">
        <f t="shared" ref="BB83:BB114" si="103">BA83-10</f>
        <v>-10</v>
      </c>
    </row>
    <row r="84" ht="14.25" customHeight="1">
      <c r="A84" s="218"/>
      <c r="B84" s="219">
        <v>45232.0</v>
      </c>
      <c r="C84" s="220" t="str">
        <f t="shared" ref="C84:C113" si="104">D83</f>
        <v/>
      </c>
      <c r="D84" s="220"/>
      <c r="E84" s="220">
        <f t="shared" si="86"/>
        <v>0</v>
      </c>
      <c r="F84" s="220">
        <f t="shared" si="87"/>
        <v>-10</v>
      </c>
      <c r="H84" s="219">
        <v>45232.0</v>
      </c>
      <c r="I84" s="220" t="str">
        <f t="shared" ref="I84:I113" si="105">J83</f>
        <v/>
      </c>
      <c r="J84" s="220"/>
      <c r="K84" s="220">
        <f t="shared" si="88"/>
        <v>0</v>
      </c>
      <c r="L84" s="220">
        <f t="shared" si="89"/>
        <v>-10</v>
      </c>
      <c r="N84" s="219">
        <v>45232.0</v>
      </c>
      <c r="O84" s="220" t="str">
        <f t="shared" ref="O84:O113" si="106">P83</f>
        <v/>
      </c>
      <c r="P84" s="220"/>
      <c r="Q84" s="220">
        <f t="shared" si="90"/>
        <v>0</v>
      </c>
      <c r="R84" s="220">
        <f t="shared" si="91"/>
        <v>-10</v>
      </c>
      <c r="T84" s="219">
        <v>45232.0</v>
      </c>
      <c r="U84" s="220" t="str">
        <f t="shared" ref="U84:U113" si="107">V83</f>
        <v/>
      </c>
      <c r="V84" s="220"/>
      <c r="W84" s="220">
        <f t="shared" si="92"/>
        <v>0</v>
      </c>
      <c r="X84" s="220">
        <f t="shared" si="93"/>
        <v>-10</v>
      </c>
      <c r="Z84" s="219">
        <v>45232.0</v>
      </c>
      <c r="AA84" s="220" t="str">
        <f t="shared" ref="AA84:AA113" si="108">AB83</f>
        <v/>
      </c>
      <c r="AB84" s="220"/>
      <c r="AC84" s="220">
        <f t="shared" si="94"/>
        <v>0</v>
      </c>
      <c r="AD84" s="220">
        <f t="shared" si="95"/>
        <v>-10</v>
      </c>
      <c r="AF84" s="219">
        <v>45232.0</v>
      </c>
      <c r="AG84" s="220" t="str">
        <f t="shared" ref="AG84:AG113" si="109">AH83</f>
        <v/>
      </c>
      <c r="AH84" s="220"/>
      <c r="AI84" s="220">
        <f t="shared" si="96"/>
        <v>0</v>
      </c>
      <c r="AJ84" s="220">
        <f t="shared" si="97"/>
        <v>-10</v>
      </c>
      <c r="AL84" s="219">
        <v>45232.0</v>
      </c>
      <c r="AM84" s="220" t="str">
        <f t="shared" ref="AM84:AM113" si="110">AN83</f>
        <v/>
      </c>
      <c r="AN84" s="220"/>
      <c r="AO84" s="220">
        <f t="shared" si="98"/>
        <v>0</v>
      </c>
      <c r="AP84" s="220">
        <f t="shared" si="99"/>
        <v>-10</v>
      </c>
      <c r="AR84" s="219">
        <v>45232.0</v>
      </c>
      <c r="AS84" s="220" t="str">
        <f t="shared" ref="AS84:AS113" si="111">AT83</f>
        <v/>
      </c>
      <c r="AT84" s="220"/>
      <c r="AU84" s="220">
        <f t="shared" si="100"/>
        <v>0</v>
      </c>
      <c r="AV84" s="220">
        <f t="shared" si="101"/>
        <v>-10</v>
      </c>
      <c r="AX84" s="219">
        <v>45232.0</v>
      </c>
      <c r="AY84" s="220" t="str">
        <f t="shared" ref="AY84:AY113" si="112">AZ83</f>
        <v/>
      </c>
      <c r="AZ84" s="220"/>
      <c r="BA84" s="220">
        <f t="shared" si="102"/>
        <v>0</v>
      </c>
      <c r="BB84" s="220">
        <f t="shared" si="103"/>
        <v>-10</v>
      </c>
    </row>
    <row r="85" ht="14.25" customHeight="1">
      <c r="A85" s="218"/>
      <c r="B85" s="219">
        <v>45233.0</v>
      </c>
      <c r="C85" s="220" t="str">
        <f t="shared" si="104"/>
        <v/>
      </c>
      <c r="D85" s="220"/>
      <c r="E85" s="220">
        <f t="shared" si="86"/>
        <v>0</v>
      </c>
      <c r="F85" s="220">
        <f t="shared" si="87"/>
        <v>-10</v>
      </c>
      <c r="G85" s="221"/>
      <c r="H85" s="219">
        <v>45233.0</v>
      </c>
      <c r="I85" s="220" t="str">
        <f t="shared" si="105"/>
        <v/>
      </c>
      <c r="J85" s="220"/>
      <c r="K85" s="220">
        <f t="shared" si="88"/>
        <v>0</v>
      </c>
      <c r="L85" s="220">
        <f t="shared" si="89"/>
        <v>-10</v>
      </c>
      <c r="M85" s="221"/>
      <c r="N85" s="219">
        <v>45233.0</v>
      </c>
      <c r="O85" s="220" t="str">
        <f t="shared" si="106"/>
        <v/>
      </c>
      <c r="P85" s="220"/>
      <c r="Q85" s="220">
        <f t="shared" si="90"/>
        <v>0</v>
      </c>
      <c r="R85" s="220">
        <f t="shared" si="91"/>
        <v>-10</v>
      </c>
      <c r="S85" s="221"/>
      <c r="T85" s="219">
        <v>45233.0</v>
      </c>
      <c r="U85" s="220" t="str">
        <f t="shared" si="107"/>
        <v/>
      </c>
      <c r="V85" s="220"/>
      <c r="W85" s="220">
        <f t="shared" si="92"/>
        <v>0</v>
      </c>
      <c r="X85" s="220">
        <f t="shared" si="93"/>
        <v>-10</v>
      </c>
      <c r="Y85" s="221"/>
      <c r="Z85" s="219">
        <v>45233.0</v>
      </c>
      <c r="AA85" s="220" t="str">
        <f t="shared" si="108"/>
        <v/>
      </c>
      <c r="AB85" s="220"/>
      <c r="AC85" s="220">
        <f t="shared" si="94"/>
        <v>0</v>
      </c>
      <c r="AD85" s="220">
        <f t="shared" si="95"/>
        <v>-10</v>
      </c>
      <c r="AE85" s="221"/>
      <c r="AF85" s="219">
        <v>45233.0</v>
      </c>
      <c r="AG85" s="220" t="str">
        <f t="shared" si="109"/>
        <v/>
      </c>
      <c r="AH85" s="220"/>
      <c r="AI85" s="220">
        <f t="shared" si="96"/>
        <v>0</v>
      </c>
      <c r="AJ85" s="220">
        <f t="shared" si="97"/>
        <v>-10</v>
      </c>
      <c r="AK85" s="221"/>
      <c r="AL85" s="219">
        <v>45233.0</v>
      </c>
      <c r="AM85" s="220" t="str">
        <f t="shared" si="110"/>
        <v/>
      </c>
      <c r="AN85" s="220"/>
      <c r="AO85" s="220">
        <f t="shared" si="98"/>
        <v>0</v>
      </c>
      <c r="AP85" s="220">
        <f t="shared" si="99"/>
        <v>-10</v>
      </c>
      <c r="AQ85" s="221"/>
      <c r="AR85" s="219">
        <v>45233.0</v>
      </c>
      <c r="AS85" s="220" t="str">
        <f t="shared" si="111"/>
        <v/>
      </c>
      <c r="AT85" s="220"/>
      <c r="AU85" s="220">
        <f t="shared" si="100"/>
        <v>0</v>
      </c>
      <c r="AV85" s="220">
        <f t="shared" si="101"/>
        <v>-10</v>
      </c>
      <c r="AW85" s="221"/>
      <c r="AX85" s="219">
        <v>45233.0</v>
      </c>
      <c r="AY85" s="220" t="str">
        <f t="shared" si="112"/>
        <v/>
      </c>
      <c r="AZ85" s="220"/>
      <c r="BA85" s="220">
        <f t="shared" si="102"/>
        <v>0</v>
      </c>
      <c r="BB85" s="220">
        <f t="shared" si="103"/>
        <v>-10</v>
      </c>
    </row>
    <row r="86" ht="14.25" customHeight="1">
      <c r="A86" s="218"/>
      <c r="B86" s="224">
        <v>45234.0</v>
      </c>
      <c r="C86" s="225" t="str">
        <f t="shared" si="104"/>
        <v/>
      </c>
      <c r="D86" s="225"/>
      <c r="E86" s="225">
        <f t="shared" si="86"/>
        <v>0</v>
      </c>
      <c r="F86" s="225">
        <f t="shared" si="87"/>
        <v>-10</v>
      </c>
      <c r="G86" s="226"/>
      <c r="H86" s="224">
        <v>45234.0</v>
      </c>
      <c r="I86" s="225" t="str">
        <f t="shared" si="105"/>
        <v/>
      </c>
      <c r="J86" s="225"/>
      <c r="K86" s="225">
        <f t="shared" si="88"/>
        <v>0</v>
      </c>
      <c r="L86" s="225">
        <f t="shared" si="89"/>
        <v>-10</v>
      </c>
      <c r="M86" s="226"/>
      <c r="N86" s="224">
        <v>45234.0</v>
      </c>
      <c r="O86" s="225" t="str">
        <f t="shared" si="106"/>
        <v/>
      </c>
      <c r="P86" s="225"/>
      <c r="Q86" s="225">
        <f t="shared" si="90"/>
        <v>0</v>
      </c>
      <c r="R86" s="225">
        <f t="shared" si="91"/>
        <v>-10</v>
      </c>
      <c r="S86" s="226"/>
      <c r="T86" s="224">
        <v>45234.0</v>
      </c>
      <c r="U86" s="225" t="str">
        <f t="shared" si="107"/>
        <v/>
      </c>
      <c r="V86" s="225"/>
      <c r="W86" s="225">
        <f t="shared" si="92"/>
        <v>0</v>
      </c>
      <c r="X86" s="225">
        <f t="shared" si="93"/>
        <v>-10</v>
      </c>
      <c r="Y86" s="226"/>
      <c r="Z86" s="224">
        <v>45234.0</v>
      </c>
      <c r="AA86" s="225" t="str">
        <f t="shared" si="108"/>
        <v/>
      </c>
      <c r="AB86" s="225"/>
      <c r="AC86" s="225">
        <f t="shared" si="94"/>
        <v>0</v>
      </c>
      <c r="AD86" s="225">
        <f t="shared" si="95"/>
        <v>-10</v>
      </c>
      <c r="AE86" s="226"/>
      <c r="AF86" s="224">
        <v>45234.0</v>
      </c>
      <c r="AG86" s="225" t="str">
        <f t="shared" si="109"/>
        <v/>
      </c>
      <c r="AH86" s="225"/>
      <c r="AI86" s="225">
        <f t="shared" si="96"/>
        <v>0</v>
      </c>
      <c r="AJ86" s="225">
        <f t="shared" si="97"/>
        <v>-10</v>
      </c>
      <c r="AK86" s="226"/>
      <c r="AL86" s="224">
        <v>45234.0</v>
      </c>
      <c r="AM86" s="225" t="str">
        <f t="shared" si="110"/>
        <v/>
      </c>
      <c r="AN86" s="225"/>
      <c r="AO86" s="225">
        <f t="shared" si="98"/>
        <v>0</v>
      </c>
      <c r="AP86" s="225">
        <f t="shared" si="99"/>
        <v>-10</v>
      </c>
      <c r="AQ86" s="226"/>
      <c r="AR86" s="224">
        <v>45234.0</v>
      </c>
      <c r="AS86" s="225" t="str">
        <f t="shared" si="111"/>
        <v/>
      </c>
      <c r="AT86" s="225"/>
      <c r="AU86" s="225">
        <f t="shared" si="100"/>
        <v>0</v>
      </c>
      <c r="AV86" s="225">
        <f t="shared" si="101"/>
        <v>-10</v>
      </c>
      <c r="AW86" s="226"/>
      <c r="AX86" s="224">
        <v>45234.0</v>
      </c>
      <c r="AY86" s="225" t="str">
        <f t="shared" si="112"/>
        <v/>
      </c>
      <c r="AZ86" s="225"/>
      <c r="BA86" s="225">
        <f t="shared" si="102"/>
        <v>0</v>
      </c>
      <c r="BB86" s="225">
        <f t="shared" si="103"/>
        <v>-10</v>
      </c>
    </row>
    <row r="87" ht="14.25" customHeight="1">
      <c r="A87" s="218"/>
      <c r="B87" s="224">
        <v>45235.0</v>
      </c>
      <c r="C87" s="225" t="str">
        <f t="shared" si="104"/>
        <v/>
      </c>
      <c r="D87" s="225"/>
      <c r="E87" s="225">
        <f t="shared" si="86"/>
        <v>0</v>
      </c>
      <c r="F87" s="225">
        <f t="shared" si="87"/>
        <v>-10</v>
      </c>
      <c r="G87" s="226"/>
      <c r="H87" s="224">
        <v>45235.0</v>
      </c>
      <c r="I87" s="225" t="str">
        <f t="shared" si="105"/>
        <v/>
      </c>
      <c r="J87" s="225"/>
      <c r="K87" s="225">
        <f t="shared" si="88"/>
        <v>0</v>
      </c>
      <c r="L87" s="225">
        <f t="shared" si="89"/>
        <v>-10</v>
      </c>
      <c r="M87" s="226"/>
      <c r="N87" s="224">
        <v>45235.0</v>
      </c>
      <c r="O87" s="225" t="str">
        <f t="shared" si="106"/>
        <v/>
      </c>
      <c r="P87" s="225"/>
      <c r="Q87" s="225">
        <f t="shared" si="90"/>
        <v>0</v>
      </c>
      <c r="R87" s="225">
        <f t="shared" si="91"/>
        <v>-10</v>
      </c>
      <c r="S87" s="226"/>
      <c r="T87" s="224">
        <v>45235.0</v>
      </c>
      <c r="U87" s="225" t="str">
        <f t="shared" si="107"/>
        <v/>
      </c>
      <c r="V87" s="225"/>
      <c r="W87" s="225">
        <f t="shared" si="92"/>
        <v>0</v>
      </c>
      <c r="X87" s="225">
        <f t="shared" si="93"/>
        <v>-10</v>
      </c>
      <c r="Y87" s="226"/>
      <c r="Z87" s="224">
        <v>45235.0</v>
      </c>
      <c r="AA87" s="225" t="str">
        <f t="shared" si="108"/>
        <v/>
      </c>
      <c r="AB87" s="225"/>
      <c r="AC87" s="225">
        <f t="shared" si="94"/>
        <v>0</v>
      </c>
      <c r="AD87" s="225">
        <f t="shared" si="95"/>
        <v>-10</v>
      </c>
      <c r="AE87" s="226"/>
      <c r="AF87" s="224">
        <v>45235.0</v>
      </c>
      <c r="AG87" s="225" t="str">
        <f t="shared" si="109"/>
        <v/>
      </c>
      <c r="AH87" s="225"/>
      <c r="AI87" s="225">
        <f t="shared" si="96"/>
        <v>0</v>
      </c>
      <c r="AJ87" s="225">
        <f t="shared" si="97"/>
        <v>-10</v>
      </c>
      <c r="AK87" s="226"/>
      <c r="AL87" s="224">
        <v>45235.0</v>
      </c>
      <c r="AM87" s="225" t="str">
        <f t="shared" si="110"/>
        <v/>
      </c>
      <c r="AN87" s="225"/>
      <c r="AO87" s="225">
        <f t="shared" si="98"/>
        <v>0</v>
      </c>
      <c r="AP87" s="225">
        <f t="shared" si="99"/>
        <v>-10</v>
      </c>
      <c r="AQ87" s="226"/>
      <c r="AR87" s="224">
        <v>45235.0</v>
      </c>
      <c r="AS87" s="225" t="str">
        <f t="shared" si="111"/>
        <v/>
      </c>
      <c r="AT87" s="225"/>
      <c r="AU87" s="225">
        <f t="shared" si="100"/>
        <v>0</v>
      </c>
      <c r="AV87" s="225">
        <f t="shared" si="101"/>
        <v>-10</v>
      </c>
      <c r="AW87" s="226"/>
      <c r="AX87" s="224">
        <v>45235.0</v>
      </c>
      <c r="AY87" s="225" t="str">
        <f t="shared" si="112"/>
        <v/>
      </c>
      <c r="AZ87" s="225"/>
      <c r="BA87" s="225">
        <f t="shared" si="102"/>
        <v>0</v>
      </c>
      <c r="BB87" s="225">
        <f t="shared" si="103"/>
        <v>-10</v>
      </c>
    </row>
    <row r="88" ht="14.25" customHeight="1">
      <c r="A88" s="218"/>
      <c r="B88" s="219">
        <v>45236.0</v>
      </c>
      <c r="C88" s="220" t="str">
        <f t="shared" si="104"/>
        <v/>
      </c>
      <c r="D88" s="220"/>
      <c r="E88" s="220">
        <f t="shared" si="86"/>
        <v>0</v>
      </c>
      <c r="F88" s="220">
        <f t="shared" si="87"/>
        <v>-10</v>
      </c>
      <c r="H88" s="219">
        <v>45236.0</v>
      </c>
      <c r="I88" s="220" t="str">
        <f t="shared" si="105"/>
        <v/>
      </c>
      <c r="J88" s="220"/>
      <c r="K88" s="220">
        <f t="shared" si="88"/>
        <v>0</v>
      </c>
      <c r="L88" s="220">
        <f t="shared" si="89"/>
        <v>-10</v>
      </c>
      <c r="N88" s="219">
        <v>45236.0</v>
      </c>
      <c r="O88" s="220" t="str">
        <f t="shared" si="106"/>
        <v/>
      </c>
      <c r="P88" s="220"/>
      <c r="Q88" s="220">
        <f t="shared" si="90"/>
        <v>0</v>
      </c>
      <c r="R88" s="220">
        <f t="shared" si="91"/>
        <v>-10</v>
      </c>
      <c r="T88" s="219">
        <v>45236.0</v>
      </c>
      <c r="U88" s="220" t="str">
        <f t="shared" si="107"/>
        <v/>
      </c>
      <c r="V88" s="220"/>
      <c r="W88" s="220">
        <f t="shared" si="92"/>
        <v>0</v>
      </c>
      <c r="X88" s="220">
        <f t="shared" si="93"/>
        <v>-10</v>
      </c>
      <c r="Z88" s="219">
        <v>45236.0</v>
      </c>
      <c r="AA88" s="220" t="str">
        <f t="shared" si="108"/>
        <v/>
      </c>
      <c r="AB88" s="220"/>
      <c r="AC88" s="220">
        <f t="shared" si="94"/>
        <v>0</v>
      </c>
      <c r="AD88" s="220">
        <f t="shared" si="95"/>
        <v>-10</v>
      </c>
      <c r="AF88" s="219">
        <v>45236.0</v>
      </c>
      <c r="AG88" s="220" t="str">
        <f t="shared" si="109"/>
        <v/>
      </c>
      <c r="AH88" s="220"/>
      <c r="AI88" s="220">
        <f t="shared" si="96"/>
        <v>0</v>
      </c>
      <c r="AJ88" s="220">
        <f t="shared" si="97"/>
        <v>-10</v>
      </c>
      <c r="AL88" s="219">
        <v>45236.0</v>
      </c>
      <c r="AM88" s="220" t="str">
        <f t="shared" si="110"/>
        <v/>
      </c>
      <c r="AN88" s="220"/>
      <c r="AO88" s="220">
        <f t="shared" si="98"/>
        <v>0</v>
      </c>
      <c r="AP88" s="220">
        <f t="shared" si="99"/>
        <v>-10</v>
      </c>
      <c r="AR88" s="219">
        <v>45236.0</v>
      </c>
      <c r="AS88" s="220" t="str">
        <f t="shared" si="111"/>
        <v/>
      </c>
      <c r="AT88" s="220"/>
      <c r="AU88" s="220">
        <f t="shared" si="100"/>
        <v>0</v>
      </c>
      <c r="AV88" s="220">
        <f t="shared" si="101"/>
        <v>-10</v>
      </c>
      <c r="AX88" s="219">
        <v>45236.0</v>
      </c>
      <c r="AY88" s="220" t="str">
        <f t="shared" si="112"/>
        <v/>
      </c>
      <c r="AZ88" s="220"/>
      <c r="BA88" s="220">
        <f t="shared" si="102"/>
        <v>0</v>
      </c>
      <c r="BB88" s="220">
        <f t="shared" si="103"/>
        <v>-10</v>
      </c>
    </row>
    <row r="89" ht="14.25" customHeight="1">
      <c r="A89" s="218"/>
      <c r="B89" s="219">
        <v>45237.0</v>
      </c>
      <c r="C89" s="220" t="str">
        <f t="shared" si="104"/>
        <v/>
      </c>
      <c r="D89" s="220"/>
      <c r="E89" s="220">
        <f t="shared" si="86"/>
        <v>0</v>
      </c>
      <c r="F89" s="220">
        <f t="shared" si="87"/>
        <v>-10</v>
      </c>
      <c r="H89" s="219">
        <v>45237.0</v>
      </c>
      <c r="I89" s="220" t="str">
        <f t="shared" si="105"/>
        <v/>
      </c>
      <c r="J89" s="220"/>
      <c r="K89" s="220">
        <f t="shared" si="88"/>
        <v>0</v>
      </c>
      <c r="L89" s="220">
        <f t="shared" si="89"/>
        <v>-10</v>
      </c>
      <c r="N89" s="219">
        <v>45237.0</v>
      </c>
      <c r="O89" s="220" t="str">
        <f t="shared" si="106"/>
        <v/>
      </c>
      <c r="P89" s="220"/>
      <c r="Q89" s="220">
        <f t="shared" si="90"/>
        <v>0</v>
      </c>
      <c r="R89" s="220">
        <f t="shared" si="91"/>
        <v>-10</v>
      </c>
      <c r="T89" s="219">
        <v>45237.0</v>
      </c>
      <c r="U89" s="220" t="str">
        <f t="shared" si="107"/>
        <v/>
      </c>
      <c r="V89" s="220"/>
      <c r="W89" s="220">
        <f t="shared" si="92"/>
        <v>0</v>
      </c>
      <c r="X89" s="220">
        <f t="shared" si="93"/>
        <v>-10</v>
      </c>
      <c r="Z89" s="219">
        <v>45237.0</v>
      </c>
      <c r="AA89" s="220" t="str">
        <f t="shared" si="108"/>
        <v/>
      </c>
      <c r="AB89" s="220"/>
      <c r="AC89" s="220">
        <f t="shared" si="94"/>
        <v>0</v>
      </c>
      <c r="AD89" s="220">
        <f t="shared" si="95"/>
        <v>-10</v>
      </c>
      <c r="AF89" s="219">
        <v>45237.0</v>
      </c>
      <c r="AG89" s="220" t="str">
        <f t="shared" si="109"/>
        <v/>
      </c>
      <c r="AH89" s="220"/>
      <c r="AI89" s="220">
        <f t="shared" si="96"/>
        <v>0</v>
      </c>
      <c r="AJ89" s="220">
        <f t="shared" si="97"/>
        <v>-10</v>
      </c>
      <c r="AL89" s="219">
        <v>45237.0</v>
      </c>
      <c r="AM89" s="220" t="str">
        <f t="shared" si="110"/>
        <v/>
      </c>
      <c r="AN89" s="220"/>
      <c r="AO89" s="220">
        <f t="shared" si="98"/>
        <v>0</v>
      </c>
      <c r="AP89" s="220">
        <f t="shared" si="99"/>
        <v>-10</v>
      </c>
      <c r="AR89" s="219">
        <v>45237.0</v>
      </c>
      <c r="AS89" s="220" t="str">
        <f t="shared" si="111"/>
        <v/>
      </c>
      <c r="AT89" s="220"/>
      <c r="AU89" s="220">
        <f t="shared" si="100"/>
        <v>0</v>
      </c>
      <c r="AV89" s="220">
        <f t="shared" si="101"/>
        <v>-10</v>
      </c>
      <c r="AX89" s="219">
        <v>45237.0</v>
      </c>
      <c r="AY89" s="220" t="str">
        <f t="shared" si="112"/>
        <v/>
      </c>
      <c r="AZ89" s="220"/>
      <c r="BA89" s="220">
        <f t="shared" si="102"/>
        <v>0</v>
      </c>
      <c r="BB89" s="220">
        <f t="shared" si="103"/>
        <v>-10</v>
      </c>
    </row>
    <row r="90" ht="14.25" customHeight="1">
      <c r="A90" s="218"/>
      <c r="B90" s="219">
        <v>45238.0</v>
      </c>
      <c r="C90" s="220" t="str">
        <f t="shared" si="104"/>
        <v/>
      </c>
      <c r="D90" s="220"/>
      <c r="E90" s="220">
        <f t="shared" si="86"/>
        <v>0</v>
      </c>
      <c r="F90" s="220">
        <f t="shared" si="87"/>
        <v>-10</v>
      </c>
      <c r="H90" s="219">
        <v>45238.0</v>
      </c>
      <c r="I90" s="220" t="str">
        <f t="shared" si="105"/>
        <v/>
      </c>
      <c r="J90" s="220"/>
      <c r="K90" s="220">
        <f t="shared" si="88"/>
        <v>0</v>
      </c>
      <c r="L90" s="220">
        <f t="shared" si="89"/>
        <v>-10</v>
      </c>
      <c r="N90" s="219">
        <v>45238.0</v>
      </c>
      <c r="O90" s="220" t="str">
        <f t="shared" si="106"/>
        <v/>
      </c>
      <c r="P90" s="220"/>
      <c r="Q90" s="220">
        <f t="shared" si="90"/>
        <v>0</v>
      </c>
      <c r="R90" s="220">
        <f t="shared" si="91"/>
        <v>-10</v>
      </c>
      <c r="T90" s="219">
        <v>45238.0</v>
      </c>
      <c r="U90" s="220" t="str">
        <f t="shared" si="107"/>
        <v/>
      </c>
      <c r="V90" s="220"/>
      <c r="W90" s="220">
        <f t="shared" si="92"/>
        <v>0</v>
      </c>
      <c r="X90" s="220">
        <f t="shared" si="93"/>
        <v>-10</v>
      </c>
      <c r="Z90" s="219">
        <v>45238.0</v>
      </c>
      <c r="AA90" s="220" t="str">
        <f t="shared" si="108"/>
        <v/>
      </c>
      <c r="AB90" s="220"/>
      <c r="AC90" s="220">
        <f t="shared" si="94"/>
        <v>0</v>
      </c>
      <c r="AD90" s="220">
        <f t="shared" si="95"/>
        <v>-10</v>
      </c>
      <c r="AF90" s="219">
        <v>45238.0</v>
      </c>
      <c r="AG90" s="220" t="str">
        <f t="shared" si="109"/>
        <v/>
      </c>
      <c r="AH90" s="220"/>
      <c r="AI90" s="220">
        <f t="shared" si="96"/>
        <v>0</v>
      </c>
      <c r="AJ90" s="220">
        <f t="shared" si="97"/>
        <v>-10</v>
      </c>
      <c r="AL90" s="219">
        <v>45238.0</v>
      </c>
      <c r="AM90" s="220" t="str">
        <f t="shared" si="110"/>
        <v/>
      </c>
      <c r="AN90" s="220"/>
      <c r="AO90" s="220">
        <f t="shared" si="98"/>
        <v>0</v>
      </c>
      <c r="AP90" s="220">
        <f t="shared" si="99"/>
        <v>-10</v>
      </c>
      <c r="AR90" s="219">
        <v>45238.0</v>
      </c>
      <c r="AS90" s="220" t="str">
        <f t="shared" si="111"/>
        <v/>
      </c>
      <c r="AT90" s="220"/>
      <c r="AU90" s="220">
        <f t="shared" si="100"/>
        <v>0</v>
      </c>
      <c r="AV90" s="220">
        <f t="shared" si="101"/>
        <v>-10</v>
      </c>
      <c r="AX90" s="219">
        <v>45238.0</v>
      </c>
      <c r="AY90" s="220" t="str">
        <f t="shared" si="112"/>
        <v/>
      </c>
      <c r="AZ90" s="220"/>
      <c r="BA90" s="220">
        <f t="shared" si="102"/>
        <v>0</v>
      </c>
      <c r="BB90" s="220">
        <f t="shared" si="103"/>
        <v>-10</v>
      </c>
    </row>
    <row r="91" ht="14.25" customHeight="1">
      <c r="A91" s="218"/>
      <c r="B91" s="219">
        <v>45239.0</v>
      </c>
      <c r="C91" s="220" t="str">
        <f t="shared" si="104"/>
        <v/>
      </c>
      <c r="D91" s="220"/>
      <c r="E91" s="220">
        <f t="shared" si="86"/>
        <v>0</v>
      </c>
      <c r="F91" s="220">
        <f t="shared" si="87"/>
        <v>-10</v>
      </c>
      <c r="H91" s="219">
        <v>45239.0</v>
      </c>
      <c r="I91" s="220" t="str">
        <f t="shared" si="105"/>
        <v/>
      </c>
      <c r="J91" s="220"/>
      <c r="K91" s="220">
        <f t="shared" si="88"/>
        <v>0</v>
      </c>
      <c r="L91" s="220">
        <f t="shared" si="89"/>
        <v>-10</v>
      </c>
      <c r="N91" s="219">
        <v>45239.0</v>
      </c>
      <c r="O91" s="220" t="str">
        <f t="shared" si="106"/>
        <v/>
      </c>
      <c r="P91" s="220"/>
      <c r="Q91" s="220">
        <f t="shared" si="90"/>
        <v>0</v>
      </c>
      <c r="R91" s="220">
        <f t="shared" si="91"/>
        <v>-10</v>
      </c>
      <c r="T91" s="219">
        <v>45239.0</v>
      </c>
      <c r="U91" s="220" t="str">
        <f t="shared" si="107"/>
        <v/>
      </c>
      <c r="V91" s="220"/>
      <c r="W91" s="220">
        <f t="shared" si="92"/>
        <v>0</v>
      </c>
      <c r="X91" s="220">
        <f t="shared" si="93"/>
        <v>-10</v>
      </c>
      <c r="Z91" s="219">
        <v>45239.0</v>
      </c>
      <c r="AA91" s="220" t="str">
        <f t="shared" si="108"/>
        <v/>
      </c>
      <c r="AB91" s="220"/>
      <c r="AC91" s="220">
        <f t="shared" si="94"/>
        <v>0</v>
      </c>
      <c r="AD91" s="220">
        <f t="shared" si="95"/>
        <v>-10</v>
      </c>
      <c r="AF91" s="219">
        <v>45239.0</v>
      </c>
      <c r="AG91" s="220" t="str">
        <f t="shared" si="109"/>
        <v/>
      </c>
      <c r="AH91" s="220"/>
      <c r="AI91" s="220">
        <f t="shared" si="96"/>
        <v>0</v>
      </c>
      <c r="AJ91" s="220">
        <f t="shared" si="97"/>
        <v>-10</v>
      </c>
      <c r="AL91" s="219">
        <v>45239.0</v>
      </c>
      <c r="AM91" s="220" t="str">
        <f t="shared" si="110"/>
        <v/>
      </c>
      <c r="AN91" s="220"/>
      <c r="AO91" s="220">
        <f t="shared" si="98"/>
        <v>0</v>
      </c>
      <c r="AP91" s="220">
        <f t="shared" si="99"/>
        <v>-10</v>
      </c>
      <c r="AR91" s="219">
        <v>45239.0</v>
      </c>
      <c r="AS91" s="220" t="str">
        <f t="shared" si="111"/>
        <v/>
      </c>
      <c r="AT91" s="220"/>
      <c r="AU91" s="220">
        <f t="shared" si="100"/>
        <v>0</v>
      </c>
      <c r="AV91" s="220">
        <f t="shared" si="101"/>
        <v>-10</v>
      </c>
      <c r="AX91" s="219">
        <v>45239.0</v>
      </c>
      <c r="AY91" s="220" t="str">
        <f t="shared" si="112"/>
        <v/>
      </c>
      <c r="AZ91" s="220"/>
      <c r="BA91" s="220">
        <f t="shared" si="102"/>
        <v>0</v>
      </c>
      <c r="BB91" s="220">
        <f t="shared" si="103"/>
        <v>-10</v>
      </c>
    </row>
    <row r="92" ht="14.25" customHeight="1">
      <c r="A92" s="218"/>
      <c r="B92" s="219">
        <v>45240.0</v>
      </c>
      <c r="C92" s="220" t="str">
        <f t="shared" si="104"/>
        <v/>
      </c>
      <c r="D92" s="220"/>
      <c r="E92" s="220">
        <f t="shared" si="86"/>
        <v>0</v>
      </c>
      <c r="F92" s="220">
        <f t="shared" si="87"/>
        <v>-10</v>
      </c>
      <c r="G92" s="221"/>
      <c r="H92" s="219">
        <v>45240.0</v>
      </c>
      <c r="I92" s="220" t="str">
        <f t="shared" si="105"/>
        <v/>
      </c>
      <c r="J92" s="220"/>
      <c r="K92" s="220">
        <f t="shared" si="88"/>
        <v>0</v>
      </c>
      <c r="L92" s="220">
        <f t="shared" si="89"/>
        <v>-10</v>
      </c>
      <c r="M92" s="221"/>
      <c r="N92" s="219">
        <v>45240.0</v>
      </c>
      <c r="O92" s="220" t="str">
        <f t="shared" si="106"/>
        <v/>
      </c>
      <c r="P92" s="220"/>
      <c r="Q92" s="220">
        <f t="shared" si="90"/>
        <v>0</v>
      </c>
      <c r="R92" s="220">
        <f t="shared" si="91"/>
        <v>-10</v>
      </c>
      <c r="S92" s="221"/>
      <c r="T92" s="219">
        <v>45240.0</v>
      </c>
      <c r="U92" s="220" t="str">
        <f t="shared" si="107"/>
        <v/>
      </c>
      <c r="V92" s="220"/>
      <c r="W92" s="220">
        <f t="shared" si="92"/>
        <v>0</v>
      </c>
      <c r="X92" s="220">
        <f t="shared" si="93"/>
        <v>-10</v>
      </c>
      <c r="Y92" s="221"/>
      <c r="Z92" s="219">
        <v>45240.0</v>
      </c>
      <c r="AA92" s="220" t="str">
        <f t="shared" si="108"/>
        <v/>
      </c>
      <c r="AB92" s="220"/>
      <c r="AC92" s="220">
        <f t="shared" si="94"/>
        <v>0</v>
      </c>
      <c r="AD92" s="220">
        <f t="shared" si="95"/>
        <v>-10</v>
      </c>
      <c r="AE92" s="221"/>
      <c r="AF92" s="219">
        <v>45240.0</v>
      </c>
      <c r="AG92" s="220" t="str">
        <f t="shared" si="109"/>
        <v/>
      </c>
      <c r="AH92" s="220"/>
      <c r="AI92" s="220">
        <f t="shared" si="96"/>
        <v>0</v>
      </c>
      <c r="AJ92" s="220">
        <f t="shared" si="97"/>
        <v>-10</v>
      </c>
      <c r="AK92" s="221"/>
      <c r="AL92" s="219">
        <v>45240.0</v>
      </c>
      <c r="AM92" s="220" t="str">
        <f t="shared" si="110"/>
        <v/>
      </c>
      <c r="AN92" s="220"/>
      <c r="AO92" s="220">
        <f t="shared" si="98"/>
        <v>0</v>
      </c>
      <c r="AP92" s="220">
        <f t="shared" si="99"/>
        <v>-10</v>
      </c>
      <c r="AQ92" s="221"/>
      <c r="AR92" s="219">
        <v>45240.0</v>
      </c>
      <c r="AS92" s="220" t="str">
        <f t="shared" si="111"/>
        <v/>
      </c>
      <c r="AT92" s="220"/>
      <c r="AU92" s="220">
        <f t="shared" si="100"/>
        <v>0</v>
      </c>
      <c r="AV92" s="220">
        <f t="shared" si="101"/>
        <v>-10</v>
      </c>
      <c r="AW92" s="221"/>
      <c r="AX92" s="219">
        <v>45240.0</v>
      </c>
      <c r="AY92" s="220" t="str">
        <f t="shared" si="112"/>
        <v/>
      </c>
      <c r="AZ92" s="220"/>
      <c r="BA92" s="220">
        <f t="shared" si="102"/>
        <v>0</v>
      </c>
      <c r="BB92" s="220">
        <f t="shared" si="103"/>
        <v>-10</v>
      </c>
    </row>
    <row r="93" ht="14.25" customHeight="1">
      <c r="A93" s="218"/>
      <c r="B93" s="224">
        <v>45241.0</v>
      </c>
      <c r="C93" s="225" t="str">
        <f t="shared" si="104"/>
        <v/>
      </c>
      <c r="D93" s="225"/>
      <c r="E93" s="225">
        <f t="shared" si="86"/>
        <v>0</v>
      </c>
      <c r="F93" s="225">
        <f t="shared" si="87"/>
        <v>-10</v>
      </c>
      <c r="G93" s="226"/>
      <c r="H93" s="224">
        <v>45241.0</v>
      </c>
      <c r="I93" s="225" t="str">
        <f t="shared" si="105"/>
        <v/>
      </c>
      <c r="J93" s="225"/>
      <c r="K93" s="225">
        <f t="shared" si="88"/>
        <v>0</v>
      </c>
      <c r="L93" s="225">
        <f t="shared" si="89"/>
        <v>-10</v>
      </c>
      <c r="M93" s="226"/>
      <c r="N93" s="224">
        <v>45241.0</v>
      </c>
      <c r="O93" s="225" t="str">
        <f t="shared" si="106"/>
        <v/>
      </c>
      <c r="P93" s="225"/>
      <c r="Q93" s="225">
        <f t="shared" si="90"/>
        <v>0</v>
      </c>
      <c r="R93" s="225">
        <f t="shared" si="91"/>
        <v>-10</v>
      </c>
      <c r="S93" s="226" t="s">
        <v>225</v>
      </c>
      <c r="T93" s="224">
        <v>45241.0</v>
      </c>
      <c r="U93" s="225" t="str">
        <f t="shared" si="107"/>
        <v/>
      </c>
      <c r="V93" s="225"/>
      <c r="W93" s="225">
        <f t="shared" si="92"/>
        <v>0</v>
      </c>
      <c r="X93" s="225">
        <f t="shared" si="93"/>
        <v>-10</v>
      </c>
      <c r="Y93" s="226"/>
      <c r="Z93" s="224">
        <v>45241.0</v>
      </c>
      <c r="AA93" s="225" t="str">
        <f t="shared" si="108"/>
        <v/>
      </c>
      <c r="AB93" s="225"/>
      <c r="AC93" s="225">
        <f t="shared" si="94"/>
        <v>0</v>
      </c>
      <c r="AD93" s="225">
        <f t="shared" si="95"/>
        <v>-10</v>
      </c>
      <c r="AE93" s="226"/>
      <c r="AF93" s="224">
        <v>45241.0</v>
      </c>
      <c r="AG93" s="225" t="str">
        <f t="shared" si="109"/>
        <v/>
      </c>
      <c r="AH93" s="225"/>
      <c r="AI93" s="225">
        <f t="shared" si="96"/>
        <v>0</v>
      </c>
      <c r="AJ93" s="225">
        <f t="shared" si="97"/>
        <v>-10</v>
      </c>
      <c r="AK93" s="226"/>
      <c r="AL93" s="224">
        <v>45241.0</v>
      </c>
      <c r="AM93" s="225" t="str">
        <f t="shared" si="110"/>
        <v/>
      </c>
      <c r="AN93" s="225"/>
      <c r="AO93" s="225">
        <f t="shared" si="98"/>
        <v>0</v>
      </c>
      <c r="AP93" s="225">
        <f t="shared" si="99"/>
        <v>-10</v>
      </c>
      <c r="AQ93" s="226"/>
      <c r="AR93" s="224">
        <v>45241.0</v>
      </c>
      <c r="AS93" s="225" t="str">
        <f t="shared" si="111"/>
        <v/>
      </c>
      <c r="AT93" s="225"/>
      <c r="AU93" s="225">
        <f t="shared" si="100"/>
        <v>0</v>
      </c>
      <c r="AV93" s="225">
        <f t="shared" si="101"/>
        <v>-10</v>
      </c>
      <c r="AW93" s="226"/>
      <c r="AX93" s="224">
        <v>45241.0</v>
      </c>
      <c r="AY93" s="225" t="str">
        <f t="shared" si="112"/>
        <v/>
      </c>
      <c r="AZ93" s="225"/>
      <c r="BA93" s="225">
        <f t="shared" si="102"/>
        <v>0</v>
      </c>
      <c r="BB93" s="225">
        <f t="shared" si="103"/>
        <v>-10</v>
      </c>
    </row>
    <row r="94" ht="14.25" customHeight="1">
      <c r="A94" s="218"/>
      <c r="B94" s="224">
        <v>45242.0</v>
      </c>
      <c r="C94" s="225" t="str">
        <f t="shared" si="104"/>
        <v/>
      </c>
      <c r="D94" s="225"/>
      <c r="E94" s="225">
        <f t="shared" si="86"/>
        <v>0</v>
      </c>
      <c r="F94" s="225">
        <f t="shared" si="87"/>
        <v>-10</v>
      </c>
      <c r="G94" s="226"/>
      <c r="H94" s="224">
        <v>45242.0</v>
      </c>
      <c r="I94" s="225" t="str">
        <f t="shared" si="105"/>
        <v/>
      </c>
      <c r="J94" s="225"/>
      <c r="K94" s="225">
        <f t="shared" si="88"/>
        <v>0</v>
      </c>
      <c r="L94" s="225">
        <f t="shared" si="89"/>
        <v>-10</v>
      </c>
      <c r="M94" s="226"/>
      <c r="N94" s="224">
        <v>45242.0</v>
      </c>
      <c r="O94" s="225" t="str">
        <f t="shared" si="106"/>
        <v/>
      </c>
      <c r="P94" s="225"/>
      <c r="Q94" s="225">
        <f t="shared" si="90"/>
        <v>0</v>
      </c>
      <c r="R94" s="225">
        <f t="shared" si="91"/>
        <v>-10</v>
      </c>
      <c r="S94" s="226"/>
      <c r="T94" s="224">
        <v>45242.0</v>
      </c>
      <c r="U94" s="225" t="str">
        <f t="shared" si="107"/>
        <v/>
      </c>
      <c r="V94" s="225"/>
      <c r="W94" s="225">
        <f t="shared" si="92"/>
        <v>0</v>
      </c>
      <c r="X94" s="225">
        <f t="shared" si="93"/>
        <v>-10</v>
      </c>
      <c r="Y94" s="226" t="s">
        <v>30</v>
      </c>
      <c r="Z94" s="224">
        <v>45242.0</v>
      </c>
      <c r="AA94" s="225" t="str">
        <f t="shared" si="108"/>
        <v/>
      </c>
      <c r="AB94" s="225"/>
      <c r="AC94" s="225">
        <f t="shared" si="94"/>
        <v>0</v>
      </c>
      <c r="AD94" s="225">
        <f t="shared" si="95"/>
        <v>-10</v>
      </c>
      <c r="AE94" s="226"/>
      <c r="AF94" s="224">
        <v>45242.0</v>
      </c>
      <c r="AG94" s="225" t="str">
        <f t="shared" si="109"/>
        <v/>
      </c>
      <c r="AH94" s="225"/>
      <c r="AI94" s="225">
        <f t="shared" si="96"/>
        <v>0</v>
      </c>
      <c r="AJ94" s="225">
        <f t="shared" si="97"/>
        <v>-10</v>
      </c>
      <c r="AK94" s="226"/>
      <c r="AL94" s="224">
        <v>45242.0</v>
      </c>
      <c r="AM94" s="225" t="str">
        <f t="shared" si="110"/>
        <v/>
      </c>
      <c r="AN94" s="225"/>
      <c r="AO94" s="225">
        <f t="shared" si="98"/>
        <v>0</v>
      </c>
      <c r="AP94" s="225">
        <f t="shared" si="99"/>
        <v>-10</v>
      </c>
      <c r="AQ94" s="226"/>
      <c r="AR94" s="224">
        <v>45242.0</v>
      </c>
      <c r="AS94" s="225" t="str">
        <f t="shared" si="111"/>
        <v/>
      </c>
      <c r="AT94" s="225"/>
      <c r="AU94" s="225">
        <f t="shared" si="100"/>
        <v>0</v>
      </c>
      <c r="AV94" s="225">
        <f t="shared" si="101"/>
        <v>-10</v>
      </c>
      <c r="AW94" s="226"/>
      <c r="AX94" s="224">
        <v>45242.0</v>
      </c>
      <c r="AY94" s="225" t="str">
        <f t="shared" si="112"/>
        <v/>
      </c>
      <c r="AZ94" s="225"/>
      <c r="BA94" s="225">
        <f t="shared" si="102"/>
        <v>0</v>
      </c>
      <c r="BB94" s="225">
        <f t="shared" si="103"/>
        <v>-10</v>
      </c>
    </row>
    <row r="95" ht="14.25" customHeight="1">
      <c r="A95" s="218"/>
      <c r="B95" s="219">
        <v>45243.0</v>
      </c>
      <c r="C95" s="220" t="str">
        <f t="shared" si="104"/>
        <v/>
      </c>
      <c r="D95" s="220"/>
      <c r="E95" s="220">
        <f t="shared" si="86"/>
        <v>0</v>
      </c>
      <c r="F95" s="220">
        <f t="shared" si="87"/>
        <v>-10</v>
      </c>
      <c r="H95" s="219">
        <v>45243.0</v>
      </c>
      <c r="I95" s="220" t="str">
        <f t="shared" si="105"/>
        <v/>
      </c>
      <c r="J95" s="220"/>
      <c r="K95" s="220">
        <f t="shared" si="88"/>
        <v>0</v>
      </c>
      <c r="L95" s="220">
        <f t="shared" si="89"/>
        <v>-10</v>
      </c>
      <c r="N95" s="219">
        <v>45243.0</v>
      </c>
      <c r="O95" s="220" t="str">
        <f t="shared" si="106"/>
        <v/>
      </c>
      <c r="P95" s="220"/>
      <c r="Q95" s="220">
        <f t="shared" si="90"/>
        <v>0</v>
      </c>
      <c r="R95" s="220">
        <f t="shared" si="91"/>
        <v>-10</v>
      </c>
      <c r="T95" s="219">
        <v>45243.0</v>
      </c>
      <c r="U95" s="220" t="str">
        <f t="shared" si="107"/>
        <v/>
      </c>
      <c r="V95" s="220"/>
      <c r="W95" s="220">
        <f t="shared" si="92"/>
        <v>0</v>
      </c>
      <c r="X95" s="220">
        <f t="shared" si="93"/>
        <v>-10</v>
      </c>
      <c r="Z95" s="219">
        <v>45243.0</v>
      </c>
      <c r="AA95" s="220" t="str">
        <f t="shared" si="108"/>
        <v/>
      </c>
      <c r="AB95" s="220"/>
      <c r="AC95" s="220">
        <f t="shared" si="94"/>
        <v>0</v>
      </c>
      <c r="AD95" s="220">
        <f t="shared" si="95"/>
        <v>-10</v>
      </c>
      <c r="AF95" s="219">
        <v>45243.0</v>
      </c>
      <c r="AG95" s="220" t="str">
        <f t="shared" si="109"/>
        <v/>
      </c>
      <c r="AH95" s="220"/>
      <c r="AI95" s="220">
        <f t="shared" si="96"/>
        <v>0</v>
      </c>
      <c r="AJ95" s="220">
        <f t="shared" si="97"/>
        <v>-10</v>
      </c>
      <c r="AL95" s="219">
        <v>45243.0</v>
      </c>
      <c r="AM95" s="220" t="str">
        <f t="shared" si="110"/>
        <v/>
      </c>
      <c r="AN95" s="220"/>
      <c r="AO95" s="220">
        <f t="shared" si="98"/>
        <v>0</v>
      </c>
      <c r="AP95" s="220">
        <f t="shared" si="99"/>
        <v>-10</v>
      </c>
      <c r="AR95" s="219">
        <v>45243.0</v>
      </c>
      <c r="AS95" s="220" t="str">
        <f t="shared" si="111"/>
        <v/>
      </c>
      <c r="AT95" s="220"/>
      <c r="AU95" s="220">
        <f t="shared" si="100"/>
        <v>0</v>
      </c>
      <c r="AV95" s="220">
        <f t="shared" si="101"/>
        <v>-10</v>
      </c>
      <c r="AX95" s="219">
        <v>45243.0</v>
      </c>
      <c r="AY95" s="220" t="str">
        <f t="shared" si="112"/>
        <v/>
      </c>
      <c r="AZ95" s="220"/>
      <c r="BA95" s="220">
        <f t="shared" si="102"/>
        <v>0</v>
      </c>
      <c r="BB95" s="220">
        <f t="shared" si="103"/>
        <v>-10</v>
      </c>
    </row>
    <row r="96" ht="14.25" customHeight="1">
      <c r="A96" s="218"/>
      <c r="B96" s="219">
        <v>45244.0</v>
      </c>
      <c r="C96" s="220" t="str">
        <f t="shared" si="104"/>
        <v/>
      </c>
      <c r="D96" s="220"/>
      <c r="E96" s="220">
        <f t="shared" si="86"/>
        <v>0</v>
      </c>
      <c r="F96" s="220">
        <f t="shared" si="87"/>
        <v>-10</v>
      </c>
      <c r="H96" s="219">
        <v>45244.0</v>
      </c>
      <c r="I96" s="220" t="str">
        <f t="shared" si="105"/>
        <v/>
      </c>
      <c r="J96" s="220"/>
      <c r="K96" s="220">
        <f t="shared" si="88"/>
        <v>0</v>
      </c>
      <c r="L96" s="220">
        <f t="shared" si="89"/>
        <v>-10</v>
      </c>
      <c r="N96" s="219">
        <v>45244.0</v>
      </c>
      <c r="O96" s="220" t="str">
        <f t="shared" si="106"/>
        <v/>
      </c>
      <c r="P96" s="220"/>
      <c r="Q96" s="220">
        <f t="shared" si="90"/>
        <v>0</v>
      </c>
      <c r="R96" s="220">
        <f t="shared" si="91"/>
        <v>-10</v>
      </c>
      <c r="T96" s="219">
        <v>45244.0</v>
      </c>
      <c r="U96" s="220" t="str">
        <f t="shared" si="107"/>
        <v/>
      </c>
      <c r="V96" s="220"/>
      <c r="W96" s="220">
        <f t="shared" si="92"/>
        <v>0</v>
      </c>
      <c r="X96" s="220">
        <f t="shared" si="93"/>
        <v>-10</v>
      </c>
      <c r="Z96" s="219">
        <v>45244.0</v>
      </c>
      <c r="AA96" s="220" t="str">
        <f t="shared" si="108"/>
        <v/>
      </c>
      <c r="AB96" s="220"/>
      <c r="AC96" s="220">
        <f t="shared" si="94"/>
        <v>0</v>
      </c>
      <c r="AD96" s="220">
        <f t="shared" si="95"/>
        <v>-10</v>
      </c>
      <c r="AF96" s="219">
        <v>45244.0</v>
      </c>
      <c r="AG96" s="220" t="str">
        <f t="shared" si="109"/>
        <v/>
      </c>
      <c r="AH96" s="220"/>
      <c r="AI96" s="220">
        <f t="shared" si="96"/>
        <v>0</v>
      </c>
      <c r="AJ96" s="220">
        <f t="shared" si="97"/>
        <v>-10</v>
      </c>
      <c r="AL96" s="219">
        <v>45244.0</v>
      </c>
      <c r="AM96" s="220" t="str">
        <f t="shared" si="110"/>
        <v/>
      </c>
      <c r="AN96" s="220"/>
      <c r="AO96" s="220">
        <f t="shared" si="98"/>
        <v>0</v>
      </c>
      <c r="AP96" s="220">
        <f t="shared" si="99"/>
        <v>-10</v>
      </c>
      <c r="AR96" s="219">
        <v>45244.0</v>
      </c>
      <c r="AS96" s="220" t="str">
        <f t="shared" si="111"/>
        <v/>
      </c>
      <c r="AT96" s="220"/>
      <c r="AU96" s="220">
        <f t="shared" si="100"/>
        <v>0</v>
      </c>
      <c r="AV96" s="220">
        <f t="shared" si="101"/>
        <v>-10</v>
      </c>
      <c r="AX96" s="219">
        <v>45244.0</v>
      </c>
      <c r="AY96" s="220" t="str">
        <f t="shared" si="112"/>
        <v/>
      </c>
      <c r="AZ96" s="220"/>
      <c r="BA96" s="220">
        <f t="shared" si="102"/>
        <v>0</v>
      </c>
      <c r="BB96" s="220">
        <f t="shared" si="103"/>
        <v>-10</v>
      </c>
    </row>
    <row r="97" ht="14.25" customHeight="1">
      <c r="A97" s="218"/>
      <c r="B97" s="219">
        <v>45245.0</v>
      </c>
      <c r="C97" s="220" t="str">
        <f t="shared" si="104"/>
        <v/>
      </c>
      <c r="D97" s="220"/>
      <c r="E97" s="220">
        <f t="shared" si="86"/>
        <v>0</v>
      </c>
      <c r="F97" s="220">
        <f t="shared" si="87"/>
        <v>-10</v>
      </c>
      <c r="H97" s="219">
        <v>45245.0</v>
      </c>
      <c r="I97" s="220" t="str">
        <f t="shared" si="105"/>
        <v/>
      </c>
      <c r="J97" s="220"/>
      <c r="K97" s="220">
        <f t="shared" si="88"/>
        <v>0</v>
      </c>
      <c r="L97" s="220">
        <f t="shared" si="89"/>
        <v>-10</v>
      </c>
      <c r="N97" s="219">
        <v>45245.0</v>
      </c>
      <c r="O97" s="220" t="str">
        <f t="shared" si="106"/>
        <v/>
      </c>
      <c r="P97" s="220"/>
      <c r="Q97" s="220">
        <f t="shared" si="90"/>
        <v>0</v>
      </c>
      <c r="R97" s="220">
        <f t="shared" si="91"/>
        <v>-10</v>
      </c>
      <c r="T97" s="219">
        <v>45245.0</v>
      </c>
      <c r="U97" s="220" t="str">
        <f t="shared" si="107"/>
        <v/>
      </c>
      <c r="V97" s="220"/>
      <c r="W97" s="220">
        <f t="shared" si="92"/>
        <v>0</v>
      </c>
      <c r="X97" s="220">
        <f t="shared" si="93"/>
        <v>-10</v>
      </c>
      <c r="Z97" s="219">
        <v>45245.0</v>
      </c>
      <c r="AA97" s="220" t="str">
        <f t="shared" si="108"/>
        <v/>
      </c>
      <c r="AB97" s="220"/>
      <c r="AC97" s="220">
        <f t="shared" si="94"/>
        <v>0</v>
      </c>
      <c r="AD97" s="220">
        <f t="shared" si="95"/>
        <v>-10</v>
      </c>
      <c r="AF97" s="219">
        <v>45245.0</v>
      </c>
      <c r="AG97" s="220" t="str">
        <f t="shared" si="109"/>
        <v/>
      </c>
      <c r="AH97" s="220"/>
      <c r="AI97" s="220">
        <f t="shared" si="96"/>
        <v>0</v>
      </c>
      <c r="AJ97" s="220">
        <f t="shared" si="97"/>
        <v>-10</v>
      </c>
      <c r="AL97" s="219">
        <v>45245.0</v>
      </c>
      <c r="AM97" s="220" t="str">
        <f t="shared" si="110"/>
        <v/>
      </c>
      <c r="AN97" s="220"/>
      <c r="AO97" s="220">
        <f t="shared" si="98"/>
        <v>0</v>
      </c>
      <c r="AP97" s="220">
        <f t="shared" si="99"/>
        <v>-10</v>
      </c>
      <c r="AR97" s="219">
        <v>45245.0</v>
      </c>
      <c r="AS97" s="220" t="str">
        <f t="shared" si="111"/>
        <v/>
      </c>
      <c r="AT97" s="220"/>
      <c r="AU97" s="220">
        <f t="shared" si="100"/>
        <v>0</v>
      </c>
      <c r="AV97" s="220">
        <f t="shared" si="101"/>
        <v>-10</v>
      </c>
      <c r="AX97" s="219">
        <v>45245.0</v>
      </c>
      <c r="AY97" s="220" t="str">
        <f t="shared" si="112"/>
        <v/>
      </c>
      <c r="AZ97" s="220"/>
      <c r="BA97" s="220">
        <f t="shared" si="102"/>
        <v>0</v>
      </c>
      <c r="BB97" s="220">
        <f t="shared" si="103"/>
        <v>-10</v>
      </c>
    </row>
    <row r="98" ht="14.25" customHeight="1">
      <c r="A98" s="218"/>
      <c r="B98" s="219">
        <v>45246.0</v>
      </c>
      <c r="C98" s="220" t="str">
        <f t="shared" si="104"/>
        <v/>
      </c>
      <c r="D98" s="220"/>
      <c r="E98" s="220">
        <f t="shared" si="86"/>
        <v>0</v>
      </c>
      <c r="F98" s="220">
        <f t="shared" si="87"/>
        <v>-10</v>
      </c>
      <c r="H98" s="219">
        <v>45246.0</v>
      </c>
      <c r="I98" s="220" t="str">
        <f t="shared" si="105"/>
        <v/>
      </c>
      <c r="J98" s="220"/>
      <c r="K98" s="220">
        <f t="shared" si="88"/>
        <v>0</v>
      </c>
      <c r="L98" s="220">
        <f t="shared" si="89"/>
        <v>-10</v>
      </c>
      <c r="N98" s="219">
        <v>45246.0</v>
      </c>
      <c r="O98" s="220" t="str">
        <f t="shared" si="106"/>
        <v/>
      </c>
      <c r="P98" s="220"/>
      <c r="Q98" s="220">
        <f t="shared" si="90"/>
        <v>0</v>
      </c>
      <c r="R98" s="220">
        <f t="shared" si="91"/>
        <v>-10</v>
      </c>
      <c r="T98" s="219">
        <v>45246.0</v>
      </c>
      <c r="U98" s="220" t="str">
        <f t="shared" si="107"/>
        <v/>
      </c>
      <c r="V98" s="220"/>
      <c r="W98" s="220">
        <f t="shared" si="92"/>
        <v>0</v>
      </c>
      <c r="X98" s="220">
        <f t="shared" si="93"/>
        <v>-10</v>
      </c>
      <c r="Z98" s="219">
        <v>45246.0</v>
      </c>
      <c r="AA98" s="220" t="str">
        <f t="shared" si="108"/>
        <v/>
      </c>
      <c r="AB98" s="220"/>
      <c r="AC98" s="220">
        <f t="shared" si="94"/>
        <v>0</v>
      </c>
      <c r="AD98" s="220">
        <f t="shared" si="95"/>
        <v>-10</v>
      </c>
      <c r="AF98" s="219">
        <v>45246.0</v>
      </c>
      <c r="AG98" s="220" t="str">
        <f t="shared" si="109"/>
        <v/>
      </c>
      <c r="AH98" s="220"/>
      <c r="AI98" s="220">
        <f t="shared" si="96"/>
        <v>0</v>
      </c>
      <c r="AJ98" s="220">
        <f t="shared" si="97"/>
        <v>-10</v>
      </c>
      <c r="AL98" s="219">
        <v>45246.0</v>
      </c>
      <c r="AM98" s="220" t="str">
        <f t="shared" si="110"/>
        <v/>
      </c>
      <c r="AN98" s="220"/>
      <c r="AO98" s="220">
        <f t="shared" si="98"/>
        <v>0</v>
      </c>
      <c r="AP98" s="220">
        <f t="shared" si="99"/>
        <v>-10</v>
      </c>
      <c r="AR98" s="219">
        <v>45246.0</v>
      </c>
      <c r="AS98" s="220" t="str">
        <f t="shared" si="111"/>
        <v/>
      </c>
      <c r="AT98" s="220"/>
      <c r="AU98" s="220">
        <f t="shared" si="100"/>
        <v>0</v>
      </c>
      <c r="AV98" s="220">
        <f t="shared" si="101"/>
        <v>-10</v>
      </c>
      <c r="AX98" s="219">
        <v>45246.0</v>
      </c>
      <c r="AY98" s="220" t="str">
        <f t="shared" si="112"/>
        <v/>
      </c>
      <c r="AZ98" s="220"/>
      <c r="BA98" s="220">
        <f t="shared" si="102"/>
        <v>0</v>
      </c>
      <c r="BB98" s="220">
        <f t="shared" si="103"/>
        <v>-10</v>
      </c>
    </row>
    <row r="99" ht="14.25" customHeight="1">
      <c r="A99" s="218"/>
      <c r="B99" s="219">
        <v>45247.0</v>
      </c>
      <c r="C99" s="220" t="str">
        <f t="shared" si="104"/>
        <v/>
      </c>
      <c r="D99" s="220"/>
      <c r="E99" s="220">
        <f t="shared" si="86"/>
        <v>0</v>
      </c>
      <c r="F99" s="220">
        <f t="shared" si="87"/>
        <v>-10</v>
      </c>
      <c r="G99" s="221"/>
      <c r="H99" s="219">
        <v>45247.0</v>
      </c>
      <c r="I99" s="220" t="str">
        <f t="shared" si="105"/>
        <v/>
      </c>
      <c r="J99" s="220"/>
      <c r="K99" s="220">
        <f t="shared" si="88"/>
        <v>0</v>
      </c>
      <c r="L99" s="220">
        <f t="shared" si="89"/>
        <v>-10</v>
      </c>
      <c r="M99" s="221"/>
      <c r="N99" s="219">
        <v>45247.0</v>
      </c>
      <c r="O99" s="220" t="str">
        <f t="shared" si="106"/>
        <v/>
      </c>
      <c r="P99" s="220"/>
      <c r="Q99" s="220">
        <f t="shared" si="90"/>
        <v>0</v>
      </c>
      <c r="R99" s="220">
        <f t="shared" si="91"/>
        <v>-10</v>
      </c>
      <c r="S99" s="221"/>
      <c r="T99" s="219">
        <v>45247.0</v>
      </c>
      <c r="U99" s="220" t="str">
        <f t="shared" si="107"/>
        <v/>
      </c>
      <c r="V99" s="220"/>
      <c r="W99" s="220">
        <f t="shared" si="92"/>
        <v>0</v>
      </c>
      <c r="X99" s="220">
        <f t="shared" si="93"/>
        <v>-10</v>
      </c>
      <c r="Y99" s="221"/>
      <c r="Z99" s="219">
        <v>45247.0</v>
      </c>
      <c r="AA99" s="220" t="str">
        <f t="shared" si="108"/>
        <v/>
      </c>
      <c r="AB99" s="220"/>
      <c r="AC99" s="220">
        <f t="shared" si="94"/>
        <v>0</v>
      </c>
      <c r="AD99" s="220">
        <f t="shared" si="95"/>
        <v>-10</v>
      </c>
      <c r="AE99" s="221"/>
      <c r="AF99" s="219">
        <v>45247.0</v>
      </c>
      <c r="AG99" s="220" t="str">
        <f t="shared" si="109"/>
        <v/>
      </c>
      <c r="AH99" s="220"/>
      <c r="AI99" s="220">
        <f t="shared" si="96"/>
        <v>0</v>
      </c>
      <c r="AJ99" s="220">
        <f t="shared" si="97"/>
        <v>-10</v>
      </c>
      <c r="AK99" s="221"/>
      <c r="AL99" s="219">
        <v>45247.0</v>
      </c>
      <c r="AM99" s="220" t="str">
        <f t="shared" si="110"/>
        <v/>
      </c>
      <c r="AN99" s="220"/>
      <c r="AO99" s="220">
        <f t="shared" si="98"/>
        <v>0</v>
      </c>
      <c r="AP99" s="220">
        <f t="shared" si="99"/>
        <v>-10</v>
      </c>
      <c r="AQ99" s="221"/>
      <c r="AR99" s="219">
        <v>45247.0</v>
      </c>
      <c r="AS99" s="220" t="str">
        <f t="shared" si="111"/>
        <v/>
      </c>
      <c r="AT99" s="220"/>
      <c r="AU99" s="220">
        <f t="shared" si="100"/>
        <v>0</v>
      </c>
      <c r="AV99" s="220">
        <f t="shared" si="101"/>
        <v>-10</v>
      </c>
      <c r="AW99" s="221"/>
      <c r="AX99" s="219">
        <v>45247.0</v>
      </c>
      <c r="AY99" s="220" t="str">
        <f t="shared" si="112"/>
        <v/>
      </c>
      <c r="AZ99" s="220"/>
      <c r="BA99" s="220">
        <f t="shared" si="102"/>
        <v>0</v>
      </c>
      <c r="BB99" s="220">
        <f t="shared" si="103"/>
        <v>-10</v>
      </c>
    </row>
    <row r="100" ht="14.25" customHeight="1">
      <c r="A100" s="218"/>
      <c r="B100" s="224">
        <v>45248.0</v>
      </c>
      <c r="C100" s="225" t="str">
        <f t="shared" si="104"/>
        <v/>
      </c>
      <c r="D100" s="225"/>
      <c r="E100" s="225">
        <f t="shared" si="86"/>
        <v>0</v>
      </c>
      <c r="F100" s="225">
        <f t="shared" si="87"/>
        <v>-10</v>
      </c>
      <c r="G100" s="226"/>
      <c r="H100" s="224">
        <v>45248.0</v>
      </c>
      <c r="I100" s="225" t="str">
        <f t="shared" si="105"/>
        <v/>
      </c>
      <c r="J100" s="225"/>
      <c r="K100" s="225">
        <f t="shared" si="88"/>
        <v>0</v>
      </c>
      <c r="L100" s="225">
        <f t="shared" si="89"/>
        <v>-10</v>
      </c>
      <c r="M100" s="226"/>
      <c r="N100" s="224">
        <v>45248.0</v>
      </c>
      <c r="O100" s="225" t="str">
        <f t="shared" si="106"/>
        <v/>
      </c>
      <c r="P100" s="225"/>
      <c r="Q100" s="225">
        <f t="shared" si="90"/>
        <v>0</v>
      </c>
      <c r="R100" s="225">
        <f t="shared" si="91"/>
        <v>-10</v>
      </c>
      <c r="S100" s="226"/>
      <c r="T100" s="224">
        <v>45248.0</v>
      </c>
      <c r="U100" s="225" t="str">
        <f t="shared" si="107"/>
        <v/>
      </c>
      <c r="V100" s="225"/>
      <c r="W100" s="225">
        <f t="shared" si="92"/>
        <v>0</v>
      </c>
      <c r="X100" s="225">
        <f t="shared" si="93"/>
        <v>-10</v>
      </c>
      <c r="Y100" s="226"/>
      <c r="Z100" s="224">
        <v>45248.0</v>
      </c>
      <c r="AA100" s="225" t="str">
        <f t="shared" si="108"/>
        <v/>
      </c>
      <c r="AB100" s="225"/>
      <c r="AC100" s="225">
        <f t="shared" si="94"/>
        <v>0</v>
      </c>
      <c r="AD100" s="225">
        <f t="shared" si="95"/>
        <v>-10</v>
      </c>
      <c r="AE100" s="226"/>
      <c r="AF100" s="224">
        <v>45248.0</v>
      </c>
      <c r="AG100" s="225" t="str">
        <f t="shared" si="109"/>
        <v/>
      </c>
      <c r="AH100" s="225"/>
      <c r="AI100" s="225">
        <f t="shared" si="96"/>
        <v>0</v>
      </c>
      <c r="AJ100" s="225">
        <f t="shared" si="97"/>
        <v>-10</v>
      </c>
      <c r="AK100" s="226"/>
      <c r="AL100" s="224">
        <v>45248.0</v>
      </c>
      <c r="AM100" s="225" t="str">
        <f t="shared" si="110"/>
        <v/>
      </c>
      <c r="AN100" s="225"/>
      <c r="AO100" s="225">
        <f t="shared" si="98"/>
        <v>0</v>
      </c>
      <c r="AP100" s="225">
        <f t="shared" si="99"/>
        <v>-10</v>
      </c>
      <c r="AQ100" s="226"/>
      <c r="AR100" s="224">
        <v>45248.0</v>
      </c>
      <c r="AS100" s="225" t="str">
        <f t="shared" si="111"/>
        <v/>
      </c>
      <c r="AT100" s="225"/>
      <c r="AU100" s="225">
        <f t="shared" si="100"/>
        <v>0</v>
      </c>
      <c r="AV100" s="225">
        <f t="shared" si="101"/>
        <v>-10</v>
      </c>
      <c r="AW100" s="226"/>
      <c r="AX100" s="224">
        <v>45248.0</v>
      </c>
      <c r="AY100" s="225" t="str">
        <f t="shared" si="112"/>
        <v/>
      </c>
      <c r="AZ100" s="225"/>
      <c r="BA100" s="225">
        <f t="shared" si="102"/>
        <v>0</v>
      </c>
      <c r="BB100" s="225">
        <f t="shared" si="103"/>
        <v>-10</v>
      </c>
    </row>
    <row r="101" ht="14.25" customHeight="1">
      <c r="A101" s="218"/>
      <c r="B101" s="224">
        <v>45249.0</v>
      </c>
      <c r="C101" s="225" t="str">
        <f t="shared" si="104"/>
        <v/>
      </c>
      <c r="D101" s="225"/>
      <c r="E101" s="225">
        <f t="shared" si="86"/>
        <v>0</v>
      </c>
      <c r="F101" s="225">
        <f t="shared" si="87"/>
        <v>-10</v>
      </c>
      <c r="G101" s="226"/>
      <c r="H101" s="224">
        <v>45249.0</v>
      </c>
      <c r="I101" s="225" t="str">
        <f t="shared" si="105"/>
        <v/>
      </c>
      <c r="J101" s="225"/>
      <c r="K101" s="225">
        <f t="shared" si="88"/>
        <v>0</v>
      </c>
      <c r="L101" s="225">
        <f t="shared" si="89"/>
        <v>-10</v>
      </c>
      <c r="M101" s="226"/>
      <c r="N101" s="224">
        <v>45249.0</v>
      </c>
      <c r="O101" s="225" t="str">
        <f t="shared" si="106"/>
        <v/>
      </c>
      <c r="P101" s="225"/>
      <c r="Q101" s="225">
        <f t="shared" si="90"/>
        <v>0</v>
      </c>
      <c r="R101" s="225">
        <f t="shared" si="91"/>
        <v>-10</v>
      </c>
      <c r="S101" s="226"/>
      <c r="T101" s="224">
        <v>45249.0</v>
      </c>
      <c r="U101" s="225" t="str">
        <f t="shared" si="107"/>
        <v/>
      </c>
      <c r="V101" s="225"/>
      <c r="W101" s="225">
        <f t="shared" si="92"/>
        <v>0</v>
      </c>
      <c r="X101" s="225">
        <f t="shared" si="93"/>
        <v>-10</v>
      </c>
      <c r="Y101" s="226"/>
      <c r="Z101" s="224">
        <v>45249.0</v>
      </c>
      <c r="AA101" s="225" t="str">
        <f t="shared" si="108"/>
        <v/>
      </c>
      <c r="AB101" s="225"/>
      <c r="AC101" s="225">
        <f t="shared" si="94"/>
        <v>0</v>
      </c>
      <c r="AD101" s="225">
        <f t="shared" si="95"/>
        <v>-10</v>
      </c>
      <c r="AE101" s="226"/>
      <c r="AF101" s="224">
        <v>45249.0</v>
      </c>
      <c r="AG101" s="225" t="str">
        <f t="shared" si="109"/>
        <v/>
      </c>
      <c r="AH101" s="225"/>
      <c r="AI101" s="225">
        <f t="shared" si="96"/>
        <v>0</v>
      </c>
      <c r="AJ101" s="225">
        <f t="shared" si="97"/>
        <v>-10</v>
      </c>
      <c r="AK101" s="226"/>
      <c r="AL101" s="224">
        <v>45249.0</v>
      </c>
      <c r="AM101" s="225" t="str">
        <f t="shared" si="110"/>
        <v/>
      </c>
      <c r="AN101" s="225"/>
      <c r="AO101" s="225">
        <f t="shared" si="98"/>
        <v>0</v>
      </c>
      <c r="AP101" s="225">
        <f t="shared" si="99"/>
        <v>-10</v>
      </c>
      <c r="AQ101" s="226"/>
      <c r="AR101" s="224">
        <v>45249.0</v>
      </c>
      <c r="AS101" s="225" t="str">
        <f t="shared" si="111"/>
        <v/>
      </c>
      <c r="AT101" s="225"/>
      <c r="AU101" s="225">
        <f t="shared" si="100"/>
        <v>0</v>
      </c>
      <c r="AV101" s="225">
        <f t="shared" si="101"/>
        <v>-10</v>
      </c>
      <c r="AW101" s="226"/>
      <c r="AX101" s="224">
        <v>45249.0</v>
      </c>
      <c r="AY101" s="225" t="str">
        <f t="shared" si="112"/>
        <v/>
      </c>
      <c r="AZ101" s="225"/>
      <c r="BA101" s="225">
        <f t="shared" si="102"/>
        <v>0</v>
      </c>
      <c r="BB101" s="225">
        <f t="shared" si="103"/>
        <v>-10</v>
      </c>
    </row>
    <row r="102" ht="14.25" customHeight="1">
      <c r="A102" s="218"/>
      <c r="B102" s="219">
        <v>45250.0</v>
      </c>
      <c r="C102" s="220" t="str">
        <f t="shared" si="104"/>
        <v/>
      </c>
      <c r="D102" s="220"/>
      <c r="E102" s="220">
        <f t="shared" si="86"/>
        <v>0</v>
      </c>
      <c r="F102" s="220">
        <f t="shared" si="87"/>
        <v>-10</v>
      </c>
      <c r="H102" s="219">
        <v>45250.0</v>
      </c>
      <c r="I102" s="220" t="str">
        <f t="shared" si="105"/>
        <v/>
      </c>
      <c r="J102" s="220"/>
      <c r="K102" s="220">
        <f t="shared" si="88"/>
        <v>0</v>
      </c>
      <c r="L102" s="220">
        <f t="shared" si="89"/>
        <v>-10</v>
      </c>
      <c r="N102" s="219">
        <v>45250.0</v>
      </c>
      <c r="O102" s="220" t="str">
        <f t="shared" si="106"/>
        <v/>
      </c>
      <c r="P102" s="220"/>
      <c r="Q102" s="220">
        <f t="shared" si="90"/>
        <v>0</v>
      </c>
      <c r="R102" s="220">
        <f t="shared" si="91"/>
        <v>-10</v>
      </c>
      <c r="T102" s="219">
        <v>45250.0</v>
      </c>
      <c r="U102" s="220" t="str">
        <f t="shared" si="107"/>
        <v/>
      </c>
      <c r="V102" s="220"/>
      <c r="W102" s="220">
        <f t="shared" si="92"/>
        <v>0</v>
      </c>
      <c r="X102" s="220">
        <f t="shared" si="93"/>
        <v>-10</v>
      </c>
      <c r="Z102" s="219">
        <v>45250.0</v>
      </c>
      <c r="AA102" s="220" t="str">
        <f t="shared" si="108"/>
        <v/>
      </c>
      <c r="AB102" s="220"/>
      <c r="AC102" s="220">
        <f t="shared" si="94"/>
        <v>0</v>
      </c>
      <c r="AD102" s="220">
        <f t="shared" si="95"/>
        <v>-10</v>
      </c>
      <c r="AF102" s="219">
        <v>45250.0</v>
      </c>
      <c r="AG102" s="220" t="str">
        <f t="shared" si="109"/>
        <v/>
      </c>
      <c r="AH102" s="220"/>
      <c r="AI102" s="220">
        <f t="shared" si="96"/>
        <v>0</v>
      </c>
      <c r="AJ102" s="220">
        <f t="shared" si="97"/>
        <v>-10</v>
      </c>
      <c r="AL102" s="219">
        <v>45250.0</v>
      </c>
      <c r="AM102" s="220" t="str">
        <f t="shared" si="110"/>
        <v/>
      </c>
      <c r="AN102" s="220"/>
      <c r="AO102" s="220">
        <f t="shared" si="98"/>
        <v>0</v>
      </c>
      <c r="AP102" s="220">
        <f t="shared" si="99"/>
        <v>-10</v>
      </c>
      <c r="AR102" s="219">
        <v>45250.0</v>
      </c>
      <c r="AS102" s="220" t="str">
        <f t="shared" si="111"/>
        <v/>
      </c>
      <c r="AT102" s="220"/>
      <c r="AU102" s="220">
        <f t="shared" si="100"/>
        <v>0</v>
      </c>
      <c r="AV102" s="220">
        <f t="shared" si="101"/>
        <v>-10</v>
      </c>
      <c r="AX102" s="219">
        <v>45250.0</v>
      </c>
      <c r="AY102" s="220" t="str">
        <f t="shared" si="112"/>
        <v/>
      </c>
      <c r="AZ102" s="220"/>
      <c r="BA102" s="220">
        <f t="shared" si="102"/>
        <v>0</v>
      </c>
      <c r="BB102" s="220">
        <f t="shared" si="103"/>
        <v>-10</v>
      </c>
    </row>
    <row r="103" ht="14.25" customHeight="1">
      <c r="A103" s="218"/>
      <c r="B103" s="219">
        <v>45251.0</v>
      </c>
      <c r="C103" s="220" t="str">
        <f t="shared" si="104"/>
        <v/>
      </c>
      <c r="D103" s="220"/>
      <c r="E103" s="220">
        <f t="shared" si="86"/>
        <v>0</v>
      </c>
      <c r="F103" s="220">
        <f t="shared" si="87"/>
        <v>-10</v>
      </c>
      <c r="H103" s="219">
        <v>45251.0</v>
      </c>
      <c r="I103" s="220" t="str">
        <f t="shared" si="105"/>
        <v/>
      </c>
      <c r="J103" s="220"/>
      <c r="K103" s="220">
        <f t="shared" si="88"/>
        <v>0</v>
      </c>
      <c r="L103" s="220">
        <f t="shared" si="89"/>
        <v>-10</v>
      </c>
      <c r="N103" s="219">
        <v>45251.0</v>
      </c>
      <c r="O103" s="220" t="str">
        <f t="shared" si="106"/>
        <v/>
      </c>
      <c r="P103" s="220"/>
      <c r="Q103" s="220">
        <f t="shared" si="90"/>
        <v>0</v>
      </c>
      <c r="R103" s="220">
        <f t="shared" si="91"/>
        <v>-10</v>
      </c>
      <c r="T103" s="219">
        <v>45251.0</v>
      </c>
      <c r="U103" s="220" t="str">
        <f t="shared" si="107"/>
        <v/>
      </c>
      <c r="V103" s="220"/>
      <c r="W103" s="220">
        <f t="shared" si="92"/>
        <v>0</v>
      </c>
      <c r="X103" s="220">
        <f t="shared" si="93"/>
        <v>-10</v>
      </c>
      <c r="Z103" s="219">
        <v>45251.0</v>
      </c>
      <c r="AA103" s="220" t="str">
        <f t="shared" si="108"/>
        <v/>
      </c>
      <c r="AB103" s="220"/>
      <c r="AC103" s="220">
        <f t="shared" si="94"/>
        <v>0</v>
      </c>
      <c r="AD103" s="220">
        <f t="shared" si="95"/>
        <v>-10</v>
      </c>
      <c r="AF103" s="219">
        <v>45251.0</v>
      </c>
      <c r="AG103" s="220" t="str">
        <f t="shared" si="109"/>
        <v/>
      </c>
      <c r="AH103" s="220"/>
      <c r="AI103" s="220">
        <f t="shared" si="96"/>
        <v>0</v>
      </c>
      <c r="AJ103" s="220">
        <f t="shared" si="97"/>
        <v>-10</v>
      </c>
      <c r="AL103" s="219">
        <v>45251.0</v>
      </c>
      <c r="AM103" s="220" t="str">
        <f t="shared" si="110"/>
        <v/>
      </c>
      <c r="AN103" s="220"/>
      <c r="AO103" s="220">
        <f t="shared" si="98"/>
        <v>0</v>
      </c>
      <c r="AP103" s="220">
        <f t="shared" si="99"/>
        <v>-10</v>
      </c>
      <c r="AR103" s="219">
        <v>45251.0</v>
      </c>
      <c r="AS103" s="220" t="str">
        <f t="shared" si="111"/>
        <v/>
      </c>
      <c r="AT103" s="220"/>
      <c r="AU103" s="220">
        <f t="shared" si="100"/>
        <v>0</v>
      </c>
      <c r="AV103" s="220">
        <f t="shared" si="101"/>
        <v>-10</v>
      </c>
      <c r="AX103" s="219">
        <v>45251.0</v>
      </c>
      <c r="AY103" s="220" t="str">
        <f t="shared" si="112"/>
        <v/>
      </c>
      <c r="AZ103" s="220"/>
      <c r="BA103" s="220">
        <f t="shared" si="102"/>
        <v>0</v>
      </c>
      <c r="BB103" s="220">
        <f t="shared" si="103"/>
        <v>-10</v>
      </c>
    </row>
    <row r="104" ht="14.25" customHeight="1">
      <c r="A104" s="218"/>
      <c r="B104" s="219">
        <v>45252.0</v>
      </c>
      <c r="C104" s="220" t="str">
        <f t="shared" si="104"/>
        <v/>
      </c>
      <c r="D104" s="220"/>
      <c r="E104" s="220">
        <f t="shared" si="86"/>
        <v>0</v>
      </c>
      <c r="F104" s="220">
        <f t="shared" si="87"/>
        <v>-10</v>
      </c>
      <c r="H104" s="219">
        <v>45252.0</v>
      </c>
      <c r="I104" s="220" t="str">
        <f t="shared" si="105"/>
        <v/>
      </c>
      <c r="J104" s="220"/>
      <c r="K104" s="220">
        <f t="shared" si="88"/>
        <v>0</v>
      </c>
      <c r="L104" s="220">
        <f t="shared" si="89"/>
        <v>-10</v>
      </c>
      <c r="N104" s="219">
        <v>45252.0</v>
      </c>
      <c r="O104" s="220" t="str">
        <f t="shared" si="106"/>
        <v/>
      </c>
      <c r="P104" s="220"/>
      <c r="Q104" s="220">
        <f t="shared" si="90"/>
        <v>0</v>
      </c>
      <c r="R104" s="220">
        <f t="shared" si="91"/>
        <v>-10</v>
      </c>
      <c r="T104" s="219">
        <v>45252.0</v>
      </c>
      <c r="U104" s="220" t="str">
        <f t="shared" si="107"/>
        <v/>
      </c>
      <c r="V104" s="220"/>
      <c r="W104" s="220">
        <f t="shared" si="92"/>
        <v>0</v>
      </c>
      <c r="X104" s="220">
        <f t="shared" si="93"/>
        <v>-10</v>
      </c>
      <c r="Z104" s="219">
        <v>45252.0</v>
      </c>
      <c r="AA104" s="220" t="str">
        <f t="shared" si="108"/>
        <v/>
      </c>
      <c r="AB104" s="220"/>
      <c r="AC104" s="220">
        <f t="shared" si="94"/>
        <v>0</v>
      </c>
      <c r="AD104" s="220">
        <f t="shared" si="95"/>
        <v>-10</v>
      </c>
      <c r="AF104" s="219">
        <v>45252.0</v>
      </c>
      <c r="AG104" s="220" t="str">
        <f t="shared" si="109"/>
        <v/>
      </c>
      <c r="AH104" s="220"/>
      <c r="AI104" s="220">
        <f t="shared" si="96"/>
        <v>0</v>
      </c>
      <c r="AJ104" s="220">
        <f t="shared" si="97"/>
        <v>-10</v>
      </c>
      <c r="AL104" s="219">
        <v>45252.0</v>
      </c>
      <c r="AM104" s="220" t="str">
        <f t="shared" si="110"/>
        <v/>
      </c>
      <c r="AN104" s="220"/>
      <c r="AO104" s="220">
        <f t="shared" si="98"/>
        <v>0</v>
      </c>
      <c r="AP104" s="220">
        <f t="shared" si="99"/>
        <v>-10</v>
      </c>
      <c r="AR104" s="219">
        <v>45252.0</v>
      </c>
      <c r="AS104" s="220" t="str">
        <f t="shared" si="111"/>
        <v/>
      </c>
      <c r="AT104" s="220"/>
      <c r="AU104" s="220">
        <f t="shared" si="100"/>
        <v>0</v>
      </c>
      <c r="AV104" s="220">
        <f t="shared" si="101"/>
        <v>-10</v>
      </c>
      <c r="AX104" s="219">
        <v>45252.0</v>
      </c>
      <c r="AY104" s="220" t="str">
        <f t="shared" si="112"/>
        <v/>
      </c>
      <c r="AZ104" s="220"/>
      <c r="BA104" s="220">
        <f t="shared" si="102"/>
        <v>0</v>
      </c>
      <c r="BB104" s="220">
        <f t="shared" si="103"/>
        <v>-10</v>
      </c>
    </row>
    <row r="105" ht="14.25" customHeight="1">
      <c r="A105" s="218"/>
      <c r="B105" s="219">
        <v>45253.0</v>
      </c>
      <c r="C105" s="220" t="str">
        <f t="shared" si="104"/>
        <v/>
      </c>
      <c r="D105" s="220"/>
      <c r="E105" s="220">
        <f t="shared" si="86"/>
        <v>0</v>
      </c>
      <c r="F105" s="220">
        <f t="shared" si="87"/>
        <v>-10</v>
      </c>
      <c r="H105" s="219">
        <v>45253.0</v>
      </c>
      <c r="I105" s="220" t="str">
        <f t="shared" si="105"/>
        <v/>
      </c>
      <c r="J105" s="220"/>
      <c r="K105" s="220">
        <f t="shared" si="88"/>
        <v>0</v>
      </c>
      <c r="L105" s="220">
        <f t="shared" si="89"/>
        <v>-10</v>
      </c>
      <c r="N105" s="219">
        <v>45253.0</v>
      </c>
      <c r="O105" s="220" t="str">
        <f t="shared" si="106"/>
        <v/>
      </c>
      <c r="P105" s="220"/>
      <c r="Q105" s="220">
        <f t="shared" si="90"/>
        <v>0</v>
      </c>
      <c r="R105" s="220">
        <f t="shared" si="91"/>
        <v>-10</v>
      </c>
      <c r="T105" s="219">
        <v>45253.0</v>
      </c>
      <c r="U105" s="220" t="str">
        <f t="shared" si="107"/>
        <v/>
      </c>
      <c r="V105" s="220"/>
      <c r="W105" s="220">
        <f t="shared" si="92"/>
        <v>0</v>
      </c>
      <c r="X105" s="220">
        <f t="shared" si="93"/>
        <v>-10</v>
      </c>
      <c r="Z105" s="219">
        <v>45253.0</v>
      </c>
      <c r="AA105" s="220" t="str">
        <f t="shared" si="108"/>
        <v/>
      </c>
      <c r="AB105" s="220"/>
      <c r="AC105" s="220">
        <f t="shared" si="94"/>
        <v>0</v>
      </c>
      <c r="AD105" s="220">
        <f t="shared" si="95"/>
        <v>-10</v>
      </c>
      <c r="AF105" s="219">
        <v>45253.0</v>
      </c>
      <c r="AG105" s="220" t="str">
        <f t="shared" si="109"/>
        <v/>
      </c>
      <c r="AH105" s="220"/>
      <c r="AI105" s="220">
        <f t="shared" si="96"/>
        <v>0</v>
      </c>
      <c r="AJ105" s="220">
        <f t="shared" si="97"/>
        <v>-10</v>
      </c>
      <c r="AL105" s="219">
        <v>45253.0</v>
      </c>
      <c r="AM105" s="220" t="str">
        <f t="shared" si="110"/>
        <v/>
      </c>
      <c r="AN105" s="220"/>
      <c r="AO105" s="220">
        <f t="shared" si="98"/>
        <v>0</v>
      </c>
      <c r="AP105" s="220">
        <f t="shared" si="99"/>
        <v>-10</v>
      </c>
      <c r="AR105" s="219">
        <v>45253.0</v>
      </c>
      <c r="AS105" s="220" t="str">
        <f t="shared" si="111"/>
        <v/>
      </c>
      <c r="AT105" s="220"/>
      <c r="AU105" s="220">
        <f t="shared" si="100"/>
        <v>0</v>
      </c>
      <c r="AV105" s="220">
        <f t="shared" si="101"/>
        <v>-10</v>
      </c>
      <c r="AX105" s="219">
        <v>45253.0</v>
      </c>
      <c r="AY105" s="220" t="str">
        <f t="shared" si="112"/>
        <v/>
      </c>
      <c r="AZ105" s="220"/>
      <c r="BA105" s="220">
        <f t="shared" si="102"/>
        <v>0</v>
      </c>
      <c r="BB105" s="220">
        <f t="shared" si="103"/>
        <v>-10</v>
      </c>
    </row>
    <row r="106" ht="14.25" customHeight="1">
      <c r="A106" s="218"/>
      <c r="B106" s="219">
        <v>45254.0</v>
      </c>
      <c r="C106" s="220" t="str">
        <f t="shared" si="104"/>
        <v/>
      </c>
      <c r="D106" s="220"/>
      <c r="E106" s="220">
        <f t="shared" si="86"/>
        <v>0</v>
      </c>
      <c r="F106" s="220">
        <f t="shared" si="87"/>
        <v>-10</v>
      </c>
      <c r="G106" s="221"/>
      <c r="H106" s="219">
        <v>45254.0</v>
      </c>
      <c r="I106" s="220" t="str">
        <f t="shared" si="105"/>
        <v/>
      </c>
      <c r="J106" s="220"/>
      <c r="K106" s="220">
        <f t="shared" si="88"/>
        <v>0</v>
      </c>
      <c r="L106" s="220">
        <f t="shared" si="89"/>
        <v>-10</v>
      </c>
      <c r="M106" s="221"/>
      <c r="N106" s="219">
        <v>45254.0</v>
      </c>
      <c r="O106" s="220" t="str">
        <f t="shared" si="106"/>
        <v/>
      </c>
      <c r="P106" s="220"/>
      <c r="Q106" s="220">
        <f t="shared" si="90"/>
        <v>0</v>
      </c>
      <c r="R106" s="220">
        <f t="shared" si="91"/>
        <v>-10</v>
      </c>
      <c r="S106" s="221"/>
      <c r="T106" s="219">
        <v>45254.0</v>
      </c>
      <c r="U106" s="220" t="str">
        <f t="shared" si="107"/>
        <v/>
      </c>
      <c r="V106" s="220"/>
      <c r="W106" s="220">
        <f t="shared" si="92"/>
        <v>0</v>
      </c>
      <c r="X106" s="220">
        <f t="shared" si="93"/>
        <v>-10</v>
      </c>
      <c r="Y106" s="221"/>
      <c r="Z106" s="219">
        <v>45254.0</v>
      </c>
      <c r="AA106" s="220" t="str">
        <f t="shared" si="108"/>
        <v/>
      </c>
      <c r="AB106" s="220"/>
      <c r="AC106" s="220">
        <f t="shared" si="94"/>
        <v>0</v>
      </c>
      <c r="AD106" s="220">
        <f t="shared" si="95"/>
        <v>-10</v>
      </c>
      <c r="AE106" s="221"/>
      <c r="AF106" s="219">
        <v>45254.0</v>
      </c>
      <c r="AG106" s="220" t="str">
        <f t="shared" si="109"/>
        <v/>
      </c>
      <c r="AH106" s="220"/>
      <c r="AI106" s="220">
        <f t="shared" si="96"/>
        <v>0</v>
      </c>
      <c r="AJ106" s="220">
        <f t="shared" si="97"/>
        <v>-10</v>
      </c>
      <c r="AK106" s="221"/>
      <c r="AL106" s="219">
        <v>45254.0</v>
      </c>
      <c r="AM106" s="220" t="str">
        <f t="shared" si="110"/>
        <v/>
      </c>
      <c r="AN106" s="220"/>
      <c r="AO106" s="220">
        <f t="shared" si="98"/>
        <v>0</v>
      </c>
      <c r="AP106" s="220">
        <f t="shared" si="99"/>
        <v>-10</v>
      </c>
      <c r="AQ106" s="221"/>
      <c r="AR106" s="219">
        <v>45254.0</v>
      </c>
      <c r="AS106" s="220" t="str">
        <f t="shared" si="111"/>
        <v/>
      </c>
      <c r="AT106" s="220"/>
      <c r="AU106" s="220">
        <f t="shared" si="100"/>
        <v>0</v>
      </c>
      <c r="AV106" s="220">
        <f t="shared" si="101"/>
        <v>-10</v>
      </c>
      <c r="AW106" s="221"/>
      <c r="AX106" s="219">
        <v>45254.0</v>
      </c>
      <c r="AY106" s="220" t="str">
        <f t="shared" si="112"/>
        <v/>
      </c>
      <c r="AZ106" s="220"/>
      <c r="BA106" s="220">
        <f t="shared" si="102"/>
        <v>0</v>
      </c>
      <c r="BB106" s="220">
        <f t="shared" si="103"/>
        <v>-10</v>
      </c>
    </row>
    <row r="107" ht="14.25" customHeight="1">
      <c r="A107" s="218"/>
      <c r="B107" s="224">
        <v>45255.0</v>
      </c>
      <c r="C107" s="225" t="str">
        <f t="shared" si="104"/>
        <v/>
      </c>
      <c r="D107" s="225"/>
      <c r="E107" s="225">
        <f t="shared" si="86"/>
        <v>0</v>
      </c>
      <c r="F107" s="225">
        <f t="shared" si="87"/>
        <v>-10</v>
      </c>
      <c r="G107" s="226"/>
      <c r="H107" s="224">
        <v>45255.0</v>
      </c>
      <c r="I107" s="225" t="str">
        <f t="shared" si="105"/>
        <v/>
      </c>
      <c r="J107" s="225"/>
      <c r="K107" s="225">
        <f t="shared" si="88"/>
        <v>0</v>
      </c>
      <c r="L107" s="225">
        <f t="shared" si="89"/>
        <v>-10</v>
      </c>
      <c r="M107" s="226"/>
      <c r="N107" s="224">
        <v>45255.0</v>
      </c>
      <c r="O107" s="225" t="str">
        <f t="shared" si="106"/>
        <v/>
      </c>
      <c r="P107" s="225"/>
      <c r="Q107" s="225">
        <f t="shared" si="90"/>
        <v>0</v>
      </c>
      <c r="R107" s="225">
        <f t="shared" si="91"/>
        <v>-10</v>
      </c>
      <c r="S107" s="226"/>
      <c r="T107" s="224">
        <v>45255.0</v>
      </c>
      <c r="U107" s="225" t="str">
        <f t="shared" si="107"/>
        <v/>
      </c>
      <c r="V107" s="225"/>
      <c r="W107" s="225">
        <f t="shared" si="92"/>
        <v>0</v>
      </c>
      <c r="X107" s="225">
        <f t="shared" si="93"/>
        <v>-10</v>
      </c>
      <c r="Y107" s="226"/>
      <c r="Z107" s="224">
        <v>45255.0</v>
      </c>
      <c r="AA107" s="225" t="str">
        <f t="shared" si="108"/>
        <v/>
      </c>
      <c r="AB107" s="225"/>
      <c r="AC107" s="225">
        <f t="shared" si="94"/>
        <v>0</v>
      </c>
      <c r="AD107" s="225">
        <f t="shared" si="95"/>
        <v>-10</v>
      </c>
      <c r="AE107" s="226"/>
      <c r="AF107" s="224">
        <v>45255.0</v>
      </c>
      <c r="AG107" s="225" t="str">
        <f t="shared" si="109"/>
        <v/>
      </c>
      <c r="AH107" s="225"/>
      <c r="AI107" s="225">
        <f t="shared" si="96"/>
        <v>0</v>
      </c>
      <c r="AJ107" s="225">
        <f t="shared" si="97"/>
        <v>-10</v>
      </c>
      <c r="AK107" s="226"/>
      <c r="AL107" s="224">
        <v>45255.0</v>
      </c>
      <c r="AM107" s="225" t="str">
        <f t="shared" si="110"/>
        <v/>
      </c>
      <c r="AN107" s="225"/>
      <c r="AO107" s="225">
        <f t="shared" si="98"/>
        <v>0</v>
      </c>
      <c r="AP107" s="225">
        <f t="shared" si="99"/>
        <v>-10</v>
      </c>
      <c r="AQ107" s="226"/>
      <c r="AR107" s="224">
        <v>45255.0</v>
      </c>
      <c r="AS107" s="225" t="str">
        <f t="shared" si="111"/>
        <v/>
      </c>
      <c r="AT107" s="225"/>
      <c r="AU107" s="225">
        <f t="shared" si="100"/>
        <v>0</v>
      </c>
      <c r="AV107" s="225">
        <f t="shared" si="101"/>
        <v>-10</v>
      </c>
      <c r="AW107" s="226"/>
      <c r="AX107" s="224">
        <v>45255.0</v>
      </c>
      <c r="AY107" s="225" t="str">
        <f t="shared" si="112"/>
        <v/>
      </c>
      <c r="AZ107" s="225"/>
      <c r="BA107" s="225">
        <f t="shared" si="102"/>
        <v>0</v>
      </c>
      <c r="BB107" s="225">
        <f t="shared" si="103"/>
        <v>-10</v>
      </c>
    </row>
    <row r="108" ht="14.25" customHeight="1">
      <c r="A108" s="218"/>
      <c r="B108" s="224">
        <v>45256.0</v>
      </c>
      <c r="C108" s="225" t="str">
        <f t="shared" si="104"/>
        <v/>
      </c>
      <c r="D108" s="225"/>
      <c r="E108" s="225">
        <f t="shared" si="86"/>
        <v>0</v>
      </c>
      <c r="F108" s="225">
        <f t="shared" si="87"/>
        <v>-10</v>
      </c>
      <c r="G108" s="226"/>
      <c r="H108" s="224">
        <v>45256.0</v>
      </c>
      <c r="I108" s="225" t="str">
        <f t="shared" si="105"/>
        <v/>
      </c>
      <c r="J108" s="225"/>
      <c r="K108" s="225">
        <f t="shared" si="88"/>
        <v>0</v>
      </c>
      <c r="L108" s="225">
        <f t="shared" si="89"/>
        <v>-10</v>
      </c>
      <c r="M108" s="226"/>
      <c r="N108" s="224">
        <v>45256.0</v>
      </c>
      <c r="O108" s="225" t="str">
        <f t="shared" si="106"/>
        <v/>
      </c>
      <c r="P108" s="225"/>
      <c r="Q108" s="225">
        <f t="shared" si="90"/>
        <v>0</v>
      </c>
      <c r="R108" s="225">
        <f t="shared" si="91"/>
        <v>-10</v>
      </c>
      <c r="S108" s="226"/>
      <c r="T108" s="224">
        <v>45256.0</v>
      </c>
      <c r="U108" s="225" t="str">
        <f t="shared" si="107"/>
        <v/>
      </c>
      <c r="V108" s="225"/>
      <c r="W108" s="225">
        <f t="shared" si="92"/>
        <v>0</v>
      </c>
      <c r="X108" s="225">
        <f t="shared" si="93"/>
        <v>-10</v>
      </c>
      <c r="Y108" s="226"/>
      <c r="Z108" s="224">
        <v>45256.0</v>
      </c>
      <c r="AA108" s="225" t="str">
        <f t="shared" si="108"/>
        <v/>
      </c>
      <c r="AB108" s="225"/>
      <c r="AC108" s="225">
        <f t="shared" si="94"/>
        <v>0</v>
      </c>
      <c r="AD108" s="225">
        <f t="shared" si="95"/>
        <v>-10</v>
      </c>
      <c r="AE108" s="226"/>
      <c r="AF108" s="224">
        <v>45256.0</v>
      </c>
      <c r="AG108" s="225" t="str">
        <f t="shared" si="109"/>
        <v/>
      </c>
      <c r="AH108" s="225"/>
      <c r="AI108" s="225">
        <f t="shared" si="96"/>
        <v>0</v>
      </c>
      <c r="AJ108" s="225">
        <f t="shared" si="97"/>
        <v>-10</v>
      </c>
      <c r="AK108" s="226"/>
      <c r="AL108" s="224">
        <v>45256.0</v>
      </c>
      <c r="AM108" s="225" t="str">
        <f t="shared" si="110"/>
        <v/>
      </c>
      <c r="AN108" s="225"/>
      <c r="AO108" s="225">
        <f t="shared" si="98"/>
        <v>0</v>
      </c>
      <c r="AP108" s="225">
        <f t="shared" si="99"/>
        <v>-10</v>
      </c>
      <c r="AQ108" s="226"/>
      <c r="AR108" s="224">
        <v>45256.0</v>
      </c>
      <c r="AS108" s="225" t="str">
        <f t="shared" si="111"/>
        <v/>
      </c>
      <c r="AT108" s="225"/>
      <c r="AU108" s="225">
        <f t="shared" si="100"/>
        <v>0</v>
      </c>
      <c r="AV108" s="225">
        <f t="shared" si="101"/>
        <v>-10</v>
      </c>
      <c r="AW108" s="226"/>
      <c r="AX108" s="224">
        <v>45256.0</v>
      </c>
      <c r="AY108" s="225" t="str">
        <f t="shared" si="112"/>
        <v/>
      </c>
      <c r="AZ108" s="225"/>
      <c r="BA108" s="225">
        <f t="shared" si="102"/>
        <v>0</v>
      </c>
      <c r="BB108" s="225">
        <f t="shared" si="103"/>
        <v>-10</v>
      </c>
    </row>
    <row r="109" ht="14.25" customHeight="1">
      <c r="A109" s="218"/>
      <c r="B109" s="219">
        <v>45257.0</v>
      </c>
      <c r="C109" s="220" t="str">
        <f t="shared" si="104"/>
        <v/>
      </c>
      <c r="D109" s="220"/>
      <c r="E109" s="220">
        <f t="shared" si="86"/>
        <v>0</v>
      </c>
      <c r="F109" s="220">
        <f t="shared" si="87"/>
        <v>-10</v>
      </c>
      <c r="H109" s="219">
        <v>45257.0</v>
      </c>
      <c r="I109" s="220" t="str">
        <f t="shared" si="105"/>
        <v/>
      </c>
      <c r="J109" s="220"/>
      <c r="K109" s="220">
        <f t="shared" si="88"/>
        <v>0</v>
      </c>
      <c r="L109" s="220">
        <f t="shared" si="89"/>
        <v>-10</v>
      </c>
      <c r="N109" s="219">
        <v>45257.0</v>
      </c>
      <c r="O109" s="220" t="str">
        <f t="shared" si="106"/>
        <v/>
      </c>
      <c r="P109" s="220"/>
      <c r="Q109" s="220">
        <f t="shared" si="90"/>
        <v>0</v>
      </c>
      <c r="R109" s="220">
        <f t="shared" si="91"/>
        <v>-10</v>
      </c>
      <c r="T109" s="219">
        <v>45257.0</v>
      </c>
      <c r="U109" s="220" t="str">
        <f t="shared" si="107"/>
        <v/>
      </c>
      <c r="V109" s="220"/>
      <c r="W109" s="220">
        <f t="shared" si="92"/>
        <v>0</v>
      </c>
      <c r="X109" s="220">
        <f t="shared" si="93"/>
        <v>-10</v>
      </c>
      <c r="Z109" s="219">
        <v>45257.0</v>
      </c>
      <c r="AA109" s="220" t="str">
        <f t="shared" si="108"/>
        <v/>
      </c>
      <c r="AB109" s="220"/>
      <c r="AC109" s="220">
        <f t="shared" si="94"/>
        <v>0</v>
      </c>
      <c r="AD109" s="220">
        <f t="shared" si="95"/>
        <v>-10</v>
      </c>
      <c r="AF109" s="219">
        <v>45257.0</v>
      </c>
      <c r="AG109" s="220" t="str">
        <f t="shared" si="109"/>
        <v/>
      </c>
      <c r="AH109" s="220"/>
      <c r="AI109" s="220">
        <f t="shared" si="96"/>
        <v>0</v>
      </c>
      <c r="AJ109" s="220">
        <f t="shared" si="97"/>
        <v>-10</v>
      </c>
      <c r="AL109" s="219">
        <v>45257.0</v>
      </c>
      <c r="AM109" s="220" t="str">
        <f t="shared" si="110"/>
        <v/>
      </c>
      <c r="AN109" s="220"/>
      <c r="AO109" s="220">
        <f t="shared" si="98"/>
        <v>0</v>
      </c>
      <c r="AP109" s="220">
        <f t="shared" si="99"/>
        <v>-10</v>
      </c>
      <c r="AR109" s="219">
        <v>45257.0</v>
      </c>
      <c r="AS109" s="220" t="str">
        <f t="shared" si="111"/>
        <v/>
      </c>
      <c r="AT109" s="220"/>
      <c r="AU109" s="220">
        <f t="shared" si="100"/>
        <v>0</v>
      </c>
      <c r="AV109" s="220">
        <f t="shared" si="101"/>
        <v>-10</v>
      </c>
      <c r="AX109" s="219">
        <v>45257.0</v>
      </c>
      <c r="AY109" s="220" t="str">
        <f t="shared" si="112"/>
        <v/>
      </c>
      <c r="AZ109" s="220"/>
      <c r="BA109" s="220">
        <f t="shared" si="102"/>
        <v>0</v>
      </c>
      <c r="BB109" s="220">
        <f t="shared" si="103"/>
        <v>-10</v>
      </c>
    </row>
    <row r="110" ht="14.25" customHeight="1">
      <c r="A110" s="218"/>
      <c r="B110" s="219">
        <v>45258.0</v>
      </c>
      <c r="C110" s="220" t="str">
        <f t="shared" si="104"/>
        <v/>
      </c>
      <c r="D110" s="220"/>
      <c r="E110" s="220">
        <f t="shared" si="86"/>
        <v>0</v>
      </c>
      <c r="F110" s="220">
        <f t="shared" si="87"/>
        <v>-10</v>
      </c>
      <c r="H110" s="219">
        <v>45258.0</v>
      </c>
      <c r="I110" s="220" t="str">
        <f t="shared" si="105"/>
        <v/>
      </c>
      <c r="J110" s="220"/>
      <c r="K110" s="220">
        <f t="shared" si="88"/>
        <v>0</v>
      </c>
      <c r="L110" s="220">
        <f t="shared" si="89"/>
        <v>-10</v>
      </c>
      <c r="N110" s="219">
        <v>45258.0</v>
      </c>
      <c r="O110" s="220" t="str">
        <f t="shared" si="106"/>
        <v/>
      </c>
      <c r="P110" s="220"/>
      <c r="Q110" s="220">
        <f t="shared" si="90"/>
        <v>0</v>
      </c>
      <c r="R110" s="220">
        <f t="shared" si="91"/>
        <v>-10</v>
      </c>
      <c r="T110" s="219">
        <v>45258.0</v>
      </c>
      <c r="U110" s="220" t="str">
        <f t="shared" si="107"/>
        <v/>
      </c>
      <c r="V110" s="220"/>
      <c r="W110" s="220">
        <f t="shared" si="92"/>
        <v>0</v>
      </c>
      <c r="X110" s="220">
        <f t="shared" si="93"/>
        <v>-10</v>
      </c>
      <c r="Z110" s="219">
        <v>45258.0</v>
      </c>
      <c r="AA110" s="220" t="str">
        <f t="shared" si="108"/>
        <v/>
      </c>
      <c r="AB110" s="220"/>
      <c r="AC110" s="220">
        <f t="shared" si="94"/>
        <v>0</v>
      </c>
      <c r="AD110" s="220">
        <f t="shared" si="95"/>
        <v>-10</v>
      </c>
      <c r="AF110" s="219">
        <v>45258.0</v>
      </c>
      <c r="AG110" s="220" t="str">
        <f t="shared" si="109"/>
        <v/>
      </c>
      <c r="AH110" s="220"/>
      <c r="AI110" s="220">
        <f t="shared" si="96"/>
        <v>0</v>
      </c>
      <c r="AJ110" s="220">
        <f t="shared" si="97"/>
        <v>-10</v>
      </c>
      <c r="AL110" s="219">
        <v>45258.0</v>
      </c>
      <c r="AM110" s="220" t="str">
        <f t="shared" si="110"/>
        <v/>
      </c>
      <c r="AN110" s="220"/>
      <c r="AO110" s="220">
        <f t="shared" si="98"/>
        <v>0</v>
      </c>
      <c r="AP110" s="220">
        <f t="shared" si="99"/>
        <v>-10</v>
      </c>
      <c r="AR110" s="219">
        <v>45258.0</v>
      </c>
      <c r="AS110" s="220" t="str">
        <f t="shared" si="111"/>
        <v/>
      </c>
      <c r="AT110" s="220"/>
      <c r="AU110" s="220">
        <f t="shared" si="100"/>
        <v>0</v>
      </c>
      <c r="AV110" s="220">
        <f t="shared" si="101"/>
        <v>-10</v>
      </c>
      <c r="AX110" s="219">
        <v>45258.0</v>
      </c>
      <c r="AY110" s="220" t="str">
        <f t="shared" si="112"/>
        <v/>
      </c>
      <c r="AZ110" s="220"/>
      <c r="BA110" s="220">
        <f t="shared" si="102"/>
        <v>0</v>
      </c>
      <c r="BB110" s="220">
        <f t="shared" si="103"/>
        <v>-10</v>
      </c>
    </row>
    <row r="111" ht="14.25" customHeight="1">
      <c r="A111" s="218"/>
      <c r="B111" s="219">
        <v>45259.0</v>
      </c>
      <c r="C111" s="220" t="str">
        <f t="shared" si="104"/>
        <v/>
      </c>
      <c r="D111" s="220"/>
      <c r="E111" s="220">
        <f t="shared" si="86"/>
        <v>0</v>
      </c>
      <c r="F111" s="220">
        <f t="shared" si="87"/>
        <v>-10</v>
      </c>
      <c r="H111" s="219">
        <v>45259.0</v>
      </c>
      <c r="I111" s="220" t="str">
        <f t="shared" si="105"/>
        <v/>
      </c>
      <c r="J111" s="220"/>
      <c r="K111" s="220">
        <f t="shared" si="88"/>
        <v>0</v>
      </c>
      <c r="L111" s="220">
        <f t="shared" si="89"/>
        <v>-10</v>
      </c>
      <c r="N111" s="219">
        <v>45259.0</v>
      </c>
      <c r="O111" s="220" t="str">
        <f t="shared" si="106"/>
        <v/>
      </c>
      <c r="P111" s="220"/>
      <c r="Q111" s="220">
        <f t="shared" si="90"/>
        <v>0</v>
      </c>
      <c r="R111" s="220">
        <f t="shared" si="91"/>
        <v>-10</v>
      </c>
      <c r="T111" s="219">
        <v>45259.0</v>
      </c>
      <c r="U111" s="220" t="str">
        <f t="shared" si="107"/>
        <v/>
      </c>
      <c r="V111" s="220"/>
      <c r="W111" s="220">
        <f t="shared" si="92"/>
        <v>0</v>
      </c>
      <c r="X111" s="220">
        <f t="shared" si="93"/>
        <v>-10</v>
      </c>
      <c r="Z111" s="219">
        <v>45259.0</v>
      </c>
      <c r="AA111" s="220" t="str">
        <f t="shared" si="108"/>
        <v/>
      </c>
      <c r="AB111" s="220"/>
      <c r="AC111" s="220">
        <f t="shared" si="94"/>
        <v>0</v>
      </c>
      <c r="AD111" s="220">
        <f t="shared" si="95"/>
        <v>-10</v>
      </c>
      <c r="AF111" s="219">
        <v>45259.0</v>
      </c>
      <c r="AG111" s="220" t="str">
        <f t="shared" si="109"/>
        <v/>
      </c>
      <c r="AH111" s="220"/>
      <c r="AI111" s="220">
        <f t="shared" si="96"/>
        <v>0</v>
      </c>
      <c r="AJ111" s="220">
        <f t="shared" si="97"/>
        <v>-10</v>
      </c>
      <c r="AL111" s="219">
        <v>45259.0</v>
      </c>
      <c r="AM111" s="220" t="str">
        <f t="shared" si="110"/>
        <v/>
      </c>
      <c r="AN111" s="220"/>
      <c r="AO111" s="220">
        <f t="shared" si="98"/>
        <v>0</v>
      </c>
      <c r="AP111" s="220">
        <f t="shared" si="99"/>
        <v>-10</v>
      </c>
      <c r="AR111" s="219">
        <v>45259.0</v>
      </c>
      <c r="AS111" s="220" t="str">
        <f t="shared" si="111"/>
        <v/>
      </c>
      <c r="AT111" s="220"/>
      <c r="AU111" s="220">
        <f t="shared" si="100"/>
        <v>0</v>
      </c>
      <c r="AV111" s="220">
        <f t="shared" si="101"/>
        <v>-10</v>
      </c>
      <c r="AX111" s="219">
        <v>45259.0</v>
      </c>
      <c r="AY111" s="220" t="str">
        <f t="shared" si="112"/>
        <v/>
      </c>
      <c r="AZ111" s="220"/>
      <c r="BA111" s="220">
        <f t="shared" si="102"/>
        <v>0</v>
      </c>
      <c r="BB111" s="220">
        <f t="shared" si="103"/>
        <v>-10</v>
      </c>
    </row>
    <row r="112" ht="14.25" customHeight="1">
      <c r="A112" s="218"/>
      <c r="B112" s="219">
        <v>45260.0</v>
      </c>
      <c r="C112" s="220" t="str">
        <f t="shared" si="104"/>
        <v/>
      </c>
      <c r="D112" s="220"/>
      <c r="E112" s="220">
        <f t="shared" si="86"/>
        <v>0</v>
      </c>
      <c r="F112" s="220">
        <f t="shared" si="87"/>
        <v>-10</v>
      </c>
      <c r="H112" s="219">
        <v>45260.0</v>
      </c>
      <c r="I112" s="220" t="str">
        <f t="shared" si="105"/>
        <v/>
      </c>
      <c r="J112" s="220"/>
      <c r="K112" s="220">
        <f t="shared" si="88"/>
        <v>0</v>
      </c>
      <c r="L112" s="220">
        <f t="shared" si="89"/>
        <v>-10</v>
      </c>
      <c r="N112" s="219">
        <v>45260.0</v>
      </c>
      <c r="O112" s="220" t="str">
        <f t="shared" si="106"/>
        <v/>
      </c>
      <c r="P112" s="220"/>
      <c r="Q112" s="220">
        <f t="shared" si="90"/>
        <v>0</v>
      </c>
      <c r="R112" s="220">
        <f t="shared" si="91"/>
        <v>-10</v>
      </c>
      <c r="T112" s="219">
        <v>45260.0</v>
      </c>
      <c r="U112" s="220" t="str">
        <f t="shared" si="107"/>
        <v/>
      </c>
      <c r="V112" s="220"/>
      <c r="W112" s="220">
        <f t="shared" si="92"/>
        <v>0</v>
      </c>
      <c r="X112" s="220">
        <f t="shared" si="93"/>
        <v>-10</v>
      </c>
      <c r="Z112" s="219">
        <v>45260.0</v>
      </c>
      <c r="AA112" s="220" t="str">
        <f t="shared" si="108"/>
        <v/>
      </c>
      <c r="AB112" s="220"/>
      <c r="AC112" s="220">
        <f t="shared" si="94"/>
        <v>0</v>
      </c>
      <c r="AD112" s="220">
        <f t="shared" si="95"/>
        <v>-10</v>
      </c>
      <c r="AF112" s="219">
        <v>45260.0</v>
      </c>
      <c r="AG112" s="220" t="str">
        <f t="shared" si="109"/>
        <v/>
      </c>
      <c r="AH112" s="220"/>
      <c r="AI112" s="220">
        <f t="shared" si="96"/>
        <v>0</v>
      </c>
      <c r="AJ112" s="220">
        <f t="shared" si="97"/>
        <v>-10</v>
      </c>
      <c r="AL112" s="219">
        <v>45260.0</v>
      </c>
      <c r="AM112" s="220" t="str">
        <f t="shared" si="110"/>
        <v/>
      </c>
      <c r="AN112" s="220"/>
      <c r="AO112" s="220">
        <f t="shared" si="98"/>
        <v>0</v>
      </c>
      <c r="AP112" s="220">
        <f t="shared" si="99"/>
        <v>-10</v>
      </c>
      <c r="AR112" s="219">
        <v>45260.0</v>
      </c>
      <c r="AS112" s="220" t="str">
        <f t="shared" si="111"/>
        <v/>
      </c>
      <c r="AT112" s="220"/>
      <c r="AU112" s="220">
        <f t="shared" si="100"/>
        <v>0</v>
      </c>
      <c r="AV112" s="220">
        <f t="shared" si="101"/>
        <v>-10</v>
      </c>
      <c r="AX112" s="219">
        <v>45260.0</v>
      </c>
      <c r="AY112" s="220" t="str">
        <f t="shared" si="112"/>
        <v/>
      </c>
      <c r="AZ112" s="220"/>
      <c r="BA112" s="220">
        <f t="shared" si="102"/>
        <v>0</v>
      </c>
      <c r="BB112" s="220">
        <f t="shared" si="103"/>
        <v>-10</v>
      </c>
    </row>
    <row r="113" ht="14.25" customHeight="1">
      <c r="A113" s="218"/>
      <c r="B113" s="219">
        <v>45261.0</v>
      </c>
      <c r="C113" s="220" t="str">
        <f t="shared" si="104"/>
        <v/>
      </c>
      <c r="D113" s="220"/>
      <c r="E113" s="220">
        <f t="shared" si="86"/>
        <v>0</v>
      </c>
      <c r="F113" s="220">
        <f t="shared" si="87"/>
        <v>-10</v>
      </c>
      <c r="H113" s="219">
        <v>45261.0</v>
      </c>
      <c r="I113" s="220" t="str">
        <f t="shared" si="105"/>
        <v/>
      </c>
      <c r="J113" s="220"/>
      <c r="K113" s="220">
        <f t="shared" si="88"/>
        <v>0</v>
      </c>
      <c r="L113" s="220">
        <f t="shared" si="89"/>
        <v>-10</v>
      </c>
      <c r="N113" s="219">
        <v>45261.0</v>
      </c>
      <c r="O113" s="220" t="str">
        <f t="shared" si="106"/>
        <v/>
      </c>
      <c r="P113" s="220"/>
      <c r="Q113" s="220">
        <f t="shared" si="90"/>
        <v>0</v>
      </c>
      <c r="R113" s="220">
        <f t="shared" si="91"/>
        <v>-10</v>
      </c>
      <c r="T113" s="219">
        <v>45261.0</v>
      </c>
      <c r="U113" s="220" t="str">
        <f t="shared" si="107"/>
        <v/>
      </c>
      <c r="V113" s="220"/>
      <c r="W113" s="220">
        <f t="shared" si="92"/>
        <v>0</v>
      </c>
      <c r="X113" s="220">
        <f t="shared" si="93"/>
        <v>-10</v>
      </c>
      <c r="Z113" s="219">
        <v>45261.0</v>
      </c>
      <c r="AA113" s="220" t="str">
        <f t="shared" si="108"/>
        <v/>
      </c>
      <c r="AB113" s="220"/>
      <c r="AC113" s="220">
        <f t="shared" si="94"/>
        <v>0</v>
      </c>
      <c r="AD113" s="220">
        <f t="shared" si="95"/>
        <v>-10</v>
      </c>
      <c r="AF113" s="219">
        <v>45261.0</v>
      </c>
      <c r="AG113" s="220" t="str">
        <f t="shared" si="109"/>
        <v/>
      </c>
      <c r="AH113" s="220"/>
      <c r="AI113" s="220">
        <f t="shared" si="96"/>
        <v>0</v>
      </c>
      <c r="AJ113" s="220">
        <f t="shared" si="97"/>
        <v>-10</v>
      </c>
      <c r="AL113" s="219">
        <v>45261.0</v>
      </c>
      <c r="AM113" s="220" t="str">
        <f t="shared" si="110"/>
        <v/>
      </c>
      <c r="AN113" s="220"/>
      <c r="AO113" s="220">
        <f t="shared" si="98"/>
        <v>0</v>
      </c>
      <c r="AP113" s="220">
        <f t="shared" si="99"/>
        <v>-10</v>
      </c>
      <c r="AR113" s="219">
        <v>45261.0</v>
      </c>
      <c r="AS113" s="220" t="str">
        <f t="shared" si="111"/>
        <v/>
      </c>
      <c r="AT113" s="220"/>
      <c r="AU113" s="220">
        <f t="shared" si="100"/>
        <v>0</v>
      </c>
      <c r="AV113" s="220">
        <f t="shared" si="101"/>
        <v>-10</v>
      </c>
      <c r="AX113" s="219">
        <v>45261.0</v>
      </c>
      <c r="AY113" s="220" t="str">
        <f t="shared" si="112"/>
        <v/>
      </c>
      <c r="AZ113" s="220"/>
      <c r="BA113" s="220">
        <f t="shared" si="102"/>
        <v>0</v>
      </c>
      <c r="BB113" s="220">
        <f t="shared" si="103"/>
        <v>-10</v>
      </c>
    </row>
    <row r="114" ht="14.25" customHeight="1">
      <c r="A114" s="222"/>
      <c r="B114" s="216"/>
      <c r="C114" s="223" t="s">
        <v>221</v>
      </c>
      <c r="D114" s="223"/>
      <c r="E114" s="216">
        <f>SUM(E83:E113)</f>
        <v>0</v>
      </c>
      <c r="F114" s="216">
        <f t="shared" si="87"/>
        <v>-10</v>
      </c>
      <c r="H114" s="216"/>
      <c r="I114" s="223" t="s">
        <v>221</v>
      </c>
      <c r="J114" s="223"/>
      <c r="K114" s="216">
        <f>SUM(K83:K113)</f>
        <v>0</v>
      </c>
      <c r="L114" s="216">
        <f t="shared" si="89"/>
        <v>-10</v>
      </c>
      <c r="N114" s="216"/>
      <c r="O114" s="223" t="s">
        <v>221</v>
      </c>
      <c r="P114" s="223"/>
      <c r="Q114" s="216">
        <f>SUM(Q83:Q113)</f>
        <v>0</v>
      </c>
      <c r="R114" s="216">
        <f t="shared" si="91"/>
        <v>-10</v>
      </c>
      <c r="T114" s="216"/>
      <c r="U114" s="223" t="s">
        <v>221</v>
      </c>
      <c r="V114" s="223"/>
      <c r="W114" s="216">
        <f>SUM(W83:W113)</f>
        <v>0</v>
      </c>
      <c r="X114" s="216">
        <f t="shared" si="93"/>
        <v>-10</v>
      </c>
      <c r="Z114" s="216"/>
      <c r="AA114" s="223" t="s">
        <v>221</v>
      </c>
      <c r="AB114" s="223"/>
      <c r="AC114" s="216">
        <f>SUM(AC83:AC113)</f>
        <v>0</v>
      </c>
      <c r="AD114" s="216">
        <f t="shared" si="95"/>
        <v>-10</v>
      </c>
      <c r="AF114" s="216"/>
      <c r="AG114" s="223" t="s">
        <v>221</v>
      </c>
      <c r="AH114" s="223"/>
      <c r="AI114" s="216">
        <f>SUM(AI83:AI113)</f>
        <v>0</v>
      </c>
      <c r="AJ114" s="216">
        <f t="shared" si="97"/>
        <v>-10</v>
      </c>
      <c r="AL114" s="216"/>
      <c r="AM114" s="223" t="s">
        <v>221</v>
      </c>
      <c r="AN114" s="223"/>
      <c r="AO114" s="216">
        <f>SUM(AO83:AO113)</f>
        <v>0</v>
      </c>
      <c r="AP114" s="216">
        <f t="shared" si="99"/>
        <v>-10</v>
      </c>
      <c r="AR114" s="216"/>
      <c r="AS114" s="223" t="s">
        <v>221</v>
      </c>
      <c r="AT114" s="223"/>
      <c r="AU114" s="216">
        <f>SUM(AU83:AU113)</f>
        <v>0</v>
      </c>
      <c r="AV114" s="216">
        <f t="shared" si="101"/>
        <v>-10</v>
      </c>
      <c r="AX114" s="216"/>
      <c r="AY114" s="223" t="s">
        <v>221</v>
      </c>
      <c r="AZ114" s="223"/>
      <c r="BA114" s="216">
        <f>SUM(BA83:BA113)</f>
        <v>0</v>
      </c>
      <c r="BB114" s="216">
        <f t="shared" si="103"/>
        <v>-10</v>
      </c>
    </row>
    <row r="115" ht="14.25" customHeight="1"/>
    <row r="116" ht="14.25" customHeight="1"/>
    <row r="117" ht="14.25" customHeight="1"/>
    <row r="118" ht="18.0" customHeight="1">
      <c r="A118" s="215" t="s">
        <v>226</v>
      </c>
      <c r="B118" s="206" t="s">
        <v>18</v>
      </c>
      <c r="C118" s="207"/>
      <c r="D118" s="207"/>
      <c r="E118" s="207"/>
      <c r="F118" s="208"/>
      <c r="G118" s="209"/>
      <c r="H118" s="206" t="s">
        <v>20</v>
      </c>
      <c r="I118" s="207"/>
      <c r="J118" s="207"/>
      <c r="K118" s="207"/>
      <c r="L118" s="208"/>
      <c r="M118" s="209"/>
      <c r="N118" s="206" t="s">
        <v>142</v>
      </c>
      <c r="O118" s="207"/>
      <c r="P118" s="207"/>
      <c r="Q118" s="207"/>
      <c r="R118" s="208"/>
      <c r="S118" s="209"/>
      <c r="T118" s="206" t="s">
        <v>95</v>
      </c>
      <c r="U118" s="207"/>
      <c r="V118" s="207"/>
      <c r="W118" s="207"/>
      <c r="X118" s="208"/>
      <c r="Y118" s="209"/>
      <c r="Z118" s="206" t="s">
        <v>32</v>
      </c>
      <c r="AA118" s="207"/>
      <c r="AB118" s="207"/>
      <c r="AC118" s="207"/>
      <c r="AD118" s="208"/>
      <c r="AE118" s="209"/>
      <c r="AF118" s="206" t="s">
        <v>27</v>
      </c>
      <c r="AG118" s="207"/>
      <c r="AH118" s="207"/>
      <c r="AI118" s="207"/>
      <c r="AJ118" s="208"/>
      <c r="AK118" s="209"/>
      <c r="AL118" s="206" t="s">
        <v>34</v>
      </c>
      <c r="AM118" s="207"/>
      <c r="AN118" s="207"/>
      <c r="AO118" s="207"/>
      <c r="AP118" s="208"/>
      <c r="AQ118" s="209"/>
      <c r="AR118" s="206"/>
      <c r="AS118" s="207"/>
      <c r="AT118" s="207"/>
      <c r="AU118" s="207"/>
      <c r="AV118" s="208"/>
      <c r="AW118" s="209"/>
      <c r="AX118" s="206"/>
      <c r="AY118" s="207"/>
      <c r="AZ118" s="207"/>
      <c r="BA118" s="207"/>
      <c r="BB118" s="208"/>
    </row>
    <row r="119" ht="14.25" customHeight="1">
      <c r="A119" s="218"/>
      <c r="B119" s="210"/>
      <c r="F119" s="211"/>
      <c r="G119" s="209"/>
      <c r="H119" s="210"/>
      <c r="L119" s="211"/>
      <c r="M119" s="209"/>
      <c r="N119" s="210"/>
      <c r="R119" s="211"/>
      <c r="S119" s="209"/>
      <c r="T119" s="210"/>
      <c r="X119" s="211"/>
      <c r="Y119" s="209"/>
      <c r="Z119" s="210"/>
      <c r="AD119" s="211"/>
      <c r="AE119" s="209"/>
      <c r="AF119" s="210"/>
      <c r="AJ119" s="211"/>
      <c r="AK119" s="209"/>
      <c r="AL119" s="210"/>
      <c r="AP119" s="211"/>
      <c r="AQ119" s="209"/>
      <c r="AR119" s="210"/>
      <c r="AV119" s="211"/>
      <c r="AW119" s="209"/>
      <c r="AX119" s="210"/>
      <c r="BB119" s="211"/>
    </row>
    <row r="120" ht="14.25" customHeight="1">
      <c r="A120" s="218"/>
      <c r="B120" s="212"/>
      <c r="C120" s="213"/>
      <c r="D120" s="213"/>
      <c r="E120" s="213"/>
      <c r="F120" s="214"/>
      <c r="G120" s="209"/>
      <c r="H120" s="212"/>
      <c r="I120" s="213"/>
      <c r="J120" s="213"/>
      <c r="K120" s="213"/>
      <c r="L120" s="214"/>
      <c r="M120" s="209"/>
      <c r="N120" s="212"/>
      <c r="O120" s="213"/>
      <c r="P120" s="213"/>
      <c r="Q120" s="213"/>
      <c r="R120" s="214"/>
      <c r="S120" s="209"/>
      <c r="T120" s="212"/>
      <c r="U120" s="213"/>
      <c r="V120" s="213"/>
      <c r="W120" s="213"/>
      <c r="X120" s="214"/>
      <c r="Y120" s="209"/>
      <c r="Z120" s="212"/>
      <c r="AA120" s="213"/>
      <c r="AB120" s="213"/>
      <c r="AC120" s="213"/>
      <c r="AD120" s="214"/>
      <c r="AE120" s="209"/>
      <c r="AF120" s="212"/>
      <c r="AG120" s="213"/>
      <c r="AH120" s="213"/>
      <c r="AI120" s="213"/>
      <c r="AJ120" s="214"/>
      <c r="AK120" s="209"/>
      <c r="AL120" s="212"/>
      <c r="AM120" s="213"/>
      <c r="AN120" s="213"/>
      <c r="AO120" s="213"/>
      <c r="AP120" s="214"/>
      <c r="AQ120" s="209"/>
      <c r="AR120" s="212"/>
      <c r="AS120" s="213"/>
      <c r="AT120" s="213"/>
      <c r="AU120" s="213"/>
      <c r="AV120" s="214"/>
      <c r="AW120" s="209"/>
      <c r="AX120" s="212"/>
      <c r="AY120" s="213"/>
      <c r="AZ120" s="213"/>
      <c r="BA120" s="213"/>
      <c r="BB120" s="214"/>
    </row>
    <row r="121" ht="14.25" customHeight="1">
      <c r="A121" s="218"/>
      <c r="B121" s="216" t="s">
        <v>214</v>
      </c>
      <c r="C121" s="216" t="s">
        <v>215</v>
      </c>
      <c r="D121" s="216" t="s">
        <v>216</v>
      </c>
      <c r="E121" s="216" t="s">
        <v>217</v>
      </c>
      <c r="F121" s="216" t="s">
        <v>218</v>
      </c>
      <c r="H121" s="217" t="s">
        <v>214</v>
      </c>
      <c r="I121" s="216" t="s">
        <v>215</v>
      </c>
      <c r="J121" s="216" t="s">
        <v>216</v>
      </c>
      <c r="K121" s="216" t="s">
        <v>217</v>
      </c>
      <c r="L121" s="216" t="s">
        <v>218</v>
      </c>
      <c r="N121" s="216" t="s">
        <v>214</v>
      </c>
      <c r="O121" s="216" t="s">
        <v>215</v>
      </c>
      <c r="P121" s="216" t="s">
        <v>216</v>
      </c>
      <c r="Q121" s="216" t="s">
        <v>217</v>
      </c>
      <c r="R121" s="216" t="s">
        <v>218</v>
      </c>
      <c r="T121" s="216" t="s">
        <v>214</v>
      </c>
      <c r="U121" s="216" t="s">
        <v>215</v>
      </c>
      <c r="V121" s="216" t="s">
        <v>216</v>
      </c>
      <c r="W121" s="216" t="s">
        <v>217</v>
      </c>
      <c r="X121" s="216" t="s">
        <v>218</v>
      </c>
      <c r="Z121" s="216" t="s">
        <v>214</v>
      </c>
      <c r="AA121" s="216" t="s">
        <v>215</v>
      </c>
      <c r="AB121" s="216" t="s">
        <v>216</v>
      </c>
      <c r="AC121" s="216" t="s">
        <v>217</v>
      </c>
      <c r="AD121" s="216" t="s">
        <v>218</v>
      </c>
      <c r="AF121" s="216" t="s">
        <v>214</v>
      </c>
      <c r="AG121" s="216" t="s">
        <v>215</v>
      </c>
      <c r="AH121" s="216" t="s">
        <v>216</v>
      </c>
      <c r="AI121" s="216" t="s">
        <v>217</v>
      </c>
      <c r="AJ121" s="216" t="s">
        <v>218</v>
      </c>
      <c r="AL121" s="216" t="s">
        <v>214</v>
      </c>
      <c r="AM121" s="216" t="s">
        <v>215</v>
      </c>
      <c r="AN121" s="216" t="s">
        <v>216</v>
      </c>
      <c r="AO121" s="216" t="s">
        <v>217</v>
      </c>
      <c r="AP121" s="216" t="s">
        <v>218</v>
      </c>
      <c r="AR121" s="216" t="s">
        <v>214</v>
      </c>
      <c r="AS121" s="216" t="s">
        <v>215</v>
      </c>
      <c r="AT121" s="216" t="s">
        <v>216</v>
      </c>
      <c r="AU121" s="216" t="s">
        <v>217</v>
      </c>
      <c r="AV121" s="216" t="s">
        <v>218</v>
      </c>
      <c r="AX121" s="216" t="s">
        <v>214</v>
      </c>
      <c r="AY121" s="216" t="s">
        <v>215</v>
      </c>
      <c r="AZ121" s="216" t="s">
        <v>216</v>
      </c>
      <c r="BA121" s="216" t="s">
        <v>217</v>
      </c>
      <c r="BB121" s="216" t="s">
        <v>218</v>
      </c>
    </row>
    <row r="122" ht="14.25" customHeight="1">
      <c r="A122" s="218"/>
      <c r="B122" s="219">
        <v>45261.0</v>
      </c>
      <c r="C122" s="220"/>
      <c r="D122" s="220"/>
      <c r="E122" s="220">
        <f t="shared" ref="E122:E152" si="113">D122-C122</f>
        <v>0</v>
      </c>
      <c r="F122" s="220">
        <f t="shared" ref="F122:F153" si="114">E122-10</f>
        <v>-10</v>
      </c>
      <c r="H122" s="219">
        <v>45261.0</v>
      </c>
      <c r="I122" s="220"/>
      <c r="J122" s="220"/>
      <c r="K122" s="220">
        <f t="shared" ref="K122:K152" si="115">J122-I122</f>
        <v>0</v>
      </c>
      <c r="L122" s="220">
        <f t="shared" ref="L122:L153" si="116">K122-10</f>
        <v>-10</v>
      </c>
      <c r="N122" s="219">
        <v>45261.0</v>
      </c>
      <c r="O122" s="220"/>
      <c r="P122" s="220"/>
      <c r="Q122" s="220">
        <f t="shared" ref="Q122:Q152" si="117">P122-O122</f>
        <v>0</v>
      </c>
      <c r="R122" s="220">
        <f t="shared" ref="R122:R153" si="118">Q122-10</f>
        <v>-10</v>
      </c>
      <c r="T122" s="219">
        <v>45261.0</v>
      </c>
      <c r="U122" s="220"/>
      <c r="V122" s="220"/>
      <c r="W122" s="220">
        <f t="shared" ref="W122:W152" si="119">V122-U122</f>
        <v>0</v>
      </c>
      <c r="X122" s="220">
        <f t="shared" ref="X122:X153" si="120">W122-10</f>
        <v>-10</v>
      </c>
      <c r="Z122" s="219">
        <v>45261.0</v>
      </c>
      <c r="AA122" s="220"/>
      <c r="AB122" s="220"/>
      <c r="AC122" s="220">
        <f t="shared" ref="AC122:AC152" si="121">AB122-AA122</f>
        <v>0</v>
      </c>
      <c r="AD122" s="220">
        <f t="shared" ref="AD122:AD153" si="122">AC122-10</f>
        <v>-10</v>
      </c>
      <c r="AF122" s="219">
        <v>45261.0</v>
      </c>
      <c r="AG122" s="220"/>
      <c r="AH122" s="220"/>
      <c r="AI122" s="220">
        <f t="shared" ref="AI122:AI152" si="123">AH122-AG122</f>
        <v>0</v>
      </c>
      <c r="AJ122" s="220">
        <f t="shared" ref="AJ122:AJ153" si="124">AI122-10</f>
        <v>-10</v>
      </c>
      <c r="AL122" s="219">
        <v>45261.0</v>
      </c>
      <c r="AM122" s="220"/>
      <c r="AN122" s="220"/>
      <c r="AO122" s="220">
        <f t="shared" ref="AO122:AO152" si="125">AN122-AM122</f>
        <v>0</v>
      </c>
      <c r="AP122" s="220">
        <f t="shared" ref="AP122:AP153" si="126">AO122-10</f>
        <v>-10</v>
      </c>
      <c r="AR122" s="219">
        <v>45261.0</v>
      </c>
      <c r="AS122" s="220"/>
      <c r="AT122" s="220"/>
      <c r="AU122" s="220">
        <f t="shared" ref="AU122:AU152" si="127">AT122-AS122</f>
        <v>0</v>
      </c>
      <c r="AV122" s="220">
        <f t="shared" ref="AV122:AV153" si="128">AU122-10</f>
        <v>-10</v>
      </c>
      <c r="AX122" s="219">
        <v>45261.0</v>
      </c>
      <c r="AY122" s="220"/>
      <c r="AZ122" s="220"/>
      <c r="BA122" s="220">
        <f t="shared" ref="BA122:BA152" si="129">AZ122-AY122</f>
        <v>0</v>
      </c>
      <c r="BB122" s="220">
        <f t="shared" ref="BB122:BB153" si="130">BA122-10</f>
        <v>-10</v>
      </c>
    </row>
    <row r="123" ht="14.25" customHeight="1">
      <c r="A123" s="218"/>
      <c r="B123" s="219">
        <v>45262.0</v>
      </c>
      <c r="C123" s="220" t="str">
        <f t="shared" ref="C123:C152" si="131">D122</f>
        <v/>
      </c>
      <c r="D123" s="220"/>
      <c r="E123" s="220">
        <f t="shared" si="113"/>
        <v>0</v>
      </c>
      <c r="F123" s="220">
        <f t="shared" si="114"/>
        <v>-10</v>
      </c>
      <c r="H123" s="219">
        <v>45262.0</v>
      </c>
      <c r="I123" s="220" t="str">
        <f t="shared" ref="I123:I152" si="132">J122</f>
        <v/>
      </c>
      <c r="J123" s="220"/>
      <c r="K123" s="220">
        <f t="shared" si="115"/>
        <v>0</v>
      </c>
      <c r="L123" s="220">
        <f t="shared" si="116"/>
        <v>-10</v>
      </c>
      <c r="N123" s="219">
        <v>45262.0</v>
      </c>
      <c r="O123" s="220" t="str">
        <f t="shared" ref="O123:O152" si="133">P122</f>
        <v/>
      </c>
      <c r="P123" s="220"/>
      <c r="Q123" s="220">
        <f t="shared" si="117"/>
        <v>0</v>
      </c>
      <c r="R123" s="220">
        <f t="shared" si="118"/>
        <v>-10</v>
      </c>
      <c r="T123" s="219">
        <v>45262.0</v>
      </c>
      <c r="U123" s="220" t="str">
        <f t="shared" ref="U123:U152" si="134">V122</f>
        <v/>
      </c>
      <c r="V123" s="220"/>
      <c r="W123" s="220">
        <f t="shared" si="119"/>
        <v>0</v>
      </c>
      <c r="X123" s="220">
        <f t="shared" si="120"/>
        <v>-10</v>
      </c>
      <c r="Z123" s="219">
        <v>45262.0</v>
      </c>
      <c r="AA123" s="220" t="str">
        <f t="shared" ref="AA123:AA152" si="135">AB122</f>
        <v/>
      </c>
      <c r="AB123" s="220"/>
      <c r="AC123" s="220">
        <f t="shared" si="121"/>
        <v>0</v>
      </c>
      <c r="AD123" s="220">
        <f t="shared" si="122"/>
        <v>-10</v>
      </c>
      <c r="AF123" s="219">
        <v>45262.0</v>
      </c>
      <c r="AG123" s="220" t="str">
        <f t="shared" ref="AG123:AG152" si="136">AH122</f>
        <v/>
      </c>
      <c r="AH123" s="220"/>
      <c r="AI123" s="220">
        <f t="shared" si="123"/>
        <v>0</v>
      </c>
      <c r="AJ123" s="220">
        <f t="shared" si="124"/>
        <v>-10</v>
      </c>
      <c r="AL123" s="219">
        <v>45262.0</v>
      </c>
      <c r="AM123" s="220" t="str">
        <f t="shared" ref="AM123:AM152" si="137">AN122</f>
        <v/>
      </c>
      <c r="AN123" s="220"/>
      <c r="AO123" s="220">
        <f t="shared" si="125"/>
        <v>0</v>
      </c>
      <c r="AP123" s="220">
        <f t="shared" si="126"/>
        <v>-10</v>
      </c>
      <c r="AR123" s="219">
        <v>45262.0</v>
      </c>
      <c r="AS123" s="220" t="str">
        <f t="shared" ref="AS123:AS152" si="138">AT122</f>
        <v/>
      </c>
      <c r="AT123" s="220"/>
      <c r="AU123" s="220">
        <f t="shared" si="127"/>
        <v>0</v>
      </c>
      <c r="AV123" s="220">
        <f t="shared" si="128"/>
        <v>-10</v>
      </c>
      <c r="AX123" s="219">
        <v>45262.0</v>
      </c>
      <c r="AY123" s="220" t="str">
        <f t="shared" ref="AY123:AY152" si="139">AZ122</f>
        <v/>
      </c>
      <c r="AZ123" s="220"/>
      <c r="BA123" s="220">
        <f t="shared" si="129"/>
        <v>0</v>
      </c>
      <c r="BB123" s="220">
        <f t="shared" si="130"/>
        <v>-10</v>
      </c>
    </row>
    <row r="124" ht="14.25" customHeight="1">
      <c r="A124" s="218"/>
      <c r="B124" s="219">
        <v>45263.0</v>
      </c>
      <c r="C124" s="220" t="str">
        <f t="shared" si="131"/>
        <v/>
      </c>
      <c r="D124" s="220"/>
      <c r="E124" s="220">
        <f t="shared" si="113"/>
        <v>0</v>
      </c>
      <c r="F124" s="220">
        <f t="shared" si="114"/>
        <v>-10</v>
      </c>
      <c r="G124" s="221"/>
      <c r="H124" s="219">
        <v>45263.0</v>
      </c>
      <c r="I124" s="220" t="str">
        <f t="shared" si="132"/>
        <v/>
      </c>
      <c r="J124" s="220"/>
      <c r="K124" s="220">
        <f t="shared" si="115"/>
        <v>0</v>
      </c>
      <c r="L124" s="220">
        <f t="shared" si="116"/>
        <v>-10</v>
      </c>
      <c r="M124" s="221"/>
      <c r="N124" s="219">
        <v>45263.0</v>
      </c>
      <c r="O124" s="220" t="str">
        <f t="shared" si="133"/>
        <v/>
      </c>
      <c r="P124" s="220"/>
      <c r="Q124" s="220">
        <f t="shared" si="117"/>
        <v>0</v>
      </c>
      <c r="R124" s="220">
        <f t="shared" si="118"/>
        <v>-10</v>
      </c>
      <c r="S124" s="221"/>
      <c r="T124" s="219">
        <v>45263.0</v>
      </c>
      <c r="U124" s="220" t="str">
        <f t="shared" si="134"/>
        <v/>
      </c>
      <c r="V124" s="220"/>
      <c r="W124" s="220">
        <f t="shared" si="119"/>
        <v>0</v>
      </c>
      <c r="X124" s="220">
        <f t="shared" si="120"/>
        <v>-10</v>
      </c>
      <c r="Y124" s="221"/>
      <c r="Z124" s="219">
        <v>45263.0</v>
      </c>
      <c r="AA124" s="220" t="str">
        <f t="shared" si="135"/>
        <v/>
      </c>
      <c r="AB124" s="220"/>
      <c r="AC124" s="220">
        <f t="shared" si="121"/>
        <v>0</v>
      </c>
      <c r="AD124" s="220">
        <f t="shared" si="122"/>
        <v>-10</v>
      </c>
      <c r="AE124" s="221"/>
      <c r="AF124" s="219">
        <v>45263.0</v>
      </c>
      <c r="AG124" s="220" t="str">
        <f t="shared" si="136"/>
        <v/>
      </c>
      <c r="AH124" s="220"/>
      <c r="AI124" s="220">
        <f t="shared" si="123"/>
        <v>0</v>
      </c>
      <c r="AJ124" s="220">
        <f t="shared" si="124"/>
        <v>-10</v>
      </c>
      <c r="AK124" s="221"/>
      <c r="AL124" s="219">
        <v>45263.0</v>
      </c>
      <c r="AM124" s="220" t="str">
        <f t="shared" si="137"/>
        <v/>
      </c>
      <c r="AN124" s="220"/>
      <c r="AO124" s="220">
        <f t="shared" si="125"/>
        <v>0</v>
      </c>
      <c r="AP124" s="220">
        <f t="shared" si="126"/>
        <v>-10</v>
      </c>
      <c r="AQ124" s="221"/>
      <c r="AR124" s="219">
        <v>45263.0</v>
      </c>
      <c r="AS124" s="220" t="str">
        <f t="shared" si="138"/>
        <v/>
      </c>
      <c r="AT124" s="220"/>
      <c r="AU124" s="220">
        <f t="shared" si="127"/>
        <v>0</v>
      </c>
      <c r="AV124" s="220">
        <f t="shared" si="128"/>
        <v>-10</v>
      </c>
      <c r="AW124" s="221"/>
      <c r="AX124" s="219">
        <v>45263.0</v>
      </c>
      <c r="AY124" s="220" t="str">
        <f t="shared" si="139"/>
        <v/>
      </c>
      <c r="AZ124" s="220"/>
      <c r="BA124" s="220">
        <f t="shared" si="129"/>
        <v>0</v>
      </c>
      <c r="BB124" s="220">
        <f t="shared" si="130"/>
        <v>-10</v>
      </c>
    </row>
    <row r="125" ht="14.25" customHeight="1">
      <c r="A125" s="218"/>
      <c r="B125" s="219">
        <v>45264.0</v>
      </c>
      <c r="C125" s="220" t="str">
        <f t="shared" si="131"/>
        <v/>
      </c>
      <c r="D125" s="220"/>
      <c r="E125" s="220">
        <f t="shared" si="113"/>
        <v>0</v>
      </c>
      <c r="F125" s="220">
        <f t="shared" si="114"/>
        <v>-10</v>
      </c>
      <c r="G125" s="221"/>
      <c r="H125" s="219">
        <v>45264.0</v>
      </c>
      <c r="I125" s="220" t="str">
        <f t="shared" si="132"/>
        <v/>
      </c>
      <c r="J125" s="220"/>
      <c r="K125" s="220">
        <f t="shared" si="115"/>
        <v>0</v>
      </c>
      <c r="L125" s="220">
        <f t="shared" si="116"/>
        <v>-10</v>
      </c>
      <c r="M125" s="221"/>
      <c r="N125" s="219">
        <v>45264.0</v>
      </c>
      <c r="O125" s="220" t="str">
        <f t="shared" si="133"/>
        <v/>
      </c>
      <c r="P125" s="220"/>
      <c r="Q125" s="220">
        <f t="shared" si="117"/>
        <v>0</v>
      </c>
      <c r="R125" s="220">
        <f t="shared" si="118"/>
        <v>-10</v>
      </c>
      <c r="S125" s="221"/>
      <c r="T125" s="219">
        <v>45264.0</v>
      </c>
      <c r="U125" s="220" t="str">
        <f t="shared" si="134"/>
        <v/>
      </c>
      <c r="V125" s="220"/>
      <c r="W125" s="220">
        <f t="shared" si="119"/>
        <v>0</v>
      </c>
      <c r="X125" s="220">
        <f t="shared" si="120"/>
        <v>-10</v>
      </c>
      <c r="Y125" s="221"/>
      <c r="Z125" s="219">
        <v>45264.0</v>
      </c>
      <c r="AA125" s="220" t="str">
        <f t="shared" si="135"/>
        <v/>
      </c>
      <c r="AB125" s="220"/>
      <c r="AC125" s="220">
        <f t="shared" si="121"/>
        <v>0</v>
      </c>
      <c r="AD125" s="220">
        <f t="shared" si="122"/>
        <v>-10</v>
      </c>
      <c r="AE125" s="221"/>
      <c r="AF125" s="219">
        <v>45264.0</v>
      </c>
      <c r="AG125" s="220" t="str">
        <f t="shared" si="136"/>
        <v/>
      </c>
      <c r="AH125" s="220"/>
      <c r="AI125" s="220">
        <f t="shared" si="123"/>
        <v>0</v>
      </c>
      <c r="AJ125" s="220">
        <f t="shared" si="124"/>
        <v>-10</v>
      </c>
      <c r="AK125" s="221"/>
      <c r="AL125" s="219">
        <v>45264.0</v>
      </c>
      <c r="AM125" s="220" t="str">
        <f t="shared" si="137"/>
        <v/>
      </c>
      <c r="AN125" s="220"/>
      <c r="AO125" s="220">
        <f t="shared" si="125"/>
        <v>0</v>
      </c>
      <c r="AP125" s="220">
        <f t="shared" si="126"/>
        <v>-10</v>
      </c>
      <c r="AQ125" s="221"/>
      <c r="AR125" s="219">
        <v>45264.0</v>
      </c>
      <c r="AS125" s="220" t="str">
        <f t="shared" si="138"/>
        <v/>
      </c>
      <c r="AT125" s="220"/>
      <c r="AU125" s="220">
        <f t="shared" si="127"/>
        <v>0</v>
      </c>
      <c r="AV125" s="220">
        <f t="shared" si="128"/>
        <v>-10</v>
      </c>
      <c r="AW125" s="221"/>
      <c r="AX125" s="219">
        <v>45264.0</v>
      </c>
      <c r="AY125" s="220" t="str">
        <f t="shared" si="139"/>
        <v/>
      </c>
      <c r="AZ125" s="220"/>
      <c r="BA125" s="220">
        <f t="shared" si="129"/>
        <v>0</v>
      </c>
      <c r="BB125" s="220">
        <f t="shared" si="130"/>
        <v>-10</v>
      </c>
    </row>
    <row r="126" ht="14.25" customHeight="1">
      <c r="A126" s="218"/>
      <c r="B126" s="219">
        <v>45265.0</v>
      </c>
      <c r="C126" s="220" t="str">
        <f t="shared" si="131"/>
        <v/>
      </c>
      <c r="D126" s="220"/>
      <c r="E126" s="220">
        <f t="shared" si="113"/>
        <v>0</v>
      </c>
      <c r="F126" s="220">
        <f t="shared" si="114"/>
        <v>-10</v>
      </c>
      <c r="H126" s="219">
        <v>45265.0</v>
      </c>
      <c r="I126" s="220" t="str">
        <f t="shared" si="132"/>
        <v/>
      </c>
      <c r="J126" s="220"/>
      <c r="K126" s="220">
        <f t="shared" si="115"/>
        <v>0</v>
      </c>
      <c r="L126" s="220">
        <f t="shared" si="116"/>
        <v>-10</v>
      </c>
      <c r="N126" s="219">
        <v>45265.0</v>
      </c>
      <c r="O126" s="220" t="str">
        <f t="shared" si="133"/>
        <v/>
      </c>
      <c r="P126" s="220"/>
      <c r="Q126" s="220">
        <f t="shared" si="117"/>
        <v>0</v>
      </c>
      <c r="R126" s="220">
        <f t="shared" si="118"/>
        <v>-10</v>
      </c>
      <c r="T126" s="219">
        <v>45265.0</v>
      </c>
      <c r="U126" s="220" t="str">
        <f t="shared" si="134"/>
        <v/>
      </c>
      <c r="V126" s="220"/>
      <c r="W126" s="220">
        <f t="shared" si="119"/>
        <v>0</v>
      </c>
      <c r="X126" s="220">
        <f t="shared" si="120"/>
        <v>-10</v>
      </c>
      <c r="Z126" s="219">
        <v>45265.0</v>
      </c>
      <c r="AA126" s="220" t="str">
        <f t="shared" si="135"/>
        <v/>
      </c>
      <c r="AB126" s="220"/>
      <c r="AC126" s="220">
        <f t="shared" si="121"/>
        <v>0</v>
      </c>
      <c r="AD126" s="220">
        <f t="shared" si="122"/>
        <v>-10</v>
      </c>
      <c r="AF126" s="219">
        <v>45265.0</v>
      </c>
      <c r="AG126" s="220" t="str">
        <f t="shared" si="136"/>
        <v/>
      </c>
      <c r="AH126" s="220"/>
      <c r="AI126" s="220">
        <f t="shared" si="123"/>
        <v>0</v>
      </c>
      <c r="AJ126" s="220">
        <f t="shared" si="124"/>
        <v>-10</v>
      </c>
      <c r="AL126" s="219">
        <v>45265.0</v>
      </c>
      <c r="AM126" s="220" t="str">
        <f t="shared" si="137"/>
        <v/>
      </c>
      <c r="AN126" s="220"/>
      <c r="AO126" s="220">
        <f t="shared" si="125"/>
        <v>0</v>
      </c>
      <c r="AP126" s="220">
        <f t="shared" si="126"/>
        <v>-10</v>
      </c>
      <c r="AR126" s="219">
        <v>45265.0</v>
      </c>
      <c r="AS126" s="220" t="str">
        <f t="shared" si="138"/>
        <v/>
      </c>
      <c r="AT126" s="220"/>
      <c r="AU126" s="220">
        <f t="shared" si="127"/>
        <v>0</v>
      </c>
      <c r="AV126" s="220">
        <f t="shared" si="128"/>
        <v>-10</v>
      </c>
      <c r="AX126" s="219">
        <v>45265.0</v>
      </c>
      <c r="AY126" s="220" t="str">
        <f t="shared" si="139"/>
        <v/>
      </c>
      <c r="AZ126" s="220"/>
      <c r="BA126" s="220">
        <f t="shared" si="129"/>
        <v>0</v>
      </c>
      <c r="BB126" s="220">
        <f t="shared" si="130"/>
        <v>-10</v>
      </c>
    </row>
    <row r="127" ht="14.25" customHeight="1">
      <c r="A127" s="218"/>
      <c r="B127" s="219">
        <v>45266.0</v>
      </c>
      <c r="C127" s="220" t="str">
        <f t="shared" si="131"/>
        <v/>
      </c>
      <c r="D127" s="220"/>
      <c r="E127" s="220">
        <f t="shared" si="113"/>
        <v>0</v>
      </c>
      <c r="F127" s="220">
        <f t="shared" si="114"/>
        <v>-10</v>
      </c>
      <c r="H127" s="219">
        <v>45266.0</v>
      </c>
      <c r="I127" s="220" t="str">
        <f t="shared" si="132"/>
        <v/>
      </c>
      <c r="J127" s="220"/>
      <c r="K127" s="220">
        <f t="shared" si="115"/>
        <v>0</v>
      </c>
      <c r="L127" s="220">
        <f t="shared" si="116"/>
        <v>-10</v>
      </c>
      <c r="N127" s="219">
        <v>45266.0</v>
      </c>
      <c r="O127" s="220" t="str">
        <f t="shared" si="133"/>
        <v/>
      </c>
      <c r="P127" s="220"/>
      <c r="Q127" s="220">
        <f t="shared" si="117"/>
        <v>0</v>
      </c>
      <c r="R127" s="220">
        <f t="shared" si="118"/>
        <v>-10</v>
      </c>
      <c r="T127" s="219">
        <v>45266.0</v>
      </c>
      <c r="U127" s="220" t="str">
        <f t="shared" si="134"/>
        <v/>
      </c>
      <c r="V127" s="220"/>
      <c r="W127" s="220">
        <f t="shared" si="119"/>
        <v>0</v>
      </c>
      <c r="X127" s="220">
        <f t="shared" si="120"/>
        <v>-10</v>
      </c>
      <c r="Z127" s="219">
        <v>45266.0</v>
      </c>
      <c r="AA127" s="220" t="str">
        <f t="shared" si="135"/>
        <v/>
      </c>
      <c r="AB127" s="220"/>
      <c r="AC127" s="220">
        <f t="shared" si="121"/>
        <v>0</v>
      </c>
      <c r="AD127" s="220">
        <f t="shared" si="122"/>
        <v>-10</v>
      </c>
      <c r="AF127" s="219">
        <v>45266.0</v>
      </c>
      <c r="AG127" s="220" t="str">
        <f t="shared" si="136"/>
        <v/>
      </c>
      <c r="AH127" s="220"/>
      <c r="AI127" s="220">
        <f t="shared" si="123"/>
        <v>0</v>
      </c>
      <c r="AJ127" s="220">
        <f t="shared" si="124"/>
        <v>-10</v>
      </c>
      <c r="AL127" s="219">
        <v>45266.0</v>
      </c>
      <c r="AM127" s="220" t="str">
        <f t="shared" si="137"/>
        <v/>
      </c>
      <c r="AN127" s="220"/>
      <c r="AO127" s="220">
        <f t="shared" si="125"/>
        <v>0</v>
      </c>
      <c r="AP127" s="220">
        <f t="shared" si="126"/>
        <v>-10</v>
      </c>
      <c r="AR127" s="219">
        <v>45266.0</v>
      </c>
      <c r="AS127" s="220" t="str">
        <f t="shared" si="138"/>
        <v/>
      </c>
      <c r="AT127" s="220"/>
      <c r="AU127" s="220">
        <f t="shared" si="127"/>
        <v>0</v>
      </c>
      <c r="AV127" s="220">
        <f t="shared" si="128"/>
        <v>-10</v>
      </c>
      <c r="AX127" s="219">
        <v>45266.0</v>
      </c>
      <c r="AY127" s="220" t="str">
        <f t="shared" si="139"/>
        <v/>
      </c>
      <c r="AZ127" s="220"/>
      <c r="BA127" s="220">
        <f t="shared" si="129"/>
        <v>0</v>
      </c>
      <c r="BB127" s="220">
        <f t="shared" si="130"/>
        <v>-10</v>
      </c>
    </row>
    <row r="128" ht="14.25" customHeight="1">
      <c r="A128" s="218"/>
      <c r="B128" s="219">
        <v>45267.0</v>
      </c>
      <c r="C128" s="220" t="str">
        <f t="shared" si="131"/>
        <v/>
      </c>
      <c r="D128" s="220"/>
      <c r="E128" s="220">
        <f t="shared" si="113"/>
        <v>0</v>
      </c>
      <c r="F128" s="220">
        <f t="shared" si="114"/>
        <v>-10</v>
      </c>
      <c r="H128" s="219">
        <v>45267.0</v>
      </c>
      <c r="I128" s="220" t="str">
        <f t="shared" si="132"/>
        <v/>
      </c>
      <c r="J128" s="220"/>
      <c r="K128" s="220">
        <f t="shared" si="115"/>
        <v>0</v>
      </c>
      <c r="L128" s="220">
        <f t="shared" si="116"/>
        <v>-10</v>
      </c>
      <c r="N128" s="219">
        <v>45267.0</v>
      </c>
      <c r="O128" s="220" t="str">
        <f t="shared" si="133"/>
        <v/>
      </c>
      <c r="P128" s="220"/>
      <c r="Q128" s="220">
        <f t="shared" si="117"/>
        <v>0</v>
      </c>
      <c r="R128" s="220">
        <f t="shared" si="118"/>
        <v>-10</v>
      </c>
      <c r="T128" s="219">
        <v>45267.0</v>
      </c>
      <c r="U128" s="220" t="str">
        <f t="shared" si="134"/>
        <v/>
      </c>
      <c r="V128" s="220"/>
      <c r="W128" s="220">
        <f t="shared" si="119"/>
        <v>0</v>
      </c>
      <c r="X128" s="220">
        <f t="shared" si="120"/>
        <v>-10</v>
      </c>
      <c r="Z128" s="219">
        <v>45267.0</v>
      </c>
      <c r="AA128" s="220" t="str">
        <f t="shared" si="135"/>
        <v/>
      </c>
      <c r="AB128" s="220"/>
      <c r="AC128" s="220">
        <f t="shared" si="121"/>
        <v>0</v>
      </c>
      <c r="AD128" s="220">
        <f t="shared" si="122"/>
        <v>-10</v>
      </c>
      <c r="AF128" s="219">
        <v>45267.0</v>
      </c>
      <c r="AG128" s="220" t="str">
        <f t="shared" si="136"/>
        <v/>
      </c>
      <c r="AH128" s="220"/>
      <c r="AI128" s="220">
        <f t="shared" si="123"/>
        <v>0</v>
      </c>
      <c r="AJ128" s="220">
        <f t="shared" si="124"/>
        <v>-10</v>
      </c>
      <c r="AL128" s="219">
        <v>45267.0</v>
      </c>
      <c r="AM128" s="220" t="str">
        <f t="shared" si="137"/>
        <v/>
      </c>
      <c r="AN128" s="220"/>
      <c r="AO128" s="220">
        <f t="shared" si="125"/>
        <v>0</v>
      </c>
      <c r="AP128" s="220">
        <f t="shared" si="126"/>
        <v>-10</v>
      </c>
      <c r="AR128" s="219">
        <v>45267.0</v>
      </c>
      <c r="AS128" s="220" t="str">
        <f t="shared" si="138"/>
        <v/>
      </c>
      <c r="AT128" s="220"/>
      <c r="AU128" s="220">
        <f t="shared" si="127"/>
        <v>0</v>
      </c>
      <c r="AV128" s="220">
        <f t="shared" si="128"/>
        <v>-10</v>
      </c>
      <c r="AX128" s="219">
        <v>45267.0</v>
      </c>
      <c r="AY128" s="220" t="str">
        <f t="shared" si="139"/>
        <v/>
      </c>
      <c r="AZ128" s="220"/>
      <c r="BA128" s="220">
        <f t="shared" si="129"/>
        <v>0</v>
      </c>
      <c r="BB128" s="220">
        <f t="shared" si="130"/>
        <v>-10</v>
      </c>
    </row>
    <row r="129" ht="14.25" customHeight="1">
      <c r="A129" s="218"/>
      <c r="B129" s="219">
        <v>45268.0</v>
      </c>
      <c r="C129" s="220" t="str">
        <f t="shared" si="131"/>
        <v/>
      </c>
      <c r="D129" s="220"/>
      <c r="E129" s="220">
        <f t="shared" si="113"/>
        <v>0</v>
      </c>
      <c r="F129" s="220">
        <f t="shared" si="114"/>
        <v>-10</v>
      </c>
      <c r="H129" s="219">
        <v>45268.0</v>
      </c>
      <c r="I129" s="220" t="str">
        <f t="shared" si="132"/>
        <v/>
      </c>
      <c r="J129" s="220"/>
      <c r="K129" s="220">
        <f t="shared" si="115"/>
        <v>0</v>
      </c>
      <c r="L129" s="220">
        <f t="shared" si="116"/>
        <v>-10</v>
      </c>
      <c r="N129" s="219">
        <v>45268.0</v>
      </c>
      <c r="O129" s="220" t="str">
        <f t="shared" si="133"/>
        <v/>
      </c>
      <c r="P129" s="220"/>
      <c r="Q129" s="220">
        <f t="shared" si="117"/>
        <v>0</v>
      </c>
      <c r="R129" s="220">
        <f t="shared" si="118"/>
        <v>-10</v>
      </c>
      <c r="T129" s="219">
        <v>45268.0</v>
      </c>
      <c r="U129" s="220" t="str">
        <f t="shared" si="134"/>
        <v/>
      </c>
      <c r="V129" s="220"/>
      <c r="W129" s="220">
        <f t="shared" si="119"/>
        <v>0</v>
      </c>
      <c r="X129" s="220">
        <f t="shared" si="120"/>
        <v>-10</v>
      </c>
      <c r="Z129" s="219">
        <v>45268.0</v>
      </c>
      <c r="AA129" s="220" t="str">
        <f t="shared" si="135"/>
        <v/>
      </c>
      <c r="AB129" s="220"/>
      <c r="AC129" s="220">
        <f t="shared" si="121"/>
        <v>0</v>
      </c>
      <c r="AD129" s="220">
        <f t="shared" si="122"/>
        <v>-10</v>
      </c>
      <c r="AF129" s="219">
        <v>45268.0</v>
      </c>
      <c r="AG129" s="220" t="str">
        <f t="shared" si="136"/>
        <v/>
      </c>
      <c r="AH129" s="220"/>
      <c r="AI129" s="220">
        <f t="shared" si="123"/>
        <v>0</v>
      </c>
      <c r="AJ129" s="220">
        <f t="shared" si="124"/>
        <v>-10</v>
      </c>
      <c r="AL129" s="219">
        <v>45268.0</v>
      </c>
      <c r="AM129" s="220" t="str">
        <f t="shared" si="137"/>
        <v/>
      </c>
      <c r="AN129" s="220"/>
      <c r="AO129" s="220">
        <f t="shared" si="125"/>
        <v>0</v>
      </c>
      <c r="AP129" s="220">
        <f t="shared" si="126"/>
        <v>-10</v>
      </c>
      <c r="AR129" s="219">
        <v>45268.0</v>
      </c>
      <c r="AS129" s="220" t="str">
        <f t="shared" si="138"/>
        <v/>
      </c>
      <c r="AT129" s="220"/>
      <c r="AU129" s="220">
        <f t="shared" si="127"/>
        <v>0</v>
      </c>
      <c r="AV129" s="220">
        <f t="shared" si="128"/>
        <v>-10</v>
      </c>
      <c r="AX129" s="219">
        <v>45268.0</v>
      </c>
      <c r="AY129" s="220" t="str">
        <f t="shared" si="139"/>
        <v/>
      </c>
      <c r="AZ129" s="220"/>
      <c r="BA129" s="220">
        <f t="shared" si="129"/>
        <v>0</v>
      </c>
      <c r="BB129" s="220">
        <f t="shared" si="130"/>
        <v>-10</v>
      </c>
    </row>
    <row r="130" ht="14.25" customHeight="1">
      <c r="A130" s="218"/>
      <c r="B130" s="219">
        <v>45269.0</v>
      </c>
      <c r="C130" s="220" t="str">
        <f t="shared" si="131"/>
        <v/>
      </c>
      <c r="D130" s="220"/>
      <c r="E130" s="220">
        <f t="shared" si="113"/>
        <v>0</v>
      </c>
      <c r="F130" s="220">
        <f t="shared" si="114"/>
        <v>-10</v>
      </c>
      <c r="H130" s="219">
        <v>45269.0</v>
      </c>
      <c r="I130" s="220" t="str">
        <f t="shared" si="132"/>
        <v/>
      </c>
      <c r="J130" s="220"/>
      <c r="K130" s="220">
        <f t="shared" si="115"/>
        <v>0</v>
      </c>
      <c r="L130" s="220">
        <f t="shared" si="116"/>
        <v>-10</v>
      </c>
      <c r="N130" s="219">
        <v>45269.0</v>
      </c>
      <c r="O130" s="220" t="str">
        <f t="shared" si="133"/>
        <v/>
      </c>
      <c r="P130" s="220"/>
      <c r="Q130" s="220">
        <f t="shared" si="117"/>
        <v>0</v>
      </c>
      <c r="R130" s="220">
        <f t="shared" si="118"/>
        <v>-10</v>
      </c>
      <c r="T130" s="219">
        <v>45269.0</v>
      </c>
      <c r="U130" s="220" t="str">
        <f t="shared" si="134"/>
        <v/>
      </c>
      <c r="V130" s="220"/>
      <c r="W130" s="220">
        <f t="shared" si="119"/>
        <v>0</v>
      </c>
      <c r="X130" s="220">
        <f t="shared" si="120"/>
        <v>-10</v>
      </c>
      <c r="Z130" s="219">
        <v>45269.0</v>
      </c>
      <c r="AA130" s="220" t="str">
        <f t="shared" si="135"/>
        <v/>
      </c>
      <c r="AB130" s="220"/>
      <c r="AC130" s="220">
        <f t="shared" si="121"/>
        <v>0</v>
      </c>
      <c r="AD130" s="220">
        <f t="shared" si="122"/>
        <v>-10</v>
      </c>
      <c r="AF130" s="219">
        <v>45269.0</v>
      </c>
      <c r="AG130" s="220" t="str">
        <f t="shared" si="136"/>
        <v/>
      </c>
      <c r="AH130" s="220"/>
      <c r="AI130" s="220">
        <f t="shared" si="123"/>
        <v>0</v>
      </c>
      <c r="AJ130" s="220">
        <f t="shared" si="124"/>
        <v>-10</v>
      </c>
      <c r="AL130" s="219">
        <v>45269.0</v>
      </c>
      <c r="AM130" s="220" t="str">
        <f t="shared" si="137"/>
        <v/>
      </c>
      <c r="AN130" s="220"/>
      <c r="AO130" s="220">
        <f t="shared" si="125"/>
        <v>0</v>
      </c>
      <c r="AP130" s="220">
        <f t="shared" si="126"/>
        <v>-10</v>
      </c>
      <c r="AR130" s="219">
        <v>45269.0</v>
      </c>
      <c r="AS130" s="220" t="str">
        <f t="shared" si="138"/>
        <v/>
      </c>
      <c r="AT130" s="220"/>
      <c r="AU130" s="220">
        <f t="shared" si="127"/>
        <v>0</v>
      </c>
      <c r="AV130" s="220">
        <f t="shared" si="128"/>
        <v>-10</v>
      </c>
      <c r="AX130" s="219">
        <v>45269.0</v>
      </c>
      <c r="AY130" s="220" t="str">
        <f t="shared" si="139"/>
        <v/>
      </c>
      <c r="AZ130" s="220"/>
      <c r="BA130" s="220">
        <f t="shared" si="129"/>
        <v>0</v>
      </c>
      <c r="BB130" s="220">
        <f t="shared" si="130"/>
        <v>-10</v>
      </c>
    </row>
    <row r="131" ht="14.25" customHeight="1">
      <c r="A131" s="218"/>
      <c r="B131" s="219">
        <v>45270.0</v>
      </c>
      <c r="C131" s="220" t="str">
        <f t="shared" si="131"/>
        <v/>
      </c>
      <c r="D131" s="220"/>
      <c r="E131" s="220">
        <f t="shared" si="113"/>
        <v>0</v>
      </c>
      <c r="F131" s="220">
        <f t="shared" si="114"/>
        <v>-10</v>
      </c>
      <c r="G131" s="221"/>
      <c r="H131" s="219">
        <v>45270.0</v>
      </c>
      <c r="I131" s="220" t="str">
        <f t="shared" si="132"/>
        <v/>
      </c>
      <c r="J131" s="220"/>
      <c r="K131" s="220">
        <f t="shared" si="115"/>
        <v>0</v>
      </c>
      <c r="L131" s="220">
        <f t="shared" si="116"/>
        <v>-10</v>
      </c>
      <c r="M131" s="221"/>
      <c r="N131" s="219">
        <v>45270.0</v>
      </c>
      <c r="O131" s="220" t="str">
        <f t="shared" si="133"/>
        <v/>
      </c>
      <c r="P131" s="220"/>
      <c r="Q131" s="220">
        <f t="shared" si="117"/>
        <v>0</v>
      </c>
      <c r="R131" s="220">
        <f t="shared" si="118"/>
        <v>-10</v>
      </c>
      <c r="S131" s="221"/>
      <c r="T131" s="219">
        <v>45270.0</v>
      </c>
      <c r="U131" s="220" t="str">
        <f t="shared" si="134"/>
        <v/>
      </c>
      <c r="V131" s="220"/>
      <c r="W131" s="220">
        <f t="shared" si="119"/>
        <v>0</v>
      </c>
      <c r="X131" s="220">
        <f t="shared" si="120"/>
        <v>-10</v>
      </c>
      <c r="Y131" s="221"/>
      <c r="Z131" s="219">
        <v>45270.0</v>
      </c>
      <c r="AA131" s="220" t="str">
        <f t="shared" si="135"/>
        <v/>
      </c>
      <c r="AB131" s="220"/>
      <c r="AC131" s="220">
        <f t="shared" si="121"/>
        <v>0</v>
      </c>
      <c r="AD131" s="220">
        <f t="shared" si="122"/>
        <v>-10</v>
      </c>
      <c r="AE131" s="221"/>
      <c r="AF131" s="219">
        <v>45270.0</v>
      </c>
      <c r="AG131" s="220" t="str">
        <f t="shared" si="136"/>
        <v/>
      </c>
      <c r="AH131" s="220"/>
      <c r="AI131" s="220">
        <f t="shared" si="123"/>
        <v>0</v>
      </c>
      <c r="AJ131" s="220">
        <f t="shared" si="124"/>
        <v>-10</v>
      </c>
      <c r="AK131" s="221"/>
      <c r="AL131" s="219">
        <v>45270.0</v>
      </c>
      <c r="AM131" s="220" t="str">
        <f t="shared" si="137"/>
        <v/>
      </c>
      <c r="AN131" s="220"/>
      <c r="AO131" s="220">
        <f t="shared" si="125"/>
        <v>0</v>
      </c>
      <c r="AP131" s="220">
        <f t="shared" si="126"/>
        <v>-10</v>
      </c>
      <c r="AQ131" s="221"/>
      <c r="AR131" s="219">
        <v>45270.0</v>
      </c>
      <c r="AS131" s="220" t="str">
        <f t="shared" si="138"/>
        <v/>
      </c>
      <c r="AT131" s="220"/>
      <c r="AU131" s="220">
        <f t="shared" si="127"/>
        <v>0</v>
      </c>
      <c r="AV131" s="220">
        <f t="shared" si="128"/>
        <v>-10</v>
      </c>
      <c r="AW131" s="221"/>
      <c r="AX131" s="219">
        <v>45270.0</v>
      </c>
      <c r="AY131" s="220" t="str">
        <f t="shared" si="139"/>
        <v/>
      </c>
      <c r="AZ131" s="220"/>
      <c r="BA131" s="220">
        <f t="shared" si="129"/>
        <v>0</v>
      </c>
      <c r="BB131" s="220">
        <f t="shared" si="130"/>
        <v>-10</v>
      </c>
    </row>
    <row r="132" ht="14.25" customHeight="1">
      <c r="A132" s="218"/>
      <c r="B132" s="219">
        <v>45271.0</v>
      </c>
      <c r="C132" s="220" t="str">
        <f t="shared" si="131"/>
        <v/>
      </c>
      <c r="D132" s="220"/>
      <c r="E132" s="220">
        <f t="shared" si="113"/>
        <v>0</v>
      </c>
      <c r="F132" s="220">
        <f t="shared" si="114"/>
        <v>-10</v>
      </c>
      <c r="G132" s="221"/>
      <c r="H132" s="219">
        <v>45271.0</v>
      </c>
      <c r="I132" s="220" t="str">
        <f t="shared" si="132"/>
        <v/>
      </c>
      <c r="J132" s="220"/>
      <c r="K132" s="220">
        <f t="shared" si="115"/>
        <v>0</v>
      </c>
      <c r="L132" s="220">
        <f t="shared" si="116"/>
        <v>-10</v>
      </c>
      <c r="M132" s="221"/>
      <c r="N132" s="219">
        <v>45271.0</v>
      </c>
      <c r="O132" s="220" t="str">
        <f t="shared" si="133"/>
        <v/>
      </c>
      <c r="P132" s="220"/>
      <c r="Q132" s="220">
        <f t="shared" si="117"/>
        <v>0</v>
      </c>
      <c r="R132" s="220">
        <f t="shared" si="118"/>
        <v>-10</v>
      </c>
      <c r="S132" s="221"/>
      <c r="T132" s="219">
        <v>45271.0</v>
      </c>
      <c r="U132" s="220" t="str">
        <f t="shared" si="134"/>
        <v/>
      </c>
      <c r="V132" s="220"/>
      <c r="W132" s="220">
        <f t="shared" si="119"/>
        <v>0</v>
      </c>
      <c r="X132" s="220">
        <f t="shared" si="120"/>
        <v>-10</v>
      </c>
      <c r="Y132" s="221"/>
      <c r="Z132" s="219">
        <v>45271.0</v>
      </c>
      <c r="AA132" s="220" t="str">
        <f t="shared" si="135"/>
        <v/>
      </c>
      <c r="AB132" s="220"/>
      <c r="AC132" s="220">
        <f t="shared" si="121"/>
        <v>0</v>
      </c>
      <c r="AD132" s="220">
        <f t="shared" si="122"/>
        <v>-10</v>
      </c>
      <c r="AE132" s="221"/>
      <c r="AF132" s="219">
        <v>45271.0</v>
      </c>
      <c r="AG132" s="220" t="str">
        <f t="shared" si="136"/>
        <v/>
      </c>
      <c r="AH132" s="220"/>
      <c r="AI132" s="220">
        <f t="shared" si="123"/>
        <v>0</v>
      </c>
      <c r="AJ132" s="220">
        <f t="shared" si="124"/>
        <v>-10</v>
      </c>
      <c r="AK132" s="221"/>
      <c r="AL132" s="219">
        <v>45271.0</v>
      </c>
      <c r="AM132" s="220" t="str">
        <f t="shared" si="137"/>
        <v/>
      </c>
      <c r="AN132" s="220"/>
      <c r="AO132" s="220">
        <f t="shared" si="125"/>
        <v>0</v>
      </c>
      <c r="AP132" s="220">
        <f t="shared" si="126"/>
        <v>-10</v>
      </c>
      <c r="AQ132" s="221"/>
      <c r="AR132" s="219">
        <v>45271.0</v>
      </c>
      <c r="AS132" s="220" t="str">
        <f t="shared" si="138"/>
        <v/>
      </c>
      <c r="AT132" s="220"/>
      <c r="AU132" s="220">
        <f t="shared" si="127"/>
        <v>0</v>
      </c>
      <c r="AV132" s="220">
        <f t="shared" si="128"/>
        <v>-10</v>
      </c>
      <c r="AW132" s="221"/>
      <c r="AX132" s="219">
        <v>45271.0</v>
      </c>
      <c r="AY132" s="220" t="str">
        <f t="shared" si="139"/>
        <v/>
      </c>
      <c r="AZ132" s="220"/>
      <c r="BA132" s="220">
        <f t="shared" si="129"/>
        <v>0</v>
      </c>
      <c r="BB132" s="220">
        <f t="shared" si="130"/>
        <v>-10</v>
      </c>
    </row>
    <row r="133" ht="14.25" customHeight="1">
      <c r="A133" s="218"/>
      <c r="B133" s="219">
        <v>45272.0</v>
      </c>
      <c r="C133" s="220" t="str">
        <f t="shared" si="131"/>
        <v/>
      </c>
      <c r="D133" s="220"/>
      <c r="E133" s="220">
        <f t="shared" si="113"/>
        <v>0</v>
      </c>
      <c r="F133" s="220">
        <f t="shared" si="114"/>
        <v>-10</v>
      </c>
      <c r="H133" s="219">
        <v>45272.0</v>
      </c>
      <c r="I133" s="220" t="str">
        <f t="shared" si="132"/>
        <v/>
      </c>
      <c r="J133" s="220"/>
      <c r="K133" s="220">
        <f t="shared" si="115"/>
        <v>0</v>
      </c>
      <c r="L133" s="220">
        <f t="shared" si="116"/>
        <v>-10</v>
      </c>
      <c r="N133" s="219">
        <v>45272.0</v>
      </c>
      <c r="O133" s="220" t="str">
        <f t="shared" si="133"/>
        <v/>
      </c>
      <c r="P133" s="220"/>
      <c r="Q133" s="220">
        <f t="shared" si="117"/>
        <v>0</v>
      </c>
      <c r="R133" s="220">
        <f t="shared" si="118"/>
        <v>-10</v>
      </c>
      <c r="T133" s="219">
        <v>45272.0</v>
      </c>
      <c r="U133" s="220" t="str">
        <f t="shared" si="134"/>
        <v/>
      </c>
      <c r="V133" s="220"/>
      <c r="W133" s="220">
        <f t="shared" si="119"/>
        <v>0</v>
      </c>
      <c r="X133" s="220">
        <f t="shared" si="120"/>
        <v>-10</v>
      </c>
      <c r="Z133" s="219">
        <v>45272.0</v>
      </c>
      <c r="AA133" s="220" t="str">
        <f t="shared" si="135"/>
        <v/>
      </c>
      <c r="AB133" s="220"/>
      <c r="AC133" s="220">
        <f t="shared" si="121"/>
        <v>0</v>
      </c>
      <c r="AD133" s="220">
        <f t="shared" si="122"/>
        <v>-10</v>
      </c>
      <c r="AF133" s="219">
        <v>45272.0</v>
      </c>
      <c r="AG133" s="220" t="str">
        <f t="shared" si="136"/>
        <v/>
      </c>
      <c r="AH133" s="220"/>
      <c r="AI133" s="220">
        <f t="shared" si="123"/>
        <v>0</v>
      </c>
      <c r="AJ133" s="220">
        <f t="shared" si="124"/>
        <v>-10</v>
      </c>
      <c r="AL133" s="219">
        <v>45272.0</v>
      </c>
      <c r="AM133" s="220" t="str">
        <f t="shared" si="137"/>
        <v/>
      </c>
      <c r="AN133" s="220"/>
      <c r="AO133" s="220">
        <f t="shared" si="125"/>
        <v>0</v>
      </c>
      <c r="AP133" s="220">
        <f t="shared" si="126"/>
        <v>-10</v>
      </c>
      <c r="AR133" s="219">
        <v>45272.0</v>
      </c>
      <c r="AS133" s="220" t="str">
        <f t="shared" si="138"/>
        <v/>
      </c>
      <c r="AT133" s="220"/>
      <c r="AU133" s="220">
        <f t="shared" si="127"/>
        <v>0</v>
      </c>
      <c r="AV133" s="220">
        <f t="shared" si="128"/>
        <v>-10</v>
      </c>
      <c r="AX133" s="219">
        <v>45272.0</v>
      </c>
      <c r="AY133" s="220" t="str">
        <f t="shared" si="139"/>
        <v/>
      </c>
      <c r="AZ133" s="220"/>
      <c r="BA133" s="220">
        <f t="shared" si="129"/>
        <v>0</v>
      </c>
      <c r="BB133" s="220">
        <f t="shared" si="130"/>
        <v>-10</v>
      </c>
    </row>
    <row r="134" ht="14.25" customHeight="1">
      <c r="A134" s="218"/>
      <c r="B134" s="219">
        <v>45273.0</v>
      </c>
      <c r="C134" s="220" t="str">
        <f t="shared" si="131"/>
        <v/>
      </c>
      <c r="D134" s="220"/>
      <c r="E134" s="220">
        <f t="shared" si="113"/>
        <v>0</v>
      </c>
      <c r="F134" s="220">
        <f t="shared" si="114"/>
        <v>-10</v>
      </c>
      <c r="H134" s="219">
        <v>45273.0</v>
      </c>
      <c r="I134" s="220" t="str">
        <f t="shared" si="132"/>
        <v/>
      </c>
      <c r="J134" s="220"/>
      <c r="K134" s="220">
        <f t="shared" si="115"/>
        <v>0</v>
      </c>
      <c r="L134" s="220">
        <f t="shared" si="116"/>
        <v>-10</v>
      </c>
      <c r="N134" s="219">
        <v>45273.0</v>
      </c>
      <c r="O134" s="220" t="str">
        <f t="shared" si="133"/>
        <v/>
      </c>
      <c r="P134" s="220"/>
      <c r="Q134" s="220">
        <f t="shared" si="117"/>
        <v>0</v>
      </c>
      <c r="R134" s="220">
        <f t="shared" si="118"/>
        <v>-10</v>
      </c>
      <c r="T134" s="219">
        <v>45273.0</v>
      </c>
      <c r="U134" s="220" t="str">
        <f t="shared" si="134"/>
        <v/>
      </c>
      <c r="V134" s="220"/>
      <c r="W134" s="220">
        <f t="shared" si="119"/>
        <v>0</v>
      </c>
      <c r="X134" s="220">
        <f t="shared" si="120"/>
        <v>-10</v>
      </c>
      <c r="Z134" s="219">
        <v>45273.0</v>
      </c>
      <c r="AA134" s="220" t="str">
        <f t="shared" si="135"/>
        <v/>
      </c>
      <c r="AB134" s="220"/>
      <c r="AC134" s="220">
        <f t="shared" si="121"/>
        <v>0</v>
      </c>
      <c r="AD134" s="220">
        <f t="shared" si="122"/>
        <v>-10</v>
      </c>
      <c r="AF134" s="219">
        <v>45273.0</v>
      </c>
      <c r="AG134" s="220" t="str">
        <f t="shared" si="136"/>
        <v/>
      </c>
      <c r="AH134" s="220"/>
      <c r="AI134" s="220">
        <f t="shared" si="123"/>
        <v>0</v>
      </c>
      <c r="AJ134" s="220">
        <f t="shared" si="124"/>
        <v>-10</v>
      </c>
      <c r="AL134" s="219">
        <v>45273.0</v>
      </c>
      <c r="AM134" s="220" t="str">
        <f t="shared" si="137"/>
        <v/>
      </c>
      <c r="AN134" s="220"/>
      <c r="AO134" s="220">
        <f t="shared" si="125"/>
        <v>0</v>
      </c>
      <c r="AP134" s="220">
        <f t="shared" si="126"/>
        <v>-10</v>
      </c>
      <c r="AR134" s="219">
        <v>45273.0</v>
      </c>
      <c r="AS134" s="220" t="str">
        <f t="shared" si="138"/>
        <v/>
      </c>
      <c r="AT134" s="220"/>
      <c r="AU134" s="220">
        <f t="shared" si="127"/>
        <v>0</v>
      </c>
      <c r="AV134" s="220">
        <f t="shared" si="128"/>
        <v>-10</v>
      </c>
      <c r="AX134" s="219">
        <v>45273.0</v>
      </c>
      <c r="AY134" s="220" t="str">
        <f t="shared" si="139"/>
        <v/>
      </c>
      <c r="AZ134" s="220"/>
      <c r="BA134" s="220">
        <f t="shared" si="129"/>
        <v>0</v>
      </c>
      <c r="BB134" s="220">
        <f t="shared" si="130"/>
        <v>-10</v>
      </c>
    </row>
    <row r="135" ht="14.25" customHeight="1">
      <c r="A135" s="218"/>
      <c r="B135" s="219">
        <v>45274.0</v>
      </c>
      <c r="C135" s="220" t="str">
        <f t="shared" si="131"/>
        <v/>
      </c>
      <c r="D135" s="220"/>
      <c r="E135" s="220">
        <f t="shared" si="113"/>
        <v>0</v>
      </c>
      <c r="F135" s="220">
        <f t="shared" si="114"/>
        <v>-10</v>
      </c>
      <c r="H135" s="219">
        <v>45274.0</v>
      </c>
      <c r="I135" s="220" t="str">
        <f t="shared" si="132"/>
        <v/>
      </c>
      <c r="J135" s="220"/>
      <c r="K135" s="220">
        <f t="shared" si="115"/>
        <v>0</v>
      </c>
      <c r="L135" s="220">
        <f t="shared" si="116"/>
        <v>-10</v>
      </c>
      <c r="N135" s="219">
        <v>45274.0</v>
      </c>
      <c r="O135" s="220" t="str">
        <f t="shared" si="133"/>
        <v/>
      </c>
      <c r="P135" s="220"/>
      <c r="Q135" s="220">
        <f t="shared" si="117"/>
        <v>0</v>
      </c>
      <c r="R135" s="220">
        <f t="shared" si="118"/>
        <v>-10</v>
      </c>
      <c r="T135" s="219">
        <v>45274.0</v>
      </c>
      <c r="U135" s="220" t="str">
        <f t="shared" si="134"/>
        <v/>
      </c>
      <c r="V135" s="220"/>
      <c r="W135" s="220">
        <f t="shared" si="119"/>
        <v>0</v>
      </c>
      <c r="X135" s="220">
        <f t="shared" si="120"/>
        <v>-10</v>
      </c>
      <c r="Z135" s="219">
        <v>45274.0</v>
      </c>
      <c r="AA135" s="220" t="str">
        <f t="shared" si="135"/>
        <v/>
      </c>
      <c r="AB135" s="220"/>
      <c r="AC135" s="220">
        <f t="shared" si="121"/>
        <v>0</v>
      </c>
      <c r="AD135" s="220">
        <f t="shared" si="122"/>
        <v>-10</v>
      </c>
      <c r="AF135" s="219">
        <v>45274.0</v>
      </c>
      <c r="AG135" s="220" t="str">
        <f t="shared" si="136"/>
        <v/>
      </c>
      <c r="AH135" s="220"/>
      <c r="AI135" s="220">
        <f t="shared" si="123"/>
        <v>0</v>
      </c>
      <c r="AJ135" s="220">
        <f t="shared" si="124"/>
        <v>-10</v>
      </c>
      <c r="AL135" s="219">
        <v>45274.0</v>
      </c>
      <c r="AM135" s="220" t="str">
        <f t="shared" si="137"/>
        <v/>
      </c>
      <c r="AN135" s="220"/>
      <c r="AO135" s="220">
        <f t="shared" si="125"/>
        <v>0</v>
      </c>
      <c r="AP135" s="220">
        <f t="shared" si="126"/>
        <v>-10</v>
      </c>
      <c r="AR135" s="219">
        <v>45274.0</v>
      </c>
      <c r="AS135" s="220" t="str">
        <f t="shared" si="138"/>
        <v/>
      </c>
      <c r="AT135" s="220"/>
      <c r="AU135" s="220">
        <f t="shared" si="127"/>
        <v>0</v>
      </c>
      <c r="AV135" s="220">
        <f t="shared" si="128"/>
        <v>-10</v>
      </c>
      <c r="AX135" s="219">
        <v>45274.0</v>
      </c>
      <c r="AY135" s="220" t="str">
        <f t="shared" si="139"/>
        <v/>
      </c>
      <c r="AZ135" s="220"/>
      <c r="BA135" s="220">
        <f t="shared" si="129"/>
        <v>0</v>
      </c>
      <c r="BB135" s="220">
        <f t="shared" si="130"/>
        <v>-10</v>
      </c>
    </row>
    <row r="136" ht="14.25" customHeight="1">
      <c r="A136" s="218"/>
      <c r="B136" s="219">
        <v>45275.0</v>
      </c>
      <c r="C136" s="220" t="str">
        <f t="shared" si="131"/>
        <v/>
      </c>
      <c r="D136" s="220"/>
      <c r="E136" s="220">
        <f t="shared" si="113"/>
        <v>0</v>
      </c>
      <c r="F136" s="220">
        <f t="shared" si="114"/>
        <v>-10</v>
      </c>
      <c r="H136" s="219">
        <v>45275.0</v>
      </c>
      <c r="I136" s="220" t="str">
        <f t="shared" si="132"/>
        <v/>
      </c>
      <c r="J136" s="220"/>
      <c r="K136" s="220">
        <f t="shared" si="115"/>
        <v>0</v>
      </c>
      <c r="L136" s="220">
        <f t="shared" si="116"/>
        <v>-10</v>
      </c>
      <c r="N136" s="219">
        <v>45275.0</v>
      </c>
      <c r="O136" s="220" t="str">
        <f t="shared" si="133"/>
        <v/>
      </c>
      <c r="P136" s="220"/>
      <c r="Q136" s="220">
        <f t="shared" si="117"/>
        <v>0</v>
      </c>
      <c r="R136" s="220">
        <f t="shared" si="118"/>
        <v>-10</v>
      </c>
      <c r="T136" s="219">
        <v>45275.0</v>
      </c>
      <c r="U136" s="220" t="str">
        <f t="shared" si="134"/>
        <v/>
      </c>
      <c r="V136" s="220"/>
      <c r="W136" s="220">
        <f t="shared" si="119"/>
        <v>0</v>
      </c>
      <c r="X136" s="220">
        <f t="shared" si="120"/>
        <v>-10</v>
      </c>
      <c r="Z136" s="219">
        <v>45275.0</v>
      </c>
      <c r="AA136" s="220" t="str">
        <f t="shared" si="135"/>
        <v/>
      </c>
      <c r="AB136" s="220"/>
      <c r="AC136" s="220">
        <f t="shared" si="121"/>
        <v>0</v>
      </c>
      <c r="AD136" s="220">
        <f t="shared" si="122"/>
        <v>-10</v>
      </c>
      <c r="AF136" s="219">
        <v>45275.0</v>
      </c>
      <c r="AG136" s="220" t="str">
        <f t="shared" si="136"/>
        <v/>
      </c>
      <c r="AH136" s="220"/>
      <c r="AI136" s="220">
        <f t="shared" si="123"/>
        <v>0</v>
      </c>
      <c r="AJ136" s="220">
        <f t="shared" si="124"/>
        <v>-10</v>
      </c>
      <c r="AL136" s="219">
        <v>45275.0</v>
      </c>
      <c r="AM136" s="220" t="str">
        <f t="shared" si="137"/>
        <v/>
      </c>
      <c r="AN136" s="220"/>
      <c r="AO136" s="220">
        <f t="shared" si="125"/>
        <v>0</v>
      </c>
      <c r="AP136" s="220">
        <f t="shared" si="126"/>
        <v>-10</v>
      </c>
      <c r="AR136" s="219">
        <v>45275.0</v>
      </c>
      <c r="AS136" s="220" t="str">
        <f t="shared" si="138"/>
        <v/>
      </c>
      <c r="AT136" s="220"/>
      <c r="AU136" s="220">
        <f t="shared" si="127"/>
        <v>0</v>
      </c>
      <c r="AV136" s="220">
        <f t="shared" si="128"/>
        <v>-10</v>
      </c>
      <c r="AX136" s="219">
        <v>45275.0</v>
      </c>
      <c r="AY136" s="220" t="str">
        <f t="shared" si="139"/>
        <v/>
      </c>
      <c r="AZ136" s="220"/>
      <c r="BA136" s="220">
        <f t="shared" si="129"/>
        <v>0</v>
      </c>
      <c r="BB136" s="220">
        <f t="shared" si="130"/>
        <v>-10</v>
      </c>
    </row>
    <row r="137" ht="14.25" customHeight="1">
      <c r="A137" s="218"/>
      <c r="B137" s="219">
        <v>45276.0</v>
      </c>
      <c r="C137" s="220" t="str">
        <f t="shared" si="131"/>
        <v/>
      </c>
      <c r="D137" s="220"/>
      <c r="E137" s="220">
        <f t="shared" si="113"/>
        <v>0</v>
      </c>
      <c r="F137" s="220">
        <f t="shared" si="114"/>
        <v>-10</v>
      </c>
      <c r="H137" s="219">
        <v>45276.0</v>
      </c>
      <c r="I137" s="220" t="str">
        <f t="shared" si="132"/>
        <v/>
      </c>
      <c r="J137" s="220"/>
      <c r="K137" s="220">
        <f t="shared" si="115"/>
        <v>0</v>
      </c>
      <c r="L137" s="220">
        <f t="shared" si="116"/>
        <v>-10</v>
      </c>
      <c r="N137" s="219">
        <v>45276.0</v>
      </c>
      <c r="O137" s="220" t="str">
        <f t="shared" si="133"/>
        <v/>
      </c>
      <c r="P137" s="220"/>
      <c r="Q137" s="220">
        <f t="shared" si="117"/>
        <v>0</v>
      </c>
      <c r="R137" s="220">
        <f t="shared" si="118"/>
        <v>-10</v>
      </c>
      <c r="T137" s="219">
        <v>45276.0</v>
      </c>
      <c r="U137" s="220" t="str">
        <f t="shared" si="134"/>
        <v/>
      </c>
      <c r="V137" s="220"/>
      <c r="W137" s="220">
        <f t="shared" si="119"/>
        <v>0</v>
      </c>
      <c r="X137" s="220">
        <f t="shared" si="120"/>
        <v>-10</v>
      </c>
      <c r="Z137" s="219">
        <v>45276.0</v>
      </c>
      <c r="AA137" s="220" t="str">
        <f t="shared" si="135"/>
        <v/>
      </c>
      <c r="AB137" s="220"/>
      <c r="AC137" s="220">
        <f t="shared" si="121"/>
        <v>0</v>
      </c>
      <c r="AD137" s="220">
        <f t="shared" si="122"/>
        <v>-10</v>
      </c>
      <c r="AF137" s="219">
        <v>45276.0</v>
      </c>
      <c r="AG137" s="220" t="str">
        <f t="shared" si="136"/>
        <v/>
      </c>
      <c r="AH137" s="220"/>
      <c r="AI137" s="220">
        <f t="shared" si="123"/>
        <v>0</v>
      </c>
      <c r="AJ137" s="220">
        <f t="shared" si="124"/>
        <v>-10</v>
      </c>
      <c r="AL137" s="219">
        <v>45276.0</v>
      </c>
      <c r="AM137" s="220" t="str">
        <f t="shared" si="137"/>
        <v/>
      </c>
      <c r="AN137" s="220"/>
      <c r="AO137" s="220">
        <f t="shared" si="125"/>
        <v>0</v>
      </c>
      <c r="AP137" s="220">
        <f t="shared" si="126"/>
        <v>-10</v>
      </c>
      <c r="AR137" s="219">
        <v>45276.0</v>
      </c>
      <c r="AS137" s="220" t="str">
        <f t="shared" si="138"/>
        <v/>
      </c>
      <c r="AT137" s="220"/>
      <c r="AU137" s="220">
        <f t="shared" si="127"/>
        <v>0</v>
      </c>
      <c r="AV137" s="220">
        <f t="shared" si="128"/>
        <v>-10</v>
      </c>
      <c r="AX137" s="219">
        <v>45276.0</v>
      </c>
      <c r="AY137" s="220" t="str">
        <f t="shared" si="139"/>
        <v/>
      </c>
      <c r="AZ137" s="220"/>
      <c r="BA137" s="220">
        <f t="shared" si="129"/>
        <v>0</v>
      </c>
      <c r="BB137" s="220">
        <f t="shared" si="130"/>
        <v>-10</v>
      </c>
    </row>
    <row r="138" ht="14.25" customHeight="1">
      <c r="A138" s="218"/>
      <c r="B138" s="219">
        <v>45277.0</v>
      </c>
      <c r="C138" s="220" t="str">
        <f t="shared" si="131"/>
        <v/>
      </c>
      <c r="D138" s="220"/>
      <c r="E138" s="220">
        <f t="shared" si="113"/>
        <v>0</v>
      </c>
      <c r="F138" s="220">
        <f t="shared" si="114"/>
        <v>-10</v>
      </c>
      <c r="G138" s="221"/>
      <c r="H138" s="219">
        <v>45277.0</v>
      </c>
      <c r="I138" s="220" t="str">
        <f t="shared" si="132"/>
        <v/>
      </c>
      <c r="J138" s="220"/>
      <c r="K138" s="220">
        <f t="shared" si="115"/>
        <v>0</v>
      </c>
      <c r="L138" s="220">
        <f t="shared" si="116"/>
        <v>-10</v>
      </c>
      <c r="M138" s="221"/>
      <c r="N138" s="219">
        <v>45277.0</v>
      </c>
      <c r="O138" s="220" t="str">
        <f t="shared" si="133"/>
        <v/>
      </c>
      <c r="P138" s="220"/>
      <c r="Q138" s="220">
        <f t="shared" si="117"/>
        <v>0</v>
      </c>
      <c r="R138" s="220">
        <f t="shared" si="118"/>
        <v>-10</v>
      </c>
      <c r="S138" s="221"/>
      <c r="T138" s="219">
        <v>45277.0</v>
      </c>
      <c r="U138" s="220" t="str">
        <f t="shared" si="134"/>
        <v/>
      </c>
      <c r="V138" s="220"/>
      <c r="W138" s="220">
        <f t="shared" si="119"/>
        <v>0</v>
      </c>
      <c r="X138" s="220">
        <f t="shared" si="120"/>
        <v>-10</v>
      </c>
      <c r="Y138" s="221"/>
      <c r="Z138" s="219">
        <v>45277.0</v>
      </c>
      <c r="AA138" s="220" t="str">
        <f t="shared" si="135"/>
        <v/>
      </c>
      <c r="AB138" s="220"/>
      <c r="AC138" s="220">
        <f t="shared" si="121"/>
        <v>0</v>
      </c>
      <c r="AD138" s="220">
        <f t="shared" si="122"/>
        <v>-10</v>
      </c>
      <c r="AE138" s="221"/>
      <c r="AF138" s="219">
        <v>45277.0</v>
      </c>
      <c r="AG138" s="220" t="str">
        <f t="shared" si="136"/>
        <v/>
      </c>
      <c r="AH138" s="220"/>
      <c r="AI138" s="220">
        <f t="shared" si="123"/>
        <v>0</v>
      </c>
      <c r="AJ138" s="220">
        <f t="shared" si="124"/>
        <v>-10</v>
      </c>
      <c r="AK138" s="221"/>
      <c r="AL138" s="219">
        <v>45277.0</v>
      </c>
      <c r="AM138" s="220" t="str">
        <f t="shared" si="137"/>
        <v/>
      </c>
      <c r="AN138" s="220"/>
      <c r="AO138" s="220">
        <f t="shared" si="125"/>
        <v>0</v>
      </c>
      <c r="AP138" s="220">
        <f t="shared" si="126"/>
        <v>-10</v>
      </c>
      <c r="AQ138" s="221"/>
      <c r="AR138" s="219">
        <v>45277.0</v>
      </c>
      <c r="AS138" s="220" t="str">
        <f t="shared" si="138"/>
        <v/>
      </c>
      <c r="AT138" s="220"/>
      <c r="AU138" s="220">
        <f t="shared" si="127"/>
        <v>0</v>
      </c>
      <c r="AV138" s="220">
        <f t="shared" si="128"/>
        <v>-10</v>
      </c>
      <c r="AW138" s="221"/>
      <c r="AX138" s="219">
        <v>45277.0</v>
      </c>
      <c r="AY138" s="220" t="str">
        <f t="shared" si="139"/>
        <v/>
      </c>
      <c r="AZ138" s="220"/>
      <c r="BA138" s="220">
        <f t="shared" si="129"/>
        <v>0</v>
      </c>
      <c r="BB138" s="220">
        <f t="shared" si="130"/>
        <v>-10</v>
      </c>
    </row>
    <row r="139" ht="14.25" customHeight="1">
      <c r="A139" s="218"/>
      <c r="B139" s="219">
        <v>45278.0</v>
      </c>
      <c r="C139" s="220" t="str">
        <f t="shared" si="131"/>
        <v/>
      </c>
      <c r="D139" s="220"/>
      <c r="E139" s="220">
        <f t="shared" si="113"/>
        <v>0</v>
      </c>
      <c r="F139" s="220">
        <f t="shared" si="114"/>
        <v>-10</v>
      </c>
      <c r="G139" s="221"/>
      <c r="H139" s="219">
        <v>45278.0</v>
      </c>
      <c r="I139" s="220" t="str">
        <f t="shared" si="132"/>
        <v/>
      </c>
      <c r="J139" s="220"/>
      <c r="K139" s="220">
        <f t="shared" si="115"/>
        <v>0</v>
      </c>
      <c r="L139" s="220">
        <f t="shared" si="116"/>
        <v>-10</v>
      </c>
      <c r="M139" s="221"/>
      <c r="N139" s="219">
        <v>45278.0</v>
      </c>
      <c r="O139" s="220" t="str">
        <f t="shared" si="133"/>
        <v/>
      </c>
      <c r="P139" s="220"/>
      <c r="Q139" s="220">
        <f t="shared" si="117"/>
        <v>0</v>
      </c>
      <c r="R139" s="220">
        <f t="shared" si="118"/>
        <v>-10</v>
      </c>
      <c r="S139" s="221"/>
      <c r="T139" s="219">
        <v>45278.0</v>
      </c>
      <c r="U139" s="220" t="str">
        <f t="shared" si="134"/>
        <v/>
      </c>
      <c r="V139" s="220"/>
      <c r="W139" s="220">
        <f t="shared" si="119"/>
        <v>0</v>
      </c>
      <c r="X139" s="220">
        <f t="shared" si="120"/>
        <v>-10</v>
      </c>
      <c r="Y139" s="221"/>
      <c r="Z139" s="219">
        <v>45278.0</v>
      </c>
      <c r="AA139" s="220" t="str">
        <f t="shared" si="135"/>
        <v/>
      </c>
      <c r="AB139" s="220"/>
      <c r="AC139" s="220">
        <f t="shared" si="121"/>
        <v>0</v>
      </c>
      <c r="AD139" s="220">
        <f t="shared" si="122"/>
        <v>-10</v>
      </c>
      <c r="AE139" s="221"/>
      <c r="AF139" s="219">
        <v>45278.0</v>
      </c>
      <c r="AG139" s="220" t="str">
        <f t="shared" si="136"/>
        <v/>
      </c>
      <c r="AH139" s="220"/>
      <c r="AI139" s="220">
        <f t="shared" si="123"/>
        <v>0</v>
      </c>
      <c r="AJ139" s="220">
        <f t="shared" si="124"/>
        <v>-10</v>
      </c>
      <c r="AK139" s="221"/>
      <c r="AL139" s="219">
        <v>45278.0</v>
      </c>
      <c r="AM139" s="220" t="str">
        <f t="shared" si="137"/>
        <v/>
      </c>
      <c r="AN139" s="220"/>
      <c r="AO139" s="220">
        <f t="shared" si="125"/>
        <v>0</v>
      </c>
      <c r="AP139" s="220">
        <f t="shared" si="126"/>
        <v>-10</v>
      </c>
      <c r="AQ139" s="221"/>
      <c r="AR139" s="219">
        <v>45278.0</v>
      </c>
      <c r="AS139" s="220" t="str">
        <f t="shared" si="138"/>
        <v/>
      </c>
      <c r="AT139" s="220"/>
      <c r="AU139" s="220">
        <f t="shared" si="127"/>
        <v>0</v>
      </c>
      <c r="AV139" s="220">
        <f t="shared" si="128"/>
        <v>-10</v>
      </c>
      <c r="AW139" s="221"/>
      <c r="AX139" s="219">
        <v>45278.0</v>
      </c>
      <c r="AY139" s="220" t="str">
        <f t="shared" si="139"/>
        <v/>
      </c>
      <c r="AZ139" s="220"/>
      <c r="BA139" s="220">
        <f t="shared" si="129"/>
        <v>0</v>
      </c>
      <c r="BB139" s="220">
        <f t="shared" si="130"/>
        <v>-10</v>
      </c>
    </row>
    <row r="140" ht="14.25" customHeight="1">
      <c r="A140" s="218"/>
      <c r="B140" s="219">
        <v>45279.0</v>
      </c>
      <c r="C140" s="220" t="str">
        <f t="shared" si="131"/>
        <v/>
      </c>
      <c r="D140" s="220"/>
      <c r="E140" s="220">
        <f t="shared" si="113"/>
        <v>0</v>
      </c>
      <c r="F140" s="220">
        <f t="shared" si="114"/>
        <v>-10</v>
      </c>
      <c r="H140" s="219">
        <v>45279.0</v>
      </c>
      <c r="I140" s="220" t="str">
        <f t="shared" si="132"/>
        <v/>
      </c>
      <c r="J140" s="220"/>
      <c r="K140" s="220">
        <f t="shared" si="115"/>
        <v>0</v>
      </c>
      <c r="L140" s="220">
        <f t="shared" si="116"/>
        <v>-10</v>
      </c>
      <c r="N140" s="219">
        <v>45279.0</v>
      </c>
      <c r="O140" s="220" t="str">
        <f t="shared" si="133"/>
        <v/>
      </c>
      <c r="P140" s="220"/>
      <c r="Q140" s="220">
        <f t="shared" si="117"/>
        <v>0</v>
      </c>
      <c r="R140" s="220">
        <f t="shared" si="118"/>
        <v>-10</v>
      </c>
      <c r="T140" s="219">
        <v>45279.0</v>
      </c>
      <c r="U140" s="220" t="str">
        <f t="shared" si="134"/>
        <v/>
      </c>
      <c r="V140" s="220"/>
      <c r="W140" s="220">
        <f t="shared" si="119"/>
        <v>0</v>
      </c>
      <c r="X140" s="220">
        <f t="shared" si="120"/>
        <v>-10</v>
      </c>
      <c r="Z140" s="219">
        <v>45279.0</v>
      </c>
      <c r="AA140" s="220" t="str">
        <f t="shared" si="135"/>
        <v/>
      </c>
      <c r="AB140" s="220"/>
      <c r="AC140" s="220">
        <f t="shared" si="121"/>
        <v>0</v>
      </c>
      <c r="AD140" s="220">
        <f t="shared" si="122"/>
        <v>-10</v>
      </c>
      <c r="AF140" s="219">
        <v>45279.0</v>
      </c>
      <c r="AG140" s="220" t="str">
        <f t="shared" si="136"/>
        <v/>
      </c>
      <c r="AH140" s="220"/>
      <c r="AI140" s="220">
        <f t="shared" si="123"/>
        <v>0</v>
      </c>
      <c r="AJ140" s="220">
        <f t="shared" si="124"/>
        <v>-10</v>
      </c>
      <c r="AL140" s="219">
        <v>45279.0</v>
      </c>
      <c r="AM140" s="220" t="str">
        <f t="shared" si="137"/>
        <v/>
      </c>
      <c r="AN140" s="220"/>
      <c r="AO140" s="220">
        <f t="shared" si="125"/>
        <v>0</v>
      </c>
      <c r="AP140" s="220">
        <f t="shared" si="126"/>
        <v>-10</v>
      </c>
      <c r="AR140" s="219">
        <v>45279.0</v>
      </c>
      <c r="AS140" s="220" t="str">
        <f t="shared" si="138"/>
        <v/>
      </c>
      <c r="AT140" s="220"/>
      <c r="AU140" s="220">
        <f t="shared" si="127"/>
        <v>0</v>
      </c>
      <c r="AV140" s="220">
        <f t="shared" si="128"/>
        <v>-10</v>
      </c>
      <c r="AX140" s="219">
        <v>45279.0</v>
      </c>
      <c r="AY140" s="220" t="str">
        <f t="shared" si="139"/>
        <v/>
      </c>
      <c r="AZ140" s="220"/>
      <c r="BA140" s="220">
        <f t="shared" si="129"/>
        <v>0</v>
      </c>
      <c r="BB140" s="220">
        <f t="shared" si="130"/>
        <v>-10</v>
      </c>
    </row>
    <row r="141" ht="14.25" customHeight="1">
      <c r="A141" s="218"/>
      <c r="B141" s="219">
        <v>45280.0</v>
      </c>
      <c r="C141" s="220" t="str">
        <f t="shared" si="131"/>
        <v/>
      </c>
      <c r="D141" s="220"/>
      <c r="E141" s="220">
        <f t="shared" si="113"/>
        <v>0</v>
      </c>
      <c r="F141" s="220">
        <f t="shared" si="114"/>
        <v>-10</v>
      </c>
      <c r="H141" s="219">
        <v>45280.0</v>
      </c>
      <c r="I141" s="220" t="str">
        <f t="shared" si="132"/>
        <v/>
      </c>
      <c r="J141" s="220"/>
      <c r="K141" s="220">
        <f t="shared" si="115"/>
        <v>0</v>
      </c>
      <c r="L141" s="220">
        <f t="shared" si="116"/>
        <v>-10</v>
      </c>
      <c r="N141" s="219">
        <v>45280.0</v>
      </c>
      <c r="O141" s="220" t="str">
        <f t="shared" si="133"/>
        <v/>
      </c>
      <c r="P141" s="220"/>
      <c r="Q141" s="220">
        <f t="shared" si="117"/>
        <v>0</v>
      </c>
      <c r="R141" s="220">
        <f t="shared" si="118"/>
        <v>-10</v>
      </c>
      <c r="T141" s="219">
        <v>45280.0</v>
      </c>
      <c r="U141" s="220" t="str">
        <f t="shared" si="134"/>
        <v/>
      </c>
      <c r="V141" s="220"/>
      <c r="W141" s="220">
        <f t="shared" si="119"/>
        <v>0</v>
      </c>
      <c r="X141" s="220">
        <f t="shared" si="120"/>
        <v>-10</v>
      </c>
      <c r="Z141" s="219">
        <v>45280.0</v>
      </c>
      <c r="AA141" s="220" t="str">
        <f t="shared" si="135"/>
        <v/>
      </c>
      <c r="AB141" s="220"/>
      <c r="AC141" s="220">
        <f t="shared" si="121"/>
        <v>0</v>
      </c>
      <c r="AD141" s="220">
        <f t="shared" si="122"/>
        <v>-10</v>
      </c>
      <c r="AF141" s="219">
        <v>45280.0</v>
      </c>
      <c r="AG141" s="220" t="str">
        <f t="shared" si="136"/>
        <v/>
      </c>
      <c r="AH141" s="220"/>
      <c r="AI141" s="220">
        <f t="shared" si="123"/>
        <v>0</v>
      </c>
      <c r="AJ141" s="220">
        <f t="shared" si="124"/>
        <v>-10</v>
      </c>
      <c r="AL141" s="219">
        <v>45280.0</v>
      </c>
      <c r="AM141" s="220" t="str">
        <f t="shared" si="137"/>
        <v/>
      </c>
      <c r="AN141" s="220"/>
      <c r="AO141" s="220">
        <f t="shared" si="125"/>
        <v>0</v>
      </c>
      <c r="AP141" s="220">
        <f t="shared" si="126"/>
        <v>-10</v>
      </c>
      <c r="AR141" s="219">
        <v>45280.0</v>
      </c>
      <c r="AS141" s="220" t="str">
        <f t="shared" si="138"/>
        <v/>
      </c>
      <c r="AT141" s="220"/>
      <c r="AU141" s="220">
        <f t="shared" si="127"/>
        <v>0</v>
      </c>
      <c r="AV141" s="220">
        <f t="shared" si="128"/>
        <v>-10</v>
      </c>
      <c r="AX141" s="219">
        <v>45280.0</v>
      </c>
      <c r="AY141" s="220" t="str">
        <f t="shared" si="139"/>
        <v/>
      </c>
      <c r="AZ141" s="220"/>
      <c r="BA141" s="220">
        <f t="shared" si="129"/>
        <v>0</v>
      </c>
      <c r="BB141" s="220">
        <f t="shared" si="130"/>
        <v>-10</v>
      </c>
    </row>
    <row r="142" ht="14.25" customHeight="1">
      <c r="A142" s="218"/>
      <c r="B142" s="219">
        <v>45281.0</v>
      </c>
      <c r="C142" s="220" t="str">
        <f t="shared" si="131"/>
        <v/>
      </c>
      <c r="D142" s="220"/>
      <c r="E142" s="220">
        <f t="shared" si="113"/>
        <v>0</v>
      </c>
      <c r="F142" s="220">
        <f t="shared" si="114"/>
        <v>-10</v>
      </c>
      <c r="H142" s="219">
        <v>45281.0</v>
      </c>
      <c r="I142" s="220" t="str">
        <f t="shared" si="132"/>
        <v/>
      </c>
      <c r="J142" s="220"/>
      <c r="K142" s="220">
        <f t="shared" si="115"/>
        <v>0</v>
      </c>
      <c r="L142" s="220">
        <f t="shared" si="116"/>
        <v>-10</v>
      </c>
      <c r="N142" s="219">
        <v>45281.0</v>
      </c>
      <c r="O142" s="220" t="str">
        <f t="shared" si="133"/>
        <v/>
      </c>
      <c r="P142" s="220"/>
      <c r="Q142" s="220">
        <f t="shared" si="117"/>
        <v>0</v>
      </c>
      <c r="R142" s="220">
        <f t="shared" si="118"/>
        <v>-10</v>
      </c>
      <c r="T142" s="219">
        <v>45281.0</v>
      </c>
      <c r="U142" s="220" t="str">
        <f t="shared" si="134"/>
        <v/>
      </c>
      <c r="V142" s="220"/>
      <c r="W142" s="220">
        <f t="shared" si="119"/>
        <v>0</v>
      </c>
      <c r="X142" s="220">
        <f t="shared" si="120"/>
        <v>-10</v>
      </c>
      <c r="Z142" s="219">
        <v>45281.0</v>
      </c>
      <c r="AA142" s="220" t="str">
        <f t="shared" si="135"/>
        <v/>
      </c>
      <c r="AB142" s="220"/>
      <c r="AC142" s="220">
        <f t="shared" si="121"/>
        <v>0</v>
      </c>
      <c r="AD142" s="220">
        <f t="shared" si="122"/>
        <v>-10</v>
      </c>
      <c r="AF142" s="219">
        <v>45281.0</v>
      </c>
      <c r="AG142" s="220" t="str">
        <f t="shared" si="136"/>
        <v/>
      </c>
      <c r="AH142" s="220"/>
      <c r="AI142" s="220">
        <f t="shared" si="123"/>
        <v>0</v>
      </c>
      <c r="AJ142" s="220">
        <f t="shared" si="124"/>
        <v>-10</v>
      </c>
      <c r="AL142" s="219">
        <v>45281.0</v>
      </c>
      <c r="AM142" s="220" t="str">
        <f t="shared" si="137"/>
        <v/>
      </c>
      <c r="AN142" s="220"/>
      <c r="AO142" s="220">
        <f t="shared" si="125"/>
        <v>0</v>
      </c>
      <c r="AP142" s="220">
        <f t="shared" si="126"/>
        <v>-10</v>
      </c>
      <c r="AR142" s="219">
        <v>45281.0</v>
      </c>
      <c r="AS142" s="220" t="str">
        <f t="shared" si="138"/>
        <v/>
      </c>
      <c r="AT142" s="220"/>
      <c r="AU142" s="220">
        <f t="shared" si="127"/>
        <v>0</v>
      </c>
      <c r="AV142" s="220">
        <f t="shared" si="128"/>
        <v>-10</v>
      </c>
      <c r="AX142" s="219">
        <v>45281.0</v>
      </c>
      <c r="AY142" s="220" t="str">
        <f t="shared" si="139"/>
        <v/>
      </c>
      <c r="AZ142" s="220"/>
      <c r="BA142" s="220">
        <f t="shared" si="129"/>
        <v>0</v>
      </c>
      <c r="BB142" s="220">
        <f t="shared" si="130"/>
        <v>-10</v>
      </c>
    </row>
    <row r="143" ht="14.25" customHeight="1">
      <c r="A143" s="218"/>
      <c r="B143" s="219">
        <v>45282.0</v>
      </c>
      <c r="C143" s="220" t="str">
        <f t="shared" si="131"/>
        <v/>
      </c>
      <c r="D143" s="220"/>
      <c r="E143" s="220">
        <f t="shared" si="113"/>
        <v>0</v>
      </c>
      <c r="F143" s="220">
        <f t="shared" si="114"/>
        <v>-10</v>
      </c>
      <c r="H143" s="219">
        <v>45282.0</v>
      </c>
      <c r="I143" s="220" t="str">
        <f t="shared" si="132"/>
        <v/>
      </c>
      <c r="J143" s="220"/>
      <c r="K143" s="220">
        <f t="shared" si="115"/>
        <v>0</v>
      </c>
      <c r="L143" s="220">
        <f t="shared" si="116"/>
        <v>-10</v>
      </c>
      <c r="N143" s="219">
        <v>45282.0</v>
      </c>
      <c r="O143" s="220" t="str">
        <f t="shared" si="133"/>
        <v/>
      </c>
      <c r="P143" s="220"/>
      <c r="Q143" s="220">
        <f t="shared" si="117"/>
        <v>0</v>
      </c>
      <c r="R143" s="220">
        <f t="shared" si="118"/>
        <v>-10</v>
      </c>
      <c r="T143" s="219">
        <v>45282.0</v>
      </c>
      <c r="U143" s="220" t="str">
        <f t="shared" si="134"/>
        <v/>
      </c>
      <c r="V143" s="220"/>
      <c r="W143" s="220">
        <f t="shared" si="119"/>
        <v>0</v>
      </c>
      <c r="X143" s="220">
        <f t="shared" si="120"/>
        <v>-10</v>
      </c>
      <c r="Z143" s="219">
        <v>45282.0</v>
      </c>
      <c r="AA143" s="220" t="str">
        <f t="shared" si="135"/>
        <v/>
      </c>
      <c r="AB143" s="220"/>
      <c r="AC143" s="220">
        <f t="shared" si="121"/>
        <v>0</v>
      </c>
      <c r="AD143" s="220">
        <f t="shared" si="122"/>
        <v>-10</v>
      </c>
      <c r="AF143" s="219">
        <v>45282.0</v>
      </c>
      <c r="AG143" s="220" t="str">
        <f t="shared" si="136"/>
        <v/>
      </c>
      <c r="AH143" s="220"/>
      <c r="AI143" s="220">
        <f t="shared" si="123"/>
        <v>0</v>
      </c>
      <c r="AJ143" s="220">
        <f t="shared" si="124"/>
        <v>-10</v>
      </c>
      <c r="AL143" s="219">
        <v>45282.0</v>
      </c>
      <c r="AM143" s="220" t="str">
        <f t="shared" si="137"/>
        <v/>
      </c>
      <c r="AN143" s="220"/>
      <c r="AO143" s="220">
        <f t="shared" si="125"/>
        <v>0</v>
      </c>
      <c r="AP143" s="220">
        <f t="shared" si="126"/>
        <v>-10</v>
      </c>
      <c r="AR143" s="219">
        <v>45282.0</v>
      </c>
      <c r="AS143" s="220" t="str">
        <f t="shared" si="138"/>
        <v/>
      </c>
      <c r="AT143" s="220"/>
      <c r="AU143" s="220">
        <f t="shared" si="127"/>
        <v>0</v>
      </c>
      <c r="AV143" s="220">
        <f t="shared" si="128"/>
        <v>-10</v>
      </c>
      <c r="AX143" s="219">
        <v>45282.0</v>
      </c>
      <c r="AY143" s="220" t="str">
        <f t="shared" si="139"/>
        <v/>
      </c>
      <c r="AZ143" s="220"/>
      <c r="BA143" s="220">
        <f t="shared" si="129"/>
        <v>0</v>
      </c>
      <c r="BB143" s="220">
        <f t="shared" si="130"/>
        <v>-10</v>
      </c>
    </row>
    <row r="144" ht="14.25" customHeight="1">
      <c r="A144" s="218"/>
      <c r="B144" s="219">
        <v>45283.0</v>
      </c>
      <c r="C144" s="220" t="str">
        <f t="shared" si="131"/>
        <v/>
      </c>
      <c r="D144" s="220"/>
      <c r="E144" s="220">
        <f t="shared" si="113"/>
        <v>0</v>
      </c>
      <c r="F144" s="220">
        <f t="shared" si="114"/>
        <v>-10</v>
      </c>
      <c r="H144" s="219">
        <v>45283.0</v>
      </c>
      <c r="I144" s="220" t="str">
        <f t="shared" si="132"/>
        <v/>
      </c>
      <c r="J144" s="220"/>
      <c r="K144" s="220">
        <f t="shared" si="115"/>
        <v>0</v>
      </c>
      <c r="L144" s="220">
        <f t="shared" si="116"/>
        <v>-10</v>
      </c>
      <c r="N144" s="219">
        <v>45283.0</v>
      </c>
      <c r="O144" s="220" t="str">
        <f t="shared" si="133"/>
        <v/>
      </c>
      <c r="P144" s="220"/>
      <c r="Q144" s="220">
        <f t="shared" si="117"/>
        <v>0</v>
      </c>
      <c r="R144" s="220">
        <f t="shared" si="118"/>
        <v>-10</v>
      </c>
      <c r="T144" s="219">
        <v>45283.0</v>
      </c>
      <c r="U144" s="220" t="str">
        <f t="shared" si="134"/>
        <v/>
      </c>
      <c r="V144" s="220"/>
      <c r="W144" s="220">
        <f t="shared" si="119"/>
        <v>0</v>
      </c>
      <c r="X144" s="220">
        <f t="shared" si="120"/>
        <v>-10</v>
      </c>
      <c r="Z144" s="219">
        <v>45283.0</v>
      </c>
      <c r="AA144" s="220" t="str">
        <f t="shared" si="135"/>
        <v/>
      </c>
      <c r="AB144" s="220"/>
      <c r="AC144" s="220">
        <f t="shared" si="121"/>
        <v>0</v>
      </c>
      <c r="AD144" s="220">
        <f t="shared" si="122"/>
        <v>-10</v>
      </c>
      <c r="AF144" s="219">
        <v>45283.0</v>
      </c>
      <c r="AG144" s="220" t="str">
        <f t="shared" si="136"/>
        <v/>
      </c>
      <c r="AH144" s="220"/>
      <c r="AI144" s="220">
        <f t="shared" si="123"/>
        <v>0</v>
      </c>
      <c r="AJ144" s="220">
        <f t="shared" si="124"/>
        <v>-10</v>
      </c>
      <c r="AL144" s="219">
        <v>45283.0</v>
      </c>
      <c r="AM144" s="220" t="str">
        <f t="shared" si="137"/>
        <v/>
      </c>
      <c r="AN144" s="220"/>
      <c r="AO144" s="220">
        <f t="shared" si="125"/>
        <v>0</v>
      </c>
      <c r="AP144" s="220">
        <f t="shared" si="126"/>
        <v>-10</v>
      </c>
      <c r="AR144" s="219">
        <v>45283.0</v>
      </c>
      <c r="AS144" s="220" t="str">
        <f t="shared" si="138"/>
        <v/>
      </c>
      <c r="AT144" s="220"/>
      <c r="AU144" s="220">
        <f t="shared" si="127"/>
        <v>0</v>
      </c>
      <c r="AV144" s="220">
        <f t="shared" si="128"/>
        <v>-10</v>
      </c>
      <c r="AX144" s="219">
        <v>45283.0</v>
      </c>
      <c r="AY144" s="220" t="str">
        <f t="shared" si="139"/>
        <v/>
      </c>
      <c r="AZ144" s="220"/>
      <c r="BA144" s="220">
        <f t="shared" si="129"/>
        <v>0</v>
      </c>
      <c r="BB144" s="220">
        <f t="shared" si="130"/>
        <v>-10</v>
      </c>
    </row>
    <row r="145" ht="14.25" customHeight="1">
      <c r="A145" s="218"/>
      <c r="B145" s="219">
        <v>45284.0</v>
      </c>
      <c r="C145" s="220" t="str">
        <f t="shared" si="131"/>
        <v/>
      </c>
      <c r="D145" s="220"/>
      <c r="E145" s="220">
        <f t="shared" si="113"/>
        <v>0</v>
      </c>
      <c r="F145" s="220">
        <f t="shared" si="114"/>
        <v>-10</v>
      </c>
      <c r="G145" s="221"/>
      <c r="H145" s="219">
        <v>45284.0</v>
      </c>
      <c r="I145" s="220" t="str">
        <f t="shared" si="132"/>
        <v/>
      </c>
      <c r="J145" s="220"/>
      <c r="K145" s="220">
        <f t="shared" si="115"/>
        <v>0</v>
      </c>
      <c r="L145" s="220">
        <f t="shared" si="116"/>
        <v>-10</v>
      </c>
      <c r="M145" s="221"/>
      <c r="N145" s="219">
        <v>45284.0</v>
      </c>
      <c r="O145" s="220" t="str">
        <f t="shared" si="133"/>
        <v/>
      </c>
      <c r="P145" s="220"/>
      <c r="Q145" s="220">
        <f t="shared" si="117"/>
        <v>0</v>
      </c>
      <c r="R145" s="220">
        <f t="shared" si="118"/>
        <v>-10</v>
      </c>
      <c r="S145" s="221"/>
      <c r="T145" s="219">
        <v>45284.0</v>
      </c>
      <c r="U145" s="220" t="str">
        <f t="shared" si="134"/>
        <v/>
      </c>
      <c r="V145" s="220"/>
      <c r="W145" s="220">
        <f t="shared" si="119"/>
        <v>0</v>
      </c>
      <c r="X145" s="220">
        <f t="shared" si="120"/>
        <v>-10</v>
      </c>
      <c r="Y145" s="221"/>
      <c r="Z145" s="219">
        <v>45284.0</v>
      </c>
      <c r="AA145" s="220" t="str">
        <f t="shared" si="135"/>
        <v/>
      </c>
      <c r="AB145" s="220"/>
      <c r="AC145" s="220">
        <f t="shared" si="121"/>
        <v>0</v>
      </c>
      <c r="AD145" s="220">
        <f t="shared" si="122"/>
        <v>-10</v>
      </c>
      <c r="AE145" s="221"/>
      <c r="AF145" s="219">
        <v>45284.0</v>
      </c>
      <c r="AG145" s="220" t="str">
        <f t="shared" si="136"/>
        <v/>
      </c>
      <c r="AH145" s="220"/>
      <c r="AI145" s="220">
        <f t="shared" si="123"/>
        <v>0</v>
      </c>
      <c r="AJ145" s="220">
        <f t="shared" si="124"/>
        <v>-10</v>
      </c>
      <c r="AK145" s="221"/>
      <c r="AL145" s="219">
        <v>45284.0</v>
      </c>
      <c r="AM145" s="220" t="str">
        <f t="shared" si="137"/>
        <v/>
      </c>
      <c r="AN145" s="220"/>
      <c r="AO145" s="220">
        <f t="shared" si="125"/>
        <v>0</v>
      </c>
      <c r="AP145" s="220">
        <f t="shared" si="126"/>
        <v>-10</v>
      </c>
      <c r="AQ145" s="221"/>
      <c r="AR145" s="219">
        <v>45284.0</v>
      </c>
      <c r="AS145" s="220" t="str">
        <f t="shared" si="138"/>
        <v/>
      </c>
      <c r="AT145" s="220"/>
      <c r="AU145" s="220">
        <f t="shared" si="127"/>
        <v>0</v>
      </c>
      <c r="AV145" s="220">
        <f t="shared" si="128"/>
        <v>-10</v>
      </c>
      <c r="AW145" s="221"/>
      <c r="AX145" s="219">
        <v>45284.0</v>
      </c>
      <c r="AY145" s="220" t="str">
        <f t="shared" si="139"/>
        <v/>
      </c>
      <c r="AZ145" s="220"/>
      <c r="BA145" s="220">
        <f t="shared" si="129"/>
        <v>0</v>
      </c>
      <c r="BB145" s="220">
        <f t="shared" si="130"/>
        <v>-10</v>
      </c>
    </row>
    <row r="146" ht="14.25" customHeight="1">
      <c r="A146" s="218"/>
      <c r="B146" s="219">
        <v>45285.0</v>
      </c>
      <c r="C146" s="220" t="str">
        <f t="shared" si="131"/>
        <v/>
      </c>
      <c r="D146" s="220"/>
      <c r="E146" s="220">
        <f t="shared" si="113"/>
        <v>0</v>
      </c>
      <c r="F146" s="220">
        <f t="shared" si="114"/>
        <v>-10</v>
      </c>
      <c r="G146" s="221"/>
      <c r="H146" s="219">
        <v>45285.0</v>
      </c>
      <c r="I146" s="220" t="str">
        <f t="shared" si="132"/>
        <v/>
      </c>
      <c r="J146" s="220"/>
      <c r="K146" s="220">
        <f t="shared" si="115"/>
        <v>0</v>
      </c>
      <c r="L146" s="220">
        <f t="shared" si="116"/>
        <v>-10</v>
      </c>
      <c r="M146" s="221"/>
      <c r="N146" s="219">
        <v>45285.0</v>
      </c>
      <c r="O146" s="220" t="str">
        <f t="shared" si="133"/>
        <v/>
      </c>
      <c r="P146" s="220"/>
      <c r="Q146" s="220">
        <f t="shared" si="117"/>
        <v>0</v>
      </c>
      <c r="R146" s="220">
        <f t="shared" si="118"/>
        <v>-10</v>
      </c>
      <c r="S146" s="221"/>
      <c r="T146" s="219">
        <v>45285.0</v>
      </c>
      <c r="U146" s="220" t="str">
        <f t="shared" si="134"/>
        <v/>
      </c>
      <c r="V146" s="220"/>
      <c r="W146" s="220">
        <f t="shared" si="119"/>
        <v>0</v>
      </c>
      <c r="X146" s="220">
        <f t="shared" si="120"/>
        <v>-10</v>
      </c>
      <c r="Y146" s="221"/>
      <c r="Z146" s="219">
        <v>45285.0</v>
      </c>
      <c r="AA146" s="220" t="str">
        <f t="shared" si="135"/>
        <v/>
      </c>
      <c r="AB146" s="220"/>
      <c r="AC146" s="220">
        <f t="shared" si="121"/>
        <v>0</v>
      </c>
      <c r="AD146" s="220">
        <f t="shared" si="122"/>
        <v>-10</v>
      </c>
      <c r="AE146" s="221"/>
      <c r="AF146" s="219">
        <v>45285.0</v>
      </c>
      <c r="AG146" s="220" t="str">
        <f t="shared" si="136"/>
        <v/>
      </c>
      <c r="AH146" s="220"/>
      <c r="AI146" s="220">
        <f t="shared" si="123"/>
        <v>0</v>
      </c>
      <c r="AJ146" s="220">
        <f t="shared" si="124"/>
        <v>-10</v>
      </c>
      <c r="AK146" s="221"/>
      <c r="AL146" s="219">
        <v>45285.0</v>
      </c>
      <c r="AM146" s="220" t="str">
        <f t="shared" si="137"/>
        <v/>
      </c>
      <c r="AN146" s="220"/>
      <c r="AO146" s="220">
        <f t="shared" si="125"/>
        <v>0</v>
      </c>
      <c r="AP146" s="220">
        <f t="shared" si="126"/>
        <v>-10</v>
      </c>
      <c r="AQ146" s="221"/>
      <c r="AR146" s="219">
        <v>45285.0</v>
      </c>
      <c r="AS146" s="220" t="str">
        <f t="shared" si="138"/>
        <v/>
      </c>
      <c r="AT146" s="220"/>
      <c r="AU146" s="220">
        <f t="shared" si="127"/>
        <v>0</v>
      </c>
      <c r="AV146" s="220">
        <f t="shared" si="128"/>
        <v>-10</v>
      </c>
      <c r="AW146" s="221"/>
      <c r="AX146" s="219">
        <v>45285.0</v>
      </c>
      <c r="AY146" s="220" t="str">
        <f t="shared" si="139"/>
        <v/>
      </c>
      <c r="AZ146" s="220"/>
      <c r="BA146" s="220">
        <f t="shared" si="129"/>
        <v>0</v>
      </c>
      <c r="BB146" s="220">
        <f t="shared" si="130"/>
        <v>-10</v>
      </c>
    </row>
    <row r="147" ht="14.25" customHeight="1">
      <c r="A147" s="218"/>
      <c r="B147" s="219">
        <v>45286.0</v>
      </c>
      <c r="C147" s="220" t="str">
        <f t="shared" si="131"/>
        <v/>
      </c>
      <c r="D147" s="220"/>
      <c r="E147" s="220">
        <f t="shared" si="113"/>
        <v>0</v>
      </c>
      <c r="F147" s="220">
        <f t="shared" si="114"/>
        <v>-10</v>
      </c>
      <c r="H147" s="219">
        <v>45286.0</v>
      </c>
      <c r="I147" s="220" t="str">
        <f t="shared" si="132"/>
        <v/>
      </c>
      <c r="J147" s="220"/>
      <c r="K147" s="220">
        <f t="shared" si="115"/>
        <v>0</v>
      </c>
      <c r="L147" s="220">
        <f t="shared" si="116"/>
        <v>-10</v>
      </c>
      <c r="N147" s="219">
        <v>45286.0</v>
      </c>
      <c r="O147" s="220" t="str">
        <f t="shared" si="133"/>
        <v/>
      </c>
      <c r="P147" s="220"/>
      <c r="Q147" s="220">
        <f t="shared" si="117"/>
        <v>0</v>
      </c>
      <c r="R147" s="220">
        <f t="shared" si="118"/>
        <v>-10</v>
      </c>
      <c r="T147" s="219">
        <v>45286.0</v>
      </c>
      <c r="U147" s="220" t="str">
        <f t="shared" si="134"/>
        <v/>
      </c>
      <c r="V147" s="220"/>
      <c r="W147" s="220">
        <f t="shared" si="119"/>
        <v>0</v>
      </c>
      <c r="X147" s="220">
        <f t="shared" si="120"/>
        <v>-10</v>
      </c>
      <c r="Z147" s="219">
        <v>45286.0</v>
      </c>
      <c r="AA147" s="220" t="str">
        <f t="shared" si="135"/>
        <v/>
      </c>
      <c r="AB147" s="220"/>
      <c r="AC147" s="220">
        <f t="shared" si="121"/>
        <v>0</v>
      </c>
      <c r="AD147" s="220">
        <f t="shared" si="122"/>
        <v>-10</v>
      </c>
      <c r="AF147" s="219">
        <v>45286.0</v>
      </c>
      <c r="AG147" s="220" t="str">
        <f t="shared" si="136"/>
        <v/>
      </c>
      <c r="AH147" s="220"/>
      <c r="AI147" s="220">
        <f t="shared" si="123"/>
        <v>0</v>
      </c>
      <c r="AJ147" s="220">
        <f t="shared" si="124"/>
        <v>-10</v>
      </c>
      <c r="AL147" s="219">
        <v>45286.0</v>
      </c>
      <c r="AM147" s="220" t="str">
        <f t="shared" si="137"/>
        <v/>
      </c>
      <c r="AN147" s="220"/>
      <c r="AO147" s="220">
        <f t="shared" si="125"/>
        <v>0</v>
      </c>
      <c r="AP147" s="220">
        <f t="shared" si="126"/>
        <v>-10</v>
      </c>
      <c r="AR147" s="219">
        <v>45286.0</v>
      </c>
      <c r="AS147" s="220" t="str">
        <f t="shared" si="138"/>
        <v/>
      </c>
      <c r="AT147" s="220"/>
      <c r="AU147" s="220">
        <f t="shared" si="127"/>
        <v>0</v>
      </c>
      <c r="AV147" s="220">
        <f t="shared" si="128"/>
        <v>-10</v>
      </c>
      <c r="AX147" s="219">
        <v>45286.0</v>
      </c>
      <c r="AY147" s="220" t="str">
        <f t="shared" si="139"/>
        <v/>
      </c>
      <c r="AZ147" s="220"/>
      <c r="BA147" s="220">
        <f t="shared" si="129"/>
        <v>0</v>
      </c>
      <c r="BB147" s="220">
        <f t="shared" si="130"/>
        <v>-10</v>
      </c>
    </row>
    <row r="148" ht="14.25" customHeight="1">
      <c r="A148" s="218"/>
      <c r="B148" s="219">
        <v>45287.0</v>
      </c>
      <c r="C148" s="220" t="str">
        <f t="shared" si="131"/>
        <v/>
      </c>
      <c r="D148" s="220"/>
      <c r="E148" s="220">
        <f t="shared" si="113"/>
        <v>0</v>
      </c>
      <c r="F148" s="220">
        <f t="shared" si="114"/>
        <v>-10</v>
      </c>
      <c r="H148" s="219">
        <v>45287.0</v>
      </c>
      <c r="I148" s="220" t="str">
        <f t="shared" si="132"/>
        <v/>
      </c>
      <c r="J148" s="220"/>
      <c r="K148" s="220">
        <f t="shared" si="115"/>
        <v>0</v>
      </c>
      <c r="L148" s="220">
        <f t="shared" si="116"/>
        <v>-10</v>
      </c>
      <c r="N148" s="219">
        <v>45287.0</v>
      </c>
      <c r="O148" s="220" t="str">
        <f t="shared" si="133"/>
        <v/>
      </c>
      <c r="P148" s="220"/>
      <c r="Q148" s="220">
        <f t="shared" si="117"/>
        <v>0</v>
      </c>
      <c r="R148" s="220">
        <f t="shared" si="118"/>
        <v>-10</v>
      </c>
      <c r="T148" s="219">
        <v>45287.0</v>
      </c>
      <c r="U148" s="220" t="str">
        <f t="shared" si="134"/>
        <v/>
      </c>
      <c r="V148" s="220"/>
      <c r="W148" s="220">
        <f t="shared" si="119"/>
        <v>0</v>
      </c>
      <c r="X148" s="220">
        <f t="shared" si="120"/>
        <v>-10</v>
      </c>
      <c r="Z148" s="219">
        <v>45287.0</v>
      </c>
      <c r="AA148" s="220" t="str">
        <f t="shared" si="135"/>
        <v/>
      </c>
      <c r="AB148" s="220"/>
      <c r="AC148" s="220">
        <f t="shared" si="121"/>
        <v>0</v>
      </c>
      <c r="AD148" s="220">
        <f t="shared" si="122"/>
        <v>-10</v>
      </c>
      <c r="AF148" s="219">
        <v>45287.0</v>
      </c>
      <c r="AG148" s="220" t="str">
        <f t="shared" si="136"/>
        <v/>
      </c>
      <c r="AH148" s="220"/>
      <c r="AI148" s="220">
        <f t="shared" si="123"/>
        <v>0</v>
      </c>
      <c r="AJ148" s="220">
        <f t="shared" si="124"/>
        <v>-10</v>
      </c>
      <c r="AL148" s="219">
        <v>45287.0</v>
      </c>
      <c r="AM148" s="220" t="str">
        <f t="shared" si="137"/>
        <v/>
      </c>
      <c r="AN148" s="220"/>
      <c r="AO148" s="220">
        <f t="shared" si="125"/>
        <v>0</v>
      </c>
      <c r="AP148" s="220">
        <f t="shared" si="126"/>
        <v>-10</v>
      </c>
      <c r="AR148" s="219">
        <v>45287.0</v>
      </c>
      <c r="AS148" s="220" t="str">
        <f t="shared" si="138"/>
        <v/>
      </c>
      <c r="AT148" s="220"/>
      <c r="AU148" s="220">
        <f t="shared" si="127"/>
        <v>0</v>
      </c>
      <c r="AV148" s="220">
        <f t="shared" si="128"/>
        <v>-10</v>
      </c>
      <c r="AX148" s="219">
        <v>45287.0</v>
      </c>
      <c r="AY148" s="220" t="str">
        <f t="shared" si="139"/>
        <v/>
      </c>
      <c r="AZ148" s="220"/>
      <c r="BA148" s="220">
        <f t="shared" si="129"/>
        <v>0</v>
      </c>
      <c r="BB148" s="220">
        <f t="shared" si="130"/>
        <v>-10</v>
      </c>
    </row>
    <row r="149" ht="14.25" customHeight="1">
      <c r="A149" s="218"/>
      <c r="B149" s="219">
        <v>45288.0</v>
      </c>
      <c r="C149" s="220" t="str">
        <f t="shared" si="131"/>
        <v/>
      </c>
      <c r="D149" s="220"/>
      <c r="E149" s="220">
        <f t="shared" si="113"/>
        <v>0</v>
      </c>
      <c r="F149" s="220">
        <f t="shared" si="114"/>
        <v>-10</v>
      </c>
      <c r="H149" s="219">
        <v>45288.0</v>
      </c>
      <c r="I149" s="220" t="str">
        <f t="shared" si="132"/>
        <v/>
      </c>
      <c r="J149" s="220"/>
      <c r="K149" s="220">
        <f t="shared" si="115"/>
        <v>0</v>
      </c>
      <c r="L149" s="220">
        <f t="shared" si="116"/>
        <v>-10</v>
      </c>
      <c r="N149" s="219">
        <v>45288.0</v>
      </c>
      <c r="O149" s="220" t="str">
        <f t="shared" si="133"/>
        <v/>
      </c>
      <c r="P149" s="220"/>
      <c r="Q149" s="220">
        <f t="shared" si="117"/>
        <v>0</v>
      </c>
      <c r="R149" s="220">
        <f t="shared" si="118"/>
        <v>-10</v>
      </c>
      <c r="T149" s="219">
        <v>45288.0</v>
      </c>
      <c r="U149" s="220" t="str">
        <f t="shared" si="134"/>
        <v/>
      </c>
      <c r="V149" s="220"/>
      <c r="W149" s="220">
        <f t="shared" si="119"/>
        <v>0</v>
      </c>
      <c r="X149" s="220">
        <f t="shared" si="120"/>
        <v>-10</v>
      </c>
      <c r="Z149" s="219">
        <v>45288.0</v>
      </c>
      <c r="AA149" s="220" t="str">
        <f t="shared" si="135"/>
        <v/>
      </c>
      <c r="AB149" s="220"/>
      <c r="AC149" s="220">
        <f t="shared" si="121"/>
        <v>0</v>
      </c>
      <c r="AD149" s="220">
        <f t="shared" si="122"/>
        <v>-10</v>
      </c>
      <c r="AF149" s="219">
        <v>45288.0</v>
      </c>
      <c r="AG149" s="220" t="str">
        <f t="shared" si="136"/>
        <v/>
      </c>
      <c r="AH149" s="220"/>
      <c r="AI149" s="220">
        <f t="shared" si="123"/>
        <v>0</v>
      </c>
      <c r="AJ149" s="220">
        <f t="shared" si="124"/>
        <v>-10</v>
      </c>
      <c r="AL149" s="219">
        <v>45288.0</v>
      </c>
      <c r="AM149" s="220" t="str">
        <f t="shared" si="137"/>
        <v/>
      </c>
      <c r="AN149" s="220"/>
      <c r="AO149" s="220">
        <f t="shared" si="125"/>
        <v>0</v>
      </c>
      <c r="AP149" s="220">
        <f t="shared" si="126"/>
        <v>-10</v>
      </c>
      <c r="AR149" s="219">
        <v>45288.0</v>
      </c>
      <c r="AS149" s="220" t="str">
        <f t="shared" si="138"/>
        <v/>
      </c>
      <c r="AT149" s="220"/>
      <c r="AU149" s="220">
        <f t="shared" si="127"/>
        <v>0</v>
      </c>
      <c r="AV149" s="220">
        <f t="shared" si="128"/>
        <v>-10</v>
      </c>
      <c r="AX149" s="219">
        <v>45288.0</v>
      </c>
      <c r="AY149" s="220" t="str">
        <f t="shared" si="139"/>
        <v/>
      </c>
      <c r="AZ149" s="220"/>
      <c r="BA149" s="220">
        <f t="shared" si="129"/>
        <v>0</v>
      </c>
      <c r="BB149" s="220">
        <f t="shared" si="130"/>
        <v>-10</v>
      </c>
    </row>
    <row r="150" ht="14.25" customHeight="1">
      <c r="A150" s="218"/>
      <c r="B150" s="219">
        <v>45289.0</v>
      </c>
      <c r="C150" s="220" t="str">
        <f t="shared" si="131"/>
        <v/>
      </c>
      <c r="D150" s="220"/>
      <c r="E150" s="220">
        <f t="shared" si="113"/>
        <v>0</v>
      </c>
      <c r="F150" s="220">
        <f t="shared" si="114"/>
        <v>-10</v>
      </c>
      <c r="H150" s="219">
        <v>45289.0</v>
      </c>
      <c r="I150" s="220" t="str">
        <f t="shared" si="132"/>
        <v/>
      </c>
      <c r="J150" s="220"/>
      <c r="K150" s="220">
        <f t="shared" si="115"/>
        <v>0</v>
      </c>
      <c r="L150" s="220">
        <f t="shared" si="116"/>
        <v>-10</v>
      </c>
      <c r="N150" s="219">
        <v>45289.0</v>
      </c>
      <c r="O150" s="220" t="str">
        <f t="shared" si="133"/>
        <v/>
      </c>
      <c r="P150" s="220"/>
      <c r="Q150" s="220">
        <f t="shared" si="117"/>
        <v>0</v>
      </c>
      <c r="R150" s="220">
        <f t="shared" si="118"/>
        <v>-10</v>
      </c>
      <c r="T150" s="219">
        <v>45289.0</v>
      </c>
      <c r="U150" s="220" t="str">
        <f t="shared" si="134"/>
        <v/>
      </c>
      <c r="V150" s="220"/>
      <c r="W150" s="220">
        <f t="shared" si="119"/>
        <v>0</v>
      </c>
      <c r="X150" s="220">
        <f t="shared" si="120"/>
        <v>-10</v>
      </c>
      <c r="Z150" s="219">
        <v>45289.0</v>
      </c>
      <c r="AA150" s="220" t="str">
        <f t="shared" si="135"/>
        <v/>
      </c>
      <c r="AB150" s="220"/>
      <c r="AC150" s="220">
        <f t="shared" si="121"/>
        <v>0</v>
      </c>
      <c r="AD150" s="220">
        <f t="shared" si="122"/>
        <v>-10</v>
      </c>
      <c r="AF150" s="219">
        <v>45289.0</v>
      </c>
      <c r="AG150" s="220" t="str">
        <f t="shared" si="136"/>
        <v/>
      </c>
      <c r="AH150" s="220"/>
      <c r="AI150" s="220">
        <f t="shared" si="123"/>
        <v>0</v>
      </c>
      <c r="AJ150" s="220">
        <f t="shared" si="124"/>
        <v>-10</v>
      </c>
      <c r="AL150" s="219">
        <v>45289.0</v>
      </c>
      <c r="AM150" s="220" t="str">
        <f t="shared" si="137"/>
        <v/>
      </c>
      <c r="AN150" s="220"/>
      <c r="AO150" s="220">
        <f t="shared" si="125"/>
        <v>0</v>
      </c>
      <c r="AP150" s="220">
        <f t="shared" si="126"/>
        <v>-10</v>
      </c>
      <c r="AR150" s="219">
        <v>45289.0</v>
      </c>
      <c r="AS150" s="220" t="str">
        <f t="shared" si="138"/>
        <v/>
      </c>
      <c r="AT150" s="220"/>
      <c r="AU150" s="220">
        <f t="shared" si="127"/>
        <v>0</v>
      </c>
      <c r="AV150" s="220">
        <f t="shared" si="128"/>
        <v>-10</v>
      </c>
      <c r="AX150" s="219">
        <v>45289.0</v>
      </c>
      <c r="AY150" s="220" t="str">
        <f t="shared" si="139"/>
        <v/>
      </c>
      <c r="AZ150" s="220"/>
      <c r="BA150" s="220">
        <f t="shared" si="129"/>
        <v>0</v>
      </c>
      <c r="BB150" s="220">
        <f t="shared" si="130"/>
        <v>-10</v>
      </c>
    </row>
    <row r="151" ht="14.25" customHeight="1">
      <c r="A151" s="218"/>
      <c r="B151" s="219">
        <v>45290.0</v>
      </c>
      <c r="C151" s="220" t="str">
        <f t="shared" si="131"/>
        <v/>
      </c>
      <c r="D151" s="220"/>
      <c r="E151" s="220">
        <f t="shared" si="113"/>
        <v>0</v>
      </c>
      <c r="F151" s="220">
        <f t="shared" si="114"/>
        <v>-10</v>
      </c>
      <c r="H151" s="219">
        <v>45290.0</v>
      </c>
      <c r="I151" s="220" t="str">
        <f t="shared" si="132"/>
        <v/>
      </c>
      <c r="J151" s="220"/>
      <c r="K151" s="220">
        <f t="shared" si="115"/>
        <v>0</v>
      </c>
      <c r="L151" s="220">
        <f t="shared" si="116"/>
        <v>-10</v>
      </c>
      <c r="N151" s="219">
        <v>45290.0</v>
      </c>
      <c r="O151" s="220" t="str">
        <f t="shared" si="133"/>
        <v/>
      </c>
      <c r="P151" s="220"/>
      <c r="Q151" s="220">
        <f t="shared" si="117"/>
        <v>0</v>
      </c>
      <c r="R151" s="220">
        <f t="shared" si="118"/>
        <v>-10</v>
      </c>
      <c r="T151" s="219">
        <v>45290.0</v>
      </c>
      <c r="U151" s="220" t="str">
        <f t="shared" si="134"/>
        <v/>
      </c>
      <c r="V151" s="220"/>
      <c r="W151" s="220">
        <f t="shared" si="119"/>
        <v>0</v>
      </c>
      <c r="X151" s="220">
        <f t="shared" si="120"/>
        <v>-10</v>
      </c>
      <c r="Z151" s="219">
        <v>45290.0</v>
      </c>
      <c r="AA151" s="220" t="str">
        <f t="shared" si="135"/>
        <v/>
      </c>
      <c r="AB151" s="220"/>
      <c r="AC151" s="220">
        <f t="shared" si="121"/>
        <v>0</v>
      </c>
      <c r="AD151" s="220">
        <f t="shared" si="122"/>
        <v>-10</v>
      </c>
      <c r="AF151" s="219">
        <v>45290.0</v>
      </c>
      <c r="AG151" s="220" t="str">
        <f t="shared" si="136"/>
        <v/>
      </c>
      <c r="AH151" s="220"/>
      <c r="AI151" s="220">
        <f t="shared" si="123"/>
        <v>0</v>
      </c>
      <c r="AJ151" s="220">
        <f t="shared" si="124"/>
        <v>-10</v>
      </c>
      <c r="AL151" s="219">
        <v>45290.0</v>
      </c>
      <c r="AM151" s="220" t="str">
        <f t="shared" si="137"/>
        <v/>
      </c>
      <c r="AN151" s="220"/>
      <c r="AO151" s="220">
        <f t="shared" si="125"/>
        <v>0</v>
      </c>
      <c r="AP151" s="220">
        <f t="shared" si="126"/>
        <v>-10</v>
      </c>
      <c r="AR151" s="219">
        <v>45290.0</v>
      </c>
      <c r="AS151" s="220" t="str">
        <f t="shared" si="138"/>
        <v/>
      </c>
      <c r="AT151" s="220"/>
      <c r="AU151" s="220">
        <f t="shared" si="127"/>
        <v>0</v>
      </c>
      <c r="AV151" s="220">
        <f t="shared" si="128"/>
        <v>-10</v>
      </c>
      <c r="AX151" s="219">
        <v>45290.0</v>
      </c>
      <c r="AY151" s="220" t="str">
        <f t="shared" si="139"/>
        <v/>
      </c>
      <c r="AZ151" s="220"/>
      <c r="BA151" s="220">
        <f t="shared" si="129"/>
        <v>0</v>
      </c>
      <c r="BB151" s="220">
        <f t="shared" si="130"/>
        <v>-10</v>
      </c>
    </row>
    <row r="152" ht="14.25" customHeight="1">
      <c r="A152" s="218"/>
      <c r="B152" s="219">
        <v>45291.0</v>
      </c>
      <c r="C152" s="220" t="str">
        <f t="shared" si="131"/>
        <v/>
      </c>
      <c r="D152" s="220"/>
      <c r="E152" s="220">
        <f t="shared" si="113"/>
        <v>0</v>
      </c>
      <c r="F152" s="220">
        <f t="shared" si="114"/>
        <v>-10</v>
      </c>
      <c r="H152" s="219">
        <v>45291.0</v>
      </c>
      <c r="I152" s="220" t="str">
        <f t="shared" si="132"/>
        <v/>
      </c>
      <c r="J152" s="220"/>
      <c r="K152" s="220">
        <f t="shared" si="115"/>
        <v>0</v>
      </c>
      <c r="L152" s="220">
        <f t="shared" si="116"/>
        <v>-10</v>
      </c>
      <c r="N152" s="219">
        <v>45291.0</v>
      </c>
      <c r="O152" s="220" t="str">
        <f t="shared" si="133"/>
        <v/>
      </c>
      <c r="P152" s="220"/>
      <c r="Q152" s="220">
        <f t="shared" si="117"/>
        <v>0</v>
      </c>
      <c r="R152" s="220">
        <f t="shared" si="118"/>
        <v>-10</v>
      </c>
      <c r="T152" s="219">
        <v>45291.0</v>
      </c>
      <c r="U152" s="220" t="str">
        <f t="shared" si="134"/>
        <v/>
      </c>
      <c r="V152" s="220"/>
      <c r="W152" s="220">
        <f t="shared" si="119"/>
        <v>0</v>
      </c>
      <c r="X152" s="220">
        <f t="shared" si="120"/>
        <v>-10</v>
      </c>
      <c r="Z152" s="219">
        <v>45291.0</v>
      </c>
      <c r="AA152" s="220" t="str">
        <f t="shared" si="135"/>
        <v/>
      </c>
      <c r="AB152" s="220"/>
      <c r="AC152" s="220">
        <f t="shared" si="121"/>
        <v>0</v>
      </c>
      <c r="AD152" s="220">
        <f t="shared" si="122"/>
        <v>-10</v>
      </c>
      <c r="AF152" s="219">
        <v>45291.0</v>
      </c>
      <c r="AG152" s="220" t="str">
        <f t="shared" si="136"/>
        <v/>
      </c>
      <c r="AH152" s="220"/>
      <c r="AI152" s="220">
        <f t="shared" si="123"/>
        <v>0</v>
      </c>
      <c r="AJ152" s="220">
        <f t="shared" si="124"/>
        <v>-10</v>
      </c>
      <c r="AL152" s="219">
        <v>45291.0</v>
      </c>
      <c r="AM152" s="220" t="str">
        <f t="shared" si="137"/>
        <v/>
      </c>
      <c r="AN152" s="220"/>
      <c r="AO152" s="220">
        <f t="shared" si="125"/>
        <v>0</v>
      </c>
      <c r="AP152" s="220">
        <f t="shared" si="126"/>
        <v>-10</v>
      </c>
      <c r="AR152" s="219">
        <v>45291.0</v>
      </c>
      <c r="AS152" s="220" t="str">
        <f t="shared" si="138"/>
        <v/>
      </c>
      <c r="AT152" s="220"/>
      <c r="AU152" s="220">
        <f t="shared" si="127"/>
        <v>0</v>
      </c>
      <c r="AV152" s="220">
        <f t="shared" si="128"/>
        <v>-10</v>
      </c>
      <c r="AX152" s="219">
        <v>45291.0</v>
      </c>
      <c r="AY152" s="220" t="str">
        <f t="shared" si="139"/>
        <v/>
      </c>
      <c r="AZ152" s="220"/>
      <c r="BA152" s="220">
        <f t="shared" si="129"/>
        <v>0</v>
      </c>
      <c r="BB152" s="220">
        <f t="shared" si="130"/>
        <v>-10</v>
      </c>
    </row>
    <row r="153" ht="14.25" customHeight="1">
      <c r="A153" s="222"/>
      <c r="B153" s="216"/>
      <c r="C153" s="223" t="s">
        <v>221</v>
      </c>
      <c r="D153" s="223"/>
      <c r="E153" s="216">
        <f>SUM(E122:E152)</f>
        <v>0</v>
      </c>
      <c r="F153" s="216">
        <f t="shared" si="114"/>
        <v>-10</v>
      </c>
      <c r="H153" s="216"/>
      <c r="I153" s="223" t="s">
        <v>221</v>
      </c>
      <c r="J153" s="223"/>
      <c r="K153" s="216">
        <f>SUM(K122:K152)</f>
        <v>0</v>
      </c>
      <c r="L153" s="216">
        <f t="shared" si="116"/>
        <v>-10</v>
      </c>
      <c r="N153" s="216"/>
      <c r="O153" s="223" t="s">
        <v>221</v>
      </c>
      <c r="P153" s="223"/>
      <c r="Q153" s="216">
        <f>SUM(Q122:Q152)</f>
        <v>0</v>
      </c>
      <c r="R153" s="216">
        <f t="shared" si="118"/>
        <v>-10</v>
      </c>
      <c r="T153" s="216"/>
      <c r="U153" s="223" t="s">
        <v>221</v>
      </c>
      <c r="V153" s="223"/>
      <c r="W153" s="216">
        <f>SUM(W122:W152)</f>
        <v>0</v>
      </c>
      <c r="X153" s="216">
        <f t="shared" si="120"/>
        <v>-10</v>
      </c>
      <c r="Z153" s="216"/>
      <c r="AA153" s="223" t="s">
        <v>221</v>
      </c>
      <c r="AB153" s="223"/>
      <c r="AC153" s="216">
        <f>SUM(AC122:AC152)</f>
        <v>0</v>
      </c>
      <c r="AD153" s="216">
        <f t="shared" si="122"/>
        <v>-10</v>
      </c>
      <c r="AF153" s="216"/>
      <c r="AG153" s="223" t="s">
        <v>221</v>
      </c>
      <c r="AH153" s="223"/>
      <c r="AI153" s="216">
        <f>SUM(AI122:AI152)</f>
        <v>0</v>
      </c>
      <c r="AJ153" s="216">
        <f t="shared" si="124"/>
        <v>-10</v>
      </c>
      <c r="AL153" s="216"/>
      <c r="AM153" s="223" t="s">
        <v>221</v>
      </c>
      <c r="AN153" s="223"/>
      <c r="AO153" s="216">
        <f>SUM(AO122:AO152)</f>
        <v>0</v>
      </c>
      <c r="AP153" s="216">
        <f t="shared" si="126"/>
        <v>-10</v>
      </c>
      <c r="AR153" s="216"/>
      <c r="AS153" s="223" t="s">
        <v>221</v>
      </c>
      <c r="AT153" s="223"/>
      <c r="AU153" s="216">
        <f>SUM(AU122:AU152)</f>
        <v>0</v>
      </c>
      <c r="AV153" s="216">
        <f t="shared" si="128"/>
        <v>-10</v>
      </c>
      <c r="AX153" s="216"/>
      <c r="AY153" s="223" t="s">
        <v>221</v>
      </c>
      <c r="AZ153" s="223"/>
      <c r="BA153" s="216">
        <f>SUM(BA122:BA152)</f>
        <v>0</v>
      </c>
      <c r="BB153" s="216">
        <f t="shared" si="130"/>
        <v>-10</v>
      </c>
    </row>
    <row r="154" ht="14.25" customHeight="1"/>
    <row r="155" ht="26.25" customHeight="1">
      <c r="A155" s="205">
        <v>2024.0</v>
      </c>
    </row>
    <row r="156" ht="14.25" customHeight="1"/>
    <row r="157" ht="18.0" customHeight="1">
      <c r="A157" s="215" t="s">
        <v>227</v>
      </c>
      <c r="B157" s="206" t="s">
        <v>18</v>
      </c>
      <c r="C157" s="207"/>
      <c r="D157" s="207"/>
      <c r="E157" s="207"/>
      <c r="F157" s="208"/>
      <c r="G157" s="209"/>
      <c r="H157" s="206" t="s">
        <v>20</v>
      </c>
      <c r="I157" s="207"/>
      <c r="J157" s="207"/>
      <c r="K157" s="207"/>
      <c r="L157" s="208"/>
      <c r="M157" s="209"/>
      <c r="N157" s="206" t="s">
        <v>142</v>
      </c>
      <c r="O157" s="207"/>
      <c r="P157" s="207"/>
      <c r="Q157" s="207"/>
      <c r="R157" s="208"/>
      <c r="S157" s="209"/>
      <c r="T157" s="206" t="s">
        <v>95</v>
      </c>
      <c r="U157" s="207"/>
      <c r="V157" s="207"/>
      <c r="W157" s="207"/>
      <c r="X157" s="208"/>
      <c r="Y157" s="209"/>
      <c r="Z157" s="206" t="s">
        <v>32</v>
      </c>
      <c r="AA157" s="207"/>
      <c r="AB157" s="207"/>
      <c r="AC157" s="207"/>
      <c r="AD157" s="208"/>
      <c r="AE157" s="209"/>
      <c r="AF157" s="206" t="s">
        <v>27</v>
      </c>
      <c r="AG157" s="207"/>
      <c r="AH157" s="207"/>
      <c r="AI157" s="207"/>
      <c r="AJ157" s="208"/>
      <c r="AK157" s="209"/>
      <c r="AL157" s="206" t="s">
        <v>34</v>
      </c>
      <c r="AM157" s="207"/>
      <c r="AN157" s="207"/>
      <c r="AO157" s="207"/>
      <c r="AP157" s="208"/>
      <c r="AQ157" s="209"/>
      <c r="AR157" s="206"/>
      <c r="AS157" s="207"/>
      <c r="AT157" s="207"/>
      <c r="AU157" s="207"/>
      <c r="AV157" s="208"/>
      <c r="AW157" s="209"/>
      <c r="AX157" s="206"/>
      <c r="AY157" s="207"/>
      <c r="AZ157" s="207"/>
      <c r="BA157" s="207"/>
      <c r="BB157" s="208"/>
    </row>
    <row r="158" ht="14.25" customHeight="1">
      <c r="A158" s="218"/>
      <c r="B158" s="210"/>
      <c r="F158" s="211"/>
      <c r="G158" s="209"/>
      <c r="H158" s="210"/>
      <c r="L158" s="211"/>
      <c r="M158" s="209"/>
      <c r="N158" s="210"/>
      <c r="R158" s="211"/>
      <c r="S158" s="209"/>
      <c r="T158" s="210"/>
      <c r="X158" s="211"/>
      <c r="Y158" s="209"/>
      <c r="Z158" s="210"/>
      <c r="AD158" s="211"/>
      <c r="AE158" s="209"/>
      <c r="AF158" s="210"/>
      <c r="AJ158" s="211"/>
      <c r="AK158" s="209"/>
      <c r="AL158" s="210"/>
      <c r="AP158" s="211"/>
      <c r="AQ158" s="209"/>
      <c r="AR158" s="210"/>
      <c r="AV158" s="211"/>
      <c r="AW158" s="209"/>
      <c r="AX158" s="210"/>
      <c r="BB158" s="211"/>
    </row>
    <row r="159" ht="14.25" customHeight="1">
      <c r="A159" s="218"/>
      <c r="B159" s="212"/>
      <c r="C159" s="213"/>
      <c r="D159" s="213"/>
      <c r="E159" s="213"/>
      <c r="F159" s="214"/>
      <c r="G159" s="209"/>
      <c r="H159" s="212"/>
      <c r="I159" s="213"/>
      <c r="J159" s="213"/>
      <c r="K159" s="213"/>
      <c r="L159" s="214"/>
      <c r="M159" s="209"/>
      <c r="N159" s="212"/>
      <c r="O159" s="213"/>
      <c r="P159" s="213"/>
      <c r="Q159" s="213"/>
      <c r="R159" s="214"/>
      <c r="S159" s="209"/>
      <c r="T159" s="212"/>
      <c r="U159" s="213"/>
      <c r="V159" s="213"/>
      <c r="W159" s="213"/>
      <c r="X159" s="214"/>
      <c r="Y159" s="209"/>
      <c r="Z159" s="212"/>
      <c r="AA159" s="213"/>
      <c r="AB159" s="213"/>
      <c r="AC159" s="213"/>
      <c r="AD159" s="214"/>
      <c r="AE159" s="209"/>
      <c r="AF159" s="212"/>
      <c r="AG159" s="213"/>
      <c r="AH159" s="213"/>
      <c r="AI159" s="213"/>
      <c r="AJ159" s="214"/>
      <c r="AK159" s="209"/>
      <c r="AL159" s="212"/>
      <c r="AM159" s="213"/>
      <c r="AN159" s="213"/>
      <c r="AO159" s="213"/>
      <c r="AP159" s="214"/>
      <c r="AQ159" s="209"/>
      <c r="AR159" s="212"/>
      <c r="AS159" s="213"/>
      <c r="AT159" s="213"/>
      <c r="AU159" s="213"/>
      <c r="AV159" s="214"/>
      <c r="AW159" s="209"/>
      <c r="AX159" s="212"/>
      <c r="AY159" s="213"/>
      <c r="AZ159" s="213"/>
      <c r="BA159" s="213"/>
      <c r="BB159" s="214"/>
    </row>
    <row r="160" ht="14.25" customHeight="1">
      <c r="A160" s="218"/>
      <c r="B160" s="216" t="s">
        <v>214</v>
      </c>
      <c r="C160" s="216" t="s">
        <v>215</v>
      </c>
      <c r="D160" s="216" t="s">
        <v>216</v>
      </c>
      <c r="E160" s="216" t="s">
        <v>217</v>
      </c>
      <c r="F160" s="216" t="s">
        <v>218</v>
      </c>
      <c r="H160" s="217" t="s">
        <v>214</v>
      </c>
      <c r="I160" s="216" t="s">
        <v>215</v>
      </c>
      <c r="J160" s="216" t="s">
        <v>216</v>
      </c>
      <c r="K160" s="216" t="s">
        <v>217</v>
      </c>
      <c r="L160" s="216" t="s">
        <v>218</v>
      </c>
      <c r="N160" s="216" t="s">
        <v>214</v>
      </c>
      <c r="O160" s="216" t="s">
        <v>215</v>
      </c>
      <c r="P160" s="216" t="s">
        <v>216</v>
      </c>
      <c r="Q160" s="216" t="s">
        <v>217</v>
      </c>
      <c r="R160" s="216" t="s">
        <v>218</v>
      </c>
      <c r="T160" s="216" t="s">
        <v>214</v>
      </c>
      <c r="U160" s="216" t="s">
        <v>215</v>
      </c>
      <c r="V160" s="216" t="s">
        <v>216</v>
      </c>
      <c r="W160" s="216" t="s">
        <v>217</v>
      </c>
      <c r="X160" s="216" t="s">
        <v>218</v>
      </c>
      <c r="Z160" s="216" t="s">
        <v>214</v>
      </c>
      <c r="AA160" s="216" t="s">
        <v>215</v>
      </c>
      <c r="AB160" s="216" t="s">
        <v>216</v>
      </c>
      <c r="AC160" s="216" t="s">
        <v>217</v>
      </c>
      <c r="AD160" s="216" t="s">
        <v>218</v>
      </c>
      <c r="AF160" s="216" t="s">
        <v>214</v>
      </c>
      <c r="AG160" s="216" t="s">
        <v>215</v>
      </c>
      <c r="AH160" s="216" t="s">
        <v>216</v>
      </c>
      <c r="AI160" s="216" t="s">
        <v>217</v>
      </c>
      <c r="AJ160" s="216" t="s">
        <v>218</v>
      </c>
      <c r="AL160" s="216" t="s">
        <v>214</v>
      </c>
      <c r="AM160" s="216" t="s">
        <v>215</v>
      </c>
      <c r="AN160" s="216" t="s">
        <v>216</v>
      </c>
      <c r="AO160" s="216" t="s">
        <v>217</v>
      </c>
      <c r="AP160" s="216" t="s">
        <v>218</v>
      </c>
      <c r="AR160" s="216" t="s">
        <v>214</v>
      </c>
      <c r="AS160" s="216" t="s">
        <v>215</v>
      </c>
      <c r="AT160" s="216" t="s">
        <v>216</v>
      </c>
      <c r="AU160" s="216" t="s">
        <v>217</v>
      </c>
      <c r="AV160" s="216" t="s">
        <v>218</v>
      </c>
      <c r="AX160" s="216" t="s">
        <v>214</v>
      </c>
      <c r="AY160" s="216" t="s">
        <v>215</v>
      </c>
      <c r="AZ160" s="216" t="s">
        <v>216</v>
      </c>
      <c r="BA160" s="216" t="s">
        <v>217</v>
      </c>
      <c r="BB160" s="216" t="s">
        <v>218</v>
      </c>
    </row>
    <row r="161" ht="14.25" customHeight="1">
      <c r="A161" s="218"/>
      <c r="B161" s="219"/>
      <c r="C161" s="220"/>
      <c r="D161" s="220"/>
      <c r="E161" s="220">
        <f t="shared" ref="E161:E191" si="140">D161-C161</f>
        <v>0</v>
      </c>
      <c r="F161" s="220">
        <f t="shared" ref="F161:F192" si="141">E161-10</f>
        <v>-10</v>
      </c>
      <c r="H161" s="219">
        <v>45078.0</v>
      </c>
      <c r="I161" s="220"/>
      <c r="J161" s="220"/>
      <c r="K161" s="220">
        <f t="shared" ref="K161:K191" si="142">J161-I161</f>
        <v>0</v>
      </c>
      <c r="L161" s="220">
        <f t="shared" ref="L161:L192" si="143">K161-10</f>
        <v>-10</v>
      </c>
      <c r="N161" s="219">
        <v>45078.0</v>
      </c>
      <c r="O161" s="220"/>
      <c r="P161" s="220"/>
      <c r="Q161" s="220">
        <f t="shared" ref="Q161:Q191" si="144">P161-O161</f>
        <v>0</v>
      </c>
      <c r="R161" s="220">
        <f t="shared" ref="R161:R192" si="145">Q161-10</f>
        <v>-10</v>
      </c>
      <c r="T161" s="219">
        <v>45078.0</v>
      </c>
      <c r="U161" s="220"/>
      <c r="V161" s="220"/>
      <c r="W161" s="220">
        <f t="shared" ref="W161:W191" si="146">V161-U161</f>
        <v>0</v>
      </c>
      <c r="X161" s="220">
        <f t="shared" ref="X161:X192" si="147">W161-10</f>
        <v>-10</v>
      </c>
      <c r="Z161" s="219">
        <v>45078.0</v>
      </c>
      <c r="AA161" s="220"/>
      <c r="AB161" s="220"/>
      <c r="AC161" s="220">
        <f t="shared" ref="AC161:AC191" si="148">AB161-AA161</f>
        <v>0</v>
      </c>
      <c r="AD161" s="220">
        <f t="shared" ref="AD161:AD192" si="149">AC161-10</f>
        <v>-10</v>
      </c>
      <c r="AF161" s="219">
        <v>45078.0</v>
      </c>
      <c r="AG161" s="220"/>
      <c r="AH161" s="220"/>
      <c r="AI161" s="220">
        <f t="shared" ref="AI161:AI191" si="150">AH161-AG161</f>
        <v>0</v>
      </c>
      <c r="AJ161" s="220">
        <f t="shared" ref="AJ161:AJ192" si="151">AI161-10</f>
        <v>-10</v>
      </c>
      <c r="AL161" s="219">
        <v>45078.0</v>
      </c>
      <c r="AM161" s="220"/>
      <c r="AN161" s="220"/>
      <c r="AO161" s="220">
        <f t="shared" ref="AO161:AO191" si="152">AN161-AM161</f>
        <v>0</v>
      </c>
      <c r="AP161" s="220">
        <f t="shared" ref="AP161:AP192" si="153">AO161-10</f>
        <v>-10</v>
      </c>
      <c r="AR161" s="219">
        <v>45078.0</v>
      </c>
      <c r="AS161" s="220"/>
      <c r="AT161" s="220"/>
      <c r="AU161" s="220">
        <f t="shared" ref="AU161:AU191" si="154">AT161-AS161</f>
        <v>0</v>
      </c>
      <c r="AV161" s="220">
        <f t="shared" ref="AV161:AV192" si="155">AU161-10</f>
        <v>-10</v>
      </c>
      <c r="AX161" s="219">
        <v>45078.0</v>
      </c>
      <c r="AY161" s="220"/>
      <c r="AZ161" s="220"/>
      <c r="BA161" s="220">
        <f t="shared" ref="BA161:BA191" si="156">AZ161-AY161</f>
        <v>0</v>
      </c>
      <c r="BB161" s="220">
        <f t="shared" ref="BB161:BB192" si="157">BA161-10</f>
        <v>-10</v>
      </c>
    </row>
    <row r="162" ht="14.25" customHeight="1">
      <c r="A162" s="218"/>
      <c r="B162" s="219"/>
      <c r="C162" s="220" t="str">
        <f t="shared" ref="C162:C191" si="158">D161</f>
        <v/>
      </c>
      <c r="D162" s="220"/>
      <c r="E162" s="220">
        <f t="shared" si="140"/>
        <v>0</v>
      </c>
      <c r="F162" s="220">
        <f t="shared" si="141"/>
        <v>-10</v>
      </c>
      <c r="H162" s="219">
        <v>45079.0</v>
      </c>
      <c r="I162" s="220" t="str">
        <f t="shared" ref="I162:I191" si="159">J161</f>
        <v/>
      </c>
      <c r="J162" s="220"/>
      <c r="K162" s="220">
        <f t="shared" si="142"/>
        <v>0</v>
      </c>
      <c r="L162" s="220">
        <f t="shared" si="143"/>
        <v>-10</v>
      </c>
      <c r="N162" s="219">
        <v>45079.0</v>
      </c>
      <c r="O162" s="220" t="str">
        <f t="shared" ref="O162:O191" si="160">P161</f>
        <v/>
      </c>
      <c r="P162" s="220"/>
      <c r="Q162" s="220">
        <f t="shared" si="144"/>
        <v>0</v>
      </c>
      <c r="R162" s="220">
        <f t="shared" si="145"/>
        <v>-10</v>
      </c>
      <c r="T162" s="219">
        <v>45079.0</v>
      </c>
      <c r="U162" s="220" t="str">
        <f t="shared" ref="U162:U191" si="161">V161</f>
        <v/>
      </c>
      <c r="V162" s="220"/>
      <c r="W162" s="220">
        <f t="shared" si="146"/>
        <v>0</v>
      </c>
      <c r="X162" s="220">
        <f t="shared" si="147"/>
        <v>-10</v>
      </c>
      <c r="Z162" s="219">
        <v>45079.0</v>
      </c>
      <c r="AA162" s="220" t="str">
        <f t="shared" ref="AA162:AA191" si="162">AB161</f>
        <v/>
      </c>
      <c r="AB162" s="220"/>
      <c r="AC162" s="220">
        <f t="shared" si="148"/>
        <v>0</v>
      </c>
      <c r="AD162" s="220">
        <f t="shared" si="149"/>
        <v>-10</v>
      </c>
      <c r="AF162" s="219">
        <v>45079.0</v>
      </c>
      <c r="AG162" s="220" t="str">
        <f t="shared" ref="AG162:AG191" si="163">AH161</f>
        <v/>
      </c>
      <c r="AH162" s="220"/>
      <c r="AI162" s="220">
        <f t="shared" si="150"/>
        <v>0</v>
      </c>
      <c r="AJ162" s="220">
        <f t="shared" si="151"/>
        <v>-10</v>
      </c>
      <c r="AL162" s="219">
        <v>45079.0</v>
      </c>
      <c r="AM162" s="220" t="str">
        <f t="shared" ref="AM162:AM191" si="164">AN161</f>
        <v/>
      </c>
      <c r="AN162" s="220"/>
      <c r="AO162" s="220">
        <f t="shared" si="152"/>
        <v>0</v>
      </c>
      <c r="AP162" s="220">
        <f t="shared" si="153"/>
        <v>-10</v>
      </c>
      <c r="AR162" s="219">
        <v>45079.0</v>
      </c>
      <c r="AS162" s="220" t="str">
        <f t="shared" ref="AS162:AS191" si="165">AT161</f>
        <v/>
      </c>
      <c r="AT162" s="220"/>
      <c r="AU162" s="220">
        <f t="shared" si="154"/>
        <v>0</v>
      </c>
      <c r="AV162" s="220">
        <f t="shared" si="155"/>
        <v>-10</v>
      </c>
      <c r="AX162" s="219">
        <v>45079.0</v>
      </c>
      <c r="AY162" s="220" t="str">
        <f t="shared" ref="AY162:AY191" si="166">AZ161</f>
        <v/>
      </c>
      <c r="AZ162" s="220"/>
      <c r="BA162" s="220">
        <f t="shared" si="156"/>
        <v>0</v>
      </c>
      <c r="BB162" s="220">
        <f t="shared" si="157"/>
        <v>-10</v>
      </c>
    </row>
    <row r="163" ht="14.25" customHeight="1">
      <c r="A163" s="218"/>
      <c r="B163" s="219"/>
      <c r="C163" s="220" t="str">
        <f t="shared" si="158"/>
        <v/>
      </c>
      <c r="D163" s="220"/>
      <c r="E163" s="220">
        <f t="shared" si="140"/>
        <v>0</v>
      </c>
      <c r="F163" s="220">
        <f t="shared" si="141"/>
        <v>-10</v>
      </c>
      <c r="G163" s="221"/>
      <c r="H163" s="219">
        <v>45080.0</v>
      </c>
      <c r="I163" s="220" t="str">
        <f t="shared" si="159"/>
        <v/>
      </c>
      <c r="J163" s="220"/>
      <c r="K163" s="220">
        <f t="shared" si="142"/>
        <v>0</v>
      </c>
      <c r="L163" s="220">
        <f t="shared" si="143"/>
        <v>-10</v>
      </c>
      <c r="M163" s="221"/>
      <c r="N163" s="219">
        <v>45080.0</v>
      </c>
      <c r="O163" s="220" t="str">
        <f t="shared" si="160"/>
        <v/>
      </c>
      <c r="P163" s="220"/>
      <c r="Q163" s="220">
        <f t="shared" si="144"/>
        <v>0</v>
      </c>
      <c r="R163" s="220">
        <f t="shared" si="145"/>
        <v>-10</v>
      </c>
      <c r="S163" s="221"/>
      <c r="T163" s="219">
        <v>45080.0</v>
      </c>
      <c r="U163" s="220" t="str">
        <f t="shared" si="161"/>
        <v/>
      </c>
      <c r="V163" s="220"/>
      <c r="W163" s="220">
        <f t="shared" si="146"/>
        <v>0</v>
      </c>
      <c r="X163" s="220">
        <f t="shared" si="147"/>
        <v>-10</v>
      </c>
      <c r="Y163" s="221"/>
      <c r="Z163" s="219">
        <v>45080.0</v>
      </c>
      <c r="AA163" s="220" t="str">
        <f t="shared" si="162"/>
        <v/>
      </c>
      <c r="AB163" s="220"/>
      <c r="AC163" s="220">
        <f t="shared" si="148"/>
        <v>0</v>
      </c>
      <c r="AD163" s="220">
        <f t="shared" si="149"/>
        <v>-10</v>
      </c>
      <c r="AE163" s="221"/>
      <c r="AF163" s="219">
        <v>45080.0</v>
      </c>
      <c r="AG163" s="220" t="str">
        <f t="shared" si="163"/>
        <v/>
      </c>
      <c r="AH163" s="220"/>
      <c r="AI163" s="220">
        <f t="shared" si="150"/>
        <v>0</v>
      </c>
      <c r="AJ163" s="220">
        <f t="shared" si="151"/>
        <v>-10</v>
      </c>
      <c r="AK163" s="221"/>
      <c r="AL163" s="219">
        <v>45080.0</v>
      </c>
      <c r="AM163" s="220" t="str">
        <f t="shared" si="164"/>
        <v/>
      </c>
      <c r="AN163" s="220"/>
      <c r="AO163" s="220">
        <f t="shared" si="152"/>
        <v>0</v>
      </c>
      <c r="AP163" s="220">
        <f t="shared" si="153"/>
        <v>-10</v>
      </c>
      <c r="AQ163" s="221"/>
      <c r="AR163" s="219">
        <v>45080.0</v>
      </c>
      <c r="AS163" s="220" t="str">
        <f t="shared" si="165"/>
        <v/>
      </c>
      <c r="AT163" s="220"/>
      <c r="AU163" s="220">
        <f t="shared" si="154"/>
        <v>0</v>
      </c>
      <c r="AV163" s="220">
        <f t="shared" si="155"/>
        <v>-10</v>
      </c>
      <c r="AW163" s="221"/>
      <c r="AX163" s="219">
        <v>45080.0</v>
      </c>
      <c r="AY163" s="220" t="str">
        <f t="shared" si="166"/>
        <v/>
      </c>
      <c r="AZ163" s="220"/>
      <c r="BA163" s="220">
        <f t="shared" si="156"/>
        <v>0</v>
      </c>
      <c r="BB163" s="220">
        <f t="shared" si="157"/>
        <v>-10</v>
      </c>
    </row>
    <row r="164" ht="14.25" customHeight="1">
      <c r="A164" s="218"/>
      <c r="B164" s="219"/>
      <c r="C164" s="220" t="str">
        <f t="shared" si="158"/>
        <v/>
      </c>
      <c r="D164" s="220"/>
      <c r="E164" s="220">
        <f t="shared" si="140"/>
        <v>0</v>
      </c>
      <c r="F164" s="220">
        <f t="shared" si="141"/>
        <v>-10</v>
      </c>
      <c r="G164" s="221"/>
      <c r="H164" s="219">
        <v>45081.0</v>
      </c>
      <c r="I164" s="220" t="str">
        <f t="shared" si="159"/>
        <v/>
      </c>
      <c r="J164" s="220"/>
      <c r="K164" s="220">
        <f t="shared" si="142"/>
        <v>0</v>
      </c>
      <c r="L164" s="220">
        <f t="shared" si="143"/>
        <v>-10</v>
      </c>
      <c r="M164" s="221"/>
      <c r="N164" s="219">
        <v>45081.0</v>
      </c>
      <c r="O164" s="220" t="str">
        <f t="shared" si="160"/>
        <v/>
      </c>
      <c r="P164" s="220"/>
      <c r="Q164" s="220">
        <f t="shared" si="144"/>
        <v>0</v>
      </c>
      <c r="R164" s="220">
        <f t="shared" si="145"/>
        <v>-10</v>
      </c>
      <c r="S164" s="221"/>
      <c r="T164" s="219">
        <v>45081.0</v>
      </c>
      <c r="U164" s="220" t="str">
        <f t="shared" si="161"/>
        <v/>
      </c>
      <c r="V164" s="220"/>
      <c r="W164" s="220">
        <f t="shared" si="146"/>
        <v>0</v>
      </c>
      <c r="X164" s="220">
        <f t="shared" si="147"/>
        <v>-10</v>
      </c>
      <c r="Y164" s="221"/>
      <c r="Z164" s="219">
        <v>45081.0</v>
      </c>
      <c r="AA164" s="220" t="str">
        <f t="shared" si="162"/>
        <v/>
      </c>
      <c r="AB164" s="220"/>
      <c r="AC164" s="220">
        <f t="shared" si="148"/>
        <v>0</v>
      </c>
      <c r="AD164" s="220">
        <f t="shared" si="149"/>
        <v>-10</v>
      </c>
      <c r="AE164" s="221"/>
      <c r="AF164" s="219">
        <v>45081.0</v>
      </c>
      <c r="AG164" s="220" t="str">
        <f t="shared" si="163"/>
        <v/>
      </c>
      <c r="AH164" s="220"/>
      <c r="AI164" s="220">
        <f t="shared" si="150"/>
        <v>0</v>
      </c>
      <c r="AJ164" s="220">
        <f t="shared" si="151"/>
        <v>-10</v>
      </c>
      <c r="AK164" s="221"/>
      <c r="AL164" s="219">
        <v>45081.0</v>
      </c>
      <c r="AM164" s="220" t="str">
        <f t="shared" si="164"/>
        <v/>
      </c>
      <c r="AN164" s="220"/>
      <c r="AO164" s="220">
        <f t="shared" si="152"/>
        <v>0</v>
      </c>
      <c r="AP164" s="220">
        <f t="shared" si="153"/>
        <v>-10</v>
      </c>
      <c r="AQ164" s="221"/>
      <c r="AR164" s="219">
        <v>45081.0</v>
      </c>
      <c r="AS164" s="220" t="str">
        <f t="shared" si="165"/>
        <v/>
      </c>
      <c r="AT164" s="220"/>
      <c r="AU164" s="220">
        <f t="shared" si="154"/>
        <v>0</v>
      </c>
      <c r="AV164" s="220">
        <f t="shared" si="155"/>
        <v>-10</v>
      </c>
      <c r="AW164" s="221"/>
      <c r="AX164" s="219">
        <v>45081.0</v>
      </c>
      <c r="AY164" s="220" t="str">
        <f t="shared" si="166"/>
        <v/>
      </c>
      <c r="AZ164" s="220"/>
      <c r="BA164" s="220">
        <f t="shared" si="156"/>
        <v>0</v>
      </c>
      <c r="BB164" s="220">
        <f t="shared" si="157"/>
        <v>-10</v>
      </c>
    </row>
    <row r="165" ht="14.25" customHeight="1">
      <c r="A165" s="218"/>
      <c r="B165" s="219"/>
      <c r="C165" s="220" t="str">
        <f t="shared" si="158"/>
        <v/>
      </c>
      <c r="D165" s="220"/>
      <c r="E165" s="220">
        <f t="shared" si="140"/>
        <v>0</v>
      </c>
      <c r="F165" s="220">
        <f t="shared" si="141"/>
        <v>-10</v>
      </c>
      <c r="H165" s="219">
        <v>45082.0</v>
      </c>
      <c r="I165" s="220" t="str">
        <f t="shared" si="159"/>
        <v/>
      </c>
      <c r="J165" s="220"/>
      <c r="K165" s="220">
        <f t="shared" si="142"/>
        <v>0</v>
      </c>
      <c r="L165" s="220">
        <f t="shared" si="143"/>
        <v>-10</v>
      </c>
      <c r="N165" s="219">
        <v>45082.0</v>
      </c>
      <c r="O165" s="220" t="str">
        <f t="shared" si="160"/>
        <v/>
      </c>
      <c r="P165" s="220"/>
      <c r="Q165" s="220">
        <f t="shared" si="144"/>
        <v>0</v>
      </c>
      <c r="R165" s="220">
        <f t="shared" si="145"/>
        <v>-10</v>
      </c>
      <c r="T165" s="219">
        <v>45082.0</v>
      </c>
      <c r="U165" s="220" t="str">
        <f t="shared" si="161"/>
        <v/>
      </c>
      <c r="V165" s="220"/>
      <c r="W165" s="220">
        <f t="shared" si="146"/>
        <v>0</v>
      </c>
      <c r="X165" s="220">
        <f t="shared" si="147"/>
        <v>-10</v>
      </c>
      <c r="Z165" s="219">
        <v>45082.0</v>
      </c>
      <c r="AA165" s="220" t="str">
        <f t="shared" si="162"/>
        <v/>
      </c>
      <c r="AB165" s="220"/>
      <c r="AC165" s="220">
        <f t="shared" si="148"/>
        <v>0</v>
      </c>
      <c r="AD165" s="220">
        <f t="shared" si="149"/>
        <v>-10</v>
      </c>
      <c r="AF165" s="219">
        <v>45082.0</v>
      </c>
      <c r="AG165" s="220" t="str">
        <f t="shared" si="163"/>
        <v/>
      </c>
      <c r="AH165" s="220"/>
      <c r="AI165" s="220">
        <f t="shared" si="150"/>
        <v>0</v>
      </c>
      <c r="AJ165" s="220">
        <f t="shared" si="151"/>
        <v>-10</v>
      </c>
      <c r="AL165" s="219">
        <v>45082.0</v>
      </c>
      <c r="AM165" s="220" t="str">
        <f t="shared" si="164"/>
        <v/>
      </c>
      <c r="AN165" s="220"/>
      <c r="AO165" s="220">
        <f t="shared" si="152"/>
        <v>0</v>
      </c>
      <c r="AP165" s="220">
        <f t="shared" si="153"/>
        <v>-10</v>
      </c>
      <c r="AR165" s="219">
        <v>45082.0</v>
      </c>
      <c r="AS165" s="220" t="str">
        <f t="shared" si="165"/>
        <v/>
      </c>
      <c r="AT165" s="220"/>
      <c r="AU165" s="220">
        <f t="shared" si="154"/>
        <v>0</v>
      </c>
      <c r="AV165" s="220">
        <f t="shared" si="155"/>
        <v>-10</v>
      </c>
      <c r="AX165" s="219">
        <v>45082.0</v>
      </c>
      <c r="AY165" s="220" t="str">
        <f t="shared" si="166"/>
        <v/>
      </c>
      <c r="AZ165" s="220"/>
      <c r="BA165" s="220">
        <f t="shared" si="156"/>
        <v>0</v>
      </c>
      <c r="BB165" s="220">
        <f t="shared" si="157"/>
        <v>-10</v>
      </c>
    </row>
    <row r="166" ht="14.25" customHeight="1">
      <c r="A166" s="218"/>
      <c r="B166" s="219"/>
      <c r="C166" s="220" t="str">
        <f t="shared" si="158"/>
        <v/>
      </c>
      <c r="D166" s="220"/>
      <c r="E166" s="220">
        <f t="shared" si="140"/>
        <v>0</v>
      </c>
      <c r="F166" s="220">
        <f t="shared" si="141"/>
        <v>-10</v>
      </c>
      <c r="H166" s="219">
        <v>45083.0</v>
      </c>
      <c r="I166" s="220" t="str">
        <f t="shared" si="159"/>
        <v/>
      </c>
      <c r="J166" s="220"/>
      <c r="K166" s="220">
        <f t="shared" si="142"/>
        <v>0</v>
      </c>
      <c r="L166" s="220">
        <f t="shared" si="143"/>
        <v>-10</v>
      </c>
      <c r="N166" s="219">
        <v>45083.0</v>
      </c>
      <c r="O166" s="220" t="str">
        <f t="shared" si="160"/>
        <v/>
      </c>
      <c r="P166" s="220"/>
      <c r="Q166" s="220">
        <f t="shared" si="144"/>
        <v>0</v>
      </c>
      <c r="R166" s="220">
        <f t="shared" si="145"/>
        <v>-10</v>
      </c>
      <c r="T166" s="219">
        <v>45083.0</v>
      </c>
      <c r="U166" s="220" t="str">
        <f t="shared" si="161"/>
        <v/>
      </c>
      <c r="V166" s="220"/>
      <c r="W166" s="220">
        <f t="shared" si="146"/>
        <v>0</v>
      </c>
      <c r="X166" s="220">
        <f t="shared" si="147"/>
        <v>-10</v>
      </c>
      <c r="Z166" s="219">
        <v>45083.0</v>
      </c>
      <c r="AA166" s="220" t="str">
        <f t="shared" si="162"/>
        <v/>
      </c>
      <c r="AB166" s="220"/>
      <c r="AC166" s="220">
        <f t="shared" si="148"/>
        <v>0</v>
      </c>
      <c r="AD166" s="220">
        <f t="shared" si="149"/>
        <v>-10</v>
      </c>
      <c r="AF166" s="219">
        <v>45083.0</v>
      </c>
      <c r="AG166" s="220" t="str">
        <f t="shared" si="163"/>
        <v/>
      </c>
      <c r="AH166" s="220"/>
      <c r="AI166" s="220">
        <f t="shared" si="150"/>
        <v>0</v>
      </c>
      <c r="AJ166" s="220">
        <f t="shared" si="151"/>
        <v>-10</v>
      </c>
      <c r="AL166" s="219">
        <v>45083.0</v>
      </c>
      <c r="AM166" s="220" t="str">
        <f t="shared" si="164"/>
        <v/>
      </c>
      <c r="AN166" s="220"/>
      <c r="AO166" s="220">
        <f t="shared" si="152"/>
        <v>0</v>
      </c>
      <c r="AP166" s="220">
        <f t="shared" si="153"/>
        <v>-10</v>
      </c>
      <c r="AR166" s="219">
        <v>45083.0</v>
      </c>
      <c r="AS166" s="220" t="str">
        <f t="shared" si="165"/>
        <v/>
      </c>
      <c r="AT166" s="220"/>
      <c r="AU166" s="220">
        <f t="shared" si="154"/>
        <v>0</v>
      </c>
      <c r="AV166" s="220">
        <f t="shared" si="155"/>
        <v>-10</v>
      </c>
      <c r="AX166" s="219">
        <v>45083.0</v>
      </c>
      <c r="AY166" s="220" t="str">
        <f t="shared" si="166"/>
        <v/>
      </c>
      <c r="AZ166" s="220"/>
      <c r="BA166" s="220">
        <f t="shared" si="156"/>
        <v>0</v>
      </c>
      <c r="BB166" s="220">
        <f t="shared" si="157"/>
        <v>-10</v>
      </c>
    </row>
    <row r="167" ht="14.25" customHeight="1">
      <c r="A167" s="218"/>
      <c r="B167" s="219"/>
      <c r="C167" s="220" t="str">
        <f t="shared" si="158"/>
        <v/>
      </c>
      <c r="D167" s="220"/>
      <c r="E167" s="220">
        <f t="shared" si="140"/>
        <v>0</v>
      </c>
      <c r="F167" s="220">
        <f t="shared" si="141"/>
        <v>-10</v>
      </c>
      <c r="H167" s="219">
        <v>45084.0</v>
      </c>
      <c r="I167" s="220" t="str">
        <f t="shared" si="159"/>
        <v/>
      </c>
      <c r="J167" s="220"/>
      <c r="K167" s="220">
        <f t="shared" si="142"/>
        <v>0</v>
      </c>
      <c r="L167" s="220">
        <f t="shared" si="143"/>
        <v>-10</v>
      </c>
      <c r="N167" s="219">
        <v>45084.0</v>
      </c>
      <c r="O167" s="220" t="str">
        <f t="shared" si="160"/>
        <v/>
      </c>
      <c r="P167" s="220"/>
      <c r="Q167" s="220">
        <f t="shared" si="144"/>
        <v>0</v>
      </c>
      <c r="R167" s="220">
        <f t="shared" si="145"/>
        <v>-10</v>
      </c>
      <c r="T167" s="219">
        <v>45084.0</v>
      </c>
      <c r="U167" s="220" t="str">
        <f t="shared" si="161"/>
        <v/>
      </c>
      <c r="V167" s="220"/>
      <c r="W167" s="220">
        <f t="shared" si="146"/>
        <v>0</v>
      </c>
      <c r="X167" s="220">
        <f t="shared" si="147"/>
        <v>-10</v>
      </c>
      <c r="Z167" s="219">
        <v>45084.0</v>
      </c>
      <c r="AA167" s="220" t="str">
        <f t="shared" si="162"/>
        <v/>
      </c>
      <c r="AB167" s="220"/>
      <c r="AC167" s="220">
        <f t="shared" si="148"/>
        <v>0</v>
      </c>
      <c r="AD167" s="220">
        <f t="shared" si="149"/>
        <v>-10</v>
      </c>
      <c r="AF167" s="219">
        <v>45084.0</v>
      </c>
      <c r="AG167" s="220" t="str">
        <f t="shared" si="163"/>
        <v/>
      </c>
      <c r="AH167" s="220"/>
      <c r="AI167" s="220">
        <f t="shared" si="150"/>
        <v>0</v>
      </c>
      <c r="AJ167" s="220">
        <f t="shared" si="151"/>
        <v>-10</v>
      </c>
      <c r="AL167" s="219">
        <v>45084.0</v>
      </c>
      <c r="AM167" s="220" t="str">
        <f t="shared" si="164"/>
        <v/>
      </c>
      <c r="AN167" s="220"/>
      <c r="AO167" s="220">
        <f t="shared" si="152"/>
        <v>0</v>
      </c>
      <c r="AP167" s="220">
        <f t="shared" si="153"/>
        <v>-10</v>
      </c>
      <c r="AR167" s="219">
        <v>45084.0</v>
      </c>
      <c r="AS167" s="220" t="str">
        <f t="shared" si="165"/>
        <v/>
      </c>
      <c r="AT167" s="220"/>
      <c r="AU167" s="220">
        <f t="shared" si="154"/>
        <v>0</v>
      </c>
      <c r="AV167" s="220">
        <f t="shared" si="155"/>
        <v>-10</v>
      </c>
      <c r="AX167" s="219">
        <v>45084.0</v>
      </c>
      <c r="AY167" s="220" t="str">
        <f t="shared" si="166"/>
        <v/>
      </c>
      <c r="AZ167" s="220"/>
      <c r="BA167" s="220">
        <f t="shared" si="156"/>
        <v>0</v>
      </c>
      <c r="BB167" s="220">
        <f t="shared" si="157"/>
        <v>-10</v>
      </c>
    </row>
    <row r="168" ht="14.25" customHeight="1">
      <c r="A168" s="218"/>
      <c r="B168" s="219"/>
      <c r="C168" s="220" t="str">
        <f t="shared" si="158"/>
        <v/>
      </c>
      <c r="D168" s="220"/>
      <c r="E168" s="220">
        <f t="shared" si="140"/>
        <v>0</v>
      </c>
      <c r="F168" s="220">
        <f t="shared" si="141"/>
        <v>-10</v>
      </c>
      <c r="H168" s="219">
        <v>45085.0</v>
      </c>
      <c r="I168" s="220" t="str">
        <f t="shared" si="159"/>
        <v/>
      </c>
      <c r="J168" s="220"/>
      <c r="K168" s="220">
        <f t="shared" si="142"/>
        <v>0</v>
      </c>
      <c r="L168" s="220">
        <f t="shared" si="143"/>
        <v>-10</v>
      </c>
      <c r="N168" s="219">
        <v>45085.0</v>
      </c>
      <c r="O168" s="220" t="str">
        <f t="shared" si="160"/>
        <v/>
      </c>
      <c r="P168" s="220"/>
      <c r="Q168" s="220">
        <f t="shared" si="144"/>
        <v>0</v>
      </c>
      <c r="R168" s="220">
        <f t="shared" si="145"/>
        <v>-10</v>
      </c>
      <c r="T168" s="219">
        <v>45085.0</v>
      </c>
      <c r="U168" s="220" t="str">
        <f t="shared" si="161"/>
        <v/>
      </c>
      <c r="V168" s="220"/>
      <c r="W168" s="220">
        <f t="shared" si="146"/>
        <v>0</v>
      </c>
      <c r="X168" s="220">
        <f t="shared" si="147"/>
        <v>-10</v>
      </c>
      <c r="Z168" s="219">
        <v>45085.0</v>
      </c>
      <c r="AA168" s="220" t="str">
        <f t="shared" si="162"/>
        <v/>
      </c>
      <c r="AB168" s="220"/>
      <c r="AC168" s="220">
        <f t="shared" si="148"/>
        <v>0</v>
      </c>
      <c r="AD168" s="220">
        <f t="shared" si="149"/>
        <v>-10</v>
      </c>
      <c r="AF168" s="219">
        <v>45085.0</v>
      </c>
      <c r="AG168" s="220" t="str">
        <f t="shared" si="163"/>
        <v/>
      </c>
      <c r="AH168" s="220"/>
      <c r="AI168" s="220">
        <f t="shared" si="150"/>
        <v>0</v>
      </c>
      <c r="AJ168" s="220">
        <f t="shared" si="151"/>
        <v>-10</v>
      </c>
      <c r="AL168" s="219">
        <v>45085.0</v>
      </c>
      <c r="AM168" s="220" t="str">
        <f t="shared" si="164"/>
        <v/>
      </c>
      <c r="AN168" s="220"/>
      <c r="AO168" s="220">
        <f t="shared" si="152"/>
        <v>0</v>
      </c>
      <c r="AP168" s="220">
        <f t="shared" si="153"/>
        <v>-10</v>
      </c>
      <c r="AR168" s="219">
        <v>45085.0</v>
      </c>
      <c r="AS168" s="220" t="str">
        <f t="shared" si="165"/>
        <v/>
      </c>
      <c r="AT168" s="220"/>
      <c r="AU168" s="220">
        <f t="shared" si="154"/>
        <v>0</v>
      </c>
      <c r="AV168" s="220">
        <f t="shared" si="155"/>
        <v>-10</v>
      </c>
      <c r="AX168" s="219">
        <v>45085.0</v>
      </c>
      <c r="AY168" s="220" t="str">
        <f t="shared" si="166"/>
        <v/>
      </c>
      <c r="AZ168" s="220"/>
      <c r="BA168" s="220">
        <f t="shared" si="156"/>
        <v>0</v>
      </c>
      <c r="BB168" s="220">
        <f t="shared" si="157"/>
        <v>-10</v>
      </c>
    </row>
    <row r="169" ht="14.25" customHeight="1">
      <c r="A169" s="218"/>
      <c r="B169" s="219"/>
      <c r="C169" s="220" t="str">
        <f t="shared" si="158"/>
        <v/>
      </c>
      <c r="D169" s="220"/>
      <c r="E169" s="220">
        <f t="shared" si="140"/>
        <v>0</v>
      </c>
      <c r="F169" s="220">
        <f t="shared" si="141"/>
        <v>-10</v>
      </c>
      <c r="H169" s="219">
        <v>45086.0</v>
      </c>
      <c r="I169" s="220" t="str">
        <f t="shared" si="159"/>
        <v/>
      </c>
      <c r="J169" s="220"/>
      <c r="K169" s="220">
        <f t="shared" si="142"/>
        <v>0</v>
      </c>
      <c r="L169" s="220">
        <f t="shared" si="143"/>
        <v>-10</v>
      </c>
      <c r="N169" s="219">
        <v>45086.0</v>
      </c>
      <c r="O169" s="220" t="str">
        <f t="shared" si="160"/>
        <v/>
      </c>
      <c r="P169" s="220"/>
      <c r="Q169" s="220">
        <f t="shared" si="144"/>
        <v>0</v>
      </c>
      <c r="R169" s="220">
        <f t="shared" si="145"/>
        <v>-10</v>
      </c>
      <c r="T169" s="219">
        <v>45086.0</v>
      </c>
      <c r="U169" s="220" t="str">
        <f t="shared" si="161"/>
        <v/>
      </c>
      <c r="V169" s="220"/>
      <c r="W169" s="220">
        <f t="shared" si="146"/>
        <v>0</v>
      </c>
      <c r="X169" s="220">
        <f t="shared" si="147"/>
        <v>-10</v>
      </c>
      <c r="Z169" s="219">
        <v>45086.0</v>
      </c>
      <c r="AA169" s="220" t="str">
        <f t="shared" si="162"/>
        <v/>
      </c>
      <c r="AB169" s="220"/>
      <c r="AC169" s="220">
        <f t="shared" si="148"/>
        <v>0</v>
      </c>
      <c r="AD169" s="220">
        <f t="shared" si="149"/>
        <v>-10</v>
      </c>
      <c r="AF169" s="219">
        <v>45086.0</v>
      </c>
      <c r="AG169" s="220" t="str">
        <f t="shared" si="163"/>
        <v/>
      </c>
      <c r="AH169" s="220"/>
      <c r="AI169" s="220">
        <f t="shared" si="150"/>
        <v>0</v>
      </c>
      <c r="AJ169" s="220">
        <f t="shared" si="151"/>
        <v>-10</v>
      </c>
      <c r="AL169" s="219">
        <v>45086.0</v>
      </c>
      <c r="AM169" s="220" t="str">
        <f t="shared" si="164"/>
        <v/>
      </c>
      <c r="AN169" s="220"/>
      <c r="AO169" s="220">
        <f t="shared" si="152"/>
        <v>0</v>
      </c>
      <c r="AP169" s="220">
        <f t="shared" si="153"/>
        <v>-10</v>
      </c>
      <c r="AR169" s="219">
        <v>45086.0</v>
      </c>
      <c r="AS169" s="220" t="str">
        <f t="shared" si="165"/>
        <v/>
      </c>
      <c r="AT169" s="220"/>
      <c r="AU169" s="220">
        <f t="shared" si="154"/>
        <v>0</v>
      </c>
      <c r="AV169" s="220">
        <f t="shared" si="155"/>
        <v>-10</v>
      </c>
      <c r="AX169" s="219">
        <v>45086.0</v>
      </c>
      <c r="AY169" s="220" t="str">
        <f t="shared" si="166"/>
        <v/>
      </c>
      <c r="AZ169" s="220"/>
      <c r="BA169" s="220">
        <f t="shared" si="156"/>
        <v>0</v>
      </c>
      <c r="BB169" s="220">
        <f t="shared" si="157"/>
        <v>-10</v>
      </c>
    </row>
    <row r="170" ht="14.25" customHeight="1">
      <c r="A170" s="218"/>
      <c r="B170" s="219"/>
      <c r="C170" s="220" t="str">
        <f t="shared" si="158"/>
        <v/>
      </c>
      <c r="D170" s="220"/>
      <c r="E170" s="220">
        <f t="shared" si="140"/>
        <v>0</v>
      </c>
      <c r="F170" s="220">
        <f t="shared" si="141"/>
        <v>-10</v>
      </c>
      <c r="G170" s="221"/>
      <c r="H170" s="219">
        <v>45087.0</v>
      </c>
      <c r="I170" s="220" t="str">
        <f t="shared" si="159"/>
        <v/>
      </c>
      <c r="J170" s="220"/>
      <c r="K170" s="220">
        <f t="shared" si="142"/>
        <v>0</v>
      </c>
      <c r="L170" s="220">
        <f t="shared" si="143"/>
        <v>-10</v>
      </c>
      <c r="M170" s="221"/>
      <c r="N170" s="219">
        <v>45087.0</v>
      </c>
      <c r="O170" s="220" t="str">
        <f t="shared" si="160"/>
        <v/>
      </c>
      <c r="P170" s="220"/>
      <c r="Q170" s="220">
        <f t="shared" si="144"/>
        <v>0</v>
      </c>
      <c r="R170" s="220">
        <f t="shared" si="145"/>
        <v>-10</v>
      </c>
      <c r="S170" s="221"/>
      <c r="T170" s="219">
        <v>45087.0</v>
      </c>
      <c r="U170" s="220" t="str">
        <f t="shared" si="161"/>
        <v/>
      </c>
      <c r="V170" s="220"/>
      <c r="W170" s="220">
        <f t="shared" si="146"/>
        <v>0</v>
      </c>
      <c r="X170" s="220">
        <f t="shared" si="147"/>
        <v>-10</v>
      </c>
      <c r="Y170" s="221"/>
      <c r="Z170" s="219">
        <v>45087.0</v>
      </c>
      <c r="AA170" s="220" t="str">
        <f t="shared" si="162"/>
        <v/>
      </c>
      <c r="AB170" s="220"/>
      <c r="AC170" s="220">
        <f t="shared" si="148"/>
        <v>0</v>
      </c>
      <c r="AD170" s="220">
        <f t="shared" si="149"/>
        <v>-10</v>
      </c>
      <c r="AE170" s="221"/>
      <c r="AF170" s="219">
        <v>45087.0</v>
      </c>
      <c r="AG170" s="220" t="str">
        <f t="shared" si="163"/>
        <v/>
      </c>
      <c r="AH170" s="220"/>
      <c r="AI170" s="220">
        <f t="shared" si="150"/>
        <v>0</v>
      </c>
      <c r="AJ170" s="220">
        <f t="shared" si="151"/>
        <v>-10</v>
      </c>
      <c r="AK170" s="221"/>
      <c r="AL170" s="219">
        <v>45087.0</v>
      </c>
      <c r="AM170" s="220" t="str">
        <f t="shared" si="164"/>
        <v/>
      </c>
      <c r="AN170" s="220"/>
      <c r="AO170" s="220">
        <f t="shared" si="152"/>
        <v>0</v>
      </c>
      <c r="AP170" s="220">
        <f t="shared" si="153"/>
        <v>-10</v>
      </c>
      <c r="AQ170" s="221"/>
      <c r="AR170" s="219">
        <v>45087.0</v>
      </c>
      <c r="AS170" s="220" t="str">
        <f t="shared" si="165"/>
        <v/>
      </c>
      <c r="AT170" s="220"/>
      <c r="AU170" s="220">
        <f t="shared" si="154"/>
        <v>0</v>
      </c>
      <c r="AV170" s="220">
        <f t="shared" si="155"/>
        <v>-10</v>
      </c>
      <c r="AW170" s="221"/>
      <c r="AX170" s="219">
        <v>45087.0</v>
      </c>
      <c r="AY170" s="220" t="str">
        <f t="shared" si="166"/>
        <v/>
      </c>
      <c r="AZ170" s="220"/>
      <c r="BA170" s="220">
        <f t="shared" si="156"/>
        <v>0</v>
      </c>
      <c r="BB170" s="220">
        <f t="shared" si="157"/>
        <v>-10</v>
      </c>
    </row>
    <row r="171" ht="14.25" customHeight="1">
      <c r="A171" s="218"/>
      <c r="B171" s="219"/>
      <c r="C171" s="220" t="str">
        <f t="shared" si="158"/>
        <v/>
      </c>
      <c r="D171" s="220"/>
      <c r="E171" s="220">
        <f t="shared" si="140"/>
        <v>0</v>
      </c>
      <c r="F171" s="220">
        <f t="shared" si="141"/>
        <v>-10</v>
      </c>
      <c r="G171" s="221"/>
      <c r="H171" s="219">
        <v>45088.0</v>
      </c>
      <c r="I171" s="220" t="str">
        <f t="shared" si="159"/>
        <v/>
      </c>
      <c r="J171" s="220"/>
      <c r="K171" s="220">
        <f t="shared" si="142"/>
        <v>0</v>
      </c>
      <c r="L171" s="220">
        <f t="shared" si="143"/>
        <v>-10</v>
      </c>
      <c r="M171" s="221"/>
      <c r="N171" s="219">
        <v>45088.0</v>
      </c>
      <c r="O171" s="220" t="str">
        <f t="shared" si="160"/>
        <v/>
      </c>
      <c r="P171" s="220"/>
      <c r="Q171" s="220">
        <f t="shared" si="144"/>
        <v>0</v>
      </c>
      <c r="R171" s="220">
        <f t="shared" si="145"/>
        <v>-10</v>
      </c>
      <c r="S171" s="221"/>
      <c r="T171" s="219">
        <v>45088.0</v>
      </c>
      <c r="U171" s="220" t="str">
        <f t="shared" si="161"/>
        <v/>
      </c>
      <c r="V171" s="220"/>
      <c r="W171" s="220">
        <f t="shared" si="146"/>
        <v>0</v>
      </c>
      <c r="X171" s="220">
        <f t="shared" si="147"/>
        <v>-10</v>
      </c>
      <c r="Y171" s="221"/>
      <c r="Z171" s="219">
        <v>45088.0</v>
      </c>
      <c r="AA171" s="220" t="str">
        <f t="shared" si="162"/>
        <v/>
      </c>
      <c r="AB171" s="220"/>
      <c r="AC171" s="220">
        <f t="shared" si="148"/>
        <v>0</v>
      </c>
      <c r="AD171" s="220">
        <f t="shared" si="149"/>
        <v>-10</v>
      </c>
      <c r="AE171" s="221"/>
      <c r="AF171" s="219">
        <v>45088.0</v>
      </c>
      <c r="AG171" s="220" t="str">
        <f t="shared" si="163"/>
        <v/>
      </c>
      <c r="AH171" s="220"/>
      <c r="AI171" s="220">
        <f t="shared" si="150"/>
        <v>0</v>
      </c>
      <c r="AJ171" s="220">
        <f t="shared" si="151"/>
        <v>-10</v>
      </c>
      <c r="AK171" s="221"/>
      <c r="AL171" s="219">
        <v>45088.0</v>
      </c>
      <c r="AM171" s="220" t="str">
        <f t="shared" si="164"/>
        <v/>
      </c>
      <c r="AN171" s="220"/>
      <c r="AO171" s="220">
        <f t="shared" si="152"/>
        <v>0</v>
      </c>
      <c r="AP171" s="220">
        <f t="shared" si="153"/>
        <v>-10</v>
      </c>
      <c r="AQ171" s="221"/>
      <c r="AR171" s="219">
        <v>45088.0</v>
      </c>
      <c r="AS171" s="220" t="str">
        <f t="shared" si="165"/>
        <v/>
      </c>
      <c r="AT171" s="220"/>
      <c r="AU171" s="220">
        <f t="shared" si="154"/>
        <v>0</v>
      </c>
      <c r="AV171" s="220">
        <f t="shared" si="155"/>
        <v>-10</v>
      </c>
      <c r="AW171" s="221"/>
      <c r="AX171" s="219">
        <v>45088.0</v>
      </c>
      <c r="AY171" s="220" t="str">
        <f t="shared" si="166"/>
        <v/>
      </c>
      <c r="AZ171" s="220"/>
      <c r="BA171" s="220">
        <f t="shared" si="156"/>
        <v>0</v>
      </c>
      <c r="BB171" s="220">
        <f t="shared" si="157"/>
        <v>-10</v>
      </c>
    </row>
    <row r="172" ht="14.25" customHeight="1">
      <c r="A172" s="218"/>
      <c r="B172" s="219"/>
      <c r="C172" s="220" t="str">
        <f t="shared" si="158"/>
        <v/>
      </c>
      <c r="D172" s="220"/>
      <c r="E172" s="220">
        <f t="shared" si="140"/>
        <v>0</v>
      </c>
      <c r="F172" s="220">
        <f t="shared" si="141"/>
        <v>-10</v>
      </c>
      <c r="H172" s="219">
        <v>45089.0</v>
      </c>
      <c r="I172" s="220" t="str">
        <f t="shared" si="159"/>
        <v/>
      </c>
      <c r="J172" s="220"/>
      <c r="K172" s="220">
        <f t="shared" si="142"/>
        <v>0</v>
      </c>
      <c r="L172" s="220">
        <f t="shared" si="143"/>
        <v>-10</v>
      </c>
      <c r="N172" s="219">
        <v>45089.0</v>
      </c>
      <c r="O172" s="220" t="str">
        <f t="shared" si="160"/>
        <v/>
      </c>
      <c r="P172" s="220"/>
      <c r="Q172" s="220">
        <f t="shared" si="144"/>
        <v>0</v>
      </c>
      <c r="R172" s="220">
        <f t="shared" si="145"/>
        <v>-10</v>
      </c>
      <c r="T172" s="219">
        <v>45089.0</v>
      </c>
      <c r="U172" s="220" t="str">
        <f t="shared" si="161"/>
        <v/>
      </c>
      <c r="V172" s="220"/>
      <c r="W172" s="220">
        <f t="shared" si="146"/>
        <v>0</v>
      </c>
      <c r="X172" s="220">
        <f t="shared" si="147"/>
        <v>-10</v>
      </c>
      <c r="Z172" s="219">
        <v>45089.0</v>
      </c>
      <c r="AA172" s="220" t="str">
        <f t="shared" si="162"/>
        <v/>
      </c>
      <c r="AB172" s="220"/>
      <c r="AC172" s="220">
        <f t="shared" si="148"/>
        <v>0</v>
      </c>
      <c r="AD172" s="220">
        <f t="shared" si="149"/>
        <v>-10</v>
      </c>
      <c r="AF172" s="219">
        <v>45089.0</v>
      </c>
      <c r="AG172" s="220" t="str">
        <f t="shared" si="163"/>
        <v/>
      </c>
      <c r="AH172" s="220"/>
      <c r="AI172" s="220">
        <f t="shared" si="150"/>
        <v>0</v>
      </c>
      <c r="AJ172" s="220">
        <f t="shared" si="151"/>
        <v>-10</v>
      </c>
      <c r="AL172" s="219">
        <v>45089.0</v>
      </c>
      <c r="AM172" s="220" t="str">
        <f t="shared" si="164"/>
        <v/>
      </c>
      <c r="AN172" s="220"/>
      <c r="AO172" s="220">
        <f t="shared" si="152"/>
        <v>0</v>
      </c>
      <c r="AP172" s="220">
        <f t="shared" si="153"/>
        <v>-10</v>
      </c>
      <c r="AR172" s="219">
        <v>45089.0</v>
      </c>
      <c r="AS172" s="220" t="str">
        <f t="shared" si="165"/>
        <v/>
      </c>
      <c r="AT172" s="220"/>
      <c r="AU172" s="220">
        <f t="shared" si="154"/>
        <v>0</v>
      </c>
      <c r="AV172" s="220">
        <f t="shared" si="155"/>
        <v>-10</v>
      </c>
      <c r="AX172" s="219">
        <v>45089.0</v>
      </c>
      <c r="AY172" s="220" t="str">
        <f t="shared" si="166"/>
        <v/>
      </c>
      <c r="AZ172" s="220"/>
      <c r="BA172" s="220">
        <f t="shared" si="156"/>
        <v>0</v>
      </c>
      <c r="BB172" s="220">
        <f t="shared" si="157"/>
        <v>-10</v>
      </c>
    </row>
    <row r="173" ht="14.25" customHeight="1">
      <c r="A173" s="218"/>
      <c r="B173" s="219"/>
      <c r="C173" s="220" t="str">
        <f t="shared" si="158"/>
        <v/>
      </c>
      <c r="D173" s="220"/>
      <c r="E173" s="220">
        <f t="shared" si="140"/>
        <v>0</v>
      </c>
      <c r="F173" s="220">
        <f t="shared" si="141"/>
        <v>-10</v>
      </c>
      <c r="H173" s="219">
        <v>45090.0</v>
      </c>
      <c r="I173" s="220" t="str">
        <f t="shared" si="159"/>
        <v/>
      </c>
      <c r="J173" s="220"/>
      <c r="K173" s="220">
        <f t="shared" si="142"/>
        <v>0</v>
      </c>
      <c r="L173" s="220">
        <f t="shared" si="143"/>
        <v>-10</v>
      </c>
      <c r="N173" s="219">
        <v>45090.0</v>
      </c>
      <c r="O173" s="220" t="str">
        <f t="shared" si="160"/>
        <v/>
      </c>
      <c r="P173" s="220"/>
      <c r="Q173" s="220">
        <f t="shared" si="144"/>
        <v>0</v>
      </c>
      <c r="R173" s="220">
        <f t="shared" si="145"/>
        <v>-10</v>
      </c>
      <c r="T173" s="219">
        <v>45090.0</v>
      </c>
      <c r="U173" s="220" t="str">
        <f t="shared" si="161"/>
        <v/>
      </c>
      <c r="V173" s="220"/>
      <c r="W173" s="220">
        <f t="shared" si="146"/>
        <v>0</v>
      </c>
      <c r="X173" s="220">
        <f t="shared" si="147"/>
        <v>-10</v>
      </c>
      <c r="Z173" s="219">
        <v>45090.0</v>
      </c>
      <c r="AA173" s="220" t="str">
        <f t="shared" si="162"/>
        <v/>
      </c>
      <c r="AB173" s="220"/>
      <c r="AC173" s="220">
        <f t="shared" si="148"/>
        <v>0</v>
      </c>
      <c r="AD173" s="220">
        <f t="shared" si="149"/>
        <v>-10</v>
      </c>
      <c r="AF173" s="219">
        <v>45090.0</v>
      </c>
      <c r="AG173" s="220" t="str">
        <f t="shared" si="163"/>
        <v/>
      </c>
      <c r="AH173" s="220"/>
      <c r="AI173" s="220">
        <f t="shared" si="150"/>
        <v>0</v>
      </c>
      <c r="AJ173" s="220">
        <f t="shared" si="151"/>
        <v>-10</v>
      </c>
      <c r="AL173" s="219">
        <v>45090.0</v>
      </c>
      <c r="AM173" s="220" t="str">
        <f t="shared" si="164"/>
        <v/>
      </c>
      <c r="AN173" s="220"/>
      <c r="AO173" s="220">
        <f t="shared" si="152"/>
        <v>0</v>
      </c>
      <c r="AP173" s="220">
        <f t="shared" si="153"/>
        <v>-10</v>
      </c>
      <c r="AR173" s="219">
        <v>45090.0</v>
      </c>
      <c r="AS173" s="220" t="str">
        <f t="shared" si="165"/>
        <v/>
      </c>
      <c r="AT173" s="220"/>
      <c r="AU173" s="220">
        <f t="shared" si="154"/>
        <v>0</v>
      </c>
      <c r="AV173" s="220">
        <f t="shared" si="155"/>
        <v>-10</v>
      </c>
      <c r="AX173" s="219">
        <v>45090.0</v>
      </c>
      <c r="AY173" s="220" t="str">
        <f t="shared" si="166"/>
        <v/>
      </c>
      <c r="AZ173" s="220"/>
      <c r="BA173" s="220">
        <f t="shared" si="156"/>
        <v>0</v>
      </c>
      <c r="BB173" s="220">
        <f t="shared" si="157"/>
        <v>-10</v>
      </c>
    </row>
    <row r="174" ht="14.25" customHeight="1">
      <c r="A174" s="218"/>
      <c r="B174" s="219"/>
      <c r="C174" s="220" t="str">
        <f t="shared" si="158"/>
        <v/>
      </c>
      <c r="D174" s="220"/>
      <c r="E174" s="220">
        <f t="shared" si="140"/>
        <v>0</v>
      </c>
      <c r="F174" s="220">
        <f t="shared" si="141"/>
        <v>-10</v>
      </c>
      <c r="H174" s="219">
        <v>45091.0</v>
      </c>
      <c r="I174" s="220" t="str">
        <f t="shared" si="159"/>
        <v/>
      </c>
      <c r="J174" s="220"/>
      <c r="K174" s="220">
        <f t="shared" si="142"/>
        <v>0</v>
      </c>
      <c r="L174" s="220">
        <f t="shared" si="143"/>
        <v>-10</v>
      </c>
      <c r="N174" s="219">
        <v>45091.0</v>
      </c>
      <c r="O174" s="220" t="str">
        <f t="shared" si="160"/>
        <v/>
      </c>
      <c r="P174" s="220"/>
      <c r="Q174" s="220">
        <f t="shared" si="144"/>
        <v>0</v>
      </c>
      <c r="R174" s="220">
        <f t="shared" si="145"/>
        <v>-10</v>
      </c>
      <c r="T174" s="219">
        <v>45091.0</v>
      </c>
      <c r="U174" s="220" t="str">
        <f t="shared" si="161"/>
        <v/>
      </c>
      <c r="V174" s="220"/>
      <c r="W174" s="220">
        <f t="shared" si="146"/>
        <v>0</v>
      </c>
      <c r="X174" s="220">
        <f t="shared" si="147"/>
        <v>-10</v>
      </c>
      <c r="Z174" s="219">
        <v>45091.0</v>
      </c>
      <c r="AA174" s="220" t="str">
        <f t="shared" si="162"/>
        <v/>
      </c>
      <c r="AB174" s="220"/>
      <c r="AC174" s="220">
        <f t="shared" si="148"/>
        <v>0</v>
      </c>
      <c r="AD174" s="220">
        <f t="shared" si="149"/>
        <v>-10</v>
      </c>
      <c r="AF174" s="219">
        <v>45091.0</v>
      </c>
      <c r="AG174" s="220" t="str">
        <f t="shared" si="163"/>
        <v/>
      </c>
      <c r="AH174" s="220"/>
      <c r="AI174" s="220">
        <f t="shared" si="150"/>
        <v>0</v>
      </c>
      <c r="AJ174" s="220">
        <f t="shared" si="151"/>
        <v>-10</v>
      </c>
      <c r="AL174" s="219">
        <v>45091.0</v>
      </c>
      <c r="AM174" s="220" t="str">
        <f t="shared" si="164"/>
        <v/>
      </c>
      <c r="AN174" s="220"/>
      <c r="AO174" s="220">
        <f t="shared" si="152"/>
        <v>0</v>
      </c>
      <c r="AP174" s="220">
        <f t="shared" si="153"/>
        <v>-10</v>
      </c>
      <c r="AR174" s="219">
        <v>45091.0</v>
      </c>
      <c r="AS174" s="220" t="str">
        <f t="shared" si="165"/>
        <v/>
      </c>
      <c r="AT174" s="220"/>
      <c r="AU174" s="220">
        <f t="shared" si="154"/>
        <v>0</v>
      </c>
      <c r="AV174" s="220">
        <f t="shared" si="155"/>
        <v>-10</v>
      </c>
      <c r="AX174" s="219">
        <v>45091.0</v>
      </c>
      <c r="AY174" s="220" t="str">
        <f t="shared" si="166"/>
        <v/>
      </c>
      <c r="AZ174" s="220"/>
      <c r="BA174" s="220">
        <f t="shared" si="156"/>
        <v>0</v>
      </c>
      <c r="BB174" s="220">
        <f t="shared" si="157"/>
        <v>-10</v>
      </c>
    </row>
    <row r="175" ht="14.25" customHeight="1">
      <c r="A175" s="218"/>
      <c r="B175" s="219"/>
      <c r="C175" s="220" t="str">
        <f t="shared" si="158"/>
        <v/>
      </c>
      <c r="D175" s="220"/>
      <c r="E175" s="220">
        <f t="shared" si="140"/>
        <v>0</v>
      </c>
      <c r="F175" s="220">
        <f t="shared" si="141"/>
        <v>-10</v>
      </c>
      <c r="H175" s="219">
        <v>45092.0</v>
      </c>
      <c r="I175" s="220" t="str">
        <f t="shared" si="159"/>
        <v/>
      </c>
      <c r="J175" s="220"/>
      <c r="K175" s="220">
        <f t="shared" si="142"/>
        <v>0</v>
      </c>
      <c r="L175" s="220">
        <f t="shared" si="143"/>
        <v>-10</v>
      </c>
      <c r="N175" s="219">
        <v>45092.0</v>
      </c>
      <c r="O175" s="220" t="str">
        <f t="shared" si="160"/>
        <v/>
      </c>
      <c r="P175" s="220"/>
      <c r="Q175" s="220">
        <f t="shared" si="144"/>
        <v>0</v>
      </c>
      <c r="R175" s="220">
        <f t="shared" si="145"/>
        <v>-10</v>
      </c>
      <c r="T175" s="219">
        <v>45092.0</v>
      </c>
      <c r="U175" s="220" t="str">
        <f t="shared" si="161"/>
        <v/>
      </c>
      <c r="V175" s="220"/>
      <c r="W175" s="220">
        <f t="shared" si="146"/>
        <v>0</v>
      </c>
      <c r="X175" s="220">
        <f t="shared" si="147"/>
        <v>-10</v>
      </c>
      <c r="Z175" s="219">
        <v>45092.0</v>
      </c>
      <c r="AA175" s="220" t="str">
        <f t="shared" si="162"/>
        <v/>
      </c>
      <c r="AB175" s="220"/>
      <c r="AC175" s="220">
        <f t="shared" si="148"/>
        <v>0</v>
      </c>
      <c r="AD175" s="220">
        <f t="shared" si="149"/>
        <v>-10</v>
      </c>
      <c r="AF175" s="219">
        <v>45092.0</v>
      </c>
      <c r="AG175" s="220" t="str">
        <f t="shared" si="163"/>
        <v/>
      </c>
      <c r="AH175" s="220"/>
      <c r="AI175" s="220">
        <f t="shared" si="150"/>
        <v>0</v>
      </c>
      <c r="AJ175" s="220">
        <f t="shared" si="151"/>
        <v>-10</v>
      </c>
      <c r="AL175" s="219">
        <v>45092.0</v>
      </c>
      <c r="AM175" s="220" t="str">
        <f t="shared" si="164"/>
        <v/>
      </c>
      <c r="AN175" s="220"/>
      <c r="AO175" s="220">
        <f t="shared" si="152"/>
        <v>0</v>
      </c>
      <c r="AP175" s="220">
        <f t="shared" si="153"/>
        <v>-10</v>
      </c>
      <c r="AR175" s="219">
        <v>45092.0</v>
      </c>
      <c r="AS175" s="220" t="str">
        <f t="shared" si="165"/>
        <v/>
      </c>
      <c r="AT175" s="220"/>
      <c r="AU175" s="220">
        <f t="shared" si="154"/>
        <v>0</v>
      </c>
      <c r="AV175" s="220">
        <f t="shared" si="155"/>
        <v>-10</v>
      </c>
      <c r="AX175" s="219">
        <v>45092.0</v>
      </c>
      <c r="AY175" s="220" t="str">
        <f t="shared" si="166"/>
        <v/>
      </c>
      <c r="AZ175" s="220"/>
      <c r="BA175" s="220">
        <f t="shared" si="156"/>
        <v>0</v>
      </c>
      <c r="BB175" s="220">
        <f t="shared" si="157"/>
        <v>-10</v>
      </c>
    </row>
    <row r="176" ht="14.25" customHeight="1">
      <c r="A176" s="218"/>
      <c r="B176" s="219"/>
      <c r="C176" s="220" t="str">
        <f t="shared" si="158"/>
        <v/>
      </c>
      <c r="D176" s="220"/>
      <c r="E176" s="220">
        <f t="shared" si="140"/>
        <v>0</v>
      </c>
      <c r="F176" s="220">
        <f t="shared" si="141"/>
        <v>-10</v>
      </c>
      <c r="H176" s="219">
        <v>45093.0</v>
      </c>
      <c r="I176" s="220" t="str">
        <f t="shared" si="159"/>
        <v/>
      </c>
      <c r="J176" s="220"/>
      <c r="K176" s="220">
        <f t="shared" si="142"/>
        <v>0</v>
      </c>
      <c r="L176" s="220">
        <f t="shared" si="143"/>
        <v>-10</v>
      </c>
      <c r="N176" s="219">
        <v>45093.0</v>
      </c>
      <c r="O176" s="220" t="str">
        <f t="shared" si="160"/>
        <v/>
      </c>
      <c r="P176" s="220"/>
      <c r="Q176" s="220">
        <f t="shared" si="144"/>
        <v>0</v>
      </c>
      <c r="R176" s="220">
        <f t="shared" si="145"/>
        <v>-10</v>
      </c>
      <c r="T176" s="219">
        <v>45093.0</v>
      </c>
      <c r="U176" s="220" t="str">
        <f t="shared" si="161"/>
        <v/>
      </c>
      <c r="V176" s="220"/>
      <c r="W176" s="220">
        <f t="shared" si="146"/>
        <v>0</v>
      </c>
      <c r="X176" s="220">
        <f t="shared" si="147"/>
        <v>-10</v>
      </c>
      <c r="Z176" s="219">
        <v>45093.0</v>
      </c>
      <c r="AA176" s="220" t="str">
        <f t="shared" si="162"/>
        <v/>
      </c>
      <c r="AB176" s="220"/>
      <c r="AC176" s="220">
        <f t="shared" si="148"/>
        <v>0</v>
      </c>
      <c r="AD176" s="220">
        <f t="shared" si="149"/>
        <v>-10</v>
      </c>
      <c r="AF176" s="219">
        <v>45093.0</v>
      </c>
      <c r="AG176" s="220" t="str">
        <f t="shared" si="163"/>
        <v/>
      </c>
      <c r="AH176" s="220"/>
      <c r="AI176" s="220">
        <f t="shared" si="150"/>
        <v>0</v>
      </c>
      <c r="AJ176" s="220">
        <f t="shared" si="151"/>
        <v>-10</v>
      </c>
      <c r="AL176" s="219">
        <v>45093.0</v>
      </c>
      <c r="AM176" s="220" t="str">
        <f t="shared" si="164"/>
        <v/>
      </c>
      <c r="AN176" s="220"/>
      <c r="AO176" s="220">
        <f t="shared" si="152"/>
        <v>0</v>
      </c>
      <c r="AP176" s="220">
        <f t="shared" si="153"/>
        <v>-10</v>
      </c>
      <c r="AR176" s="219">
        <v>45093.0</v>
      </c>
      <c r="AS176" s="220" t="str">
        <f t="shared" si="165"/>
        <v/>
      </c>
      <c r="AT176" s="220"/>
      <c r="AU176" s="220">
        <f t="shared" si="154"/>
        <v>0</v>
      </c>
      <c r="AV176" s="220">
        <f t="shared" si="155"/>
        <v>-10</v>
      </c>
      <c r="AX176" s="219">
        <v>45093.0</v>
      </c>
      <c r="AY176" s="220" t="str">
        <f t="shared" si="166"/>
        <v/>
      </c>
      <c r="AZ176" s="220"/>
      <c r="BA176" s="220">
        <f t="shared" si="156"/>
        <v>0</v>
      </c>
      <c r="BB176" s="220">
        <f t="shared" si="157"/>
        <v>-10</v>
      </c>
    </row>
    <row r="177" ht="14.25" customHeight="1">
      <c r="A177" s="218"/>
      <c r="B177" s="219"/>
      <c r="C177" s="220" t="str">
        <f t="shared" si="158"/>
        <v/>
      </c>
      <c r="D177" s="220"/>
      <c r="E177" s="220">
        <f t="shared" si="140"/>
        <v>0</v>
      </c>
      <c r="F177" s="220">
        <f t="shared" si="141"/>
        <v>-10</v>
      </c>
      <c r="G177" s="221"/>
      <c r="H177" s="219">
        <v>45094.0</v>
      </c>
      <c r="I177" s="220" t="str">
        <f t="shared" si="159"/>
        <v/>
      </c>
      <c r="J177" s="220"/>
      <c r="K177" s="220">
        <f t="shared" si="142"/>
        <v>0</v>
      </c>
      <c r="L177" s="220">
        <f t="shared" si="143"/>
        <v>-10</v>
      </c>
      <c r="M177" s="221"/>
      <c r="N177" s="219">
        <v>45094.0</v>
      </c>
      <c r="O177" s="220" t="str">
        <f t="shared" si="160"/>
        <v/>
      </c>
      <c r="P177" s="220"/>
      <c r="Q177" s="220">
        <f t="shared" si="144"/>
        <v>0</v>
      </c>
      <c r="R177" s="220">
        <f t="shared" si="145"/>
        <v>-10</v>
      </c>
      <c r="S177" s="221"/>
      <c r="T177" s="219">
        <v>45094.0</v>
      </c>
      <c r="U177" s="220" t="str">
        <f t="shared" si="161"/>
        <v/>
      </c>
      <c r="V177" s="220"/>
      <c r="W177" s="220">
        <f t="shared" si="146"/>
        <v>0</v>
      </c>
      <c r="X177" s="220">
        <f t="shared" si="147"/>
        <v>-10</v>
      </c>
      <c r="Y177" s="221"/>
      <c r="Z177" s="219">
        <v>45094.0</v>
      </c>
      <c r="AA177" s="220" t="str">
        <f t="shared" si="162"/>
        <v/>
      </c>
      <c r="AB177" s="220"/>
      <c r="AC177" s="220">
        <f t="shared" si="148"/>
        <v>0</v>
      </c>
      <c r="AD177" s="220">
        <f t="shared" si="149"/>
        <v>-10</v>
      </c>
      <c r="AE177" s="221"/>
      <c r="AF177" s="219">
        <v>45094.0</v>
      </c>
      <c r="AG177" s="220" t="str">
        <f t="shared" si="163"/>
        <v/>
      </c>
      <c r="AH177" s="220"/>
      <c r="AI177" s="220">
        <f t="shared" si="150"/>
        <v>0</v>
      </c>
      <c r="AJ177" s="220">
        <f t="shared" si="151"/>
        <v>-10</v>
      </c>
      <c r="AK177" s="221"/>
      <c r="AL177" s="219">
        <v>45094.0</v>
      </c>
      <c r="AM177" s="220" t="str">
        <f t="shared" si="164"/>
        <v/>
      </c>
      <c r="AN177" s="220"/>
      <c r="AO177" s="220">
        <f t="shared" si="152"/>
        <v>0</v>
      </c>
      <c r="AP177" s="220">
        <f t="shared" si="153"/>
        <v>-10</v>
      </c>
      <c r="AQ177" s="221"/>
      <c r="AR177" s="219">
        <v>45094.0</v>
      </c>
      <c r="AS177" s="220" t="str">
        <f t="shared" si="165"/>
        <v/>
      </c>
      <c r="AT177" s="220"/>
      <c r="AU177" s="220">
        <f t="shared" si="154"/>
        <v>0</v>
      </c>
      <c r="AV177" s="220">
        <f t="shared" si="155"/>
        <v>-10</v>
      </c>
      <c r="AW177" s="221"/>
      <c r="AX177" s="219">
        <v>45094.0</v>
      </c>
      <c r="AY177" s="220" t="str">
        <f t="shared" si="166"/>
        <v/>
      </c>
      <c r="AZ177" s="220"/>
      <c r="BA177" s="220">
        <f t="shared" si="156"/>
        <v>0</v>
      </c>
      <c r="BB177" s="220">
        <f t="shared" si="157"/>
        <v>-10</v>
      </c>
    </row>
    <row r="178" ht="14.25" customHeight="1">
      <c r="A178" s="218"/>
      <c r="B178" s="219"/>
      <c r="C178" s="220" t="str">
        <f t="shared" si="158"/>
        <v/>
      </c>
      <c r="D178" s="220"/>
      <c r="E178" s="220">
        <f t="shared" si="140"/>
        <v>0</v>
      </c>
      <c r="F178" s="220">
        <f t="shared" si="141"/>
        <v>-10</v>
      </c>
      <c r="G178" s="221"/>
      <c r="H178" s="219">
        <v>45095.0</v>
      </c>
      <c r="I178" s="220" t="str">
        <f t="shared" si="159"/>
        <v/>
      </c>
      <c r="J178" s="220"/>
      <c r="K178" s="220">
        <f t="shared" si="142"/>
        <v>0</v>
      </c>
      <c r="L178" s="220">
        <f t="shared" si="143"/>
        <v>-10</v>
      </c>
      <c r="M178" s="221"/>
      <c r="N178" s="219">
        <v>45095.0</v>
      </c>
      <c r="O178" s="220" t="str">
        <f t="shared" si="160"/>
        <v/>
      </c>
      <c r="P178" s="220"/>
      <c r="Q178" s="220">
        <f t="shared" si="144"/>
        <v>0</v>
      </c>
      <c r="R178" s="220">
        <f t="shared" si="145"/>
        <v>-10</v>
      </c>
      <c r="S178" s="221"/>
      <c r="T178" s="219">
        <v>45095.0</v>
      </c>
      <c r="U178" s="220" t="str">
        <f t="shared" si="161"/>
        <v/>
      </c>
      <c r="V178" s="220"/>
      <c r="W178" s="220">
        <f t="shared" si="146"/>
        <v>0</v>
      </c>
      <c r="X178" s="220">
        <f t="shared" si="147"/>
        <v>-10</v>
      </c>
      <c r="Y178" s="221"/>
      <c r="Z178" s="219">
        <v>45095.0</v>
      </c>
      <c r="AA178" s="220" t="str">
        <f t="shared" si="162"/>
        <v/>
      </c>
      <c r="AB178" s="220"/>
      <c r="AC178" s="220">
        <f t="shared" si="148"/>
        <v>0</v>
      </c>
      <c r="AD178" s="220">
        <f t="shared" si="149"/>
        <v>-10</v>
      </c>
      <c r="AE178" s="221"/>
      <c r="AF178" s="219">
        <v>45095.0</v>
      </c>
      <c r="AG178" s="220" t="str">
        <f t="shared" si="163"/>
        <v/>
      </c>
      <c r="AH178" s="220"/>
      <c r="AI178" s="220">
        <f t="shared" si="150"/>
        <v>0</v>
      </c>
      <c r="AJ178" s="220">
        <f t="shared" si="151"/>
        <v>-10</v>
      </c>
      <c r="AK178" s="221"/>
      <c r="AL178" s="219">
        <v>45095.0</v>
      </c>
      <c r="AM178" s="220" t="str">
        <f t="shared" si="164"/>
        <v/>
      </c>
      <c r="AN178" s="220"/>
      <c r="AO178" s="220">
        <f t="shared" si="152"/>
        <v>0</v>
      </c>
      <c r="AP178" s="220">
        <f t="shared" si="153"/>
        <v>-10</v>
      </c>
      <c r="AQ178" s="221"/>
      <c r="AR178" s="219">
        <v>45095.0</v>
      </c>
      <c r="AS178" s="220" t="str">
        <f t="shared" si="165"/>
        <v/>
      </c>
      <c r="AT178" s="220"/>
      <c r="AU178" s="220">
        <f t="shared" si="154"/>
        <v>0</v>
      </c>
      <c r="AV178" s="220">
        <f t="shared" si="155"/>
        <v>-10</v>
      </c>
      <c r="AW178" s="221"/>
      <c r="AX178" s="219">
        <v>45095.0</v>
      </c>
      <c r="AY178" s="220" t="str">
        <f t="shared" si="166"/>
        <v/>
      </c>
      <c r="AZ178" s="220"/>
      <c r="BA178" s="220">
        <f t="shared" si="156"/>
        <v>0</v>
      </c>
      <c r="BB178" s="220">
        <f t="shared" si="157"/>
        <v>-10</v>
      </c>
    </row>
    <row r="179" ht="14.25" customHeight="1">
      <c r="A179" s="218"/>
      <c r="B179" s="219"/>
      <c r="C179" s="220" t="str">
        <f t="shared" si="158"/>
        <v/>
      </c>
      <c r="D179" s="220"/>
      <c r="E179" s="220">
        <f t="shared" si="140"/>
        <v>0</v>
      </c>
      <c r="F179" s="220">
        <f t="shared" si="141"/>
        <v>-10</v>
      </c>
      <c r="H179" s="219">
        <v>45096.0</v>
      </c>
      <c r="I179" s="220" t="str">
        <f t="shared" si="159"/>
        <v/>
      </c>
      <c r="J179" s="220"/>
      <c r="K179" s="220">
        <f t="shared" si="142"/>
        <v>0</v>
      </c>
      <c r="L179" s="220">
        <f t="shared" si="143"/>
        <v>-10</v>
      </c>
      <c r="N179" s="219">
        <v>45096.0</v>
      </c>
      <c r="O179" s="220" t="str">
        <f t="shared" si="160"/>
        <v/>
      </c>
      <c r="P179" s="220"/>
      <c r="Q179" s="220">
        <f t="shared" si="144"/>
        <v>0</v>
      </c>
      <c r="R179" s="220">
        <f t="shared" si="145"/>
        <v>-10</v>
      </c>
      <c r="T179" s="219">
        <v>45096.0</v>
      </c>
      <c r="U179" s="220" t="str">
        <f t="shared" si="161"/>
        <v/>
      </c>
      <c r="V179" s="220"/>
      <c r="W179" s="220">
        <f t="shared" si="146"/>
        <v>0</v>
      </c>
      <c r="X179" s="220">
        <f t="shared" si="147"/>
        <v>-10</v>
      </c>
      <c r="Z179" s="219">
        <v>45096.0</v>
      </c>
      <c r="AA179" s="220" t="str">
        <f t="shared" si="162"/>
        <v/>
      </c>
      <c r="AB179" s="220"/>
      <c r="AC179" s="220">
        <f t="shared" si="148"/>
        <v>0</v>
      </c>
      <c r="AD179" s="220">
        <f t="shared" si="149"/>
        <v>-10</v>
      </c>
      <c r="AF179" s="219">
        <v>45096.0</v>
      </c>
      <c r="AG179" s="220" t="str">
        <f t="shared" si="163"/>
        <v/>
      </c>
      <c r="AH179" s="220"/>
      <c r="AI179" s="220">
        <f t="shared" si="150"/>
        <v>0</v>
      </c>
      <c r="AJ179" s="220">
        <f t="shared" si="151"/>
        <v>-10</v>
      </c>
      <c r="AL179" s="219">
        <v>45096.0</v>
      </c>
      <c r="AM179" s="220" t="str">
        <f t="shared" si="164"/>
        <v/>
      </c>
      <c r="AN179" s="220"/>
      <c r="AO179" s="220">
        <f t="shared" si="152"/>
        <v>0</v>
      </c>
      <c r="AP179" s="220">
        <f t="shared" si="153"/>
        <v>-10</v>
      </c>
      <c r="AR179" s="219">
        <v>45096.0</v>
      </c>
      <c r="AS179" s="220" t="str">
        <f t="shared" si="165"/>
        <v/>
      </c>
      <c r="AT179" s="220"/>
      <c r="AU179" s="220">
        <f t="shared" si="154"/>
        <v>0</v>
      </c>
      <c r="AV179" s="220">
        <f t="shared" si="155"/>
        <v>-10</v>
      </c>
      <c r="AX179" s="219">
        <v>45096.0</v>
      </c>
      <c r="AY179" s="220" t="str">
        <f t="shared" si="166"/>
        <v/>
      </c>
      <c r="AZ179" s="220"/>
      <c r="BA179" s="220">
        <f t="shared" si="156"/>
        <v>0</v>
      </c>
      <c r="BB179" s="220">
        <f t="shared" si="157"/>
        <v>-10</v>
      </c>
    </row>
    <row r="180" ht="14.25" customHeight="1">
      <c r="A180" s="218"/>
      <c r="B180" s="219"/>
      <c r="C180" s="220" t="str">
        <f t="shared" si="158"/>
        <v/>
      </c>
      <c r="D180" s="220"/>
      <c r="E180" s="220">
        <f t="shared" si="140"/>
        <v>0</v>
      </c>
      <c r="F180" s="220">
        <f t="shared" si="141"/>
        <v>-10</v>
      </c>
      <c r="H180" s="219">
        <v>45097.0</v>
      </c>
      <c r="I180" s="220" t="str">
        <f t="shared" si="159"/>
        <v/>
      </c>
      <c r="J180" s="220"/>
      <c r="K180" s="220">
        <f t="shared" si="142"/>
        <v>0</v>
      </c>
      <c r="L180" s="220">
        <f t="shared" si="143"/>
        <v>-10</v>
      </c>
      <c r="N180" s="219">
        <v>45097.0</v>
      </c>
      <c r="O180" s="220" t="str">
        <f t="shared" si="160"/>
        <v/>
      </c>
      <c r="P180" s="220"/>
      <c r="Q180" s="220">
        <f t="shared" si="144"/>
        <v>0</v>
      </c>
      <c r="R180" s="220">
        <f t="shared" si="145"/>
        <v>-10</v>
      </c>
      <c r="T180" s="219">
        <v>45097.0</v>
      </c>
      <c r="U180" s="220" t="str">
        <f t="shared" si="161"/>
        <v/>
      </c>
      <c r="V180" s="220"/>
      <c r="W180" s="220">
        <f t="shared" si="146"/>
        <v>0</v>
      </c>
      <c r="X180" s="220">
        <f t="shared" si="147"/>
        <v>-10</v>
      </c>
      <c r="Z180" s="219">
        <v>45097.0</v>
      </c>
      <c r="AA180" s="220" t="str">
        <f t="shared" si="162"/>
        <v/>
      </c>
      <c r="AB180" s="220"/>
      <c r="AC180" s="220">
        <f t="shared" si="148"/>
        <v>0</v>
      </c>
      <c r="AD180" s="220">
        <f t="shared" si="149"/>
        <v>-10</v>
      </c>
      <c r="AF180" s="219">
        <v>45097.0</v>
      </c>
      <c r="AG180" s="220" t="str">
        <f t="shared" si="163"/>
        <v/>
      </c>
      <c r="AH180" s="220"/>
      <c r="AI180" s="220">
        <f t="shared" si="150"/>
        <v>0</v>
      </c>
      <c r="AJ180" s="220">
        <f t="shared" si="151"/>
        <v>-10</v>
      </c>
      <c r="AL180" s="219">
        <v>45097.0</v>
      </c>
      <c r="AM180" s="220" t="str">
        <f t="shared" si="164"/>
        <v/>
      </c>
      <c r="AN180" s="220"/>
      <c r="AO180" s="220">
        <f t="shared" si="152"/>
        <v>0</v>
      </c>
      <c r="AP180" s="220">
        <f t="shared" si="153"/>
        <v>-10</v>
      </c>
      <c r="AR180" s="219">
        <v>45097.0</v>
      </c>
      <c r="AS180" s="220" t="str">
        <f t="shared" si="165"/>
        <v/>
      </c>
      <c r="AT180" s="220"/>
      <c r="AU180" s="220">
        <f t="shared" si="154"/>
        <v>0</v>
      </c>
      <c r="AV180" s="220">
        <f t="shared" si="155"/>
        <v>-10</v>
      </c>
      <c r="AX180" s="219">
        <v>45097.0</v>
      </c>
      <c r="AY180" s="220" t="str">
        <f t="shared" si="166"/>
        <v/>
      </c>
      <c r="AZ180" s="220"/>
      <c r="BA180" s="220">
        <f t="shared" si="156"/>
        <v>0</v>
      </c>
      <c r="BB180" s="220">
        <f t="shared" si="157"/>
        <v>-10</v>
      </c>
    </row>
    <row r="181" ht="14.25" customHeight="1">
      <c r="A181" s="218"/>
      <c r="B181" s="219"/>
      <c r="C181" s="220" t="str">
        <f t="shared" si="158"/>
        <v/>
      </c>
      <c r="D181" s="220"/>
      <c r="E181" s="220">
        <f t="shared" si="140"/>
        <v>0</v>
      </c>
      <c r="F181" s="220">
        <f t="shared" si="141"/>
        <v>-10</v>
      </c>
      <c r="H181" s="219">
        <v>45098.0</v>
      </c>
      <c r="I181" s="220" t="str">
        <f t="shared" si="159"/>
        <v/>
      </c>
      <c r="J181" s="220"/>
      <c r="K181" s="220">
        <f t="shared" si="142"/>
        <v>0</v>
      </c>
      <c r="L181" s="220">
        <f t="shared" si="143"/>
        <v>-10</v>
      </c>
      <c r="N181" s="219">
        <v>45098.0</v>
      </c>
      <c r="O181" s="220" t="str">
        <f t="shared" si="160"/>
        <v/>
      </c>
      <c r="P181" s="220"/>
      <c r="Q181" s="220">
        <f t="shared" si="144"/>
        <v>0</v>
      </c>
      <c r="R181" s="220">
        <f t="shared" si="145"/>
        <v>-10</v>
      </c>
      <c r="T181" s="219">
        <v>45098.0</v>
      </c>
      <c r="U181" s="220" t="str">
        <f t="shared" si="161"/>
        <v/>
      </c>
      <c r="V181" s="220"/>
      <c r="W181" s="220">
        <f t="shared" si="146"/>
        <v>0</v>
      </c>
      <c r="X181" s="220">
        <f t="shared" si="147"/>
        <v>-10</v>
      </c>
      <c r="Z181" s="219">
        <v>45098.0</v>
      </c>
      <c r="AA181" s="220" t="str">
        <f t="shared" si="162"/>
        <v/>
      </c>
      <c r="AB181" s="220"/>
      <c r="AC181" s="220">
        <f t="shared" si="148"/>
        <v>0</v>
      </c>
      <c r="AD181" s="220">
        <f t="shared" si="149"/>
        <v>-10</v>
      </c>
      <c r="AF181" s="219">
        <v>45098.0</v>
      </c>
      <c r="AG181" s="220" t="str">
        <f t="shared" si="163"/>
        <v/>
      </c>
      <c r="AH181" s="220"/>
      <c r="AI181" s="220">
        <f t="shared" si="150"/>
        <v>0</v>
      </c>
      <c r="AJ181" s="220">
        <f t="shared" si="151"/>
        <v>-10</v>
      </c>
      <c r="AL181" s="219">
        <v>45098.0</v>
      </c>
      <c r="AM181" s="220" t="str">
        <f t="shared" si="164"/>
        <v/>
      </c>
      <c r="AN181" s="220"/>
      <c r="AO181" s="220">
        <f t="shared" si="152"/>
        <v>0</v>
      </c>
      <c r="AP181" s="220">
        <f t="shared" si="153"/>
        <v>-10</v>
      </c>
      <c r="AR181" s="219">
        <v>45098.0</v>
      </c>
      <c r="AS181" s="220" t="str">
        <f t="shared" si="165"/>
        <v/>
      </c>
      <c r="AT181" s="220"/>
      <c r="AU181" s="220">
        <f t="shared" si="154"/>
        <v>0</v>
      </c>
      <c r="AV181" s="220">
        <f t="shared" si="155"/>
        <v>-10</v>
      </c>
      <c r="AX181" s="219">
        <v>45098.0</v>
      </c>
      <c r="AY181" s="220" t="str">
        <f t="shared" si="166"/>
        <v/>
      </c>
      <c r="AZ181" s="220"/>
      <c r="BA181" s="220">
        <f t="shared" si="156"/>
        <v>0</v>
      </c>
      <c r="BB181" s="220">
        <f t="shared" si="157"/>
        <v>-10</v>
      </c>
    </row>
    <row r="182" ht="14.25" customHeight="1">
      <c r="A182" s="218"/>
      <c r="B182" s="219"/>
      <c r="C182" s="220" t="str">
        <f t="shared" si="158"/>
        <v/>
      </c>
      <c r="D182" s="220"/>
      <c r="E182" s="220">
        <f t="shared" si="140"/>
        <v>0</v>
      </c>
      <c r="F182" s="220">
        <f t="shared" si="141"/>
        <v>-10</v>
      </c>
      <c r="H182" s="219">
        <v>45099.0</v>
      </c>
      <c r="I182" s="220" t="str">
        <f t="shared" si="159"/>
        <v/>
      </c>
      <c r="J182" s="220"/>
      <c r="K182" s="220">
        <f t="shared" si="142"/>
        <v>0</v>
      </c>
      <c r="L182" s="220">
        <f t="shared" si="143"/>
        <v>-10</v>
      </c>
      <c r="N182" s="219">
        <v>45099.0</v>
      </c>
      <c r="O182" s="220" t="str">
        <f t="shared" si="160"/>
        <v/>
      </c>
      <c r="P182" s="220"/>
      <c r="Q182" s="220">
        <f t="shared" si="144"/>
        <v>0</v>
      </c>
      <c r="R182" s="220">
        <f t="shared" si="145"/>
        <v>-10</v>
      </c>
      <c r="T182" s="219">
        <v>45099.0</v>
      </c>
      <c r="U182" s="220" t="str">
        <f t="shared" si="161"/>
        <v/>
      </c>
      <c r="V182" s="220"/>
      <c r="W182" s="220">
        <f t="shared" si="146"/>
        <v>0</v>
      </c>
      <c r="X182" s="220">
        <f t="shared" si="147"/>
        <v>-10</v>
      </c>
      <c r="Z182" s="219">
        <v>45099.0</v>
      </c>
      <c r="AA182" s="220" t="str">
        <f t="shared" si="162"/>
        <v/>
      </c>
      <c r="AB182" s="220"/>
      <c r="AC182" s="220">
        <f t="shared" si="148"/>
        <v>0</v>
      </c>
      <c r="AD182" s="220">
        <f t="shared" si="149"/>
        <v>-10</v>
      </c>
      <c r="AF182" s="219">
        <v>45099.0</v>
      </c>
      <c r="AG182" s="220" t="str">
        <f t="shared" si="163"/>
        <v/>
      </c>
      <c r="AH182" s="220"/>
      <c r="AI182" s="220">
        <f t="shared" si="150"/>
        <v>0</v>
      </c>
      <c r="AJ182" s="220">
        <f t="shared" si="151"/>
        <v>-10</v>
      </c>
      <c r="AL182" s="219">
        <v>45099.0</v>
      </c>
      <c r="AM182" s="220" t="str">
        <f t="shared" si="164"/>
        <v/>
      </c>
      <c r="AN182" s="220"/>
      <c r="AO182" s="220">
        <f t="shared" si="152"/>
        <v>0</v>
      </c>
      <c r="AP182" s="220">
        <f t="shared" si="153"/>
        <v>-10</v>
      </c>
      <c r="AR182" s="219">
        <v>45099.0</v>
      </c>
      <c r="AS182" s="220" t="str">
        <f t="shared" si="165"/>
        <v/>
      </c>
      <c r="AT182" s="220"/>
      <c r="AU182" s="220">
        <f t="shared" si="154"/>
        <v>0</v>
      </c>
      <c r="AV182" s="220">
        <f t="shared" si="155"/>
        <v>-10</v>
      </c>
      <c r="AX182" s="219">
        <v>45099.0</v>
      </c>
      <c r="AY182" s="220" t="str">
        <f t="shared" si="166"/>
        <v/>
      </c>
      <c r="AZ182" s="220"/>
      <c r="BA182" s="220">
        <f t="shared" si="156"/>
        <v>0</v>
      </c>
      <c r="BB182" s="220">
        <f t="shared" si="157"/>
        <v>-10</v>
      </c>
    </row>
    <row r="183" ht="14.25" customHeight="1">
      <c r="A183" s="218"/>
      <c r="B183" s="219"/>
      <c r="C183" s="220" t="str">
        <f t="shared" si="158"/>
        <v/>
      </c>
      <c r="D183" s="220"/>
      <c r="E183" s="220">
        <f t="shared" si="140"/>
        <v>0</v>
      </c>
      <c r="F183" s="220">
        <f t="shared" si="141"/>
        <v>-10</v>
      </c>
      <c r="H183" s="219">
        <v>45100.0</v>
      </c>
      <c r="I183" s="220" t="str">
        <f t="shared" si="159"/>
        <v/>
      </c>
      <c r="J183" s="220"/>
      <c r="K183" s="220">
        <f t="shared" si="142"/>
        <v>0</v>
      </c>
      <c r="L183" s="220">
        <f t="shared" si="143"/>
        <v>-10</v>
      </c>
      <c r="N183" s="219">
        <v>45100.0</v>
      </c>
      <c r="O183" s="220" t="str">
        <f t="shared" si="160"/>
        <v/>
      </c>
      <c r="P183" s="220"/>
      <c r="Q183" s="220">
        <f t="shared" si="144"/>
        <v>0</v>
      </c>
      <c r="R183" s="220">
        <f t="shared" si="145"/>
        <v>-10</v>
      </c>
      <c r="T183" s="219">
        <v>45100.0</v>
      </c>
      <c r="U183" s="220" t="str">
        <f t="shared" si="161"/>
        <v/>
      </c>
      <c r="V183" s="220"/>
      <c r="W183" s="220">
        <f t="shared" si="146"/>
        <v>0</v>
      </c>
      <c r="X183" s="220">
        <f t="shared" si="147"/>
        <v>-10</v>
      </c>
      <c r="Z183" s="219">
        <v>45100.0</v>
      </c>
      <c r="AA183" s="220" t="str">
        <f t="shared" si="162"/>
        <v/>
      </c>
      <c r="AB183" s="220"/>
      <c r="AC183" s="220">
        <f t="shared" si="148"/>
        <v>0</v>
      </c>
      <c r="AD183" s="220">
        <f t="shared" si="149"/>
        <v>-10</v>
      </c>
      <c r="AF183" s="219">
        <v>45100.0</v>
      </c>
      <c r="AG183" s="220" t="str">
        <f t="shared" si="163"/>
        <v/>
      </c>
      <c r="AH183" s="220"/>
      <c r="AI183" s="220">
        <f t="shared" si="150"/>
        <v>0</v>
      </c>
      <c r="AJ183" s="220">
        <f t="shared" si="151"/>
        <v>-10</v>
      </c>
      <c r="AL183" s="219">
        <v>45100.0</v>
      </c>
      <c r="AM183" s="220" t="str">
        <f t="shared" si="164"/>
        <v/>
      </c>
      <c r="AN183" s="220"/>
      <c r="AO183" s="220">
        <f t="shared" si="152"/>
        <v>0</v>
      </c>
      <c r="AP183" s="220">
        <f t="shared" si="153"/>
        <v>-10</v>
      </c>
      <c r="AR183" s="219">
        <v>45100.0</v>
      </c>
      <c r="AS183" s="220" t="str">
        <f t="shared" si="165"/>
        <v/>
      </c>
      <c r="AT183" s="220"/>
      <c r="AU183" s="220">
        <f t="shared" si="154"/>
        <v>0</v>
      </c>
      <c r="AV183" s="220">
        <f t="shared" si="155"/>
        <v>-10</v>
      </c>
      <c r="AX183" s="219">
        <v>45100.0</v>
      </c>
      <c r="AY183" s="220" t="str">
        <f t="shared" si="166"/>
        <v/>
      </c>
      <c r="AZ183" s="220"/>
      <c r="BA183" s="220">
        <f t="shared" si="156"/>
        <v>0</v>
      </c>
      <c r="BB183" s="220">
        <f t="shared" si="157"/>
        <v>-10</v>
      </c>
    </row>
    <row r="184" ht="14.25" customHeight="1">
      <c r="A184" s="218"/>
      <c r="B184" s="219"/>
      <c r="C184" s="220" t="str">
        <f t="shared" si="158"/>
        <v/>
      </c>
      <c r="D184" s="220"/>
      <c r="E184" s="220">
        <f t="shared" si="140"/>
        <v>0</v>
      </c>
      <c r="F184" s="220">
        <f t="shared" si="141"/>
        <v>-10</v>
      </c>
      <c r="G184" s="221"/>
      <c r="H184" s="219">
        <v>45101.0</v>
      </c>
      <c r="I184" s="220" t="str">
        <f t="shared" si="159"/>
        <v/>
      </c>
      <c r="J184" s="220"/>
      <c r="K184" s="220">
        <f t="shared" si="142"/>
        <v>0</v>
      </c>
      <c r="L184" s="220">
        <f t="shared" si="143"/>
        <v>-10</v>
      </c>
      <c r="M184" s="221"/>
      <c r="N184" s="219">
        <v>45101.0</v>
      </c>
      <c r="O184" s="220" t="str">
        <f t="shared" si="160"/>
        <v/>
      </c>
      <c r="P184" s="220"/>
      <c r="Q184" s="220">
        <f t="shared" si="144"/>
        <v>0</v>
      </c>
      <c r="R184" s="220">
        <f t="shared" si="145"/>
        <v>-10</v>
      </c>
      <c r="S184" s="221"/>
      <c r="T184" s="219">
        <v>45101.0</v>
      </c>
      <c r="U184" s="220" t="str">
        <f t="shared" si="161"/>
        <v/>
      </c>
      <c r="V184" s="220"/>
      <c r="W184" s="220">
        <f t="shared" si="146"/>
        <v>0</v>
      </c>
      <c r="X184" s="220">
        <f t="shared" si="147"/>
        <v>-10</v>
      </c>
      <c r="Y184" s="221"/>
      <c r="Z184" s="219">
        <v>45101.0</v>
      </c>
      <c r="AA184" s="220" t="str">
        <f t="shared" si="162"/>
        <v/>
      </c>
      <c r="AB184" s="220"/>
      <c r="AC184" s="220">
        <f t="shared" si="148"/>
        <v>0</v>
      </c>
      <c r="AD184" s="220">
        <f t="shared" si="149"/>
        <v>-10</v>
      </c>
      <c r="AE184" s="221"/>
      <c r="AF184" s="219">
        <v>45101.0</v>
      </c>
      <c r="AG184" s="220" t="str">
        <f t="shared" si="163"/>
        <v/>
      </c>
      <c r="AH184" s="220"/>
      <c r="AI184" s="220">
        <f t="shared" si="150"/>
        <v>0</v>
      </c>
      <c r="AJ184" s="220">
        <f t="shared" si="151"/>
        <v>-10</v>
      </c>
      <c r="AK184" s="221"/>
      <c r="AL184" s="219">
        <v>45101.0</v>
      </c>
      <c r="AM184" s="220" t="str">
        <f t="shared" si="164"/>
        <v/>
      </c>
      <c r="AN184" s="220"/>
      <c r="AO184" s="220">
        <f t="shared" si="152"/>
        <v>0</v>
      </c>
      <c r="AP184" s="220">
        <f t="shared" si="153"/>
        <v>-10</v>
      </c>
      <c r="AQ184" s="221"/>
      <c r="AR184" s="219">
        <v>45101.0</v>
      </c>
      <c r="AS184" s="220" t="str">
        <f t="shared" si="165"/>
        <v/>
      </c>
      <c r="AT184" s="220"/>
      <c r="AU184" s="220">
        <f t="shared" si="154"/>
        <v>0</v>
      </c>
      <c r="AV184" s="220">
        <f t="shared" si="155"/>
        <v>-10</v>
      </c>
      <c r="AW184" s="221"/>
      <c r="AX184" s="219">
        <v>45101.0</v>
      </c>
      <c r="AY184" s="220" t="str">
        <f t="shared" si="166"/>
        <v/>
      </c>
      <c r="AZ184" s="220"/>
      <c r="BA184" s="220">
        <f t="shared" si="156"/>
        <v>0</v>
      </c>
      <c r="BB184" s="220">
        <f t="shared" si="157"/>
        <v>-10</v>
      </c>
    </row>
    <row r="185" ht="14.25" customHeight="1">
      <c r="A185" s="218"/>
      <c r="B185" s="219"/>
      <c r="C185" s="220" t="str">
        <f t="shared" si="158"/>
        <v/>
      </c>
      <c r="D185" s="220"/>
      <c r="E185" s="220">
        <f t="shared" si="140"/>
        <v>0</v>
      </c>
      <c r="F185" s="220">
        <f t="shared" si="141"/>
        <v>-10</v>
      </c>
      <c r="G185" s="221"/>
      <c r="H185" s="219">
        <v>45102.0</v>
      </c>
      <c r="I185" s="220" t="str">
        <f t="shared" si="159"/>
        <v/>
      </c>
      <c r="J185" s="220"/>
      <c r="K185" s="220">
        <f t="shared" si="142"/>
        <v>0</v>
      </c>
      <c r="L185" s="220">
        <f t="shared" si="143"/>
        <v>-10</v>
      </c>
      <c r="M185" s="221"/>
      <c r="N185" s="219">
        <v>45102.0</v>
      </c>
      <c r="O185" s="220" t="str">
        <f t="shared" si="160"/>
        <v/>
      </c>
      <c r="P185" s="220"/>
      <c r="Q185" s="220">
        <f t="shared" si="144"/>
        <v>0</v>
      </c>
      <c r="R185" s="220">
        <f t="shared" si="145"/>
        <v>-10</v>
      </c>
      <c r="S185" s="221"/>
      <c r="T185" s="219">
        <v>45102.0</v>
      </c>
      <c r="U185" s="220" t="str">
        <f t="shared" si="161"/>
        <v/>
      </c>
      <c r="V185" s="220"/>
      <c r="W185" s="220">
        <f t="shared" si="146"/>
        <v>0</v>
      </c>
      <c r="X185" s="220">
        <f t="shared" si="147"/>
        <v>-10</v>
      </c>
      <c r="Y185" s="221"/>
      <c r="Z185" s="219">
        <v>45102.0</v>
      </c>
      <c r="AA185" s="220" t="str">
        <f t="shared" si="162"/>
        <v/>
      </c>
      <c r="AB185" s="220"/>
      <c r="AC185" s="220">
        <f t="shared" si="148"/>
        <v>0</v>
      </c>
      <c r="AD185" s="220">
        <f t="shared" si="149"/>
        <v>-10</v>
      </c>
      <c r="AE185" s="221"/>
      <c r="AF185" s="219">
        <v>45102.0</v>
      </c>
      <c r="AG185" s="220" t="str">
        <f t="shared" si="163"/>
        <v/>
      </c>
      <c r="AH185" s="220"/>
      <c r="AI185" s="220">
        <f t="shared" si="150"/>
        <v>0</v>
      </c>
      <c r="AJ185" s="220">
        <f t="shared" si="151"/>
        <v>-10</v>
      </c>
      <c r="AK185" s="221"/>
      <c r="AL185" s="219">
        <v>45102.0</v>
      </c>
      <c r="AM185" s="220" t="str">
        <f t="shared" si="164"/>
        <v/>
      </c>
      <c r="AN185" s="220"/>
      <c r="AO185" s="220">
        <f t="shared" si="152"/>
        <v>0</v>
      </c>
      <c r="AP185" s="220">
        <f t="shared" si="153"/>
        <v>-10</v>
      </c>
      <c r="AQ185" s="221"/>
      <c r="AR185" s="219">
        <v>45102.0</v>
      </c>
      <c r="AS185" s="220" t="str">
        <f t="shared" si="165"/>
        <v/>
      </c>
      <c r="AT185" s="220"/>
      <c r="AU185" s="220">
        <f t="shared" si="154"/>
        <v>0</v>
      </c>
      <c r="AV185" s="220">
        <f t="shared" si="155"/>
        <v>-10</v>
      </c>
      <c r="AW185" s="221"/>
      <c r="AX185" s="219">
        <v>45102.0</v>
      </c>
      <c r="AY185" s="220" t="str">
        <f t="shared" si="166"/>
        <v/>
      </c>
      <c r="AZ185" s="220"/>
      <c r="BA185" s="220">
        <f t="shared" si="156"/>
        <v>0</v>
      </c>
      <c r="BB185" s="220">
        <f t="shared" si="157"/>
        <v>-10</v>
      </c>
    </row>
    <row r="186" ht="14.25" customHeight="1">
      <c r="A186" s="218"/>
      <c r="B186" s="219"/>
      <c r="C186" s="220" t="str">
        <f t="shared" si="158"/>
        <v/>
      </c>
      <c r="D186" s="220"/>
      <c r="E186" s="220">
        <f t="shared" si="140"/>
        <v>0</v>
      </c>
      <c r="F186" s="220">
        <f t="shared" si="141"/>
        <v>-10</v>
      </c>
      <c r="H186" s="219">
        <v>45103.0</v>
      </c>
      <c r="I186" s="220" t="str">
        <f t="shared" si="159"/>
        <v/>
      </c>
      <c r="J186" s="220"/>
      <c r="K186" s="220">
        <f t="shared" si="142"/>
        <v>0</v>
      </c>
      <c r="L186" s="220">
        <f t="shared" si="143"/>
        <v>-10</v>
      </c>
      <c r="N186" s="219">
        <v>45103.0</v>
      </c>
      <c r="O186" s="220" t="str">
        <f t="shared" si="160"/>
        <v/>
      </c>
      <c r="P186" s="220"/>
      <c r="Q186" s="220">
        <f t="shared" si="144"/>
        <v>0</v>
      </c>
      <c r="R186" s="220">
        <f t="shared" si="145"/>
        <v>-10</v>
      </c>
      <c r="T186" s="219">
        <v>45103.0</v>
      </c>
      <c r="U186" s="220" t="str">
        <f t="shared" si="161"/>
        <v/>
      </c>
      <c r="V186" s="220"/>
      <c r="W186" s="220">
        <f t="shared" si="146"/>
        <v>0</v>
      </c>
      <c r="X186" s="220">
        <f t="shared" si="147"/>
        <v>-10</v>
      </c>
      <c r="Z186" s="219">
        <v>45103.0</v>
      </c>
      <c r="AA186" s="220" t="str">
        <f t="shared" si="162"/>
        <v/>
      </c>
      <c r="AB186" s="220"/>
      <c r="AC186" s="220">
        <f t="shared" si="148"/>
        <v>0</v>
      </c>
      <c r="AD186" s="220">
        <f t="shared" si="149"/>
        <v>-10</v>
      </c>
      <c r="AF186" s="219">
        <v>45103.0</v>
      </c>
      <c r="AG186" s="220" t="str">
        <f t="shared" si="163"/>
        <v/>
      </c>
      <c r="AH186" s="220"/>
      <c r="AI186" s="220">
        <f t="shared" si="150"/>
        <v>0</v>
      </c>
      <c r="AJ186" s="220">
        <f t="shared" si="151"/>
        <v>-10</v>
      </c>
      <c r="AL186" s="219">
        <v>45103.0</v>
      </c>
      <c r="AM186" s="220" t="str">
        <f t="shared" si="164"/>
        <v/>
      </c>
      <c r="AN186" s="220"/>
      <c r="AO186" s="220">
        <f t="shared" si="152"/>
        <v>0</v>
      </c>
      <c r="AP186" s="220">
        <f t="shared" si="153"/>
        <v>-10</v>
      </c>
      <c r="AR186" s="219">
        <v>45103.0</v>
      </c>
      <c r="AS186" s="220" t="str">
        <f t="shared" si="165"/>
        <v/>
      </c>
      <c r="AT186" s="220"/>
      <c r="AU186" s="220">
        <f t="shared" si="154"/>
        <v>0</v>
      </c>
      <c r="AV186" s="220">
        <f t="shared" si="155"/>
        <v>-10</v>
      </c>
      <c r="AX186" s="219">
        <v>45103.0</v>
      </c>
      <c r="AY186" s="220" t="str">
        <f t="shared" si="166"/>
        <v/>
      </c>
      <c r="AZ186" s="220"/>
      <c r="BA186" s="220">
        <f t="shared" si="156"/>
        <v>0</v>
      </c>
      <c r="BB186" s="220">
        <f t="shared" si="157"/>
        <v>-10</v>
      </c>
    </row>
    <row r="187" ht="14.25" customHeight="1">
      <c r="A187" s="218"/>
      <c r="B187" s="219"/>
      <c r="C187" s="220" t="str">
        <f t="shared" si="158"/>
        <v/>
      </c>
      <c r="D187" s="220"/>
      <c r="E187" s="220">
        <f t="shared" si="140"/>
        <v>0</v>
      </c>
      <c r="F187" s="220">
        <f t="shared" si="141"/>
        <v>-10</v>
      </c>
      <c r="H187" s="219">
        <v>45104.0</v>
      </c>
      <c r="I187" s="220" t="str">
        <f t="shared" si="159"/>
        <v/>
      </c>
      <c r="J187" s="220"/>
      <c r="K187" s="220">
        <f t="shared" si="142"/>
        <v>0</v>
      </c>
      <c r="L187" s="220">
        <f t="shared" si="143"/>
        <v>-10</v>
      </c>
      <c r="N187" s="219">
        <v>45104.0</v>
      </c>
      <c r="O187" s="220" t="str">
        <f t="shared" si="160"/>
        <v/>
      </c>
      <c r="P187" s="220"/>
      <c r="Q187" s="220">
        <f t="shared" si="144"/>
        <v>0</v>
      </c>
      <c r="R187" s="220">
        <f t="shared" si="145"/>
        <v>-10</v>
      </c>
      <c r="T187" s="219">
        <v>45104.0</v>
      </c>
      <c r="U187" s="220" t="str">
        <f t="shared" si="161"/>
        <v/>
      </c>
      <c r="V187" s="220"/>
      <c r="W187" s="220">
        <f t="shared" si="146"/>
        <v>0</v>
      </c>
      <c r="X187" s="220">
        <f t="shared" si="147"/>
        <v>-10</v>
      </c>
      <c r="Z187" s="219">
        <v>45104.0</v>
      </c>
      <c r="AA187" s="220" t="str">
        <f t="shared" si="162"/>
        <v/>
      </c>
      <c r="AB187" s="220"/>
      <c r="AC187" s="220">
        <f t="shared" si="148"/>
        <v>0</v>
      </c>
      <c r="AD187" s="220">
        <f t="shared" si="149"/>
        <v>-10</v>
      </c>
      <c r="AF187" s="219">
        <v>45104.0</v>
      </c>
      <c r="AG187" s="220" t="str">
        <f t="shared" si="163"/>
        <v/>
      </c>
      <c r="AH187" s="220"/>
      <c r="AI187" s="220">
        <f t="shared" si="150"/>
        <v>0</v>
      </c>
      <c r="AJ187" s="220">
        <f t="shared" si="151"/>
        <v>-10</v>
      </c>
      <c r="AL187" s="219">
        <v>45104.0</v>
      </c>
      <c r="AM187" s="220" t="str">
        <f t="shared" si="164"/>
        <v/>
      </c>
      <c r="AN187" s="220"/>
      <c r="AO187" s="220">
        <f t="shared" si="152"/>
        <v>0</v>
      </c>
      <c r="AP187" s="220">
        <f t="shared" si="153"/>
        <v>-10</v>
      </c>
      <c r="AR187" s="219">
        <v>45104.0</v>
      </c>
      <c r="AS187" s="220" t="str">
        <f t="shared" si="165"/>
        <v/>
      </c>
      <c r="AT187" s="220"/>
      <c r="AU187" s="220">
        <f t="shared" si="154"/>
        <v>0</v>
      </c>
      <c r="AV187" s="220">
        <f t="shared" si="155"/>
        <v>-10</v>
      </c>
      <c r="AX187" s="219">
        <v>45104.0</v>
      </c>
      <c r="AY187" s="220" t="str">
        <f t="shared" si="166"/>
        <v/>
      </c>
      <c r="AZ187" s="220"/>
      <c r="BA187" s="220">
        <f t="shared" si="156"/>
        <v>0</v>
      </c>
      <c r="BB187" s="220">
        <f t="shared" si="157"/>
        <v>-10</v>
      </c>
    </row>
    <row r="188" ht="14.25" customHeight="1">
      <c r="A188" s="218"/>
      <c r="B188" s="219"/>
      <c r="C188" s="220" t="str">
        <f t="shared" si="158"/>
        <v/>
      </c>
      <c r="D188" s="220"/>
      <c r="E188" s="220">
        <f t="shared" si="140"/>
        <v>0</v>
      </c>
      <c r="F188" s="220">
        <f t="shared" si="141"/>
        <v>-10</v>
      </c>
      <c r="H188" s="219">
        <v>45105.0</v>
      </c>
      <c r="I188" s="220" t="str">
        <f t="shared" si="159"/>
        <v/>
      </c>
      <c r="J188" s="220"/>
      <c r="K188" s="220">
        <f t="shared" si="142"/>
        <v>0</v>
      </c>
      <c r="L188" s="220">
        <f t="shared" si="143"/>
        <v>-10</v>
      </c>
      <c r="N188" s="219">
        <v>45105.0</v>
      </c>
      <c r="O188" s="220" t="str">
        <f t="shared" si="160"/>
        <v/>
      </c>
      <c r="P188" s="220"/>
      <c r="Q188" s="220">
        <f t="shared" si="144"/>
        <v>0</v>
      </c>
      <c r="R188" s="220">
        <f t="shared" si="145"/>
        <v>-10</v>
      </c>
      <c r="T188" s="219">
        <v>45105.0</v>
      </c>
      <c r="U188" s="220" t="str">
        <f t="shared" si="161"/>
        <v/>
      </c>
      <c r="V188" s="220"/>
      <c r="W188" s="220">
        <f t="shared" si="146"/>
        <v>0</v>
      </c>
      <c r="X188" s="220">
        <f t="shared" si="147"/>
        <v>-10</v>
      </c>
      <c r="Z188" s="219">
        <v>45105.0</v>
      </c>
      <c r="AA188" s="220" t="str">
        <f t="shared" si="162"/>
        <v/>
      </c>
      <c r="AB188" s="220"/>
      <c r="AC188" s="220">
        <f t="shared" si="148"/>
        <v>0</v>
      </c>
      <c r="AD188" s="220">
        <f t="shared" si="149"/>
        <v>-10</v>
      </c>
      <c r="AF188" s="219">
        <v>45105.0</v>
      </c>
      <c r="AG188" s="220" t="str">
        <f t="shared" si="163"/>
        <v/>
      </c>
      <c r="AH188" s="220"/>
      <c r="AI188" s="220">
        <f t="shared" si="150"/>
        <v>0</v>
      </c>
      <c r="AJ188" s="220">
        <f t="shared" si="151"/>
        <v>-10</v>
      </c>
      <c r="AL188" s="219">
        <v>45105.0</v>
      </c>
      <c r="AM188" s="220" t="str">
        <f t="shared" si="164"/>
        <v/>
      </c>
      <c r="AN188" s="220"/>
      <c r="AO188" s="220">
        <f t="shared" si="152"/>
        <v>0</v>
      </c>
      <c r="AP188" s="220">
        <f t="shared" si="153"/>
        <v>-10</v>
      </c>
      <c r="AR188" s="219">
        <v>45105.0</v>
      </c>
      <c r="AS188" s="220" t="str">
        <f t="shared" si="165"/>
        <v/>
      </c>
      <c r="AT188" s="220"/>
      <c r="AU188" s="220">
        <f t="shared" si="154"/>
        <v>0</v>
      </c>
      <c r="AV188" s="220">
        <f t="shared" si="155"/>
        <v>-10</v>
      </c>
      <c r="AX188" s="219">
        <v>45105.0</v>
      </c>
      <c r="AY188" s="220" t="str">
        <f t="shared" si="166"/>
        <v/>
      </c>
      <c r="AZ188" s="220"/>
      <c r="BA188" s="220">
        <f t="shared" si="156"/>
        <v>0</v>
      </c>
      <c r="BB188" s="220">
        <f t="shared" si="157"/>
        <v>-10</v>
      </c>
    </row>
    <row r="189" ht="14.25" customHeight="1">
      <c r="A189" s="218"/>
      <c r="B189" s="219"/>
      <c r="C189" s="220" t="str">
        <f t="shared" si="158"/>
        <v/>
      </c>
      <c r="D189" s="220"/>
      <c r="E189" s="220">
        <f t="shared" si="140"/>
        <v>0</v>
      </c>
      <c r="F189" s="220">
        <f t="shared" si="141"/>
        <v>-10</v>
      </c>
      <c r="H189" s="219">
        <v>45106.0</v>
      </c>
      <c r="I189" s="220" t="str">
        <f t="shared" si="159"/>
        <v/>
      </c>
      <c r="J189" s="220"/>
      <c r="K189" s="220">
        <f t="shared" si="142"/>
        <v>0</v>
      </c>
      <c r="L189" s="220">
        <f t="shared" si="143"/>
        <v>-10</v>
      </c>
      <c r="N189" s="219">
        <v>45106.0</v>
      </c>
      <c r="O189" s="220" t="str">
        <f t="shared" si="160"/>
        <v/>
      </c>
      <c r="P189" s="220"/>
      <c r="Q189" s="220">
        <f t="shared" si="144"/>
        <v>0</v>
      </c>
      <c r="R189" s="220">
        <f t="shared" si="145"/>
        <v>-10</v>
      </c>
      <c r="T189" s="219">
        <v>45106.0</v>
      </c>
      <c r="U189" s="220" t="str">
        <f t="shared" si="161"/>
        <v/>
      </c>
      <c r="V189" s="220"/>
      <c r="W189" s="220">
        <f t="shared" si="146"/>
        <v>0</v>
      </c>
      <c r="X189" s="220">
        <f t="shared" si="147"/>
        <v>-10</v>
      </c>
      <c r="Z189" s="219">
        <v>45106.0</v>
      </c>
      <c r="AA189" s="220" t="str">
        <f t="shared" si="162"/>
        <v/>
      </c>
      <c r="AB189" s="220"/>
      <c r="AC189" s="220">
        <f t="shared" si="148"/>
        <v>0</v>
      </c>
      <c r="AD189" s="220">
        <f t="shared" si="149"/>
        <v>-10</v>
      </c>
      <c r="AF189" s="219">
        <v>45106.0</v>
      </c>
      <c r="AG189" s="220" t="str">
        <f t="shared" si="163"/>
        <v/>
      </c>
      <c r="AH189" s="220"/>
      <c r="AI189" s="220">
        <f t="shared" si="150"/>
        <v>0</v>
      </c>
      <c r="AJ189" s="220">
        <f t="shared" si="151"/>
        <v>-10</v>
      </c>
      <c r="AL189" s="219">
        <v>45106.0</v>
      </c>
      <c r="AM189" s="220" t="str">
        <f t="shared" si="164"/>
        <v/>
      </c>
      <c r="AN189" s="220"/>
      <c r="AO189" s="220">
        <f t="shared" si="152"/>
        <v>0</v>
      </c>
      <c r="AP189" s="220">
        <f t="shared" si="153"/>
        <v>-10</v>
      </c>
      <c r="AR189" s="219">
        <v>45106.0</v>
      </c>
      <c r="AS189" s="220" t="str">
        <f t="shared" si="165"/>
        <v/>
      </c>
      <c r="AT189" s="220"/>
      <c r="AU189" s="220">
        <f t="shared" si="154"/>
        <v>0</v>
      </c>
      <c r="AV189" s="220">
        <f t="shared" si="155"/>
        <v>-10</v>
      </c>
      <c r="AX189" s="219">
        <v>45106.0</v>
      </c>
      <c r="AY189" s="220" t="str">
        <f t="shared" si="166"/>
        <v/>
      </c>
      <c r="AZ189" s="220"/>
      <c r="BA189" s="220">
        <f t="shared" si="156"/>
        <v>0</v>
      </c>
      <c r="BB189" s="220">
        <f t="shared" si="157"/>
        <v>-10</v>
      </c>
    </row>
    <row r="190" ht="14.25" customHeight="1">
      <c r="A190" s="218"/>
      <c r="B190" s="219"/>
      <c r="C190" s="220" t="str">
        <f t="shared" si="158"/>
        <v/>
      </c>
      <c r="D190" s="220"/>
      <c r="E190" s="220">
        <f t="shared" si="140"/>
        <v>0</v>
      </c>
      <c r="F190" s="220">
        <f t="shared" si="141"/>
        <v>-10</v>
      </c>
      <c r="H190" s="219">
        <v>45107.0</v>
      </c>
      <c r="I190" s="220" t="str">
        <f t="shared" si="159"/>
        <v/>
      </c>
      <c r="J190" s="220"/>
      <c r="K190" s="220">
        <f t="shared" si="142"/>
        <v>0</v>
      </c>
      <c r="L190" s="220">
        <f t="shared" si="143"/>
        <v>-10</v>
      </c>
      <c r="N190" s="219">
        <v>45107.0</v>
      </c>
      <c r="O190" s="220" t="str">
        <f t="shared" si="160"/>
        <v/>
      </c>
      <c r="P190" s="220"/>
      <c r="Q190" s="220">
        <f t="shared" si="144"/>
        <v>0</v>
      </c>
      <c r="R190" s="220">
        <f t="shared" si="145"/>
        <v>-10</v>
      </c>
      <c r="T190" s="219">
        <v>45107.0</v>
      </c>
      <c r="U190" s="220" t="str">
        <f t="shared" si="161"/>
        <v/>
      </c>
      <c r="V190" s="220"/>
      <c r="W190" s="220">
        <f t="shared" si="146"/>
        <v>0</v>
      </c>
      <c r="X190" s="220">
        <f t="shared" si="147"/>
        <v>-10</v>
      </c>
      <c r="Z190" s="219">
        <v>45107.0</v>
      </c>
      <c r="AA190" s="220" t="str">
        <f t="shared" si="162"/>
        <v/>
      </c>
      <c r="AB190" s="220"/>
      <c r="AC190" s="220">
        <f t="shared" si="148"/>
        <v>0</v>
      </c>
      <c r="AD190" s="220">
        <f t="shared" si="149"/>
        <v>-10</v>
      </c>
      <c r="AF190" s="219">
        <v>45107.0</v>
      </c>
      <c r="AG190" s="220" t="str">
        <f t="shared" si="163"/>
        <v/>
      </c>
      <c r="AH190" s="220"/>
      <c r="AI190" s="220">
        <f t="shared" si="150"/>
        <v>0</v>
      </c>
      <c r="AJ190" s="220">
        <f t="shared" si="151"/>
        <v>-10</v>
      </c>
      <c r="AL190" s="219">
        <v>45107.0</v>
      </c>
      <c r="AM190" s="220" t="str">
        <f t="shared" si="164"/>
        <v/>
      </c>
      <c r="AN190" s="220"/>
      <c r="AO190" s="220">
        <f t="shared" si="152"/>
        <v>0</v>
      </c>
      <c r="AP190" s="220">
        <f t="shared" si="153"/>
        <v>-10</v>
      </c>
      <c r="AR190" s="219">
        <v>45107.0</v>
      </c>
      <c r="AS190" s="220" t="str">
        <f t="shared" si="165"/>
        <v/>
      </c>
      <c r="AT190" s="220"/>
      <c r="AU190" s="220">
        <f t="shared" si="154"/>
        <v>0</v>
      </c>
      <c r="AV190" s="220">
        <f t="shared" si="155"/>
        <v>-10</v>
      </c>
      <c r="AX190" s="219">
        <v>45107.0</v>
      </c>
      <c r="AY190" s="220" t="str">
        <f t="shared" si="166"/>
        <v/>
      </c>
      <c r="AZ190" s="220"/>
      <c r="BA190" s="220">
        <f t="shared" si="156"/>
        <v>0</v>
      </c>
      <c r="BB190" s="220">
        <f t="shared" si="157"/>
        <v>-10</v>
      </c>
    </row>
    <row r="191" ht="14.25" customHeight="1">
      <c r="A191" s="218"/>
      <c r="B191" s="229"/>
      <c r="C191" s="220" t="str">
        <f t="shared" si="158"/>
        <v/>
      </c>
      <c r="D191" s="220"/>
      <c r="E191" s="220">
        <f t="shared" si="140"/>
        <v>0</v>
      </c>
      <c r="F191" s="220">
        <f t="shared" si="141"/>
        <v>-10</v>
      </c>
      <c r="H191" s="229"/>
      <c r="I191" s="220" t="str">
        <f t="shared" si="159"/>
        <v/>
      </c>
      <c r="J191" s="220"/>
      <c r="K191" s="220">
        <f t="shared" si="142"/>
        <v>0</v>
      </c>
      <c r="L191" s="220">
        <f t="shared" si="143"/>
        <v>-10</v>
      </c>
      <c r="N191" s="229"/>
      <c r="O191" s="220" t="str">
        <f t="shared" si="160"/>
        <v/>
      </c>
      <c r="P191" s="220"/>
      <c r="Q191" s="220">
        <f t="shared" si="144"/>
        <v>0</v>
      </c>
      <c r="R191" s="220">
        <f t="shared" si="145"/>
        <v>-10</v>
      </c>
      <c r="T191" s="229"/>
      <c r="U191" s="220" t="str">
        <f t="shared" si="161"/>
        <v/>
      </c>
      <c r="V191" s="220"/>
      <c r="W191" s="220">
        <f t="shared" si="146"/>
        <v>0</v>
      </c>
      <c r="X191" s="220">
        <f t="shared" si="147"/>
        <v>-10</v>
      </c>
      <c r="Z191" s="229"/>
      <c r="AA191" s="220" t="str">
        <f t="shared" si="162"/>
        <v/>
      </c>
      <c r="AB191" s="220"/>
      <c r="AC191" s="220">
        <f t="shared" si="148"/>
        <v>0</v>
      </c>
      <c r="AD191" s="220">
        <f t="shared" si="149"/>
        <v>-10</v>
      </c>
      <c r="AF191" s="229"/>
      <c r="AG191" s="220" t="str">
        <f t="shared" si="163"/>
        <v/>
      </c>
      <c r="AH191" s="220"/>
      <c r="AI191" s="220">
        <f t="shared" si="150"/>
        <v>0</v>
      </c>
      <c r="AJ191" s="220">
        <f t="shared" si="151"/>
        <v>-10</v>
      </c>
      <c r="AL191" s="229"/>
      <c r="AM191" s="220" t="str">
        <f t="shared" si="164"/>
        <v/>
      </c>
      <c r="AN191" s="220"/>
      <c r="AO191" s="220">
        <f t="shared" si="152"/>
        <v>0</v>
      </c>
      <c r="AP191" s="220">
        <f t="shared" si="153"/>
        <v>-10</v>
      </c>
      <c r="AR191" s="229"/>
      <c r="AS191" s="220" t="str">
        <f t="shared" si="165"/>
        <v/>
      </c>
      <c r="AT191" s="220"/>
      <c r="AU191" s="220">
        <f t="shared" si="154"/>
        <v>0</v>
      </c>
      <c r="AV191" s="220">
        <f t="shared" si="155"/>
        <v>-10</v>
      </c>
      <c r="AX191" s="229"/>
      <c r="AY191" s="220" t="str">
        <f t="shared" si="166"/>
        <v/>
      </c>
      <c r="AZ191" s="220"/>
      <c r="BA191" s="220">
        <f t="shared" si="156"/>
        <v>0</v>
      </c>
      <c r="BB191" s="220">
        <f t="shared" si="157"/>
        <v>-10</v>
      </c>
    </row>
    <row r="192" ht="14.25" customHeight="1">
      <c r="A192" s="222"/>
      <c r="B192" s="216"/>
      <c r="C192" s="223" t="s">
        <v>221</v>
      </c>
      <c r="D192" s="223"/>
      <c r="E192" s="216">
        <f>SUM(E161:E191)</f>
        <v>0</v>
      </c>
      <c r="F192" s="216">
        <f t="shared" si="141"/>
        <v>-10</v>
      </c>
      <c r="H192" s="216"/>
      <c r="I192" s="223" t="s">
        <v>221</v>
      </c>
      <c r="J192" s="223"/>
      <c r="K192" s="216">
        <f>SUM(K161:K191)</f>
        <v>0</v>
      </c>
      <c r="L192" s="216">
        <f t="shared" si="143"/>
        <v>-10</v>
      </c>
      <c r="N192" s="216"/>
      <c r="O192" s="223" t="s">
        <v>221</v>
      </c>
      <c r="P192" s="223"/>
      <c r="Q192" s="216">
        <f>SUM(Q161:Q191)</f>
        <v>0</v>
      </c>
      <c r="R192" s="216">
        <f t="shared" si="145"/>
        <v>-10</v>
      </c>
      <c r="T192" s="216"/>
      <c r="U192" s="223" t="s">
        <v>221</v>
      </c>
      <c r="V192" s="223"/>
      <c r="W192" s="216">
        <f>SUM(W161:W191)</f>
        <v>0</v>
      </c>
      <c r="X192" s="216">
        <f t="shared" si="147"/>
        <v>-10</v>
      </c>
      <c r="Z192" s="216"/>
      <c r="AA192" s="223" t="s">
        <v>221</v>
      </c>
      <c r="AB192" s="223"/>
      <c r="AC192" s="216">
        <f>SUM(AC161:AC191)</f>
        <v>0</v>
      </c>
      <c r="AD192" s="216">
        <f t="shared" si="149"/>
        <v>-10</v>
      </c>
      <c r="AF192" s="216"/>
      <c r="AG192" s="223" t="s">
        <v>221</v>
      </c>
      <c r="AH192" s="223"/>
      <c r="AI192" s="216">
        <f>SUM(AI161:AI191)</f>
        <v>0</v>
      </c>
      <c r="AJ192" s="216">
        <f t="shared" si="151"/>
        <v>-10</v>
      </c>
      <c r="AL192" s="216"/>
      <c r="AM192" s="223" t="s">
        <v>221</v>
      </c>
      <c r="AN192" s="223"/>
      <c r="AO192" s="216">
        <f>SUM(AO161:AO191)</f>
        <v>0</v>
      </c>
      <c r="AP192" s="216">
        <f t="shared" si="153"/>
        <v>-10</v>
      </c>
      <c r="AR192" s="216"/>
      <c r="AS192" s="223" t="s">
        <v>221</v>
      </c>
      <c r="AT192" s="223"/>
      <c r="AU192" s="216">
        <f>SUM(AU161:AU191)</f>
        <v>0</v>
      </c>
      <c r="AV192" s="216">
        <f t="shared" si="155"/>
        <v>-10</v>
      </c>
      <c r="AX192" s="216"/>
      <c r="AY192" s="223" t="s">
        <v>221</v>
      </c>
      <c r="AZ192" s="223"/>
      <c r="BA192" s="216">
        <f>SUM(BA161:BA191)</f>
        <v>0</v>
      </c>
      <c r="BB192" s="216">
        <f t="shared" si="157"/>
        <v>-10</v>
      </c>
    </row>
    <row r="193" ht="14.25" customHeight="1"/>
    <row r="194" ht="14.25" customHeight="1"/>
    <row r="195" ht="15.0" customHeight="1"/>
    <row r="196" ht="18.0" customHeight="1">
      <c r="A196" s="215" t="s">
        <v>228</v>
      </c>
      <c r="B196" s="206" t="s">
        <v>18</v>
      </c>
      <c r="C196" s="207"/>
      <c r="D196" s="207"/>
      <c r="E196" s="207"/>
      <c r="F196" s="208"/>
      <c r="G196" s="209"/>
      <c r="H196" s="206" t="s">
        <v>20</v>
      </c>
      <c r="I196" s="207"/>
      <c r="J196" s="207"/>
      <c r="K196" s="207"/>
      <c r="L196" s="208"/>
      <c r="M196" s="209"/>
      <c r="N196" s="206" t="s">
        <v>142</v>
      </c>
      <c r="O196" s="207"/>
      <c r="P196" s="207"/>
      <c r="Q196" s="207"/>
      <c r="R196" s="208"/>
      <c r="S196" s="209"/>
      <c r="T196" s="206" t="s">
        <v>95</v>
      </c>
      <c r="U196" s="207"/>
      <c r="V196" s="207"/>
      <c r="W196" s="207"/>
      <c r="X196" s="208"/>
      <c r="Y196" s="209"/>
      <c r="Z196" s="206" t="s">
        <v>32</v>
      </c>
      <c r="AA196" s="207"/>
      <c r="AB196" s="207"/>
      <c r="AC196" s="207"/>
      <c r="AD196" s="208"/>
      <c r="AE196" s="209"/>
      <c r="AF196" s="206" t="s">
        <v>27</v>
      </c>
      <c r="AG196" s="207"/>
      <c r="AH196" s="207"/>
      <c r="AI196" s="207"/>
      <c r="AJ196" s="208"/>
      <c r="AK196" s="209"/>
      <c r="AL196" s="206" t="s">
        <v>34</v>
      </c>
      <c r="AM196" s="207"/>
      <c r="AN196" s="207"/>
      <c r="AO196" s="207"/>
      <c r="AP196" s="208"/>
      <c r="AQ196" s="209"/>
      <c r="AR196" s="206"/>
      <c r="AS196" s="207"/>
      <c r="AT196" s="207"/>
      <c r="AU196" s="207"/>
      <c r="AV196" s="208"/>
      <c r="AW196" s="209"/>
      <c r="AX196" s="206"/>
      <c r="AY196" s="207"/>
      <c r="AZ196" s="207"/>
      <c r="BA196" s="207"/>
      <c r="BB196" s="208"/>
    </row>
    <row r="197" ht="14.25" customHeight="1">
      <c r="A197" s="218"/>
      <c r="B197" s="210"/>
      <c r="F197" s="211"/>
      <c r="G197" s="209"/>
      <c r="H197" s="210"/>
      <c r="L197" s="211"/>
      <c r="M197" s="209"/>
      <c r="N197" s="210"/>
      <c r="R197" s="211"/>
      <c r="S197" s="209"/>
      <c r="T197" s="210"/>
      <c r="X197" s="211"/>
      <c r="Y197" s="209"/>
      <c r="Z197" s="210"/>
      <c r="AD197" s="211"/>
      <c r="AE197" s="209"/>
      <c r="AF197" s="210"/>
      <c r="AJ197" s="211"/>
      <c r="AK197" s="209"/>
      <c r="AL197" s="210"/>
      <c r="AP197" s="211"/>
      <c r="AQ197" s="209"/>
      <c r="AR197" s="210"/>
      <c r="AV197" s="211"/>
      <c r="AW197" s="209"/>
      <c r="AX197" s="210"/>
      <c r="BB197" s="211"/>
    </row>
    <row r="198" ht="14.25" customHeight="1">
      <c r="A198" s="218"/>
      <c r="B198" s="212"/>
      <c r="C198" s="213"/>
      <c r="D198" s="213"/>
      <c r="E198" s="213"/>
      <c r="F198" s="214"/>
      <c r="G198" s="209"/>
      <c r="H198" s="212"/>
      <c r="I198" s="213"/>
      <c r="J198" s="213"/>
      <c r="K198" s="213"/>
      <c r="L198" s="214"/>
      <c r="M198" s="209"/>
      <c r="N198" s="212"/>
      <c r="O198" s="213"/>
      <c r="P198" s="213"/>
      <c r="Q198" s="213"/>
      <c r="R198" s="214"/>
      <c r="S198" s="209"/>
      <c r="T198" s="212"/>
      <c r="U198" s="213"/>
      <c r="V198" s="213"/>
      <c r="W198" s="213"/>
      <c r="X198" s="214"/>
      <c r="Y198" s="209"/>
      <c r="Z198" s="212"/>
      <c r="AA198" s="213"/>
      <c r="AB198" s="213"/>
      <c r="AC198" s="213"/>
      <c r="AD198" s="214"/>
      <c r="AE198" s="209"/>
      <c r="AF198" s="212"/>
      <c r="AG198" s="213"/>
      <c r="AH198" s="213"/>
      <c r="AI198" s="213"/>
      <c r="AJ198" s="214"/>
      <c r="AK198" s="209"/>
      <c r="AL198" s="212"/>
      <c r="AM198" s="213"/>
      <c r="AN198" s="213"/>
      <c r="AO198" s="213"/>
      <c r="AP198" s="214"/>
      <c r="AQ198" s="209"/>
      <c r="AR198" s="212"/>
      <c r="AS198" s="213"/>
      <c r="AT198" s="213"/>
      <c r="AU198" s="213"/>
      <c r="AV198" s="214"/>
      <c r="AW198" s="209"/>
      <c r="AX198" s="212"/>
      <c r="AY198" s="213"/>
      <c r="AZ198" s="213"/>
      <c r="BA198" s="213"/>
      <c r="BB198" s="214"/>
    </row>
    <row r="199" ht="14.25" customHeight="1">
      <c r="A199" s="218"/>
      <c r="B199" s="216" t="s">
        <v>214</v>
      </c>
      <c r="C199" s="216" t="s">
        <v>215</v>
      </c>
      <c r="D199" s="216" t="s">
        <v>216</v>
      </c>
      <c r="E199" s="216" t="s">
        <v>217</v>
      </c>
      <c r="F199" s="216" t="s">
        <v>218</v>
      </c>
      <c r="H199" s="217" t="s">
        <v>214</v>
      </c>
      <c r="I199" s="216" t="s">
        <v>215</v>
      </c>
      <c r="J199" s="216" t="s">
        <v>216</v>
      </c>
      <c r="K199" s="216" t="s">
        <v>217</v>
      </c>
      <c r="L199" s="216" t="s">
        <v>218</v>
      </c>
      <c r="N199" s="216" t="s">
        <v>214</v>
      </c>
      <c r="O199" s="216" t="s">
        <v>215</v>
      </c>
      <c r="P199" s="216" t="s">
        <v>216</v>
      </c>
      <c r="Q199" s="216" t="s">
        <v>217</v>
      </c>
      <c r="R199" s="216" t="s">
        <v>218</v>
      </c>
      <c r="T199" s="216" t="s">
        <v>214</v>
      </c>
      <c r="U199" s="216" t="s">
        <v>215</v>
      </c>
      <c r="V199" s="216" t="s">
        <v>216</v>
      </c>
      <c r="W199" s="216" t="s">
        <v>217</v>
      </c>
      <c r="X199" s="216" t="s">
        <v>218</v>
      </c>
      <c r="Z199" s="216" t="s">
        <v>214</v>
      </c>
      <c r="AA199" s="216" t="s">
        <v>215</v>
      </c>
      <c r="AB199" s="216" t="s">
        <v>216</v>
      </c>
      <c r="AC199" s="216" t="s">
        <v>217</v>
      </c>
      <c r="AD199" s="216" t="s">
        <v>218</v>
      </c>
      <c r="AF199" s="216" t="s">
        <v>214</v>
      </c>
      <c r="AG199" s="216" t="s">
        <v>215</v>
      </c>
      <c r="AH199" s="216" t="s">
        <v>216</v>
      </c>
      <c r="AI199" s="216" t="s">
        <v>217</v>
      </c>
      <c r="AJ199" s="216" t="s">
        <v>218</v>
      </c>
      <c r="AL199" s="216" t="s">
        <v>214</v>
      </c>
      <c r="AM199" s="216" t="s">
        <v>215</v>
      </c>
      <c r="AN199" s="216" t="s">
        <v>216</v>
      </c>
      <c r="AO199" s="216" t="s">
        <v>217</v>
      </c>
      <c r="AP199" s="216" t="s">
        <v>218</v>
      </c>
      <c r="AR199" s="216" t="s">
        <v>214</v>
      </c>
      <c r="AS199" s="216" t="s">
        <v>215</v>
      </c>
      <c r="AT199" s="216" t="s">
        <v>216</v>
      </c>
      <c r="AU199" s="216" t="s">
        <v>217</v>
      </c>
      <c r="AV199" s="216" t="s">
        <v>218</v>
      </c>
      <c r="AX199" s="216" t="s">
        <v>214</v>
      </c>
      <c r="AY199" s="216" t="s">
        <v>215</v>
      </c>
      <c r="AZ199" s="216" t="s">
        <v>216</v>
      </c>
      <c r="BA199" s="216" t="s">
        <v>217</v>
      </c>
      <c r="BB199" s="216" t="s">
        <v>218</v>
      </c>
    </row>
    <row r="200" ht="14.25" customHeight="1">
      <c r="A200" s="218"/>
      <c r="B200" s="219">
        <v>45078.0</v>
      </c>
      <c r="C200" s="220"/>
      <c r="D200" s="220"/>
      <c r="E200" s="220">
        <f t="shared" ref="E200:E230" si="167">D200-C200</f>
        <v>0</v>
      </c>
      <c r="F200" s="220">
        <f t="shared" ref="F200:F231" si="168">E200-10</f>
        <v>-10</v>
      </c>
      <c r="H200" s="219">
        <v>45078.0</v>
      </c>
      <c r="I200" s="220"/>
      <c r="J200" s="220"/>
      <c r="K200" s="220">
        <f t="shared" ref="K200:K230" si="169">J200-I200</f>
        <v>0</v>
      </c>
      <c r="L200" s="220">
        <f t="shared" ref="L200:L231" si="170">K200-10</f>
        <v>-10</v>
      </c>
      <c r="N200" s="219">
        <v>45078.0</v>
      </c>
      <c r="O200" s="220"/>
      <c r="P200" s="220"/>
      <c r="Q200" s="220">
        <f t="shared" ref="Q200:Q230" si="171">P200-O200</f>
        <v>0</v>
      </c>
      <c r="R200" s="220">
        <f t="shared" ref="R200:R231" si="172">Q200-10</f>
        <v>-10</v>
      </c>
      <c r="T200" s="219">
        <v>45078.0</v>
      </c>
      <c r="U200" s="220"/>
      <c r="V200" s="220"/>
      <c r="W200" s="220">
        <f t="shared" ref="W200:W230" si="173">V200-U200</f>
        <v>0</v>
      </c>
      <c r="X200" s="220">
        <f t="shared" ref="X200:X231" si="174">W200-10</f>
        <v>-10</v>
      </c>
      <c r="Z200" s="219">
        <v>45078.0</v>
      </c>
      <c r="AA200" s="220"/>
      <c r="AB200" s="220"/>
      <c r="AC200" s="220">
        <f t="shared" ref="AC200:AC230" si="175">AB200-AA200</f>
        <v>0</v>
      </c>
      <c r="AD200" s="220">
        <f t="shared" ref="AD200:AD231" si="176">AC200-10</f>
        <v>-10</v>
      </c>
      <c r="AF200" s="219">
        <v>45078.0</v>
      </c>
      <c r="AG200" s="220"/>
      <c r="AH200" s="220"/>
      <c r="AI200" s="220">
        <f t="shared" ref="AI200:AI230" si="177">AH200-AG200</f>
        <v>0</v>
      </c>
      <c r="AJ200" s="220">
        <f t="shared" ref="AJ200:AJ231" si="178">AI200-10</f>
        <v>-10</v>
      </c>
      <c r="AL200" s="219">
        <v>45078.0</v>
      </c>
      <c r="AM200" s="220"/>
      <c r="AN200" s="220"/>
      <c r="AO200" s="220">
        <f t="shared" ref="AO200:AO230" si="179">AN200-AM200</f>
        <v>0</v>
      </c>
      <c r="AP200" s="220">
        <f t="shared" ref="AP200:AP231" si="180">AO200-10</f>
        <v>-10</v>
      </c>
      <c r="AR200" s="219">
        <v>45078.0</v>
      </c>
      <c r="AS200" s="220"/>
      <c r="AT200" s="220"/>
      <c r="AU200" s="220">
        <f t="shared" ref="AU200:AU230" si="181">AT200-AS200</f>
        <v>0</v>
      </c>
      <c r="AV200" s="220">
        <f t="shared" ref="AV200:AV231" si="182">AU200-10</f>
        <v>-10</v>
      </c>
      <c r="AX200" s="219">
        <v>45078.0</v>
      </c>
      <c r="AY200" s="220"/>
      <c r="AZ200" s="220"/>
      <c r="BA200" s="220">
        <f t="shared" ref="BA200:BA230" si="183">AZ200-AY200</f>
        <v>0</v>
      </c>
      <c r="BB200" s="220">
        <f t="shared" ref="BB200:BB231" si="184">BA200-10</f>
        <v>-10</v>
      </c>
    </row>
    <row r="201" ht="14.25" customHeight="1">
      <c r="A201" s="218"/>
      <c r="B201" s="219">
        <v>45079.0</v>
      </c>
      <c r="C201" s="220" t="str">
        <f t="shared" ref="C201:C230" si="185">D200</f>
        <v/>
      </c>
      <c r="D201" s="220"/>
      <c r="E201" s="220">
        <f t="shared" si="167"/>
        <v>0</v>
      </c>
      <c r="F201" s="220">
        <f t="shared" si="168"/>
        <v>-10</v>
      </c>
      <c r="H201" s="219">
        <v>45079.0</v>
      </c>
      <c r="I201" s="220" t="str">
        <f t="shared" ref="I201:I230" si="186">J200</f>
        <v/>
      </c>
      <c r="J201" s="220"/>
      <c r="K201" s="220">
        <f t="shared" si="169"/>
        <v>0</v>
      </c>
      <c r="L201" s="220">
        <f t="shared" si="170"/>
        <v>-10</v>
      </c>
      <c r="N201" s="219">
        <v>45079.0</v>
      </c>
      <c r="O201" s="220" t="str">
        <f t="shared" ref="O201:O230" si="187">P200</f>
        <v/>
      </c>
      <c r="P201" s="220"/>
      <c r="Q201" s="220">
        <f t="shared" si="171"/>
        <v>0</v>
      </c>
      <c r="R201" s="220">
        <f t="shared" si="172"/>
        <v>-10</v>
      </c>
      <c r="T201" s="219">
        <v>45079.0</v>
      </c>
      <c r="U201" s="220" t="str">
        <f t="shared" ref="U201:U230" si="188">V200</f>
        <v/>
      </c>
      <c r="V201" s="220"/>
      <c r="W201" s="220">
        <f t="shared" si="173"/>
        <v>0</v>
      </c>
      <c r="X201" s="220">
        <f t="shared" si="174"/>
        <v>-10</v>
      </c>
      <c r="Z201" s="219">
        <v>45079.0</v>
      </c>
      <c r="AA201" s="220" t="str">
        <f t="shared" ref="AA201:AA230" si="189">AB200</f>
        <v/>
      </c>
      <c r="AB201" s="220"/>
      <c r="AC201" s="220">
        <f t="shared" si="175"/>
        <v>0</v>
      </c>
      <c r="AD201" s="220">
        <f t="shared" si="176"/>
        <v>-10</v>
      </c>
      <c r="AF201" s="219">
        <v>45079.0</v>
      </c>
      <c r="AG201" s="220" t="str">
        <f t="shared" ref="AG201:AG230" si="190">AH200</f>
        <v/>
      </c>
      <c r="AH201" s="220"/>
      <c r="AI201" s="220">
        <f t="shared" si="177"/>
        <v>0</v>
      </c>
      <c r="AJ201" s="220">
        <f t="shared" si="178"/>
        <v>-10</v>
      </c>
      <c r="AL201" s="219">
        <v>45079.0</v>
      </c>
      <c r="AM201" s="220" t="str">
        <f t="shared" ref="AM201:AM230" si="191">AN200</f>
        <v/>
      </c>
      <c r="AN201" s="220"/>
      <c r="AO201" s="220">
        <f t="shared" si="179"/>
        <v>0</v>
      </c>
      <c r="AP201" s="220">
        <f t="shared" si="180"/>
        <v>-10</v>
      </c>
      <c r="AR201" s="219">
        <v>45079.0</v>
      </c>
      <c r="AS201" s="220" t="str">
        <f t="shared" ref="AS201:AS230" si="192">AT200</f>
        <v/>
      </c>
      <c r="AT201" s="220"/>
      <c r="AU201" s="220">
        <f t="shared" si="181"/>
        <v>0</v>
      </c>
      <c r="AV201" s="220">
        <f t="shared" si="182"/>
        <v>-10</v>
      </c>
      <c r="AX201" s="219">
        <v>45079.0</v>
      </c>
      <c r="AY201" s="220" t="str">
        <f t="shared" ref="AY201:AY230" si="193">AZ200</f>
        <v/>
      </c>
      <c r="AZ201" s="220"/>
      <c r="BA201" s="220">
        <f t="shared" si="183"/>
        <v>0</v>
      </c>
      <c r="BB201" s="220">
        <f t="shared" si="184"/>
        <v>-10</v>
      </c>
    </row>
    <row r="202" ht="14.25" customHeight="1">
      <c r="A202" s="218"/>
      <c r="B202" s="219">
        <v>45080.0</v>
      </c>
      <c r="C202" s="220" t="str">
        <f t="shared" si="185"/>
        <v/>
      </c>
      <c r="D202" s="220"/>
      <c r="E202" s="220">
        <f t="shared" si="167"/>
        <v>0</v>
      </c>
      <c r="F202" s="220">
        <f t="shared" si="168"/>
        <v>-10</v>
      </c>
      <c r="G202" s="221"/>
      <c r="H202" s="219">
        <v>45080.0</v>
      </c>
      <c r="I202" s="220" t="str">
        <f t="shared" si="186"/>
        <v/>
      </c>
      <c r="J202" s="220"/>
      <c r="K202" s="220">
        <f t="shared" si="169"/>
        <v>0</v>
      </c>
      <c r="L202" s="220">
        <f t="shared" si="170"/>
        <v>-10</v>
      </c>
      <c r="M202" s="221"/>
      <c r="N202" s="219">
        <v>45080.0</v>
      </c>
      <c r="O202" s="220" t="str">
        <f t="shared" si="187"/>
        <v/>
      </c>
      <c r="P202" s="220"/>
      <c r="Q202" s="220">
        <f t="shared" si="171"/>
        <v>0</v>
      </c>
      <c r="R202" s="220">
        <f t="shared" si="172"/>
        <v>-10</v>
      </c>
      <c r="S202" s="221"/>
      <c r="T202" s="219">
        <v>45080.0</v>
      </c>
      <c r="U202" s="220" t="str">
        <f t="shared" si="188"/>
        <v/>
      </c>
      <c r="V202" s="220"/>
      <c r="W202" s="220">
        <f t="shared" si="173"/>
        <v>0</v>
      </c>
      <c r="X202" s="220">
        <f t="shared" si="174"/>
        <v>-10</v>
      </c>
      <c r="Y202" s="221"/>
      <c r="Z202" s="219">
        <v>45080.0</v>
      </c>
      <c r="AA202" s="220" t="str">
        <f t="shared" si="189"/>
        <v/>
      </c>
      <c r="AB202" s="220"/>
      <c r="AC202" s="220">
        <f t="shared" si="175"/>
        <v>0</v>
      </c>
      <c r="AD202" s="220">
        <f t="shared" si="176"/>
        <v>-10</v>
      </c>
      <c r="AE202" s="221"/>
      <c r="AF202" s="219">
        <v>45080.0</v>
      </c>
      <c r="AG202" s="220" t="str">
        <f t="shared" si="190"/>
        <v/>
      </c>
      <c r="AH202" s="220"/>
      <c r="AI202" s="220">
        <f t="shared" si="177"/>
        <v>0</v>
      </c>
      <c r="AJ202" s="220">
        <f t="shared" si="178"/>
        <v>-10</v>
      </c>
      <c r="AK202" s="221"/>
      <c r="AL202" s="219">
        <v>45080.0</v>
      </c>
      <c r="AM202" s="220" t="str">
        <f t="shared" si="191"/>
        <v/>
      </c>
      <c r="AN202" s="220"/>
      <c r="AO202" s="220">
        <f t="shared" si="179"/>
        <v>0</v>
      </c>
      <c r="AP202" s="220">
        <f t="shared" si="180"/>
        <v>-10</v>
      </c>
      <c r="AQ202" s="221"/>
      <c r="AR202" s="219">
        <v>45080.0</v>
      </c>
      <c r="AS202" s="220" t="str">
        <f t="shared" si="192"/>
        <v/>
      </c>
      <c r="AT202" s="220"/>
      <c r="AU202" s="220">
        <f t="shared" si="181"/>
        <v>0</v>
      </c>
      <c r="AV202" s="220">
        <f t="shared" si="182"/>
        <v>-10</v>
      </c>
      <c r="AW202" s="221"/>
      <c r="AX202" s="219">
        <v>45080.0</v>
      </c>
      <c r="AY202" s="220" t="str">
        <f t="shared" si="193"/>
        <v/>
      </c>
      <c r="AZ202" s="220"/>
      <c r="BA202" s="220">
        <f t="shared" si="183"/>
        <v>0</v>
      </c>
      <c r="BB202" s="220">
        <f t="shared" si="184"/>
        <v>-10</v>
      </c>
    </row>
    <row r="203" ht="14.25" customHeight="1">
      <c r="A203" s="218"/>
      <c r="B203" s="219">
        <v>45081.0</v>
      </c>
      <c r="C203" s="220" t="str">
        <f t="shared" si="185"/>
        <v/>
      </c>
      <c r="D203" s="220"/>
      <c r="E203" s="220">
        <f t="shared" si="167"/>
        <v>0</v>
      </c>
      <c r="F203" s="220">
        <f t="shared" si="168"/>
        <v>-10</v>
      </c>
      <c r="G203" s="221"/>
      <c r="H203" s="219">
        <v>45081.0</v>
      </c>
      <c r="I203" s="220" t="str">
        <f t="shared" si="186"/>
        <v/>
      </c>
      <c r="J203" s="220"/>
      <c r="K203" s="220">
        <f t="shared" si="169"/>
        <v>0</v>
      </c>
      <c r="L203" s="220">
        <f t="shared" si="170"/>
        <v>-10</v>
      </c>
      <c r="M203" s="221"/>
      <c r="N203" s="219">
        <v>45081.0</v>
      </c>
      <c r="O203" s="220" t="str">
        <f t="shared" si="187"/>
        <v/>
      </c>
      <c r="P203" s="220"/>
      <c r="Q203" s="220">
        <f t="shared" si="171"/>
        <v>0</v>
      </c>
      <c r="R203" s="220">
        <f t="shared" si="172"/>
        <v>-10</v>
      </c>
      <c r="S203" s="221"/>
      <c r="T203" s="219">
        <v>45081.0</v>
      </c>
      <c r="U203" s="220" t="str">
        <f t="shared" si="188"/>
        <v/>
      </c>
      <c r="V203" s="220"/>
      <c r="W203" s="220">
        <f t="shared" si="173"/>
        <v>0</v>
      </c>
      <c r="X203" s="220">
        <f t="shared" si="174"/>
        <v>-10</v>
      </c>
      <c r="Y203" s="221"/>
      <c r="Z203" s="219">
        <v>45081.0</v>
      </c>
      <c r="AA203" s="220" t="str">
        <f t="shared" si="189"/>
        <v/>
      </c>
      <c r="AB203" s="220"/>
      <c r="AC203" s="220">
        <f t="shared" si="175"/>
        <v>0</v>
      </c>
      <c r="AD203" s="220">
        <f t="shared" si="176"/>
        <v>-10</v>
      </c>
      <c r="AE203" s="221"/>
      <c r="AF203" s="219">
        <v>45081.0</v>
      </c>
      <c r="AG203" s="220" t="str">
        <f t="shared" si="190"/>
        <v/>
      </c>
      <c r="AH203" s="220"/>
      <c r="AI203" s="220">
        <f t="shared" si="177"/>
        <v>0</v>
      </c>
      <c r="AJ203" s="220">
        <f t="shared" si="178"/>
        <v>-10</v>
      </c>
      <c r="AK203" s="221"/>
      <c r="AL203" s="219">
        <v>45081.0</v>
      </c>
      <c r="AM203" s="220" t="str">
        <f t="shared" si="191"/>
        <v/>
      </c>
      <c r="AN203" s="220"/>
      <c r="AO203" s="220">
        <f t="shared" si="179"/>
        <v>0</v>
      </c>
      <c r="AP203" s="220">
        <f t="shared" si="180"/>
        <v>-10</v>
      </c>
      <c r="AQ203" s="221"/>
      <c r="AR203" s="219">
        <v>45081.0</v>
      </c>
      <c r="AS203" s="220" t="str">
        <f t="shared" si="192"/>
        <v/>
      </c>
      <c r="AT203" s="220"/>
      <c r="AU203" s="220">
        <f t="shared" si="181"/>
        <v>0</v>
      </c>
      <c r="AV203" s="220">
        <f t="shared" si="182"/>
        <v>-10</v>
      </c>
      <c r="AW203" s="221"/>
      <c r="AX203" s="219">
        <v>45081.0</v>
      </c>
      <c r="AY203" s="220" t="str">
        <f t="shared" si="193"/>
        <v/>
      </c>
      <c r="AZ203" s="220"/>
      <c r="BA203" s="220">
        <f t="shared" si="183"/>
        <v>0</v>
      </c>
      <c r="BB203" s="220">
        <f t="shared" si="184"/>
        <v>-10</v>
      </c>
    </row>
    <row r="204" ht="14.25" customHeight="1">
      <c r="A204" s="218"/>
      <c r="B204" s="219">
        <v>45082.0</v>
      </c>
      <c r="C204" s="220" t="str">
        <f t="shared" si="185"/>
        <v/>
      </c>
      <c r="D204" s="220"/>
      <c r="E204" s="220">
        <f t="shared" si="167"/>
        <v>0</v>
      </c>
      <c r="F204" s="220">
        <f t="shared" si="168"/>
        <v>-10</v>
      </c>
      <c r="H204" s="219">
        <v>45082.0</v>
      </c>
      <c r="I204" s="220" t="str">
        <f t="shared" si="186"/>
        <v/>
      </c>
      <c r="J204" s="220"/>
      <c r="K204" s="220">
        <f t="shared" si="169"/>
        <v>0</v>
      </c>
      <c r="L204" s="220">
        <f t="shared" si="170"/>
        <v>-10</v>
      </c>
      <c r="N204" s="219">
        <v>45082.0</v>
      </c>
      <c r="O204" s="220" t="str">
        <f t="shared" si="187"/>
        <v/>
      </c>
      <c r="P204" s="220"/>
      <c r="Q204" s="220">
        <f t="shared" si="171"/>
        <v>0</v>
      </c>
      <c r="R204" s="220">
        <f t="shared" si="172"/>
        <v>-10</v>
      </c>
      <c r="T204" s="219">
        <v>45082.0</v>
      </c>
      <c r="U204" s="220" t="str">
        <f t="shared" si="188"/>
        <v/>
      </c>
      <c r="V204" s="220"/>
      <c r="W204" s="220">
        <f t="shared" si="173"/>
        <v>0</v>
      </c>
      <c r="X204" s="220">
        <f t="shared" si="174"/>
        <v>-10</v>
      </c>
      <c r="Z204" s="219">
        <v>45082.0</v>
      </c>
      <c r="AA204" s="220" t="str">
        <f t="shared" si="189"/>
        <v/>
      </c>
      <c r="AB204" s="220"/>
      <c r="AC204" s="220">
        <f t="shared" si="175"/>
        <v>0</v>
      </c>
      <c r="AD204" s="220">
        <f t="shared" si="176"/>
        <v>-10</v>
      </c>
      <c r="AF204" s="219">
        <v>45082.0</v>
      </c>
      <c r="AG204" s="220" t="str">
        <f t="shared" si="190"/>
        <v/>
      </c>
      <c r="AH204" s="220"/>
      <c r="AI204" s="220">
        <f t="shared" si="177"/>
        <v>0</v>
      </c>
      <c r="AJ204" s="220">
        <f t="shared" si="178"/>
        <v>-10</v>
      </c>
      <c r="AL204" s="219">
        <v>45082.0</v>
      </c>
      <c r="AM204" s="220" t="str">
        <f t="shared" si="191"/>
        <v/>
      </c>
      <c r="AN204" s="220"/>
      <c r="AO204" s="220">
        <f t="shared" si="179"/>
        <v>0</v>
      </c>
      <c r="AP204" s="220">
        <f t="shared" si="180"/>
        <v>-10</v>
      </c>
      <c r="AR204" s="219">
        <v>45082.0</v>
      </c>
      <c r="AS204" s="220" t="str">
        <f t="shared" si="192"/>
        <v/>
      </c>
      <c r="AT204" s="220"/>
      <c r="AU204" s="220">
        <f t="shared" si="181"/>
        <v>0</v>
      </c>
      <c r="AV204" s="220">
        <f t="shared" si="182"/>
        <v>-10</v>
      </c>
      <c r="AX204" s="219">
        <v>45082.0</v>
      </c>
      <c r="AY204" s="220" t="str">
        <f t="shared" si="193"/>
        <v/>
      </c>
      <c r="AZ204" s="220"/>
      <c r="BA204" s="220">
        <f t="shared" si="183"/>
        <v>0</v>
      </c>
      <c r="BB204" s="220">
        <f t="shared" si="184"/>
        <v>-10</v>
      </c>
    </row>
    <row r="205" ht="14.25" customHeight="1">
      <c r="A205" s="218"/>
      <c r="B205" s="219">
        <v>45083.0</v>
      </c>
      <c r="C205" s="220" t="str">
        <f t="shared" si="185"/>
        <v/>
      </c>
      <c r="D205" s="220"/>
      <c r="E205" s="220">
        <f t="shared" si="167"/>
        <v>0</v>
      </c>
      <c r="F205" s="220">
        <f t="shared" si="168"/>
        <v>-10</v>
      </c>
      <c r="H205" s="219">
        <v>45083.0</v>
      </c>
      <c r="I205" s="220" t="str">
        <f t="shared" si="186"/>
        <v/>
      </c>
      <c r="J205" s="220"/>
      <c r="K205" s="220">
        <f t="shared" si="169"/>
        <v>0</v>
      </c>
      <c r="L205" s="220">
        <f t="shared" si="170"/>
        <v>-10</v>
      </c>
      <c r="N205" s="219">
        <v>45083.0</v>
      </c>
      <c r="O205" s="220" t="str">
        <f t="shared" si="187"/>
        <v/>
      </c>
      <c r="P205" s="220"/>
      <c r="Q205" s="220">
        <f t="shared" si="171"/>
        <v>0</v>
      </c>
      <c r="R205" s="220">
        <f t="shared" si="172"/>
        <v>-10</v>
      </c>
      <c r="T205" s="219">
        <v>45083.0</v>
      </c>
      <c r="U205" s="220" t="str">
        <f t="shared" si="188"/>
        <v/>
      </c>
      <c r="V205" s="220"/>
      <c r="W205" s="220">
        <f t="shared" si="173"/>
        <v>0</v>
      </c>
      <c r="X205" s="220">
        <f t="shared" si="174"/>
        <v>-10</v>
      </c>
      <c r="Z205" s="219">
        <v>45083.0</v>
      </c>
      <c r="AA205" s="220" t="str">
        <f t="shared" si="189"/>
        <v/>
      </c>
      <c r="AB205" s="220"/>
      <c r="AC205" s="220">
        <f t="shared" si="175"/>
        <v>0</v>
      </c>
      <c r="AD205" s="220">
        <f t="shared" si="176"/>
        <v>-10</v>
      </c>
      <c r="AF205" s="219">
        <v>45083.0</v>
      </c>
      <c r="AG205" s="220" t="str">
        <f t="shared" si="190"/>
        <v/>
      </c>
      <c r="AH205" s="220"/>
      <c r="AI205" s="220">
        <f t="shared" si="177"/>
        <v>0</v>
      </c>
      <c r="AJ205" s="220">
        <f t="shared" si="178"/>
        <v>-10</v>
      </c>
      <c r="AL205" s="219">
        <v>45083.0</v>
      </c>
      <c r="AM205" s="220" t="str">
        <f t="shared" si="191"/>
        <v/>
      </c>
      <c r="AN205" s="220"/>
      <c r="AO205" s="220">
        <f t="shared" si="179"/>
        <v>0</v>
      </c>
      <c r="AP205" s="220">
        <f t="shared" si="180"/>
        <v>-10</v>
      </c>
      <c r="AR205" s="219">
        <v>45083.0</v>
      </c>
      <c r="AS205" s="220" t="str">
        <f t="shared" si="192"/>
        <v/>
      </c>
      <c r="AT205" s="220"/>
      <c r="AU205" s="220">
        <f t="shared" si="181"/>
        <v>0</v>
      </c>
      <c r="AV205" s="220">
        <f t="shared" si="182"/>
        <v>-10</v>
      </c>
      <c r="AX205" s="219">
        <v>45083.0</v>
      </c>
      <c r="AY205" s="220" t="str">
        <f t="shared" si="193"/>
        <v/>
      </c>
      <c r="AZ205" s="220"/>
      <c r="BA205" s="220">
        <f t="shared" si="183"/>
        <v>0</v>
      </c>
      <c r="BB205" s="220">
        <f t="shared" si="184"/>
        <v>-10</v>
      </c>
    </row>
    <row r="206" ht="14.25" customHeight="1">
      <c r="A206" s="218"/>
      <c r="B206" s="219">
        <v>45084.0</v>
      </c>
      <c r="C206" s="220" t="str">
        <f t="shared" si="185"/>
        <v/>
      </c>
      <c r="D206" s="220"/>
      <c r="E206" s="220">
        <f t="shared" si="167"/>
        <v>0</v>
      </c>
      <c r="F206" s="220">
        <f t="shared" si="168"/>
        <v>-10</v>
      </c>
      <c r="H206" s="219">
        <v>45084.0</v>
      </c>
      <c r="I206" s="220" t="str">
        <f t="shared" si="186"/>
        <v/>
      </c>
      <c r="J206" s="220"/>
      <c r="K206" s="220">
        <f t="shared" si="169"/>
        <v>0</v>
      </c>
      <c r="L206" s="220">
        <f t="shared" si="170"/>
        <v>-10</v>
      </c>
      <c r="N206" s="219">
        <v>45084.0</v>
      </c>
      <c r="O206" s="220" t="str">
        <f t="shared" si="187"/>
        <v/>
      </c>
      <c r="P206" s="220"/>
      <c r="Q206" s="220">
        <f t="shared" si="171"/>
        <v>0</v>
      </c>
      <c r="R206" s="220">
        <f t="shared" si="172"/>
        <v>-10</v>
      </c>
      <c r="T206" s="219">
        <v>45084.0</v>
      </c>
      <c r="U206" s="220" t="str">
        <f t="shared" si="188"/>
        <v/>
      </c>
      <c r="V206" s="220"/>
      <c r="W206" s="220">
        <f t="shared" si="173"/>
        <v>0</v>
      </c>
      <c r="X206" s="220">
        <f t="shared" si="174"/>
        <v>-10</v>
      </c>
      <c r="Z206" s="219">
        <v>45084.0</v>
      </c>
      <c r="AA206" s="220" t="str">
        <f t="shared" si="189"/>
        <v/>
      </c>
      <c r="AB206" s="220"/>
      <c r="AC206" s="220">
        <f t="shared" si="175"/>
        <v>0</v>
      </c>
      <c r="AD206" s="220">
        <f t="shared" si="176"/>
        <v>-10</v>
      </c>
      <c r="AF206" s="219">
        <v>45084.0</v>
      </c>
      <c r="AG206" s="220" t="str">
        <f t="shared" si="190"/>
        <v/>
      </c>
      <c r="AH206" s="220"/>
      <c r="AI206" s="220">
        <f t="shared" si="177"/>
        <v>0</v>
      </c>
      <c r="AJ206" s="220">
        <f t="shared" si="178"/>
        <v>-10</v>
      </c>
      <c r="AL206" s="219">
        <v>45084.0</v>
      </c>
      <c r="AM206" s="220" t="str">
        <f t="shared" si="191"/>
        <v/>
      </c>
      <c r="AN206" s="220"/>
      <c r="AO206" s="220">
        <f t="shared" si="179"/>
        <v>0</v>
      </c>
      <c r="AP206" s="220">
        <f t="shared" si="180"/>
        <v>-10</v>
      </c>
      <c r="AR206" s="219">
        <v>45084.0</v>
      </c>
      <c r="AS206" s="220" t="str">
        <f t="shared" si="192"/>
        <v/>
      </c>
      <c r="AT206" s="220"/>
      <c r="AU206" s="220">
        <f t="shared" si="181"/>
        <v>0</v>
      </c>
      <c r="AV206" s="220">
        <f t="shared" si="182"/>
        <v>-10</v>
      </c>
      <c r="AX206" s="219">
        <v>45084.0</v>
      </c>
      <c r="AY206" s="220" t="str">
        <f t="shared" si="193"/>
        <v/>
      </c>
      <c r="AZ206" s="220"/>
      <c r="BA206" s="220">
        <f t="shared" si="183"/>
        <v>0</v>
      </c>
      <c r="BB206" s="220">
        <f t="shared" si="184"/>
        <v>-10</v>
      </c>
    </row>
    <row r="207" ht="14.25" customHeight="1">
      <c r="A207" s="218"/>
      <c r="B207" s="219">
        <v>45085.0</v>
      </c>
      <c r="C207" s="220" t="str">
        <f t="shared" si="185"/>
        <v/>
      </c>
      <c r="D207" s="220"/>
      <c r="E207" s="220">
        <f t="shared" si="167"/>
        <v>0</v>
      </c>
      <c r="F207" s="220">
        <f t="shared" si="168"/>
        <v>-10</v>
      </c>
      <c r="H207" s="219">
        <v>45085.0</v>
      </c>
      <c r="I207" s="220" t="str">
        <f t="shared" si="186"/>
        <v/>
      </c>
      <c r="J207" s="220"/>
      <c r="K207" s="220">
        <f t="shared" si="169"/>
        <v>0</v>
      </c>
      <c r="L207" s="220">
        <f t="shared" si="170"/>
        <v>-10</v>
      </c>
      <c r="N207" s="219">
        <v>45085.0</v>
      </c>
      <c r="O207" s="220" t="str">
        <f t="shared" si="187"/>
        <v/>
      </c>
      <c r="P207" s="220"/>
      <c r="Q207" s="220">
        <f t="shared" si="171"/>
        <v>0</v>
      </c>
      <c r="R207" s="220">
        <f t="shared" si="172"/>
        <v>-10</v>
      </c>
      <c r="T207" s="219">
        <v>45085.0</v>
      </c>
      <c r="U207" s="220" t="str">
        <f t="shared" si="188"/>
        <v/>
      </c>
      <c r="V207" s="220"/>
      <c r="W207" s="220">
        <f t="shared" si="173"/>
        <v>0</v>
      </c>
      <c r="X207" s="220">
        <f t="shared" si="174"/>
        <v>-10</v>
      </c>
      <c r="Z207" s="219">
        <v>45085.0</v>
      </c>
      <c r="AA207" s="220" t="str">
        <f t="shared" si="189"/>
        <v/>
      </c>
      <c r="AB207" s="220"/>
      <c r="AC207" s="220">
        <f t="shared" si="175"/>
        <v>0</v>
      </c>
      <c r="AD207" s="220">
        <f t="shared" si="176"/>
        <v>-10</v>
      </c>
      <c r="AF207" s="219">
        <v>45085.0</v>
      </c>
      <c r="AG207" s="220" t="str">
        <f t="shared" si="190"/>
        <v/>
      </c>
      <c r="AH207" s="220"/>
      <c r="AI207" s="220">
        <f t="shared" si="177"/>
        <v>0</v>
      </c>
      <c r="AJ207" s="220">
        <f t="shared" si="178"/>
        <v>-10</v>
      </c>
      <c r="AL207" s="219">
        <v>45085.0</v>
      </c>
      <c r="AM207" s="220" t="str">
        <f t="shared" si="191"/>
        <v/>
      </c>
      <c r="AN207" s="220"/>
      <c r="AO207" s="220">
        <f t="shared" si="179"/>
        <v>0</v>
      </c>
      <c r="AP207" s="220">
        <f t="shared" si="180"/>
        <v>-10</v>
      </c>
      <c r="AR207" s="219">
        <v>45085.0</v>
      </c>
      <c r="AS207" s="220" t="str">
        <f t="shared" si="192"/>
        <v/>
      </c>
      <c r="AT207" s="220"/>
      <c r="AU207" s="220">
        <f t="shared" si="181"/>
        <v>0</v>
      </c>
      <c r="AV207" s="220">
        <f t="shared" si="182"/>
        <v>-10</v>
      </c>
      <c r="AX207" s="219">
        <v>45085.0</v>
      </c>
      <c r="AY207" s="220" t="str">
        <f t="shared" si="193"/>
        <v/>
      </c>
      <c r="AZ207" s="220"/>
      <c r="BA207" s="220">
        <f t="shared" si="183"/>
        <v>0</v>
      </c>
      <c r="BB207" s="220">
        <f t="shared" si="184"/>
        <v>-10</v>
      </c>
    </row>
    <row r="208" ht="14.25" customHeight="1">
      <c r="A208" s="218"/>
      <c r="B208" s="219">
        <v>45086.0</v>
      </c>
      <c r="C208" s="220" t="str">
        <f t="shared" si="185"/>
        <v/>
      </c>
      <c r="D208" s="220"/>
      <c r="E208" s="220">
        <f t="shared" si="167"/>
        <v>0</v>
      </c>
      <c r="F208" s="220">
        <f t="shared" si="168"/>
        <v>-10</v>
      </c>
      <c r="H208" s="219">
        <v>45086.0</v>
      </c>
      <c r="I208" s="220" t="str">
        <f t="shared" si="186"/>
        <v/>
      </c>
      <c r="J208" s="220"/>
      <c r="K208" s="220">
        <f t="shared" si="169"/>
        <v>0</v>
      </c>
      <c r="L208" s="220">
        <f t="shared" si="170"/>
        <v>-10</v>
      </c>
      <c r="N208" s="219">
        <v>45086.0</v>
      </c>
      <c r="O208" s="220" t="str">
        <f t="shared" si="187"/>
        <v/>
      </c>
      <c r="P208" s="220"/>
      <c r="Q208" s="220">
        <f t="shared" si="171"/>
        <v>0</v>
      </c>
      <c r="R208" s="220">
        <f t="shared" si="172"/>
        <v>-10</v>
      </c>
      <c r="T208" s="219">
        <v>45086.0</v>
      </c>
      <c r="U208" s="220" t="str">
        <f t="shared" si="188"/>
        <v/>
      </c>
      <c r="V208" s="220"/>
      <c r="W208" s="220">
        <f t="shared" si="173"/>
        <v>0</v>
      </c>
      <c r="X208" s="220">
        <f t="shared" si="174"/>
        <v>-10</v>
      </c>
      <c r="Z208" s="219">
        <v>45086.0</v>
      </c>
      <c r="AA208" s="220" t="str">
        <f t="shared" si="189"/>
        <v/>
      </c>
      <c r="AB208" s="220"/>
      <c r="AC208" s="220">
        <f t="shared" si="175"/>
        <v>0</v>
      </c>
      <c r="AD208" s="220">
        <f t="shared" si="176"/>
        <v>-10</v>
      </c>
      <c r="AF208" s="219">
        <v>45086.0</v>
      </c>
      <c r="AG208" s="220" t="str">
        <f t="shared" si="190"/>
        <v/>
      </c>
      <c r="AH208" s="220"/>
      <c r="AI208" s="220">
        <f t="shared" si="177"/>
        <v>0</v>
      </c>
      <c r="AJ208" s="220">
        <f t="shared" si="178"/>
        <v>-10</v>
      </c>
      <c r="AL208" s="219">
        <v>45086.0</v>
      </c>
      <c r="AM208" s="220" t="str">
        <f t="shared" si="191"/>
        <v/>
      </c>
      <c r="AN208" s="220"/>
      <c r="AO208" s="220">
        <f t="shared" si="179"/>
        <v>0</v>
      </c>
      <c r="AP208" s="220">
        <f t="shared" si="180"/>
        <v>-10</v>
      </c>
      <c r="AR208" s="219">
        <v>45086.0</v>
      </c>
      <c r="AS208" s="220" t="str">
        <f t="shared" si="192"/>
        <v/>
      </c>
      <c r="AT208" s="220"/>
      <c r="AU208" s="220">
        <f t="shared" si="181"/>
        <v>0</v>
      </c>
      <c r="AV208" s="220">
        <f t="shared" si="182"/>
        <v>-10</v>
      </c>
      <c r="AX208" s="219">
        <v>45086.0</v>
      </c>
      <c r="AY208" s="220" t="str">
        <f t="shared" si="193"/>
        <v/>
      </c>
      <c r="AZ208" s="220"/>
      <c r="BA208" s="220">
        <f t="shared" si="183"/>
        <v>0</v>
      </c>
      <c r="BB208" s="220">
        <f t="shared" si="184"/>
        <v>-10</v>
      </c>
    </row>
    <row r="209" ht="14.25" customHeight="1">
      <c r="A209" s="218"/>
      <c r="B209" s="219">
        <v>45087.0</v>
      </c>
      <c r="C209" s="220" t="str">
        <f t="shared" si="185"/>
        <v/>
      </c>
      <c r="D209" s="220"/>
      <c r="E209" s="220">
        <f t="shared" si="167"/>
        <v>0</v>
      </c>
      <c r="F209" s="220">
        <f t="shared" si="168"/>
        <v>-10</v>
      </c>
      <c r="G209" s="221"/>
      <c r="H209" s="219">
        <v>45087.0</v>
      </c>
      <c r="I209" s="220" t="str">
        <f t="shared" si="186"/>
        <v/>
      </c>
      <c r="J209" s="220"/>
      <c r="K209" s="220">
        <f t="shared" si="169"/>
        <v>0</v>
      </c>
      <c r="L209" s="220">
        <f t="shared" si="170"/>
        <v>-10</v>
      </c>
      <c r="M209" s="221"/>
      <c r="N209" s="219">
        <v>45087.0</v>
      </c>
      <c r="O209" s="220" t="str">
        <f t="shared" si="187"/>
        <v/>
      </c>
      <c r="P209" s="220"/>
      <c r="Q209" s="220">
        <f t="shared" si="171"/>
        <v>0</v>
      </c>
      <c r="R209" s="220">
        <f t="shared" si="172"/>
        <v>-10</v>
      </c>
      <c r="S209" s="221"/>
      <c r="T209" s="219">
        <v>45087.0</v>
      </c>
      <c r="U209" s="220" t="str">
        <f t="shared" si="188"/>
        <v/>
      </c>
      <c r="V209" s="220"/>
      <c r="W209" s="220">
        <f t="shared" si="173"/>
        <v>0</v>
      </c>
      <c r="X209" s="220">
        <f t="shared" si="174"/>
        <v>-10</v>
      </c>
      <c r="Y209" s="221"/>
      <c r="Z209" s="219">
        <v>45087.0</v>
      </c>
      <c r="AA209" s="220" t="str">
        <f t="shared" si="189"/>
        <v/>
      </c>
      <c r="AB209" s="220"/>
      <c r="AC209" s="220">
        <f t="shared" si="175"/>
        <v>0</v>
      </c>
      <c r="AD209" s="220">
        <f t="shared" si="176"/>
        <v>-10</v>
      </c>
      <c r="AE209" s="221"/>
      <c r="AF209" s="219">
        <v>45087.0</v>
      </c>
      <c r="AG209" s="220" t="str">
        <f t="shared" si="190"/>
        <v/>
      </c>
      <c r="AH209" s="220"/>
      <c r="AI209" s="220">
        <f t="shared" si="177"/>
        <v>0</v>
      </c>
      <c r="AJ209" s="220">
        <f t="shared" si="178"/>
        <v>-10</v>
      </c>
      <c r="AK209" s="221"/>
      <c r="AL209" s="219">
        <v>45087.0</v>
      </c>
      <c r="AM209" s="220" t="str">
        <f t="shared" si="191"/>
        <v/>
      </c>
      <c r="AN209" s="220"/>
      <c r="AO209" s="220">
        <f t="shared" si="179"/>
        <v>0</v>
      </c>
      <c r="AP209" s="220">
        <f t="shared" si="180"/>
        <v>-10</v>
      </c>
      <c r="AQ209" s="221"/>
      <c r="AR209" s="219">
        <v>45087.0</v>
      </c>
      <c r="AS209" s="220" t="str">
        <f t="shared" si="192"/>
        <v/>
      </c>
      <c r="AT209" s="220"/>
      <c r="AU209" s="220">
        <f t="shared" si="181"/>
        <v>0</v>
      </c>
      <c r="AV209" s="220">
        <f t="shared" si="182"/>
        <v>-10</v>
      </c>
      <c r="AW209" s="221"/>
      <c r="AX209" s="219">
        <v>45087.0</v>
      </c>
      <c r="AY209" s="220" t="str">
        <f t="shared" si="193"/>
        <v/>
      </c>
      <c r="AZ209" s="220"/>
      <c r="BA209" s="220">
        <f t="shared" si="183"/>
        <v>0</v>
      </c>
      <c r="BB209" s="220">
        <f t="shared" si="184"/>
        <v>-10</v>
      </c>
    </row>
    <row r="210" ht="14.25" customHeight="1">
      <c r="A210" s="218"/>
      <c r="B210" s="219">
        <v>45088.0</v>
      </c>
      <c r="C210" s="220" t="str">
        <f t="shared" si="185"/>
        <v/>
      </c>
      <c r="D210" s="220"/>
      <c r="E210" s="220">
        <f t="shared" si="167"/>
        <v>0</v>
      </c>
      <c r="F210" s="220">
        <f t="shared" si="168"/>
        <v>-10</v>
      </c>
      <c r="G210" s="221"/>
      <c r="H210" s="219">
        <v>45088.0</v>
      </c>
      <c r="I210" s="220" t="str">
        <f t="shared" si="186"/>
        <v/>
      </c>
      <c r="J210" s="220"/>
      <c r="K210" s="220">
        <f t="shared" si="169"/>
        <v>0</v>
      </c>
      <c r="L210" s="220">
        <f t="shared" si="170"/>
        <v>-10</v>
      </c>
      <c r="M210" s="221"/>
      <c r="N210" s="219">
        <v>45088.0</v>
      </c>
      <c r="O210" s="220" t="str">
        <f t="shared" si="187"/>
        <v/>
      </c>
      <c r="P210" s="220"/>
      <c r="Q210" s="220">
        <f t="shared" si="171"/>
        <v>0</v>
      </c>
      <c r="R210" s="220">
        <f t="shared" si="172"/>
        <v>-10</v>
      </c>
      <c r="S210" s="221"/>
      <c r="T210" s="219">
        <v>45088.0</v>
      </c>
      <c r="U210" s="220" t="str">
        <f t="shared" si="188"/>
        <v/>
      </c>
      <c r="V210" s="220"/>
      <c r="W210" s="220">
        <f t="shared" si="173"/>
        <v>0</v>
      </c>
      <c r="X210" s="220">
        <f t="shared" si="174"/>
        <v>-10</v>
      </c>
      <c r="Y210" s="221"/>
      <c r="Z210" s="219">
        <v>45088.0</v>
      </c>
      <c r="AA210" s="220" t="str">
        <f t="shared" si="189"/>
        <v/>
      </c>
      <c r="AB210" s="220"/>
      <c r="AC210" s="220">
        <f t="shared" si="175"/>
        <v>0</v>
      </c>
      <c r="AD210" s="220">
        <f t="shared" si="176"/>
        <v>-10</v>
      </c>
      <c r="AE210" s="221"/>
      <c r="AF210" s="219">
        <v>45088.0</v>
      </c>
      <c r="AG210" s="220" t="str">
        <f t="shared" si="190"/>
        <v/>
      </c>
      <c r="AH210" s="220"/>
      <c r="AI210" s="220">
        <f t="shared" si="177"/>
        <v>0</v>
      </c>
      <c r="AJ210" s="220">
        <f t="shared" si="178"/>
        <v>-10</v>
      </c>
      <c r="AK210" s="221"/>
      <c r="AL210" s="219">
        <v>45088.0</v>
      </c>
      <c r="AM210" s="220" t="str">
        <f t="shared" si="191"/>
        <v/>
      </c>
      <c r="AN210" s="220"/>
      <c r="AO210" s="220">
        <f t="shared" si="179"/>
        <v>0</v>
      </c>
      <c r="AP210" s="220">
        <f t="shared" si="180"/>
        <v>-10</v>
      </c>
      <c r="AQ210" s="221"/>
      <c r="AR210" s="219">
        <v>45088.0</v>
      </c>
      <c r="AS210" s="220" t="str">
        <f t="shared" si="192"/>
        <v/>
      </c>
      <c r="AT210" s="220"/>
      <c r="AU210" s="220">
        <f t="shared" si="181"/>
        <v>0</v>
      </c>
      <c r="AV210" s="220">
        <f t="shared" si="182"/>
        <v>-10</v>
      </c>
      <c r="AW210" s="221"/>
      <c r="AX210" s="219">
        <v>45088.0</v>
      </c>
      <c r="AY210" s="220" t="str">
        <f t="shared" si="193"/>
        <v/>
      </c>
      <c r="AZ210" s="220"/>
      <c r="BA210" s="220">
        <f t="shared" si="183"/>
        <v>0</v>
      </c>
      <c r="BB210" s="220">
        <f t="shared" si="184"/>
        <v>-10</v>
      </c>
    </row>
    <row r="211" ht="14.25" customHeight="1">
      <c r="A211" s="218"/>
      <c r="B211" s="219">
        <v>45089.0</v>
      </c>
      <c r="C211" s="220" t="str">
        <f t="shared" si="185"/>
        <v/>
      </c>
      <c r="D211" s="220"/>
      <c r="E211" s="220">
        <f t="shared" si="167"/>
        <v>0</v>
      </c>
      <c r="F211" s="220">
        <f t="shared" si="168"/>
        <v>-10</v>
      </c>
      <c r="H211" s="219">
        <v>45089.0</v>
      </c>
      <c r="I211" s="220" t="str">
        <f t="shared" si="186"/>
        <v/>
      </c>
      <c r="J211" s="220"/>
      <c r="K211" s="220">
        <f t="shared" si="169"/>
        <v>0</v>
      </c>
      <c r="L211" s="220">
        <f t="shared" si="170"/>
        <v>-10</v>
      </c>
      <c r="N211" s="219">
        <v>45089.0</v>
      </c>
      <c r="O211" s="220" t="str">
        <f t="shared" si="187"/>
        <v/>
      </c>
      <c r="P211" s="220"/>
      <c r="Q211" s="220">
        <f t="shared" si="171"/>
        <v>0</v>
      </c>
      <c r="R211" s="220">
        <f t="shared" si="172"/>
        <v>-10</v>
      </c>
      <c r="T211" s="219">
        <v>45089.0</v>
      </c>
      <c r="U211" s="220" t="str">
        <f t="shared" si="188"/>
        <v/>
      </c>
      <c r="V211" s="220"/>
      <c r="W211" s="220">
        <f t="shared" si="173"/>
        <v>0</v>
      </c>
      <c r="X211" s="220">
        <f t="shared" si="174"/>
        <v>-10</v>
      </c>
      <c r="Z211" s="219">
        <v>45089.0</v>
      </c>
      <c r="AA211" s="220" t="str">
        <f t="shared" si="189"/>
        <v/>
      </c>
      <c r="AB211" s="220"/>
      <c r="AC211" s="220">
        <f t="shared" si="175"/>
        <v>0</v>
      </c>
      <c r="AD211" s="220">
        <f t="shared" si="176"/>
        <v>-10</v>
      </c>
      <c r="AF211" s="219">
        <v>45089.0</v>
      </c>
      <c r="AG211" s="220" t="str">
        <f t="shared" si="190"/>
        <v/>
      </c>
      <c r="AH211" s="220"/>
      <c r="AI211" s="220">
        <f t="shared" si="177"/>
        <v>0</v>
      </c>
      <c r="AJ211" s="220">
        <f t="shared" si="178"/>
        <v>-10</v>
      </c>
      <c r="AL211" s="219">
        <v>45089.0</v>
      </c>
      <c r="AM211" s="220" t="str">
        <f t="shared" si="191"/>
        <v/>
      </c>
      <c r="AN211" s="220"/>
      <c r="AO211" s="220">
        <f t="shared" si="179"/>
        <v>0</v>
      </c>
      <c r="AP211" s="220">
        <f t="shared" si="180"/>
        <v>-10</v>
      </c>
      <c r="AR211" s="219">
        <v>45089.0</v>
      </c>
      <c r="AS211" s="220" t="str">
        <f t="shared" si="192"/>
        <v/>
      </c>
      <c r="AT211" s="220"/>
      <c r="AU211" s="220">
        <f t="shared" si="181"/>
        <v>0</v>
      </c>
      <c r="AV211" s="220">
        <f t="shared" si="182"/>
        <v>-10</v>
      </c>
      <c r="AX211" s="219">
        <v>45089.0</v>
      </c>
      <c r="AY211" s="220" t="str">
        <f t="shared" si="193"/>
        <v/>
      </c>
      <c r="AZ211" s="220"/>
      <c r="BA211" s="220">
        <f t="shared" si="183"/>
        <v>0</v>
      </c>
      <c r="BB211" s="220">
        <f t="shared" si="184"/>
        <v>-10</v>
      </c>
    </row>
    <row r="212" ht="14.25" customHeight="1">
      <c r="A212" s="218"/>
      <c r="B212" s="219">
        <v>45090.0</v>
      </c>
      <c r="C212" s="220" t="str">
        <f t="shared" si="185"/>
        <v/>
      </c>
      <c r="D212" s="220"/>
      <c r="E212" s="220">
        <f t="shared" si="167"/>
        <v>0</v>
      </c>
      <c r="F212" s="220">
        <f t="shared" si="168"/>
        <v>-10</v>
      </c>
      <c r="H212" s="219">
        <v>45090.0</v>
      </c>
      <c r="I212" s="220" t="str">
        <f t="shared" si="186"/>
        <v/>
      </c>
      <c r="J212" s="220"/>
      <c r="K212" s="220">
        <f t="shared" si="169"/>
        <v>0</v>
      </c>
      <c r="L212" s="220">
        <f t="shared" si="170"/>
        <v>-10</v>
      </c>
      <c r="N212" s="219">
        <v>45090.0</v>
      </c>
      <c r="O212" s="220" t="str">
        <f t="shared" si="187"/>
        <v/>
      </c>
      <c r="P212" s="220"/>
      <c r="Q212" s="220">
        <f t="shared" si="171"/>
        <v>0</v>
      </c>
      <c r="R212" s="220">
        <f t="shared" si="172"/>
        <v>-10</v>
      </c>
      <c r="T212" s="219">
        <v>45090.0</v>
      </c>
      <c r="U212" s="220" t="str">
        <f t="shared" si="188"/>
        <v/>
      </c>
      <c r="V212" s="220"/>
      <c r="W212" s="220">
        <f t="shared" si="173"/>
        <v>0</v>
      </c>
      <c r="X212" s="220">
        <f t="shared" si="174"/>
        <v>-10</v>
      </c>
      <c r="Z212" s="219">
        <v>45090.0</v>
      </c>
      <c r="AA212" s="220" t="str">
        <f t="shared" si="189"/>
        <v/>
      </c>
      <c r="AB212" s="220"/>
      <c r="AC212" s="220">
        <f t="shared" si="175"/>
        <v>0</v>
      </c>
      <c r="AD212" s="220">
        <f t="shared" si="176"/>
        <v>-10</v>
      </c>
      <c r="AF212" s="219">
        <v>45090.0</v>
      </c>
      <c r="AG212" s="220" t="str">
        <f t="shared" si="190"/>
        <v/>
      </c>
      <c r="AH212" s="220"/>
      <c r="AI212" s="220">
        <f t="shared" si="177"/>
        <v>0</v>
      </c>
      <c r="AJ212" s="220">
        <f t="shared" si="178"/>
        <v>-10</v>
      </c>
      <c r="AL212" s="219">
        <v>45090.0</v>
      </c>
      <c r="AM212" s="220" t="str">
        <f t="shared" si="191"/>
        <v/>
      </c>
      <c r="AN212" s="220"/>
      <c r="AO212" s="220">
        <f t="shared" si="179"/>
        <v>0</v>
      </c>
      <c r="AP212" s="220">
        <f t="shared" si="180"/>
        <v>-10</v>
      </c>
      <c r="AR212" s="219">
        <v>45090.0</v>
      </c>
      <c r="AS212" s="220" t="str">
        <f t="shared" si="192"/>
        <v/>
      </c>
      <c r="AT212" s="220"/>
      <c r="AU212" s="220">
        <f t="shared" si="181"/>
        <v>0</v>
      </c>
      <c r="AV212" s="220">
        <f t="shared" si="182"/>
        <v>-10</v>
      </c>
      <c r="AX212" s="219">
        <v>45090.0</v>
      </c>
      <c r="AY212" s="220" t="str">
        <f t="shared" si="193"/>
        <v/>
      </c>
      <c r="AZ212" s="220"/>
      <c r="BA212" s="220">
        <f t="shared" si="183"/>
        <v>0</v>
      </c>
      <c r="BB212" s="220">
        <f t="shared" si="184"/>
        <v>-10</v>
      </c>
    </row>
    <row r="213" ht="14.25" customHeight="1">
      <c r="A213" s="218"/>
      <c r="B213" s="219">
        <v>45091.0</v>
      </c>
      <c r="C213" s="220" t="str">
        <f t="shared" si="185"/>
        <v/>
      </c>
      <c r="D213" s="220"/>
      <c r="E213" s="220">
        <f t="shared" si="167"/>
        <v>0</v>
      </c>
      <c r="F213" s="220">
        <f t="shared" si="168"/>
        <v>-10</v>
      </c>
      <c r="H213" s="219">
        <v>45091.0</v>
      </c>
      <c r="I213" s="220" t="str">
        <f t="shared" si="186"/>
        <v/>
      </c>
      <c r="J213" s="220"/>
      <c r="K213" s="220">
        <f t="shared" si="169"/>
        <v>0</v>
      </c>
      <c r="L213" s="220">
        <f t="shared" si="170"/>
        <v>-10</v>
      </c>
      <c r="N213" s="219">
        <v>45091.0</v>
      </c>
      <c r="O213" s="220" t="str">
        <f t="shared" si="187"/>
        <v/>
      </c>
      <c r="P213" s="220"/>
      <c r="Q213" s="220">
        <f t="shared" si="171"/>
        <v>0</v>
      </c>
      <c r="R213" s="220">
        <f t="shared" si="172"/>
        <v>-10</v>
      </c>
      <c r="T213" s="219">
        <v>45091.0</v>
      </c>
      <c r="U213" s="220" t="str">
        <f t="shared" si="188"/>
        <v/>
      </c>
      <c r="V213" s="220"/>
      <c r="W213" s="220">
        <f t="shared" si="173"/>
        <v>0</v>
      </c>
      <c r="X213" s="220">
        <f t="shared" si="174"/>
        <v>-10</v>
      </c>
      <c r="Z213" s="219">
        <v>45091.0</v>
      </c>
      <c r="AA213" s="220" t="str">
        <f t="shared" si="189"/>
        <v/>
      </c>
      <c r="AB213" s="220"/>
      <c r="AC213" s="220">
        <f t="shared" si="175"/>
        <v>0</v>
      </c>
      <c r="AD213" s="220">
        <f t="shared" si="176"/>
        <v>-10</v>
      </c>
      <c r="AF213" s="219">
        <v>45091.0</v>
      </c>
      <c r="AG213" s="220" t="str">
        <f t="shared" si="190"/>
        <v/>
      </c>
      <c r="AH213" s="220"/>
      <c r="AI213" s="220">
        <f t="shared" si="177"/>
        <v>0</v>
      </c>
      <c r="AJ213" s="220">
        <f t="shared" si="178"/>
        <v>-10</v>
      </c>
      <c r="AL213" s="219">
        <v>45091.0</v>
      </c>
      <c r="AM213" s="220" t="str">
        <f t="shared" si="191"/>
        <v/>
      </c>
      <c r="AN213" s="220"/>
      <c r="AO213" s="220">
        <f t="shared" si="179"/>
        <v>0</v>
      </c>
      <c r="AP213" s="220">
        <f t="shared" si="180"/>
        <v>-10</v>
      </c>
      <c r="AR213" s="219">
        <v>45091.0</v>
      </c>
      <c r="AS213" s="220" t="str">
        <f t="shared" si="192"/>
        <v/>
      </c>
      <c r="AT213" s="220"/>
      <c r="AU213" s="220">
        <f t="shared" si="181"/>
        <v>0</v>
      </c>
      <c r="AV213" s="220">
        <f t="shared" si="182"/>
        <v>-10</v>
      </c>
      <c r="AX213" s="219">
        <v>45091.0</v>
      </c>
      <c r="AY213" s="220" t="str">
        <f t="shared" si="193"/>
        <v/>
      </c>
      <c r="AZ213" s="220"/>
      <c r="BA213" s="220">
        <f t="shared" si="183"/>
        <v>0</v>
      </c>
      <c r="BB213" s="220">
        <f t="shared" si="184"/>
        <v>-10</v>
      </c>
    </row>
    <row r="214" ht="14.25" customHeight="1">
      <c r="A214" s="218"/>
      <c r="B214" s="219">
        <v>45092.0</v>
      </c>
      <c r="C214" s="220" t="str">
        <f t="shared" si="185"/>
        <v/>
      </c>
      <c r="D214" s="220"/>
      <c r="E214" s="220">
        <f t="shared" si="167"/>
        <v>0</v>
      </c>
      <c r="F214" s="220">
        <f t="shared" si="168"/>
        <v>-10</v>
      </c>
      <c r="H214" s="219">
        <v>45092.0</v>
      </c>
      <c r="I214" s="220" t="str">
        <f t="shared" si="186"/>
        <v/>
      </c>
      <c r="J214" s="220"/>
      <c r="K214" s="220">
        <f t="shared" si="169"/>
        <v>0</v>
      </c>
      <c r="L214" s="220">
        <f t="shared" si="170"/>
        <v>-10</v>
      </c>
      <c r="N214" s="219">
        <v>45092.0</v>
      </c>
      <c r="O214" s="220" t="str">
        <f t="shared" si="187"/>
        <v/>
      </c>
      <c r="P214" s="220"/>
      <c r="Q214" s="220">
        <f t="shared" si="171"/>
        <v>0</v>
      </c>
      <c r="R214" s="220">
        <f t="shared" si="172"/>
        <v>-10</v>
      </c>
      <c r="T214" s="219">
        <v>45092.0</v>
      </c>
      <c r="U214" s="220" t="str">
        <f t="shared" si="188"/>
        <v/>
      </c>
      <c r="V214" s="220"/>
      <c r="W214" s="220">
        <f t="shared" si="173"/>
        <v>0</v>
      </c>
      <c r="X214" s="220">
        <f t="shared" si="174"/>
        <v>-10</v>
      </c>
      <c r="Z214" s="219">
        <v>45092.0</v>
      </c>
      <c r="AA214" s="220" t="str">
        <f t="shared" si="189"/>
        <v/>
      </c>
      <c r="AB214" s="220"/>
      <c r="AC214" s="220">
        <f t="shared" si="175"/>
        <v>0</v>
      </c>
      <c r="AD214" s="220">
        <f t="shared" si="176"/>
        <v>-10</v>
      </c>
      <c r="AF214" s="219">
        <v>45092.0</v>
      </c>
      <c r="AG214" s="220" t="str">
        <f t="shared" si="190"/>
        <v/>
      </c>
      <c r="AH214" s="220"/>
      <c r="AI214" s="220">
        <f t="shared" si="177"/>
        <v>0</v>
      </c>
      <c r="AJ214" s="220">
        <f t="shared" si="178"/>
        <v>-10</v>
      </c>
      <c r="AL214" s="219">
        <v>45092.0</v>
      </c>
      <c r="AM214" s="220" t="str">
        <f t="shared" si="191"/>
        <v/>
      </c>
      <c r="AN214" s="220"/>
      <c r="AO214" s="220">
        <f t="shared" si="179"/>
        <v>0</v>
      </c>
      <c r="AP214" s="220">
        <f t="shared" si="180"/>
        <v>-10</v>
      </c>
      <c r="AR214" s="219">
        <v>45092.0</v>
      </c>
      <c r="AS214" s="220" t="str">
        <f t="shared" si="192"/>
        <v/>
      </c>
      <c r="AT214" s="220"/>
      <c r="AU214" s="220">
        <f t="shared" si="181"/>
        <v>0</v>
      </c>
      <c r="AV214" s="220">
        <f t="shared" si="182"/>
        <v>-10</v>
      </c>
      <c r="AX214" s="219">
        <v>45092.0</v>
      </c>
      <c r="AY214" s="220" t="str">
        <f t="shared" si="193"/>
        <v/>
      </c>
      <c r="AZ214" s="220"/>
      <c r="BA214" s="220">
        <f t="shared" si="183"/>
        <v>0</v>
      </c>
      <c r="BB214" s="220">
        <f t="shared" si="184"/>
        <v>-10</v>
      </c>
    </row>
    <row r="215" ht="14.25" customHeight="1">
      <c r="A215" s="218"/>
      <c r="B215" s="219">
        <v>45093.0</v>
      </c>
      <c r="C215" s="220" t="str">
        <f t="shared" si="185"/>
        <v/>
      </c>
      <c r="D215" s="220"/>
      <c r="E215" s="220">
        <f t="shared" si="167"/>
        <v>0</v>
      </c>
      <c r="F215" s="220">
        <f t="shared" si="168"/>
        <v>-10</v>
      </c>
      <c r="H215" s="219">
        <v>45093.0</v>
      </c>
      <c r="I215" s="220" t="str">
        <f t="shared" si="186"/>
        <v/>
      </c>
      <c r="J215" s="220"/>
      <c r="K215" s="220">
        <f t="shared" si="169"/>
        <v>0</v>
      </c>
      <c r="L215" s="220">
        <f t="shared" si="170"/>
        <v>-10</v>
      </c>
      <c r="N215" s="219">
        <v>45093.0</v>
      </c>
      <c r="O215" s="220" t="str">
        <f t="shared" si="187"/>
        <v/>
      </c>
      <c r="P215" s="220"/>
      <c r="Q215" s="220">
        <f t="shared" si="171"/>
        <v>0</v>
      </c>
      <c r="R215" s="220">
        <f t="shared" si="172"/>
        <v>-10</v>
      </c>
      <c r="T215" s="219">
        <v>45093.0</v>
      </c>
      <c r="U215" s="220" t="str">
        <f t="shared" si="188"/>
        <v/>
      </c>
      <c r="V215" s="220"/>
      <c r="W215" s="220">
        <f t="shared" si="173"/>
        <v>0</v>
      </c>
      <c r="X215" s="220">
        <f t="shared" si="174"/>
        <v>-10</v>
      </c>
      <c r="Z215" s="219">
        <v>45093.0</v>
      </c>
      <c r="AA215" s="220" t="str">
        <f t="shared" si="189"/>
        <v/>
      </c>
      <c r="AB215" s="220"/>
      <c r="AC215" s="220">
        <f t="shared" si="175"/>
        <v>0</v>
      </c>
      <c r="AD215" s="220">
        <f t="shared" si="176"/>
        <v>-10</v>
      </c>
      <c r="AF215" s="219">
        <v>45093.0</v>
      </c>
      <c r="AG215" s="220" t="str">
        <f t="shared" si="190"/>
        <v/>
      </c>
      <c r="AH215" s="220"/>
      <c r="AI215" s="220">
        <f t="shared" si="177"/>
        <v>0</v>
      </c>
      <c r="AJ215" s="220">
        <f t="shared" si="178"/>
        <v>-10</v>
      </c>
      <c r="AL215" s="219">
        <v>45093.0</v>
      </c>
      <c r="AM215" s="220" t="str">
        <f t="shared" si="191"/>
        <v/>
      </c>
      <c r="AN215" s="220"/>
      <c r="AO215" s="220">
        <f t="shared" si="179"/>
        <v>0</v>
      </c>
      <c r="AP215" s="220">
        <f t="shared" si="180"/>
        <v>-10</v>
      </c>
      <c r="AR215" s="219">
        <v>45093.0</v>
      </c>
      <c r="AS215" s="220" t="str">
        <f t="shared" si="192"/>
        <v/>
      </c>
      <c r="AT215" s="220"/>
      <c r="AU215" s="220">
        <f t="shared" si="181"/>
        <v>0</v>
      </c>
      <c r="AV215" s="220">
        <f t="shared" si="182"/>
        <v>-10</v>
      </c>
      <c r="AX215" s="219">
        <v>45093.0</v>
      </c>
      <c r="AY215" s="220" t="str">
        <f t="shared" si="193"/>
        <v/>
      </c>
      <c r="AZ215" s="220"/>
      <c r="BA215" s="220">
        <f t="shared" si="183"/>
        <v>0</v>
      </c>
      <c r="BB215" s="220">
        <f t="shared" si="184"/>
        <v>-10</v>
      </c>
    </row>
    <row r="216" ht="14.25" customHeight="1">
      <c r="A216" s="218"/>
      <c r="B216" s="219">
        <v>45094.0</v>
      </c>
      <c r="C216" s="220" t="str">
        <f t="shared" si="185"/>
        <v/>
      </c>
      <c r="D216" s="220"/>
      <c r="E216" s="220">
        <f t="shared" si="167"/>
        <v>0</v>
      </c>
      <c r="F216" s="220">
        <f t="shared" si="168"/>
        <v>-10</v>
      </c>
      <c r="G216" s="221"/>
      <c r="H216" s="219">
        <v>45094.0</v>
      </c>
      <c r="I216" s="220" t="str">
        <f t="shared" si="186"/>
        <v/>
      </c>
      <c r="J216" s="220"/>
      <c r="K216" s="220">
        <f t="shared" si="169"/>
        <v>0</v>
      </c>
      <c r="L216" s="220">
        <f t="shared" si="170"/>
        <v>-10</v>
      </c>
      <c r="M216" s="221"/>
      <c r="N216" s="219">
        <v>45094.0</v>
      </c>
      <c r="O216" s="220" t="str">
        <f t="shared" si="187"/>
        <v/>
      </c>
      <c r="P216" s="220"/>
      <c r="Q216" s="220">
        <f t="shared" si="171"/>
        <v>0</v>
      </c>
      <c r="R216" s="220">
        <f t="shared" si="172"/>
        <v>-10</v>
      </c>
      <c r="S216" s="221"/>
      <c r="T216" s="219">
        <v>45094.0</v>
      </c>
      <c r="U216" s="220" t="str">
        <f t="shared" si="188"/>
        <v/>
      </c>
      <c r="V216" s="220"/>
      <c r="W216" s="220">
        <f t="shared" si="173"/>
        <v>0</v>
      </c>
      <c r="X216" s="220">
        <f t="shared" si="174"/>
        <v>-10</v>
      </c>
      <c r="Y216" s="221"/>
      <c r="Z216" s="219">
        <v>45094.0</v>
      </c>
      <c r="AA216" s="220" t="str">
        <f t="shared" si="189"/>
        <v/>
      </c>
      <c r="AB216" s="220"/>
      <c r="AC216" s="220">
        <f t="shared" si="175"/>
        <v>0</v>
      </c>
      <c r="AD216" s="220">
        <f t="shared" si="176"/>
        <v>-10</v>
      </c>
      <c r="AE216" s="221"/>
      <c r="AF216" s="219">
        <v>45094.0</v>
      </c>
      <c r="AG216" s="220" t="str">
        <f t="shared" si="190"/>
        <v/>
      </c>
      <c r="AH216" s="220"/>
      <c r="AI216" s="220">
        <f t="shared" si="177"/>
        <v>0</v>
      </c>
      <c r="AJ216" s="220">
        <f t="shared" si="178"/>
        <v>-10</v>
      </c>
      <c r="AK216" s="221"/>
      <c r="AL216" s="219">
        <v>45094.0</v>
      </c>
      <c r="AM216" s="220" t="str">
        <f t="shared" si="191"/>
        <v/>
      </c>
      <c r="AN216" s="220"/>
      <c r="AO216" s="220">
        <f t="shared" si="179"/>
        <v>0</v>
      </c>
      <c r="AP216" s="220">
        <f t="shared" si="180"/>
        <v>-10</v>
      </c>
      <c r="AQ216" s="221"/>
      <c r="AR216" s="219">
        <v>45094.0</v>
      </c>
      <c r="AS216" s="220" t="str">
        <f t="shared" si="192"/>
        <v/>
      </c>
      <c r="AT216" s="220"/>
      <c r="AU216" s="220">
        <f t="shared" si="181"/>
        <v>0</v>
      </c>
      <c r="AV216" s="220">
        <f t="shared" si="182"/>
        <v>-10</v>
      </c>
      <c r="AW216" s="221"/>
      <c r="AX216" s="219">
        <v>45094.0</v>
      </c>
      <c r="AY216" s="220" t="str">
        <f t="shared" si="193"/>
        <v/>
      </c>
      <c r="AZ216" s="220"/>
      <c r="BA216" s="220">
        <f t="shared" si="183"/>
        <v>0</v>
      </c>
      <c r="BB216" s="220">
        <f t="shared" si="184"/>
        <v>-10</v>
      </c>
    </row>
    <row r="217" ht="14.25" customHeight="1">
      <c r="A217" s="218"/>
      <c r="B217" s="219">
        <v>45095.0</v>
      </c>
      <c r="C217" s="220" t="str">
        <f t="shared" si="185"/>
        <v/>
      </c>
      <c r="D217" s="220"/>
      <c r="E217" s="220">
        <f t="shared" si="167"/>
        <v>0</v>
      </c>
      <c r="F217" s="220">
        <f t="shared" si="168"/>
        <v>-10</v>
      </c>
      <c r="G217" s="221"/>
      <c r="H217" s="219">
        <v>45095.0</v>
      </c>
      <c r="I217" s="220" t="str">
        <f t="shared" si="186"/>
        <v/>
      </c>
      <c r="J217" s="220"/>
      <c r="K217" s="220">
        <f t="shared" si="169"/>
        <v>0</v>
      </c>
      <c r="L217" s="220">
        <f t="shared" si="170"/>
        <v>-10</v>
      </c>
      <c r="M217" s="221"/>
      <c r="N217" s="219">
        <v>45095.0</v>
      </c>
      <c r="O217" s="220" t="str">
        <f t="shared" si="187"/>
        <v/>
      </c>
      <c r="P217" s="220"/>
      <c r="Q217" s="220">
        <f t="shared" si="171"/>
        <v>0</v>
      </c>
      <c r="R217" s="220">
        <f t="shared" si="172"/>
        <v>-10</v>
      </c>
      <c r="S217" s="221"/>
      <c r="T217" s="219">
        <v>45095.0</v>
      </c>
      <c r="U217" s="220" t="str">
        <f t="shared" si="188"/>
        <v/>
      </c>
      <c r="V217" s="220"/>
      <c r="W217" s="220">
        <f t="shared" si="173"/>
        <v>0</v>
      </c>
      <c r="X217" s="220">
        <f t="shared" si="174"/>
        <v>-10</v>
      </c>
      <c r="Y217" s="221"/>
      <c r="Z217" s="219">
        <v>45095.0</v>
      </c>
      <c r="AA217" s="220" t="str">
        <f t="shared" si="189"/>
        <v/>
      </c>
      <c r="AB217" s="220"/>
      <c r="AC217" s="220">
        <f t="shared" si="175"/>
        <v>0</v>
      </c>
      <c r="AD217" s="220">
        <f t="shared" si="176"/>
        <v>-10</v>
      </c>
      <c r="AE217" s="221"/>
      <c r="AF217" s="219">
        <v>45095.0</v>
      </c>
      <c r="AG217" s="220" t="str">
        <f t="shared" si="190"/>
        <v/>
      </c>
      <c r="AH217" s="220"/>
      <c r="AI217" s="220">
        <f t="shared" si="177"/>
        <v>0</v>
      </c>
      <c r="AJ217" s="220">
        <f t="shared" si="178"/>
        <v>-10</v>
      </c>
      <c r="AK217" s="221"/>
      <c r="AL217" s="219">
        <v>45095.0</v>
      </c>
      <c r="AM217" s="220" t="str">
        <f t="shared" si="191"/>
        <v/>
      </c>
      <c r="AN217" s="220"/>
      <c r="AO217" s="220">
        <f t="shared" si="179"/>
        <v>0</v>
      </c>
      <c r="AP217" s="220">
        <f t="shared" si="180"/>
        <v>-10</v>
      </c>
      <c r="AQ217" s="221"/>
      <c r="AR217" s="219">
        <v>45095.0</v>
      </c>
      <c r="AS217" s="220" t="str">
        <f t="shared" si="192"/>
        <v/>
      </c>
      <c r="AT217" s="220"/>
      <c r="AU217" s="220">
        <f t="shared" si="181"/>
        <v>0</v>
      </c>
      <c r="AV217" s="220">
        <f t="shared" si="182"/>
        <v>-10</v>
      </c>
      <c r="AW217" s="221"/>
      <c r="AX217" s="219">
        <v>45095.0</v>
      </c>
      <c r="AY217" s="220" t="str">
        <f t="shared" si="193"/>
        <v/>
      </c>
      <c r="AZ217" s="220"/>
      <c r="BA217" s="220">
        <f t="shared" si="183"/>
        <v>0</v>
      </c>
      <c r="BB217" s="220">
        <f t="shared" si="184"/>
        <v>-10</v>
      </c>
    </row>
    <row r="218" ht="14.25" customHeight="1">
      <c r="A218" s="218"/>
      <c r="B218" s="219">
        <v>45096.0</v>
      </c>
      <c r="C218" s="220" t="str">
        <f t="shared" si="185"/>
        <v/>
      </c>
      <c r="D218" s="220"/>
      <c r="E218" s="220">
        <f t="shared" si="167"/>
        <v>0</v>
      </c>
      <c r="F218" s="220">
        <f t="shared" si="168"/>
        <v>-10</v>
      </c>
      <c r="H218" s="219">
        <v>45096.0</v>
      </c>
      <c r="I218" s="220" t="str">
        <f t="shared" si="186"/>
        <v/>
      </c>
      <c r="J218" s="220"/>
      <c r="K218" s="220">
        <f t="shared" si="169"/>
        <v>0</v>
      </c>
      <c r="L218" s="220">
        <f t="shared" si="170"/>
        <v>-10</v>
      </c>
      <c r="N218" s="219">
        <v>45096.0</v>
      </c>
      <c r="O218" s="220" t="str">
        <f t="shared" si="187"/>
        <v/>
      </c>
      <c r="P218" s="220"/>
      <c r="Q218" s="220">
        <f t="shared" si="171"/>
        <v>0</v>
      </c>
      <c r="R218" s="220">
        <f t="shared" si="172"/>
        <v>-10</v>
      </c>
      <c r="T218" s="219">
        <v>45096.0</v>
      </c>
      <c r="U218" s="220" t="str">
        <f t="shared" si="188"/>
        <v/>
      </c>
      <c r="V218" s="220"/>
      <c r="W218" s="220">
        <f t="shared" si="173"/>
        <v>0</v>
      </c>
      <c r="X218" s="220">
        <f t="shared" si="174"/>
        <v>-10</v>
      </c>
      <c r="Z218" s="219">
        <v>45096.0</v>
      </c>
      <c r="AA218" s="220" t="str">
        <f t="shared" si="189"/>
        <v/>
      </c>
      <c r="AB218" s="220"/>
      <c r="AC218" s="220">
        <f t="shared" si="175"/>
        <v>0</v>
      </c>
      <c r="AD218" s="220">
        <f t="shared" si="176"/>
        <v>-10</v>
      </c>
      <c r="AF218" s="219">
        <v>45096.0</v>
      </c>
      <c r="AG218" s="220" t="str">
        <f t="shared" si="190"/>
        <v/>
      </c>
      <c r="AH218" s="220"/>
      <c r="AI218" s="220">
        <f t="shared" si="177"/>
        <v>0</v>
      </c>
      <c r="AJ218" s="220">
        <f t="shared" si="178"/>
        <v>-10</v>
      </c>
      <c r="AL218" s="219">
        <v>45096.0</v>
      </c>
      <c r="AM218" s="220" t="str">
        <f t="shared" si="191"/>
        <v/>
      </c>
      <c r="AN218" s="220"/>
      <c r="AO218" s="220">
        <f t="shared" si="179"/>
        <v>0</v>
      </c>
      <c r="AP218" s="220">
        <f t="shared" si="180"/>
        <v>-10</v>
      </c>
      <c r="AR218" s="219">
        <v>45096.0</v>
      </c>
      <c r="AS218" s="220" t="str">
        <f t="shared" si="192"/>
        <v/>
      </c>
      <c r="AT218" s="220"/>
      <c r="AU218" s="220">
        <f t="shared" si="181"/>
        <v>0</v>
      </c>
      <c r="AV218" s="220">
        <f t="shared" si="182"/>
        <v>-10</v>
      </c>
      <c r="AX218" s="219">
        <v>45096.0</v>
      </c>
      <c r="AY218" s="220" t="str">
        <f t="shared" si="193"/>
        <v/>
      </c>
      <c r="AZ218" s="220"/>
      <c r="BA218" s="220">
        <f t="shared" si="183"/>
        <v>0</v>
      </c>
      <c r="BB218" s="220">
        <f t="shared" si="184"/>
        <v>-10</v>
      </c>
    </row>
    <row r="219" ht="14.25" customHeight="1">
      <c r="A219" s="218"/>
      <c r="B219" s="219">
        <v>45097.0</v>
      </c>
      <c r="C219" s="220" t="str">
        <f t="shared" si="185"/>
        <v/>
      </c>
      <c r="D219" s="220"/>
      <c r="E219" s="220">
        <f t="shared" si="167"/>
        <v>0</v>
      </c>
      <c r="F219" s="220">
        <f t="shared" si="168"/>
        <v>-10</v>
      </c>
      <c r="H219" s="219">
        <v>45097.0</v>
      </c>
      <c r="I219" s="220" t="str">
        <f t="shared" si="186"/>
        <v/>
      </c>
      <c r="J219" s="220"/>
      <c r="K219" s="220">
        <f t="shared" si="169"/>
        <v>0</v>
      </c>
      <c r="L219" s="220">
        <f t="shared" si="170"/>
        <v>-10</v>
      </c>
      <c r="N219" s="219">
        <v>45097.0</v>
      </c>
      <c r="O219" s="220" t="str">
        <f t="shared" si="187"/>
        <v/>
      </c>
      <c r="P219" s="220"/>
      <c r="Q219" s="220">
        <f t="shared" si="171"/>
        <v>0</v>
      </c>
      <c r="R219" s="220">
        <f t="shared" si="172"/>
        <v>-10</v>
      </c>
      <c r="T219" s="219">
        <v>45097.0</v>
      </c>
      <c r="U219" s="220" t="str">
        <f t="shared" si="188"/>
        <v/>
      </c>
      <c r="V219" s="220"/>
      <c r="W219" s="220">
        <f t="shared" si="173"/>
        <v>0</v>
      </c>
      <c r="X219" s="220">
        <f t="shared" si="174"/>
        <v>-10</v>
      </c>
      <c r="Z219" s="219">
        <v>45097.0</v>
      </c>
      <c r="AA219" s="220" t="str">
        <f t="shared" si="189"/>
        <v/>
      </c>
      <c r="AB219" s="220"/>
      <c r="AC219" s="220">
        <f t="shared" si="175"/>
        <v>0</v>
      </c>
      <c r="AD219" s="220">
        <f t="shared" si="176"/>
        <v>-10</v>
      </c>
      <c r="AF219" s="219">
        <v>45097.0</v>
      </c>
      <c r="AG219" s="220" t="str">
        <f t="shared" si="190"/>
        <v/>
      </c>
      <c r="AH219" s="220"/>
      <c r="AI219" s="220">
        <f t="shared" si="177"/>
        <v>0</v>
      </c>
      <c r="AJ219" s="220">
        <f t="shared" si="178"/>
        <v>-10</v>
      </c>
      <c r="AL219" s="219">
        <v>45097.0</v>
      </c>
      <c r="AM219" s="220" t="str">
        <f t="shared" si="191"/>
        <v/>
      </c>
      <c r="AN219" s="220"/>
      <c r="AO219" s="220">
        <f t="shared" si="179"/>
        <v>0</v>
      </c>
      <c r="AP219" s="220">
        <f t="shared" si="180"/>
        <v>-10</v>
      </c>
      <c r="AR219" s="219">
        <v>45097.0</v>
      </c>
      <c r="AS219" s="220" t="str">
        <f t="shared" si="192"/>
        <v/>
      </c>
      <c r="AT219" s="220"/>
      <c r="AU219" s="220">
        <f t="shared" si="181"/>
        <v>0</v>
      </c>
      <c r="AV219" s="220">
        <f t="shared" si="182"/>
        <v>-10</v>
      </c>
      <c r="AX219" s="219">
        <v>45097.0</v>
      </c>
      <c r="AY219" s="220" t="str">
        <f t="shared" si="193"/>
        <v/>
      </c>
      <c r="AZ219" s="220"/>
      <c r="BA219" s="220">
        <f t="shared" si="183"/>
        <v>0</v>
      </c>
      <c r="BB219" s="220">
        <f t="shared" si="184"/>
        <v>-10</v>
      </c>
    </row>
    <row r="220" ht="14.25" customHeight="1">
      <c r="A220" s="218"/>
      <c r="B220" s="219">
        <v>45098.0</v>
      </c>
      <c r="C220" s="220" t="str">
        <f t="shared" si="185"/>
        <v/>
      </c>
      <c r="D220" s="220"/>
      <c r="E220" s="220">
        <f t="shared" si="167"/>
        <v>0</v>
      </c>
      <c r="F220" s="220">
        <f t="shared" si="168"/>
        <v>-10</v>
      </c>
      <c r="H220" s="219">
        <v>45098.0</v>
      </c>
      <c r="I220" s="220" t="str">
        <f t="shared" si="186"/>
        <v/>
      </c>
      <c r="J220" s="220"/>
      <c r="K220" s="220">
        <f t="shared" si="169"/>
        <v>0</v>
      </c>
      <c r="L220" s="220">
        <f t="shared" si="170"/>
        <v>-10</v>
      </c>
      <c r="N220" s="219">
        <v>45098.0</v>
      </c>
      <c r="O220" s="220" t="str">
        <f t="shared" si="187"/>
        <v/>
      </c>
      <c r="P220" s="220"/>
      <c r="Q220" s="220">
        <f t="shared" si="171"/>
        <v>0</v>
      </c>
      <c r="R220" s="220">
        <f t="shared" si="172"/>
        <v>-10</v>
      </c>
      <c r="T220" s="219">
        <v>45098.0</v>
      </c>
      <c r="U220" s="220" t="str">
        <f t="shared" si="188"/>
        <v/>
      </c>
      <c r="V220" s="220"/>
      <c r="W220" s="220">
        <f t="shared" si="173"/>
        <v>0</v>
      </c>
      <c r="X220" s="220">
        <f t="shared" si="174"/>
        <v>-10</v>
      </c>
      <c r="Z220" s="219">
        <v>45098.0</v>
      </c>
      <c r="AA220" s="220" t="str">
        <f t="shared" si="189"/>
        <v/>
      </c>
      <c r="AB220" s="220"/>
      <c r="AC220" s="220">
        <f t="shared" si="175"/>
        <v>0</v>
      </c>
      <c r="AD220" s="220">
        <f t="shared" si="176"/>
        <v>-10</v>
      </c>
      <c r="AF220" s="219">
        <v>45098.0</v>
      </c>
      <c r="AG220" s="220" t="str">
        <f t="shared" si="190"/>
        <v/>
      </c>
      <c r="AH220" s="220"/>
      <c r="AI220" s="220">
        <f t="shared" si="177"/>
        <v>0</v>
      </c>
      <c r="AJ220" s="220">
        <f t="shared" si="178"/>
        <v>-10</v>
      </c>
      <c r="AL220" s="219">
        <v>45098.0</v>
      </c>
      <c r="AM220" s="220" t="str">
        <f t="shared" si="191"/>
        <v/>
      </c>
      <c r="AN220" s="220"/>
      <c r="AO220" s="220">
        <f t="shared" si="179"/>
        <v>0</v>
      </c>
      <c r="AP220" s="220">
        <f t="shared" si="180"/>
        <v>-10</v>
      </c>
      <c r="AR220" s="219">
        <v>45098.0</v>
      </c>
      <c r="AS220" s="220" t="str">
        <f t="shared" si="192"/>
        <v/>
      </c>
      <c r="AT220" s="220"/>
      <c r="AU220" s="220">
        <f t="shared" si="181"/>
        <v>0</v>
      </c>
      <c r="AV220" s="220">
        <f t="shared" si="182"/>
        <v>-10</v>
      </c>
      <c r="AX220" s="219">
        <v>45098.0</v>
      </c>
      <c r="AY220" s="220" t="str">
        <f t="shared" si="193"/>
        <v/>
      </c>
      <c r="AZ220" s="220"/>
      <c r="BA220" s="220">
        <f t="shared" si="183"/>
        <v>0</v>
      </c>
      <c r="BB220" s="220">
        <f t="shared" si="184"/>
        <v>-10</v>
      </c>
    </row>
    <row r="221" ht="14.25" customHeight="1">
      <c r="A221" s="218"/>
      <c r="B221" s="219">
        <v>45099.0</v>
      </c>
      <c r="C221" s="220" t="str">
        <f t="shared" si="185"/>
        <v/>
      </c>
      <c r="D221" s="220"/>
      <c r="E221" s="220">
        <f t="shared" si="167"/>
        <v>0</v>
      </c>
      <c r="F221" s="220">
        <f t="shared" si="168"/>
        <v>-10</v>
      </c>
      <c r="H221" s="219">
        <v>45099.0</v>
      </c>
      <c r="I221" s="220" t="str">
        <f t="shared" si="186"/>
        <v/>
      </c>
      <c r="J221" s="220"/>
      <c r="K221" s="220">
        <f t="shared" si="169"/>
        <v>0</v>
      </c>
      <c r="L221" s="220">
        <f t="shared" si="170"/>
        <v>-10</v>
      </c>
      <c r="N221" s="219">
        <v>45099.0</v>
      </c>
      <c r="O221" s="220" t="str">
        <f t="shared" si="187"/>
        <v/>
      </c>
      <c r="P221" s="220"/>
      <c r="Q221" s="220">
        <f t="shared" si="171"/>
        <v>0</v>
      </c>
      <c r="R221" s="220">
        <f t="shared" si="172"/>
        <v>-10</v>
      </c>
      <c r="T221" s="219">
        <v>45099.0</v>
      </c>
      <c r="U221" s="220" t="str">
        <f t="shared" si="188"/>
        <v/>
      </c>
      <c r="V221" s="220"/>
      <c r="W221" s="220">
        <f t="shared" si="173"/>
        <v>0</v>
      </c>
      <c r="X221" s="220">
        <f t="shared" si="174"/>
        <v>-10</v>
      </c>
      <c r="Z221" s="219">
        <v>45099.0</v>
      </c>
      <c r="AA221" s="220" t="str">
        <f t="shared" si="189"/>
        <v/>
      </c>
      <c r="AB221" s="220"/>
      <c r="AC221" s="220">
        <f t="shared" si="175"/>
        <v>0</v>
      </c>
      <c r="AD221" s="220">
        <f t="shared" si="176"/>
        <v>-10</v>
      </c>
      <c r="AF221" s="219">
        <v>45099.0</v>
      </c>
      <c r="AG221" s="220" t="str">
        <f t="shared" si="190"/>
        <v/>
      </c>
      <c r="AH221" s="220"/>
      <c r="AI221" s="220">
        <f t="shared" si="177"/>
        <v>0</v>
      </c>
      <c r="AJ221" s="220">
        <f t="shared" si="178"/>
        <v>-10</v>
      </c>
      <c r="AL221" s="219">
        <v>45099.0</v>
      </c>
      <c r="AM221" s="220" t="str">
        <f t="shared" si="191"/>
        <v/>
      </c>
      <c r="AN221" s="220"/>
      <c r="AO221" s="220">
        <f t="shared" si="179"/>
        <v>0</v>
      </c>
      <c r="AP221" s="220">
        <f t="shared" si="180"/>
        <v>-10</v>
      </c>
      <c r="AR221" s="219">
        <v>45099.0</v>
      </c>
      <c r="AS221" s="220" t="str">
        <f t="shared" si="192"/>
        <v/>
      </c>
      <c r="AT221" s="220"/>
      <c r="AU221" s="220">
        <f t="shared" si="181"/>
        <v>0</v>
      </c>
      <c r="AV221" s="220">
        <f t="shared" si="182"/>
        <v>-10</v>
      </c>
      <c r="AX221" s="219">
        <v>45099.0</v>
      </c>
      <c r="AY221" s="220" t="str">
        <f t="shared" si="193"/>
        <v/>
      </c>
      <c r="AZ221" s="220"/>
      <c r="BA221" s="220">
        <f t="shared" si="183"/>
        <v>0</v>
      </c>
      <c r="BB221" s="220">
        <f t="shared" si="184"/>
        <v>-10</v>
      </c>
    </row>
    <row r="222" ht="14.25" customHeight="1">
      <c r="A222" s="218"/>
      <c r="B222" s="219">
        <v>45100.0</v>
      </c>
      <c r="C222" s="220" t="str">
        <f t="shared" si="185"/>
        <v/>
      </c>
      <c r="D222" s="220"/>
      <c r="E222" s="220">
        <f t="shared" si="167"/>
        <v>0</v>
      </c>
      <c r="F222" s="220">
        <f t="shared" si="168"/>
        <v>-10</v>
      </c>
      <c r="H222" s="219">
        <v>45100.0</v>
      </c>
      <c r="I222" s="220" t="str">
        <f t="shared" si="186"/>
        <v/>
      </c>
      <c r="J222" s="220"/>
      <c r="K222" s="220">
        <f t="shared" si="169"/>
        <v>0</v>
      </c>
      <c r="L222" s="220">
        <f t="shared" si="170"/>
        <v>-10</v>
      </c>
      <c r="N222" s="219">
        <v>45100.0</v>
      </c>
      <c r="O222" s="220" t="str">
        <f t="shared" si="187"/>
        <v/>
      </c>
      <c r="P222" s="220"/>
      <c r="Q222" s="220">
        <f t="shared" si="171"/>
        <v>0</v>
      </c>
      <c r="R222" s="220">
        <f t="shared" si="172"/>
        <v>-10</v>
      </c>
      <c r="T222" s="219">
        <v>45100.0</v>
      </c>
      <c r="U222" s="220" t="str">
        <f t="shared" si="188"/>
        <v/>
      </c>
      <c r="V222" s="220"/>
      <c r="W222" s="220">
        <f t="shared" si="173"/>
        <v>0</v>
      </c>
      <c r="X222" s="220">
        <f t="shared" si="174"/>
        <v>-10</v>
      </c>
      <c r="Z222" s="219">
        <v>45100.0</v>
      </c>
      <c r="AA222" s="220" t="str">
        <f t="shared" si="189"/>
        <v/>
      </c>
      <c r="AB222" s="220"/>
      <c r="AC222" s="220">
        <f t="shared" si="175"/>
        <v>0</v>
      </c>
      <c r="AD222" s="220">
        <f t="shared" si="176"/>
        <v>-10</v>
      </c>
      <c r="AF222" s="219">
        <v>45100.0</v>
      </c>
      <c r="AG222" s="220" t="str">
        <f t="shared" si="190"/>
        <v/>
      </c>
      <c r="AH222" s="220"/>
      <c r="AI222" s="220">
        <f t="shared" si="177"/>
        <v>0</v>
      </c>
      <c r="AJ222" s="220">
        <f t="shared" si="178"/>
        <v>-10</v>
      </c>
      <c r="AL222" s="219">
        <v>45100.0</v>
      </c>
      <c r="AM222" s="220" t="str">
        <f t="shared" si="191"/>
        <v/>
      </c>
      <c r="AN222" s="220"/>
      <c r="AO222" s="220">
        <f t="shared" si="179"/>
        <v>0</v>
      </c>
      <c r="AP222" s="220">
        <f t="shared" si="180"/>
        <v>-10</v>
      </c>
      <c r="AR222" s="219">
        <v>45100.0</v>
      </c>
      <c r="AS222" s="220" t="str">
        <f t="shared" si="192"/>
        <v/>
      </c>
      <c r="AT222" s="220"/>
      <c r="AU222" s="220">
        <f t="shared" si="181"/>
        <v>0</v>
      </c>
      <c r="AV222" s="220">
        <f t="shared" si="182"/>
        <v>-10</v>
      </c>
      <c r="AX222" s="219">
        <v>45100.0</v>
      </c>
      <c r="AY222" s="220" t="str">
        <f t="shared" si="193"/>
        <v/>
      </c>
      <c r="AZ222" s="220"/>
      <c r="BA222" s="220">
        <f t="shared" si="183"/>
        <v>0</v>
      </c>
      <c r="BB222" s="220">
        <f t="shared" si="184"/>
        <v>-10</v>
      </c>
    </row>
    <row r="223" ht="14.25" customHeight="1">
      <c r="A223" s="218"/>
      <c r="B223" s="219">
        <v>45101.0</v>
      </c>
      <c r="C223" s="220" t="str">
        <f t="shared" si="185"/>
        <v/>
      </c>
      <c r="D223" s="220"/>
      <c r="E223" s="220">
        <f t="shared" si="167"/>
        <v>0</v>
      </c>
      <c r="F223" s="220">
        <f t="shared" si="168"/>
        <v>-10</v>
      </c>
      <c r="G223" s="221"/>
      <c r="H223" s="219">
        <v>45101.0</v>
      </c>
      <c r="I223" s="220" t="str">
        <f t="shared" si="186"/>
        <v/>
      </c>
      <c r="J223" s="220"/>
      <c r="K223" s="220">
        <f t="shared" si="169"/>
        <v>0</v>
      </c>
      <c r="L223" s="220">
        <f t="shared" si="170"/>
        <v>-10</v>
      </c>
      <c r="M223" s="221"/>
      <c r="N223" s="219">
        <v>45101.0</v>
      </c>
      <c r="O223" s="220" t="str">
        <f t="shared" si="187"/>
        <v/>
      </c>
      <c r="P223" s="220"/>
      <c r="Q223" s="220">
        <f t="shared" si="171"/>
        <v>0</v>
      </c>
      <c r="R223" s="220">
        <f t="shared" si="172"/>
        <v>-10</v>
      </c>
      <c r="S223" s="221"/>
      <c r="T223" s="219">
        <v>45101.0</v>
      </c>
      <c r="U223" s="220" t="str">
        <f t="shared" si="188"/>
        <v/>
      </c>
      <c r="V223" s="220"/>
      <c r="W223" s="220">
        <f t="shared" si="173"/>
        <v>0</v>
      </c>
      <c r="X223" s="220">
        <f t="shared" si="174"/>
        <v>-10</v>
      </c>
      <c r="Y223" s="221"/>
      <c r="Z223" s="219">
        <v>45101.0</v>
      </c>
      <c r="AA223" s="220" t="str">
        <f t="shared" si="189"/>
        <v/>
      </c>
      <c r="AB223" s="220"/>
      <c r="AC223" s="220">
        <f t="shared" si="175"/>
        <v>0</v>
      </c>
      <c r="AD223" s="220">
        <f t="shared" si="176"/>
        <v>-10</v>
      </c>
      <c r="AE223" s="221"/>
      <c r="AF223" s="219">
        <v>45101.0</v>
      </c>
      <c r="AG223" s="220" t="str">
        <f t="shared" si="190"/>
        <v/>
      </c>
      <c r="AH223" s="220"/>
      <c r="AI223" s="220">
        <f t="shared" si="177"/>
        <v>0</v>
      </c>
      <c r="AJ223" s="220">
        <f t="shared" si="178"/>
        <v>-10</v>
      </c>
      <c r="AK223" s="221"/>
      <c r="AL223" s="219">
        <v>45101.0</v>
      </c>
      <c r="AM223" s="220" t="str">
        <f t="shared" si="191"/>
        <v/>
      </c>
      <c r="AN223" s="220"/>
      <c r="AO223" s="220">
        <f t="shared" si="179"/>
        <v>0</v>
      </c>
      <c r="AP223" s="220">
        <f t="shared" si="180"/>
        <v>-10</v>
      </c>
      <c r="AQ223" s="221"/>
      <c r="AR223" s="219">
        <v>45101.0</v>
      </c>
      <c r="AS223" s="220" t="str">
        <f t="shared" si="192"/>
        <v/>
      </c>
      <c r="AT223" s="220"/>
      <c r="AU223" s="220">
        <f t="shared" si="181"/>
        <v>0</v>
      </c>
      <c r="AV223" s="220">
        <f t="shared" si="182"/>
        <v>-10</v>
      </c>
      <c r="AW223" s="221"/>
      <c r="AX223" s="219">
        <v>45101.0</v>
      </c>
      <c r="AY223" s="220" t="str">
        <f t="shared" si="193"/>
        <v/>
      </c>
      <c r="AZ223" s="220"/>
      <c r="BA223" s="220">
        <f t="shared" si="183"/>
        <v>0</v>
      </c>
      <c r="BB223" s="220">
        <f t="shared" si="184"/>
        <v>-10</v>
      </c>
    </row>
    <row r="224" ht="14.25" customHeight="1">
      <c r="A224" s="218"/>
      <c r="B224" s="219">
        <v>45102.0</v>
      </c>
      <c r="C224" s="220" t="str">
        <f t="shared" si="185"/>
        <v/>
      </c>
      <c r="D224" s="220"/>
      <c r="E224" s="220">
        <f t="shared" si="167"/>
        <v>0</v>
      </c>
      <c r="F224" s="220">
        <f t="shared" si="168"/>
        <v>-10</v>
      </c>
      <c r="G224" s="221"/>
      <c r="H224" s="219">
        <v>45102.0</v>
      </c>
      <c r="I224" s="220" t="str">
        <f t="shared" si="186"/>
        <v/>
      </c>
      <c r="J224" s="220"/>
      <c r="K224" s="220">
        <f t="shared" si="169"/>
        <v>0</v>
      </c>
      <c r="L224" s="220">
        <f t="shared" si="170"/>
        <v>-10</v>
      </c>
      <c r="M224" s="221"/>
      <c r="N224" s="219">
        <v>45102.0</v>
      </c>
      <c r="O224" s="220" t="str">
        <f t="shared" si="187"/>
        <v/>
      </c>
      <c r="P224" s="220"/>
      <c r="Q224" s="220">
        <f t="shared" si="171"/>
        <v>0</v>
      </c>
      <c r="R224" s="220">
        <f t="shared" si="172"/>
        <v>-10</v>
      </c>
      <c r="S224" s="221"/>
      <c r="T224" s="219">
        <v>45102.0</v>
      </c>
      <c r="U224" s="220" t="str">
        <f t="shared" si="188"/>
        <v/>
      </c>
      <c r="V224" s="220"/>
      <c r="W224" s="220">
        <f t="shared" si="173"/>
        <v>0</v>
      </c>
      <c r="X224" s="220">
        <f t="shared" si="174"/>
        <v>-10</v>
      </c>
      <c r="Y224" s="221"/>
      <c r="Z224" s="219">
        <v>45102.0</v>
      </c>
      <c r="AA224" s="220" t="str">
        <f t="shared" si="189"/>
        <v/>
      </c>
      <c r="AB224" s="220"/>
      <c r="AC224" s="220">
        <f t="shared" si="175"/>
        <v>0</v>
      </c>
      <c r="AD224" s="220">
        <f t="shared" si="176"/>
        <v>-10</v>
      </c>
      <c r="AE224" s="221"/>
      <c r="AF224" s="219">
        <v>45102.0</v>
      </c>
      <c r="AG224" s="220" t="str">
        <f t="shared" si="190"/>
        <v/>
      </c>
      <c r="AH224" s="220"/>
      <c r="AI224" s="220">
        <f t="shared" si="177"/>
        <v>0</v>
      </c>
      <c r="AJ224" s="220">
        <f t="shared" si="178"/>
        <v>-10</v>
      </c>
      <c r="AK224" s="221"/>
      <c r="AL224" s="219">
        <v>45102.0</v>
      </c>
      <c r="AM224" s="220" t="str">
        <f t="shared" si="191"/>
        <v/>
      </c>
      <c r="AN224" s="220"/>
      <c r="AO224" s="220">
        <f t="shared" si="179"/>
        <v>0</v>
      </c>
      <c r="AP224" s="220">
        <f t="shared" si="180"/>
        <v>-10</v>
      </c>
      <c r="AQ224" s="221"/>
      <c r="AR224" s="219">
        <v>45102.0</v>
      </c>
      <c r="AS224" s="220" t="str">
        <f t="shared" si="192"/>
        <v/>
      </c>
      <c r="AT224" s="220"/>
      <c r="AU224" s="220">
        <f t="shared" si="181"/>
        <v>0</v>
      </c>
      <c r="AV224" s="220">
        <f t="shared" si="182"/>
        <v>-10</v>
      </c>
      <c r="AW224" s="221"/>
      <c r="AX224" s="219">
        <v>45102.0</v>
      </c>
      <c r="AY224" s="220" t="str">
        <f t="shared" si="193"/>
        <v/>
      </c>
      <c r="AZ224" s="220"/>
      <c r="BA224" s="220">
        <f t="shared" si="183"/>
        <v>0</v>
      </c>
      <c r="BB224" s="220">
        <f t="shared" si="184"/>
        <v>-10</v>
      </c>
    </row>
    <row r="225" ht="14.25" customHeight="1">
      <c r="A225" s="218"/>
      <c r="B225" s="219">
        <v>45103.0</v>
      </c>
      <c r="C225" s="220" t="str">
        <f t="shared" si="185"/>
        <v/>
      </c>
      <c r="D225" s="220"/>
      <c r="E225" s="220">
        <f t="shared" si="167"/>
        <v>0</v>
      </c>
      <c r="F225" s="220">
        <f t="shared" si="168"/>
        <v>-10</v>
      </c>
      <c r="H225" s="219">
        <v>45103.0</v>
      </c>
      <c r="I225" s="220" t="str">
        <f t="shared" si="186"/>
        <v/>
      </c>
      <c r="J225" s="220"/>
      <c r="K225" s="220">
        <f t="shared" si="169"/>
        <v>0</v>
      </c>
      <c r="L225" s="220">
        <f t="shared" si="170"/>
        <v>-10</v>
      </c>
      <c r="N225" s="219">
        <v>45103.0</v>
      </c>
      <c r="O225" s="220" t="str">
        <f t="shared" si="187"/>
        <v/>
      </c>
      <c r="P225" s="220"/>
      <c r="Q225" s="220">
        <f t="shared" si="171"/>
        <v>0</v>
      </c>
      <c r="R225" s="220">
        <f t="shared" si="172"/>
        <v>-10</v>
      </c>
      <c r="T225" s="219">
        <v>45103.0</v>
      </c>
      <c r="U225" s="220" t="str">
        <f t="shared" si="188"/>
        <v/>
      </c>
      <c r="V225" s="220"/>
      <c r="W225" s="220">
        <f t="shared" si="173"/>
        <v>0</v>
      </c>
      <c r="X225" s="220">
        <f t="shared" si="174"/>
        <v>-10</v>
      </c>
      <c r="Z225" s="219">
        <v>45103.0</v>
      </c>
      <c r="AA225" s="220" t="str">
        <f t="shared" si="189"/>
        <v/>
      </c>
      <c r="AB225" s="220"/>
      <c r="AC225" s="220">
        <f t="shared" si="175"/>
        <v>0</v>
      </c>
      <c r="AD225" s="220">
        <f t="shared" si="176"/>
        <v>-10</v>
      </c>
      <c r="AF225" s="219">
        <v>45103.0</v>
      </c>
      <c r="AG225" s="220" t="str">
        <f t="shared" si="190"/>
        <v/>
      </c>
      <c r="AH225" s="220"/>
      <c r="AI225" s="220">
        <f t="shared" si="177"/>
        <v>0</v>
      </c>
      <c r="AJ225" s="220">
        <f t="shared" si="178"/>
        <v>-10</v>
      </c>
      <c r="AL225" s="219">
        <v>45103.0</v>
      </c>
      <c r="AM225" s="220" t="str">
        <f t="shared" si="191"/>
        <v/>
      </c>
      <c r="AN225" s="220"/>
      <c r="AO225" s="220">
        <f t="shared" si="179"/>
        <v>0</v>
      </c>
      <c r="AP225" s="220">
        <f t="shared" si="180"/>
        <v>-10</v>
      </c>
      <c r="AR225" s="219">
        <v>45103.0</v>
      </c>
      <c r="AS225" s="220" t="str">
        <f t="shared" si="192"/>
        <v/>
      </c>
      <c r="AT225" s="220"/>
      <c r="AU225" s="220">
        <f t="shared" si="181"/>
        <v>0</v>
      </c>
      <c r="AV225" s="220">
        <f t="shared" si="182"/>
        <v>-10</v>
      </c>
      <c r="AX225" s="219">
        <v>45103.0</v>
      </c>
      <c r="AY225" s="220" t="str">
        <f t="shared" si="193"/>
        <v/>
      </c>
      <c r="AZ225" s="220"/>
      <c r="BA225" s="220">
        <f t="shared" si="183"/>
        <v>0</v>
      </c>
      <c r="BB225" s="220">
        <f t="shared" si="184"/>
        <v>-10</v>
      </c>
    </row>
    <row r="226" ht="14.25" customHeight="1">
      <c r="A226" s="218"/>
      <c r="B226" s="219">
        <v>45104.0</v>
      </c>
      <c r="C226" s="220" t="str">
        <f t="shared" si="185"/>
        <v/>
      </c>
      <c r="D226" s="220"/>
      <c r="E226" s="220">
        <f t="shared" si="167"/>
        <v>0</v>
      </c>
      <c r="F226" s="220">
        <f t="shared" si="168"/>
        <v>-10</v>
      </c>
      <c r="H226" s="219">
        <v>45104.0</v>
      </c>
      <c r="I226" s="220" t="str">
        <f t="shared" si="186"/>
        <v/>
      </c>
      <c r="J226" s="220"/>
      <c r="K226" s="220">
        <f t="shared" si="169"/>
        <v>0</v>
      </c>
      <c r="L226" s="220">
        <f t="shared" si="170"/>
        <v>-10</v>
      </c>
      <c r="N226" s="219">
        <v>45104.0</v>
      </c>
      <c r="O226" s="220" t="str">
        <f t="shared" si="187"/>
        <v/>
      </c>
      <c r="P226" s="220"/>
      <c r="Q226" s="220">
        <f t="shared" si="171"/>
        <v>0</v>
      </c>
      <c r="R226" s="220">
        <f t="shared" si="172"/>
        <v>-10</v>
      </c>
      <c r="T226" s="219">
        <v>45104.0</v>
      </c>
      <c r="U226" s="220" t="str">
        <f t="shared" si="188"/>
        <v/>
      </c>
      <c r="V226" s="220"/>
      <c r="W226" s="220">
        <f t="shared" si="173"/>
        <v>0</v>
      </c>
      <c r="X226" s="220">
        <f t="shared" si="174"/>
        <v>-10</v>
      </c>
      <c r="Z226" s="219">
        <v>45104.0</v>
      </c>
      <c r="AA226" s="220" t="str">
        <f t="shared" si="189"/>
        <v/>
      </c>
      <c r="AB226" s="220"/>
      <c r="AC226" s="220">
        <f t="shared" si="175"/>
        <v>0</v>
      </c>
      <c r="AD226" s="220">
        <f t="shared" si="176"/>
        <v>-10</v>
      </c>
      <c r="AF226" s="219">
        <v>45104.0</v>
      </c>
      <c r="AG226" s="220" t="str">
        <f t="shared" si="190"/>
        <v/>
      </c>
      <c r="AH226" s="220"/>
      <c r="AI226" s="220">
        <f t="shared" si="177"/>
        <v>0</v>
      </c>
      <c r="AJ226" s="220">
        <f t="shared" si="178"/>
        <v>-10</v>
      </c>
      <c r="AL226" s="219">
        <v>45104.0</v>
      </c>
      <c r="AM226" s="220" t="str">
        <f t="shared" si="191"/>
        <v/>
      </c>
      <c r="AN226" s="220"/>
      <c r="AO226" s="220">
        <f t="shared" si="179"/>
        <v>0</v>
      </c>
      <c r="AP226" s="220">
        <f t="shared" si="180"/>
        <v>-10</v>
      </c>
      <c r="AR226" s="219">
        <v>45104.0</v>
      </c>
      <c r="AS226" s="220" t="str">
        <f t="shared" si="192"/>
        <v/>
      </c>
      <c r="AT226" s="220"/>
      <c r="AU226" s="220">
        <f t="shared" si="181"/>
        <v>0</v>
      </c>
      <c r="AV226" s="220">
        <f t="shared" si="182"/>
        <v>-10</v>
      </c>
      <c r="AX226" s="219">
        <v>45104.0</v>
      </c>
      <c r="AY226" s="220" t="str">
        <f t="shared" si="193"/>
        <v/>
      </c>
      <c r="AZ226" s="220"/>
      <c r="BA226" s="220">
        <f t="shared" si="183"/>
        <v>0</v>
      </c>
      <c r="BB226" s="220">
        <f t="shared" si="184"/>
        <v>-10</v>
      </c>
    </row>
    <row r="227" ht="14.25" customHeight="1">
      <c r="A227" s="218"/>
      <c r="B227" s="219">
        <v>45105.0</v>
      </c>
      <c r="C227" s="220" t="str">
        <f t="shared" si="185"/>
        <v/>
      </c>
      <c r="D227" s="220"/>
      <c r="E227" s="220">
        <f t="shared" si="167"/>
        <v>0</v>
      </c>
      <c r="F227" s="220">
        <f t="shared" si="168"/>
        <v>-10</v>
      </c>
      <c r="H227" s="219">
        <v>45105.0</v>
      </c>
      <c r="I227" s="220" t="str">
        <f t="shared" si="186"/>
        <v/>
      </c>
      <c r="J227" s="220"/>
      <c r="K227" s="220">
        <f t="shared" si="169"/>
        <v>0</v>
      </c>
      <c r="L227" s="220">
        <f t="shared" si="170"/>
        <v>-10</v>
      </c>
      <c r="N227" s="219">
        <v>45105.0</v>
      </c>
      <c r="O227" s="220" t="str">
        <f t="shared" si="187"/>
        <v/>
      </c>
      <c r="P227" s="220"/>
      <c r="Q227" s="220">
        <f t="shared" si="171"/>
        <v>0</v>
      </c>
      <c r="R227" s="220">
        <f t="shared" si="172"/>
        <v>-10</v>
      </c>
      <c r="T227" s="219">
        <v>45105.0</v>
      </c>
      <c r="U227" s="220" t="str">
        <f t="shared" si="188"/>
        <v/>
      </c>
      <c r="V227" s="220"/>
      <c r="W227" s="220">
        <f t="shared" si="173"/>
        <v>0</v>
      </c>
      <c r="X227" s="220">
        <f t="shared" si="174"/>
        <v>-10</v>
      </c>
      <c r="Z227" s="219">
        <v>45105.0</v>
      </c>
      <c r="AA227" s="220" t="str">
        <f t="shared" si="189"/>
        <v/>
      </c>
      <c r="AB227" s="220"/>
      <c r="AC227" s="220">
        <f t="shared" si="175"/>
        <v>0</v>
      </c>
      <c r="AD227" s="220">
        <f t="shared" si="176"/>
        <v>-10</v>
      </c>
      <c r="AF227" s="219">
        <v>45105.0</v>
      </c>
      <c r="AG227" s="220" t="str">
        <f t="shared" si="190"/>
        <v/>
      </c>
      <c r="AH227" s="220"/>
      <c r="AI227" s="220">
        <f t="shared" si="177"/>
        <v>0</v>
      </c>
      <c r="AJ227" s="220">
        <f t="shared" si="178"/>
        <v>-10</v>
      </c>
      <c r="AL227" s="219">
        <v>45105.0</v>
      </c>
      <c r="AM227" s="220" t="str">
        <f t="shared" si="191"/>
        <v/>
      </c>
      <c r="AN227" s="220"/>
      <c r="AO227" s="220">
        <f t="shared" si="179"/>
        <v>0</v>
      </c>
      <c r="AP227" s="220">
        <f t="shared" si="180"/>
        <v>-10</v>
      </c>
      <c r="AR227" s="219">
        <v>45105.0</v>
      </c>
      <c r="AS227" s="220" t="str">
        <f t="shared" si="192"/>
        <v/>
      </c>
      <c r="AT227" s="220"/>
      <c r="AU227" s="220">
        <f t="shared" si="181"/>
        <v>0</v>
      </c>
      <c r="AV227" s="220">
        <f t="shared" si="182"/>
        <v>-10</v>
      </c>
      <c r="AX227" s="219">
        <v>45105.0</v>
      </c>
      <c r="AY227" s="220" t="str">
        <f t="shared" si="193"/>
        <v/>
      </c>
      <c r="AZ227" s="220"/>
      <c r="BA227" s="220">
        <f t="shared" si="183"/>
        <v>0</v>
      </c>
      <c r="BB227" s="220">
        <f t="shared" si="184"/>
        <v>-10</v>
      </c>
    </row>
    <row r="228" ht="14.25" customHeight="1">
      <c r="A228" s="218"/>
      <c r="B228" s="219">
        <v>45106.0</v>
      </c>
      <c r="C228" s="220" t="str">
        <f t="shared" si="185"/>
        <v/>
      </c>
      <c r="D228" s="220"/>
      <c r="E228" s="220">
        <f t="shared" si="167"/>
        <v>0</v>
      </c>
      <c r="F228" s="220">
        <f t="shared" si="168"/>
        <v>-10</v>
      </c>
      <c r="H228" s="219">
        <v>45106.0</v>
      </c>
      <c r="I228" s="220" t="str">
        <f t="shared" si="186"/>
        <v/>
      </c>
      <c r="J228" s="220"/>
      <c r="K228" s="220">
        <f t="shared" si="169"/>
        <v>0</v>
      </c>
      <c r="L228" s="220">
        <f t="shared" si="170"/>
        <v>-10</v>
      </c>
      <c r="N228" s="219">
        <v>45106.0</v>
      </c>
      <c r="O228" s="220" t="str">
        <f t="shared" si="187"/>
        <v/>
      </c>
      <c r="P228" s="220"/>
      <c r="Q228" s="220">
        <f t="shared" si="171"/>
        <v>0</v>
      </c>
      <c r="R228" s="220">
        <f t="shared" si="172"/>
        <v>-10</v>
      </c>
      <c r="T228" s="219">
        <v>45106.0</v>
      </c>
      <c r="U228" s="220" t="str">
        <f t="shared" si="188"/>
        <v/>
      </c>
      <c r="V228" s="220"/>
      <c r="W228" s="220">
        <f t="shared" si="173"/>
        <v>0</v>
      </c>
      <c r="X228" s="220">
        <f t="shared" si="174"/>
        <v>-10</v>
      </c>
      <c r="Z228" s="219">
        <v>45106.0</v>
      </c>
      <c r="AA228" s="220" t="str">
        <f t="shared" si="189"/>
        <v/>
      </c>
      <c r="AB228" s="220"/>
      <c r="AC228" s="220">
        <f t="shared" si="175"/>
        <v>0</v>
      </c>
      <c r="AD228" s="220">
        <f t="shared" si="176"/>
        <v>-10</v>
      </c>
      <c r="AF228" s="219">
        <v>45106.0</v>
      </c>
      <c r="AG228" s="220" t="str">
        <f t="shared" si="190"/>
        <v/>
      </c>
      <c r="AH228" s="220"/>
      <c r="AI228" s="220">
        <f t="shared" si="177"/>
        <v>0</v>
      </c>
      <c r="AJ228" s="220">
        <f t="shared" si="178"/>
        <v>-10</v>
      </c>
      <c r="AL228" s="219">
        <v>45106.0</v>
      </c>
      <c r="AM228" s="220" t="str">
        <f t="shared" si="191"/>
        <v/>
      </c>
      <c r="AN228" s="220"/>
      <c r="AO228" s="220">
        <f t="shared" si="179"/>
        <v>0</v>
      </c>
      <c r="AP228" s="220">
        <f t="shared" si="180"/>
        <v>-10</v>
      </c>
      <c r="AR228" s="219">
        <v>45106.0</v>
      </c>
      <c r="AS228" s="220" t="str">
        <f t="shared" si="192"/>
        <v/>
      </c>
      <c r="AT228" s="220"/>
      <c r="AU228" s="220">
        <f t="shared" si="181"/>
        <v>0</v>
      </c>
      <c r="AV228" s="220">
        <f t="shared" si="182"/>
        <v>-10</v>
      </c>
      <c r="AX228" s="219">
        <v>45106.0</v>
      </c>
      <c r="AY228" s="220" t="str">
        <f t="shared" si="193"/>
        <v/>
      </c>
      <c r="AZ228" s="220"/>
      <c r="BA228" s="220">
        <f t="shared" si="183"/>
        <v>0</v>
      </c>
      <c r="BB228" s="220">
        <f t="shared" si="184"/>
        <v>-10</v>
      </c>
    </row>
    <row r="229" ht="14.25" customHeight="1">
      <c r="A229" s="218"/>
      <c r="B229" s="219">
        <v>45107.0</v>
      </c>
      <c r="C229" s="220" t="str">
        <f t="shared" si="185"/>
        <v/>
      </c>
      <c r="D229" s="220"/>
      <c r="E229" s="220">
        <f t="shared" si="167"/>
        <v>0</v>
      </c>
      <c r="F229" s="220">
        <f t="shared" si="168"/>
        <v>-10</v>
      </c>
      <c r="H229" s="219">
        <v>45107.0</v>
      </c>
      <c r="I229" s="220" t="str">
        <f t="shared" si="186"/>
        <v/>
      </c>
      <c r="J229" s="220"/>
      <c r="K229" s="220">
        <f t="shared" si="169"/>
        <v>0</v>
      </c>
      <c r="L229" s="220">
        <f t="shared" si="170"/>
        <v>-10</v>
      </c>
      <c r="N229" s="219">
        <v>45107.0</v>
      </c>
      <c r="O229" s="220" t="str">
        <f t="shared" si="187"/>
        <v/>
      </c>
      <c r="P229" s="220"/>
      <c r="Q229" s="220">
        <f t="shared" si="171"/>
        <v>0</v>
      </c>
      <c r="R229" s="220">
        <f t="shared" si="172"/>
        <v>-10</v>
      </c>
      <c r="T229" s="219">
        <v>45107.0</v>
      </c>
      <c r="U229" s="220" t="str">
        <f t="shared" si="188"/>
        <v/>
      </c>
      <c r="V229" s="220"/>
      <c r="W229" s="220">
        <f t="shared" si="173"/>
        <v>0</v>
      </c>
      <c r="X229" s="220">
        <f t="shared" si="174"/>
        <v>-10</v>
      </c>
      <c r="Z229" s="219">
        <v>45107.0</v>
      </c>
      <c r="AA229" s="220" t="str">
        <f t="shared" si="189"/>
        <v/>
      </c>
      <c r="AB229" s="220"/>
      <c r="AC229" s="220">
        <f t="shared" si="175"/>
        <v>0</v>
      </c>
      <c r="AD229" s="220">
        <f t="shared" si="176"/>
        <v>-10</v>
      </c>
      <c r="AF229" s="219">
        <v>45107.0</v>
      </c>
      <c r="AG229" s="220" t="str">
        <f t="shared" si="190"/>
        <v/>
      </c>
      <c r="AH229" s="220"/>
      <c r="AI229" s="220">
        <f t="shared" si="177"/>
        <v>0</v>
      </c>
      <c r="AJ229" s="220">
        <f t="shared" si="178"/>
        <v>-10</v>
      </c>
      <c r="AL229" s="219">
        <v>45107.0</v>
      </c>
      <c r="AM229" s="220" t="str">
        <f t="shared" si="191"/>
        <v/>
      </c>
      <c r="AN229" s="220"/>
      <c r="AO229" s="220">
        <f t="shared" si="179"/>
        <v>0</v>
      </c>
      <c r="AP229" s="220">
        <f t="shared" si="180"/>
        <v>-10</v>
      </c>
      <c r="AR229" s="219">
        <v>45107.0</v>
      </c>
      <c r="AS229" s="220" t="str">
        <f t="shared" si="192"/>
        <v/>
      </c>
      <c r="AT229" s="220"/>
      <c r="AU229" s="220">
        <f t="shared" si="181"/>
        <v>0</v>
      </c>
      <c r="AV229" s="220">
        <f t="shared" si="182"/>
        <v>-10</v>
      </c>
      <c r="AX229" s="219">
        <v>45107.0</v>
      </c>
      <c r="AY229" s="220" t="str">
        <f t="shared" si="193"/>
        <v/>
      </c>
      <c r="AZ229" s="220"/>
      <c r="BA229" s="220">
        <f t="shared" si="183"/>
        <v>0</v>
      </c>
      <c r="BB229" s="220">
        <f t="shared" si="184"/>
        <v>-10</v>
      </c>
    </row>
    <row r="230" ht="14.25" customHeight="1">
      <c r="A230" s="218"/>
      <c r="B230" s="229"/>
      <c r="C230" s="220" t="str">
        <f t="shared" si="185"/>
        <v/>
      </c>
      <c r="D230" s="220"/>
      <c r="E230" s="220">
        <f t="shared" si="167"/>
        <v>0</v>
      </c>
      <c r="F230" s="220">
        <f t="shared" si="168"/>
        <v>-10</v>
      </c>
      <c r="H230" s="229"/>
      <c r="I230" s="220" t="str">
        <f t="shared" si="186"/>
        <v/>
      </c>
      <c r="J230" s="220"/>
      <c r="K230" s="220">
        <f t="shared" si="169"/>
        <v>0</v>
      </c>
      <c r="L230" s="220">
        <f t="shared" si="170"/>
        <v>-10</v>
      </c>
      <c r="N230" s="229"/>
      <c r="O230" s="220" t="str">
        <f t="shared" si="187"/>
        <v/>
      </c>
      <c r="P230" s="220"/>
      <c r="Q230" s="220">
        <f t="shared" si="171"/>
        <v>0</v>
      </c>
      <c r="R230" s="220">
        <f t="shared" si="172"/>
        <v>-10</v>
      </c>
      <c r="T230" s="229"/>
      <c r="U230" s="220" t="str">
        <f t="shared" si="188"/>
        <v/>
      </c>
      <c r="V230" s="220"/>
      <c r="W230" s="220">
        <f t="shared" si="173"/>
        <v>0</v>
      </c>
      <c r="X230" s="220">
        <f t="shared" si="174"/>
        <v>-10</v>
      </c>
      <c r="Z230" s="229"/>
      <c r="AA230" s="220" t="str">
        <f t="shared" si="189"/>
        <v/>
      </c>
      <c r="AB230" s="220"/>
      <c r="AC230" s="220">
        <f t="shared" si="175"/>
        <v>0</v>
      </c>
      <c r="AD230" s="220">
        <f t="shared" si="176"/>
        <v>-10</v>
      </c>
      <c r="AF230" s="229"/>
      <c r="AG230" s="220" t="str">
        <f t="shared" si="190"/>
        <v/>
      </c>
      <c r="AH230" s="220"/>
      <c r="AI230" s="220">
        <f t="shared" si="177"/>
        <v>0</v>
      </c>
      <c r="AJ230" s="220">
        <f t="shared" si="178"/>
        <v>-10</v>
      </c>
      <c r="AL230" s="229"/>
      <c r="AM230" s="220" t="str">
        <f t="shared" si="191"/>
        <v/>
      </c>
      <c r="AN230" s="220"/>
      <c r="AO230" s="220">
        <f t="shared" si="179"/>
        <v>0</v>
      </c>
      <c r="AP230" s="220">
        <f t="shared" si="180"/>
        <v>-10</v>
      </c>
      <c r="AR230" s="229"/>
      <c r="AS230" s="220" t="str">
        <f t="shared" si="192"/>
        <v/>
      </c>
      <c r="AT230" s="220"/>
      <c r="AU230" s="220">
        <f t="shared" si="181"/>
        <v>0</v>
      </c>
      <c r="AV230" s="220">
        <f t="shared" si="182"/>
        <v>-10</v>
      </c>
      <c r="AX230" s="229"/>
      <c r="AY230" s="220" t="str">
        <f t="shared" si="193"/>
        <v/>
      </c>
      <c r="AZ230" s="220"/>
      <c r="BA230" s="220">
        <f t="shared" si="183"/>
        <v>0</v>
      </c>
      <c r="BB230" s="220">
        <f t="shared" si="184"/>
        <v>-10</v>
      </c>
    </row>
    <row r="231" ht="14.25" customHeight="1">
      <c r="A231" s="222"/>
      <c r="B231" s="216"/>
      <c r="C231" s="223" t="s">
        <v>221</v>
      </c>
      <c r="D231" s="223"/>
      <c r="E231" s="216">
        <f>SUM(E200:E230)</f>
        <v>0</v>
      </c>
      <c r="F231" s="216">
        <f t="shared" si="168"/>
        <v>-10</v>
      </c>
      <c r="H231" s="216"/>
      <c r="I231" s="223" t="s">
        <v>221</v>
      </c>
      <c r="J231" s="223"/>
      <c r="K231" s="216">
        <f>SUM(K200:K230)</f>
        <v>0</v>
      </c>
      <c r="L231" s="216">
        <f t="shared" si="170"/>
        <v>-10</v>
      </c>
      <c r="N231" s="216"/>
      <c r="O231" s="223" t="s">
        <v>221</v>
      </c>
      <c r="P231" s="223"/>
      <c r="Q231" s="216">
        <f>SUM(Q200:Q230)</f>
        <v>0</v>
      </c>
      <c r="R231" s="216">
        <f t="shared" si="172"/>
        <v>-10</v>
      </c>
      <c r="T231" s="216"/>
      <c r="U231" s="223" t="s">
        <v>221</v>
      </c>
      <c r="V231" s="223"/>
      <c r="W231" s="216">
        <f>SUM(W200:W230)</f>
        <v>0</v>
      </c>
      <c r="X231" s="216">
        <f t="shared" si="174"/>
        <v>-10</v>
      </c>
      <c r="Z231" s="216"/>
      <c r="AA231" s="223" t="s">
        <v>221</v>
      </c>
      <c r="AB231" s="223"/>
      <c r="AC231" s="216">
        <f>SUM(AC200:AC230)</f>
        <v>0</v>
      </c>
      <c r="AD231" s="216">
        <f t="shared" si="176"/>
        <v>-10</v>
      </c>
      <c r="AF231" s="216"/>
      <c r="AG231" s="223" t="s">
        <v>221</v>
      </c>
      <c r="AH231" s="223"/>
      <c r="AI231" s="216">
        <f>SUM(AI200:AI230)</f>
        <v>0</v>
      </c>
      <c r="AJ231" s="216">
        <f t="shared" si="178"/>
        <v>-10</v>
      </c>
      <c r="AL231" s="216"/>
      <c r="AM231" s="223" t="s">
        <v>221</v>
      </c>
      <c r="AN231" s="223"/>
      <c r="AO231" s="216">
        <f>SUM(AO200:AO230)</f>
        <v>0</v>
      </c>
      <c r="AP231" s="216">
        <f t="shared" si="180"/>
        <v>-10</v>
      </c>
      <c r="AR231" s="216"/>
      <c r="AS231" s="223" t="s">
        <v>221</v>
      </c>
      <c r="AT231" s="223"/>
      <c r="AU231" s="216">
        <f>SUM(AU200:AU230)</f>
        <v>0</v>
      </c>
      <c r="AV231" s="216">
        <f t="shared" si="182"/>
        <v>-10</v>
      </c>
      <c r="AX231" s="216"/>
      <c r="AY231" s="223" t="s">
        <v>221</v>
      </c>
      <c r="AZ231" s="223"/>
      <c r="BA231" s="216">
        <f>SUM(BA200:BA230)</f>
        <v>0</v>
      </c>
      <c r="BB231" s="216">
        <f t="shared" si="184"/>
        <v>-10</v>
      </c>
    </row>
    <row r="232" ht="14.25" customHeight="1"/>
    <row r="233" ht="14.25" customHeight="1"/>
    <row r="234" ht="14.25" customHeight="1"/>
    <row r="235" ht="18.0" customHeight="1">
      <c r="A235" s="215" t="s">
        <v>229</v>
      </c>
      <c r="B235" s="206" t="s">
        <v>18</v>
      </c>
      <c r="C235" s="207"/>
      <c r="D235" s="207"/>
      <c r="E235" s="207"/>
      <c r="F235" s="208"/>
      <c r="G235" s="209"/>
      <c r="H235" s="206" t="s">
        <v>20</v>
      </c>
      <c r="I235" s="207"/>
      <c r="J235" s="207"/>
      <c r="K235" s="207"/>
      <c r="L235" s="208"/>
      <c r="M235" s="209"/>
      <c r="N235" s="206" t="s">
        <v>142</v>
      </c>
      <c r="O235" s="207"/>
      <c r="P235" s="207"/>
      <c r="Q235" s="207"/>
      <c r="R235" s="208"/>
      <c r="S235" s="209"/>
      <c r="T235" s="206" t="s">
        <v>95</v>
      </c>
      <c r="U235" s="207"/>
      <c r="V235" s="207"/>
      <c r="W235" s="207"/>
      <c r="X235" s="208"/>
      <c r="Y235" s="209"/>
      <c r="Z235" s="206" t="s">
        <v>32</v>
      </c>
      <c r="AA235" s="207"/>
      <c r="AB235" s="207"/>
      <c r="AC235" s="207"/>
      <c r="AD235" s="208"/>
      <c r="AE235" s="209"/>
      <c r="AF235" s="206" t="s">
        <v>27</v>
      </c>
      <c r="AG235" s="207"/>
      <c r="AH235" s="207"/>
      <c r="AI235" s="207"/>
      <c r="AJ235" s="208"/>
      <c r="AK235" s="209"/>
      <c r="AL235" s="206" t="s">
        <v>34</v>
      </c>
      <c r="AM235" s="207"/>
      <c r="AN235" s="207"/>
      <c r="AO235" s="207"/>
      <c r="AP235" s="208"/>
      <c r="AQ235" s="209"/>
      <c r="AR235" s="206"/>
      <c r="AS235" s="207"/>
      <c r="AT235" s="207"/>
      <c r="AU235" s="207"/>
      <c r="AV235" s="208"/>
      <c r="AW235" s="209"/>
      <c r="AX235" s="206"/>
      <c r="AY235" s="207"/>
      <c r="AZ235" s="207"/>
      <c r="BA235" s="207"/>
      <c r="BB235" s="208"/>
    </row>
    <row r="236" ht="14.25" customHeight="1">
      <c r="A236" s="218"/>
      <c r="B236" s="210"/>
      <c r="F236" s="211"/>
      <c r="G236" s="209"/>
      <c r="H236" s="210"/>
      <c r="L236" s="211"/>
      <c r="M236" s="209"/>
      <c r="N236" s="210"/>
      <c r="R236" s="211"/>
      <c r="S236" s="209"/>
      <c r="T236" s="210"/>
      <c r="X236" s="211"/>
      <c r="Y236" s="209"/>
      <c r="Z236" s="210"/>
      <c r="AD236" s="211"/>
      <c r="AE236" s="209"/>
      <c r="AF236" s="210"/>
      <c r="AJ236" s="211"/>
      <c r="AK236" s="209"/>
      <c r="AL236" s="210"/>
      <c r="AP236" s="211"/>
      <c r="AQ236" s="209"/>
      <c r="AR236" s="210"/>
      <c r="AV236" s="211"/>
      <c r="AW236" s="209"/>
      <c r="AX236" s="210"/>
      <c r="BB236" s="211"/>
    </row>
    <row r="237" ht="14.25" customHeight="1">
      <c r="A237" s="218"/>
      <c r="B237" s="212"/>
      <c r="C237" s="213"/>
      <c r="D237" s="213"/>
      <c r="E237" s="213"/>
      <c r="F237" s="214"/>
      <c r="G237" s="209"/>
      <c r="H237" s="212"/>
      <c r="I237" s="213"/>
      <c r="J237" s="213"/>
      <c r="K237" s="213"/>
      <c r="L237" s="214"/>
      <c r="M237" s="209"/>
      <c r="N237" s="212"/>
      <c r="O237" s="213"/>
      <c r="P237" s="213"/>
      <c r="Q237" s="213"/>
      <c r="R237" s="214"/>
      <c r="S237" s="209"/>
      <c r="T237" s="212"/>
      <c r="U237" s="213"/>
      <c r="V237" s="213"/>
      <c r="W237" s="213"/>
      <c r="X237" s="214"/>
      <c r="Y237" s="209"/>
      <c r="Z237" s="212"/>
      <c r="AA237" s="213"/>
      <c r="AB237" s="213"/>
      <c r="AC237" s="213"/>
      <c r="AD237" s="214"/>
      <c r="AE237" s="209"/>
      <c r="AF237" s="212"/>
      <c r="AG237" s="213"/>
      <c r="AH237" s="213"/>
      <c r="AI237" s="213"/>
      <c r="AJ237" s="214"/>
      <c r="AK237" s="209"/>
      <c r="AL237" s="212"/>
      <c r="AM237" s="213"/>
      <c r="AN237" s="213"/>
      <c r="AO237" s="213"/>
      <c r="AP237" s="214"/>
      <c r="AQ237" s="209"/>
      <c r="AR237" s="212"/>
      <c r="AS237" s="213"/>
      <c r="AT237" s="213"/>
      <c r="AU237" s="213"/>
      <c r="AV237" s="214"/>
      <c r="AW237" s="209"/>
      <c r="AX237" s="212"/>
      <c r="AY237" s="213"/>
      <c r="AZ237" s="213"/>
      <c r="BA237" s="213"/>
      <c r="BB237" s="214"/>
    </row>
    <row r="238" ht="14.25" customHeight="1">
      <c r="A238" s="218"/>
      <c r="B238" s="216" t="s">
        <v>214</v>
      </c>
      <c r="C238" s="216" t="s">
        <v>215</v>
      </c>
      <c r="D238" s="216" t="s">
        <v>216</v>
      </c>
      <c r="E238" s="216" t="s">
        <v>217</v>
      </c>
      <c r="F238" s="216" t="s">
        <v>218</v>
      </c>
      <c r="H238" s="217" t="s">
        <v>214</v>
      </c>
      <c r="I238" s="216" t="s">
        <v>215</v>
      </c>
      <c r="J238" s="216" t="s">
        <v>216</v>
      </c>
      <c r="K238" s="216" t="s">
        <v>217</v>
      </c>
      <c r="L238" s="216" t="s">
        <v>218</v>
      </c>
      <c r="N238" s="216" t="s">
        <v>214</v>
      </c>
      <c r="O238" s="216" t="s">
        <v>215</v>
      </c>
      <c r="P238" s="216" t="s">
        <v>216</v>
      </c>
      <c r="Q238" s="216" t="s">
        <v>217</v>
      </c>
      <c r="R238" s="216" t="s">
        <v>218</v>
      </c>
      <c r="T238" s="216" t="s">
        <v>214</v>
      </c>
      <c r="U238" s="216" t="s">
        <v>215</v>
      </c>
      <c r="V238" s="216" t="s">
        <v>216</v>
      </c>
      <c r="W238" s="216" t="s">
        <v>217</v>
      </c>
      <c r="X238" s="216" t="s">
        <v>218</v>
      </c>
      <c r="Z238" s="216" t="s">
        <v>214</v>
      </c>
      <c r="AA238" s="216" t="s">
        <v>215</v>
      </c>
      <c r="AB238" s="216" t="s">
        <v>216</v>
      </c>
      <c r="AC238" s="216" t="s">
        <v>217</v>
      </c>
      <c r="AD238" s="216" t="s">
        <v>218</v>
      </c>
      <c r="AF238" s="216" t="s">
        <v>214</v>
      </c>
      <c r="AG238" s="216" t="s">
        <v>215</v>
      </c>
      <c r="AH238" s="216" t="s">
        <v>216</v>
      </c>
      <c r="AI238" s="216" t="s">
        <v>217</v>
      </c>
      <c r="AJ238" s="216" t="s">
        <v>218</v>
      </c>
      <c r="AL238" s="216" t="s">
        <v>214</v>
      </c>
      <c r="AM238" s="216" t="s">
        <v>215</v>
      </c>
      <c r="AN238" s="216" t="s">
        <v>216</v>
      </c>
      <c r="AO238" s="216" t="s">
        <v>217</v>
      </c>
      <c r="AP238" s="216" t="s">
        <v>218</v>
      </c>
      <c r="AR238" s="216" t="s">
        <v>214</v>
      </c>
      <c r="AS238" s="216" t="s">
        <v>215</v>
      </c>
      <c r="AT238" s="216" t="s">
        <v>216</v>
      </c>
      <c r="AU238" s="216" t="s">
        <v>217</v>
      </c>
      <c r="AV238" s="216" t="s">
        <v>218</v>
      </c>
      <c r="AX238" s="216" t="s">
        <v>214</v>
      </c>
      <c r="AY238" s="216" t="s">
        <v>215</v>
      </c>
      <c r="AZ238" s="216" t="s">
        <v>216</v>
      </c>
      <c r="BA238" s="216" t="s">
        <v>217</v>
      </c>
      <c r="BB238" s="216" t="s">
        <v>218</v>
      </c>
    </row>
    <row r="239" ht="14.25" customHeight="1">
      <c r="A239" s="218"/>
      <c r="B239" s="219">
        <v>45078.0</v>
      </c>
      <c r="C239" s="220"/>
      <c r="D239" s="220"/>
      <c r="E239" s="220">
        <f t="shared" ref="E239:E269" si="194">D239-C239</f>
        <v>0</v>
      </c>
      <c r="F239" s="220">
        <f t="shared" ref="F239:F270" si="195">E239-10</f>
        <v>-10</v>
      </c>
      <c r="H239" s="219">
        <v>45078.0</v>
      </c>
      <c r="I239" s="220"/>
      <c r="J239" s="220"/>
      <c r="K239" s="220">
        <f t="shared" ref="K239:K269" si="196">J239-I239</f>
        <v>0</v>
      </c>
      <c r="L239" s="220">
        <f t="shared" ref="L239:L270" si="197">K239-10</f>
        <v>-10</v>
      </c>
      <c r="N239" s="219">
        <v>45078.0</v>
      </c>
      <c r="O239" s="220"/>
      <c r="P239" s="220"/>
      <c r="Q239" s="220">
        <f t="shared" ref="Q239:Q269" si="198">P239-O239</f>
        <v>0</v>
      </c>
      <c r="R239" s="220">
        <f t="shared" ref="R239:R270" si="199">Q239-10</f>
        <v>-10</v>
      </c>
      <c r="T239" s="219">
        <v>45078.0</v>
      </c>
      <c r="U239" s="220"/>
      <c r="V239" s="220"/>
      <c r="W239" s="220">
        <f t="shared" ref="W239:W269" si="200">V239-U239</f>
        <v>0</v>
      </c>
      <c r="X239" s="220">
        <f t="shared" ref="X239:X270" si="201">W239-10</f>
        <v>-10</v>
      </c>
      <c r="Z239" s="219">
        <v>45078.0</v>
      </c>
      <c r="AA239" s="220"/>
      <c r="AB239" s="220"/>
      <c r="AC239" s="220">
        <f t="shared" ref="AC239:AC269" si="202">AB239-AA239</f>
        <v>0</v>
      </c>
      <c r="AD239" s="220">
        <f t="shared" ref="AD239:AD270" si="203">AC239-10</f>
        <v>-10</v>
      </c>
      <c r="AF239" s="219">
        <v>45078.0</v>
      </c>
      <c r="AG239" s="220"/>
      <c r="AH239" s="220"/>
      <c r="AI239" s="220">
        <f t="shared" ref="AI239:AI269" si="204">AH239-AG239</f>
        <v>0</v>
      </c>
      <c r="AJ239" s="220">
        <f t="shared" ref="AJ239:AJ270" si="205">AI239-10</f>
        <v>-10</v>
      </c>
      <c r="AL239" s="219">
        <v>45078.0</v>
      </c>
      <c r="AM239" s="220"/>
      <c r="AN239" s="220"/>
      <c r="AO239" s="220">
        <f t="shared" ref="AO239:AO269" si="206">AN239-AM239</f>
        <v>0</v>
      </c>
      <c r="AP239" s="220">
        <f t="shared" ref="AP239:AP270" si="207">AO239-10</f>
        <v>-10</v>
      </c>
      <c r="AR239" s="219">
        <v>45078.0</v>
      </c>
      <c r="AS239" s="220"/>
      <c r="AT239" s="220"/>
      <c r="AU239" s="220">
        <f t="shared" ref="AU239:AU269" si="208">AT239-AS239</f>
        <v>0</v>
      </c>
      <c r="AV239" s="220">
        <f t="shared" ref="AV239:AV270" si="209">AU239-10</f>
        <v>-10</v>
      </c>
      <c r="AX239" s="219">
        <v>45078.0</v>
      </c>
      <c r="AY239" s="220"/>
      <c r="AZ239" s="220"/>
      <c r="BA239" s="220">
        <f t="shared" ref="BA239:BA269" si="210">AZ239-AY239</f>
        <v>0</v>
      </c>
      <c r="BB239" s="220">
        <f t="shared" ref="BB239:BB270" si="211">BA239-10</f>
        <v>-10</v>
      </c>
    </row>
    <row r="240" ht="14.25" customHeight="1">
      <c r="A240" s="218"/>
      <c r="B240" s="219">
        <v>45079.0</v>
      </c>
      <c r="C240" s="220" t="str">
        <f t="shared" ref="C240:C269" si="212">D239</f>
        <v/>
      </c>
      <c r="D240" s="220"/>
      <c r="E240" s="220">
        <f t="shared" si="194"/>
        <v>0</v>
      </c>
      <c r="F240" s="220">
        <f t="shared" si="195"/>
        <v>-10</v>
      </c>
      <c r="H240" s="219">
        <v>45079.0</v>
      </c>
      <c r="I240" s="220" t="str">
        <f t="shared" ref="I240:I269" si="213">J239</f>
        <v/>
      </c>
      <c r="J240" s="220"/>
      <c r="K240" s="220">
        <f t="shared" si="196"/>
        <v>0</v>
      </c>
      <c r="L240" s="220">
        <f t="shared" si="197"/>
        <v>-10</v>
      </c>
      <c r="N240" s="219">
        <v>45079.0</v>
      </c>
      <c r="O240" s="220" t="str">
        <f t="shared" ref="O240:O269" si="214">P239</f>
        <v/>
      </c>
      <c r="P240" s="220"/>
      <c r="Q240" s="220">
        <f t="shared" si="198"/>
        <v>0</v>
      </c>
      <c r="R240" s="220">
        <f t="shared" si="199"/>
        <v>-10</v>
      </c>
      <c r="T240" s="219">
        <v>45079.0</v>
      </c>
      <c r="U240" s="220" t="str">
        <f t="shared" ref="U240:U269" si="215">V239</f>
        <v/>
      </c>
      <c r="V240" s="220"/>
      <c r="W240" s="220">
        <f t="shared" si="200"/>
        <v>0</v>
      </c>
      <c r="X240" s="220">
        <f t="shared" si="201"/>
        <v>-10</v>
      </c>
      <c r="Z240" s="219">
        <v>45079.0</v>
      </c>
      <c r="AA240" s="220" t="str">
        <f t="shared" ref="AA240:AA269" si="216">AB239</f>
        <v/>
      </c>
      <c r="AB240" s="220"/>
      <c r="AC240" s="220">
        <f t="shared" si="202"/>
        <v>0</v>
      </c>
      <c r="AD240" s="220">
        <f t="shared" si="203"/>
        <v>-10</v>
      </c>
      <c r="AF240" s="219">
        <v>45079.0</v>
      </c>
      <c r="AG240" s="220" t="str">
        <f t="shared" ref="AG240:AG269" si="217">AH239</f>
        <v/>
      </c>
      <c r="AH240" s="220"/>
      <c r="AI240" s="220">
        <f t="shared" si="204"/>
        <v>0</v>
      </c>
      <c r="AJ240" s="220">
        <f t="shared" si="205"/>
        <v>-10</v>
      </c>
      <c r="AL240" s="219">
        <v>45079.0</v>
      </c>
      <c r="AM240" s="220" t="str">
        <f t="shared" ref="AM240:AM269" si="218">AN239</f>
        <v/>
      </c>
      <c r="AN240" s="220"/>
      <c r="AO240" s="220">
        <f t="shared" si="206"/>
        <v>0</v>
      </c>
      <c r="AP240" s="220">
        <f t="shared" si="207"/>
        <v>-10</v>
      </c>
      <c r="AR240" s="219">
        <v>45079.0</v>
      </c>
      <c r="AS240" s="220" t="str">
        <f t="shared" ref="AS240:AS269" si="219">AT239</f>
        <v/>
      </c>
      <c r="AT240" s="220"/>
      <c r="AU240" s="220">
        <f t="shared" si="208"/>
        <v>0</v>
      </c>
      <c r="AV240" s="220">
        <f t="shared" si="209"/>
        <v>-10</v>
      </c>
      <c r="AX240" s="219">
        <v>45079.0</v>
      </c>
      <c r="AY240" s="220" t="str">
        <f t="shared" ref="AY240:AY269" si="220">AZ239</f>
        <v/>
      </c>
      <c r="AZ240" s="220"/>
      <c r="BA240" s="220">
        <f t="shared" si="210"/>
        <v>0</v>
      </c>
      <c r="BB240" s="220">
        <f t="shared" si="211"/>
        <v>-10</v>
      </c>
    </row>
    <row r="241" ht="14.25" customHeight="1">
      <c r="A241" s="218"/>
      <c r="B241" s="219">
        <v>45080.0</v>
      </c>
      <c r="C241" s="220" t="str">
        <f t="shared" si="212"/>
        <v/>
      </c>
      <c r="D241" s="220"/>
      <c r="E241" s="220">
        <f t="shared" si="194"/>
        <v>0</v>
      </c>
      <c r="F241" s="220">
        <f t="shared" si="195"/>
        <v>-10</v>
      </c>
      <c r="G241" s="221"/>
      <c r="H241" s="219">
        <v>45080.0</v>
      </c>
      <c r="I241" s="220" t="str">
        <f t="shared" si="213"/>
        <v/>
      </c>
      <c r="J241" s="220"/>
      <c r="K241" s="220">
        <f t="shared" si="196"/>
        <v>0</v>
      </c>
      <c r="L241" s="220">
        <f t="shared" si="197"/>
        <v>-10</v>
      </c>
      <c r="M241" s="221"/>
      <c r="N241" s="219">
        <v>45080.0</v>
      </c>
      <c r="O241" s="220" t="str">
        <f t="shared" si="214"/>
        <v/>
      </c>
      <c r="P241" s="220"/>
      <c r="Q241" s="220">
        <f t="shared" si="198"/>
        <v>0</v>
      </c>
      <c r="R241" s="220">
        <f t="shared" si="199"/>
        <v>-10</v>
      </c>
      <c r="S241" s="221"/>
      <c r="T241" s="219">
        <v>45080.0</v>
      </c>
      <c r="U241" s="220" t="str">
        <f t="shared" si="215"/>
        <v/>
      </c>
      <c r="V241" s="220"/>
      <c r="W241" s="220">
        <f t="shared" si="200"/>
        <v>0</v>
      </c>
      <c r="X241" s="220">
        <f t="shared" si="201"/>
        <v>-10</v>
      </c>
      <c r="Y241" s="221"/>
      <c r="Z241" s="219">
        <v>45080.0</v>
      </c>
      <c r="AA241" s="220" t="str">
        <f t="shared" si="216"/>
        <v/>
      </c>
      <c r="AB241" s="220"/>
      <c r="AC241" s="220">
        <f t="shared" si="202"/>
        <v>0</v>
      </c>
      <c r="AD241" s="220">
        <f t="shared" si="203"/>
        <v>-10</v>
      </c>
      <c r="AE241" s="221"/>
      <c r="AF241" s="219">
        <v>45080.0</v>
      </c>
      <c r="AG241" s="220" t="str">
        <f t="shared" si="217"/>
        <v/>
      </c>
      <c r="AH241" s="220"/>
      <c r="AI241" s="220">
        <f t="shared" si="204"/>
        <v>0</v>
      </c>
      <c r="AJ241" s="220">
        <f t="shared" si="205"/>
        <v>-10</v>
      </c>
      <c r="AK241" s="221"/>
      <c r="AL241" s="219">
        <v>45080.0</v>
      </c>
      <c r="AM241" s="220" t="str">
        <f t="shared" si="218"/>
        <v/>
      </c>
      <c r="AN241" s="220"/>
      <c r="AO241" s="220">
        <f t="shared" si="206"/>
        <v>0</v>
      </c>
      <c r="AP241" s="220">
        <f t="shared" si="207"/>
        <v>-10</v>
      </c>
      <c r="AQ241" s="221"/>
      <c r="AR241" s="219">
        <v>45080.0</v>
      </c>
      <c r="AS241" s="220" t="str">
        <f t="shared" si="219"/>
        <v/>
      </c>
      <c r="AT241" s="220"/>
      <c r="AU241" s="220">
        <f t="shared" si="208"/>
        <v>0</v>
      </c>
      <c r="AV241" s="220">
        <f t="shared" si="209"/>
        <v>-10</v>
      </c>
      <c r="AW241" s="221"/>
      <c r="AX241" s="219">
        <v>45080.0</v>
      </c>
      <c r="AY241" s="220" t="str">
        <f t="shared" si="220"/>
        <v/>
      </c>
      <c r="AZ241" s="220"/>
      <c r="BA241" s="220">
        <f t="shared" si="210"/>
        <v>0</v>
      </c>
      <c r="BB241" s="220">
        <f t="shared" si="211"/>
        <v>-10</v>
      </c>
    </row>
    <row r="242" ht="14.25" customHeight="1">
      <c r="A242" s="218"/>
      <c r="B242" s="219">
        <v>45081.0</v>
      </c>
      <c r="C242" s="220" t="str">
        <f t="shared" si="212"/>
        <v/>
      </c>
      <c r="D242" s="220"/>
      <c r="E242" s="220">
        <f t="shared" si="194"/>
        <v>0</v>
      </c>
      <c r="F242" s="220">
        <f t="shared" si="195"/>
        <v>-10</v>
      </c>
      <c r="G242" s="221"/>
      <c r="H242" s="219">
        <v>45081.0</v>
      </c>
      <c r="I242" s="220" t="str">
        <f t="shared" si="213"/>
        <v/>
      </c>
      <c r="J242" s="220"/>
      <c r="K242" s="220">
        <f t="shared" si="196"/>
        <v>0</v>
      </c>
      <c r="L242" s="220">
        <f t="shared" si="197"/>
        <v>-10</v>
      </c>
      <c r="M242" s="221"/>
      <c r="N242" s="219">
        <v>45081.0</v>
      </c>
      <c r="O242" s="220" t="str">
        <f t="shared" si="214"/>
        <v/>
      </c>
      <c r="P242" s="220"/>
      <c r="Q242" s="220">
        <f t="shared" si="198"/>
        <v>0</v>
      </c>
      <c r="R242" s="220">
        <f t="shared" si="199"/>
        <v>-10</v>
      </c>
      <c r="S242" s="221"/>
      <c r="T242" s="219">
        <v>45081.0</v>
      </c>
      <c r="U242" s="220" t="str">
        <f t="shared" si="215"/>
        <v/>
      </c>
      <c r="V242" s="220"/>
      <c r="W242" s="220">
        <f t="shared" si="200"/>
        <v>0</v>
      </c>
      <c r="X242" s="220">
        <f t="shared" si="201"/>
        <v>-10</v>
      </c>
      <c r="Y242" s="221"/>
      <c r="Z242" s="219">
        <v>45081.0</v>
      </c>
      <c r="AA242" s="220" t="str">
        <f t="shared" si="216"/>
        <v/>
      </c>
      <c r="AB242" s="220"/>
      <c r="AC242" s="220">
        <f t="shared" si="202"/>
        <v>0</v>
      </c>
      <c r="AD242" s="220">
        <f t="shared" si="203"/>
        <v>-10</v>
      </c>
      <c r="AE242" s="221"/>
      <c r="AF242" s="219">
        <v>45081.0</v>
      </c>
      <c r="AG242" s="220" t="str">
        <f t="shared" si="217"/>
        <v/>
      </c>
      <c r="AH242" s="220"/>
      <c r="AI242" s="220">
        <f t="shared" si="204"/>
        <v>0</v>
      </c>
      <c r="AJ242" s="220">
        <f t="shared" si="205"/>
        <v>-10</v>
      </c>
      <c r="AK242" s="221"/>
      <c r="AL242" s="219">
        <v>45081.0</v>
      </c>
      <c r="AM242" s="220" t="str">
        <f t="shared" si="218"/>
        <v/>
      </c>
      <c r="AN242" s="220"/>
      <c r="AO242" s="220">
        <f t="shared" si="206"/>
        <v>0</v>
      </c>
      <c r="AP242" s="220">
        <f t="shared" si="207"/>
        <v>-10</v>
      </c>
      <c r="AQ242" s="221"/>
      <c r="AR242" s="219">
        <v>45081.0</v>
      </c>
      <c r="AS242" s="220" t="str">
        <f t="shared" si="219"/>
        <v/>
      </c>
      <c r="AT242" s="220"/>
      <c r="AU242" s="220">
        <f t="shared" si="208"/>
        <v>0</v>
      </c>
      <c r="AV242" s="220">
        <f t="shared" si="209"/>
        <v>-10</v>
      </c>
      <c r="AW242" s="221"/>
      <c r="AX242" s="219">
        <v>45081.0</v>
      </c>
      <c r="AY242" s="220" t="str">
        <f t="shared" si="220"/>
        <v/>
      </c>
      <c r="AZ242" s="220"/>
      <c r="BA242" s="220">
        <f t="shared" si="210"/>
        <v>0</v>
      </c>
      <c r="BB242" s="220">
        <f t="shared" si="211"/>
        <v>-10</v>
      </c>
    </row>
    <row r="243" ht="14.25" customHeight="1">
      <c r="A243" s="218"/>
      <c r="B243" s="219">
        <v>45082.0</v>
      </c>
      <c r="C243" s="220" t="str">
        <f t="shared" si="212"/>
        <v/>
      </c>
      <c r="D243" s="220"/>
      <c r="E243" s="220">
        <f t="shared" si="194"/>
        <v>0</v>
      </c>
      <c r="F243" s="220">
        <f t="shared" si="195"/>
        <v>-10</v>
      </c>
      <c r="H243" s="219">
        <v>45082.0</v>
      </c>
      <c r="I243" s="220" t="str">
        <f t="shared" si="213"/>
        <v/>
      </c>
      <c r="J243" s="220"/>
      <c r="K243" s="220">
        <f t="shared" si="196"/>
        <v>0</v>
      </c>
      <c r="L243" s="220">
        <f t="shared" si="197"/>
        <v>-10</v>
      </c>
      <c r="N243" s="219">
        <v>45082.0</v>
      </c>
      <c r="O243" s="220" t="str">
        <f t="shared" si="214"/>
        <v/>
      </c>
      <c r="P243" s="220"/>
      <c r="Q243" s="220">
        <f t="shared" si="198"/>
        <v>0</v>
      </c>
      <c r="R243" s="220">
        <f t="shared" si="199"/>
        <v>-10</v>
      </c>
      <c r="T243" s="219">
        <v>45082.0</v>
      </c>
      <c r="U243" s="220" t="str">
        <f t="shared" si="215"/>
        <v/>
      </c>
      <c r="V243" s="220"/>
      <c r="W243" s="220">
        <f t="shared" si="200"/>
        <v>0</v>
      </c>
      <c r="X243" s="220">
        <f t="shared" si="201"/>
        <v>-10</v>
      </c>
      <c r="Z243" s="219">
        <v>45082.0</v>
      </c>
      <c r="AA243" s="220" t="str">
        <f t="shared" si="216"/>
        <v/>
      </c>
      <c r="AB243" s="220"/>
      <c r="AC243" s="220">
        <f t="shared" si="202"/>
        <v>0</v>
      </c>
      <c r="AD243" s="220">
        <f t="shared" si="203"/>
        <v>-10</v>
      </c>
      <c r="AF243" s="219">
        <v>45082.0</v>
      </c>
      <c r="AG243" s="220" t="str">
        <f t="shared" si="217"/>
        <v/>
      </c>
      <c r="AH243" s="220"/>
      <c r="AI243" s="220">
        <f t="shared" si="204"/>
        <v>0</v>
      </c>
      <c r="AJ243" s="220">
        <f t="shared" si="205"/>
        <v>-10</v>
      </c>
      <c r="AL243" s="219">
        <v>45082.0</v>
      </c>
      <c r="AM243" s="220" t="str">
        <f t="shared" si="218"/>
        <v/>
      </c>
      <c r="AN243" s="220"/>
      <c r="AO243" s="220">
        <f t="shared" si="206"/>
        <v>0</v>
      </c>
      <c r="AP243" s="220">
        <f t="shared" si="207"/>
        <v>-10</v>
      </c>
      <c r="AR243" s="219">
        <v>45082.0</v>
      </c>
      <c r="AS243" s="220" t="str">
        <f t="shared" si="219"/>
        <v/>
      </c>
      <c r="AT243" s="220"/>
      <c r="AU243" s="220">
        <f t="shared" si="208"/>
        <v>0</v>
      </c>
      <c r="AV243" s="220">
        <f t="shared" si="209"/>
        <v>-10</v>
      </c>
      <c r="AX243" s="219">
        <v>45082.0</v>
      </c>
      <c r="AY243" s="220" t="str">
        <f t="shared" si="220"/>
        <v/>
      </c>
      <c r="AZ243" s="220"/>
      <c r="BA243" s="220">
        <f t="shared" si="210"/>
        <v>0</v>
      </c>
      <c r="BB243" s="220">
        <f t="shared" si="211"/>
        <v>-10</v>
      </c>
    </row>
    <row r="244" ht="14.25" customHeight="1">
      <c r="A244" s="218"/>
      <c r="B244" s="219">
        <v>45083.0</v>
      </c>
      <c r="C244" s="220" t="str">
        <f t="shared" si="212"/>
        <v/>
      </c>
      <c r="D244" s="220"/>
      <c r="E244" s="220">
        <f t="shared" si="194"/>
        <v>0</v>
      </c>
      <c r="F244" s="220">
        <f t="shared" si="195"/>
        <v>-10</v>
      </c>
      <c r="H244" s="219">
        <v>45083.0</v>
      </c>
      <c r="I244" s="220" t="str">
        <f t="shared" si="213"/>
        <v/>
      </c>
      <c r="J244" s="220"/>
      <c r="K244" s="220">
        <f t="shared" si="196"/>
        <v>0</v>
      </c>
      <c r="L244" s="220">
        <f t="shared" si="197"/>
        <v>-10</v>
      </c>
      <c r="N244" s="219">
        <v>45083.0</v>
      </c>
      <c r="O244" s="220" t="str">
        <f t="shared" si="214"/>
        <v/>
      </c>
      <c r="P244" s="220"/>
      <c r="Q244" s="220">
        <f t="shared" si="198"/>
        <v>0</v>
      </c>
      <c r="R244" s="220">
        <f t="shared" si="199"/>
        <v>-10</v>
      </c>
      <c r="T244" s="219">
        <v>45083.0</v>
      </c>
      <c r="U244" s="220" t="str">
        <f t="shared" si="215"/>
        <v/>
      </c>
      <c r="V244" s="220"/>
      <c r="W244" s="220">
        <f t="shared" si="200"/>
        <v>0</v>
      </c>
      <c r="X244" s="220">
        <f t="shared" si="201"/>
        <v>-10</v>
      </c>
      <c r="Z244" s="219">
        <v>45083.0</v>
      </c>
      <c r="AA244" s="220" t="str">
        <f t="shared" si="216"/>
        <v/>
      </c>
      <c r="AB244" s="220"/>
      <c r="AC244" s="220">
        <f t="shared" si="202"/>
        <v>0</v>
      </c>
      <c r="AD244" s="220">
        <f t="shared" si="203"/>
        <v>-10</v>
      </c>
      <c r="AF244" s="219">
        <v>45083.0</v>
      </c>
      <c r="AG244" s="220" t="str">
        <f t="shared" si="217"/>
        <v/>
      </c>
      <c r="AH244" s="220"/>
      <c r="AI244" s="220">
        <f t="shared" si="204"/>
        <v>0</v>
      </c>
      <c r="AJ244" s="220">
        <f t="shared" si="205"/>
        <v>-10</v>
      </c>
      <c r="AL244" s="219">
        <v>45083.0</v>
      </c>
      <c r="AM244" s="220" t="str">
        <f t="shared" si="218"/>
        <v/>
      </c>
      <c r="AN244" s="220"/>
      <c r="AO244" s="220">
        <f t="shared" si="206"/>
        <v>0</v>
      </c>
      <c r="AP244" s="220">
        <f t="shared" si="207"/>
        <v>-10</v>
      </c>
      <c r="AR244" s="219">
        <v>45083.0</v>
      </c>
      <c r="AS244" s="220" t="str">
        <f t="shared" si="219"/>
        <v/>
      </c>
      <c r="AT244" s="220"/>
      <c r="AU244" s="220">
        <f t="shared" si="208"/>
        <v>0</v>
      </c>
      <c r="AV244" s="220">
        <f t="shared" si="209"/>
        <v>-10</v>
      </c>
      <c r="AX244" s="219">
        <v>45083.0</v>
      </c>
      <c r="AY244" s="220" t="str">
        <f t="shared" si="220"/>
        <v/>
      </c>
      <c r="AZ244" s="220"/>
      <c r="BA244" s="220">
        <f t="shared" si="210"/>
        <v>0</v>
      </c>
      <c r="BB244" s="220">
        <f t="shared" si="211"/>
        <v>-10</v>
      </c>
    </row>
    <row r="245" ht="14.25" customHeight="1">
      <c r="A245" s="218"/>
      <c r="B245" s="219">
        <v>45084.0</v>
      </c>
      <c r="C245" s="220" t="str">
        <f t="shared" si="212"/>
        <v/>
      </c>
      <c r="D245" s="220"/>
      <c r="E245" s="220">
        <f t="shared" si="194"/>
        <v>0</v>
      </c>
      <c r="F245" s="220">
        <f t="shared" si="195"/>
        <v>-10</v>
      </c>
      <c r="H245" s="219">
        <v>45084.0</v>
      </c>
      <c r="I245" s="220" t="str">
        <f t="shared" si="213"/>
        <v/>
      </c>
      <c r="J245" s="220"/>
      <c r="K245" s="220">
        <f t="shared" si="196"/>
        <v>0</v>
      </c>
      <c r="L245" s="220">
        <f t="shared" si="197"/>
        <v>-10</v>
      </c>
      <c r="N245" s="219">
        <v>45084.0</v>
      </c>
      <c r="O245" s="220" t="str">
        <f t="shared" si="214"/>
        <v/>
      </c>
      <c r="P245" s="220"/>
      <c r="Q245" s="220">
        <f t="shared" si="198"/>
        <v>0</v>
      </c>
      <c r="R245" s="220">
        <f t="shared" si="199"/>
        <v>-10</v>
      </c>
      <c r="T245" s="219">
        <v>45084.0</v>
      </c>
      <c r="U245" s="220" t="str">
        <f t="shared" si="215"/>
        <v/>
      </c>
      <c r="V245" s="220"/>
      <c r="W245" s="220">
        <f t="shared" si="200"/>
        <v>0</v>
      </c>
      <c r="X245" s="220">
        <f t="shared" si="201"/>
        <v>-10</v>
      </c>
      <c r="Z245" s="219">
        <v>45084.0</v>
      </c>
      <c r="AA245" s="220" t="str">
        <f t="shared" si="216"/>
        <v/>
      </c>
      <c r="AB245" s="220"/>
      <c r="AC245" s="220">
        <f t="shared" si="202"/>
        <v>0</v>
      </c>
      <c r="AD245" s="220">
        <f t="shared" si="203"/>
        <v>-10</v>
      </c>
      <c r="AF245" s="219">
        <v>45084.0</v>
      </c>
      <c r="AG245" s="220" t="str">
        <f t="shared" si="217"/>
        <v/>
      </c>
      <c r="AH245" s="220"/>
      <c r="AI245" s="220">
        <f t="shared" si="204"/>
        <v>0</v>
      </c>
      <c r="AJ245" s="220">
        <f t="shared" si="205"/>
        <v>-10</v>
      </c>
      <c r="AL245" s="219">
        <v>45084.0</v>
      </c>
      <c r="AM245" s="220" t="str">
        <f t="shared" si="218"/>
        <v/>
      </c>
      <c r="AN245" s="220"/>
      <c r="AO245" s="220">
        <f t="shared" si="206"/>
        <v>0</v>
      </c>
      <c r="AP245" s="220">
        <f t="shared" si="207"/>
        <v>-10</v>
      </c>
      <c r="AR245" s="219">
        <v>45084.0</v>
      </c>
      <c r="AS245" s="220" t="str">
        <f t="shared" si="219"/>
        <v/>
      </c>
      <c r="AT245" s="220"/>
      <c r="AU245" s="220">
        <f t="shared" si="208"/>
        <v>0</v>
      </c>
      <c r="AV245" s="220">
        <f t="shared" si="209"/>
        <v>-10</v>
      </c>
      <c r="AX245" s="219">
        <v>45084.0</v>
      </c>
      <c r="AY245" s="220" t="str">
        <f t="shared" si="220"/>
        <v/>
      </c>
      <c r="AZ245" s="220"/>
      <c r="BA245" s="220">
        <f t="shared" si="210"/>
        <v>0</v>
      </c>
      <c r="BB245" s="220">
        <f t="shared" si="211"/>
        <v>-10</v>
      </c>
    </row>
    <row r="246" ht="14.25" customHeight="1">
      <c r="A246" s="218"/>
      <c r="B246" s="219">
        <v>45085.0</v>
      </c>
      <c r="C246" s="220" t="str">
        <f t="shared" si="212"/>
        <v/>
      </c>
      <c r="D246" s="220"/>
      <c r="E246" s="220">
        <f t="shared" si="194"/>
        <v>0</v>
      </c>
      <c r="F246" s="220">
        <f t="shared" si="195"/>
        <v>-10</v>
      </c>
      <c r="H246" s="219">
        <v>45085.0</v>
      </c>
      <c r="I246" s="220" t="str">
        <f t="shared" si="213"/>
        <v/>
      </c>
      <c r="J246" s="220"/>
      <c r="K246" s="220">
        <f t="shared" si="196"/>
        <v>0</v>
      </c>
      <c r="L246" s="220">
        <f t="shared" si="197"/>
        <v>-10</v>
      </c>
      <c r="N246" s="219">
        <v>45085.0</v>
      </c>
      <c r="O246" s="220" t="str">
        <f t="shared" si="214"/>
        <v/>
      </c>
      <c r="P246" s="220"/>
      <c r="Q246" s="220">
        <f t="shared" si="198"/>
        <v>0</v>
      </c>
      <c r="R246" s="220">
        <f t="shared" si="199"/>
        <v>-10</v>
      </c>
      <c r="T246" s="219">
        <v>45085.0</v>
      </c>
      <c r="U246" s="220" t="str">
        <f t="shared" si="215"/>
        <v/>
      </c>
      <c r="V246" s="220"/>
      <c r="W246" s="220">
        <f t="shared" si="200"/>
        <v>0</v>
      </c>
      <c r="X246" s="220">
        <f t="shared" si="201"/>
        <v>-10</v>
      </c>
      <c r="Z246" s="219">
        <v>45085.0</v>
      </c>
      <c r="AA246" s="220" t="str">
        <f t="shared" si="216"/>
        <v/>
      </c>
      <c r="AB246" s="220"/>
      <c r="AC246" s="220">
        <f t="shared" si="202"/>
        <v>0</v>
      </c>
      <c r="AD246" s="220">
        <f t="shared" si="203"/>
        <v>-10</v>
      </c>
      <c r="AF246" s="219">
        <v>45085.0</v>
      </c>
      <c r="AG246" s="220" t="str">
        <f t="shared" si="217"/>
        <v/>
      </c>
      <c r="AH246" s="220"/>
      <c r="AI246" s="220">
        <f t="shared" si="204"/>
        <v>0</v>
      </c>
      <c r="AJ246" s="220">
        <f t="shared" si="205"/>
        <v>-10</v>
      </c>
      <c r="AL246" s="219">
        <v>45085.0</v>
      </c>
      <c r="AM246" s="220" t="str">
        <f t="shared" si="218"/>
        <v/>
      </c>
      <c r="AN246" s="220"/>
      <c r="AO246" s="220">
        <f t="shared" si="206"/>
        <v>0</v>
      </c>
      <c r="AP246" s="220">
        <f t="shared" si="207"/>
        <v>-10</v>
      </c>
      <c r="AR246" s="219">
        <v>45085.0</v>
      </c>
      <c r="AS246" s="220" t="str">
        <f t="shared" si="219"/>
        <v/>
      </c>
      <c r="AT246" s="220"/>
      <c r="AU246" s="220">
        <f t="shared" si="208"/>
        <v>0</v>
      </c>
      <c r="AV246" s="220">
        <f t="shared" si="209"/>
        <v>-10</v>
      </c>
      <c r="AX246" s="219">
        <v>45085.0</v>
      </c>
      <c r="AY246" s="220" t="str">
        <f t="shared" si="220"/>
        <v/>
      </c>
      <c r="AZ246" s="220"/>
      <c r="BA246" s="220">
        <f t="shared" si="210"/>
        <v>0</v>
      </c>
      <c r="BB246" s="220">
        <f t="shared" si="211"/>
        <v>-10</v>
      </c>
    </row>
    <row r="247" ht="14.25" customHeight="1">
      <c r="A247" s="218"/>
      <c r="B247" s="219">
        <v>45086.0</v>
      </c>
      <c r="C247" s="220" t="str">
        <f t="shared" si="212"/>
        <v/>
      </c>
      <c r="D247" s="220"/>
      <c r="E247" s="220">
        <f t="shared" si="194"/>
        <v>0</v>
      </c>
      <c r="F247" s="220">
        <f t="shared" si="195"/>
        <v>-10</v>
      </c>
      <c r="H247" s="219">
        <v>45086.0</v>
      </c>
      <c r="I247" s="220" t="str">
        <f t="shared" si="213"/>
        <v/>
      </c>
      <c r="J247" s="220"/>
      <c r="K247" s="220">
        <f t="shared" si="196"/>
        <v>0</v>
      </c>
      <c r="L247" s="220">
        <f t="shared" si="197"/>
        <v>-10</v>
      </c>
      <c r="N247" s="219">
        <v>45086.0</v>
      </c>
      <c r="O247" s="220" t="str">
        <f t="shared" si="214"/>
        <v/>
      </c>
      <c r="P247" s="220"/>
      <c r="Q247" s="220">
        <f t="shared" si="198"/>
        <v>0</v>
      </c>
      <c r="R247" s="220">
        <f t="shared" si="199"/>
        <v>-10</v>
      </c>
      <c r="T247" s="219">
        <v>45086.0</v>
      </c>
      <c r="U247" s="220" t="str">
        <f t="shared" si="215"/>
        <v/>
      </c>
      <c r="V247" s="220"/>
      <c r="W247" s="220">
        <f t="shared" si="200"/>
        <v>0</v>
      </c>
      <c r="X247" s="220">
        <f t="shared" si="201"/>
        <v>-10</v>
      </c>
      <c r="Z247" s="219">
        <v>45086.0</v>
      </c>
      <c r="AA247" s="220" t="str">
        <f t="shared" si="216"/>
        <v/>
      </c>
      <c r="AB247" s="220"/>
      <c r="AC247" s="220">
        <f t="shared" si="202"/>
        <v>0</v>
      </c>
      <c r="AD247" s="220">
        <f t="shared" si="203"/>
        <v>-10</v>
      </c>
      <c r="AF247" s="219">
        <v>45086.0</v>
      </c>
      <c r="AG247" s="220" t="str">
        <f t="shared" si="217"/>
        <v/>
      </c>
      <c r="AH247" s="220"/>
      <c r="AI247" s="220">
        <f t="shared" si="204"/>
        <v>0</v>
      </c>
      <c r="AJ247" s="220">
        <f t="shared" si="205"/>
        <v>-10</v>
      </c>
      <c r="AL247" s="219">
        <v>45086.0</v>
      </c>
      <c r="AM247" s="220" t="str">
        <f t="shared" si="218"/>
        <v/>
      </c>
      <c r="AN247" s="220"/>
      <c r="AO247" s="220">
        <f t="shared" si="206"/>
        <v>0</v>
      </c>
      <c r="AP247" s="220">
        <f t="shared" si="207"/>
        <v>-10</v>
      </c>
      <c r="AR247" s="219">
        <v>45086.0</v>
      </c>
      <c r="AS247" s="220" t="str">
        <f t="shared" si="219"/>
        <v/>
      </c>
      <c r="AT247" s="220"/>
      <c r="AU247" s="220">
        <f t="shared" si="208"/>
        <v>0</v>
      </c>
      <c r="AV247" s="220">
        <f t="shared" si="209"/>
        <v>-10</v>
      </c>
      <c r="AX247" s="219">
        <v>45086.0</v>
      </c>
      <c r="AY247" s="220" t="str">
        <f t="shared" si="220"/>
        <v/>
      </c>
      <c r="AZ247" s="220"/>
      <c r="BA247" s="220">
        <f t="shared" si="210"/>
        <v>0</v>
      </c>
      <c r="BB247" s="220">
        <f t="shared" si="211"/>
        <v>-10</v>
      </c>
    </row>
    <row r="248" ht="14.25" customHeight="1">
      <c r="A248" s="218"/>
      <c r="B248" s="219">
        <v>45087.0</v>
      </c>
      <c r="C248" s="220" t="str">
        <f t="shared" si="212"/>
        <v/>
      </c>
      <c r="D248" s="220"/>
      <c r="E248" s="220">
        <f t="shared" si="194"/>
        <v>0</v>
      </c>
      <c r="F248" s="220">
        <f t="shared" si="195"/>
        <v>-10</v>
      </c>
      <c r="G248" s="221"/>
      <c r="H248" s="219">
        <v>45087.0</v>
      </c>
      <c r="I248" s="220" t="str">
        <f t="shared" si="213"/>
        <v/>
      </c>
      <c r="J248" s="220"/>
      <c r="K248" s="220">
        <f t="shared" si="196"/>
        <v>0</v>
      </c>
      <c r="L248" s="220">
        <f t="shared" si="197"/>
        <v>-10</v>
      </c>
      <c r="M248" s="221"/>
      <c r="N248" s="219">
        <v>45087.0</v>
      </c>
      <c r="O248" s="220" t="str">
        <f t="shared" si="214"/>
        <v/>
      </c>
      <c r="P248" s="220"/>
      <c r="Q248" s="220">
        <f t="shared" si="198"/>
        <v>0</v>
      </c>
      <c r="R248" s="220">
        <f t="shared" si="199"/>
        <v>-10</v>
      </c>
      <c r="S248" s="221"/>
      <c r="T248" s="219">
        <v>45087.0</v>
      </c>
      <c r="U248" s="220" t="str">
        <f t="shared" si="215"/>
        <v/>
      </c>
      <c r="V248" s="220"/>
      <c r="W248" s="220">
        <f t="shared" si="200"/>
        <v>0</v>
      </c>
      <c r="X248" s="220">
        <f t="shared" si="201"/>
        <v>-10</v>
      </c>
      <c r="Y248" s="221"/>
      <c r="Z248" s="219">
        <v>45087.0</v>
      </c>
      <c r="AA248" s="220" t="str">
        <f t="shared" si="216"/>
        <v/>
      </c>
      <c r="AB248" s="220"/>
      <c r="AC248" s="220">
        <f t="shared" si="202"/>
        <v>0</v>
      </c>
      <c r="AD248" s="220">
        <f t="shared" si="203"/>
        <v>-10</v>
      </c>
      <c r="AE248" s="221"/>
      <c r="AF248" s="219">
        <v>45087.0</v>
      </c>
      <c r="AG248" s="220" t="str">
        <f t="shared" si="217"/>
        <v/>
      </c>
      <c r="AH248" s="220"/>
      <c r="AI248" s="220">
        <f t="shared" si="204"/>
        <v>0</v>
      </c>
      <c r="AJ248" s="220">
        <f t="shared" si="205"/>
        <v>-10</v>
      </c>
      <c r="AK248" s="221"/>
      <c r="AL248" s="219">
        <v>45087.0</v>
      </c>
      <c r="AM248" s="220" t="str">
        <f t="shared" si="218"/>
        <v/>
      </c>
      <c r="AN248" s="220"/>
      <c r="AO248" s="220">
        <f t="shared" si="206"/>
        <v>0</v>
      </c>
      <c r="AP248" s="220">
        <f t="shared" si="207"/>
        <v>-10</v>
      </c>
      <c r="AQ248" s="221"/>
      <c r="AR248" s="219">
        <v>45087.0</v>
      </c>
      <c r="AS248" s="220" t="str">
        <f t="shared" si="219"/>
        <v/>
      </c>
      <c r="AT248" s="220"/>
      <c r="AU248" s="220">
        <f t="shared" si="208"/>
        <v>0</v>
      </c>
      <c r="AV248" s="220">
        <f t="shared" si="209"/>
        <v>-10</v>
      </c>
      <c r="AW248" s="221"/>
      <c r="AX248" s="219">
        <v>45087.0</v>
      </c>
      <c r="AY248" s="220" t="str">
        <f t="shared" si="220"/>
        <v/>
      </c>
      <c r="AZ248" s="220"/>
      <c r="BA248" s="220">
        <f t="shared" si="210"/>
        <v>0</v>
      </c>
      <c r="BB248" s="220">
        <f t="shared" si="211"/>
        <v>-10</v>
      </c>
    </row>
    <row r="249" ht="14.25" customHeight="1">
      <c r="A249" s="218"/>
      <c r="B249" s="219">
        <v>45088.0</v>
      </c>
      <c r="C249" s="220" t="str">
        <f t="shared" si="212"/>
        <v/>
      </c>
      <c r="D249" s="220"/>
      <c r="E249" s="220">
        <f t="shared" si="194"/>
        <v>0</v>
      </c>
      <c r="F249" s="220">
        <f t="shared" si="195"/>
        <v>-10</v>
      </c>
      <c r="G249" s="221"/>
      <c r="H249" s="219">
        <v>45088.0</v>
      </c>
      <c r="I249" s="220" t="str">
        <f t="shared" si="213"/>
        <v/>
      </c>
      <c r="J249" s="220"/>
      <c r="K249" s="220">
        <f t="shared" si="196"/>
        <v>0</v>
      </c>
      <c r="L249" s="220">
        <f t="shared" si="197"/>
        <v>-10</v>
      </c>
      <c r="M249" s="221"/>
      <c r="N249" s="219">
        <v>45088.0</v>
      </c>
      <c r="O249" s="220" t="str">
        <f t="shared" si="214"/>
        <v/>
      </c>
      <c r="P249" s="220"/>
      <c r="Q249" s="220">
        <f t="shared" si="198"/>
        <v>0</v>
      </c>
      <c r="R249" s="220">
        <f t="shared" si="199"/>
        <v>-10</v>
      </c>
      <c r="S249" s="221"/>
      <c r="T249" s="219">
        <v>45088.0</v>
      </c>
      <c r="U249" s="220" t="str">
        <f t="shared" si="215"/>
        <v/>
      </c>
      <c r="V249" s="220"/>
      <c r="W249" s="220">
        <f t="shared" si="200"/>
        <v>0</v>
      </c>
      <c r="X249" s="220">
        <f t="shared" si="201"/>
        <v>-10</v>
      </c>
      <c r="Y249" s="221"/>
      <c r="Z249" s="219">
        <v>45088.0</v>
      </c>
      <c r="AA249" s="220" t="str">
        <f t="shared" si="216"/>
        <v/>
      </c>
      <c r="AB249" s="220"/>
      <c r="AC249" s="220">
        <f t="shared" si="202"/>
        <v>0</v>
      </c>
      <c r="AD249" s="220">
        <f t="shared" si="203"/>
        <v>-10</v>
      </c>
      <c r="AE249" s="221"/>
      <c r="AF249" s="219">
        <v>45088.0</v>
      </c>
      <c r="AG249" s="220" t="str">
        <f t="shared" si="217"/>
        <v/>
      </c>
      <c r="AH249" s="220"/>
      <c r="AI249" s="220">
        <f t="shared" si="204"/>
        <v>0</v>
      </c>
      <c r="AJ249" s="220">
        <f t="shared" si="205"/>
        <v>-10</v>
      </c>
      <c r="AK249" s="221"/>
      <c r="AL249" s="219">
        <v>45088.0</v>
      </c>
      <c r="AM249" s="220" t="str">
        <f t="shared" si="218"/>
        <v/>
      </c>
      <c r="AN249" s="220"/>
      <c r="AO249" s="220">
        <f t="shared" si="206"/>
        <v>0</v>
      </c>
      <c r="AP249" s="220">
        <f t="shared" si="207"/>
        <v>-10</v>
      </c>
      <c r="AQ249" s="221"/>
      <c r="AR249" s="219">
        <v>45088.0</v>
      </c>
      <c r="AS249" s="220" t="str">
        <f t="shared" si="219"/>
        <v/>
      </c>
      <c r="AT249" s="220"/>
      <c r="AU249" s="220">
        <f t="shared" si="208"/>
        <v>0</v>
      </c>
      <c r="AV249" s="220">
        <f t="shared" si="209"/>
        <v>-10</v>
      </c>
      <c r="AW249" s="221"/>
      <c r="AX249" s="219">
        <v>45088.0</v>
      </c>
      <c r="AY249" s="220" t="str">
        <f t="shared" si="220"/>
        <v/>
      </c>
      <c r="AZ249" s="220"/>
      <c r="BA249" s="220">
        <f t="shared" si="210"/>
        <v>0</v>
      </c>
      <c r="BB249" s="220">
        <f t="shared" si="211"/>
        <v>-10</v>
      </c>
    </row>
    <row r="250" ht="14.25" customHeight="1">
      <c r="A250" s="218"/>
      <c r="B250" s="219">
        <v>45089.0</v>
      </c>
      <c r="C250" s="220" t="str">
        <f t="shared" si="212"/>
        <v/>
      </c>
      <c r="D250" s="220"/>
      <c r="E250" s="220">
        <f t="shared" si="194"/>
        <v>0</v>
      </c>
      <c r="F250" s="220">
        <f t="shared" si="195"/>
        <v>-10</v>
      </c>
      <c r="H250" s="219">
        <v>45089.0</v>
      </c>
      <c r="I250" s="220" t="str">
        <f t="shared" si="213"/>
        <v/>
      </c>
      <c r="J250" s="220"/>
      <c r="K250" s="220">
        <f t="shared" si="196"/>
        <v>0</v>
      </c>
      <c r="L250" s="220">
        <f t="shared" si="197"/>
        <v>-10</v>
      </c>
      <c r="N250" s="219">
        <v>45089.0</v>
      </c>
      <c r="O250" s="220" t="str">
        <f t="shared" si="214"/>
        <v/>
      </c>
      <c r="P250" s="220"/>
      <c r="Q250" s="220">
        <f t="shared" si="198"/>
        <v>0</v>
      </c>
      <c r="R250" s="220">
        <f t="shared" si="199"/>
        <v>-10</v>
      </c>
      <c r="T250" s="219">
        <v>45089.0</v>
      </c>
      <c r="U250" s="220" t="str">
        <f t="shared" si="215"/>
        <v/>
      </c>
      <c r="V250" s="220"/>
      <c r="W250" s="220">
        <f t="shared" si="200"/>
        <v>0</v>
      </c>
      <c r="X250" s="220">
        <f t="shared" si="201"/>
        <v>-10</v>
      </c>
      <c r="Z250" s="219">
        <v>45089.0</v>
      </c>
      <c r="AA250" s="220" t="str">
        <f t="shared" si="216"/>
        <v/>
      </c>
      <c r="AB250" s="220"/>
      <c r="AC250" s="220">
        <f t="shared" si="202"/>
        <v>0</v>
      </c>
      <c r="AD250" s="220">
        <f t="shared" si="203"/>
        <v>-10</v>
      </c>
      <c r="AF250" s="219">
        <v>45089.0</v>
      </c>
      <c r="AG250" s="220" t="str">
        <f t="shared" si="217"/>
        <v/>
      </c>
      <c r="AH250" s="220"/>
      <c r="AI250" s="220">
        <f t="shared" si="204"/>
        <v>0</v>
      </c>
      <c r="AJ250" s="220">
        <f t="shared" si="205"/>
        <v>-10</v>
      </c>
      <c r="AL250" s="219">
        <v>45089.0</v>
      </c>
      <c r="AM250" s="220" t="str">
        <f t="shared" si="218"/>
        <v/>
      </c>
      <c r="AN250" s="220"/>
      <c r="AO250" s="220">
        <f t="shared" si="206"/>
        <v>0</v>
      </c>
      <c r="AP250" s="220">
        <f t="shared" si="207"/>
        <v>-10</v>
      </c>
      <c r="AR250" s="219">
        <v>45089.0</v>
      </c>
      <c r="AS250" s="220" t="str">
        <f t="shared" si="219"/>
        <v/>
      </c>
      <c r="AT250" s="220"/>
      <c r="AU250" s="220">
        <f t="shared" si="208"/>
        <v>0</v>
      </c>
      <c r="AV250" s="220">
        <f t="shared" si="209"/>
        <v>-10</v>
      </c>
      <c r="AX250" s="219">
        <v>45089.0</v>
      </c>
      <c r="AY250" s="220" t="str">
        <f t="shared" si="220"/>
        <v/>
      </c>
      <c r="AZ250" s="220"/>
      <c r="BA250" s="220">
        <f t="shared" si="210"/>
        <v>0</v>
      </c>
      <c r="BB250" s="220">
        <f t="shared" si="211"/>
        <v>-10</v>
      </c>
    </row>
    <row r="251" ht="14.25" customHeight="1">
      <c r="A251" s="218"/>
      <c r="B251" s="219">
        <v>45090.0</v>
      </c>
      <c r="C251" s="220" t="str">
        <f t="shared" si="212"/>
        <v/>
      </c>
      <c r="D251" s="220"/>
      <c r="E251" s="220">
        <f t="shared" si="194"/>
        <v>0</v>
      </c>
      <c r="F251" s="220">
        <f t="shared" si="195"/>
        <v>-10</v>
      </c>
      <c r="H251" s="219">
        <v>45090.0</v>
      </c>
      <c r="I251" s="220" t="str">
        <f t="shared" si="213"/>
        <v/>
      </c>
      <c r="J251" s="220"/>
      <c r="K251" s="220">
        <f t="shared" si="196"/>
        <v>0</v>
      </c>
      <c r="L251" s="220">
        <f t="shared" si="197"/>
        <v>-10</v>
      </c>
      <c r="N251" s="219">
        <v>45090.0</v>
      </c>
      <c r="O251" s="220" t="str">
        <f t="shared" si="214"/>
        <v/>
      </c>
      <c r="P251" s="220"/>
      <c r="Q251" s="220">
        <f t="shared" si="198"/>
        <v>0</v>
      </c>
      <c r="R251" s="220">
        <f t="shared" si="199"/>
        <v>-10</v>
      </c>
      <c r="T251" s="219">
        <v>45090.0</v>
      </c>
      <c r="U251" s="220" t="str">
        <f t="shared" si="215"/>
        <v/>
      </c>
      <c r="V251" s="220"/>
      <c r="W251" s="220">
        <f t="shared" si="200"/>
        <v>0</v>
      </c>
      <c r="X251" s="220">
        <f t="shared" si="201"/>
        <v>-10</v>
      </c>
      <c r="Z251" s="219">
        <v>45090.0</v>
      </c>
      <c r="AA251" s="220" t="str">
        <f t="shared" si="216"/>
        <v/>
      </c>
      <c r="AB251" s="220"/>
      <c r="AC251" s="220">
        <f t="shared" si="202"/>
        <v>0</v>
      </c>
      <c r="AD251" s="220">
        <f t="shared" si="203"/>
        <v>-10</v>
      </c>
      <c r="AF251" s="219">
        <v>45090.0</v>
      </c>
      <c r="AG251" s="220" t="str">
        <f t="shared" si="217"/>
        <v/>
      </c>
      <c r="AH251" s="220"/>
      <c r="AI251" s="220">
        <f t="shared" si="204"/>
        <v>0</v>
      </c>
      <c r="AJ251" s="220">
        <f t="shared" si="205"/>
        <v>-10</v>
      </c>
      <c r="AL251" s="219">
        <v>45090.0</v>
      </c>
      <c r="AM251" s="220" t="str">
        <f t="shared" si="218"/>
        <v/>
      </c>
      <c r="AN251" s="220"/>
      <c r="AO251" s="220">
        <f t="shared" si="206"/>
        <v>0</v>
      </c>
      <c r="AP251" s="220">
        <f t="shared" si="207"/>
        <v>-10</v>
      </c>
      <c r="AR251" s="219">
        <v>45090.0</v>
      </c>
      <c r="AS251" s="220" t="str">
        <f t="shared" si="219"/>
        <v/>
      </c>
      <c r="AT251" s="220"/>
      <c r="AU251" s="220">
        <f t="shared" si="208"/>
        <v>0</v>
      </c>
      <c r="AV251" s="220">
        <f t="shared" si="209"/>
        <v>-10</v>
      </c>
      <c r="AX251" s="219">
        <v>45090.0</v>
      </c>
      <c r="AY251" s="220" t="str">
        <f t="shared" si="220"/>
        <v/>
      </c>
      <c r="AZ251" s="220"/>
      <c r="BA251" s="220">
        <f t="shared" si="210"/>
        <v>0</v>
      </c>
      <c r="BB251" s="220">
        <f t="shared" si="211"/>
        <v>-10</v>
      </c>
    </row>
    <row r="252" ht="14.25" customHeight="1">
      <c r="A252" s="218"/>
      <c r="B252" s="219">
        <v>45091.0</v>
      </c>
      <c r="C252" s="220" t="str">
        <f t="shared" si="212"/>
        <v/>
      </c>
      <c r="D252" s="220"/>
      <c r="E252" s="220">
        <f t="shared" si="194"/>
        <v>0</v>
      </c>
      <c r="F252" s="220">
        <f t="shared" si="195"/>
        <v>-10</v>
      </c>
      <c r="H252" s="219">
        <v>45091.0</v>
      </c>
      <c r="I252" s="220" t="str">
        <f t="shared" si="213"/>
        <v/>
      </c>
      <c r="J252" s="220"/>
      <c r="K252" s="220">
        <f t="shared" si="196"/>
        <v>0</v>
      </c>
      <c r="L252" s="220">
        <f t="shared" si="197"/>
        <v>-10</v>
      </c>
      <c r="N252" s="219">
        <v>45091.0</v>
      </c>
      <c r="O252" s="220" t="str">
        <f t="shared" si="214"/>
        <v/>
      </c>
      <c r="P252" s="220"/>
      <c r="Q252" s="220">
        <f t="shared" si="198"/>
        <v>0</v>
      </c>
      <c r="R252" s="220">
        <f t="shared" si="199"/>
        <v>-10</v>
      </c>
      <c r="T252" s="219">
        <v>45091.0</v>
      </c>
      <c r="U252" s="220" t="str">
        <f t="shared" si="215"/>
        <v/>
      </c>
      <c r="V252" s="220"/>
      <c r="W252" s="220">
        <f t="shared" si="200"/>
        <v>0</v>
      </c>
      <c r="X252" s="220">
        <f t="shared" si="201"/>
        <v>-10</v>
      </c>
      <c r="Z252" s="219">
        <v>45091.0</v>
      </c>
      <c r="AA252" s="220" t="str">
        <f t="shared" si="216"/>
        <v/>
      </c>
      <c r="AB252" s="220"/>
      <c r="AC252" s="220">
        <f t="shared" si="202"/>
        <v>0</v>
      </c>
      <c r="AD252" s="220">
        <f t="shared" si="203"/>
        <v>-10</v>
      </c>
      <c r="AF252" s="219">
        <v>45091.0</v>
      </c>
      <c r="AG252" s="220" t="str">
        <f t="shared" si="217"/>
        <v/>
      </c>
      <c r="AH252" s="220"/>
      <c r="AI252" s="220">
        <f t="shared" si="204"/>
        <v>0</v>
      </c>
      <c r="AJ252" s="220">
        <f t="shared" si="205"/>
        <v>-10</v>
      </c>
      <c r="AL252" s="219">
        <v>45091.0</v>
      </c>
      <c r="AM252" s="220" t="str">
        <f t="shared" si="218"/>
        <v/>
      </c>
      <c r="AN252" s="220"/>
      <c r="AO252" s="220">
        <f t="shared" si="206"/>
        <v>0</v>
      </c>
      <c r="AP252" s="220">
        <f t="shared" si="207"/>
        <v>-10</v>
      </c>
      <c r="AR252" s="219">
        <v>45091.0</v>
      </c>
      <c r="AS252" s="220" t="str">
        <f t="shared" si="219"/>
        <v/>
      </c>
      <c r="AT252" s="220"/>
      <c r="AU252" s="220">
        <f t="shared" si="208"/>
        <v>0</v>
      </c>
      <c r="AV252" s="220">
        <f t="shared" si="209"/>
        <v>-10</v>
      </c>
      <c r="AX252" s="219">
        <v>45091.0</v>
      </c>
      <c r="AY252" s="220" t="str">
        <f t="shared" si="220"/>
        <v/>
      </c>
      <c r="AZ252" s="220"/>
      <c r="BA252" s="220">
        <f t="shared" si="210"/>
        <v>0</v>
      </c>
      <c r="BB252" s="220">
        <f t="shared" si="211"/>
        <v>-10</v>
      </c>
    </row>
    <row r="253" ht="14.25" customHeight="1">
      <c r="A253" s="218"/>
      <c r="B253" s="219">
        <v>45092.0</v>
      </c>
      <c r="C253" s="220" t="str">
        <f t="shared" si="212"/>
        <v/>
      </c>
      <c r="D253" s="220"/>
      <c r="E253" s="220">
        <f t="shared" si="194"/>
        <v>0</v>
      </c>
      <c r="F253" s="220">
        <f t="shared" si="195"/>
        <v>-10</v>
      </c>
      <c r="H253" s="219">
        <v>45092.0</v>
      </c>
      <c r="I253" s="220" t="str">
        <f t="shared" si="213"/>
        <v/>
      </c>
      <c r="J253" s="220"/>
      <c r="K253" s="220">
        <f t="shared" si="196"/>
        <v>0</v>
      </c>
      <c r="L253" s="220">
        <f t="shared" si="197"/>
        <v>-10</v>
      </c>
      <c r="N253" s="219">
        <v>45092.0</v>
      </c>
      <c r="O253" s="220" t="str">
        <f t="shared" si="214"/>
        <v/>
      </c>
      <c r="P253" s="220"/>
      <c r="Q253" s="220">
        <f t="shared" si="198"/>
        <v>0</v>
      </c>
      <c r="R253" s="220">
        <f t="shared" si="199"/>
        <v>-10</v>
      </c>
      <c r="T253" s="219">
        <v>45092.0</v>
      </c>
      <c r="U253" s="220" t="str">
        <f t="shared" si="215"/>
        <v/>
      </c>
      <c r="V253" s="220"/>
      <c r="W253" s="220">
        <f t="shared" si="200"/>
        <v>0</v>
      </c>
      <c r="X253" s="220">
        <f t="shared" si="201"/>
        <v>-10</v>
      </c>
      <c r="Z253" s="219">
        <v>45092.0</v>
      </c>
      <c r="AA253" s="220" t="str">
        <f t="shared" si="216"/>
        <v/>
      </c>
      <c r="AB253" s="220"/>
      <c r="AC253" s="220">
        <f t="shared" si="202"/>
        <v>0</v>
      </c>
      <c r="AD253" s="220">
        <f t="shared" si="203"/>
        <v>-10</v>
      </c>
      <c r="AF253" s="219">
        <v>45092.0</v>
      </c>
      <c r="AG253" s="220" t="str">
        <f t="shared" si="217"/>
        <v/>
      </c>
      <c r="AH253" s="220"/>
      <c r="AI253" s="220">
        <f t="shared" si="204"/>
        <v>0</v>
      </c>
      <c r="AJ253" s="220">
        <f t="shared" si="205"/>
        <v>-10</v>
      </c>
      <c r="AL253" s="219">
        <v>45092.0</v>
      </c>
      <c r="AM253" s="220" t="str">
        <f t="shared" si="218"/>
        <v/>
      </c>
      <c r="AN253" s="220"/>
      <c r="AO253" s="220">
        <f t="shared" si="206"/>
        <v>0</v>
      </c>
      <c r="AP253" s="220">
        <f t="shared" si="207"/>
        <v>-10</v>
      </c>
      <c r="AR253" s="219">
        <v>45092.0</v>
      </c>
      <c r="AS253" s="220" t="str">
        <f t="shared" si="219"/>
        <v/>
      </c>
      <c r="AT253" s="220"/>
      <c r="AU253" s="220">
        <f t="shared" si="208"/>
        <v>0</v>
      </c>
      <c r="AV253" s="220">
        <f t="shared" si="209"/>
        <v>-10</v>
      </c>
      <c r="AX253" s="219">
        <v>45092.0</v>
      </c>
      <c r="AY253" s="220" t="str">
        <f t="shared" si="220"/>
        <v/>
      </c>
      <c r="AZ253" s="220"/>
      <c r="BA253" s="220">
        <f t="shared" si="210"/>
        <v>0</v>
      </c>
      <c r="BB253" s="220">
        <f t="shared" si="211"/>
        <v>-10</v>
      </c>
    </row>
    <row r="254" ht="14.25" customHeight="1">
      <c r="A254" s="218"/>
      <c r="B254" s="219">
        <v>45093.0</v>
      </c>
      <c r="C254" s="220" t="str">
        <f t="shared" si="212"/>
        <v/>
      </c>
      <c r="D254" s="220"/>
      <c r="E254" s="220">
        <f t="shared" si="194"/>
        <v>0</v>
      </c>
      <c r="F254" s="220">
        <f t="shared" si="195"/>
        <v>-10</v>
      </c>
      <c r="H254" s="219">
        <v>45093.0</v>
      </c>
      <c r="I254" s="220" t="str">
        <f t="shared" si="213"/>
        <v/>
      </c>
      <c r="J254" s="220"/>
      <c r="K254" s="220">
        <f t="shared" si="196"/>
        <v>0</v>
      </c>
      <c r="L254" s="220">
        <f t="shared" si="197"/>
        <v>-10</v>
      </c>
      <c r="N254" s="219">
        <v>45093.0</v>
      </c>
      <c r="O254" s="220" t="str">
        <f t="shared" si="214"/>
        <v/>
      </c>
      <c r="P254" s="220"/>
      <c r="Q254" s="220">
        <f t="shared" si="198"/>
        <v>0</v>
      </c>
      <c r="R254" s="220">
        <f t="shared" si="199"/>
        <v>-10</v>
      </c>
      <c r="T254" s="219">
        <v>45093.0</v>
      </c>
      <c r="U254" s="220" t="str">
        <f t="shared" si="215"/>
        <v/>
      </c>
      <c r="V254" s="220"/>
      <c r="W254" s="220">
        <f t="shared" si="200"/>
        <v>0</v>
      </c>
      <c r="X254" s="220">
        <f t="shared" si="201"/>
        <v>-10</v>
      </c>
      <c r="Z254" s="219">
        <v>45093.0</v>
      </c>
      <c r="AA254" s="220" t="str">
        <f t="shared" si="216"/>
        <v/>
      </c>
      <c r="AB254" s="220"/>
      <c r="AC254" s="220">
        <f t="shared" si="202"/>
        <v>0</v>
      </c>
      <c r="AD254" s="220">
        <f t="shared" si="203"/>
        <v>-10</v>
      </c>
      <c r="AF254" s="219">
        <v>45093.0</v>
      </c>
      <c r="AG254" s="220" t="str">
        <f t="shared" si="217"/>
        <v/>
      </c>
      <c r="AH254" s="220"/>
      <c r="AI254" s="220">
        <f t="shared" si="204"/>
        <v>0</v>
      </c>
      <c r="AJ254" s="220">
        <f t="shared" si="205"/>
        <v>-10</v>
      </c>
      <c r="AL254" s="219">
        <v>45093.0</v>
      </c>
      <c r="AM254" s="220" t="str">
        <f t="shared" si="218"/>
        <v/>
      </c>
      <c r="AN254" s="220"/>
      <c r="AO254" s="220">
        <f t="shared" si="206"/>
        <v>0</v>
      </c>
      <c r="AP254" s="220">
        <f t="shared" si="207"/>
        <v>-10</v>
      </c>
      <c r="AR254" s="219">
        <v>45093.0</v>
      </c>
      <c r="AS254" s="220" t="str">
        <f t="shared" si="219"/>
        <v/>
      </c>
      <c r="AT254" s="220"/>
      <c r="AU254" s="220">
        <f t="shared" si="208"/>
        <v>0</v>
      </c>
      <c r="AV254" s="220">
        <f t="shared" si="209"/>
        <v>-10</v>
      </c>
      <c r="AX254" s="219">
        <v>45093.0</v>
      </c>
      <c r="AY254" s="220" t="str">
        <f t="shared" si="220"/>
        <v/>
      </c>
      <c r="AZ254" s="220"/>
      <c r="BA254" s="220">
        <f t="shared" si="210"/>
        <v>0</v>
      </c>
      <c r="BB254" s="220">
        <f t="shared" si="211"/>
        <v>-10</v>
      </c>
    </row>
    <row r="255" ht="14.25" customHeight="1">
      <c r="A255" s="218"/>
      <c r="B255" s="219">
        <v>45094.0</v>
      </c>
      <c r="C255" s="220" t="str">
        <f t="shared" si="212"/>
        <v/>
      </c>
      <c r="D255" s="220"/>
      <c r="E255" s="220">
        <f t="shared" si="194"/>
        <v>0</v>
      </c>
      <c r="F255" s="220">
        <f t="shared" si="195"/>
        <v>-10</v>
      </c>
      <c r="G255" s="221"/>
      <c r="H255" s="219">
        <v>45094.0</v>
      </c>
      <c r="I255" s="220" t="str">
        <f t="shared" si="213"/>
        <v/>
      </c>
      <c r="J255" s="220"/>
      <c r="K255" s="220">
        <f t="shared" si="196"/>
        <v>0</v>
      </c>
      <c r="L255" s="220">
        <f t="shared" si="197"/>
        <v>-10</v>
      </c>
      <c r="M255" s="221"/>
      <c r="N255" s="219">
        <v>45094.0</v>
      </c>
      <c r="O255" s="220" t="str">
        <f t="shared" si="214"/>
        <v/>
      </c>
      <c r="P255" s="220"/>
      <c r="Q255" s="220">
        <f t="shared" si="198"/>
        <v>0</v>
      </c>
      <c r="R255" s="220">
        <f t="shared" si="199"/>
        <v>-10</v>
      </c>
      <c r="S255" s="221"/>
      <c r="T255" s="219">
        <v>45094.0</v>
      </c>
      <c r="U255" s="220" t="str">
        <f t="shared" si="215"/>
        <v/>
      </c>
      <c r="V255" s="220"/>
      <c r="W255" s="220">
        <f t="shared" si="200"/>
        <v>0</v>
      </c>
      <c r="X255" s="220">
        <f t="shared" si="201"/>
        <v>-10</v>
      </c>
      <c r="Y255" s="221"/>
      <c r="Z255" s="219">
        <v>45094.0</v>
      </c>
      <c r="AA255" s="220" t="str">
        <f t="shared" si="216"/>
        <v/>
      </c>
      <c r="AB255" s="220"/>
      <c r="AC255" s="220">
        <f t="shared" si="202"/>
        <v>0</v>
      </c>
      <c r="AD255" s="220">
        <f t="shared" si="203"/>
        <v>-10</v>
      </c>
      <c r="AE255" s="221"/>
      <c r="AF255" s="219">
        <v>45094.0</v>
      </c>
      <c r="AG255" s="220" t="str">
        <f t="shared" si="217"/>
        <v/>
      </c>
      <c r="AH255" s="220"/>
      <c r="AI255" s="220">
        <f t="shared" si="204"/>
        <v>0</v>
      </c>
      <c r="AJ255" s="220">
        <f t="shared" si="205"/>
        <v>-10</v>
      </c>
      <c r="AK255" s="221"/>
      <c r="AL255" s="219">
        <v>45094.0</v>
      </c>
      <c r="AM255" s="220" t="str">
        <f t="shared" si="218"/>
        <v/>
      </c>
      <c r="AN255" s="220"/>
      <c r="AO255" s="220">
        <f t="shared" si="206"/>
        <v>0</v>
      </c>
      <c r="AP255" s="220">
        <f t="shared" si="207"/>
        <v>-10</v>
      </c>
      <c r="AQ255" s="221"/>
      <c r="AR255" s="219">
        <v>45094.0</v>
      </c>
      <c r="AS255" s="220" t="str">
        <f t="shared" si="219"/>
        <v/>
      </c>
      <c r="AT255" s="220"/>
      <c r="AU255" s="220">
        <f t="shared" si="208"/>
        <v>0</v>
      </c>
      <c r="AV255" s="220">
        <f t="shared" si="209"/>
        <v>-10</v>
      </c>
      <c r="AW255" s="221"/>
      <c r="AX255" s="219">
        <v>45094.0</v>
      </c>
      <c r="AY255" s="220" t="str">
        <f t="shared" si="220"/>
        <v/>
      </c>
      <c r="AZ255" s="220"/>
      <c r="BA255" s="220">
        <f t="shared" si="210"/>
        <v>0</v>
      </c>
      <c r="BB255" s="220">
        <f t="shared" si="211"/>
        <v>-10</v>
      </c>
    </row>
    <row r="256" ht="14.25" customHeight="1">
      <c r="A256" s="218"/>
      <c r="B256" s="219">
        <v>45095.0</v>
      </c>
      <c r="C256" s="220" t="str">
        <f t="shared" si="212"/>
        <v/>
      </c>
      <c r="D256" s="220"/>
      <c r="E256" s="220">
        <f t="shared" si="194"/>
        <v>0</v>
      </c>
      <c r="F256" s="220">
        <f t="shared" si="195"/>
        <v>-10</v>
      </c>
      <c r="G256" s="221"/>
      <c r="H256" s="219">
        <v>45095.0</v>
      </c>
      <c r="I256" s="220" t="str">
        <f t="shared" si="213"/>
        <v/>
      </c>
      <c r="J256" s="220"/>
      <c r="K256" s="220">
        <f t="shared" si="196"/>
        <v>0</v>
      </c>
      <c r="L256" s="220">
        <f t="shared" si="197"/>
        <v>-10</v>
      </c>
      <c r="M256" s="221"/>
      <c r="N256" s="219">
        <v>45095.0</v>
      </c>
      <c r="O256" s="220" t="str">
        <f t="shared" si="214"/>
        <v/>
      </c>
      <c r="P256" s="220"/>
      <c r="Q256" s="220">
        <f t="shared" si="198"/>
        <v>0</v>
      </c>
      <c r="R256" s="220">
        <f t="shared" si="199"/>
        <v>-10</v>
      </c>
      <c r="S256" s="221"/>
      <c r="T256" s="219">
        <v>45095.0</v>
      </c>
      <c r="U256" s="220" t="str">
        <f t="shared" si="215"/>
        <v/>
      </c>
      <c r="V256" s="220"/>
      <c r="W256" s="220">
        <f t="shared" si="200"/>
        <v>0</v>
      </c>
      <c r="X256" s="220">
        <f t="shared" si="201"/>
        <v>-10</v>
      </c>
      <c r="Y256" s="221"/>
      <c r="Z256" s="219">
        <v>45095.0</v>
      </c>
      <c r="AA256" s="220" t="str">
        <f t="shared" si="216"/>
        <v/>
      </c>
      <c r="AB256" s="220"/>
      <c r="AC256" s="220">
        <f t="shared" si="202"/>
        <v>0</v>
      </c>
      <c r="AD256" s="220">
        <f t="shared" si="203"/>
        <v>-10</v>
      </c>
      <c r="AE256" s="221"/>
      <c r="AF256" s="219">
        <v>45095.0</v>
      </c>
      <c r="AG256" s="220" t="str">
        <f t="shared" si="217"/>
        <v/>
      </c>
      <c r="AH256" s="220"/>
      <c r="AI256" s="220">
        <f t="shared" si="204"/>
        <v>0</v>
      </c>
      <c r="AJ256" s="220">
        <f t="shared" si="205"/>
        <v>-10</v>
      </c>
      <c r="AK256" s="221"/>
      <c r="AL256" s="219">
        <v>45095.0</v>
      </c>
      <c r="AM256" s="220" t="str">
        <f t="shared" si="218"/>
        <v/>
      </c>
      <c r="AN256" s="220"/>
      <c r="AO256" s="220">
        <f t="shared" si="206"/>
        <v>0</v>
      </c>
      <c r="AP256" s="220">
        <f t="shared" si="207"/>
        <v>-10</v>
      </c>
      <c r="AQ256" s="221"/>
      <c r="AR256" s="219">
        <v>45095.0</v>
      </c>
      <c r="AS256" s="220" t="str">
        <f t="shared" si="219"/>
        <v/>
      </c>
      <c r="AT256" s="220"/>
      <c r="AU256" s="220">
        <f t="shared" si="208"/>
        <v>0</v>
      </c>
      <c r="AV256" s="220">
        <f t="shared" si="209"/>
        <v>-10</v>
      </c>
      <c r="AW256" s="221"/>
      <c r="AX256" s="219">
        <v>45095.0</v>
      </c>
      <c r="AY256" s="220" t="str">
        <f t="shared" si="220"/>
        <v/>
      </c>
      <c r="AZ256" s="220"/>
      <c r="BA256" s="220">
        <f t="shared" si="210"/>
        <v>0</v>
      </c>
      <c r="BB256" s="220">
        <f t="shared" si="211"/>
        <v>-10</v>
      </c>
    </row>
    <row r="257" ht="14.25" customHeight="1">
      <c r="A257" s="218"/>
      <c r="B257" s="219">
        <v>45096.0</v>
      </c>
      <c r="C257" s="220" t="str">
        <f t="shared" si="212"/>
        <v/>
      </c>
      <c r="D257" s="220"/>
      <c r="E257" s="220">
        <f t="shared" si="194"/>
        <v>0</v>
      </c>
      <c r="F257" s="220">
        <f t="shared" si="195"/>
        <v>-10</v>
      </c>
      <c r="H257" s="219">
        <v>45096.0</v>
      </c>
      <c r="I257" s="220" t="str">
        <f t="shared" si="213"/>
        <v/>
      </c>
      <c r="J257" s="220"/>
      <c r="K257" s="220">
        <f t="shared" si="196"/>
        <v>0</v>
      </c>
      <c r="L257" s="220">
        <f t="shared" si="197"/>
        <v>-10</v>
      </c>
      <c r="N257" s="219">
        <v>45096.0</v>
      </c>
      <c r="O257" s="220" t="str">
        <f t="shared" si="214"/>
        <v/>
      </c>
      <c r="P257" s="220"/>
      <c r="Q257" s="220">
        <f t="shared" si="198"/>
        <v>0</v>
      </c>
      <c r="R257" s="220">
        <f t="shared" si="199"/>
        <v>-10</v>
      </c>
      <c r="T257" s="219">
        <v>45096.0</v>
      </c>
      <c r="U257" s="220" t="str">
        <f t="shared" si="215"/>
        <v/>
      </c>
      <c r="V257" s="220"/>
      <c r="W257" s="220">
        <f t="shared" si="200"/>
        <v>0</v>
      </c>
      <c r="X257" s="220">
        <f t="shared" si="201"/>
        <v>-10</v>
      </c>
      <c r="Z257" s="219">
        <v>45096.0</v>
      </c>
      <c r="AA257" s="220" t="str">
        <f t="shared" si="216"/>
        <v/>
      </c>
      <c r="AB257" s="220"/>
      <c r="AC257" s="220">
        <f t="shared" si="202"/>
        <v>0</v>
      </c>
      <c r="AD257" s="220">
        <f t="shared" si="203"/>
        <v>-10</v>
      </c>
      <c r="AF257" s="219">
        <v>45096.0</v>
      </c>
      <c r="AG257" s="220" t="str">
        <f t="shared" si="217"/>
        <v/>
      </c>
      <c r="AH257" s="220"/>
      <c r="AI257" s="220">
        <f t="shared" si="204"/>
        <v>0</v>
      </c>
      <c r="AJ257" s="220">
        <f t="shared" si="205"/>
        <v>-10</v>
      </c>
      <c r="AL257" s="219">
        <v>45096.0</v>
      </c>
      <c r="AM257" s="220" t="str">
        <f t="shared" si="218"/>
        <v/>
      </c>
      <c r="AN257" s="220"/>
      <c r="AO257" s="220">
        <f t="shared" si="206"/>
        <v>0</v>
      </c>
      <c r="AP257" s="220">
        <f t="shared" si="207"/>
        <v>-10</v>
      </c>
      <c r="AR257" s="219">
        <v>45096.0</v>
      </c>
      <c r="AS257" s="220" t="str">
        <f t="shared" si="219"/>
        <v/>
      </c>
      <c r="AT257" s="220"/>
      <c r="AU257" s="220">
        <f t="shared" si="208"/>
        <v>0</v>
      </c>
      <c r="AV257" s="220">
        <f t="shared" si="209"/>
        <v>-10</v>
      </c>
      <c r="AX257" s="219">
        <v>45096.0</v>
      </c>
      <c r="AY257" s="220" t="str">
        <f t="shared" si="220"/>
        <v/>
      </c>
      <c r="AZ257" s="220"/>
      <c r="BA257" s="220">
        <f t="shared" si="210"/>
        <v>0</v>
      </c>
      <c r="BB257" s="220">
        <f t="shared" si="211"/>
        <v>-10</v>
      </c>
    </row>
    <row r="258" ht="14.25" customHeight="1">
      <c r="A258" s="218"/>
      <c r="B258" s="219">
        <v>45097.0</v>
      </c>
      <c r="C258" s="220" t="str">
        <f t="shared" si="212"/>
        <v/>
      </c>
      <c r="D258" s="220"/>
      <c r="E258" s="220">
        <f t="shared" si="194"/>
        <v>0</v>
      </c>
      <c r="F258" s="220">
        <f t="shared" si="195"/>
        <v>-10</v>
      </c>
      <c r="H258" s="219">
        <v>45097.0</v>
      </c>
      <c r="I258" s="220" t="str">
        <f t="shared" si="213"/>
        <v/>
      </c>
      <c r="J258" s="220"/>
      <c r="K258" s="220">
        <f t="shared" si="196"/>
        <v>0</v>
      </c>
      <c r="L258" s="220">
        <f t="shared" si="197"/>
        <v>-10</v>
      </c>
      <c r="N258" s="219">
        <v>45097.0</v>
      </c>
      <c r="O258" s="220" t="str">
        <f t="shared" si="214"/>
        <v/>
      </c>
      <c r="P258" s="220"/>
      <c r="Q258" s="220">
        <f t="shared" si="198"/>
        <v>0</v>
      </c>
      <c r="R258" s="220">
        <f t="shared" si="199"/>
        <v>-10</v>
      </c>
      <c r="T258" s="219">
        <v>45097.0</v>
      </c>
      <c r="U258" s="220" t="str">
        <f t="shared" si="215"/>
        <v/>
      </c>
      <c r="V258" s="220"/>
      <c r="W258" s="220">
        <f t="shared" si="200"/>
        <v>0</v>
      </c>
      <c r="X258" s="220">
        <f t="shared" si="201"/>
        <v>-10</v>
      </c>
      <c r="Z258" s="219">
        <v>45097.0</v>
      </c>
      <c r="AA258" s="220" t="str">
        <f t="shared" si="216"/>
        <v/>
      </c>
      <c r="AB258" s="220"/>
      <c r="AC258" s="220">
        <f t="shared" si="202"/>
        <v>0</v>
      </c>
      <c r="AD258" s="220">
        <f t="shared" si="203"/>
        <v>-10</v>
      </c>
      <c r="AF258" s="219">
        <v>45097.0</v>
      </c>
      <c r="AG258" s="220" t="str">
        <f t="shared" si="217"/>
        <v/>
      </c>
      <c r="AH258" s="220"/>
      <c r="AI258" s="220">
        <f t="shared" si="204"/>
        <v>0</v>
      </c>
      <c r="AJ258" s="220">
        <f t="shared" si="205"/>
        <v>-10</v>
      </c>
      <c r="AL258" s="219">
        <v>45097.0</v>
      </c>
      <c r="AM258" s="220" t="str">
        <f t="shared" si="218"/>
        <v/>
      </c>
      <c r="AN258" s="220"/>
      <c r="AO258" s="220">
        <f t="shared" si="206"/>
        <v>0</v>
      </c>
      <c r="AP258" s="220">
        <f t="shared" si="207"/>
        <v>-10</v>
      </c>
      <c r="AR258" s="219">
        <v>45097.0</v>
      </c>
      <c r="AS258" s="220" t="str">
        <f t="shared" si="219"/>
        <v/>
      </c>
      <c r="AT258" s="220"/>
      <c r="AU258" s="220">
        <f t="shared" si="208"/>
        <v>0</v>
      </c>
      <c r="AV258" s="220">
        <f t="shared" si="209"/>
        <v>-10</v>
      </c>
      <c r="AX258" s="219">
        <v>45097.0</v>
      </c>
      <c r="AY258" s="220" t="str">
        <f t="shared" si="220"/>
        <v/>
      </c>
      <c r="AZ258" s="220"/>
      <c r="BA258" s="220">
        <f t="shared" si="210"/>
        <v>0</v>
      </c>
      <c r="BB258" s="220">
        <f t="shared" si="211"/>
        <v>-10</v>
      </c>
    </row>
    <row r="259" ht="14.25" customHeight="1">
      <c r="A259" s="218"/>
      <c r="B259" s="219">
        <v>45098.0</v>
      </c>
      <c r="C259" s="220" t="str">
        <f t="shared" si="212"/>
        <v/>
      </c>
      <c r="D259" s="220"/>
      <c r="E259" s="220">
        <f t="shared" si="194"/>
        <v>0</v>
      </c>
      <c r="F259" s="220">
        <f t="shared" si="195"/>
        <v>-10</v>
      </c>
      <c r="H259" s="219">
        <v>45098.0</v>
      </c>
      <c r="I259" s="220" t="str">
        <f t="shared" si="213"/>
        <v/>
      </c>
      <c r="J259" s="220"/>
      <c r="K259" s="220">
        <f t="shared" si="196"/>
        <v>0</v>
      </c>
      <c r="L259" s="220">
        <f t="shared" si="197"/>
        <v>-10</v>
      </c>
      <c r="N259" s="219">
        <v>45098.0</v>
      </c>
      <c r="O259" s="220" t="str">
        <f t="shared" si="214"/>
        <v/>
      </c>
      <c r="P259" s="220"/>
      <c r="Q259" s="220">
        <f t="shared" si="198"/>
        <v>0</v>
      </c>
      <c r="R259" s="220">
        <f t="shared" si="199"/>
        <v>-10</v>
      </c>
      <c r="T259" s="219">
        <v>45098.0</v>
      </c>
      <c r="U259" s="220" t="str">
        <f t="shared" si="215"/>
        <v/>
      </c>
      <c r="V259" s="220"/>
      <c r="W259" s="220">
        <f t="shared" si="200"/>
        <v>0</v>
      </c>
      <c r="X259" s="220">
        <f t="shared" si="201"/>
        <v>-10</v>
      </c>
      <c r="Z259" s="219">
        <v>45098.0</v>
      </c>
      <c r="AA259" s="220" t="str">
        <f t="shared" si="216"/>
        <v/>
      </c>
      <c r="AB259" s="220"/>
      <c r="AC259" s="220">
        <f t="shared" si="202"/>
        <v>0</v>
      </c>
      <c r="AD259" s="220">
        <f t="shared" si="203"/>
        <v>-10</v>
      </c>
      <c r="AF259" s="219">
        <v>45098.0</v>
      </c>
      <c r="AG259" s="220" t="str">
        <f t="shared" si="217"/>
        <v/>
      </c>
      <c r="AH259" s="220"/>
      <c r="AI259" s="220">
        <f t="shared" si="204"/>
        <v>0</v>
      </c>
      <c r="AJ259" s="220">
        <f t="shared" si="205"/>
        <v>-10</v>
      </c>
      <c r="AL259" s="219">
        <v>45098.0</v>
      </c>
      <c r="AM259" s="220" t="str">
        <f t="shared" si="218"/>
        <v/>
      </c>
      <c r="AN259" s="220"/>
      <c r="AO259" s="220">
        <f t="shared" si="206"/>
        <v>0</v>
      </c>
      <c r="AP259" s="220">
        <f t="shared" si="207"/>
        <v>-10</v>
      </c>
      <c r="AR259" s="219">
        <v>45098.0</v>
      </c>
      <c r="AS259" s="220" t="str">
        <f t="shared" si="219"/>
        <v/>
      </c>
      <c r="AT259" s="220"/>
      <c r="AU259" s="220">
        <f t="shared" si="208"/>
        <v>0</v>
      </c>
      <c r="AV259" s="220">
        <f t="shared" si="209"/>
        <v>-10</v>
      </c>
      <c r="AX259" s="219">
        <v>45098.0</v>
      </c>
      <c r="AY259" s="220" t="str">
        <f t="shared" si="220"/>
        <v/>
      </c>
      <c r="AZ259" s="220"/>
      <c r="BA259" s="220">
        <f t="shared" si="210"/>
        <v>0</v>
      </c>
      <c r="BB259" s="220">
        <f t="shared" si="211"/>
        <v>-10</v>
      </c>
    </row>
    <row r="260" ht="14.25" customHeight="1">
      <c r="A260" s="218"/>
      <c r="B260" s="219">
        <v>45099.0</v>
      </c>
      <c r="C260" s="220" t="str">
        <f t="shared" si="212"/>
        <v/>
      </c>
      <c r="D260" s="220"/>
      <c r="E260" s="220">
        <f t="shared" si="194"/>
        <v>0</v>
      </c>
      <c r="F260" s="220">
        <f t="shared" si="195"/>
        <v>-10</v>
      </c>
      <c r="H260" s="219">
        <v>45099.0</v>
      </c>
      <c r="I260" s="220" t="str">
        <f t="shared" si="213"/>
        <v/>
      </c>
      <c r="J260" s="220"/>
      <c r="K260" s="220">
        <f t="shared" si="196"/>
        <v>0</v>
      </c>
      <c r="L260" s="220">
        <f t="shared" si="197"/>
        <v>-10</v>
      </c>
      <c r="N260" s="219">
        <v>45099.0</v>
      </c>
      <c r="O260" s="220" t="str">
        <f t="shared" si="214"/>
        <v/>
      </c>
      <c r="P260" s="220"/>
      <c r="Q260" s="220">
        <f t="shared" si="198"/>
        <v>0</v>
      </c>
      <c r="R260" s="220">
        <f t="shared" si="199"/>
        <v>-10</v>
      </c>
      <c r="T260" s="219">
        <v>45099.0</v>
      </c>
      <c r="U260" s="220" t="str">
        <f t="shared" si="215"/>
        <v/>
      </c>
      <c r="V260" s="220"/>
      <c r="W260" s="220">
        <f t="shared" si="200"/>
        <v>0</v>
      </c>
      <c r="X260" s="220">
        <f t="shared" si="201"/>
        <v>-10</v>
      </c>
      <c r="Z260" s="219">
        <v>45099.0</v>
      </c>
      <c r="AA260" s="220" t="str">
        <f t="shared" si="216"/>
        <v/>
      </c>
      <c r="AB260" s="220"/>
      <c r="AC260" s="220">
        <f t="shared" si="202"/>
        <v>0</v>
      </c>
      <c r="AD260" s="220">
        <f t="shared" si="203"/>
        <v>-10</v>
      </c>
      <c r="AF260" s="219">
        <v>45099.0</v>
      </c>
      <c r="AG260" s="220" t="str">
        <f t="shared" si="217"/>
        <v/>
      </c>
      <c r="AH260" s="220"/>
      <c r="AI260" s="220">
        <f t="shared" si="204"/>
        <v>0</v>
      </c>
      <c r="AJ260" s="220">
        <f t="shared" si="205"/>
        <v>-10</v>
      </c>
      <c r="AL260" s="219">
        <v>45099.0</v>
      </c>
      <c r="AM260" s="220" t="str">
        <f t="shared" si="218"/>
        <v/>
      </c>
      <c r="AN260" s="220"/>
      <c r="AO260" s="220">
        <f t="shared" si="206"/>
        <v>0</v>
      </c>
      <c r="AP260" s="220">
        <f t="shared" si="207"/>
        <v>-10</v>
      </c>
      <c r="AR260" s="219">
        <v>45099.0</v>
      </c>
      <c r="AS260" s="220" t="str">
        <f t="shared" si="219"/>
        <v/>
      </c>
      <c r="AT260" s="220"/>
      <c r="AU260" s="220">
        <f t="shared" si="208"/>
        <v>0</v>
      </c>
      <c r="AV260" s="220">
        <f t="shared" si="209"/>
        <v>-10</v>
      </c>
      <c r="AX260" s="219">
        <v>45099.0</v>
      </c>
      <c r="AY260" s="220" t="str">
        <f t="shared" si="220"/>
        <v/>
      </c>
      <c r="AZ260" s="220"/>
      <c r="BA260" s="220">
        <f t="shared" si="210"/>
        <v>0</v>
      </c>
      <c r="BB260" s="220">
        <f t="shared" si="211"/>
        <v>-10</v>
      </c>
    </row>
    <row r="261" ht="14.25" customHeight="1">
      <c r="A261" s="218"/>
      <c r="B261" s="219">
        <v>45100.0</v>
      </c>
      <c r="C261" s="220" t="str">
        <f t="shared" si="212"/>
        <v/>
      </c>
      <c r="D261" s="220"/>
      <c r="E261" s="220">
        <f t="shared" si="194"/>
        <v>0</v>
      </c>
      <c r="F261" s="220">
        <f t="shared" si="195"/>
        <v>-10</v>
      </c>
      <c r="H261" s="219">
        <v>45100.0</v>
      </c>
      <c r="I261" s="220" t="str">
        <f t="shared" si="213"/>
        <v/>
      </c>
      <c r="J261" s="220"/>
      <c r="K261" s="220">
        <f t="shared" si="196"/>
        <v>0</v>
      </c>
      <c r="L261" s="220">
        <f t="shared" si="197"/>
        <v>-10</v>
      </c>
      <c r="N261" s="219">
        <v>45100.0</v>
      </c>
      <c r="O261" s="220" t="str">
        <f t="shared" si="214"/>
        <v/>
      </c>
      <c r="P261" s="220"/>
      <c r="Q261" s="220">
        <f t="shared" si="198"/>
        <v>0</v>
      </c>
      <c r="R261" s="220">
        <f t="shared" si="199"/>
        <v>-10</v>
      </c>
      <c r="T261" s="219">
        <v>45100.0</v>
      </c>
      <c r="U261" s="220" t="str">
        <f t="shared" si="215"/>
        <v/>
      </c>
      <c r="V261" s="220"/>
      <c r="W261" s="220">
        <f t="shared" si="200"/>
        <v>0</v>
      </c>
      <c r="X261" s="220">
        <f t="shared" si="201"/>
        <v>-10</v>
      </c>
      <c r="Z261" s="219">
        <v>45100.0</v>
      </c>
      <c r="AA261" s="220" t="str">
        <f t="shared" si="216"/>
        <v/>
      </c>
      <c r="AB261" s="220"/>
      <c r="AC261" s="220">
        <f t="shared" si="202"/>
        <v>0</v>
      </c>
      <c r="AD261" s="220">
        <f t="shared" si="203"/>
        <v>-10</v>
      </c>
      <c r="AF261" s="219">
        <v>45100.0</v>
      </c>
      <c r="AG261" s="220" t="str">
        <f t="shared" si="217"/>
        <v/>
      </c>
      <c r="AH261" s="220"/>
      <c r="AI261" s="220">
        <f t="shared" si="204"/>
        <v>0</v>
      </c>
      <c r="AJ261" s="220">
        <f t="shared" si="205"/>
        <v>-10</v>
      </c>
      <c r="AL261" s="219">
        <v>45100.0</v>
      </c>
      <c r="AM261" s="220" t="str">
        <f t="shared" si="218"/>
        <v/>
      </c>
      <c r="AN261" s="220"/>
      <c r="AO261" s="220">
        <f t="shared" si="206"/>
        <v>0</v>
      </c>
      <c r="AP261" s="220">
        <f t="shared" si="207"/>
        <v>-10</v>
      </c>
      <c r="AR261" s="219">
        <v>45100.0</v>
      </c>
      <c r="AS261" s="220" t="str">
        <f t="shared" si="219"/>
        <v/>
      </c>
      <c r="AT261" s="220"/>
      <c r="AU261" s="220">
        <f t="shared" si="208"/>
        <v>0</v>
      </c>
      <c r="AV261" s="220">
        <f t="shared" si="209"/>
        <v>-10</v>
      </c>
      <c r="AX261" s="219">
        <v>45100.0</v>
      </c>
      <c r="AY261" s="220" t="str">
        <f t="shared" si="220"/>
        <v/>
      </c>
      <c r="AZ261" s="220"/>
      <c r="BA261" s="220">
        <f t="shared" si="210"/>
        <v>0</v>
      </c>
      <c r="BB261" s="220">
        <f t="shared" si="211"/>
        <v>-10</v>
      </c>
    </row>
    <row r="262" ht="14.25" customHeight="1">
      <c r="A262" s="218"/>
      <c r="B262" s="219">
        <v>45101.0</v>
      </c>
      <c r="C262" s="220" t="str">
        <f t="shared" si="212"/>
        <v/>
      </c>
      <c r="D262" s="220"/>
      <c r="E262" s="220">
        <f t="shared" si="194"/>
        <v>0</v>
      </c>
      <c r="F262" s="220">
        <f t="shared" si="195"/>
        <v>-10</v>
      </c>
      <c r="G262" s="221"/>
      <c r="H262" s="219">
        <v>45101.0</v>
      </c>
      <c r="I262" s="220" t="str">
        <f t="shared" si="213"/>
        <v/>
      </c>
      <c r="J262" s="220"/>
      <c r="K262" s="220">
        <f t="shared" si="196"/>
        <v>0</v>
      </c>
      <c r="L262" s="220">
        <f t="shared" si="197"/>
        <v>-10</v>
      </c>
      <c r="M262" s="221"/>
      <c r="N262" s="219">
        <v>45101.0</v>
      </c>
      <c r="O262" s="220" t="str">
        <f t="shared" si="214"/>
        <v/>
      </c>
      <c r="P262" s="220"/>
      <c r="Q262" s="220">
        <f t="shared" si="198"/>
        <v>0</v>
      </c>
      <c r="R262" s="220">
        <f t="shared" si="199"/>
        <v>-10</v>
      </c>
      <c r="S262" s="221"/>
      <c r="T262" s="219">
        <v>45101.0</v>
      </c>
      <c r="U262" s="220" t="str">
        <f t="shared" si="215"/>
        <v/>
      </c>
      <c r="V262" s="220"/>
      <c r="W262" s="220">
        <f t="shared" si="200"/>
        <v>0</v>
      </c>
      <c r="X262" s="220">
        <f t="shared" si="201"/>
        <v>-10</v>
      </c>
      <c r="Y262" s="221"/>
      <c r="Z262" s="219">
        <v>45101.0</v>
      </c>
      <c r="AA262" s="220" t="str">
        <f t="shared" si="216"/>
        <v/>
      </c>
      <c r="AB262" s="220"/>
      <c r="AC262" s="220">
        <f t="shared" si="202"/>
        <v>0</v>
      </c>
      <c r="AD262" s="220">
        <f t="shared" si="203"/>
        <v>-10</v>
      </c>
      <c r="AE262" s="221"/>
      <c r="AF262" s="219">
        <v>45101.0</v>
      </c>
      <c r="AG262" s="220" t="str">
        <f t="shared" si="217"/>
        <v/>
      </c>
      <c r="AH262" s="220"/>
      <c r="AI262" s="220">
        <f t="shared" si="204"/>
        <v>0</v>
      </c>
      <c r="AJ262" s="220">
        <f t="shared" si="205"/>
        <v>-10</v>
      </c>
      <c r="AK262" s="221"/>
      <c r="AL262" s="219">
        <v>45101.0</v>
      </c>
      <c r="AM262" s="220" t="str">
        <f t="shared" si="218"/>
        <v/>
      </c>
      <c r="AN262" s="220"/>
      <c r="AO262" s="220">
        <f t="shared" si="206"/>
        <v>0</v>
      </c>
      <c r="AP262" s="220">
        <f t="shared" si="207"/>
        <v>-10</v>
      </c>
      <c r="AQ262" s="221"/>
      <c r="AR262" s="219">
        <v>45101.0</v>
      </c>
      <c r="AS262" s="220" t="str">
        <f t="shared" si="219"/>
        <v/>
      </c>
      <c r="AT262" s="220"/>
      <c r="AU262" s="220">
        <f t="shared" si="208"/>
        <v>0</v>
      </c>
      <c r="AV262" s="220">
        <f t="shared" si="209"/>
        <v>-10</v>
      </c>
      <c r="AW262" s="221"/>
      <c r="AX262" s="219">
        <v>45101.0</v>
      </c>
      <c r="AY262" s="220" t="str">
        <f t="shared" si="220"/>
        <v/>
      </c>
      <c r="AZ262" s="220"/>
      <c r="BA262" s="220">
        <f t="shared" si="210"/>
        <v>0</v>
      </c>
      <c r="BB262" s="220">
        <f t="shared" si="211"/>
        <v>-10</v>
      </c>
    </row>
    <row r="263" ht="14.25" customHeight="1">
      <c r="A263" s="218"/>
      <c r="B263" s="219">
        <v>45102.0</v>
      </c>
      <c r="C263" s="220" t="str">
        <f t="shared" si="212"/>
        <v/>
      </c>
      <c r="D263" s="220"/>
      <c r="E263" s="220">
        <f t="shared" si="194"/>
        <v>0</v>
      </c>
      <c r="F263" s="220">
        <f t="shared" si="195"/>
        <v>-10</v>
      </c>
      <c r="G263" s="221"/>
      <c r="H263" s="219">
        <v>45102.0</v>
      </c>
      <c r="I263" s="220" t="str">
        <f t="shared" si="213"/>
        <v/>
      </c>
      <c r="J263" s="220"/>
      <c r="K263" s="220">
        <f t="shared" si="196"/>
        <v>0</v>
      </c>
      <c r="L263" s="220">
        <f t="shared" si="197"/>
        <v>-10</v>
      </c>
      <c r="M263" s="221"/>
      <c r="N263" s="219">
        <v>45102.0</v>
      </c>
      <c r="O263" s="220" t="str">
        <f t="shared" si="214"/>
        <v/>
      </c>
      <c r="P263" s="220"/>
      <c r="Q263" s="220">
        <f t="shared" si="198"/>
        <v>0</v>
      </c>
      <c r="R263" s="220">
        <f t="shared" si="199"/>
        <v>-10</v>
      </c>
      <c r="S263" s="221"/>
      <c r="T263" s="219">
        <v>45102.0</v>
      </c>
      <c r="U263" s="220" t="str">
        <f t="shared" si="215"/>
        <v/>
      </c>
      <c r="V263" s="220"/>
      <c r="W263" s="220">
        <f t="shared" si="200"/>
        <v>0</v>
      </c>
      <c r="X263" s="220">
        <f t="shared" si="201"/>
        <v>-10</v>
      </c>
      <c r="Y263" s="221"/>
      <c r="Z263" s="219">
        <v>45102.0</v>
      </c>
      <c r="AA263" s="220" t="str">
        <f t="shared" si="216"/>
        <v/>
      </c>
      <c r="AB263" s="220"/>
      <c r="AC263" s="220">
        <f t="shared" si="202"/>
        <v>0</v>
      </c>
      <c r="AD263" s="220">
        <f t="shared" si="203"/>
        <v>-10</v>
      </c>
      <c r="AE263" s="221"/>
      <c r="AF263" s="219">
        <v>45102.0</v>
      </c>
      <c r="AG263" s="220" t="str">
        <f t="shared" si="217"/>
        <v/>
      </c>
      <c r="AH263" s="220"/>
      <c r="AI263" s="220">
        <f t="shared" si="204"/>
        <v>0</v>
      </c>
      <c r="AJ263" s="220">
        <f t="shared" si="205"/>
        <v>-10</v>
      </c>
      <c r="AK263" s="221"/>
      <c r="AL263" s="219">
        <v>45102.0</v>
      </c>
      <c r="AM263" s="220" t="str">
        <f t="shared" si="218"/>
        <v/>
      </c>
      <c r="AN263" s="220"/>
      <c r="AO263" s="220">
        <f t="shared" si="206"/>
        <v>0</v>
      </c>
      <c r="AP263" s="220">
        <f t="shared" si="207"/>
        <v>-10</v>
      </c>
      <c r="AQ263" s="221"/>
      <c r="AR263" s="219">
        <v>45102.0</v>
      </c>
      <c r="AS263" s="220" t="str">
        <f t="shared" si="219"/>
        <v/>
      </c>
      <c r="AT263" s="220"/>
      <c r="AU263" s="220">
        <f t="shared" si="208"/>
        <v>0</v>
      </c>
      <c r="AV263" s="220">
        <f t="shared" si="209"/>
        <v>-10</v>
      </c>
      <c r="AW263" s="221"/>
      <c r="AX263" s="219">
        <v>45102.0</v>
      </c>
      <c r="AY263" s="220" t="str">
        <f t="shared" si="220"/>
        <v/>
      </c>
      <c r="AZ263" s="220"/>
      <c r="BA263" s="220">
        <f t="shared" si="210"/>
        <v>0</v>
      </c>
      <c r="BB263" s="220">
        <f t="shared" si="211"/>
        <v>-10</v>
      </c>
    </row>
    <row r="264" ht="14.25" customHeight="1">
      <c r="A264" s="218"/>
      <c r="B264" s="219">
        <v>45103.0</v>
      </c>
      <c r="C264" s="220" t="str">
        <f t="shared" si="212"/>
        <v/>
      </c>
      <c r="D264" s="220"/>
      <c r="E264" s="220">
        <f t="shared" si="194"/>
        <v>0</v>
      </c>
      <c r="F264" s="220">
        <f t="shared" si="195"/>
        <v>-10</v>
      </c>
      <c r="H264" s="219">
        <v>45103.0</v>
      </c>
      <c r="I264" s="220" t="str">
        <f t="shared" si="213"/>
        <v/>
      </c>
      <c r="J264" s="220"/>
      <c r="K264" s="220">
        <f t="shared" si="196"/>
        <v>0</v>
      </c>
      <c r="L264" s="220">
        <f t="shared" si="197"/>
        <v>-10</v>
      </c>
      <c r="N264" s="219">
        <v>45103.0</v>
      </c>
      <c r="O264" s="220" t="str">
        <f t="shared" si="214"/>
        <v/>
      </c>
      <c r="P264" s="220"/>
      <c r="Q264" s="220">
        <f t="shared" si="198"/>
        <v>0</v>
      </c>
      <c r="R264" s="220">
        <f t="shared" si="199"/>
        <v>-10</v>
      </c>
      <c r="T264" s="219">
        <v>45103.0</v>
      </c>
      <c r="U264" s="220" t="str">
        <f t="shared" si="215"/>
        <v/>
      </c>
      <c r="V264" s="220"/>
      <c r="W264" s="220">
        <f t="shared" si="200"/>
        <v>0</v>
      </c>
      <c r="X264" s="220">
        <f t="shared" si="201"/>
        <v>-10</v>
      </c>
      <c r="Z264" s="219">
        <v>45103.0</v>
      </c>
      <c r="AA264" s="220" t="str">
        <f t="shared" si="216"/>
        <v/>
      </c>
      <c r="AB264" s="220"/>
      <c r="AC264" s="220">
        <f t="shared" si="202"/>
        <v>0</v>
      </c>
      <c r="AD264" s="220">
        <f t="shared" si="203"/>
        <v>-10</v>
      </c>
      <c r="AF264" s="219">
        <v>45103.0</v>
      </c>
      <c r="AG264" s="220" t="str">
        <f t="shared" si="217"/>
        <v/>
      </c>
      <c r="AH264" s="220"/>
      <c r="AI264" s="220">
        <f t="shared" si="204"/>
        <v>0</v>
      </c>
      <c r="AJ264" s="220">
        <f t="shared" si="205"/>
        <v>-10</v>
      </c>
      <c r="AL264" s="219">
        <v>45103.0</v>
      </c>
      <c r="AM264" s="220" t="str">
        <f t="shared" si="218"/>
        <v/>
      </c>
      <c r="AN264" s="220"/>
      <c r="AO264" s="220">
        <f t="shared" si="206"/>
        <v>0</v>
      </c>
      <c r="AP264" s="220">
        <f t="shared" si="207"/>
        <v>-10</v>
      </c>
      <c r="AR264" s="219">
        <v>45103.0</v>
      </c>
      <c r="AS264" s="220" t="str">
        <f t="shared" si="219"/>
        <v/>
      </c>
      <c r="AT264" s="220"/>
      <c r="AU264" s="220">
        <f t="shared" si="208"/>
        <v>0</v>
      </c>
      <c r="AV264" s="220">
        <f t="shared" si="209"/>
        <v>-10</v>
      </c>
      <c r="AX264" s="219">
        <v>45103.0</v>
      </c>
      <c r="AY264" s="220" t="str">
        <f t="shared" si="220"/>
        <v/>
      </c>
      <c r="AZ264" s="220"/>
      <c r="BA264" s="220">
        <f t="shared" si="210"/>
        <v>0</v>
      </c>
      <c r="BB264" s="220">
        <f t="shared" si="211"/>
        <v>-10</v>
      </c>
    </row>
    <row r="265" ht="14.25" customHeight="1">
      <c r="A265" s="218"/>
      <c r="B265" s="219">
        <v>45104.0</v>
      </c>
      <c r="C265" s="220" t="str">
        <f t="shared" si="212"/>
        <v/>
      </c>
      <c r="D265" s="220"/>
      <c r="E265" s="220">
        <f t="shared" si="194"/>
        <v>0</v>
      </c>
      <c r="F265" s="220">
        <f t="shared" si="195"/>
        <v>-10</v>
      </c>
      <c r="H265" s="219">
        <v>45104.0</v>
      </c>
      <c r="I265" s="220" t="str">
        <f t="shared" si="213"/>
        <v/>
      </c>
      <c r="J265" s="220"/>
      <c r="K265" s="220">
        <f t="shared" si="196"/>
        <v>0</v>
      </c>
      <c r="L265" s="220">
        <f t="shared" si="197"/>
        <v>-10</v>
      </c>
      <c r="N265" s="219">
        <v>45104.0</v>
      </c>
      <c r="O265" s="220" t="str">
        <f t="shared" si="214"/>
        <v/>
      </c>
      <c r="P265" s="220"/>
      <c r="Q265" s="220">
        <f t="shared" si="198"/>
        <v>0</v>
      </c>
      <c r="R265" s="220">
        <f t="shared" si="199"/>
        <v>-10</v>
      </c>
      <c r="T265" s="219">
        <v>45104.0</v>
      </c>
      <c r="U265" s="220" t="str">
        <f t="shared" si="215"/>
        <v/>
      </c>
      <c r="V265" s="220"/>
      <c r="W265" s="220">
        <f t="shared" si="200"/>
        <v>0</v>
      </c>
      <c r="X265" s="220">
        <f t="shared" si="201"/>
        <v>-10</v>
      </c>
      <c r="Z265" s="219">
        <v>45104.0</v>
      </c>
      <c r="AA265" s="220" t="str">
        <f t="shared" si="216"/>
        <v/>
      </c>
      <c r="AB265" s="220"/>
      <c r="AC265" s="220">
        <f t="shared" si="202"/>
        <v>0</v>
      </c>
      <c r="AD265" s="220">
        <f t="shared" si="203"/>
        <v>-10</v>
      </c>
      <c r="AF265" s="219">
        <v>45104.0</v>
      </c>
      <c r="AG265" s="220" t="str">
        <f t="shared" si="217"/>
        <v/>
      </c>
      <c r="AH265" s="220"/>
      <c r="AI265" s="220">
        <f t="shared" si="204"/>
        <v>0</v>
      </c>
      <c r="AJ265" s="220">
        <f t="shared" si="205"/>
        <v>-10</v>
      </c>
      <c r="AL265" s="219">
        <v>45104.0</v>
      </c>
      <c r="AM265" s="220" t="str">
        <f t="shared" si="218"/>
        <v/>
      </c>
      <c r="AN265" s="220"/>
      <c r="AO265" s="220">
        <f t="shared" si="206"/>
        <v>0</v>
      </c>
      <c r="AP265" s="220">
        <f t="shared" si="207"/>
        <v>-10</v>
      </c>
      <c r="AR265" s="219">
        <v>45104.0</v>
      </c>
      <c r="AS265" s="220" t="str">
        <f t="shared" si="219"/>
        <v/>
      </c>
      <c r="AT265" s="220"/>
      <c r="AU265" s="220">
        <f t="shared" si="208"/>
        <v>0</v>
      </c>
      <c r="AV265" s="220">
        <f t="shared" si="209"/>
        <v>-10</v>
      </c>
      <c r="AX265" s="219">
        <v>45104.0</v>
      </c>
      <c r="AY265" s="220" t="str">
        <f t="shared" si="220"/>
        <v/>
      </c>
      <c r="AZ265" s="220"/>
      <c r="BA265" s="220">
        <f t="shared" si="210"/>
        <v>0</v>
      </c>
      <c r="BB265" s="220">
        <f t="shared" si="211"/>
        <v>-10</v>
      </c>
    </row>
    <row r="266" ht="14.25" customHeight="1">
      <c r="A266" s="218"/>
      <c r="B266" s="219">
        <v>45105.0</v>
      </c>
      <c r="C266" s="220" t="str">
        <f t="shared" si="212"/>
        <v/>
      </c>
      <c r="D266" s="220"/>
      <c r="E266" s="220">
        <f t="shared" si="194"/>
        <v>0</v>
      </c>
      <c r="F266" s="220">
        <f t="shared" si="195"/>
        <v>-10</v>
      </c>
      <c r="H266" s="219">
        <v>45105.0</v>
      </c>
      <c r="I266" s="220" t="str">
        <f t="shared" si="213"/>
        <v/>
      </c>
      <c r="J266" s="220"/>
      <c r="K266" s="220">
        <f t="shared" si="196"/>
        <v>0</v>
      </c>
      <c r="L266" s="220">
        <f t="shared" si="197"/>
        <v>-10</v>
      </c>
      <c r="N266" s="219">
        <v>45105.0</v>
      </c>
      <c r="O266" s="220" t="str">
        <f t="shared" si="214"/>
        <v/>
      </c>
      <c r="P266" s="220"/>
      <c r="Q266" s="220">
        <f t="shared" si="198"/>
        <v>0</v>
      </c>
      <c r="R266" s="220">
        <f t="shared" si="199"/>
        <v>-10</v>
      </c>
      <c r="T266" s="219">
        <v>45105.0</v>
      </c>
      <c r="U266" s="220" t="str">
        <f t="shared" si="215"/>
        <v/>
      </c>
      <c r="V266" s="220"/>
      <c r="W266" s="220">
        <f t="shared" si="200"/>
        <v>0</v>
      </c>
      <c r="X266" s="220">
        <f t="shared" si="201"/>
        <v>-10</v>
      </c>
      <c r="Z266" s="219">
        <v>45105.0</v>
      </c>
      <c r="AA266" s="220" t="str">
        <f t="shared" si="216"/>
        <v/>
      </c>
      <c r="AB266" s="220"/>
      <c r="AC266" s="220">
        <f t="shared" si="202"/>
        <v>0</v>
      </c>
      <c r="AD266" s="220">
        <f t="shared" si="203"/>
        <v>-10</v>
      </c>
      <c r="AF266" s="219">
        <v>45105.0</v>
      </c>
      <c r="AG266" s="220" t="str">
        <f t="shared" si="217"/>
        <v/>
      </c>
      <c r="AH266" s="220"/>
      <c r="AI266" s="220">
        <f t="shared" si="204"/>
        <v>0</v>
      </c>
      <c r="AJ266" s="220">
        <f t="shared" si="205"/>
        <v>-10</v>
      </c>
      <c r="AL266" s="219">
        <v>45105.0</v>
      </c>
      <c r="AM266" s="220" t="str">
        <f t="shared" si="218"/>
        <v/>
      </c>
      <c r="AN266" s="220"/>
      <c r="AO266" s="220">
        <f t="shared" si="206"/>
        <v>0</v>
      </c>
      <c r="AP266" s="220">
        <f t="shared" si="207"/>
        <v>-10</v>
      </c>
      <c r="AR266" s="219">
        <v>45105.0</v>
      </c>
      <c r="AS266" s="220" t="str">
        <f t="shared" si="219"/>
        <v/>
      </c>
      <c r="AT266" s="220"/>
      <c r="AU266" s="220">
        <f t="shared" si="208"/>
        <v>0</v>
      </c>
      <c r="AV266" s="220">
        <f t="shared" si="209"/>
        <v>-10</v>
      </c>
      <c r="AX266" s="219">
        <v>45105.0</v>
      </c>
      <c r="AY266" s="220" t="str">
        <f t="shared" si="220"/>
        <v/>
      </c>
      <c r="AZ266" s="220"/>
      <c r="BA266" s="220">
        <f t="shared" si="210"/>
        <v>0</v>
      </c>
      <c r="BB266" s="220">
        <f t="shared" si="211"/>
        <v>-10</v>
      </c>
    </row>
    <row r="267" ht="14.25" customHeight="1">
      <c r="A267" s="218"/>
      <c r="B267" s="219">
        <v>45106.0</v>
      </c>
      <c r="C267" s="220" t="str">
        <f t="shared" si="212"/>
        <v/>
      </c>
      <c r="D267" s="220"/>
      <c r="E267" s="220">
        <f t="shared" si="194"/>
        <v>0</v>
      </c>
      <c r="F267" s="220">
        <f t="shared" si="195"/>
        <v>-10</v>
      </c>
      <c r="H267" s="219">
        <v>45106.0</v>
      </c>
      <c r="I267" s="220" t="str">
        <f t="shared" si="213"/>
        <v/>
      </c>
      <c r="J267" s="220"/>
      <c r="K267" s="220">
        <f t="shared" si="196"/>
        <v>0</v>
      </c>
      <c r="L267" s="220">
        <f t="shared" si="197"/>
        <v>-10</v>
      </c>
      <c r="N267" s="219">
        <v>45106.0</v>
      </c>
      <c r="O267" s="220" t="str">
        <f t="shared" si="214"/>
        <v/>
      </c>
      <c r="P267" s="220"/>
      <c r="Q267" s="220">
        <f t="shared" si="198"/>
        <v>0</v>
      </c>
      <c r="R267" s="220">
        <f t="shared" si="199"/>
        <v>-10</v>
      </c>
      <c r="T267" s="219">
        <v>45106.0</v>
      </c>
      <c r="U267" s="220" t="str">
        <f t="shared" si="215"/>
        <v/>
      </c>
      <c r="V267" s="220"/>
      <c r="W267" s="220">
        <f t="shared" si="200"/>
        <v>0</v>
      </c>
      <c r="X267" s="220">
        <f t="shared" si="201"/>
        <v>-10</v>
      </c>
      <c r="Z267" s="219">
        <v>45106.0</v>
      </c>
      <c r="AA267" s="220" t="str">
        <f t="shared" si="216"/>
        <v/>
      </c>
      <c r="AB267" s="220"/>
      <c r="AC267" s="220">
        <f t="shared" si="202"/>
        <v>0</v>
      </c>
      <c r="AD267" s="220">
        <f t="shared" si="203"/>
        <v>-10</v>
      </c>
      <c r="AF267" s="219">
        <v>45106.0</v>
      </c>
      <c r="AG267" s="220" t="str">
        <f t="shared" si="217"/>
        <v/>
      </c>
      <c r="AH267" s="220"/>
      <c r="AI267" s="220">
        <f t="shared" si="204"/>
        <v>0</v>
      </c>
      <c r="AJ267" s="220">
        <f t="shared" si="205"/>
        <v>-10</v>
      </c>
      <c r="AL267" s="219">
        <v>45106.0</v>
      </c>
      <c r="AM267" s="220" t="str">
        <f t="shared" si="218"/>
        <v/>
      </c>
      <c r="AN267" s="220"/>
      <c r="AO267" s="220">
        <f t="shared" si="206"/>
        <v>0</v>
      </c>
      <c r="AP267" s="220">
        <f t="shared" si="207"/>
        <v>-10</v>
      </c>
      <c r="AR267" s="219">
        <v>45106.0</v>
      </c>
      <c r="AS267" s="220" t="str">
        <f t="shared" si="219"/>
        <v/>
      </c>
      <c r="AT267" s="220"/>
      <c r="AU267" s="220">
        <f t="shared" si="208"/>
        <v>0</v>
      </c>
      <c r="AV267" s="220">
        <f t="shared" si="209"/>
        <v>-10</v>
      </c>
      <c r="AX267" s="219">
        <v>45106.0</v>
      </c>
      <c r="AY267" s="220" t="str">
        <f t="shared" si="220"/>
        <v/>
      </c>
      <c r="AZ267" s="220"/>
      <c r="BA267" s="220">
        <f t="shared" si="210"/>
        <v>0</v>
      </c>
      <c r="BB267" s="220">
        <f t="shared" si="211"/>
        <v>-10</v>
      </c>
    </row>
    <row r="268" ht="14.25" customHeight="1">
      <c r="A268" s="218"/>
      <c r="B268" s="219">
        <v>45107.0</v>
      </c>
      <c r="C268" s="220" t="str">
        <f t="shared" si="212"/>
        <v/>
      </c>
      <c r="D268" s="220"/>
      <c r="E268" s="220">
        <f t="shared" si="194"/>
        <v>0</v>
      </c>
      <c r="F268" s="220">
        <f t="shared" si="195"/>
        <v>-10</v>
      </c>
      <c r="H268" s="219">
        <v>45107.0</v>
      </c>
      <c r="I268" s="220" t="str">
        <f t="shared" si="213"/>
        <v/>
      </c>
      <c r="J268" s="220"/>
      <c r="K268" s="220">
        <f t="shared" si="196"/>
        <v>0</v>
      </c>
      <c r="L268" s="220">
        <f t="shared" si="197"/>
        <v>-10</v>
      </c>
      <c r="N268" s="219">
        <v>45107.0</v>
      </c>
      <c r="O268" s="220" t="str">
        <f t="shared" si="214"/>
        <v/>
      </c>
      <c r="P268" s="220"/>
      <c r="Q268" s="220">
        <f t="shared" si="198"/>
        <v>0</v>
      </c>
      <c r="R268" s="220">
        <f t="shared" si="199"/>
        <v>-10</v>
      </c>
      <c r="T268" s="219">
        <v>45107.0</v>
      </c>
      <c r="U268" s="220" t="str">
        <f t="shared" si="215"/>
        <v/>
      </c>
      <c r="V268" s="220"/>
      <c r="W268" s="220">
        <f t="shared" si="200"/>
        <v>0</v>
      </c>
      <c r="X268" s="220">
        <f t="shared" si="201"/>
        <v>-10</v>
      </c>
      <c r="Z268" s="219">
        <v>45107.0</v>
      </c>
      <c r="AA268" s="220" t="str">
        <f t="shared" si="216"/>
        <v/>
      </c>
      <c r="AB268" s="220"/>
      <c r="AC268" s="220">
        <f t="shared" si="202"/>
        <v>0</v>
      </c>
      <c r="AD268" s="220">
        <f t="shared" si="203"/>
        <v>-10</v>
      </c>
      <c r="AF268" s="219">
        <v>45107.0</v>
      </c>
      <c r="AG268" s="220" t="str">
        <f t="shared" si="217"/>
        <v/>
      </c>
      <c r="AH268" s="220"/>
      <c r="AI268" s="220">
        <f t="shared" si="204"/>
        <v>0</v>
      </c>
      <c r="AJ268" s="220">
        <f t="shared" si="205"/>
        <v>-10</v>
      </c>
      <c r="AL268" s="219">
        <v>45107.0</v>
      </c>
      <c r="AM268" s="220" t="str">
        <f t="shared" si="218"/>
        <v/>
      </c>
      <c r="AN268" s="220"/>
      <c r="AO268" s="220">
        <f t="shared" si="206"/>
        <v>0</v>
      </c>
      <c r="AP268" s="220">
        <f t="shared" si="207"/>
        <v>-10</v>
      </c>
      <c r="AR268" s="219">
        <v>45107.0</v>
      </c>
      <c r="AS268" s="220" t="str">
        <f t="shared" si="219"/>
        <v/>
      </c>
      <c r="AT268" s="220"/>
      <c r="AU268" s="220">
        <f t="shared" si="208"/>
        <v>0</v>
      </c>
      <c r="AV268" s="220">
        <f t="shared" si="209"/>
        <v>-10</v>
      </c>
      <c r="AX268" s="219">
        <v>45107.0</v>
      </c>
      <c r="AY268" s="220" t="str">
        <f t="shared" si="220"/>
        <v/>
      </c>
      <c r="AZ268" s="220"/>
      <c r="BA268" s="220">
        <f t="shared" si="210"/>
        <v>0</v>
      </c>
      <c r="BB268" s="220">
        <f t="shared" si="211"/>
        <v>-10</v>
      </c>
    </row>
    <row r="269" ht="14.25" customHeight="1">
      <c r="A269" s="218"/>
      <c r="B269" s="229"/>
      <c r="C269" s="220" t="str">
        <f t="shared" si="212"/>
        <v/>
      </c>
      <c r="D269" s="220"/>
      <c r="E269" s="220">
        <f t="shared" si="194"/>
        <v>0</v>
      </c>
      <c r="F269" s="220">
        <f t="shared" si="195"/>
        <v>-10</v>
      </c>
      <c r="H269" s="229"/>
      <c r="I269" s="220" t="str">
        <f t="shared" si="213"/>
        <v/>
      </c>
      <c r="J269" s="220"/>
      <c r="K269" s="220">
        <f t="shared" si="196"/>
        <v>0</v>
      </c>
      <c r="L269" s="220">
        <f t="shared" si="197"/>
        <v>-10</v>
      </c>
      <c r="N269" s="229"/>
      <c r="O269" s="220" t="str">
        <f t="shared" si="214"/>
        <v/>
      </c>
      <c r="P269" s="220"/>
      <c r="Q269" s="220">
        <f t="shared" si="198"/>
        <v>0</v>
      </c>
      <c r="R269" s="220">
        <f t="shared" si="199"/>
        <v>-10</v>
      </c>
      <c r="T269" s="229"/>
      <c r="U269" s="220" t="str">
        <f t="shared" si="215"/>
        <v/>
      </c>
      <c r="V269" s="220"/>
      <c r="W269" s="220">
        <f t="shared" si="200"/>
        <v>0</v>
      </c>
      <c r="X269" s="220">
        <f t="shared" si="201"/>
        <v>-10</v>
      </c>
      <c r="Z269" s="229"/>
      <c r="AA269" s="220" t="str">
        <f t="shared" si="216"/>
        <v/>
      </c>
      <c r="AB269" s="220"/>
      <c r="AC269" s="220">
        <f t="shared" si="202"/>
        <v>0</v>
      </c>
      <c r="AD269" s="220">
        <f t="shared" si="203"/>
        <v>-10</v>
      </c>
      <c r="AF269" s="229"/>
      <c r="AG269" s="220" t="str">
        <f t="shared" si="217"/>
        <v/>
      </c>
      <c r="AH269" s="220"/>
      <c r="AI269" s="220">
        <f t="shared" si="204"/>
        <v>0</v>
      </c>
      <c r="AJ269" s="220">
        <f t="shared" si="205"/>
        <v>-10</v>
      </c>
      <c r="AL269" s="229"/>
      <c r="AM269" s="220" t="str">
        <f t="shared" si="218"/>
        <v/>
      </c>
      <c r="AN269" s="220"/>
      <c r="AO269" s="220">
        <f t="shared" si="206"/>
        <v>0</v>
      </c>
      <c r="AP269" s="220">
        <f t="shared" si="207"/>
        <v>-10</v>
      </c>
      <c r="AR269" s="229"/>
      <c r="AS269" s="220" t="str">
        <f t="shared" si="219"/>
        <v/>
      </c>
      <c r="AT269" s="220"/>
      <c r="AU269" s="220">
        <f t="shared" si="208"/>
        <v>0</v>
      </c>
      <c r="AV269" s="220">
        <f t="shared" si="209"/>
        <v>-10</v>
      </c>
      <c r="AX269" s="229"/>
      <c r="AY269" s="220" t="str">
        <f t="shared" si="220"/>
        <v/>
      </c>
      <c r="AZ269" s="220"/>
      <c r="BA269" s="220">
        <f t="shared" si="210"/>
        <v>0</v>
      </c>
      <c r="BB269" s="220">
        <f t="shared" si="211"/>
        <v>-10</v>
      </c>
    </row>
    <row r="270" ht="14.25" customHeight="1">
      <c r="A270" s="222"/>
      <c r="B270" s="216"/>
      <c r="C270" s="223" t="s">
        <v>221</v>
      </c>
      <c r="D270" s="223"/>
      <c r="E270" s="216">
        <f>SUM(E239:E269)</f>
        <v>0</v>
      </c>
      <c r="F270" s="216">
        <f t="shared" si="195"/>
        <v>-10</v>
      </c>
      <c r="H270" s="216"/>
      <c r="I270" s="223" t="s">
        <v>221</v>
      </c>
      <c r="J270" s="223"/>
      <c r="K270" s="216">
        <f>SUM(K239:K269)</f>
        <v>0</v>
      </c>
      <c r="L270" s="216">
        <f t="shared" si="197"/>
        <v>-10</v>
      </c>
      <c r="N270" s="216"/>
      <c r="O270" s="223" t="s">
        <v>221</v>
      </c>
      <c r="P270" s="223"/>
      <c r="Q270" s="216">
        <f>SUM(Q239:Q269)</f>
        <v>0</v>
      </c>
      <c r="R270" s="216">
        <f t="shared" si="199"/>
        <v>-10</v>
      </c>
      <c r="T270" s="216"/>
      <c r="U270" s="223" t="s">
        <v>221</v>
      </c>
      <c r="V270" s="223"/>
      <c r="W270" s="216">
        <f>SUM(W239:W269)</f>
        <v>0</v>
      </c>
      <c r="X270" s="216">
        <f t="shared" si="201"/>
        <v>-10</v>
      </c>
      <c r="Z270" s="216"/>
      <c r="AA270" s="223" t="s">
        <v>221</v>
      </c>
      <c r="AB270" s="223"/>
      <c r="AC270" s="216">
        <f>SUM(AC239:AC269)</f>
        <v>0</v>
      </c>
      <c r="AD270" s="216">
        <f t="shared" si="203"/>
        <v>-10</v>
      </c>
      <c r="AF270" s="216"/>
      <c r="AG270" s="223" t="s">
        <v>221</v>
      </c>
      <c r="AH270" s="223"/>
      <c r="AI270" s="216">
        <f>SUM(AI239:AI269)</f>
        <v>0</v>
      </c>
      <c r="AJ270" s="216">
        <f t="shared" si="205"/>
        <v>-10</v>
      </c>
      <c r="AL270" s="216"/>
      <c r="AM270" s="223" t="s">
        <v>221</v>
      </c>
      <c r="AN270" s="223"/>
      <c r="AO270" s="216">
        <f>SUM(AO239:AO269)</f>
        <v>0</v>
      </c>
      <c r="AP270" s="216">
        <f t="shared" si="207"/>
        <v>-10</v>
      </c>
      <c r="AR270" s="216"/>
      <c r="AS270" s="223" t="s">
        <v>221</v>
      </c>
      <c r="AT270" s="223"/>
      <c r="AU270" s="216">
        <f>SUM(AU239:AU269)</f>
        <v>0</v>
      </c>
      <c r="AV270" s="216">
        <f t="shared" si="209"/>
        <v>-10</v>
      </c>
      <c r="AX270" s="216"/>
      <c r="AY270" s="223" t="s">
        <v>221</v>
      </c>
      <c r="AZ270" s="223"/>
      <c r="BA270" s="216">
        <f>SUM(BA239:BA269)</f>
        <v>0</v>
      </c>
      <c r="BB270" s="216">
        <f t="shared" si="211"/>
        <v>-10</v>
      </c>
    </row>
    <row r="271" ht="14.25" customHeight="1"/>
    <row r="272" ht="14.25" customHeight="1"/>
    <row r="273" ht="14.25" customHeight="1"/>
    <row r="274" ht="18.0" customHeight="1">
      <c r="A274" s="215" t="s">
        <v>230</v>
      </c>
      <c r="B274" s="206" t="s">
        <v>18</v>
      </c>
      <c r="C274" s="207"/>
      <c r="D274" s="207"/>
      <c r="E274" s="207"/>
      <c r="F274" s="208"/>
      <c r="G274" s="209"/>
      <c r="H274" s="206" t="s">
        <v>20</v>
      </c>
      <c r="I274" s="207"/>
      <c r="J274" s="207"/>
      <c r="K274" s="207"/>
      <c r="L274" s="208"/>
      <c r="M274" s="209"/>
      <c r="N274" s="206" t="s">
        <v>142</v>
      </c>
      <c r="O274" s="207"/>
      <c r="P274" s="207"/>
      <c r="Q274" s="207"/>
      <c r="R274" s="208"/>
      <c r="S274" s="209"/>
      <c r="T274" s="206" t="s">
        <v>95</v>
      </c>
      <c r="U274" s="207"/>
      <c r="V274" s="207"/>
      <c r="W274" s="207"/>
      <c r="X274" s="208"/>
      <c r="Y274" s="209"/>
      <c r="Z274" s="206" t="s">
        <v>32</v>
      </c>
      <c r="AA274" s="207"/>
      <c r="AB274" s="207"/>
      <c r="AC274" s="207"/>
      <c r="AD274" s="208"/>
      <c r="AE274" s="209"/>
      <c r="AF274" s="206" t="s">
        <v>27</v>
      </c>
      <c r="AG274" s="207"/>
      <c r="AH274" s="207"/>
      <c r="AI274" s="207"/>
      <c r="AJ274" s="208"/>
      <c r="AK274" s="209"/>
      <c r="AL274" s="206" t="s">
        <v>34</v>
      </c>
      <c r="AM274" s="207"/>
      <c r="AN274" s="207"/>
      <c r="AO274" s="207"/>
      <c r="AP274" s="208"/>
      <c r="AQ274" s="209"/>
      <c r="AR274" s="206"/>
      <c r="AS274" s="207"/>
      <c r="AT274" s="207"/>
      <c r="AU274" s="207"/>
      <c r="AV274" s="208"/>
      <c r="AW274" s="209"/>
      <c r="AX274" s="206"/>
      <c r="AY274" s="207"/>
      <c r="AZ274" s="207"/>
      <c r="BA274" s="207"/>
      <c r="BB274" s="208"/>
    </row>
    <row r="275" ht="14.25" customHeight="1">
      <c r="A275" s="218"/>
      <c r="B275" s="210"/>
      <c r="F275" s="211"/>
      <c r="G275" s="209"/>
      <c r="H275" s="210"/>
      <c r="L275" s="211"/>
      <c r="M275" s="209"/>
      <c r="N275" s="210"/>
      <c r="R275" s="211"/>
      <c r="S275" s="209"/>
      <c r="T275" s="210"/>
      <c r="X275" s="211"/>
      <c r="Y275" s="209"/>
      <c r="Z275" s="210"/>
      <c r="AD275" s="211"/>
      <c r="AE275" s="209"/>
      <c r="AF275" s="210"/>
      <c r="AJ275" s="211"/>
      <c r="AK275" s="209"/>
      <c r="AL275" s="210"/>
      <c r="AP275" s="211"/>
      <c r="AQ275" s="209"/>
      <c r="AR275" s="210"/>
      <c r="AV275" s="211"/>
      <c r="AW275" s="209"/>
      <c r="AX275" s="210"/>
      <c r="BB275" s="211"/>
    </row>
    <row r="276" ht="14.25" customHeight="1">
      <c r="A276" s="218"/>
      <c r="B276" s="212"/>
      <c r="C276" s="213"/>
      <c r="D276" s="213"/>
      <c r="E276" s="213"/>
      <c r="F276" s="214"/>
      <c r="G276" s="209"/>
      <c r="H276" s="212"/>
      <c r="I276" s="213"/>
      <c r="J276" s="213"/>
      <c r="K276" s="213"/>
      <c r="L276" s="214"/>
      <c r="M276" s="209"/>
      <c r="N276" s="212"/>
      <c r="O276" s="213"/>
      <c r="P276" s="213"/>
      <c r="Q276" s="213"/>
      <c r="R276" s="214"/>
      <c r="S276" s="209"/>
      <c r="T276" s="212"/>
      <c r="U276" s="213"/>
      <c r="V276" s="213"/>
      <c r="W276" s="213"/>
      <c r="X276" s="214"/>
      <c r="Y276" s="209"/>
      <c r="Z276" s="212"/>
      <c r="AA276" s="213"/>
      <c r="AB276" s="213"/>
      <c r="AC276" s="213"/>
      <c r="AD276" s="214"/>
      <c r="AE276" s="209"/>
      <c r="AF276" s="212"/>
      <c r="AG276" s="213"/>
      <c r="AH276" s="213"/>
      <c r="AI276" s="213"/>
      <c r="AJ276" s="214"/>
      <c r="AK276" s="209"/>
      <c r="AL276" s="212"/>
      <c r="AM276" s="213"/>
      <c r="AN276" s="213"/>
      <c r="AO276" s="213"/>
      <c r="AP276" s="214"/>
      <c r="AQ276" s="209"/>
      <c r="AR276" s="212"/>
      <c r="AS276" s="213"/>
      <c r="AT276" s="213"/>
      <c r="AU276" s="213"/>
      <c r="AV276" s="214"/>
      <c r="AW276" s="209"/>
      <c r="AX276" s="212"/>
      <c r="AY276" s="213"/>
      <c r="AZ276" s="213"/>
      <c r="BA276" s="213"/>
      <c r="BB276" s="214"/>
    </row>
    <row r="277" ht="14.25" customHeight="1">
      <c r="A277" s="218"/>
      <c r="B277" s="216" t="s">
        <v>214</v>
      </c>
      <c r="C277" s="216" t="s">
        <v>215</v>
      </c>
      <c r="D277" s="216" t="s">
        <v>216</v>
      </c>
      <c r="E277" s="216" t="s">
        <v>217</v>
      </c>
      <c r="F277" s="216" t="s">
        <v>218</v>
      </c>
      <c r="H277" s="217" t="s">
        <v>214</v>
      </c>
      <c r="I277" s="216" t="s">
        <v>215</v>
      </c>
      <c r="J277" s="216" t="s">
        <v>216</v>
      </c>
      <c r="K277" s="216" t="s">
        <v>217</v>
      </c>
      <c r="L277" s="216" t="s">
        <v>218</v>
      </c>
      <c r="N277" s="216" t="s">
        <v>214</v>
      </c>
      <c r="O277" s="216" t="s">
        <v>215</v>
      </c>
      <c r="P277" s="216" t="s">
        <v>216</v>
      </c>
      <c r="Q277" s="216" t="s">
        <v>217</v>
      </c>
      <c r="R277" s="216" t="s">
        <v>218</v>
      </c>
      <c r="T277" s="216" t="s">
        <v>214</v>
      </c>
      <c r="U277" s="216" t="s">
        <v>215</v>
      </c>
      <c r="V277" s="216" t="s">
        <v>216</v>
      </c>
      <c r="W277" s="216" t="s">
        <v>217</v>
      </c>
      <c r="X277" s="216" t="s">
        <v>218</v>
      </c>
      <c r="Z277" s="216" t="s">
        <v>214</v>
      </c>
      <c r="AA277" s="216" t="s">
        <v>215</v>
      </c>
      <c r="AB277" s="216" t="s">
        <v>216</v>
      </c>
      <c r="AC277" s="216" t="s">
        <v>217</v>
      </c>
      <c r="AD277" s="216" t="s">
        <v>218</v>
      </c>
      <c r="AF277" s="216" t="s">
        <v>214</v>
      </c>
      <c r="AG277" s="216" t="s">
        <v>215</v>
      </c>
      <c r="AH277" s="216" t="s">
        <v>216</v>
      </c>
      <c r="AI277" s="216" t="s">
        <v>217</v>
      </c>
      <c r="AJ277" s="216" t="s">
        <v>218</v>
      </c>
      <c r="AL277" s="216" t="s">
        <v>214</v>
      </c>
      <c r="AM277" s="216" t="s">
        <v>215</v>
      </c>
      <c r="AN277" s="216" t="s">
        <v>216</v>
      </c>
      <c r="AO277" s="216" t="s">
        <v>217</v>
      </c>
      <c r="AP277" s="216" t="s">
        <v>218</v>
      </c>
      <c r="AR277" s="216" t="s">
        <v>214</v>
      </c>
      <c r="AS277" s="216" t="s">
        <v>215</v>
      </c>
      <c r="AT277" s="216" t="s">
        <v>216</v>
      </c>
      <c r="AU277" s="216" t="s">
        <v>217</v>
      </c>
      <c r="AV277" s="216" t="s">
        <v>218</v>
      </c>
      <c r="AX277" s="216" t="s">
        <v>214</v>
      </c>
      <c r="AY277" s="216" t="s">
        <v>215</v>
      </c>
      <c r="AZ277" s="216" t="s">
        <v>216</v>
      </c>
      <c r="BA277" s="216" t="s">
        <v>217</v>
      </c>
      <c r="BB277" s="216" t="s">
        <v>218</v>
      </c>
    </row>
    <row r="278" ht="14.25" customHeight="1">
      <c r="A278" s="218"/>
      <c r="B278" s="219">
        <v>45078.0</v>
      </c>
      <c r="C278" s="220"/>
      <c r="D278" s="220"/>
      <c r="E278" s="220">
        <f t="shared" ref="E278:E308" si="221">D278-C278</f>
        <v>0</v>
      </c>
      <c r="F278" s="220">
        <f t="shared" ref="F278:F309" si="222">E278-10</f>
        <v>-10</v>
      </c>
      <c r="H278" s="219">
        <v>45078.0</v>
      </c>
      <c r="I278" s="220"/>
      <c r="J278" s="220"/>
      <c r="K278" s="220">
        <f t="shared" ref="K278:K308" si="223">J278-I278</f>
        <v>0</v>
      </c>
      <c r="L278" s="220">
        <f t="shared" ref="L278:L309" si="224">K278-10</f>
        <v>-10</v>
      </c>
      <c r="N278" s="219">
        <v>45078.0</v>
      </c>
      <c r="O278" s="220"/>
      <c r="P278" s="220"/>
      <c r="Q278" s="220">
        <f t="shared" ref="Q278:Q308" si="225">P278-O278</f>
        <v>0</v>
      </c>
      <c r="R278" s="220">
        <f t="shared" ref="R278:R309" si="226">Q278-10</f>
        <v>-10</v>
      </c>
      <c r="T278" s="219">
        <v>45078.0</v>
      </c>
      <c r="U278" s="220"/>
      <c r="V278" s="220"/>
      <c r="W278" s="220">
        <f t="shared" ref="W278:W308" si="227">V278-U278</f>
        <v>0</v>
      </c>
      <c r="X278" s="220">
        <f t="shared" ref="X278:X309" si="228">W278-10</f>
        <v>-10</v>
      </c>
      <c r="Z278" s="219">
        <v>45078.0</v>
      </c>
      <c r="AA278" s="220"/>
      <c r="AB278" s="220"/>
      <c r="AC278" s="220">
        <f t="shared" ref="AC278:AC308" si="229">AB278-AA278</f>
        <v>0</v>
      </c>
      <c r="AD278" s="220">
        <f t="shared" ref="AD278:AD309" si="230">AC278-10</f>
        <v>-10</v>
      </c>
      <c r="AF278" s="219">
        <v>45078.0</v>
      </c>
      <c r="AG278" s="220"/>
      <c r="AH278" s="220"/>
      <c r="AI278" s="220">
        <f t="shared" ref="AI278:AI308" si="231">AH278-AG278</f>
        <v>0</v>
      </c>
      <c r="AJ278" s="220">
        <f t="shared" ref="AJ278:AJ309" si="232">AI278-10</f>
        <v>-10</v>
      </c>
      <c r="AL278" s="219">
        <v>45078.0</v>
      </c>
      <c r="AM278" s="220"/>
      <c r="AN278" s="220"/>
      <c r="AO278" s="220">
        <f t="shared" ref="AO278:AO308" si="233">AN278-AM278</f>
        <v>0</v>
      </c>
      <c r="AP278" s="220">
        <f t="shared" ref="AP278:AP309" si="234">AO278-10</f>
        <v>-10</v>
      </c>
      <c r="AR278" s="219">
        <v>45078.0</v>
      </c>
      <c r="AS278" s="220"/>
      <c r="AT278" s="220"/>
      <c r="AU278" s="220">
        <f t="shared" ref="AU278:AU308" si="235">AT278-AS278</f>
        <v>0</v>
      </c>
      <c r="AV278" s="220">
        <f t="shared" ref="AV278:AV309" si="236">AU278-10</f>
        <v>-10</v>
      </c>
      <c r="AX278" s="219">
        <v>45078.0</v>
      </c>
      <c r="AY278" s="220"/>
      <c r="AZ278" s="220"/>
      <c r="BA278" s="220">
        <f t="shared" ref="BA278:BA308" si="237">AZ278-AY278</f>
        <v>0</v>
      </c>
      <c r="BB278" s="220">
        <f t="shared" ref="BB278:BB309" si="238">BA278-10</f>
        <v>-10</v>
      </c>
    </row>
    <row r="279" ht="14.25" customHeight="1">
      <c r="A279" s="218"/>
      <c r="B279" s="219">
        <v>45079.0</v>
      </c>
      <c r="C279" s="220" t="str">
        <f t="shared" ref="C279:C308" si="239">D278</f>
        <v/>
      </c>
      <c r="D279" s="220"/>
      <c r="E279" s="220">
        <f t="shared" si="221"/>
        <v>0</v>
      </c>
      <c r="F279" s="220">
        <f t="shared" si="222"/>
        <v>-10</v>
      </c>
      <c r="H279" s="219">
        <v>45079.0</v>
      </c>
      <c r="I279" s="220" t="str">
        <f t="shared" ref="I279:I308" si="240">J278</f>
        <v/>
      </c>
      <c r="J279" s="220"/>
      <c r="K279" s="220">
        <f t="shared" si="223"/>
        <v>0</v>
      </c>
      <c r="L279" s="220">
        <f t="shared" si="224"/>
        <v>-10</v>
      </c>
      <c r="N279" s="219">
        <v>45079.0</v>
      </c>
      <c r="O279" s="220" t="str">
        <f t="shared" ref="O279:O308" si="241">P278</f>
        <v/>
      </c>
      <c r="P279" s="220"/>
      <c r="Q279" s="220">
        <f t="shared" si="225"/>
        <v>0</v>
      </c>
      <c r="R279" s="220">
        <f t="shared" si="226"/>
        <v>-10</v>
      </c>
      <c r="T279" s="219">
        <v>45079.0</v>
      </c>
      <c r="U279" s="220" t="str">
        <f t="shared" ref="U279:U308" si="242">V278</f>
        <v/>
      </c>
      <c r="V279" s="220"/>
      <c r="W279" s="220">
        <f t="shared" si="227"/>
        <v>0</v>
      </c>
      <c r="X279" s="220">
        <f t="shared" si="228"/>
        <v>-10</v>
      </c>
      <c r="Z279" s="219">
        <v>45079.0</v>
      </c>
      <c r="AA279" s="220" t="str">
        <f t="shared" ref="AA279:AA308" si="243">AB278</f>
        <v/>
      </c>
      <c r="AB279" s="220"/>
      <c r="AC279" s="220">
        <f t="shared" si="229"/>
        <v>0</v>
      </c>
      <c r="AD279" s="220">
        <f t="shared" si="230"/>
        <v>-10</v>
      </c>
      <c r="AF279" s="219">
        <v>45079.0</v>
      </c>
      <c r="AG279" s="220" t="str">
        <f t="shared" ref="AG279:AG308" si="244">AH278</f>
        <v/>
      </c>
      <c r="AH279" s="220"/>
      <c r="AI279" s="220">
        <f t="shared" si="231"/>
        <v>0</v>
      </c>
      <c r="AJ279" s="220">
        <f t="shared" si="232"/>
        <v>-10</v>
      </c>
      <c r="AL279" s="219">
        <v>45079.0</v>
      </c>
      <c r="AM279" s="220" t="str">
        <f t="shared" ref="AM279:AM308" si="245">AN278</f>
        <v/>
      </c>
      <c r="AN279" s="220"/>
      <c r="AO279" s="220">
        <f t="shared" si="233"/>
        <v>0</v>
      </c>
      <c r="AP279" s="220">
        <f t="shared" si="234"/>
        <v>-10</v>
      </c>
      <c r="AR279" s="219">
        <v>45079.0</v>
      </c>
      <c r="AS279" s="220" t="str">
        <f t="shared" ref="AS279:AS308" si="246">AT278</f>
        <v/>
      </c>
      <c r="AT279" s="220"/>
      <c r="AU279" s="220">
        <f t="shared" si="235"/>
        <v>0</v>
      </c>
      <c r="AV279" s="220">
        <f t="shared" si="236"/>
        <v>-10</v>
      </c>
      <c r="AX279" s="219">
        <v>45079.0</v>
      </c>
      <c r="AY279" s="220" t="str">
        <f t="shared" ref="AY279:AY308" si="247">AZ278</f>
        <v/>
      </c>
      <c r="AZ279" s="220"/>
      <c r="BA279" s="220">
        <f t="shared" si="237"/>
        <v>0</v>
      </c>
      <c r="BB279" s="220">
        <f t="shared" si="238"/>
        <v>-10</v>
      </c>
    </row>
    <row r="280" ht="14.25" customHeight="1">
      <c r="A280" s="218"/>
      <c r="B280" s="219">
        <v>45080.0</v>
      </c>
      <c r="C280" s="220" t="str">
        <f t="shared" si="239"/>
        <v/>
      </c>
      <c r="D280" s="220"/>
      <c r="E280" s="220">
        <f t="shared" si="221"/>
        <v>0</v>
      </c>
      <c r="F280" s="220">
        <f t="shared" si="222"/>
        <v>-10</v>
      </c>
      <c r="G280" s="221"/>
      <c r="H280" s="219">
        <v>45080.0</v>
      </c>
      <c r="I280" s="220" t="str">
        <f t="shared" si="240"/>
        <v/>
      </c>
      <c r="J280" s="220"/>
      <c r="K280" s="220">
        <f t="shared" si="223"/>
        <v>0</v>
      </c>
      <c r="L280" s="220">
        <f t="shared" si="224"/>
        <v>-10</v>
      </c>
      <c r="M280" s="221"/>
      <c r="N280" s="219">
        <v>45080.0</v>
      </c>
      <c r="O280" s="220" t="str">
        <f t="shared" si="241"/>
        <v/>
      </c>
      <c r="P280" s="220"/>
      <c r="Q280" s="220">
        <f t="shared" si="225"/>
        <v>0</v>
      </c>
      <c r="R280" s="220">
        <f t="shared" si="226"/>
        <v>-10</v>
      </c>
      <c r="S280" s="221"/>
      <c r="T280" s="219">
        <v>45080.0</v>
      </c>
      <c r="U280" s="220" t="str">
        <f t="shared" si="242"/>
        <v/>
      </c>
      <c r="V280" s="220"/>
      <c r="W280" s="220">
        <f t="shared" si="227"/>
        <v>0</v>
      </c>
      <c r="X280" s="220">
        <f t="shared" si="228"/>
        <v>-10</v>
      </c>
      <c r="Y280" s="221"/>
      <c r="Z280" s="219">
        <v>45080.0</v>
      </c>
      <c r="AA280" s="220" t="str">
        <f t="shared" si="243"/>
        <v/>
      </c>
      <c r="AB280" s="220"/>
      <c r="AC280" s="220">
        <f t="shared" si="229"/>
        <v>0</v>
      </c>
      <c r="AD280" s="220">
        <f t="shared" si="230"/>
        <v>-10</v>
      </c>
      <c r="AE280" s="221"/>
      <c r="AF280" s="219">
        <v>45080.0</v>
      </c>
      <c r="AG280" s="220" t="str">
        <f t="shared" si="244"/>
        <v/>
      </c>
      <c r="AH280" s="220"/>
      <c r="AI280" s="220">
        <f t="shared" si="231"/>
        <v>0</v>
      </c>
      <c r="AJ280" s="220">
        <f t="shared" si="232"/>
        <v>-10</v>
      </c>
      <c r="AK280" s="221"/>
      <c r="AL280" s="219">
        <v>45080.0</v>
      </c>
      <c r="AM280" s="220" t="str">
        <f t="shared" si="245"/>
        <v/>
      </c>
      <c r="AN280" s="220"/>
      <c r="AO280" s="220">
        <f t="shared" si="233"/>
        <v>0</v>
      </c>
      <c r="AP280" s="220">
        <f t="shared" si="234"/>
        <v>-10</v>
      </c>
      <c r="AQ280" s="221"/>
      <c r="AR280" s="219">
        <v>45080.0</v>
      </c>
      <c r="AS280" s="220" t="str">
        <f t="shared" si="246"/>
        <v/>
      </c>
      <c r="AT280" s="220"/>
      <c r="AU280" s="220">
        <f t="shared" si="235"/>
        <v>0</v>
      </c>
      <c r="AV280" s="220">
        <f t="shared" si="236"/>
        <v>-10</v>
      </c>
      <c r="AW280" s="221"/>
      <c r="AX280" s="219">
        <v>45080.0</v>
      </c>
      <c r="AY280" s="220" t="str">
        <f t="shared" si="247"/>
        <v/>
      </c>
      <c r="AZ280" s="220"/>
      <c r="BA280" s="220">
        <f t="shared" si="237"/>
        <v>0</v>
      </c>
      <c r="BB280" s="220">
        <f t="shared" si="238"/>
        <v>-10</v>
      </c>
    </row>
    <row r="281" ht="14.25" customHeight="1">
      <c r="A281" s="218"/>
      <c r="B281" s="219">
        <v>45081.0</v>
      </c>
      <c r="C281" s="220" t="str">
        <f t="shared" si="239"/>
        <v/>
      </c>
      <c r="D281" s="220"/>
      <c r="E281" s="220">
        <f t="shared" si="221"/>
        <v>0</v>
      </c>
      <c r="F281" s="220">
        <f t="shared" si="222"/>
        <v>-10</v>
      </c>
      <c r="G281" s="221"/>
      <c r="H281" s="219">
        <v>45081.0</v>
      </c>
      <c r="I281" s="220" t="str">
        <f t="shared" si="240"/>
        <v/>
      </c>
      <c r="J281" s="220"/>
      <c r="K281" s="220">
        <f t="shared" si="223"/>
        <v>0</v>
      </c>
      <c r="L281" s="220">
        <f t="shared" si="224"/>
        <v>-10</v>
      </c>
      <c r="M281" s="221"/>
      <c r="N281" s="219">
        <v>45081.0</v>
      </c>
      <c r="O281" s="220" t="str">
        <f t="shared" si="241"/>
        <v/>
      </c>
      <c r="P281" s="220"/>
      <c r="Q281" s="220">
        <f t="shared" si="225"/>
        <v>0</v>
      </c>
      <c r="R281" s="220">
        <f t="shared" si="226"/>
        <v>-10</v>
      </c>
      <c r="S281" s="221"/>
      <c r="T281" s="219">
        <v>45081.0</v>
      </c>
      <c r="U281" s="220" t="str">
        <f t="shared" si="242"/>
        <v/>
      </c>
      <c r="V281" s="220"/>
      <c r="W281" s="220">
        <f t="shared" si="227"/>
        <v>0</v>
      </c>
      <c r="X281" s="220">
        <f t="shared" si="228"/>
        <v>-10</v>
      </c>
      <c r="Y281" s="221"/>
      <c r="Z281" s="219">
        <v>45081.0</v>
      </c>
      <c r="AA281" s="220" t="str">
        <f t="shared" si="243"/>
        <v/>
      </c>
      <c r="AB281" s="220"/>
      <c r="AC281" s="220">
        <f t="shared" si="229"/>
        <v>0</v>
      </c>
      <c r="AD281" s="220">
        <f t="shared" si="230"/>
        <v>-10</v>
      </c>
      <c r="AE281" s="221"/>
      <c r="AF281" s="219">
        <v>45081.0</v>
      </c>
      <c r="AG281" s="220" t="str">
        <f t="shared" si="244"/>
        <v/>
      </c>
      <c r="AH281" s="220"/>
      <c r="AI281" s="220">
        <f t="shared" si="231"/>
        <v>0</v>
      </c>
      <c r="AJ281" s="220">
        <f t="shared" si="232"/>
        <v>-10</v>
      </c>
      <c r="AK281" s="221"/>
      <c r="AL281" s="219">
        <v>45081.0</v>
      </c>
      <c r="AM281" s="220" t="str">
        <f t="shared" si="245"/>
        <v/>
      </c>
      <c r="AN281" s="220"/>
      <c r="AO281" s="220">
        <f t="shared" si="233"/>
        <v>0</v>
      </c>
      <c r="AP281" s="220">
        <f t="shared" si="234"/>
        <v>-10</v>
      </c>
      <c r="AQ281" s="221"/>
      <c r="AR281" s="219">
        <v>45081.0</v>
      </c>
      <c r="AS281" s="220" t="str">
        <f t="shared" si="246"/>
        <v/>
      </c>
      <c r="AT281" s="220"/>
      <c r="AU281" s="220">
        <f t="shared" si="235"/>
        <v>0</v>
      </c>
      <c r="AV281" s="220">
        <f t="shared" si="236"/>
        <v>-10</v>
      </c>
      <c r="AW281" s="221"/>
      <c r="AX281" s="219">
        <v>45081.0</v>
      </c>
      <c r="AY281" s="220" t="str">
        <f t="shared" si="247"/>
        <v/>
      </c>
      <c r="AZ281" s="220"/>
      <c r="BA281" s="220">
        <f t="shared" si="237"/>
        <v>0</v>
      </c>
      <c r="BB281" s="220">
        <f t="shared" si="238"/>
        <v>-10</v>
      </c>
    </row>
    <row r="282" ht="14.25" customHeight="1">
      <c r="A282" s="218"/>
      <c r="B282" s="219">
        <v>45082.0</v>
      </c>
      <c r="C282" s="220" t="str">
        <f t="shared" si="239"/>
        <v/>
      </c>
      <c r="D282" s="220"/>
      <c r="E282" s="220">
        <f t="shared" si="221"/>
        <v>0</v>
      </c>
      <c r="F282" s="220">
        <f t="shared" si="222"/>
        <v>-10</v>
      </c>
      <c r="H282" s="219">
        <v>45082.0</v>
      </c>
      <c r="I282" s="220" t="str">
        <f t="shared" si="240"/>
        <v/>
      </c>
      <c r="J282" s="220"/>
      <c r="K282" s="220">
        <f t="shared" si="223"/>
        <v>0</v>
      </c>
      <c r="L282" s="220">
        <f t="shared" si="224"/>
        <v>-10</v>
      </c>
      <c r="N282" s="219">
        <v>45082.0</v>
      </c>
      <c r="O282" s="220" t="str">
        <f t="shared" si="241"/>
        <v/>
      </c>
      <c r="P282" s="220"/>
      <c r="Q282" s="220">
        <f t="shared" si="225"/>
        <v>0</v>
      </c>
      <c r="R282" s="220">
        <f t="shared" si="226"/>
        <v>-10</v>
      </c>
      <c r="T282" s="219">
        <v>45082.0</v>
      </c>
      <c r="U282" s="220" t="str">
        <f t="shared" si="242"/>
        <v/>
      </c>
      <c r="V282" s="220"/>
      <c r="W282" s="220">
        <f t="shared" si="227"/>
        <v>0</v>
      </c>
      <c r="X282" s="220">
        <f t="shared" si="228"/>
        <v>-10</v>
      </c>
      <c r="Z282" s="219">
        <v>45082.0</v>
      </c>
      <c r="AA282" s="220" t="str">
        <f t="shared" si="243"/>
        <v/>
      </c>
      <c r="AB282" s="220"/>
      <c r="AC282" s="220">
        <f t="shared" si="229"/>
        <v>0</v>
      </c>
      <c r="AD282" s="220">
        <f t="shared" si="230"/>
        <v>-10</v>
      </c>
      <c r="AF282" s="219">
        <v>45082.0</v>
      </c>
      <c r="AG282" s="220" t="str">
        <f t="shared" si="244"/>
        <v/>
      </c>
      <c r="AH282" s="220"/>
      <c r="AI282" s="220">
        <f t="shared" si="231"/>
        <v>0</v>
      </c>
      <c r="AJ282" s="220">
        <f t="shared" si="232"/>
        <v>-10</v>
      </c>
      <c r="AL282" s="219">
        <v>45082.0</v>
      </c>
      <c r="AM282" s="220" t="str">
        <f t="shared" si="245"/>
        <v/>
      </c>
      <c r="AN282" s="220"/>
      <c r="AO282" s="220">
        <f t="shared" si="233"/>
        <v>0</v>
      </c>
      <c r="AP282" s="220">
        <f t="shared" si="234"/>
        <v>-10</v>
      </c>
      <c r="AR282" s="219">
        <v>45082.0</v>
      </c>
      <c r="AS282" s="220" t="str">
        <f t="shared" si="246"/>
        <v/>
      </c>
      <c r="AT282" s="220"/>
      <c r="AU282" s="220">
        <f t="shared" si="235"/>
        <v>0</v>
      </c>
      <c r="AV282" s="220">
        <f t="shared" si="236"/>
        <v>-10</v>
      </c>
      <c r="AX282" s="219">
        <v>45082.0</v>
      </c>
      <c r="AY282" s="220" t="str">
        <f t="shared" si="247"/>
        <v/>
      </c>
      <c r="AZ282" s="220"/>
      <c r="BA282" s="220">
        <f t="shared" si="237"/>
        <v>0</v>
      </c>
      <c r="BB282" s="220">
        <f t="shared" si="238"/>
        <v>-10</v>
      </c>
    </row>
    <row r="283" ht="14.25" customHeight="1">
      <c r="A283" s="218"/>
      <c r="B283" s="219">
        <v>45083.0</v>
      </c>
      <c r="C283" s="220" t="str">
        <f t="shared" si="239"/>
        <v/>
      </c>
      <c r="D283" s="220"/>
      <c r="E283" s="220">
        <f t="shared" si="221"/>
        <v>0</v>
      </c>
      <c r="F283" s="220">
        <f t="shared" si="222"/>
        <v>-10</v>
      </c>
      <c r="H283" s="219">
        <v>45083.0</v>
      </c>
      <c r="I283" s="220" t="str">
        <f t="shared" si="240"/>
        <v/>
      </c>
      <c r="J283" s="220"/>
      <c r="K283" s="220">
        <f t="shared" si="223"/>
        <v>0</v>
      </c>
      <c r="L283" s="220">
        <f t="shared" si="224"/>
        <v>-10</v>
      </c>
      <c r="N283" s="219">
        <v>45083.0</v>
      </c>
      <c r="O283" s="220" t="str">
        <f t="shared" si="241"/>
        <v/>
      </c>
      <c r="P283" s="220"/>
      <c r="Q283" s="220">
        <f t="shared" si="225"/>
        <v>0</v>
      </c>
      <c r="R283" s="220">
        <f t="shared" si="226"/>
        <v>-10</v>
      </c>
      <c r="T283" s="219">
        <v>45083.0</v>
      </c>
      <c r="U283" s="220" t="str">
        <f t="shared" si="242"/>
        <v/>
      </c>
      <c r="V283" s="220"/>
      <c r="W283" s="220">
        <f t="shared" si="227"/>
        <v>0</v>
      </c>
      <c r="X283" s="220">
        <f t="shared" si="228"/>
        <v>-10</v>
      </c>
      <c r="Z283" s="219">
        <v>45083.0</v>
      </c>
      <c r="AA283" s="220" t="str">
        <f t="shared" si="243"/>
        <v/>
      </c>
      <c r="AB283" s="220"/>
      <c r="AC283" s="220">
        <f t="shared" si="229"/>
        <v>0</v>
      </c>
      <c r="AD283" s="220">
        <f t="shared" si="230"/>
        <v>-10</v>
      </c>
      <c r="AF283" s="219">
        <v>45083.0</v>
      </c>
      <c r="AG283" s="220" t="str">
        <f t="shared" si="244"/>
        <v/>
      </c>
      <c r="AH283" s="220"/>
      <c r="AI283" s="220">
        <f t="shared" si="231"/>
        <v>0</v>
      </c>
      <c r="AJ283" s="220">
        <f t="shared" si="232"/>
        <v>-10</v>
      </c>
      <c r="AL283" s="219">
        <v>45083.0</v>
      </c>
      <c r="AM283" s="220" t="str">
        <f t="shared" si="245"/>
        <v/>
      </c>
      <c r="AN283" s="220"/>
      <c r="AO283" s="220">
        <f t="shared" si="233"/>
        <v>0</v>
      </c>
      <c r="AP283" s="220">
        <f t="shared" si="234"/>
        <v>-10</v>
      </c>
      <c r="AR283" s="219">
        <v>45083.0</v>
      </c>
      <c r="AS283" s="220" t="str">
        <f t="shared" si="246"/>
        <v/>
      </c>
      <c r="AT283" s="220"/>
      <c r="AU283" s="220">
        <f t="shared" si="235"/>
        <v>0</v>
      </c>
      <c r="AV283" s="220">
        <f t="shared" si="236"/>
        <v>-10</v>
      </c>
      <c r="AX283" s="219">
        <v>45083.0</v>
      </c>
      <c r="AY283" s="220" t="str">
        <f t="shared" si="247"/>
        <v/>
      </c>
      <c r="AZ283" s="220"/>
      <c r="BA283" s="220">
        <f t="shared" si="237"/>
        <v>0</v>
      </c>
      <c r="BB283" s="220">
        <f t="shared" si="238"/>
        <v>-10</v>
      </c>
    </row>
    <row r="284" ht="14.25" customHeight="1">
      <c r="A284" s="218"/>
      <c r="B284" s="219">
        <v>45084.0</v>
      </c>
      <c r="C284" s="220" t="str">
        <f t="shared" si="239"/>
        <v/>
      </c>
      <c r="D284" s="220"/>
      <c r="E284" s="220">
        <f t="shared" si="221"/>
        <v>0</v>
      </c>
      <c r="F284" s="220">
        <f t="shared" si="222"/>
        <v>-10</v>
      </c>
      <c r="H284" s="219">
        <v>45084.0</v>
      </c>
      <c r="I284" s="220" t="str">
        <f t="shared" si="240"/>
        <v/>
      </c>
      <c r="J284" s="220"/>
      <c r="K284" s="220">
        <f t="shared" si="223"/>
        <v>0</v>
      </c>
      <c r="L284" s="220">
        <f t="shared" si="224"/>
        <v>-10</v>
      </c>
      <c r="N284" s="219">
        <v>45084.0</v>
      </c>
      <c r="O284" s="220" t="str">
        <f t="shared" si="241"/>
        <v/>
      </c>
      <c r="P284" s="220"/>
      <c r="Q284" s="220">
        <f t="shared" si="225"/>
        <v>0</v>
      </c>
      <c r="R284" s="220">
        <f t="shared" si="226"/>
        <v>-10</v>
      </c>
      <c r="T284" s="219">
        <v>45084.0</v>
      </c>
      <c r="U284" s="220" t="str">
        <f t="shared" si="242"/>
        <v/>
      </c>
      <c r="V284" s="220"/>
      <c r="W284" s="220">
        <f t="shared" si="227"/>
        <v>0</v>
      </c>
      <c r="X284" s="220">
        <f t="shared" si="228"/>
        <v>-10</v>
      </c>
      <c r="Z284" s="219">
        <v>45084.0</v>
      </c>
      <c r="AA284" s="220" t="str">
        <f t="shared" si="243"/>
        <v/>
      </c>
      <c r="AB284" s="220"/>
      <c r="AC284" s="220">
        <f t="shared" si="229"/>
        <v>0</v>
      </c>
      <c r="AD284" s="220">
        <f t="shared" si="230"/>
        <v>-10</v>
      </c>
      <c r="AF284" s="219">
        <v>45084.0</v>
      </c>
      <c r="AG284" s="220" t="str">
        <f t="shared" si="244"/>
        <v/>
      </c>
      <c r="AH284" s="220"/>
      <c r="AI284" s="220">
        <f t="shared" si="231"/>
        <v>0</v>
      </c>
      <c r="AJ284" s="220">
        <f t="shared" si="232"/>
        <v>-10</v>
      </c>
      <c r="AL284" s="219">
        <v>45084.0</v>
      </c>
      <c r="AM284" s="220" t="str">
        <f t="shared" si="245"/>
        <v/>
      </c>
      <c r="AN284" s="220"/>
      <c r="AO284" s="220">
        <f t="shared" si="233"/>
        <v>0</v>
      </c>
      <c r="AP284" s="220">
        <f t="shared" si="234"/>
        <v>-10</v>
      </c>
      <c r="AR284" s="219">
        <v>45084.0</v>
      </c>
      <c r="AS284" s="220" t="str">
        <f t="shared" si="246"/>
        <v/>
      </c>
      <c r="AT284" s="220"/>
      <c r="AU284" s="220">
        <f t="shared" si="235"/>
        <v>0</v>
      </c>
      <c r="AV284" s="220">
        <f t="shared" si="236"/>
        <v>-10</v>
      </c>
      <c r="AX284" s="219">
        <v>45084.0</v>
      </c>
      <c r="AY284" s="220" t="str">
        <f t="shared" si="247"/>
        <v/>
      </c>
      <c r="AZ284" s="220"/>
      <c r="BA284" s="220">
        <f t="shared" si="237"/>
        <v>0</v>
      </c>
      <c r="BB284" s="220">
        <f t="shared" si="238"/>
        <v>-10</v>
      </c>
    </row>
    <row r="285" ht="14.25" customHeight="1">
      <c r="A285" s="218"/>
      <c r="B285" s="219">
        <v>45085.0</v>
      </c>
      <c r="C285" s="220" t="str">
        <f t="shared" si="239"/>
        <v/>
      </c>
      <c r="D285" s="220"/>
      <c r="E285" s="220">
        <f t="shared" si="221"/>
        <v>0</v>
      </c>
      <c r="F285" s="220">
        <f t="shared" si="222"/>
        <v>-10</v>
      </c>
      <c r="H285" s="219">
        <v>45085.0</v>
      </c>
      <c r="I285" s="220" t="str">
        <f t="shared" si="240"/>
        <v/>
      </c>
      <c r="J285" s="220"/>
      <c r="K285" s="220">
        <f t="shared" si="223"/>
        <v>0</v>
      </c>
      <c r="L285" s="220">
        <f t="shared" si="224"/>
        <v>-10</v>
      </c>
      <c r="N285" s="219">
        <v>45085.0</v>
      </c>
      <c r="O285" s="220" t="str">
        <f t="shared" si="241"/>
        <v/>
      </c>
      <c r="P285" s="220"/>
      <c r="Q285" s="220">
        <f t="shared" si="225"/>
        <v>0</v>
      </c>
      <c r="R285" s="220">
        <f t="shared" si="226"/>
        <v>-10</v>
      </c>
      <c r="T285" s="219">
        <v>45085.0</v>
      </c>
      <c r="U285" s="220" t="str">
        <f t="shared" si="242"/>
        <v/>
      </c>
      <c r="V285" s="220"/>
      <c r="W285" s="220">
        <f t="shared" si="227"/>
        <v>0</v>
      </c>
      <c r="X285" s="220">
        <f t="shared" si="228"/>
        <v>-10</v>
      </c>
      <c r="Z285" s="219">
        <v>45085.0</v>
      </c>
      <c r="AA285" s="220" t="str">
        <f t="shared" si="243"/>
        <v/>
      </c>
      <c r="AB285" s="220"/>
      <c r="AC285" s="220">
        <f t="shared" si="229"/>
        <v>0</v>
      </c>
      <c r="AD285" s="220">
        <f t="shared" si="230"/>
        <v>-10</v>
      </c>
      <c r="AF285" s="219">
        <v>45085.0</v>
      </c>
      <c r="AG285" s="220" t="str">
        <f t="shared" si="244"/>
        <v/>
      </c>
      <c r="AH285" s="220"/>
      <c r="AI285" s="220">
        <f t="shared" si="231"/>
        <v>0</v>
      </c>
      <c r="AJ285" s="220">
        <f t="shared" si="232"/>
        <v>-10</v>
      </c>
      <c r="AL285" s="219">
        <v>45085.0</v>
      </c>
      <c r="AM285" s="220" t="str">
        <f t="shared" si="245"/>
        <v/>
      </c>
      <c r="AN285" s="220"/>
      <c r="AO285" s="220">
        <f t="shared" si="233"/>
        <v>0</v>
      </c>
      <c r="AP285" s="220">
        <f t="shared" si="234"/>
        <v>-10</v>
      </c>
      <c r="AR285" s="219">
        <v>45085.0</v>
      </c>
      <c r="AS285" s="220" t="str">
        <f t="shared" si="246"/>
        <v/>
      </c>
      <c r="AT285" s="220"/>
      <c r="AU285" s="220">
        <f t="shared" si="235"/>
        <v>0</v>
      </c>
      <c r="AV285" s="220">
        <f t="shared" si="236"/>
        <v>-10</v>
      </c>
      <c r="AX285" s="219">
        <v>45085.0</v>
      </c>
      <c r="AY285" s="220" t="str">
        <f t="shared" si="247"/>
        <v/>
      </c>
      <c r="AZ285" s="220"/>
      <c r="BA285" s="220">
        <f t="shared" si="237"/>
        <v>0</v>
      </c>
      <c r="BB285" s="220">
        <f t="shared" si="238"/>
        <v>-10</v>
      </c>
    </row>
    <row r="286" ht="14.25" customHeight="1">
      <c r="A286" s="218"/>
      <c r="B286" s="219">
        <v>45086.0</v>
      </c>
      <c r="C286" s="220" t="str">
        <f t="shared" si="239"/>
        <v/>
      </c>
      <c r="D286" s="220"/>
      <c r="E286" s="220">
        <f t="shared" si="221"/>
        <v>0</v>
      </c>
      <c r="F286" s="220">
        <f t="shared" si="222"/>
        <v>-10</v>
      </c>
      <c r="H286" s="219">
        <v>45086.0</v>
      </c>
      <c r="I286" s="220" t="str">
        <f t="shared" si="240"/>
        <v/>
      </c>
      <c r="J286" s="220"/>
      <c r="K286" s="220">
        <f t="shared" si="223"/>
        <v>0</v>
      </c>
      <c r="L286" s="220">
        <f t="shared" si="224"/>
        <v>-10</v>
      </c>
      <c r="N286" s="219">
        <v>45086.0</v>
      </c>
      <c r="O286" s="220" t="str">
        <f t="shared" si="241"/>
        <v/>
      </c>
      <c r="P286" s="220"/>
      <c r="Q286" s="220">
        <f t="shared" si="225"/>
        <v>0</v>
      </c>
      <c r="R286" s="220">
        <f t="shared" si="226"/>
        <v>-10</v>
      </c>
      <c r="T286" s="219">
        <v>45086.0</v>
      </c>
      <c r="U286" s="220" t="str">
        <f t="shared" si="242"/>
        <v/>
      </c>
      <c r="V286" s="220"/>
      <c r="W286" s="220">
        <f t="shared" si="227"/>
        <v>0</v>
      </c>
      <c r="X286" s="220">
        <f t="shared" si="228"/>
        <v>-10</v>
      </c>
      <c r="Z286" s="219">
        <v>45086.0</v>
      </c>
      <c r="AA286" s="220" t="str">
        <f t="shared" si="243"/>
        <v/>
      </c>
      <c r="AB286" s="220"/>
      <c r="AC286" s="220">
        <f t="shared" si="229"/>
        <v>0</v>
      </c>
      <c r="AD286" s="220">
        <f t="shared" si="230"/>
        <v>-10</v>
      </c>
      <c r="AF286" s="219">
        <v>45086.0</v>
      </c>
      <c r="AG286" s="220" t="str">
        <f t="shared" si="244"/>
        <v/>
      </c>
      <c r="AH286" s="220"/>
      <c r="AI286" s="220">
        <f t="shared" si="231"/>
        <v>0</v>
      </c>
      <c r="AJ286" s="220">
        <f t="shared" si="232"/>
        <v>-10</v>
      </c>
      <c r="AL286" s="219">
        <v>45086.0</v>
      </c>
      <c r="AM286" s="220" t="str">
        <f t="shared" si="245"/>
        <v/>
      </c>
      <c r="AN286" s="220"/>
      <c r="AO286" s="220">
        <f t="shared" si="233"/>
        <v>0</v>
      </c>
      <c r="AP286" s="220">
        <f t="shared" si="234"/>
        <v>-10</v>
      </c>
      <c r="AR286" s="219">
        <v>45086.0</v>
      </c>
      <c r="AS286" s="220" t="str">
        <f t="shared" si="246"/>
        <v/>
      </c>
      <c r="AT286" s="220"/>
      <c r="AU286" s="220">
        <f t="shared" si="235"/>
        <v>0</v>
      </c>
      <c r="AV286" s="220">
        <f t="shared" si="236"/>
        <v>-10</v>
      </c>
      <c r="AX286" s="219">
        <v>45086.0</v>
      </c>
      <c r="AY286" s="220" t="str">
        <f t="shared" si="247"/>
        <v/>
      </c>
      <c r="AZ286" s="220"/>
      <c r="BA286" s="220">
        <f t="shared" si="237"/>
        <v>0</v>
      </c>
      <c r="BB286" s="220">
        <f t="shared" si="238"/>
        <v>-10</v>
      </c>
    </row>
    <row r="287" ht="14.25" customHeight="1">
      <c r="A287" s="218"/>
      <c r="B287" s="219">
        <v>45087.0</v>
      </c>
      <c r="C287" s="220" t="str">
        <f t="shared" si="239"/>
        <v/>
      </c>
      <c r="D287" s="220"/>
      <c r="E287" s="220">
        <f t="shared" si="221"/>
        <v>0</v>
      </c>
      <c r="F287" s="220">
        <f t="shared" si="222"/>
        <v>-10</v>
      </c>
      <c r="G287" s="221"/>
      <c r="H287" s="219">
        <v>45087.0</v>
      </c>
      <c r="I287" s="220" t="str">
        <f t="shared" si="240"/>
        <v/>
      </c>
      <c r="J287" s="220"/>
      <c r="K287" s="220">
        <f t="shared" si="223"/>
        <v>0</v>
      </c>
      <c r="L287" s="220">
        <f t="shared" si="224"/>
        <v>-10</v>
      </c>
      <c r="M287" s="221"/>
      <c r="N287" s="219">
        <v>45087.0</v>
      </c>
      <c r="O287" s="220" t="str">
        <f t="shared" si="241"/>
        <v/>
      </c>
      <c r="P287" s="220"/>
      <c r="Q287" s="220">
        <f t="shared" si="225"/>
        <v>0</v>
      </c>
      <c r="R287" s="220">
        <f t="shared" si="226"/>
        <v>-10</v>
      </c>
      <c r="S287" s="221"/>
      <c r="T287" s="219">
        <v>45087.0</v>
      </c>
      <c r="U287" s="220" t="str">
        <f t="shared" si="242"/>
        <v/>
      </c>
      <c r="V287" s="220"/>
      <c r="W287" s="220">
        <f t="shared" si="227"/>
        <v>0</v>
      </c>
      <c r="X287" s="220">
        <f t="shared" si="228"/>
        <v>-10</v>
      </c>
      <c r="Y287" s="221"/>
      <c r="Z287" s="219">
        <v>45087.0</v>
      </c>
      <c r="AA287" s="220" t="str">
        <f t="shared" si="243"/>
        <v/>
      </c>
      <c r="AB287" s="220"/>
      <c r="AC287" s="220">
        <f t="shared" si="229"/>
        <v>0</v>
      </c>
      <c r="AD287" s="220">
        <f t="shared" si="230"/>
        <v>-10</v>
      </c>
      <c r="AE287" s="221"/>
      <c r="AF287" s="219">
        <v>45087.0</v>
      </c>
      <c r="AG287" s="220" t="str">
        <f t="shared" si="244"/>
        <v/>
      </c>
      <c r="AH287" s="220"/>
      <c r="AI287" s="220">
        <f t="shared" si="231"/>
        <v>0</v>
      </c>
      <c r="AJ287" s="220">
        <f t="shared" si="232"/>
        <v>-10</v>
      </c>
      <c r="AK287" s="221"/>
      <c r="AL287" s="219">
        <v>45087.0</v>
      </c>
      <c r="AM287" s="220" t="str">
        <f t="shared" si="245"/>
        <v/>
      </c>
      <c r="AN287" s="220"/>
      <c r="AO287" s="220">
        <f t="shared" si="233"/>
        <v>0</v>
      </c>
      <c r="AP287" s="220">
        <f t="shared" si="234"/>
        <v>-10</v>
      </c>
      <c r="AQ287" s="221"/>
      <c r="AR287" s="219">
        <v>45087.0</v>
      </c>
      <c r="AS287" s="220" t="str">
        <f t="shared" si="246"/>
        <v/>
      </c>
      <c r="AT287" s="220"/>
      <c r="AU287" s="220">
        <f t="shared" si="235"/>
        <v>0</v>
      </c>
      <c r="AV287" s="220">
        <f t="shared" si="236"/>
        <v>-10</v>
      </c>
      <c r="AW287" s="221"/>
      <c r="AX287" s="219">
        <v>45087.0</v>
      </c>
      <c r="AY287" s="220" t="str">
        <f t="shared" si="247"/>
        <v/>
      </c>
      <c r="AZ287" s="220"/>
      <c r="BA287" s="220">
        <f t="shared" si="237"/>
        <v>0</v>
      </c>
      <c r="BB287" s="220">
        <f t="shared" si="238"/>
        <v>-10</v>
      </c>
    </row>
    <row r="288" ht="14.25" customHeight="1">
      <c r="A288" s="218"/>
      <c r="B288" s="219">
        <v>45088.0</v>
      </c>
      <c r="C288" s="220" t="str">
        <f t="shared" si="239"/>
        <v/>
      </c>
      <c r="D288" s="220"/>
      <c r="E288" s="220">
        <f t="shared" si="221"/>
        <v>0</v>
      </c>
      <c r="F288" s="220">
        <f t="shared" si="222"/>
        <v>-10</v>
      </c>
      <c r="G288" s="221"/>
      <c r="H288" s="219">
        <v>45088.0</v>
      </c>
      <c r="I288" s="220" t="str">
        <f t="shared" si="240"/>
        <v/>
      </c>
      <c r="J288" s="220"/>
      <c r="K288" s="220">
        <f t="shared" si="223"/>
        <v>0</v>
      </c>
      <c r="L288" s="220">
        <f t="shared" si="224"/>
        <v>-10</v>
      </c>
      <c r="M288" s="221"/>
      <c r="N288" s="219">
        <v>45088.0</v>
      </c>
      <c r="O288" s="220" t="str">
        <f t="shared" si="241"/>
        <v/>
      </c>
      <c r="P288" s="220"/>
      <c r="Q288" s="220">
        <f t="shared" si="225"/>
        <v>0</v>
      </c>
      <c r="R288" s="220">
        <f t="shared" si="226"/>
        <v>-10</v>
      </c>
      <c r="S288" s="221"/>
      <c r="T288" s="219">
        <v>45088.0</v>
      </c>
      <c r="U288" s="220" t="str">
        <f t="shared" si="242"/>
        <v/>
      </c>
      <c r="V288" s="220"/>
      <c r="W288" s="220">
        <f t="shared" si="227"/>
        <v>0</v>
      </c>
      <c r="X288" s="220">
        <f t="shared" si="228"/>
        <v>-10</v>
      </c>
      <c r="Y288" s="221"/>
      <c r="Z288" s="219">
        <v>45088.0</v>
      </c>
      <c r="AA288" s="220" t="str">
        <f t="shared" si="243"/>
        <v/>
      </c>
      <c r="AB288" s="220"/>
      <c r="AC288" s="220">
        <f t="shared" si="229"/>
        <v>0</v>
      </c>
      <c r="AD288" s="220">
        <f t="shared" si="230"/>
        <v>-10</v>
      </c>
      <c r="AE288" s="221"/>
      <c r="AF288" s="219">
        <v>45088.0</v>
      </c>
      <c r="AG288" s="220" t="str">
        <f t="shared" si="244"/>
        <v/>
      </c>
      <c r="AH288" s="220"/>
      <c r="AI288" s="220">
        <f t="shared" si="231"/>
        <v>0</v>
      </c>
      <c r="AJ288" s="220">
        <f t="shared" si="232"/>
        <v>-10</v>
      </c>
      <c r="AK288" s="221"/>
      <c r="AL288" s="219">
        <v>45088.0</v>
      </c>
      <c r="AM288" s="220" t="str">
        <f t="shared" si="245"/>
        <v/>
      </c>
      <c r="AN288" s="220"/>
      <c r="AO288" s="220">
        <f t="shared" si="233"/>
        <v>0</v>
      </c>
      <c r="AP288" s="220">
        <f t="shared" si="234"/>
        <v>-10</v>
      </c>
      <c r="AQ288" s="221"/>
      <c r="AR288" s="219">
        <v>45088.0</v>
      </c>
      <c r="AS288" s="220" t="str">
        <f t="shared" si="246"/>
        <v/>
      </c>
      <c r="AT288" s="220"/>
      <c r="AU288" s="220">
        <f t="shared" si="235"/>
        <v>0</v>
      </c>
      <c r="AV288" s="220">
        <f t="shared" si="236"/>
        <v>-10</v>
      </c>
      <c r="AW288" s="221"/>
      <c r="AX288" s="219">
        <v>45088.0</v>
      </c>
      <c r="AY288" s="220" t="str">
        <f t="shared" si="247"/>
        <v/>
      </c>
      <c r="AZ288" s="220"/>
      <c r="BA288" s="220">
        <f t="shared" si="237"/>
        <v>0</v>
      </c>
      <c r="BB288" s="220">
        <f t="shared" si="238"/>
        <v>-10</v>
      </c>
    </row>
    <row r="289" ht="14.25" customHeight="1">
      <c r="A289" s="218"/>
      <c r="B289" s="219">
        <v>45089.0</v>
      </c>
      <c r="C289" s="220" t="str">
        <f t="shared" si="239"/>
        <v/>
      </c>
      <c r="D289" s="220"/>
      <c r="E289" s="220">
        <f t="shared" si="221"/>
        <v>0</v>
      </c>
      <c r="F289" s="220">
        <f t="shared" si="222"/>
        <v>-10</v>
      </c>
      <c r="H289" s="219">
        <v>45089.0</v>
      </c>
      <c r="I289" s="220" t="str">
        <f t="shared" si="240"/>
        <v/>
      </c>
      <c r="J289" s="220"/>
      <c r="K289" s="220">
        <f t="shared" si="223"/>
        <v>0</v>
      </c>
      <c r="L289" s="220">
        <f t="shared" si="224"/>
        <v>-10</v>
      </c>
      <c r="N289" s="219">
        <v>45089.0</v>
      </c>
      <c r="O289" s="220" t="str">
        <f t="shared" si="241"/>
        <v/>
      </c>
      <c r="P289" s="220"/>
      <c r="Q289" s="220">
        <f t="shared" si="225"/>
        <v>0</v>
      </c>
      <c r="R289" s="220">
        <f t="shared" si="226"/>
        <v>-10</v>
      </c>
      <c r="T289" s="219">
        <v>45089.0</v>
      </c>
      <c r="U289" s="220" t="str">
        <f t="shared" si="242"/>
        <v/>
      </c>
      <c r="V289" s="220"/>
      <c r="W289" s="220">
        <f t="shared" si="227"/>
        <v>0</v>
      </c>
      <c r="X289" s="220">
        <f t="shared" si="228"/>
        <v>-10</v>
      </c>
      <c r="Z289" s="219">
        <v>45089.0</v>
      </c>
      <c r="AA289" s="220" t="str">
        <f t="shared" si="243"/>
        <v/>
      </c>
      <c r="AB289" s="220"/>
      <c r="AC289" s="220">
        <f t="shared" si="229"/>
        <v>0</v>
      </c>
      <c r="AD289" s="220">
        <f t="shared" si="230"/>
        <v>-10</v>
      </c>
      <c r="AF289" s="219">
        <v>45089.0</v>
      </c>
      <c r="AG289" s="220" t="str">
        <f t="shared" si="244"/>
        <v/>
      </c>
      <c r="AH289" s="220"/>
      <c r="AI289" s="220">
        <f t="shared" si="231"/>
        <v>0</v>
      </c>
      <c r="AJ289" s="220">
        <f t="shared" si="232"/>
        <v>-10</v>
      </c>
      <c r="AL289" s="219">
        <v>45089.0</v>
      </c>
      <c r="AM289" s="220" t="str">
        <f t="shared" si="245"/>
        <v/>
      </c>
      <c r="AN289" s="220"/>
      <c r="AO289" s="220">
        <f t="shared" si="233"/>
        <v>0</v>
      </c>
      <c r="AP289" s="220">
        <f t="shared" si="234"/>
        <v>-10</v>
      </c>
      <c r="AR289" s="219">
        <v>45089.0</v>
      </c>
      <c r="AS289" s="220" t="str">
        <f t="shared" si="246"/>
        <v/>
      </c>
      <c r="AT289" s="220"/>
      <c r="AU289" s="220">
        <f t="shared" si="235"/>
        <v>0</v>
      </c>
      <c r="AV289" s="220">
        <f t="shared" si="236"/>
        <v>-10</v>
      </c>
      <c r="AX289" s="219">
        <v>45089.0</v>
      </c>
      <c r="AY289" s="220" t="str">
        <f t="shared" si="247"/>
        <v/>
      </c>
      <c r="AZ289" s="220"/>
      <c r="BA289" s="220">
        <f t="shared" si="237"/>
        <v>0</v>
      </c>
      <c r="BB289" s="220">
        <f t="shared" si="238"/>
        <v>-10</v>
      </c>
    </row>
    <row r="290" ht="14.25" customHeight="1">
      <c r="A290" s="218"/>
      <c r="B290" s="219">
        <v>45090.0</v>
      </c>
      <c r="C290" s="220" t="str">
        <f t="shared" si="239"/>
        <v/>
      </c>
      <c r="D290" s="220"/>
      <c r="E290" s="220">
        <f t="shared" si="221"/>
        <v>0</v>
      </c>
      <c r="F290" s="220">
        <f t="shared" si="222"/>
        <v>-10</v>
      </c>
      <c r="H290" s="219">
        <v>45090.0</v>
      </c>
      <c r="I290" s="220" t="str">
        <f t="shared" si="240"/>
        <v/>
      </c>
      <c r="J290" s="220"/>
      <c r="K290" s="220">
        <f t="shared" si="223"/>
        <v>0</v>
      </c>
      <c r="L290" s="220">
        <f t="shared" si="224"/>
        <v>-10</v>
      </c>
      <c r="N290" s="219">
        <v>45090.0</v>
      </c>
      <c r="O290" s="220" t="str">
        <f t="shared" si="241"/>
        <v/>
      </c>
      <c r="P290" s="220"/>
      <c r="Q290" s="220">
        <f t="shared" si="225"/>
        <v>0</v>
      </c>
      <c r="R290" s="220">
        <f t="shared" si="226"/>
        <v>-10</v>
      </c>
      <c r="T290" s="219">
        <v>45090.0</v>
      </c>
      <c r="U290" s="220" t="str">
        <f t="shared" si="242"/>
        <v/>
      </c>
      <c r="V290" s="220"/>
      <c r="W290" s="220">
        <f t="shared" si="227"/>
        <v>0</v>
      </c>
      <c r="X290" s="220">
        <f t="shared" si="228"/>
        <v>-10</v>
      </c>
      <c r="Z290" s="219">
        <v>45090.0</v>
      </c>
      <c r="AA290" s="220" t="str">
        <f t="shared" si="243"/>
        <v/>
      </c>
      <c r="AB290" s="220"/>
      <c r="AC290" s="220">
        <f t="shared" si="229"/>
        <v>0</v>
      </c>
      <c r="AD290" s="220">
        <f t="shared" si="230"/>
        <v>-10</v>
      </c>
      <c r="AF290" s="219">
        <v>45090.0</v>
      </c>
      <c r="AG290" s="220" t="str">
        <f t="shared" si="244"/>
        <v/>
      </c>
      <c r="AH290" s="220"/>
      <c r="AI290" s="220">
        <f t="shared" si="231"/>
        <v>0</v>
      </c>
      <c r="AJ290" s="220">
        <f t="shared" si="232"/>
        <v>-10</v>
      </c>
      <c r="AL290" s="219">
        <v>45090.0</v>
      </c>
      <c r="AM290" s="220" t="str">
        <f t="shared" si="245"/>
        <v/>
      </c>
      <c r="AN290" s="220"/>
      <c r="AO290" s="220">
        <f t="shared" si="233"/>
        <v>0</v>
      </c>
      <c r="AP290" s="220">
        <f t="shared" si="234"/>
        <v>-10</v>
      </c>
      <c r="AR290" s="219">
        <v>45090.0</v>
      </c>
      <c r="AS290" s="220" t="str">
        <f t="shared" si="246"/>
        <v/>
      </c>
      <c r="AT290" s="220"/>
      <c r="AU290" s="220">
        <f t="shared" si="235"/>
        <v>0</v>
      </c>
      <c r="AV290" s="220">
        <f t="shared" si="236"/>
        <v>-10</v>
      </c>
      <c r="AX290" s="219">
        <v>45090.0</v>
      </c>
      <c r="AY290" s="220" t="str">
        <f t="shared" si="247"/>
        <v/>
      </c>
      <c r="AZ290" s="220"/>
      <c r="BA290" s="220">
        <f t="shared" si="237"/>
        <v>0</v>
      </c>
      <c r="BB290" s="220">
        <f t="shared" si="238"/>
        <v>-10</v>
      </c>
    </row>
    <row r="291" ht="14.25" customHeight="1">
      <c r="A291" s="218"/>
      <c r="B291" s="219">
        <v>45091.0</v>
      </c>
      <c r="C291" s="220" t="str">
        <f t="shared" si="239"/>
        <v/>
      </c>
      <c r="D291" s="220"/>
      <c r="E291" s="220">
        <f t="shared" si="221"/>
        <v>0</v>
      </c>
      <c r="F291" s="220">
        <f t="shared" si="222"/>
        <v>-10</v>
      </c>
      <c r="H291" s="219">
        <v>45091.0</v>
      </c>
      <c r="I291" s="220" t="str">
        <f t="shared" si="240"/>
        <v/>
      </c>
      <c r="J291" s="220"/>
      <c r="K291" s="220">
        <f t="shared" si="223"/>
        <v>0</v>
      </c>
      <c r="L291" s="220">
        <f t="shared" si="224"/>
        <v>-10</v>
      </c>
      <c r="N291" s="219">
        <v>45091.0</v>
      </c>
      <c r="O291" s="220" t="str">
        <f t="shared" si="241"/>
        <v/>
      </c>
      <c r="P291" s="220"/>
      <c r="Q291" s="220">
        <f t="shared" si="225"/>
        <v>0</v>
      </c>
      <c r="R291" s="220">
        <f t="shared" si="226"/>
        <v>-10</v>
      </c>
      <c r="T291" s="219">
        <v>45091.0</v>
      </c>
      <c r="U291" s="220" t="str">
        <f t="shared" si="242"/>
        <v/>
      </c>
      <c r="V291" s="220"/>
      <c r="W291" s="220">
        <f t="shared" si="227"/>
        <v>0</v>
      </c>
      <c r="X291" s="220">
        <f t="shared" si="228"/>
        <v>-10</v>
      </c>
      <c r="Z291" s="219">
        <v>45091.0</v>
      </c>
      <c r="AA291" s="220" t="str">
        <f t="shared" si="243"/>
        <v/>
      </c>
      <c r="AB291" s="220"/>
      <c r="AC291" s="220">
        <f t="shared" si="229"/>
        <v>0</v>
      </c>
      <c r="AD291" s="220">
        <f t="shared" si="230"/>
        <v>-10</v>
      </c>
      <c r="AF291" s="219">
        <v>45091.0</v>
      </c>
      <c r="AG291" s="220" t="str">
        <f t="shared" si="244"/>
        <v/>
      </c>
      <c r="AH291" s="220"/>
      <c r="AI291" s="220">
        <f t="shared" si="231"/>
        <v>0</v>
      </c>
      <c r="AJ291" s="220">
        <f t="shared" si="232"/>
        <v>-10</v>
      </c>
      <c r="AL291" s="219">
        <v>45091.0</v>
      </c>
      <c r="AM291" s="220" t="str">
        <f t="shared" si="245"/>
        <v/>
      </c>
      <c r="AN291" s="220"/>
      <c r="AO291" s="220">
        <f t="shared" si="233"/>
        <v>0</v>
      </c>
      <c r="AP291" s="220">
        <f t="shared" si="234"/>
        <v>-10</v>
      </c>
      <c r="AR291" s="219">
        <v>45091.0</v>
      </c>
      <c r="AS291" s="220" t="str">
        <f t="shared" si="246"/>
        <v/>
      </c>
      <c r="AT291" s="220"/>
      <c r="AU291" s="220">
        <f t="shared" si="235"/>
        <v>0</v>
      </c>
      <c r="AV291" s="220">
        <f t="shared" si="236"/>
        <v>-10</v>
      </c>
      <c r="AX291" s="219">
        <v>45091.0</v>
      </c>
      <c r="AY291" s="220" t="str">
        <f t="shared" si="247"/>
        <v/>
      </c>
      <c r="AZ291" s="220"/>
      <c r="BA291" s="220">
        <f t="shared" si="237"/>
        <v>0</v>
      </c>
      <c r="BB291" s="220">
        <f t="shared" si="238"/>
        <v>-10</v>
      </c>
    </row>
    <row r="292" ht="14.25" customHeight="1">
      <c r="A292" s="218"/>
      <c r="B292" s="219">
        <v>45092.0</v>
      </c>
      <c r="C292" s="220" t="str">
        <f t="shared" si="239"/>
        <v/>
      </c>
      <c r="D292" s="220"/>
      <c r="E292" s="220">
        <f t="shared" si="221"/>
        <v>0</v>
      </c>
      <c r="F292" s="220">
        <f t="shared" si="222"/>
        <v>-10</v>
      </c>
      <c r="H292" s="219">
        <v>45092.0</v>
      </c>
      <c r="I292" s="220" t="str">
        <f t="shared" si="240"/>
        <v/>
      </c>
      <c r="J292" s="220"/>
      <c r="K292" s="220">
        <f t="shared" si="223"/>
        <v>0</v>
      </c>
      <c r="L292" s="220">
        <f t="shared" si="224"/>
        <v>-10</v>
      </c>
      <c r="N292" s="219">
        <v>45092.0</v>
      </c>
      <c r="O292" s="220" t="str">
        <f t="shared" si="241"/>
        <v/>
      </c>
      <c r="P292" s="220"/>
      <c r="Q292" s="220">
        <f t="shared" si="225"/>
        <v>0</v>
      </c>
      <c r="R292" s="220">
        <f t="shared" si="226"/>
        <v>-10</v>
      </c>
      <c r="T292" s="219">
        <v>45092.0</v>
      </c>
      <c r="U292" s="220" t="str">
        <f t="shared" si="242"/>
        <v/>
      </c>
      <c r="V292" s="220"/>
      <c r="W292" s="220">
        <f t="shared" si="227"/>
        <v>0</v>
      </c>
      <c r="X292" s="220">
        <f t="shared" si="228"/>
        <v>-10</v>
      </c>
      <c r="Z292" s="219">
        <v>45092.0</v>
      </c>
      <c r="AA292" s="220" t="str">
        <f t="shared" si="243"/>
        <v/>
      </c>
      <c r="AB292" s="220"/>
      <c r="AC292" s="220">
        <f t="shared" si="229"/>
        <v>0</v>
      </c>
      <c r="AD292" s="220">
        <f t="shared" si="230"/>
        <v>-10</v>
      </c>
      <c r="AF292" s="219">
        <v>45092.0</v>
      </c>
      <c r="AG292" s="220" t="str">
        <f t="shared" si="244"/>
        <v/>
      </c>
      <c r="AH292" s="220"/>
      <c r="AI292" s="220">
        <f t="shared" si="231"/>
        <v>0</v>
      </c>
      <c r="AJ292" s="220">
        <f t="shared" si="232"/>
        <v>-10</v>
      </c>
      <c r="AL292" s="219">
        <v>45092.0</v>
      </c>
      <c r="AM292" s="220" t="str">
        <f t="shared" si="245"/>
        <v/>
      </c>
      <c r="AN292" s="220"/>
      <c r="AO292" s="220">
        <f t="shared" si="233"/>
        <v>0</v>
      </c>
      <c r="AP292" s="220">
        <f t="shared" si="234"/>
        <v>-10</v>
      </c>
      <c r="AR292" s="219">
        <v>45092.0</v>
      </c>
      <c r="AS292" s="220" t="str">
        <f t="shared" si="246"/>
        <v/>
      </c>
      <c r="AT292" s="220"/>
      <c r="AU292" s="220">
        <f t="shared" si="235"/>
        <v>0</v>
      </c>
      <c r="AV292" s="220">
        <f t="shared" si="236"/>
        <v>-10</v>
      </c>
      <c r="AX292" s="219">
        <v>45092.0</v>
      </c>
      <c r="AY292" s="220" t="str">
        <f t="shared" si="247"/>
        <v/>
      </c>
      <c r="AZ292" s="220"/>
      <c r="BA292" s="220">
        <f t="shared" si="237"/>
        <v>0</v>
      </c>
      <c r="BB292" s="220">
        <f t="shared" si="238"/>
        <v>-10</v>
      </c>
    </row>
    <row r="293" ht="14.25" customHeight="1">
      <c r="A293" s="218"/>
      <c r="B293" s="219">
        <v>45093.0</v>
      </c>
      <c r="C293" s="220" t="str">
        <f t="shared" si="239"/>
        <v/>
      </c>
      <c r="D293" s="220"/>
      <c r="E293" s="220">
        <f t="shared" si="221"/>
        <v>0</v>
      </c>
      <c r="F293" s="220">
        <f t="shared" si="222"/>
        <v>-10</v>
      </c>
      <c r="H293" s="219">
        <v>45093.0</v>
      </c>
      <c r="I293" s="220" t="str">
        <f t="shared" si="240"/>
        <v/>
      </c>
      <c r="J293" s="220"/>
      <c r="K293" s="220">
        <f t="shared" si="223"/>
        <v>0</v>
      </c>
      <c r="L293" s="220">
        <f t="shared" si="224"/>
        <v>-10</v>
      </c>
      <c r="N293" s="219">
        <v>45093.0</v>
      </c>
      <c r="O293" s="220" t="str">
        <f t="shared" si="241"/>
        <v/>
      </c>
      <c r="P293" s="220"/>
      <c r="Q293" s="220">
        <f t="shared" si="225"/>
        <v>0</v>
      </c>
      <c r="R293" s="220">
        <f t="shared" si="226"/>
        <v>-10</v>
      </c>
      <c r="T293" s="219">
        <v>45093.0</v>
      </c>
      <c r="U293" s="220" t="str">
        <f t="shared" si="242"/>
        <v/>
      </c>
      <c r="V293" s="220"/>
      <c r="W293" s="220">
        <f t="shared" si="227"/>
        <v>0</v>
      </c>
      <c r="X293" s="220">
        <f t="shared" si="228"/>
        <v>-10</v>
      </c>
      <c r="Z293" s="219">
        <v>45093.0</v>
      </c>
      <c r="AA293" s="220" t="str">
        <f t="shared" si="243"/>
        <v/>
      </c>
      <c r="AB293" s="220"/>
      <c r="AC293" s="220">
        <f t="shared" si="229"/>
        <v>0</v>
      </c>
      <c r="AD293" s="220">
        <f t="shared" si="230"/>
        <v>-10</v>
      </c>
      <c r="AF293" s="219">
        <v>45093.0</v>
      </c>
      <c r="AG293" s="220" t="str">
        <f t="shared" si="244"/>
        <v/>
      </c>
      <c r="AH293" s="220"/>
      <c r="AI293" s="220">
        <f t="shared" si="231"/>
        <v>0</v>
      </c>
      <c r="AJ293" s="220">
        <f t="shared" si="232"/>
        <v>-10</v>
      </c>
      <c r="AL293" s="219">
        <v>45093.0</v>
      </c>
      <c r="AM293" s="220" t="str">
        <f t="shared" si="245"/>
        <v/>
      </c>
      <c r="AN293" s="220"/>
      <c r="AO293" s="220">
        <f t="shared" si="233"/>
        <v>0</v>
      </c>
      <c r="AP293" s="220">
        <f t="shared" si="234"/>
        <v>-10</v>
      </c>
      <c r="AR293" s="219">
        <v>45093.0</v>
      </c>
      <c r="AS293" s="220" t="str">
        <f t="shared" si="246"/>
        <v/>
      </c>
      <c r="AT293" s="220"/>
      <c r="AU293" s="220">
        <f t="shared" si="235"/>
        <v>0</v>
      </c>
      <c r="AV293" s="220">
        <f t="shared" si="236"/>
        <v>-10</v>
      </c>
      <c r="AX293" s="219">
        <v>45093.0</v>
      </c>
      <c r="AY293" s="220" t="str">
        <f t="shared" si="247"/>
        <v/>
      </c>
      <c r="AZ293" s="220"/>
      <c r="BA293" s="220">
        <f t="shared" si="237"/>
        <v>0</v>
      </c>
      <c r="BB293" s="220">
        <f t="shared" si="238"/>
        <v>-10</v>
      </c>
    </row>
    <row r="294" ht="14.25" customHeight="1">
      <c r="A294" s="218"/>
      <c r="B294" s="219">
        <v>45094.0</v>
      </c>
      <c r="C294" s="220" t="str">
        <f t="shared" si="239"/>
        <v/>
      </c>
      <c r="D294" s="220"/>
      <c r="E294" s="220">
        <f t="shared" si="221"/>
        <v>0</v>
      </c>
      <c r="F294" s="220">
        <f t="shared" si="222"/>
        <v>-10</v>
      </c>
      <c r="G294" s="221"/>
      <c r="H294" s="219">
        <v>45094.0</v>
      </c>
      <c r="I294" s="220" t="str">
        <f t="shared" si="240"/>
        <v/>
      </c>
      <c r="J294" s="220"/>
      <c r="K294" s="220">
        <f t="shared" si="223"/>
        <v>0</v>
      </c>
      <c r="L294" s="220">
        <f t="shared" si="224"/>
        <v>-10</v>
      </c>
      <c r="M294" s="221"/>
      <c r="N294" s="219">
        <v>45094.0</v>
      </c>
      <c r="O294" s="220" t="str">
        <f t="shared" si="241"/>
        <v/>
      </c>
      <c r="P294" s="220"/>
      <c r="Q294" s="220">
        <f t="shared" si="225"/>
        <v>0</v>
      </c>
      <c r="R294" s="220">
        <f t="shared" si="226"/>
        <v>-10</v>
      </c>
      <c r="S294" s="221"/>
      <c r="T294" s="219">
        <v>45094.0</v>
      </c>
      <c r="U294" s="220" t="str">
        <f t="shared" si="242"/>
        <v/>
      </c>
      <c r="V294" s="220"/>
      <c r="W294" s="220">
        <f t="shared" si="227"/>
        <v>0</v>
      </c>
      <c r="X294" s="220">
        <f t="shared" si="228"/>
        <v>-10</v>
      </c>
      <c r="Y294" s="221"/>
      <c r="Z294" s="219">
        <v>45094.0</v>
      </c>
      <c r="AA294" s="220" t="str">
        <f t="shared" si="243"/>
        <v/>
      </c>
      <c r="AB294" s="220"/>
      <c r="AC294" s="220">
        <f t="shared" si="229"/>
        <v>0</v>
      </c>
      <c r="AD294" s="220">
        <f t="shared" si="230"/>
        <v>-10</v>
      </c>
      <c r="AE294" s="221"/>
      <c r="AF294" s="219">
        <v>45094.0</v>
      </c>
      <c r="AG294" s="220" t="str">
        <f t="shared" si="244"/>
        <v/>
      </c>
      <c r="AH294" s="220"/>
      <c r="AI294" s="220">
        <f t="shared" si="231"/>
        <v>0</v>
      </c>
      <c r="AJ294" s="220">
        <f t="shared" si="232"/>
        <v>-10</v>
      </c>
      <c r="AK294" s="221"/>
      <c r="AL294" s="219">
        <v>45094.0</v>
      </c>
      <c r="AM294" s="220" t="str">
        <f t="shared" si="245"/>
        <v/>
      </c>
      <c r="AN294" s="220"/>
      <c r="AO294" s="220">
        <f t="shared" si="233"/>
        <v>0</v>
      </c>
      <c r="AP294" s="220">
        <f t="shared" si="234"/>
        <v>-10</v>
      </c>
      <c r="AQ294" s="221"/>
      <c r="AR294" s="219">
        <v>45094.0</v>
      </c>
      <c r="AS294" s="220" t="str">
        <f t="shared" si="246"/>
        <v/>
      </c>
      <c r="AT294" s="220"/>
      <c r="AU294" s="220">
        <f t="shared" si="235"/>
        <v>0</v>
      </c>
      <c r="AV294" s="220">
        <f t="shared" si="236"/>
        <v>-10</v>
      </c>
      <c r="AW294" s="221"/>
      <c r="AX294" s="219">
        <v>45094.0</v>
      </c>
      <c r="AY294" s="220" t="str">
        <f t="shared" si="247"/>
        <v/>
      </c>
      <c r="AZ294" s="220"/>
      <c r="BA294" s="220">
        <f t="shared" si="237"/>
        <v>0</v>
      </c>
      <c r="BB294" s="220">
        <f t="shared" si="238"/>
        <v>-10</v>
      </c>
    </row>
    <row r="295" ht="14.25" customHeight="1">
      <c r="A295" s="218"/>
      <c r="B295" s="219">
        <v>45095.0</v>
      </c>
      <c r="C295" s="220" t="str">
        <f t="shared" si="239"/>
        <v/>
      </c>
      <c r="D295" s="220"/>
      <c r="E295" s="220">
        <f t="shared" si="221"/>
        <v>0</v>
      </c>
      <c r="F295" s="220">
        <f t="shared" si="222"/>
        <v>-10</v>
      </c>
      <c r="G295" s="221"/>
      <c r="H295" s="219">
        <v>45095.0</v>
      </c>
      <c r="I295" s="220" t="str">
        <f t="shared" si="240"/>
        <v/>
      </c>
      <c r="J295" s="220"/>
      <c r="K295" s="220">
        <f t="shared" si="223"/>
        <v>0</v>
      </c>
      <c r="L295" s="220">
        <f t="shared" si="224"/>
        <v>-10</v>
      </c>
      <c r="M295" s="221"/>
      <c r="N295" s="219">
        <v>45095.0</v>
      </c>
      <c r="O295" s="220" t="str">
        <f t="shared" si="241"/>
        <v/>
      </c>
      <c r="P295" s="220"/>
      <c r="Q295" s="220">
        <f t="shared" si="225"/>
        <v>0</v>
      </c>
      <c r="R295" s="220">
        <f t="shared" si="226"/>
        <v>-10</v>
      </c>
      <c r="S295" s="221"/>
      <c r="T295" s="219">
        <v>45095.0</v>
      </c>
      <c r="U295" s="220" t="str">
        <f t="shared" si="242"/>
        <v/>
      </c>
      <c r="V295" s="220"/>
      <c r="W295" s="220">
        <f t="shared" si="227"/>
        <v>0</v>
      </c>
      <c r="X295" s="220">
        <f t="shared" si="228"/>
        <v>-10</v>
      </c>
      <c r="Y295" s="221"/>
      <c r="Z295" s="219">
        <v>45095.0</v>
      </c>
      <c r="AA295" s="220" t="str">
        <f t="shared" si="243"/>
        <v/>
      </c>
      <c r="AB295" s="220"/>
      <c r="AC295" s="220">
        <f t="shared" si="229"/>
        <v>0</v>
      </c>
      <c r="AD295" s="220">
        <f t="shared" si="230"/>
        <v>-10</v>
      </c>
      <c r="AE295" s="221"/>
      <c r="AF295" s="219">
        <v>45095.0</v>
      </c>
      <c r="AG295" s="220" t="str">
        <f t="shared" si="244"/>
        <v/>
      </c>
      <c r="AH295" s="220"/>
      <c r="AI295" s="220">
        <f t="shared" si="231"/>
        <v>0</v>
      </c>
      <c r="AJ295" s="220">
        <f t="shared" si="232"/>
        <v>-10</v>
      </c>
      <c r="AK295" s="221"/>
      <c r="AL295" s="219">
        <v>45095.0</v>
      </c>
      <c r="AM295" s="220" t="str">
        <f t="shared" si="245"/>
        <v/>
      </c>
      <c r="AN295" s="220"/>
      <c r="AO295" s="220">
        <f t="shared" si="233"/>
        <v>0</v>
      </c>
      <c r="AP295" s="220">
        <f t="shared" si="234"/>
        <v>-10</v>
      </c>
      <c r="AQ295" s="221"/>
      <c r="AR295" s="219">
        <v>45095.0</v>
      </c>
      <c r="AS295" s="220" t="str">
        <f t="shared" si="246"/>
        <v/>
      </c>
      <c r="AT295" s="220"/>
      <c r="AU295" s="220">
        <f t="shared" si="235"/>
        <v>0</v>
      </c>
      <c r="AV295" s="220">
        <f t="shared" si="236"/>
        <v>-10</v>
      </c>
      <c r="AW295" s="221"/>
      <c r="AX295" s="219">
        <v>45095.0</v>
      </c>
      <c r="AY295" s="220" t="str">
        <f t="shared" si="247"/>
        <v/>
      </c>
      <c r="AZ295" s="220"/>
      <c r="BA295" s="220">
        <f t="shared" si="237"/>
        <v>0</v>
      </c>
      <c r="BB295" s="220">
        <f t="shared" si="238"/>
        <v>-10</v>
      </c>
    </row>
    <row r="296" ht="14.25" customHeight="1">
      <c r="A296" s="218"/>
      <c r="B296" s="219">
        <v>45096.0</v>
      </c>
      <c r="C296" s="220" t="str">
        <f t="shared" si="239"/>
        <v/>
      </c>
      <c r="D296" s="220"/>
      <c r="E296" s="220">
        <f t="shared" si="221"/>
        <v>0</v>
      </c>
      <c r="F296" s="220">
        <f t="shared" si="222"/>
        <v>-10</v>
      </c>
      <c r="H296" s="219">
        <v>45096.0</v>
      </c>
      <c r="I296" s="220" t="str">
        <f t="shared" si="240"/>
        <v/>
      </c>
      <c r="J296" s="220"/>
      <c r="K296" s="220">
        <f t="shared" si="223"/>
        <v>0</v>
      </c>
      <c r="L296" s="220">
        <f t="shared" si="224"/>
        <v>-10</v>
      </c>
      <c r="N296" s="219">
        <v>45096.0</v>
      </c>
      <c r="O296" s="220" t="str">
        <f t="shared" si="241"/>
        <v/>
      </c>
      <c r="P296" s="220"/>
      <c r="Q296" s="220">
        <f t="shared" si="225"/>
        <v>0</v>
      </c>
      <c r="R296" s="220">
        <f t="shared" si="226"/>
        <v>-10</v>
      </c>
      <c r="T296" s="219">
        <v>45096.0</v>
      </c>
      <c r="U296" s="220" t="str">
        <f t="shared" si="242"/>
        <v/>
      </c>
      <c r="V296" s="220"/>
      <c r="W296" s="220">
        <f t="shared" si="227"/>
        <v>0</v>
      </c>
      <c r="X296" s="220">
        <f t="shared" si="228"/>
        <v>-10</v>
      </c>
      <c r="Z296" s="219">
        <v>45096.0</v>
      </c>
      <c r="AA296" s="220" t="str">
        <f t="shared" si="243"/>
        <v/>
      </c>
      <c r="AB296" s="220"/>
      <c r="AC296" s="220">
        <f t="shared" si="229"/>
        <v>0</v>
      </c>
      <c r="AD296" s="220">
        <f t="shared" si="230"/>
        <v>-10</v>
      </c>
      <c r="AF296" s="219">
        <v>45096.0</v>
      </c>
      <c r="AG296" s="220" t="str">
        <f t="shared" si="244"/>
        <v/>
      </c>
      <c r="AH296" s="220"/>
      <c r="AI296" s="220">
        <f t="shared" si="231"/>
        <v>0</v>
      </c>
      <c r="AJ296" s="220">
        <f t="shared" si="232"/>
        <v>-10</v>
      </c>
      <c r="AL296" s="219">
        <v>45096.0</v>
      </c>
      <c r="AM296" s="220" t="str">
        <f t="shared" si="245"/>
        <v/>
      </c>
      <c r="AN296" s="220"/>
      <c r="AO296" s="220">
        <f t="shared" si="233"/>
        <v>0</v>
      </c>
      <c r="AP296" s="220">
        <f t="shared" si="234"/>
        <v>-10</v>
      </c>
      <c r="AR296" s="219">
        <v>45096.0</v>
      </c>
      <c r="AS296" s="220" t="str">
        <f t="shared" si="246"/>
        <v/>
      </c>
      <c r="AT296" s="220"/>
      <c r="AU296" s="220">
        <f t="shared" si="235"/>
        <v>0</v>
      </c>
      <c r="AV296" s="220">
        <f t="shared" si="236"/>
        <v>-10</v>
      </c>
      <c r="AX296" s="219">
        <v>45096.0</v>
      </c>
      <c r="AY296" s="220" t="str">
        <f t="shared" si="247"/>
        <v/>
      </c>
      <c r="AZ296" s="220"/>
      <c r="BA296" s="220">
        <f t="shared" si="237"/>
        <v>0</v>
      </c>
      <c r="BB296" s="220">
        <f t="shared" si="238"/>
        <v>-10</v>
      </c>
    </row>
    <row r="297" ht="14.25" customHeight="1">
      <c r="A297" s="218"/>
      <c r="B297" s="219">
        <v>45097.0</v>
      </c>
      <c r="C297" s="220" t="str">
        <f t="shared" si="239"/>
        <v/>
      </c>
      <c r="D297" s="220"/>
      <c r="E297" s="220">
        <f t="shared" si="221"/>
        <v>0</v>
      </c>
      <c r="F297" s="220">
        <f t="shared" si="222"/>
        <v>-10</v>
      </c>
      <c r="H297" s="219">
        <v>45097.0</v>
      </c>
      <c r="I297" s="220" t="str">
        <f t="shared" si="240"/>
        <v/>
      </c>
      <c r="J297" s="220"/>
      <c r="K297" s="220">
        <f t="shared" si="223"/>
        <v>0</v>
      </c>
      <c r="L297" s="220">
        <f t="shared" si="224"/>
        <v>-10</v>
      </c>
      <c r="N297" s="219">
        <v>45097.0</v>
      </c>
      <c r="O297" s="220" t="str">
        <f t="shared" si="241"/>
        <v/>
      </c>
      <c r="P297" s="220"/>
      <c r="Q297" s="220">
        <f t="shared" si="225"/>
        <v>0</v>
      </c>
      <c r="R297" s="220">
        <f t="shared" si="226"/>
        <v>-10</v>
      </c>
      <c r="T297" s="219">
        <v>45097.0</v>
      </c>
      <c r="U297" s="220" t="str">
        <f t="shared" si="242"/>
        <v/>
      </c>
      <c r="V297" s="220"/>
      <c r="W297" s="220">
        <f t="shared" si="227"/>
        <v>0</v>
      </c>
      <c r="X297" s="220">
        <f t="shared" si="228"/>
        <v>-10</v>
      </c>
      <c r="Z297" s="219">
        <v>45097.0</v>
      </c>
      <c r="AA297" s="220" t="str">
        <f t="shared" si="243"/>
        <v/>
      </c>
      <c r="AB297" s="220"/>
      <c r="AC297" s="220">
        <f t="shared" si="229"/>
        <v>0</v>
      </c>
      <c r="AD297" s="220">
        <f t="shared" si="230"/>
        <v>-10</v>
      </c>
      <c r="AF297" s="219">
        <v>45097.0</v>
      </c>
      <c r="AG297" s="220" t="str">
        <f t="shared" si="244"/>
        <v/>
      </c>
      <c r="AH297" s="220"/>
      <c r="AI297" s="220">
        <f t="shared" si="231"/>
        <v>0</v>
      </c>
      <c r="AJ297" s="220">
        <f t="shared" si="232"/>
        <v>-10</v>
      </c>
      <c r="AL297" s="219">
        <v>45097.0</v>
      </c>
      <c r="AM297" s="220" t="str">
        <f t="shared" si="245"/>
        <v/>
      </c>
      <c r="AN297" s="220"/>
      <c r="AO297" s="220">
        <f t="shared" si="233"/>
        <v>0</v>
      </c>
      <c r="AP297" s="220">
        <f t="shared" si="234"/>
        <v>-10</v>
      </c>
      <c r="AR297" s="219">
        <v>45097.0</v>
      </c>
      <c r="AS297" s="220" t="str">
        <f t="shared" si="246"/>
        <v/>
      </c>
      <c r="AT297" s="220"/>
      <c r="AU297" s="220">
        <f t="shared" si="235"/>
        <v>0</v>
      </c>
      <c r="AV297" s="220">
        <f t="shared" si="236"/>
        <v>-10</v>
      </c>
      <c r="AX297" s="219">
        <v>45097.0</v>
      </c>
      <c r="AY297" s="220" t="str">
        <f t="shared" si="247"/>
        <v/>
      </c>
      <c r="AZ297" s="220"/>
      <c r="BA297" s="220">
        <f t="shared" si="237"/>
        <v>0</v>
      </c>
      <c r="BB297" s="220">
        <f t="shared" si="238"/>
        <v>-10</v>
      </c>
    </row>
    <row r="298" ht="14.25" customHeight="1">
      <c r="A298" s="218"/>
      <c r="B298" s="219">
        <v>45098.0</v>
      </c>
      <c r="C298" s="220" t="str">
        <f t="shared" si="239"/>
        <v/>
      </c>
      <c r="D298" s="220"/>
      <c r="E298" s="220">
        <f t="shared" si="221"/>
        <v>0</v>
      </c>
      <c r="F298" s="220">
        <f t="shared" si="222"/>
        <v>-10</v>
      </c>
      <c r="H298" s="219">
        <v>45098.0</v>
      </c>
      <c r="I298" s="220" t="str">
        <f t="shared" si="240"/>
        <v/>
      </c>
      <c r="J298" s="220"/>
      <c r="K298" s="220">
        <f t="shared" si="223"/>
        <v>0</v>
      </c>
      <c r="L298" s="220">
        <f t="shared" si="224"/>
        <v>-10</v>
      </c>
      <c r="N298" s="219">
        <v>45098.0</v>
      </c>
      <c r="O298" s="220" t="str">
        <f t="shared" si="241"/>
        <v/>
      </c>
      <c r="P298" s="220"/>
      <c r="Q298" s="220">
        <f t="shared" si="225"/>
        <v>0</v>
      </c>
      <c r="R298" s="220">
        <f t="shared" si="226"/>
        <v>-10</v>
      </c>
      <c r="T298" s="219">
        <v>45098.0</v>
      </c>
      <c r="U298" s="220" t="str">
        <f t="shared" si="242"/>
        <v/>
      </c>
      <c r="V298" s="220"/>
      <c r="W298" s="220">
        <f t="shared" si="227"/>
        <v>0</v>
      </c>
      <c r="X298" s="220">
        <f t="shared" si="228"/>
        <v>-10</v>
      </c>
      <c r="Z298" s="219">
        <v>45098.0</v>
      </c>
      <c r="AA298" s="220" t="str">
        <f t="shared" si="243"/>
        <v/>
      </c>
      <c r="AB298" s="220"/>
      <c r="AC298" s="220">
        <f t="shared" si="229"/>
        <v>0</v>
      </c>
      <c r="AD298" s="220">
        <f t="shared" si="230"/>
        <v>-10</v>
      </c>
      <c r="AF298" s="219">
        <v>45098.0</v>
      </c>
      <c r="AG298" s="220" t="str">
        <f t="shared" si="244"/>
        <v/>
      </c>
      <c r="AH298" s="220"/>
      <c r="AI298" s="220">
        <f t="shared" si="231"/>
        <v>0</v>
      </c>
      <c r="AJ298" s="220">
        <f t="shared" si="232"/>
        <v>-10</v>
      </c>
      <c r="AL298" s="219">
        <v>45098.0</v>
      </c>
      <c r="AM298" s="220" t="str">
        <f t="shared" si="245"/>
        <v/>
      </c>
      <c r="AN298" s="220"/>
      <c r="AO298" s="220">
        <f t="shared" si="233"/>
        <v>0</v>
      </c>
      <c r="AP298" s="220">
        <f t="shared" si="234"/>
        <v>-10</v>
      </c>
      <c r="AR298" s="219">
        <v>45098.0</v>
      </c>
      <c r="AS298" s="220" t="str">
        <f t="shared" si="246"/>
        <v/>
      </c>
      <c r="AT298" s="220"/>
      <c r="AU298" s="220">
        <f t="shared" si="235"/>
        <v>0</v>
      </c>
      <c r="AV298" s="220">
        <f t="shared" si="236"/>
        <v>-10</v>
      </c>
      <c r="AX298" s="219">
        <v>45098.0</v>
      </c>
      <c r="AY298" s="220" t="str">
        <f t="shared" si="247"/>
        <v/>
      </c>
      <c r="AZ298" s="220"/>
      <c r="BA298" s="220">
        <f t="shared" si="237"/>
        <v>0</v>
      </c>
      <c r="BB298" s="220">
        <f t="shared" si="238"/>
        <v>-10</v>
      </c>
    </row>
    <row r="299" ht="14.25" customHeight="1">
      <c r="A299" s="218"/>
      <c r="B299" s="219">
        <v>45099.0</v>
      </c>
      <c r="C299" s="220" t="str">
        <f t="shared" si="239"/>
        <v/>
      </c>
      <c r="D299" s="220"/>
      <c r="E299" s="220">
        <f t="shared" si="221"/>
        <v>0</v>
      </c>
      <c r="F299" s="220">
        <f t="shared" si="222"/>
        <v>-10</v>
      </c>
      <c r="H299" s="219">
        <v>45099.0</v>
      </c>
      <c r="I299" s="220" t="str">
        <f t="shared" si="240"/>
        <v/>
      </c>
      <c r="J299" s="220"/>
      <c r="K299" s="220">
        <f t="shared" si="223"/>
        <v>0</v>
      </c>
      <c r="L299" s="220">
        <f t="shared" si="224"/>
        <v>-10</v>
      </c>
      <c r="N299" s="219">
        <v>45099.0</v>
      </c>
      <c r="O299" s="220" t="str">
        <f t="shared" si="241"/>
        <v/>
      </c>
      <c r="P299" s="220"/>
      <c r="Q299" s="220">
        <f t="shared" si="225"/>
        <v>0</v>
      </c>
      <c r="R299" s="220">
        <f t="shared" si="226"/>
        <v>-10</v>
      </c>
      <c r="T299" s="219">
        <v>45099.0</v>
      </c>
      <c r="U299" s="220" t="str">
        <f t="shared" si="242"/>
        <v/>
      </c>
      <c r="V299" s="220"/>
      <c r="W299" s="220">
        <f t="shared" si="227"/>
        <v>0</v>
      </c>
      <c r="X299" s="220">
        <f t="shared" si="228"/>
        <v>-10</v>
      </c>
      <c r="Z299" s="219">
        <v>45099.0</v>
      </c>
      <c r="AA299" s="220" t="str">
        <f t="shared" si="243"/>
        <v/>
      </c>
      <c r="AB299" s="220"/>
      <c r="AC299" s="220">
        <f t="shared" si="229"/>
        <v>0</v>
      </c>
      <c r="AD299" s="220">
        <f t="shared" si="230"/>
        <v>-10</v>
      </c>
      <c r="AF299" s="219">
        <v>45099.0</v>
      </c>
      <c r="AG299" s="220" t="str">
        <f t="shared" si="244"/>
        <v/>
      </c>
      <c r="AH299" s="220"/>
      <c r="AI299" s="220">
        <f t="shared" si="231"/>
        <v>0</v>
      </c>
      <c r="AJ299" s="220">
        <f t="shared" si="232"/>
        <v>-10</v>
      </c>
      <c r="AL299" s="219">
        <v>45099.0</v>
      </c>
      <c r="AM299" s="220" t="str">
        <f t="shared" si="245"/>
        <v/>
      </c>
      <c r="AN299" s="220"/>
      <c r="AO299" s="220">
        <f t="shared" si="233"/>
        <v>0</v>
      </c>
      <c r="AP299" s="220">
        <f t="shared" si="234"/>
        <v>-10</v>
      </c>
      <c r="AR299" s="219">
        <v>45099.0</v>
      </c>
      <c r="AS299" s="220" t="str">
        <f t="shared" si="246"/>
        <v/>
      </c>
      <c r="AT299" s="220"/>
      <c r="AU299" s="220">
        <f t="shared" si="235"/>
        <v>0</v>
      </c>
      <c r="AV299" s="220">
        <f t="shared" si="236"/>
        <v>-10</v>
      </c>
      <c r="AX299" s="219">
        <v>45099.0</v>
      </c>
      <c r="AY299" s="220" t="str">
        <f t="shared" si="247"/>
        <v/>
      </c>
      <c r="AZ299" s="220"/>
      <c r="BA299" s="220">
        <f t="shared" si="237"/>
        <v>0</v>
      </c>
      <c r="BB299" s="220">
        <f t="shared" si="238"/>
        <v>-10</v>
      </c>
    </row>
    <row r="300" ht="14.25" customHeight="1">
      <c r="A300" s="218"/>
      <c r="B300" s="219">
        <v>45100.0</v>
      </c>
      <c r="C300" s="220" t="str">
        <f t="shared" si="239"/>
        <v/>
      </c>
      <c r="D300" s="220"/>
      <c r="E300" s="220">
        <f t="shared" si="221"/>
        <v>0</v>
      </c>
      <c r="F300" s="220">
        <f t="shared" si="222"/>
        <v>-10</v>
      </c>
      <c r="H300" s="219">
        <v>45100.0</v>
      </c>
      <c r="I300" s="220" t="str">
        <f t="shared" si="240"/>
        <v/>
      </c>
      <c r="J300" s="220"/>
      <c r="K300" s="220">
        <f t="shared" si="223"/>
        <v>0</v>
      </c>
      <c r="L300" s="220">
        <f t="shared" si="224"/>
        <v>-10</v>
      </c>
      <c r="N300" s="219">
        <v>45100.0</v>
      </c>
      <c r="O300" s="220" t="str">
        <f t="shared" si="241"/>
        <v/>
      </c>
      <c r="P300" s="220"/>
      <c r="Q300" s="220">
        <f t="shared" si="225"/>
        <v>0</v>
      </c>
      <c r="R300" s="220">
        <f t="shared" si="226"/>
        <v>-10</v>
      </c>
      <c r="T300" s="219">
        <v>45100.0</v>
      </c>
      <c r="U300" s="220" t="str">
        <f t="shared" si="242"/>
        <v/>
      </c>
      <c r="V300" s="220"/>
      <c r="W300" s="220">
        <f t="shared" si="227"/>
        <v>0</v>
      </c>
      <c r="X300" s="220">
        <f t="shared" si="228"/>
        <v>-10</v>
      </c>
      <c r="Z300" s="219">
        <v>45100.0</v>
      </c>
      <c r="AA300" s="220" t="str">
        <f t="shared" si="243"/>
        <v/>
      </c>
      <c r="AB300" s="220"/>
      <c r="AC300" s="220">
        <f t="shared" si="229"/>
        <v>0</v>
      </c>
      <c r="AD300" s="220">
        <f t="shared" si="230"/>
        <v>-10</v>
      </c>
      <c r="AF300" s="219">
        <v>45100.0</v>
      </c>
      <c r="AG300" s="220" t="str">
        <f t="shared" si="244"/>
        <v/>
      </c>
      <c r="AH300" s="220"/>
      <c r="AI300" s="220">
        <f t="shared" si="231"/>
        <v>0</v>
      </c>
      <c r="AJ300" s="220">
        <f t="shared" si="232"/>
        <v>-10</v>
      </c>
      <c r="AL300" s="219">
        <v>45100.0</v>
      </c>
      <c r="AM300" s="220" t="str">
        <f t="shared" si="245"/>
        <v/>
      </c>
      <c r="AN300" s="220"/>
      <c r="AO300" s="220">
        <f t="shared" si="233"/>
        <v>0</v>
      </c>
      <c r="AP300" s="220">
        <f t="shared" si="234"/>
        <v>-10</v>
      </c>
      <c r="AR300" s="219">
        <v>45100.0</v>
      </c>
      <c r="AS300" s="220" t="str">
        <f t="shared" si="246"/>
        <v/>
      </c>
      <c r="AT300" s="220"/>
      <c r="AU300" s="220">
        <f t="shared" si="235"/>
        <v>0</v>
      </c>
      <c r="AV300" s="220">
        <f t="shared" si="236"/>
        <v>-10</v>
      </c>
      <c r="AX300" s="219">
        <v>45100.0</v>
      </c>
      <c r="AY300" s="220" t="str">
        <f t="shared" si="247"/>
        <v/>
      </c>
      <c r="AZ300" s="220"/>
      <c r="BA300" s="220">
        <f t="shared" si="237"/>
        <v>0</v>
      </c>
      <c r="BB300" s="220">
        <f t="shared" si="238"/>
        <v>-10</v>
      </c>
    </row>
    <row r="301" ht="14.25" customHeight="1">
      <c r="A301" s="218"/>
      <c r="B301" s="219">
        <v>45101.0</v>
      </c>
      <c r="C301" s="220" t="str">
        <f t="shared" si="239"/>
        <v/>
      </c>
      <c r="D301" s="220"/>
      <c r="E301" s="220">
        <f t="shared" si="221"/>
        <v>0</v>
      </c>
      <c r="F301" s="220">
        <f t="shared" si="222"/>
        <v>-10</v>
      </c>
      <c r="G301" s="221"/>
      <c r="H301" s="219">
        <v>45101.0</v>
      </c>
      <c r="I301" s="220" t="str">
        <f t="shared" si="240"/>
        <v/>
      </c>
      <c r="J301" s="220"/>
      <c r="K301" s="220">
        <f t="shared" si="223"/>
        <v>0</v>
      </c>
      <c r="L301" s="220">
        <f t="shared" si="224"/>
        <v>-10</v>
      </c>
      <c r="M301" s="221"/>
      <c r="N301" s="219">
        <v>45101.0</v>
      </c>
      <c r="O301" s="220" t="str">
        <f t="shared" si="241"/>
        <v/>
      </c>
      <c r="P301" s="220"/>
      <c r="Q301" s="220">
        <f t="shared" si="225"/>
        <v>0</v>
      </c>
      <c r="R301" s="220">
        <f t="shared" si="226"/>
        <v>-10</v>
      </c>
      <c r="S301" s="221"/>
      <c r="T301" s="219">
        <v>45101.0</v>
      </c>
      <c r="U301" s="220" t="str">
        <f t="shared" si="242"/>
        <v/>
      </c>
      <c r="V301" s="220"/>
      <c r="W301" s="220">
        <f t="shared" si="227"/>
        <v>0</v>
      </c>
      <c r="X301" s="220">
        <f t="shared" si="228"/>
        <v>-10</v>
      </c>
      <c r="Y301" s="221"/>
      <c r="Z301" s="219">
        <v>45101.0</v>
      </c>
      <c r="AA301" s="220" t="str">
        <f t="shared" si="243"/>
        <v/>
      </c>
      <c r="AB301" s="220"/>
      <c r="AC301" s="220">
        <f t="shared" si="229"/>
        <v>0</v>
      </c>
      <c r="AD301" s="220">
        <f t="shared" si="230"/>
        <v>-10</v>
      </c>
      <c r="AE301" s="221"/>
      <c r="AF301" s="219">
        <v>45101.0</v>
      </c>
      <c r="AG301" s="220" t="str">
        <f t="shared" si="244"/>
        <v/>
      </c>
      <c r="AH301" s="220"/>
      <c r="AI301" s="220">
        <f t="shared" si="231"/>
        <v>0</v>
      </c>
      <c r="AJ301" s="220">
        <f t="shared" si="232"/>
        <v>-10</v>
      </c>
      <c r="AK301" s="221"/>
      <c r="AL301" s="219">
        <v>45101.0</v>
      </c>
      <c r="AM301" s="220" t="str">
        <f t="shared" si="245"/>
        <v/>
      </c>
      <c r="AN301" s="220"/>
      <c r="AO301" s="220">
        <f t="shared" si="233"/>
        <v>0</v>
      </c>
      <c r="AP301" s="220">
        <f t="shared" si="234"/>
        <v>-10</v>
      </c>
      <c r="AQ301" s="221"/>
      <c r="AR301" s="219">
        <v>45101.0</v>
      </c>
      <c r="AS301" s="220" t="str">
        <f t="shared" si="246"/>
        <v/>
      </c>
      <c r="AT301" s="220"/>
      <c r="AU301" s="220">
        <f t="shared" si="235"/>
        <v>0</v>
      </c>
      <c r="AV301" s="220">
        <f t="shared" si="236"/>
        <v>-10</v>
      </c>
      <c r="AW301" s="221"/>
      <c r="AX301" s="219">
        <v>45101.0</v>
      </c>
      <c r="AY301" s="220" t="str">
        <f t="shared" si="247"/>
        <v/>
      </c>
      <c r="AZ301" s="220"/>
      <c r="BA301" s="220">
        <f t="shared" si="237"/>
        <v>0</v>
      </c>
      <c r="BB301" s="220">
        <f t="shared" si="238"/>
        <v>-10</v>
      </c>
    </row>
    <row r="302" ht="14.25" customHeight="1">
      <c r="A302" s="218"/>
      <c r="B302" s="219">
        <v>45102.0</v>
      </c>
      <c r="C302" s="220" t="str">
        <f t="shared" si="239"/>
        <v/>
      </c>
      <c r="D302" s="220"/>
      <c r="E302" s="220">
        <f t="shared" si="221"/>
        <v>0</v>
      </c>
      <c r="F302" s="220">
        <f t="shared" si="222"/>
        <v>-10</v>
      </c>
      <c r="G302" s="221"/>
      <c r="H302" s="219">
        <v>45102.0</v>
      </c>
      <c r="I302" s="220" t="str">
        <f t="shared" si="240"/>
        <v/>
      </c>
      <c r="J302" s="220"/>
      <c r="K302" s="220">
        <f t="shared" si="223"/>
        <v>0</v>
      </c>
      <c r="L302" s="220">
        <f t="shared" si="224"/>
        <v>-10</v>
      </c>
      <c r="M302" s="221"/>
      <c r="N302" s="219">
        <v>45102.0</v>
      </c>
      <c r="O302" s="220" t="str">
        <f t="shared" si="241"/>
        <v/>
      </c>
      <c r="P302" s="220"/>
      <c r="Q302" s="220">
        <f t="shared" si="225"/>
        <v>0</v>
      </c>
      <c r="R302" s="220">
        <f t="shared" si="226"/>
        <v>-10</v>
      </c>
      <c r="S302" s="221"/>
      <c r="T302" s="219">
        <v>45102.0</v>
      </c>
      <c r="U302" s="220" t="str">
        <f t="shared" si="242"/>
        <v/>
      </c>
      <c r="V302" s="220"/>
      <c r="W302" s="220">
        <f t="shared" si="227"/>
        <v>0</v>
      </c>
      <c r="X302" s="220">
        <f t="shared" si="228"/>
        <v>-10</v>
      </c>
      <c r="Y302" s="221"/>
      <c r="Z302" s="219">
        <v>45102.0</v>
      </c>
      <c r="AA302" s="220" t="str">
        <f t="shared" si="243"/>
        <v/>
      </c>
      <c r="AB302" s="220"/>
      <c r="AC302" s="220">
        <f t="shared" si="229"/>
        <v>0</v>
      </c>
      <c r="AD302" s="220">
        <f t="shared" si="230"/>
        <v>-10</v>
      </c>
      <c r="AE302" s="221"/>
      <c r="AF302" s="219">
        <v>45102.0</v>
      </c>
      <c r="AG302" s="220" t="str">
        <f t="shared" si="244"/>
        <v/>
      </c>
      <c r="AH302" s="220"/>
      <c r="AI302" s="220">
        <f t="shared" si="231"/>
        <v>0</v>
      </c>
      <c r="AJ302" s="220">
        <f t="shared" si="232"/>
        <v>-10</v>
      </c>
      <c r="AK302" s="221"/>
      <c r="AL302" s="219">
        <v>45102.0</v>
      </c>
      <c r="AM302" s="220" t="str">
        <f t="shared" si="245"/>
        <v/>
      </c>
      <c r="AN302" s="220"/>
      <c r="AO302" s="220">
        <f t="shared" si="233"/>
        <v>0</v>
      </c>
      <c r="AP302" s="220">
        <f t="shared" si="234"/>
        <v>-10</v>
      </c>
      <c r="AQ302" s="221"/>
      <c r="AR302" s="219">
        <v>45102.0</v>
      </c>
      <c r="AS302" s="220" t="str">
        <f t="shared" si="246"/>
        <v/>
      </c>
      <c r="AT302" s="220"/>
      <c r="AU302" s="220">
        <f t="shared" si="235"/>
        <v>0</v>
      </c>
      <c r="AV302" s="220">
        <f t="shared" si="236"/>
        <v>-10</v>
      </c>
      <c r="AW302" s="221"/>
      <c r="AX302" s="219">
        <v>45102.0</v>
      </c>
      <c r="AY302" s="220" t="str">
        <f t="shared" si="247"/>
        <v/>
      </c>
      <c r="AZ302" s="220"/>
      <c r="BA302" s="220">
        <f t="shared" si="237"/>
        <v>0</v>
      </c>
      <c r="BB302" s="220">
        <f t="shared" si="238"/>
        <v>-10</v>
      </c>
    </row>
    <row r="303" ht="14.25" customHeight="1">
      <c r="A303" s="218"/>
      <c r="B303" s="219">
        <v>45103.0</v>
      </c>
      <c r="C303" s="220" t="str">
        <f t="shared" si="239"/>
        <v/>
      </c>
      <c r="D303" s="220"/>
      <c r="E303" s="220">
        <f t="shared" si="221"/>
        <v>0</v>
      </c>
      <c r="F303" s="220">
        <f t="shared" si="222"/>
        <v>-10</v>
      </c>
      <c r="H303" s="219">
        <v>45103.0</v>
      </c>
      <c r="I303" s="220" t="str">
        <f t="shared" si="240"/>
        <v/>
      </c>
      <c r="J303" s="220"/>
      <c r="K303" s="220">
        <f t="shared" si="223"/>
        <v>0</v>
      </c>
      <c r="L303" s="220">
        <f t="shared" si="224"/>
        <v>-10</v>
      </c>
      <c r="N303" s="219">
        <v>45103.0</v>
      </c>
      <c r="O303" s="220" t="str">
        <f t="shared" si="241"/>
        <v/>
      </c>
      <c r="P303" s="220"/>
      <c r="Q303" s="220">
        <f t="shared" si="225"/>
        <v>0</v>
      </c>
      <c r="R303" s="220">
        <f t="shared" si="226"/>
        <v>-10</v>
      </c>
      <c r="T303" s="219">
        <v>45103.0</v>
      </c>
      <c r="U303" s="220" t="str">
        <f t="shared" si="242"/>
        <v/>
      </c>
      <c r="V303" s="220"/>
      <c r="W303" s="220">
        <f t="shared" si="227"/>
        <v>0</v>
      </c>
      <c r="X303" s="220">
        <f t="shared" si="228"/>
        <v>-10</v>
      </c>
      <c r="Z303" s="219">
        <v>45103.0</v>
      </c>
      <c r="AA303" s="220" t="str">
        <f t="shared" si="243"/>
        <v/>
      </c>
      <c r="AB303" s="220"/>
      <c r="AC303" s="220">
        <f t="shared" si="229"/>
        <v>0</v>
      </c>
      <c r="AD303" s="220">
        <f t="shared" si="230"/>
        <v>-10</v>
      </c>
      <c r="AF303" s="219">
        <v>45103.0</v>
      </c>
      <c r="AG303" s="220" t="str">
        <f t="shared" si="244"/>
        <v/>
      </c>
      <c r="AH303" s="220"/>
      <c r="AI303" s="220">
        <f t="shared" si="231"/>
        <v>0</v>
      </c>
      <c r="AJ303" s="220">
        <f t="shared" si="232"/>
        <v>-10</v>
      </c>
      <c r="AL303" s="219">
        <v>45103.0</v>
      </c>
      <c r="AM303" s="220" t="str">
        <f t="shared" si="245"/>
        <v/>
      </c>
      <c r="AN303" s="220"/>
      <c r="AO303" s="220">
        <f t="shared" si="233"/>
        <v>0</v>
      </c>
      <c r="AP303" s="220">
        <f t="shared" si="234"/>
        <v>-10</v>
      </c>
      <c r="AR303" s="219">
        <v>45103.0</v>
      </c>
      <c r="AS303" s="220" t="str">
        <f t="shared" si="246"/>
        <v/>
      </c>
      <c r="AT303" s="220"/>
      <c r="AU303" s="220">
        <f t="shared" si="235"/>
        <v>0</v>
      </c>
      <c r="AV303" s="220">
        <f t="shared" si="236"/>
        <v>-10</v>
      </c>
      <c r="AX303" s="219">
        <v>45103.0</v>
      </c>
      <c r="AY303" s="220" t="str">
        <f t="shared" si="247"/>
        <v/>
      </c>
      <c r="AZ303" s="220"/>
      <c r="BA303" s="220">
        <f t="shared" si="237"/>
        <v>0</v>
      </c>
      <c r="BB303" s="220">
        <f t="shared" si="238"/>
        <v>-10</v>
      </c>
    </row>
    <row r="304" ht="14.25" customHeight="1">
      <c r="A304" s="218"/>
      <c r="B304" s="219">
        <v>45104.0</v>
      </c>
      <c r="C304" s="220" t="str">
        <f t="shared" si="239"/>
        <v/>
      </c>
      <c r="D304" s="220"/>
      <c r="E304" s="220">
        <f t="shared" si="221"/>
        <v>0</v>
      </c>
      <c r="F304" s="220">
        <f t="shared" si="222"/>
        <v>-10</v>
      </c>
      <c r="H304" s="219">
        <v>45104.0</v>
      </c>
      <c r="I304" s="220" t="str">
        <f t="shared" si="240"/>
        <v/>
      </c>
      <c r="J304" s="220"/>
      <c r="K304" s="220">
        <f t="shared" si="223"/>
        <v>0</v>
      </c>
      <c r="L304" s="220">
        <f t="shared" si="224"/>
        <v>-10</v>
      </c>
      <c r="N304" s="219">
        <v>45104.0</v>
      </c>
      <c r="O304" s="220" t="str">
        <f t="shared" si="241"/>
        <v/>
      </c>
      <c r="P304" s="220"/>
      <c r="Q304" s="220">
        <f t="shared" si="225"/>
        <v>0</v>
      </c>
      <c r="R304" s="220">
        <f t="shared" si="226"/>
        <v>-10</v>
      </c>
      <c r="T304" s="219">
        <v>45104.0</v>
      </c>
      <c r="U304" s="220" t="str">
        <f t="shared" si="242"/>
        <v/>
      </c>
      <c r="V304" s="220"/>
      <c r="W304" s="220">
        <f t="shared" si="227"/>
        <v>0</v>
      </c>
      <c r="X304" s="220">
        <f t="shared" si="228"/>
        <v>-10</v>
      </c>
      <c r="Z304" s="219">
        <v>45104.0</v>
      </c>
      <c r="AA304" s="220" t="str">
        <f t="shared" si="243"/>
        <v/>
      </c>
      <c r="AB304" s="220"/>
      <c r="AC304" s="220">
        <f t="shared" si="229"/>
        <v>0</v>
      </c>
      <c r="AD304" s="220">
        <f t="shared" si="230"/>
        <v>-10</v>
      </c>
      <c r="AF304" s="219">
        <v>45104.0</v>
      </c>
      <c r="AG304" s="220" t="str">
        <f t="shared" si="244"/>
        <v/>
      </c>
      <c r="AH304" s="220"/>
      <c r="AI304" s="220">
        <f t="shared" si="231"/>
        <v>0</v>
      </c>
      <c r="AJ304" s="220">
        <f t="shared" si="232"/>
        <v>-10</v>
      </c>
      <c r="AL304" s="219">
        <v>45104.0</v>
      </c>
      <c r="AM304" s="220" t="str">
        <f t="shared" si="245"/>
        <v/>
      </c>
      <c r="AN304" s="220"/>
      <c r="AO304" s="220">
        <f t="shared" si="233"/>
        <v>0</v>
      </c>
      <c r="AP304" s="220">
        <f t="shared" si="234"/>
        <v>-10</v>
      </c>
      <c r="AR304" s="219">
        <v>45104.0</v>
      </c>
      <c r="AS304" s="220" t="str">
        <f t="shared" si="246"/>
        <v/>
      </c>
      <c r="AT304" s="220"/>
      <c r="AU304" s="220">
        <f t="shared" si="235"/>
        <v>0</v>
      </c>
      <c r="AV304" s="220">
        <f t="shared" si="236"/>
        <v>-10</v>
      </c>
      <c r="AX304" s="219">
        <v>45104.0</v>
      </c>
      <c r="AY304" s="220" t="str">
        <f t="shared" si="247"/>
        <v/>
      </c>
      <c r="AZ304" s="220"/>
      <c r="BA304" s="220">
        <f t="shared" si="237"/>
        <v>0</v>
      </c>
      <c r="BB304" s="220">
        <f t="shared" si="238"/>
        <v>-10</v>
      </c>
    </row>
    <row r="305" ht="14.25" customHeight="1">
      <c r="A305" s="218"/>
      <c r="B305" s="219">
        <v>45105.0</v>
      </c>
      <c r="C305" s="220" t="str">
        <f t="shared" si="239"/>
        <v/>
      </c>
      <c r="D305" s="220"/>
      <c r="E305" s="220">
        <f t="shared" si="221"/>
        <v>0</v>
      </c>
      <c r="F305" s="220">
        <f t="shared" si="222"/>
        <v>-10</v>
      </c>
      <c r="H305" s="219">
        <v>45105.0</v>
      </c>
      <c r="I305" s="220" t="str">
        <f t="shared" si="240"/>
        <v/>
      </c>
      <c r="J305" s="220"/>
      <c r="K305" s="220">
        <f t="shared" si="223"/>
        <v>0</v>
      </c>
      <c r="L305" s="220">
        <f t="shared" si="224"/>
        <v>-10</v>
      </c>
      <c r="N305" s="219">
        <v>45105.0</v>
      </c>
      <c r="O305" s="220" t="str">
        <f t="shared" si="241"/>
        <v/>
      </c>
      <c r="P305" s="220"/>
      <c r="Q305" s="220">
        <f t="shared" si="225"/>
        <v>0</v>
      </c>
      <c r="R305" s="220">
        <f t="shared" si="226"/>
        <v>-10</v>
      </c>
      <c r="T305" s="219">
        <v>45105.0</v>
      </c>
      <c r="U305" s="220" t="str">
        <f t="shared" si="242"/>
        <v/>
      </c>
      <c r="V305" s="220"/>
      <c r="W305" s="220">
        <f t="shared" si="227"/>
        <v>0</v>
      </c>
      <c r="X305" s="220">
        <f t="shared" si="228"/>
        <v>-10</v>
      </c>
      <c r="Z305" s="219">
        <v>45105.0</v>
      </c>
      <c r="AA305" s="220" t="str">
        <f t="shared" si="243"/>
        <v/>
      </c>
      <c r="AB305" s="220"/>
      <c r="AC305" s="220">
        <f t="shared" si="229"/>
        <v>0</v>
      </c>
      <c r="AD305" s="220">
        <f t="shared" si="230"/>
        <v>-10</v>
      </c>
      <c r="AF305" s="219">
        <v>45105.0</v>
      </c>
      <c r="AG305" s="220" t="str">
        <f t="shared" si="244"/>
        <v/>
      </c>
      <c r="AH305" s="220"/>
      <c r="AI305" s="220">
        <f t="shared" si="231"/>
        <v>0</v>
      </c>
      <c r="AJ305" s="220">
        <f t="shared" si="232"/>
        <v>-10</v>
      </c>
      <c r="AL305" s="219">
        <v>45105.0</v>
      </c>
      <c r="AM305" s="220" t="str">
        <f t="shared" si="245"/>
        <v/>
      </c>
      <c r="AN305" s="220"/>
      <c r="AO305" s="220">
        <f t="shared" si="233"/>
        <v>0</v>
      </c>
      <c r="AP305" s="220">
        <f t="shared" si="234"/>
        <v>-10</v>
      </c>
      <c r="AR305" s="219">
        <v>45105.0</v>
      </c>
      <c r="AS305" s="220" t="str">
        <f t="shared" si="246"/>
        <v/>
      </c>
      <c r="AT305" s="220"/>
      <c r="AU305" s="220">
        <f t="shared" si="235"/>
        <v>0</v>
      </c>
      <c r="AV305" s="220">
        <f t="shared" si="236"/>
        <v>-10</v>
      </c>
      <c r="AX305" s="219">
        <v>45105.0</v>
      </c>
      <c r="AY305" s="220" t="str">
        <f t="shared" si="247"/>
        <v/>
      </c>
      <c r="AZ305" s="220"/>
      <c r="BA305" s="220">
        <f t="shared" si="237"/>
        <v>0</v>
      </c>
      <c r="BB305" s="220">
        <f t="shared" si="238"/>
        <v>-10</v>
      </c>
    </row>
    <row r="306" ht="14.25" customHeight="1">
      <c r="A306" s="218"/>
      <c r="B306" s="219">
        <v>45106.0</v>
      </c>
      <c r="C306" s="220" t="str">
        <f t="shared" si="239"/>
        <v/>
      </c>
      <c r="D306" s="220"/>
      <c r="E306" s="220">
        <f t="shared" si="221"/>
        <v>0</v>
      </c>
      <c r="F306" s="220">
        <f t="shared" si="222"/>
        <v>-10</v>
      </c>
      <c r="H306" s="219">
        <v>45106.0</v>
      </c>
      <c r="I306" s="220" t="str">
        <f t="shared" si="240"/>
        <v/>
      </c>
      <c r="J306" s="220"/>
      <c r="K306" s="220">
        <f t="shared" si="223"/>
        <v>0</v>
      </c>
      <c r="L306" s="220">
        <f t="shared" si="224"/>
        <v>-10</v>
      </c>
      <c r="N306" s="219">
        <v>45106.0</v>
      </c>
      <c r="O306" s="220" t="str">
        <f t="shared" si="241"/>
        <v/>
      </c>
      <c r="P306" s="220"/>
      <c r="Q306" s="220">
        <f t="shared" si="225"/>
        <v>0</v>
      </c>
      <c r="R306" s="220">
        <f t="shared" si="226"/>
        <v>-10</v>
      </c>
      <c r="T306" s="219">
        <v>45106.0</v>
      </c>
      <c r="U306" s="220" t="str">
        <f t="shared" si="242"/>
        <v/>
      </c>
      <c r="V306" s="220"/>
      <c r="W306" s="220">
        <f t="shared" si="227"/>
        <v>0</v>
      </c>
      <c r="X306" s="220">
        <f t="shared" si="228"/>
        <v>-10</v>
      </c>
      <c r="Z306" s="219">
        <v>45106.0</v>
      </c>
      <c r="AA306" s="220" t="str">
        <f t="shared" si="243"/>
        <v/>
      </c>
      <c r="AB306" s="220"/>
      <c r="AC306" s="220">
        <f t="shared" si="229"/>
        <v>0</v>
      </c>
      <c r="AD306" s="220">
        <f t="shared" si="230"/>
        <v>-10</v>
      </c>
      <c r="AF306" s="219">
        <v>45106.0</v>
      </c>
      <c r="AG306" s="220" t="str">
        <f t="shared" si="244"/>
        <v/>
      </c>
      <c r="AH306" s="220"/>
      <c r="AI306" s="220">
        <f t="shared" si="231"/>
        <v>0</v>
      </c>
      <c r="AJ306" s="220">
        <f t="shared" si="232"/>
        <v>-10</v>
      </c>
      <c r="AL306" s="219">
        <v>45106.0</v>
      </c>
      <c r="AM306" s="220" t="str">
        <f t="shared" si="245"/>
        <v/>
      </c>
      <c r="AN306" s="220"/>
      <c r="AO306" s="220">
        <f t="shared" si="233"/>
        <v>0</v>
      </c>
      <c r="AP306" s="220">
        <f t="shared" si="234"/>
        <v>-10</v>
      </c>
      <c r="AR306" s="219">
        <v>45106.0</v>
      </c>
      <c r="AS306" s="220" t="str">
        <f t="shared" si="246"/>
        <v/>
      </c>
      <c r="AT306" s="220"/>
      <c r="AU306" s="220">
        <f t="shared" si="235"/>
        <v>0</v>
      </c>
      <c r="AV306" s="220">
        <f t="shared" si="236"/>
        <v>-10</v>
      </c>
      <c r="AX306" s="219">
        <v>45106.0</v>
      </c>
      <c r="AY306" s="220" t="str">
        <f t="shared" si="247"/>
        <v/>
      </c>
      <c r="AZ306" s="220"/>
      <c r="BA306" s="220">
        <f t="shared" si="237"/>
        <v>0</v>
      </c>
      <c r="BB306" s="220">
        <f t="shared" si="238"/>
        <v>-10</v>
      </c>
    </row>
    <row r="307" ht="14.25" customHeight="1">
      <c r="A307" s="218"/>
      <c r="B307" s="219">
        <v>45107.0</v>
      </c>
      <c r="C307" s="220" t="str">
        <f t="shared" si="239"/>
        <v/>
      </c>
      <c r="D307" s="220"/>
      <c r="E307" s="220">
        <f t="shared" si="221"/>
        <v>0</v>
      </c>
      <c r="F307" s="220">
        <f t="shared" si="222"/>
        <v>-10</v>
      </c>
      <c r="H307" s="219">
        <v>45107.0</v>
      </c>
      <c r="I307" s="220" t="str">
        <f t="shared" si="240"/>
        <v/>
      </c>
      <c r="J307" s="220"/>
      <c r="K307" s="220">
        <f t="shared" si="223"/>
        <v>0</v>
      </c>
      <c r="L307" s="220">
        <f t="shared" si="224"/>
        <v>-10</v>
      </c>
      <c r="N307" s="219">
        <v>45107.0</v>
      </c>
      <c r="O307" s="220" t="str">
        <f t="shared" si="241"/>
        <v/>
      </c>
      <c r="P307" s="220"/>
      <c r="Q307" s="220">
        <f t="shared" si="225"/>
        <v>0</v>
      </c>
      <c r="R307" s="220">
        <f t="shared" si="226"/>
        <v>-10</v>
      </c>
      <c r="T307" s="219">
        <v>45107.0</v>
      </c>
      <c r="U307" s="220" t="str">
        <f t="shared" si="242"/>
        <v/>
      </c>
      <c r="V307" s="220"/>
      <c r="W307" s="220">
        <f t="shared" si="227"/>
        <v>0</v>
      </c>
      <c r="X307" s="220">
        <f t="shared" si="228"/>
        <v>-10</v>
      </c>
      <c r="Z307" s="219">
        <v>45107.0</v>
      </c>
      <c r="AA307" s="220" t="str">
        <f t="shared" si="243"/>
        <v/>
      </c>
      <c r="AB307" s="220"/>
      <c r="AC307" s="220">
        <f t="shared" si="229"/>
        <v>0</v>
      </c>
      <c r="AD307" s="220">
        <f t="shared" si="230"/>
        <v>-10</v>
      </c>
      <c r="AF307" s="219">
        <v>45107.0</v>
      </c>
      <c r="AG307" s="220" t="str">
        <f t="shared" si="244"/>
        <v/>
      </c>
      <c r="AH307" s="220"/>
      <c r="AI307" s="220">
        <f t="shared" si="231"/>
        <v>0</v>
      </c>
      <c r="AJ307" s="220">
        <f t="shared" si="232"/>
        <v>-10</v>
      </c>
      <c r="AL307" s="219">
        <v>45107.0</v>
      </c>
      <c r="AM307" s="220" t="str">
        <f t="shared" si="245"/>
        <v/>
      </c>
      <c r="AN307" s="220"/>
      <c r="AO307" s="220">
        <f t="shared" si="233"/>
        <v>0</v>
      </c>
      <c r="AP307" s="220">
        <f t="shared" si="234"/>
        <v>-10</v>
      </c>
      <c r="AR307" s="219">
        <v>45107.0</v>
      </c>
      <c r="AS307" s="220" t="str">
        <f t="shared" si="246"/>
        <v/>
      </c>
      <c r="AT307" s="220"/>
      <c r="AU307" s="220">
        <f t="shared" si="235"/>
        <v>0</v>
      </c>
      <c r="AV307" s="220">
        <f t="shared" si="236"/>
        <v>-10</v>
      </c>
      <c r="AX307" s="219">
        <v>45107.0</v>
      </c>
      <c r="AY307" s="220" t="str">
        <f t="shared" si="247"/>
        <v/>
      </c>
      <c r="AZ307" s="220"/>
      <c r="BA307" s="220">
        <f t="shared" si="237"/>
        <v>0</v>
      </c>
      <c r="BB307" s="220">
        <f t="shared" si="238"/>
        <v>-10</v>
      </c>
    </row>
    <row r="308" ht="14.25" customHeight="1">
      <c r="A308" s="218"/>
      <c r="B308" s="229"/>
      <c r="C308" s="220" t="str">
        <f t="shared" si="239"/>
        <v/>
      </c>
      <c r="D308" s="220"/>
      <c r="E308" s="220">
        <f t="shared" si="221"/>
        <v>0</v>
      </c>
      <c r="F308" s="220">
        <f t="shared" si="222"/>
        <v>-10</v>
      </c>
      <c r="H308" s="229"/>
      <c r="I308" s="220" t="str">
        <f t="shared" si="240"/>
        <v/>
      </c>
      <c r="J308" s="220"/>
      <c r="K308" s="220">
        <f t="shared" si="223"/>
        <v>0</v>
      </c>
      <c r="L308" s="220">
        <f t="shared" si="224"/>
        <v>-10</v>
      </c>
      <c r="N308" s="229"/>
      <c r="O308" s="220" t="str">
        <f t="shared" si="241"/>
        <v/>
      </c>
      <c r="P308" s="220"/>
      <c r="Q308" s="220">
        <f t="shared" si="225"/>
        <v>0</v>
      </c>
      <c r="R308" s="220">
        <f t="shared" si="226"/>
        <v>-10</v>
      </c>
      <c r="T308" s="229"/>
      <c r="U308" s="220" t="str">
        <f t="shared" si="242"/>
        <v/>
      </c>
      <c r="V308" s="220"/>
      <c r="W308" s="220">
        <f t="shared" si="227"/>
        <v>0</v>
      </c>
      <c r="X308" s="220">
        <f t="shared" si="228"/>
        <v>-10</v>
      </c>
      <c r="Z308" s="229"/>
      <c r="AA308" s="220" t="str">
        <f t="shared" si="243"/>
        <v/>
      </c>
      <c r="AB308" s="220"/>
      <c r="AC308" s="220">
        <f t="shared" si="229"/>
        <v>0</v>
      </c>
      <c r="AD308" s="220">
        <f t="shared" si="230"/>
        <v>-10</v>
      </c>
      <c r="AF308" s="229"/>
      <c r="AG308" s="220" t="str">
        <f t="shared" si="244"/>
        <v/>
      </c>
      <c r="AH308" s="220"/>
      <c r="AI308" s="220">
        <f t="shared" si="231"/>
        <v>0</v>
      </c>
      <c r="AJ308" s="220">
        <f t="shared" si="232"/>
        <v>-10</v>
      </c>
      <c r="AL308" s="229"/>
      <c r="AM308" s="220" t="str">
        <f t="shared" si="245"/>
        <v/>
      </c>
      <c r="AN308" s="220"/>
      <c r="AO308" s="220">
        <f t="shared" si="233"/>
        <v>0</v>
      </c>
      <c r="AP308" s="220">
        <f t="shared" si="234"/>
        <v>-10</v>
      </c>
      <c r="AR308" s="229"/>
      <c r="AS308" s="220" t="str">
        <f t="shared" si="246"/>
        <v/>
      </c>
      <c r="AT308" s="220"/>
      <c r="AU308" s="220">
        <f t="shared" si="235"/>
        <v>0</v>
      </c>
      <c r="AV308" s="220">
        <f t="shared" si="236"/>
        <v>-10</v>
      </c>
      <c r="AX308" s="229"/>
      <c r="AY308" s="220" t="str">
        <f t="shared" si="247"/>
        <v/>
      </c>
      <c r="AZ308" s="220"/>
      <c r="BA308" s="220">
        <f t="shared" si="237"/>
        <v>0</v>
      </c>
      <c r="BB308" s="220">
        <f t="shared" si="238"/>
        <v>-10</v>
      </c>
    </row>
    <row r="309" ht="14.25" customHeight="1">
      <c r="A309" s="222"/>
      <c r="B309" s="216"/>
      <c r="C309" s="223" t="s">
        <v>221</v>
      </c>
      <c r="D309" s="223"/>
      <c r="E309" s="216">
        <f>SUM(E278:E308)</f>
        <v>0</v>
      </c>
      <c r="F309" s="216">
        <f t="shared" si="222"/>
        <v>-10</v>
      </c>
      <c r="H309" s="216"/>
      <c r="I309" s="223" t="s">
        <v>221</v>
      </c>
      <c r="J309" s="223"/>
      <c r="K309" s="216">
        <f>SUM(K278:K308)</f>
        <v>0</v>
      </c>
      <c r="L309" s="216">
        <f t="shared" si="224"/>
        <v>-10</v>
      </c>
      <c r="N309" s="216"/>
      <c r="O309" s="223" t="s">
        <v>221</v>
      </c>
      <c r="P309" s="223"/>
      <c r="Q309" s="216">
        <f>SUM(Q278:Q308)</f>
        <v>0</v>
      </c>
      <c r="R309" s="216">
        <f t="shared" si="226"/>
        <v>-10</v>
      </c>
      <c r="T309" s="216"/>
      <c r="U309" s="223" t="s">
        <v>221</v>
      </c>
      <c r="V309" s="223"/>
      <c r="W309" s="216">
        <f>SUM(W278:W308)</f>
        <v>0</v>
      </c>
      <c r="X309" s="216">
        <f t="shared" si="228"/>
        <v>-10</v>
      </c>
      <c r="Z309" s="216"/>
      <c r="AA309" s="223" t="s">
        <v>221</v>
      </c>
      <c r="AB309" s="223"/>
      <c r="AC309" s="216">
        <f>SUM(AC278:AC308)</f>
        <v>0</v>
      </c>
      <c r="AD309" s="216">
        <f t="shared" si="230"/>
        <v>-10</v>
      </c>
      <c r="AF309" s="216"/>
      <c r="AG309" s="223" t="s">
        <v>221</v>
      </c>
      <c r="AH309" s="223"/>
      <c r="AI309" s="216">
        <f>SUM(AI278:AI308)</f>
        <v>0</v>
      </c>
      <c r="AJ309" s="216">
        <f t="shared" si="232"/>
        <v>-10</v>
      </c>
      <c r="AL309" s="216"/>
      <c r="AM309" s="223" t="s">
        <v>221</v>
      </c>
      <c r="AN309" s="223"/>
      <c r="AO309" s="216">
        <f>SUM(AO278:AO308)</f>
        <v>0</v>
      </c>
      <c r="AP309" s="216">
        <f t="shared" si="234"/>
        <v>-10</v>
      </c>
      <c r="AR309" s="216"/>
      <c r="AS309" s="223" t="s">
        <v>221</v>
      </c>
      <c r="AT309" s="223"/>
      <c r="AU309" s="216">
        <f>SUM(AU278:AU308)</f>
        <v>0</v>
      </c>
      <c r="AV309" s="216">
        <f t="shared" si="236"/>
        <v>-10</v>
      </c>
      <c r="AX309" s="216"/>
      <c r="AY309" s="223" t="s">
        <v>221</v>
      </c>
      <c r="AZ309" s="223"/>
      <c r="BA309" s="216">
        <f>SUM(BA278:BA308)</f>
        <v>0</v>
      </c>
      <c r="BB309" s="216">
        <f t="shared" si="238"/>
        <v>-10</v>
      </c>
    </row>
    <row r="310" ht="14.25" customHeight="1"/>
    <row r="311" ht="14.25" customHeight="1"/>
    <row r="312" ht="14.25" customHeight="1"/>
    <row r="313" ht="18.0" customHeight="1">
      <c r="A313" s="215" t="s">
        <v>231</v>
      </c>
      <c r="B313" s="206" t="s">
        <v>18</v>
      </c>
      <c r="C313" s="207"/>
      <c r="D313" s="207"/>
      <c r="E313" s="207"/>
      <c r="F313" s="208"/>
      <c r="G313" s="209"/>
      <c r="H313" s="206" t="s">
        <v>20</v>
      </c>
      <c r="I313" s="207"/>
      <c r="J313" s="207"/>
      <c r="K313" s="207"/>
      <c r="L313" s="208"/>
      <c r="M313" s="209"/>
      <c r="N313" s="206" t="s">
        <v>142</v>
      </c>
      <c r="O313" s="207"/>
      <c r="P313" s="207"/>
      <c r="Q313" s="207"/>
      <c r="R313" s="208"/>
      <c r="S313" s="209"/>
      <c r="T313" s="206" t="s">
        <v>95</v>
      </c>
      <c r="U313" s="207"/>
      <c r="V313" s="207"/>
      <c r="W313" s="207"/>
      <c r="X313" s="208"/>
      <c r="Y313" s="209"/>
      <c r="Z313" s="206" t="s">
        <v>32</v>
      </c>
      <c r="AA313" s="207"/>
      <c r="AB313" s="207"/>
      <c r="AC313" s="207"/>
      <c r="AD313" s="208"/>
      <c r="AE313" s="209"/>
      <c r="AF313" s="206" t="s">
        <v>27</v>
      </c>
      <c r="AG313" s="207"/>
      <c r="AH313" s="207"/>
      <c r="AI313" s="207"/>
      <c r="AJ313" s="208"/>
      <c r="AK313" s="209"/>
      <c r="AL313" s="206" t="s">
        <v>34</v>
      </c>
      <c r="AM313" s="207"/>
      <c r="AN313" s="207"/>
      <c r="AO313" s="207"/>
      <c r="AP313" s="208"/>
      <c r="AQ313" s="209"/>
      <c r="AR313" s="206"/>
      <c r="AS313" s="207"/>
      <c r="AT313" s="207"/>
      <c r="AU313" s="207"/>
      <c r="AV313" s="208"/>
      <c r="AW313" s="209"/>
      <c r="AX313" s="206"/>
      <c r="AY313" s="207"/>
      <c r="AZ313" s="207"/>
      <c r="BA313" s="207"/>
      <c r="BB313" s="208"/>
    </row>
    <row r="314" ht="14.25" customHeight="1">
      <c r="A314" s="218"/>
      <c r="B314" s="210"/>
      <c r="F314" s="211"/>
      <c r="G314" s="209"/>
      <c r="H314" s="210"/>
      <c r="L314" s="211"/>
      <c r="M314" s="209"/>
      <c r="N314" s="210"/>
      <c r="R314" s="211"/>
      <c r="S314" s="209"/>
      <c r="T314" s="210"/>
      <c r="X314" s="211"/>
      <c r="Y314" s="209"/>
      <c r="Z314" s="210"/>
      <c r="AD314" s="211"/>
      <c r="AE314" s="209"/>
      <c r="AF314" s="210"/>
      <c r="AJ314" s="211"/>
      <c r="AK314" s="209"/>
      <c r="AL314" s="210"/>
      <c r="AP314" s="211"/>
      <c r="AQ314" s="209"/>
      <c r="AR314" s="210"/>
      <c r="AV314" s="211"/>
      <c r="AW314" s="209"/>
      <c r="AX314" s="210"/>
      <c r="BB314" s="211"/>
    </row>
    <row r="315" ht="14.25" customHeight="1">
      <c r="A315" s="218"/>
      <c r="B315" s="212"/>
      <c r="C315" s="213"/>
      <c r="D315" s="213"/>
      <c r="E315" s="213"/>
      <c r="F315" s="214"/>
      <c r="G315" s="209"/>
      <c r="H315" s="212"/>
      <c r="I315" s="213"/>
      <c r="J315" s="213"/>
      <c r="K315" s="213"/>
      <c r="L315" s="214"/>
      <c r="M315" s="209"/>
      <c r="N315" s="212"/>
      <c r="O315" s="213"/>
      <c r="P315" s="213"/>
      <c r="Q315" s="213"/>
      <c r="R315" s="214"/>
      <c r="S315" s="209"/>
      <c r="T315" s="212"/>
      <c r="U315" s="213"/>
      <c r="V315" s="213"/>
      <c r="W315" s="213"/>
      <c r="X315" s="214"/>
      <c r="Y315" s="209"/>
      <c r="Z315" s="212"/>
      <c r="AA315" s="213"/>
      <c r="AB315" s="213"/>
      <c r="AC315" s="213"/>
      <c r="AD315" s="214"/>
      <c r="AE315" s="209"/>
      <c r="AF315" s="212"/>
      <c r="AG315" s="213"/>
      <c r="AH315" s="213"/>
      <c r="AI315" s="213"/>
      <c r="AJ315" s="214"/>
      <c r="AK315" s="209"/>
      <c r="AL315" s="212"/>
      <c r="AM315" s="213"/>
      <c r="AN315" s="213"/>
      <c r="AO315" s="213"/>
      <c r="AP315" s="214"/>
      <c r="AQ315" s="209"/>
      <c r="AR315" s="212"/>
      <c r="AS315" s="213"/>
      <c r="AT315" s="213"/>
      <c r="AU315" s="213"/>
      <c r="AV315" s="214"/>
      <c r="AW315" s="209"/>
      <c r="AX315" s="212"/>
      <c r="AY315" s="213"/>
      <c r="AZ315" s="213"/>
      <c r="BA315" s="213"/>
      <c r="BB315" s="214"/>
    </row>
    <row r="316" ht="14.25" customHeight="1">
      <c r="A316" s="218"/>
      <c r="B316" s="216" t="s">
        <v>214</v>
      </c>
      <c r="C316" s="216" t="s">
        <v>215</v>
      </c>
      <c r="D316" s="216" t="s">
        <v>216</v>
      </c>
      <c r="E316" s="216" t="s">
        <v>217</v>
      </c>
      <c r="F316" s="216" t="s">
        <v>218</v>
      </c>
      <c r="H316" s="217" t="s">
        <v>214</v>
      </c>
      <c r="I316" s="216" t="s">
        <v>215</v>
      </c>
      <c r="J316" s="216" t="s">
        <v>216</v>
      </c>
      <c r="K316" s="216" t="s">
        <v>217</v>
      </c>
      <c r="L316" s="216" t="s">
        <v>218</v>
      </c>
      <c r="N316" s="216" t="s">
        <v>214</v>
      </c>
      <c r="O316" s="216" t="s">
        <v>215</v>
      </c>
      <c r="P316" s="216" t="s">
        <v>216</v>
      </c>
      <c r="Q316" s="216" t="s">
        <v>217</v>
      </c>
      <c r="R316" s="216" t="s">
        <v>218</v>
      </c>
      <c r="T316" s="216" t="s">
        <v>214</v>
      </c>
      <c r="U316" s="216" t="s">
        <v>215</v>
      </c>
      <c r="V316" s="216" t="s">
        <v>216</v>
      </c>
      <c r="W316" s="216" t="s">
        <v>217</v>
      </c>
      <c r="X316" s="216" t="s">
        <v>218</v>
      </c>
      <c r="Z316" s="216" t="s">
        <v>214</v>
      </c>
      <c r="AA316" s="216" t="s">
        <v>215</v>
      </c>
      <c r="AB316" s="216" t="s">
        <v>216</v>
      </c>
      <c r="AC316" s="216" t="s">
        <v>217</v>
      </c>
      <c r="AD316" s="216" t="s">
        <v>218</v>
      </c>
      <c r="AF316" s="216" t="s">
        <v>214</v>
      </c>
      <c r="AG316" s="216" t="s">
        <v>215</v>
      </c>
      <c r="AH316" s="216" t="s">
        <v>216</v>
      </c>
      <c r="AI316" s="216" t="s">
        <v>217</v>
      </c>
      <c r="AJ316" s="216" t="s">
        <v>218</v>
      </c>
      <c r="AL316" s="216" t="s">
        <v>214</v>
      </c>
      <c r="AM316" s="216" t="s">
        <v>215</v>
      </c>
      <c r="AN316" s="216" t="s">
        <v>216</v>
      </c>
      <c r="AO316" s="216" t="s">
        <v>217</v>
      </c>
      <c r="AP316" s="216" t="s">
        <v>218</v>
      </c>
      <c r="AR316" s="216" t="s">
        <v>214</v>
      </c>
      <c r="AS316" s="216" t="s">
        <v>215</v>
      </c>
      <c r="AT316" s="216" t="s">
        <v>216</v>
      </c>
      <c r="AU316" s="216" t="s">
        <v>217</v>
      </c>
      <c r="AV316" s="216" t="s">
        <v>218</v>
      </c>
      <c r="AX316" s="216" t="s">
        <v>214</v>
      </c>
      <c r="AY316" s="216" t="s">
        <v>215</v>
      </c>
      <c r="AZ316" s="216" t="s">
        <v>216</v>
      </c>
      <c r="BA316" s="216" t="s">
        <v>217</v>
      </c>
      <c r="BB316" s="216" t="s">
        <v>218</v>
      </c>
    </row>
    <row r="317" ht="14.25" customHeight="1">
      <c r="A317" s="218"/>
      <c r="B317" s="219">
        <v>45078.0</v>
      </c>
      <c r="C317" s="220"/>
      <c r="D317" s="220"/>
      <c r="E317" s="220">
        <f t="shared" ref="E317:E347" si="248">D317-C317</f>
        <v>0</v>
      </c>
      <c r="F317" s="220">
        <f t="shared" ref="F317:F348" si="249">E317-10</f>
        <v>-10</v>
      </c>
      <c r="H317" s="219">
        <v>45078.0</v>
      </c>
      <c r="I317" s="220"/>
      <c r="J317" s="220"/>
      <c r="K317" s="220">
        <f t="shared" ref="K317:K347" si="250">J317-I317</f>
        <v>0</v>
      </c>
      <c r="L317" s="220">
        <f t="shared" ref="L317:L348" si="251">K317-10</f>
        <v>-10</v>
      </c>
      <c r="N317" s="219">
        <v>45078.0</v>
      </c>
      <c r="O317" s="220"/>
      <c r="P317" s="220"/>
      <c r="Q317" s="220">
        <f t="shared" ref="Q317:Q347" si="252">P317-O317</f>
        <v>0</v>
      </c>
      <c r="R317" s="220">
        <f t="shared" ref="R317:R348" si="253">Q317-10</f>
        <v>-10</v>
      </c>
      <c r="T317" s="219">
        <v>45078.0</v>
      </c>
      <c r="U317" s="220"/>
      <c r="V317" s="220"/>
      <c r="W317" s="220">
        <f t="shared" ref="W317:W347" si="254">V317-U317</f>
        <v>0</v>
      </c>
      <c r="X317" s="220">
        <f t="shared" ref="X317:X348" si="255">W317-10</f>
        <v>-10</v>
      </c>
      <c r="Z317" s="219">
        <v>45078.0</v>
      </c>
      <c r="AA317" s="220"/>
      <c r="AB317" s="220"/>
      <c r="AC317" s="220">
        <f t="shared" ref="AC317:AC347" si="256">AB317-AA317</f>
        <v>0</v>
      </c>
      <c r="AD317" s="220">
        <f t="shared" ref="AD317:AD348" si="257">AC317-10</f>
        <v>-10</v>
      </c>
      <c r="AF317" s="219">
        <v>45078.0</v>
      </c>
      <c r="AG317" s="220"/>
      <c r="AH317" s="220"/>
      <c r="AI317" s="220">
        <f t="shared" ref="AI317:AI347" si="258">AH317-AG317</f>
        <v>0</v>
      </c>
      <c r="AJ317" s="220">
        <f t="shared" ref="AJ317:AJ348" si="259">AI317-10</f>
        <v>-10</v>
      </c>
      <c r="AL317" s="219">
        <v>45078.0</v>
      </c>
      <c r="AM317" s="220"/>
      <c r="AN317" s="220"/>
      <c r="AO317" s="220">
        <f t="shared" ref="AO317:AO347" si="260">AN317-AM317</f>
        <v>0</v>
      </c>
      <c r="AP317" s="220">
        <f t="shared" ref="AP317:AP348" si="261">AO317-10</f>
        <v>-10</v>
      </c>
      <c r="AR317" s="219">
        <v>45078.0</v>
      </c>
      <c r="AS317" s="220"/>
      <c r="AT317" s="220"/>
      <c r="AU317" s="220">
        <f t="shared" ref="AU317:AU347" si="262">AT317-AS317</f>
        <v>0</v>
      </c>
      <c r="AV317" s="220">
        <f t="shared" ref="AV317:AV348" si="263">AU317-10</f>
        <v>-10</v>
      </c>
      <c r="AX317" s="219">
        <v>45078.0</v>
      </c>
      <c r="AY317" s="220"/>
      <c r="AZ317" s="220"/>
      <c r="BA317" s="220">
        <f t="shared" ref="BA317:BA347" si="264">AZ317-AY317</f>
        <v>0</v>
      </c>
      <c r="BB317" s="220">
        <f t="shared" ref="BB317:BB348" si="265">BA317-10</f>
        <v>-10</v>
      </c>
    </row>
    <row r="318" ht="14.25" customHeight="1">
      <c r="A318" s="218"/>
      <c r="B318" s="219">
        <v>45079.0</v>
      </c>
      <c r="C318" s="220" t="str">
        <f t="shared" ref="C318:C347" si="266">D317</f>
        <v/>
      </c>
      <c r="D318" s="220"/>
      <c r="E318" s="220">
        <f t="shared" si="248"/>
        <v>0</v>
      </c>
      <c r="F318" s="220">
        <f t="shared" si="249"/>
        <v>-10</v>
      </c>
      <c r="H318" s="219">
        <v>45079.0</v>
      </c>
      <c r="I318" s="220" t="str">
        <f t="shared" ref="I318:I347" si="267">J317</f>
        <v/>
      </c>
      <c r="J318" s="220"/>
      <c r="K318" s="220">
        <f t="shared" si="250"/>
        <v>0</v>
      </c>
      <c r="L318" s="220">
        <f t="shared" si="251"/>
        <v>-10</v>
      </c>
      <c r="N318" s="219">
        <v>45079.0</v>
      </c>
      <c r="O318" s="220" t="str">
        <f t="shared" ref="O318:O347" si="268">P317</f>
        <v/>
      </c>
      <c r="P318" s="220"/>
      <c r="Q318" s="220">
        <f t="shared" si="252"/>
        <v>0</v>
      </c>
      <c r="R318" s="220">
        <f t="shared" si="253"/>
        <v>-10</v>
      </c>
      <c r="T318" s="219">
        <v>45079.0</v>
      </c>
      <c r="U318" s="220" t="str">
        <f t="shared" ref="U318:U347" si="269">V317</f>
        <v/>
      </c>
      <c r="V318" s="220"/>
      <c r="W318" s="220">
        <f t="shared" si="254"/>
        <v>0</v>
      </c>
      <c r="X318" s="220">
        <f t="shared" si="255"/>
        <v>-10</v>
      </c>
      <c r="Z318" s="219">
        <v>45079.0</v>
      </c>
      <c r="AA318" s="220" t="str">
        <f t="shared" ref="AA318:AA347" si="270">AB317</f>
        <v/>
      </c>
      <c r="AB318" s="220"/>
      <c r="AC318" s="220">
        <f t="shared" si="256"/>
        <v>0</v>
      </c>
      <c r="AD318" s="220">
        <f t="shared" si="257"/>
        <v>-10</v>
      </c>
      <c r="AF318" s="219">
        <v>45079.0</v>
      </c>
      <c r="AG318" s="220" t="str">
        <f t="shared" ref="AG318:AG347" si="271">AH317</f>
        <v/>
      </c>
      <c r="AH318" s="220"/>
      <c r="AI318" s="220">
        <f t="shared" si="258"/>
        <v>0</v>
      </c>
      <c r="AJ318" s="220">
        <f t="shared" si="259"/>
        <v>-10</v>
      </c>
      <c r="AL318" s="219">
        <v>45079.0</v>
      </c>
      <c r="AM318" s="220" t="str">
        <f t="shared" ref="AM318:AM347" si="272">AN317</f>
        <v/>
      </c>
      <c r="AN318" s="220"/>
      <c r="AO318" s="220">
        <f t="shared" si="260"/>
        <v>0</v>
      </c>
      <c r="AP318" s="220">
        <f t="shared" si="261"/>
        <v>-10</v>
      </c>
      <c r="AR318" s="219">
        <v>45079.0</v>
      </c>
      <c r="AS318" s="220" t="str">
        <f t="shared" ref="AS318:AS347" si="273">AT317</f>
        <v/>
      </c>
      <c r="AT318" s="220"/>
      <c r="AU318" s="220">
        <f t="shared" si="262"/>
        <v>0</v>
      </c>
      <c r="AV318" s="220">
        <f t="shared" si="263"/>
        <v>-10</v>
      </c>
      <c r="AX318" s="219">
        <v>45079.0</v>
      </c>
      <c r="AY318" s="220" t="str">
        <f t="shared" ref="AY318:AY347" si="274">AZ317</f>
        <v/>
      </c>
      <c r="AZ318" s="220"/>
      <c r="BA318" s="220">
        <f t="shared" si="264"/>
        <v>0</v>
      </c>
      <c r="BB318" s="220">
        <f t="shared" si="265"/>
        <v>-10</v>
      </c>
    </row>
    <row r="319" ht="14.25" customHeight="1">
      <c r="A319" s="218"/>
      <c r="B319" s="219">
        <v>45080.0</v>
      </c>
      <c r="C319" s="220" t="str">
        <f t="shared" si="266"/>
        <v/>
      </c>
      <c r="D319" s="220"/>
      <c r="E319" s="220">
        <f t="shared" si="248"/>
        <v>0</v>
      </c>
      <c r="F319" s="220">
        <f t="shared" si="249"/>
        <v>-10</v>
      </c>
      <c r="G319" s="221"/>
      <c r="H319" s="219">
        <v>45080.0</v>
      </c>
      <c r="I319" s="220" t="str">
        <f t="shared" si="267"/>
        <v/>
      </c>
      <c r="J319" s="220"/>
      <c r="K319" s="220">
        <f t="shared" si="250"/>
        <v>0</v>
      </c>
      <c r="L319" s="220">
        <f t="shared" si="251"/>
        <v>-10</v>
      </c>
      <c r="M319" s="221"/>
      <c r="N319" s="219">
        <v>45080.0</v>
      </c>
      <c r="O319" s="220" t="str">
        <f t="shared" si="268"/>
        <v/>
      </c>
      <c r="P319" s="220"/>
      <c r="Q319" s="220">
        <f t="shared" si="252"/>
        <v>0</v>
      </c>
      <c r="R319" s="220">
        <f t="shared" si="253"/>
        <v>-10</v>
      </c>
      <c r="S319" s="221"/>
      <c r="T319" s="219">
        <v>45080.0</v>
      </c>
      <c r="U319" s="220" t="str">
        <f t="shared" si="269"/>
        <v/>
      </c>
      <c r="V319" s="220"/>
      <c r="W319" s="220">
        <f t="shared" si="254"/>
        <v>0</v>
      </c>
      <c r="X319" s="220">
        <f t="shared" si="255"/>
        <v>-10</v>
      </c>
      <c r="Y319" s="221"/>
      <c r="Z319" s="219">
        <v>45080.0</v>
      </c>
      <c r="AA319" s="220" t="str">
        <f t="shared" si="270"/>
        <v/>
      </c>
      <c r="AB319" s="220"/>
      <c r="AC319" s="220">
        <f t="shared" si="256"/>
        <v>0</v>
      </c>
      <c r="AD319" s="220">
        <f t="shared" si="257"/>
        <v>-10</v>
      </c>
      <c r="AE319" s="221"/>
      <c r="AF319" s="219">
        <v>45080.0</v>
      </c>
      <c r="AG319" s="220" t="str">
        <f t="shared" si="271"/>
        <v/>
      </c>
      <c r="AH319" s="220"/>
      <c r="AI319" s="220">
        <f t="shared" si="258"/>
        <v>0</v>
      </c>
      <c r="AJ319" s="220">
        <f t="shared" si="259"/>
        <v>-10</v>
      </c>
      <c r="AK319" s="221"/>
      <c r="AL319" s="219">
        <v>45080.0</v>
      </c>
      <c r="AM319" s="220" t="str">
        <f t="shared" si="272"/>
        <v/>
      </c>
      <c r="AN319" s="220"/>
      <c r="AO319" s="220">
        <f t="shared" si="260"/>
        <v>0</v>
      </c>
      <c r="AP319" s="220">
        <f t="shared" si="261"/>
        <v>-10</v>
      </c>
      <c r="AQ319" s="221"/>
      <c r="AR319" s="219">
        <v>45080.0</v>
      </c>
      <c r="AS319" s="220" t="str">
        <f t="shared" si="273"/>
        <v/>
      </c>
      <c r="AT319" s="220"/>
      <c r="AU319" s="220">
        <f t="shared" si="262"/>
        <v>0</v>
      </c>
      <c r="AV319" s="220">
        <f t="shared" si="263"/>
        <v>-10</v>
      </c>
      <c r="AW319" s="221"/>
      <c r="AX319" s="219">
        <v>45080.0</v>
      </c>
      <c r="AY319" s="220" t="str">
        <f t="shared" si="274"/>
        <v/>
      </c>
      <c r="AZ319" s="220"/>
      <c r="BA319" s="220">
        <f t="shared" si="264"/>
        <v>0</v>
      </c>
      <c r="BB319" s="220">
        <f t="shared" si="265"/>
        <v>-10</v>
      </c>
    </row>
    <row r="320" ht="14.25" customHeight="1">
      <c r="A320" s="218"/>
      <c r="B320" s="219">
        <v>45081.0</v>
      </c>
      <c r="C320" s="220" t="str">
        <f t="shared" si="266"/>
        <v/>
      </c>
      <c r="D320" s="220"/>
      <c r="E320" s="220">
        <f t="shared" si="248"/>
        <v>0</v>
      </c>
      <c r="F320" s="220">
        <f t="shared" si="249"/>
        <v>-10</v>
      </c>
      <c r="G320" s="221"/>
      <c r="H320" s="219">
        <v>45081.0</v>
      </c>
      <c r="I320" s="220" t="str">
        <f t="shared" si="267"/>
        <v/>
      </c>
      <c r="J320" s="220"/>
      <c r="K320" s="220">
        <f t="shared" si="250"/>
        <v>0</v>
      </c>
      <c r="L320" s="220">
        <f t="shared" si="251"/>
        <v>-10</v>
      </c>
      <c r="M320" s="221"/>
      <c r="N320" s="219">
        <v>45081.0</v>
      </c>
      <c r="O320" s="220" t="str">
        <f t="shared" si="268"/>
        <v/>
      </c>
      <c r="P320" s="220"/>
      <c r="Q320" s="220">
        <f t="shared" si="252"/>
        <v>0</v>
      </c>
      <c r="R320" s="220">
        <f t="shared" si="253"/>
        <v>-10</v>
      </c>
      <c r="S320" s="221"/>
      <c r="T320" s="219">
        <v>45081.0</v>
      </c>
      <c r="U320" s="220" t="str">
        <f t="shared" si="269"/>
        <v/>
      </c>
      <c r="V320" s="220"/>
      <c r="W320" s="220">
        <f t="shared" si="254"/>
        <v>0</v>
      </c>
      <c r="X320" s="220">
        <f t="shared" si="255"/>
        <v>-10</v>
      </c>
      <c r="Y320" s="221"/>
      <c r="Z320" s="219">
        <v>45081.0</v>
      </c>
      <c r="AA320" s="220" t="str">
        <f t="shared" si="270"/>
        <v/>
      </c>
      <c r="AB320" s="220"/>
      <c r="AC320" s="220">
        <f t="shared" si="256"/>
        <v>0</v>
      </c>
      <c r="AD320" s="220">
        <f t="shared" si="257"/>
        <v>-10</v>
      </c>
      <c r="AE320" s="221"/>
      <c r="AF320" s="219">
        <v>45081.0</v>
      </c>
      <c r="AG320" s="220" t="str">
        <f t="shared" si="271"/>
        <v/>
      </c>
      <c r="AH320" s="220"/>
      <c r="AI320" s="220">
        <f t="shared" si="258"/>
        <v>0</v>
      </c>
      <c r="AJ320" s="220">
        <f t="shared" si="259"/>
        <v>-10</v>
      </c>
      <c r="AK320" s="221"/>
      <c r="AL320" s="219">
        <v>45081.0</v>
      </c>
      <c r="AM320" s="220" t="str">
        <f t="shared" si="272"/>
        <v/>
      </c>
      <c r="AN320" s="220"/>
      <c r="AO320" s="220">
        <f t="shared" si="260"/>
        <v>0</v>
      </c>
      <c r="AP320" s="220">
        <f t="shared" si="261"/>
        <v>-10</v>
      </c>
      <c r="AQ320" s="221"/>
      <c r="AR320" s="219">
        <v>45081.0</v>
      </c>
      <c r="AS320" s="220" t="str">
        <f t="shared" si="273"/>
        <v/>
      </c>
      <c r="AT320" s="220"/>
      <c r="AU320" s="220">
        <f t="shared" si="262"/>
        <v>0</v>
      </c>
      <c r="AV320" s="220">
        <f t="shared" si="263"/>
        <v>-10</v>
      </c>
      <c r="AW320" s="221"/>
      <c r="AX320" s="219">
        <v>45081.0</v>
      </c>
      <c r="AY320" s="220" t="str">
        <f t="shared" si="274"/>
        <v/>
      </c>
      <c r="AZ320" s="220"/>
      <c r="BA320" s="220">
        <f t="shared" si="264"/>
        <v>0</v>
      </c>
      <c r="BB320" s="220">
        <f t="shared" si="265"/>
        <v>-10</v>
      </c>
    </row>
    <row r="321" ht="14.25" customHeight="1">
      <c r="A321" s="218"/>
      <c r="B321" s="219">
        <v>45082.0</v>
      </c>
      <c r="C321" s="220" t="str">
        <f t="shared" si="266"/>
        <v/>
      </c>
      <c r="D321" s="220"/>
      <c r="E321" s="220">
        <f t="shared" si="248"/>
        <v>0</v>
      </c>
      <c r="F321" s="220">
        <f t="shared" si="249"/>
        <v>-10</v>
      </c>
      <c r="H321" s="219">
        <v>45082.0</v>
      </c>
      <c r="I321" s="220" t="str">
        <f t="shared" si="267"/>
        <v/>
      </c>
      <c r="J321" s="220"/>
      <c r="K321" s="220">
        <f t="shared" si="250"/>
        <v>0</v>
      </c>
      <c r="L321" s="220">
        <f t="shared" si="251"/>
        <v>-10</v>
      </c>
      <c r="N321" s="219">
        <v>45082.0</v>
      </c>
      <c r="O321" s="220" t="str">
        <f t="shared" si="268"/>
        <v/>
      </c>
      <c r="P321" s="220"/>
      <c r="Q321" s="220">
        <f t="shared" si="252"/>
        <v>0</v>
      </c>
      <c r="R321" s="220">
        <f t="shared" si="253"/>
        <v>-10</v>
      </c>
      <c r="T321" s="219">
        <v>45082.0</v>
      </c>
      <c r="U321" s="220" t="str">
        <f t="shared" si="269"/>
        <v/>
      </c>
      <c r="V321" s="220"/>
      <c r="W321" s="220">
        <f t="shared" si="254"/>
        <v>0</v>
      </c>
      <c r="X321" s="220">
        <f t="shared" si="255"/>
        <v>-10</v>
      </c>
      <c r="Z321" s="219">
        <v>45082.0</v>
      </c>
      <c r="AA321" s="220" t="str">
        <f t="shared" si="270"/>
        <v/>
      </c>
      <c r="AB321" s="220"/>
      <c r="AC321" s="220">
        <f t="shared" si="256"/>
        <v>0</v>
      </c>
      <c r="AD321" s="220">
        <f t="shared" si="257"/>
        <v>-10</v>
      </c>
      <c r="AF321" s="219">
        <v>45082.0</v>
      </c>
      <c r="AG321" s="220" t="str">
        <f t="shared" si="271"/>
        <v/>
      </c>
      <c r="AH321" s="220"/>
      <c r="AI321" s="220">
        <f t="shared" si="258"/>
        <v>0</v>
      </c>
      <c r="AJ321" s="220">
        <f t="shared" si="259"/>
        <v>-10</v>
      </c>
      <c r="AL321" s="219">
        <v>45082.0</v>
      </c>
      <c r="AM321" s="220" t="str">
        <f t="shared" si="272"/>
        <v/>
      </c>
      <c r="AN321" s="220"/>
      <c r="AO321" s="220">
        <f t="shared" si="260"/>
        <v>0</v>
      </c>
      <c r="AP321" s="220">
        <f t="shared" si="261"/>
        <v>-10</v>
      </c>
      <c r="AR321" s="219">
        <v>45082.0</v>
      </c>
      <c r="AS321" s="220" t="str">
        <f t="shared" si="273"/>
        <v/>
      </c>
      <c r="AT321" s="220"/>
      <c r="AU321" s="220">
        <f t="shared" si="262"/>
        <v>0</v>
      </c>
      <c r="AV321" s="220">
        <f t="shared" si="263"/>
        <v>-10</v>
      </c>
      <c r="AX321" s="219">
        <v>45082.0</v>
      </c>
      <c r="AY321" s="220" t="str">
        <f t="shared" si="274"/>
        <v/>
      </c>
      <c r="AZ321" s="220"/>
      <c r="BA321" s="220">
        <f t="shared" si="264"/>
        <v>0</v>
      </c>
      <c r="BB321" s="220">
        <f t="shared" si="265"/>
        <v>-10</v>
      </c>
    </row>
    <row r="322" ht="14.25" customHeight="1">
      <c r="A322" s="218"/>
      <c r="B322" s="219">
        <v>45083.0</v>
      </c>
      <c r="C322" s="220" t="str">
        <f t="shared" si="266"/>
        <v/>
      </c>
      <c r="D322" s="220"/>
      <c r="E322" s="220">
        <f t="shared" si="248"/>
        <v>0</v>
      </c>
      <c r="F322" s="220">
        <f t="shared" si="249"/>
        <v>-10</v>
      </c>
      <c r="H322" s="219">
        <v>45083.0</v>
      </c>
      <c r="I322" s="220" t="str">
        <f t="shared" si="267"/>
        <v/>
      </c>
      <c r="J322" s="220"/>
      <c r="K322" s="220">
        <f t="shared" si="250"/>
        <v>0</v>
      </c>
      <c r="L322" s="220">
        <f t="shared" si="251"/>
        <v>-10</v>
      </c>
      <c r="N322" s="219">
        <v>45083.0</v>
      </c>
      <c r="O322" s="220" t="str">
        <f t="shared" si="268"/>
        <v/>
      </c>
      <c r="P322" s="220"/>
      <c r="Q322" s="220">
        <f t="shared" si="252"/>
        <v>0</v>
      </c>
      <c r="R322" s="220">
        <f t="shared" si="253"/>
        <v>-10</v>
      </c>
      <c r="T322" s="219">
        <v>45083.0</v>
      </c>
      <c r="U322" s="220" t="str">
        <f t="shared" si="269"/>
        <v/>
      </c>
      <c r="V322" s="220"/>
      <c r="W322" s="220">
        <f t="shared" si="254"/>
        <v>0</v>
      </c>
      <c r="X322" s="220">
        <f t="shared" si="255"/>
        <v>-10</v>
      </c>
      <c r="Z322" s="219">
        <v>45083.0</v>
      </c>
      <c r="AA322" s="220" t="str">
        <f t="shared" si="270"/>
        <v/>
      </c>
      <c r="AB322" s="220"/>
      <c r="AC322" s="220">
        <f t="shared" si="256"/>
        <v>0</v>
      </c>
      <c r="AD322" s="220">
        <f t="shared" si="257"/>
        <v>-10</v>
      </c>
      <c r="AF322" s="219">
        <v>45083.0</v>
      </c>
      <c r="AG322" s="220" t="str">
        <f t="shared" si="271"/>
        <v/>
      </c>
      <c r="AH322" s="220"/>
      <c r="AI322" s="220">
        <f t="shared" si="258"/>
        <v>0</v>
      </c>
      <c r="AJ322" s="220">
        <f t="shared" si="259"/>
        <v>-10</v>
      </c>
      <c r="AL322" s="219">
        <v>45083.0</v>
      </c>
      <c r="AM322" s="220" t="str">
        <f t="shared" si="272"/>
        <v/>
      </c>
      <c r="AN322" s="220"/>
      <c r="AO322" s="220">
        <f t="shared" si="260"/>
        <v>0</v>
      </c>
      <c r="AP322" s="220">
        <f t="shared" si="261"/>
        <v>-10</v>
      </c>
      <c r="AR322" s="219">
        <v>45083.0</v>
      </c>
      <c r="AS322" s="220" t="str">
        <f t="shared" si="273"/>
        <v/>
      </c>
      <c r="AT322" s="220"/>
      <c r="AU322" s="220">
        <f t="shared" si="262"/>
        <v>0</v>
      </c>
      <c r="AV322" s="220">
        <f t="shared" si="263"/>
        <v>-10</v>
      </c>
      <c r="AX322" s="219">
        <v>45083.0</v>
      </c>
      <c r="AY322" s="220" t="str">
        <f t="shared" si="274"/>
        <v/>
      </c>
      <c r="AZ322" s="220"/>
      <c r="BA322" s="220">
        <f t="shared" si="264"/>
        <v>0</v>
      </c>
      <c r="BB322" s="220">
        <f t="shared" si="265"/>
        <v>-10</v>
      </c>
    </row>
    <row r="323" ht="14.25" customHeight="1">
      <c r="A323" s="218"/>
      <c r="B323" s="219">
        <v>45084.0</v>
      </c>
      <c r="C323" s="220" t="str">
        <f t="shared" si="266"/>
        <v/>
      </c>
      <c r="D323" s="220"/>
      <c r="E323" s="220">
        <f t="shared" si="248"/>
        <v>0</v>
      </c>
      <c r="F323" s="220">
        <f t="shared" si="249"/>
        <v>-10</v>
      </c>
      <c r="H323" s="219">
        <v>45084.0</v>
      </c>
      <c r="I323" s="220" t="str">
        <f t="shared" si="267"/>
        <v/>
      </c>
      <c r="J323" s="220"/>
      <c r="K323" s="220">
        <f t="shared" si="250"/>
        <v>0</v>
      </c>
      <c r="L323" s="220">
        <f t="shared" si="251"/>
        <v>-10</v>
      </c>
      <c r="N323" s="219">
        <v>45084.0</v>
      </c>
      <c r="O323" s="220" t="str">
        <f t="shared" si="268"/>
        <v/>
      </c>
      <c r="P323" s="220"/>
      <c r="Q323" s="220">
        <f t="shared" si="252"/>
        <v>0</v>
      </c>
      <c r="R323" s="220">
        <f t="shared" si="253"/>
        <v>-10</v>
      </c>
      <c r="T323" s="219">
        <v>45084.0</v>
      </c>
      <c r="U323" s="220" t="str">
        <f t="shared" si="269"/>
        <v/>
      </c>
      <c r="V323" s="220"/>
      <c r="W323" s="220">
        <f t="shared" si="254"/>
        <v>0</v>
      </c>
      <c r="X323" s="220">
        <f t="shared" si="255"/>
        <v>-10</v>
      </c>
      <c r="Z323" s="219">
        <v>45084.0</v>
      </c>
      <c r="AA323" s="220" t="str">
        <f t="shared" si="270"/>
        <v/>
      </c>
      <c r="AB323" s="220"/>
      <c r="AC323" s="220">
        <f t="shared" si="256"/>
        <v>0</v>
      </c>
      <c r="AD323" s="220">
        <f t="shared" si="257"/>
        <v>-10</v>
      </c>
      <c r="AF323" s="219">
        <v>45084.0</v>
      </c>
      <c r="AG323" s="220" t="str">
        <f t="shared" si="271"/>
        <v/>
      </c>
      <c r="AH323" s="220"/>
      <c r="AI323" s="220">
        <f t="shared" si="258"/>
        <v>0</v>
      </c>
      <c r="AJ323" s="220">
        <f t="shared" si="259"/>
        <v>-10</v>
      </c>
      <c r="AL323" s="219">
        <v>45084.0</v>
      </c>
      <c r="AM323" s="220" t="str">
        <f t="shared" si="272"/>
        <v/>
      </c>
      <c r="AN323" s="220"/>
      <c r="AO323" s="220">
        <f t="shared" si="260"/>
        <v>0</v>
      </c>
      <c r="AP323" s="220">
        <f t="shared" si="261"/>
        <v>-10</v>
      </c>
      <c r="AR323" s="219">
        <v>45084.0</v>
      </c>
      <c r="AS323" s="220" t="str">
        <f t="shared" si="273"/>
        <v/>
      </c>
      <c r="AT323" s="220"/>
      <c r="AU323" s="220">
        <f t="shared" si="262"/>
        <v>0</v>
      </c>
      <c r="AV323" s="220">
        <f t="shared" si="263"/>
        <v>-10</v>
      </c>
      <c r="AX323" s="219">
        <v>45084.0</v>
      </c>
      <c r="AY323" s="220" t="str">
        <f t="shared" si="274"/>
        <v/>
      </c>
      <c r="AZ323" s="220"/>
      <c r="BA323" s="220">
        <f t="shared" si="264"/>
        <v>0</v>
      </c>
      <c r="BB323" s="220">
        <f t="shared" si="265"/>
        <v>-10</v>
      </c>
    </row>
    <row r="324" ht="14.25" customHeight="1">
      <c r="A324" s="218"/>
      <c r="B324" s="219">
        <v>45085.0</v>
      </c>
      <c r="C324" s="220" t="str">
        <f t="shared" si="266"/>
        <v/>
      </c>
      <c r="D324" s="220"/>
      <c r="E324" s="220">
        <f t="shared" si="248"/>
        <v>0</v>
      </c>
      <c r="F324" s="220">
        <f t="shared" si="249"/>
        <v>-10</v>
      </c>
      <c r="H324" s="219">
        <v>45085.0</v>
      </c>
      <c r="I324" s="220" t="str">
        <f t="shared" si="267"/>
        <v/>
      </c>
      <c r="J324" s="220"/>
      <c r="K324" s="220">
        <f t="shared" si="250"/>
        <v>0</v>
      </c>
      <c r="L324" s="220">
        <f t="shared" si="251"/>
        <v>-10</v>
      </c>
      <c r="N324" s="219">
        <v>45085.0</v>
      </c>
      <c r="O324" s="220" t="str">
        <f t="shared" si="268"/>
        <v/>
      </c>
      <c r="P324" s="220"/>
      <c r="Q324" s="220">
        <f t="shared" si="252"/>
        <v>0</v>
      </c>
      <c r="R324" s="220">
        <f t="shared" si="253"/>
        <v>-10</v>
      </c>
      <c r="T324" s="219">
        <v>45085.0</v>
      </c>
      <c r="U324" s="220" t="str">
        <f t="shared" si="269"/>
        <v/>
      </c>
      <c r="V324" s="220"/>
      <c r="W324" s="220">
        <f t="shared" si="254"/>
        <v>0</v>
      </c>
      <c r="X324" s="220">
        <f t="shared" si="255"/>
        <v>-10</v>
      </c>
      <c r="Z324" s="219">
        <v>45085.0</v>
      </c>
      <c r="AA324" s="220" t="str">
        <f t="shared" si="270"/>
        <v/>
      </c>
      <c r="AB324" s="220"/>
      <c r="AC324" s="220">
        <f t="shared" si="256"/>
        <v>0</v>
      </c>
      <c r="AD324" s="220">
        <f t="shared" si="257"/>
        <v>-10</v>
      </c>
      <c r="AF324" s="219">
        <v>45085.0</v>
      </c>
      <c r="AG324" s="220" t="str">
        <f t="shared" si="271"/>
        <v/>
      </c>
      <c r="AH324" s="220"/>
      <c r="AI324" s="220">
        <f t="shared" si="258"/>
        <v>0</v>
      </c>
      <c r="AJ324" s="220">
        <f t="shared" si="259"/>
        <v>-10</v>
      </c>
      <c r="AL324" s="219">
        <v>45085.0</v>
      </c>
      <c r="AM324" s="220" t="str">
        <f t="shared" si="272"/>
        <v/>
      </c>
      <c r="AN324" s="220"/>
      <c r="AO324" s="220">
        <f t="shared" si="260"/>
        <v>0</v>
      </c>
      <c r="AP324" s="220">
        <f t="shared" si="261"/>
        <v>-10</v>
      </c>
      <c r="AR324" s="219">
        <v>45085.0</v>
      </c>
      <c r="AS324" s="220" t="str">
        <f t="shared" si="273"/>
        <v/>
      </c>
      <c r="AT324" s="220"/>
      <c r="AU324" s="220">
        <f t="shared" si="262"/>
        <v>0</v>
      </c>
      <c r="AV324" s="220">
        <f t="shared" si="263"/>
        <v>-10</v>
      </c>
      <c r="AX324" s="219">
        <v>45085.0</v>
      </c>
      <c r="AY324" s="220" t="str">
        <f t="shared" si="274"/>
        <v/>
      </c>
      <c r="AZ324" s="220"/>
      <c r="BA324" s="220">
        <f t="shared" si="264"/>
        <v>0</v>
      </c>
      <c r="BB324" s="220">
        <f t="shared" si="265"/>
        <v>-10</v>
      </c>
    </row>
    <row r="325" ht="14.25" customHeight="1">
      <c r="A325" s="218"/>
      <c r="B325" s="219">
        <v>45086.0</v>
      </c>
      <c r="C325" s="220" t="str">
        <f t="shared" si="266"/>
        <v/>
      </c>
      <c r="D325" s="220"/>
      <c r="E325" s="220">
        <f t="shared" si="248"/>
        <v>0</v>
      </c>
      <c r="F325" s="220">
        <f t="shared" si="249"/>
        <v>-10</v>
      </c>
      <c r="H325" s="219">
        <v>45086.0</v>
      </c>
      <c r="I325" s="220" t="str">
        <f t="shared" si="267"/>
        <v/>
      </c>
      <c r="J325" s="220"/>
      <c r="K325" s="220">
        <f t="shared" si="250"/>
        <v>0</v>
      </c>
      <c r="L325" s="220">
        <f t="shared" si="251"/>
        <v>-10</v>
      </c>
      <c r="N325" s="219">
        <v>45086.0</v>
      </c>
      <c r="O325" s="220" t="str">
        <f t="shared" si="268"/>
        <v/>
      </c>
      <c r="P325" s="220"/>
      <c r="Q325" s="220">
        <f t="shared" si="252"/>
        <v>0</v>
      </c>
      <c r="R325" s="220">
        <f t="shared" si="253"/>
        <v>-10</v>
      </c>
      <c r="T325" s="219">
        <v>45086.0</v>
      </c>
      <c r="U325" s="220" t="str">
        <f t="shared" si="269"/>
        <v/>
      </c>
      <c r="V325" s="220"/>
      <c r="W325" s="220">
        <f t="shared" si="254"/>
        <v>0</v>
      </c>
      <c r="X325" s="220">
        <f t="shared" si="255"/>
        <v>-10</v>
      </c>
      <c r="Z325" s="219">
        <v>45086.0</v>
      </c>
      <c r="AA325" s="220" t="str">
        <f t="shared" si="270"/>
        <v/>
      </c>
      <c r="AB325" s="220"/>
      <c r="AC325" s="220">
        <f t="shared" si="256"/>
        <v>0</v>
      </c>
      <c r="AD325" s="220">
        <f t="shared" si="257"/>
        <v>-10</v>
      </c>
      <c r="AF325" s="219">
        <v>45086.0</v>
      </c>
      <c r="AG325" s="220" t="str">
        <f t="shared" si="271"/>
        <v/>
      </c>
      <c r="AH325" s="220"/>
      <c r="AI325" s="220">
        <f t="shared" si="258"/>
        <v>0</v>
      </c>
      <c r="AJ325" s="220">
        <f t="shared" si="259"/>
        <v>-10</v>
      </c>
      <c r="AL325" s="219">
        <v>45086.0</v>
      </c>
      <c r="AM325" s="220" t="str">
        <f t="shared" si="272"/>
        <v/>
      </c>
      <c r="AN325" s="220"/>
      <c r="AO325" s="220">
        <f t="shared" si="260"/>
        <v>0</v>
      </c>
      <c r="AP325" s="220">
        <f t="shared" si="261"/>
        <v>-10</v>
      </c>
      <c r="AR325" s="219">
        <v>45086.0</v>
      </c>
      <c r="AS325" s="220" t="str">
        <f t="shared" si="273"/>
        <v/>
      </c>
      <c r="AT325" s="220"/>
      <c r="AU325" s="220">
        <f t="shared" si="262"/>
        <v>0</v>
      </c>
      <c r="AV325" s="220">
        <f t="shared" si="263"/>
        <v>-10</v>
      </c>
      <c r="AX325" s="219">
        <v>45086.0</v>
      </c>
      <c r="AY325" s="220" t="str">
        <f t="shared" si="274"/>
        <v/>
      </c>
      <c r="AZ325" s="220"/>
      <c r="BA325" s="220">
        <f t="shared" si="264"/>
        <v>0</v>
      </c>
      <c r="BB325" s="220">
        <f t="shared" si="265"/>
        <v>-10</v>
      </c>
    </row>
    <row r="326" ht="14.25" customHeight="1">
      <c r="A326" s="218"/>
      <c r="B326" s="219">
        <v>45087.0</v>
      </c>
      <c r="C326" s="220" t="str">
        <f t="shared" si="266"/>
        <v/>
      </c>
      <c r="D326" s="220"/>
      <c r="E326" s="220">
        <f t="shared" si="248"/>
        <v>0</v>
      </c>
      <c r="F326" s="220">
        <f t="shared" si="249"/>
        <v>-10</v>
      </c>
      <c r="G326" s="221"/>
      <c r="H326" s="219">
        <v>45087.0</v>
      </c>
      <c r="I326" s="220" t="str">
        <f t="shared" si="267"/>
        <v/>
      </c>
      <c r="J326" s="220"/>
      <c r="K326" s="220">
        <f t="shared" si="250"/>
        <v>0</v>
      </c>
      <c r="L326" s="220">
        <f t="shared" si="251"/>
        <v>-10</v>
      </c>
      <c r="M326" s="221"/>
      <c r="N326" s="219">
        <v>45087.0</v>
      </c>
      <c r="O326" s="220" t="str">
        <f t="shared" si="268"/>
        <v/>
      </c>
      <c r="P326" s="220"/>
      <c r="Q326" s="220">
        <f t="shared" si="252"/>
        <v>0</v>
      </c>
      <c r="R326" s="220">
        <f t="shared" si="253"/>
        <v>-10</v>
      </c>
      <c r="S326" s="221"/>
      <c r="T326" s="219">
        <v>45087.0</v>
      </c>
      <c r="U326" s="220" t="str">
        <f t="shared" si="269"/>
        <v/>
      </c>
      <c r="V326" s="220"/>
      <c r="W326" s="220">
        <f t="shared" si="254"/>
        <v>0</v>
      </c>
      <c r="X326" s="220">
        <f t="shared" si="255"/>
        <v>-10</v>
      </c>
      <c r="Y326" s="221"/>
      <c r="Z326" s="219">
        <v>45087.0</v>
      </c>
      <c r="AA326" s="220" t="str">
        <f t="shared" si="270"/>
        <v/>
      </c>
      <c r="AB326" s="220"/>
      <c r="AC326" s="220">
        <f t="shared" si="256"/>
        <v>0</v>
      </c>
      <c r="AD326" s="220">
        <f t="shared" si="257"/>
        <v>-10</v>
      </c>
      <c r="AE326" s="221"/>
      <c r="AF326" s="219">
        <v>45087.0</v>
      </c>
      <c r="AG326" s="220" t="str">
        <f t="shared" si="271"/>
        <v/>
      </c>
      <c r="AH326" s="220"/>
      <c r="AI326" s="220">
        <f t="shared" si="258"/>
        <v>0</v>
      </c>
      <c r="AJ326" s="220">
        <f t="shared" si="259"/>
        <v>-10</v>
      </c>
      <c r="AK326" s="221"/>
      <c r="AL326" s="219">
        <v>45087.0</v>
      </c>
      <c r="AM326" s="220" t="str">
        <f t="shared" si="272"/>
        <v/>
      </c>
      <c r="AN326" s="220"/>
      <c r="AO326" s="220">
        <f t="shared" si="260"/>
        <v>0</v>
      </c>
      <c r="AP326" s="220">
        <f t="shared" si="261"/>
        <v>-10</v>
      </c>
      <c r="AQ326" s="221"/>
      <c r="AR326" s="219">
        <v>45087.0</v>
      </c>
      <c r="AS326" s="220" t="str">
        <f t="shared" si="273"/>
        <v/>
      </c>
      <c r="AT326" s="220"/>
      <c r="AU326" s="220">
        <f t="shared" si="262"/>
        <v>0</v>
      </c>
      <c r="AV326" s="220">
        <f t="shared" si="263"/>
        <v>-10</v>
      </c>
      <c r="AW326" s="221"/>
      <c r="AX326" s="219">
        <v>45087.0</v>
      </c>
      <c r="AY326" s="220" t="str">
        <f t="shared" si="274"/>
        <v/>
      </c>
      <c r="AZ326" s="220"/>
      <c r="BA326" s="220">
        <f t="shared" si="264"/>
        <v>0</v>
      </c>
      <c r="BB326" s="220">
        <f t="shared" si="265"/>
        <v>-10</v>
      </c>
    </row>
    <row r="327" ht="14.25" customHeight="1">
      <c r="A327" s="218"/>
      <c r="B327" s="219">
        <v>45088.0</v>
      </c>
      <c r="C327" s="220" t="str">
        <f t="shared" si="266"/>
        <v/>
      </c>
      <c r="D327" s="220"/>
      <c r="E327" s="220">
        <f t="shared" si="248"/>
        <v>0</v>
      </c>
      <c r="F327" s="220">
        <f t="shared" si="249"/>
        <v>-10</v>
      </c>
      <c r="G327" s="221"/>
      <c r="H327" s="219">
        <v>45088.0</v>
      </c>
      <c r="I327" s="220" t="str">
        <f t="shared" si="267"/>
        <v/>
      </c>
      <c r="J327" s="220"/>
      <c r="K327" s="220">
        <f t="shared" si="250"/>
        <v>0</v>
      </c>
      <c r="L327" s="220">
        <f t="shared" si="251"/>
        <v>-10</v>
      </c>
      <c r="M327" s="221"/>
      <c r="N327" s="219">
        <v>45088.0</v>
      </c>
      <c r="O327" s="220" t="str">
        <f t="shared" si="268"/>
        <v/>
      </c>
      <c r="P327" s="220"/>
      <c r="Q327" s="220">
        <f t="shared" si="252"/>
        <v>0</v>
      </c>
      <c r="R327" s="220">
        <f t="shared" si="253"/>
        <v>-10</v>
      </c>
      <c r="S327" s="221"/>
      <c r="T327" s="219">
        <v>45088.0</v>
      </c>
      <c r="U327" s="220" t="str">
        <f t="shared" si="269"/>
        <v/>
      </c>
      <c r="V327" s="220"/>
      <c r="W327" s="220">
        <f t="shared" si="254"/>
        <v>0</v>
      </c>
      <c r="X327" s="220">
        <f t="shared" si="255"/>
        <v>-10</v>
      </c>
      <c r="Y327" s="221"/>
      <c r="Z327" s="219">
        <v>45088.0</v>
      </c>
      <c r="AA327" s="220" t="str">
        <f t="shared" si="270"/>
        <v/>
      </c>
      <c r="AB327" s="220"/>
      <c r="AC327" s="220">
        <f t="shared" si="256"/>
        <v>0</v>
      </c>
      <c r="AD327" s="220">
        <f t="shared" si="257"/>
        <v>-10</v>
      </c>
      <c r="AE327" s="221"/>
      <c r="AF327" s="219">
        <v>45088.0</v>
      </c>
      <c r="AG327" s="220" t="str">
        <f t="shared" si="271"/>
        <v/>
      </c>
      <c r="AH327" s="220"/>
      <c r="AI327" s="220">
        <f t="shared" si="258"/>
        <v>0</v>
      </c>
      <c r="AJ327" s="220">
        <f t="shared" si="259"/>
        <v>-10</v>
      </c>
      <c r="AK327" s="221"/>
      <c r="AL327" s="219">
        <v>45088.0</v>
      </c>
      <c r="AM327" s="220" t="str">
        <f t="shared" si="272"/>
        <v/>
      </c>
      <c r="AN327" s="220"/>
      <c r="AO327" s="220">
        <f t="shared" si="260"/>
        <v>0</v>
      </c>
      <c r="AP327" s="220">
        <f t="shared" si="261"/>
        <v>-10</v>
      </c>
      <c r="AQ327" s="221"/>
      <c r="AR327" s="219">
        <v>45088.0</v>
      </c>
      <c r="AS327" s="220" t="str">
        <f t="shared" si="273"/>
        <v/>
      </c>
      <c r="AT327" s="220"/>
      <c r="AU327" s="220">
        <f t="shared" si="262"/>
        <v>0</v>
      </c>
      <c r="AV327" s="220">
        <f t="shared" si="263"/>
        <v>-10</v>
      </c>
      <c r="AW327" s="221"/>
      <c r="AX327" s="219">
        <v>45088.0</v>
      </c>
      <c r="AY327" s="220" t="str">
        <f t="shared" si="274"/>
        <v/>
      </c>
      <c r="AZ327" s="220"/>
      <c r="BA327" s="220">
        <f t="shared" si="264"/>
        <v>0</v>
      </c>
      <c r="BB327" s="220">
        <f t="shared" si="265"/>
        <v>-10</v>
      </c>
    </row>
    <row r="328" ht="14.25" customHeight="1">
      <c r="A328" s="218"/>
      <c r="B328" s="219">
        <v>45089.0</v>
      </c>
      <c r="C328" s="220" t="str">
        <f t="shared" si="266"/>
        <v/>
      </c>
      <c r="D328" s="220"/>
      <c r="E328" s="220">
        <f t="shared" si="248"/>
        <v>0</v>
      </c>
      <c r="F328" s="220">
        <f t="shared" si="249"/>
        <v>-10</v>
      </c>
      <c r="H328" s="219">
        <v>45089.0</v>
      </c>
      <c r="I328" s="220" t="str">
        <f t="shared" si="267"/>
        <v/>
      </c>
      <c r="J328" s="220"/>
      <c r="K328" s="220">
        <f t="shared" si="250"/>
        <v>0</v>
      </c>
      <c r="L328" s="220">
        <f t="shared" si="251"/>
        <v>-10</v>
      </c>
      <c r="N328" s="219">
        <v>45089.0</v>
      </c>
      <c r="O328" s="220" t="str">
        <f t="shared" si="268"/>
        <v/>
      </c>
      <c r="P328" s="220"/>
      <c r="Q328" s="220">
        <f t="shared" si="252"/>
        <v>0</v>
      </c>
      <c r="R328" s="220">
        <f t="shared" si="253"/>
        <v>-10</v>
      </c>
      <c r="T328" s="219">
        <v>45089.0</v>
      </c>
      <c r="U328" s="220" t="str">
        <f t="shared" si="269"/>
        <v/>
      </c>
      <c r="V328" s="220"/>
      <c r="W328" s="220">
        <f t="shared" si="254"/>
        <v>0</v>
      </c>
      <c r="X328" s="220">
        <f t="shared" si="255"/>
        <v>-10</v>
      </c>
      <c r="Z328" s="219">
        <v>45089.0</v>
      </c>
      <c r="AA328" s="220" t="str">
        <f t="shared" si="270"/>
        <v/>
      </c>
      <c r="AB328" s="220"/>
      <c r="AC328" s="220">
        <f t="shared" si="256"/>
        <v>0</v>
      </c>
      <c r="AD328" s="220">
        <f t="shared" si="257"/>
        <v>-10</v>
      </c>
      <c r="AF328" s="219">
        <v>45089.0</v>
      </c>
      <c r="AG328" s="220" t="str">
        <f t="shared" si="271"/>
        <v/>
      </c>
      <c r="AH328" s="220"/>
      <c r="AI328" s="220">
        <f t="shared" si="258"/>
        <v>0</v>
      </c>
      <c r="AJ328" s="220">
        <f t="shared" si="259"/>
        <v>-10</v>
      </c>
      <c r="AL328" s="219">
        <v>45089.0</v>
      </c>
      <c r="AM328" s="220" t="str">
        <f t="shared" si="272"/>
        <v/>
      </c>
      <c r="AN328" s="220"/>
      <c r="AO328" s="220">
        <f t="shared" si="260"/>
        <v>0</v>
      </c>
      <c r="AP328" s="220">
        <f t="shared" si="261"/>
        <v>-10</v>
      </c>
      <c r="AR328" s="219">
        <v>45089.0</v>
      </c>
      <c r="AS328" s="220" t="str">
        <f t="shared" si="273"/>
        <v/>
      </c>
      <c r="AT328" s="220"/>
      <c r="AU328" s="220">
        <f t="shared" si="262"/>
        <v>0</v>
      </c>
      <c r="AV328" s="220">
        <f t="shared" si="263"/>
        <v>-10</v>
      </c>
      <c r="AX328" s="219">
        <v>45089.0</v>
      </c>
      <c r="AY328" s="220" t="str">
        <f t="shared" si="274"/>
        <v/>
      </c>
      <c r="AZ328" s="220"/>
      <c r="BA328" s="220">
        <f t="shared" si="264"/>
        <v>0</v>
      </c>
      <c r="BB328" s="220">
        <f t="shared" si="265"/>
        <v>-10</v>
      </c>
    </row>
    <row r="329" ht="14.25" customHeight="1">
      <c r="A329" s="218"/>
      <c r="B329" s="219">
        <v>45090.0</v>
      </c>
      <c r="C329" s="220" t="str">
        <f t="shared" si="266"/>
        <v/>
      </c>
      <c r="D329" s="220"/>
      <c r="E329" s="220">
        <f t="shared" si="248"/>
        <v>0</v>
      </c>
      <c r="F329" s="220">
        <f t="shared" si="249"/>
        <v>-10</v>
      </c>
      <c r="H329" s="219">
        <v>45090.0</v>
      </c>
      <c r="I329" s="220" t="str">
        <f t="shared" si="267"/>
        <v/>
      </c>
      <c r="J329" s="220"/>
      <c r="K329" s="220">
        <f t="shared" si="250"/>
        <v>0</v>
      </c>
      <c r="L329" s="220">
        <f t="shared" si="251"/>
        <v>-10</v>
      </c>
      <c r="N329" s="219">
        <v>45090.0</v>
      </c>
      <c r="O329" s="220" t="str">
        <f t="shared" si="268"/>
        <v/>
      </c>
      <c r="P329" s="220"/>
      <c r="Q329" s="220">
        <f t="shared" si="252"/>
        <v>0</v>
      </c>
      <c r="R329" s="220">
        <f t="shared" si="253"/>
        <v>-10</v>
      </c>
      <c r="T329" s="219">
        <v>45090.0</v>
      </c>
      <c r="U329" s="220" t="str">
        <f t="shared" si="269"/>
        <v/>
      </c>
      <c r="V329" s="220"/>
      <c r="W329" s="220">
        <f t="shared" si="254"/>
        <v>0</v>
      </c>
      <c r="X329" s="220">
        <f t="shared" si="255"/>
        <v>-10</v>
      </c>
      <c r="Z329" s="219">
        <v>45090.0</v>
      </c>
      <c r="AA329" s="220" t="str">
        <f t="shared" si="270"/>
        <v/>
      </c>
      <c r="AB329" s="220"/>
      <c r="AC329" s="220">
        <f t="shared" si="256"/>
        <v>0</v>
      </c>
      <c r="AD329" s="220">
        <f t="shared" si="257"/>
        <v>-10</v>
      </c>
      <c r="AF329" s="219">
        <v>45090.0</v>
      </c>
      <c r="AG329" s="220" t="str">
        <f t="shared" si="271"/>
        <v/>
      </c>
      <c r="AH329" s="220"/>
      <c r="AI329" s="220">
        <f t="shared" si="258"/>
        <v>0</v>
      </c>
      <c r="AJ329" s="220">
        <f t="shared" si="259"/>
        <v>-10</v>
      </c>
      <c r="AL329" s="219">
        <v>45090.0</v>
      </c>
      <c r="AM329" s="220" t="str">
        <f t="shared" si="272"/>
        <v/>
      </c>
      <c r="AN329" s="220"/>
      <c r="AO329" s="220">
        <f t="shared" si="260"/>
        <v>0</v>
      </c>
      <c r="AP329" s="220">
        <f t="shared" si="261"/>
        <v>-10</v>
      </c>
      <c r="AR329" s="219">
        <v>45090.0</v>
      </c>
      <c r="AS329" s="220" t="str">
        <f t="shared" si="273"/>
        <v/>
      </c>
      <c r="AT329" s="220"/>
      <c r="AU329" s="220">
        <f t="shared" si="262"/>
        <v>0</v>
      </c>
      <c r="AV329" s="220">
        <f t="shared" si="263"/>
        <v>-10</v>
      </c>
      <c r="AX329" s="219">
        <v>45090.0</v>
      </c>
      <c r="AY329" s="220" t="str">
        <f t="shared" si="274"/>
        <v/>
      </c>
      <c r="AZ329" s="220"/>
      <c r="BA329" s="220">
        <f t="shared" si="264"/>
        <v>0</v>
      </c>
      <c r="BB329" s="220">
        <f t="shared" si="265"/>
        <v>-10</v>
      </c>
    </row>
    <row r="330" ht="14.25" customHeight="1">
      <c r="A330" s="218"/>
      <c r="B330" s="219">
        <v>45091.0</v>
      </c>
      <c r="C330" s="220" t="str">
        <f t="shared" si="266"/>
        <v/>
      </c>
      <c r="D330" s="220"/>
      <c r="E330" s="220">
        <f t="shared" si="248"/>
        <v>0</v>
      </c>
      <c r="F330" s="220">
        <f t="shared" si="249"/>
        <v>-10</v>
      </c>
      <c r="H330" s="219">
        <v>45091.0</v>
      </c>
      <c r="I330" s="220" t="str">
        <f t="shared" si="267"/>
        <v/>
      </c>
      <c r="J330" s="220"/>
      <c r="K330" s="220">
        <f t="shared" si="250"/>
        <v>0</v>
      </c>
      <c r="L330" s="220">
        <f t="shared" si="251"/>
        <v>-10</v>
      </c>
      <c r="N330" s="219">
        <v>45091.0</v>
      </c>
      <c r="O330" s="220" t="str">
        <f t="shared" si="268"/>
        <v/>
      </c>
      <c r="P330" s="220"/>
      <c r="Q330" s="220">
        <f t="shared" si="252"/>
        <v>0</v>
      </c>
      <c r="R330" s="220">
        <f t="shared" si="253"/>
        <v>-10</v>
      </c>
      <c r="T330" s="219">
        <v>45091.0</v>
      </c>
      <c r="U330" s="220" t="str">
        <f t="shared" si="269"/>
        <v/>
      </c>
      <c r="V330" s="220"/>
      <c r="W330" s="220">
        <f t="shared" si="254"/>
        <v>0</v>
      </c>
      <c r="X330" s="220">
        <f t="shared" si="255"/>
        <v>-10</v>
      </c>
      <c r="Z330" s="219">
        <v>45091.0</v>
      </c>
      <c r="AA330" s="220" t="str">
        <f t="shared" si="270"/>
        <v/>
      </c>
      <c r="AB330" s="220"/>
      <c r="AC330" s="220">
        <f t="shared" si="256"/>
        <v>0</v>
      </c>
      <c r="AD330" s="220">
        <f t="shared" si="257"/>
        <v>-10</v>
      </c>
      <c r="AF330" s="219">
        <v>45091.0</v>
      </c>
      <c r="AG330" s="220" t="str">
        <f t="shared" si="271"/>
        <v/>
      </c>
      <c r="AH330" s="220"/>
      <c r="AI330" s="220">
        <f t="shared" si="258"/>
        <v>0</v>
      </c>
      <c r="AJ330" s="220">
        <f t="shared" si="259"/>
        <v>-10</v>
      </c>
      <c r="AL330" s="219">
        <v>45091.0</v>
      </c>
      <c r="AM330" s="220" t="str">
        <f t="shared" si="272"/>
        <v/>
      </c>
      <c r="AN330" s="220"/>
      <c r="AO330" s="220">
        <f t="shared" si="260"/>
        <v>0</v>
      </c>
      <c r="AP330" s="220">
        <f t="shared" si="261"/>
        <v>-10</v>
      </c>
      <c r="AR330" s="219">
        <v>45091.0</v>
      </c>
      <c r="AS330" s="220" t="str">
        <f t="shared" si="273"/>
        <v/>
      </c>
      <c r="AT330" s="220"/>
      <c r="AU330" s="220">
        <f t="shared" si="262"/>
        <v>0</v>
      </c>
      <c r="AV330" s="220">
        <f t="shared" si="263"/>
        <v>-10</v>
      </c>
      <c r="AX330" s="219">
        <v>45091.0</v>
      </c>
      <c r="AY330" s="220" t="str">
        <f t="shared" si="274"/>
        <v/>
      </c>
      <c r="AZ330" s="220"/>
      <c r="BA330" s="220">
        <f t="shared" si="264"/>
        <v>0</v>
      </c>
      <c r="BB330" s="220">
        <f t="shared" si="265"/>
        <v>-10</v>
      </c>
    </row>
    <row r="331" ht="14.25" customHeight="1">
      <c r="A331" s="218"/>
      <c r="B331" s="219">
        <v>45092.0</v>
      </c>
      <c r="C331" s="220" t="str">
        <f t="shared" si="266"/>
        <v/>
      </c>
      <c r="D331" s="220"/>
      <c r="E331" s="220">
        <f t="shared" si="248"/>
        <v>0</v>
      </c>
      <c r="F331" s="220">
        <f t="shared" si="249"/>
        <v>-10</v>
      </c>
      <c r="H331" s="219">
        <v>45092.0</v>
      </c>
      <c r="I331" s="220" t="str">
        <f t="shared" si="267"/>
        <v/>
      </c>
      <c r="J331" s="220"/>
      <c r="K331" s="220">
        <f t="shared" si="250"/>
        <v>0</v>
      </c>
      <c r="L331" s="220">
        <f t="shared" si="251"/>
        <v>-10</v>
      </c>
      <c r="N331" s="219">
        <v>45092.0</v>
      </c>
      <c r="O331" s="220" t="str">
        <f t="shared" si="268"/>
        <v/>
      </c>
      <c r="P331" s="220"/>
      <c r="Q331" s="220">
        <f t="shared" si="252"/>
        <v>0</v>
      </c>
      <c r="R331" s="220">
        <f t="shared" si="253"/>
        <v>-10</v>
      </c>
      <c r="T331" s="219">
        <v>45092.0</v>
      </c>
      <c r="U331" s="220" t="str">
        <f t="shared" si="269"/>
        <v/>
      </c>
      <c r="V331" s="220"/>
      <c r="W331" s="220">
        <f t="shared" si="254"/>
        <v>0</v>
      </c>
      <c r="X331" s="220">
        <f t="shared" si="255"/>
        <v>-10</v>
      </c>
      <c r="Z331" s="219">
        <v>45092.0</v>
      </c>
      <c r="AA331" s="220" t="str">
        <f t="shared" si="270"/>
        <v/>
      </c>
      <c r="AB331" s="220"/>
      <c r="AC331" s="220">
        <f t="shared" si="256"/>
        <v>0</v>
      </c>
      <c r="AD331" s="220">
        <f t="shared" si="257"/>
        <v>-10</v>
      </c>
      <c r="AF331" s="219">
        <v>45092.0</v>
      </c>
      <c r="AG331" s="220" t="str">
        <f t="shared" si="271"/>
        <v/>
      </c>
      <c r="AH331" s="220"/>
      <c r="AI331" s="220">
        <f t="shared" si="258"/>
        <v>0</v>
      </c>
      <c r="AJ331" s="220">
        <f t="shared" si="259"/>
        <v>-10</v>
      </c>
      <c r="AL331" s="219">
        <v>45092.0</v>
      </c>
      <c r="AM331" s="220" t="str">
        <f t="shared" si="272"/>
        <v/>
      </c>
      <c r="AN331" s="220"/>
      <c r="AO331" s="220">
        <f t="shared" si="260"/>
        <v>0</v>
      </c>
      <c r="AP331" s="220">
        <f t="shared" si="261"/>
        <v>-10</v>
      </c>
      <c r="AR331" s="219">
        <v>45092.0</v>
      </c>
      <c r="AS331" s="220" t="str">
        <f t="shared" si="273"/>
        <v/>
      </c>
      <c r="AT331" s="220"/>
      <c r="AU331" s="220">
        <f t="shared" si="262"/>
        <v>0</v>
      </c>
      <c r="AV331" s="220">
        <f t="shared" si="263"/>
        <v>-10</v>
      </c>
      <c r="AX331" s="219">
        <v>45092.0</v>
      </c>
      <c r="AY331" s="220" t="str">
        <f t="shared" si="274"/>
        <v/>
      </c>
      <c r="AZ331" s="220"/>
      <c r="BA331" s="220">
        <f t="shared" si="264"/>
        <v>0</v>
      </c>
      <c r="BB331" s="220">
        <f t="shared" si="265"/>
        <v>-10</v>
      </c>
    </row>
    <row r="332" ht="14.25" customHeight="1">
      <c r="A332" s="218"/>
      <c r="B332" s="219">
        <v>45093.0</v>
      </c>
      <c r="C332" s="220" t="str">
        <f t="shared" si="266"/>
        <v/>
      </c>
      <c r="D332" s="220"/>
      <c r="E332" s="220">
        <f t="shared" si="248"/>
        <v>0</v>
      </c>
      <c r="F332" s="220">
        <f t="shared" si="249"/>
        <v>-10</v>
      </c>
      <c r="H332" s="219">
        <v>45093.0</v>
      </c>
      <c r="I332" s="220" t="str">
        <f t="shared" si="267"/>
        <v/>
      </c>
      <c r="J332" s="220"/>
      <c r="K332" s="220">
        <f t="shared" si="250"/>
        <v>0</v>
      </c>
      <c r="L332" s="220">
        <f t="shared" si="251"/>
        <v>-10</v>
      </c>
      <c r="N332" s="219">
        <v>45093.0</v>
      </c>
      <c r="O332" s="220" t="str">
        <f t="shared" si="268"/>
        <v/>
      </c>
      <c r="P332" s="220"/>
      <c r="Q332" s="220">
        <f t="shared" si="252"/>
        <v>0</v>
      </c>
      <c r="R332" s="220">
        <f t="shared" si="253"/>
        <v>-10</v>
      </c>
      <c r="T332" s="219">
        <v>45093.0</v>
      </c>
      <c r="U332" s="220" t="str">
        <f t="shared" si="269"/>
        <v/>
      </c>
      <c r="V332" s="220"/>
      <c r="W332" s="220">
        <f t="shared" si="254"/>
        <v>0</v>
      </c>
      <c r="X332" s="220">
        <f t="shared" si="255"/>
        <v>-10</v>
      </c>
      <c r="Z332" s="219">
        <v>45093.0</v>
      </c>
      <c r="AA332" s="220" t="str">
        <f t="shared" si="270"/>
        <v/>
      </c>
      <c r="AB332" s="220"/>
      <c r="AC332" s="220">
        <f t="shared" si="256"/>
        <v>0</v>
      </c>
      <c r="AD332" s="220">
        <f t="shared" si="257"/>
        <v>-10</v>
      </c>
      <c r="AF332" s="219">
        <v>45093.0</v>
      </c>
      <c r="AG332" s="220" t="str">
        <f t="shared" si="271"/>
        <v/>
      </c>
      <c r="AH332" s="220"/>
      <c r="AI332" s="220">
        <f t="shared" si="258"/>
        <v>0</v>
      </c>
      <c r="AJ332" s="220">
        <f t="shared" si="259"/>
        <v>-10</v>
      </c>
      <c r="AL332" s="219">
        <v>45093.0</v>
      </c>
      <c r="AM332" s="220" t="str">
        <f t="shared" si="272"/>
        <v/>
      </c>
      <c r="AN332" s="220"/>
      <c r="AO332" s="220">
        <f t="shared" si="260"/>
        <v>0</v>
      </c>
      <c r="AP332" s="220">
        <f t="shared" si="261"/>
        <v>-10</v>
      </c>
      <c r="AR332" s="219">
        <v>45093.0</v>
      </c>
      <c r="AS332" s="220" t="str">
        <f t="shared" si="273"/>
        <v/>
      </c>
      <c r="AT332" s="220"/>
      <c r="AU332" s="220">
        <f t="shared" si="262"/>
        <v>0</v>
      </c>
      <c r="AV332" s="220">
        <f t="shared" si="263"/>
        <v>-10</v>
      </c>
      <c r="AX332" s="219">
        <v>45093.0</v>
      </c>
      <c r="AY332" s="220" t="str">
        <f t="shared" si="274"/>
        <v/>
      </c>
      <c r="AZ332" s="220"/>
      <c r="BA332" s="220">
        <f t="shared" si="264"/>
        <v>0</v>
      </c>
      <c r="BB332" s="220">
        <f t="shared" si="265"/>
        <v>-10</v>
      </c>
    </row>
    <row r="333" ht="14.25" customHeight="1">
      <c r="A333" s="218"/>
      <c r="B333" s="219">
        <v>45094.0</v>
      </c>
      <c r="C333" s="220" t="str">
        <f t="shared" si="266"/>
        <v/>
      </c>
      <c r="D333" s="220"/>
      <c r="E333" s="220">
        <f t="shared" si="248"/>
        <v>0</v>
      </c>
      <c r="F333" s="220">
        <f t="shared" si="249"/>
        <v>-10</v>
      </c>
      <c r="G333" s="221"/>
      <c r="H333" s="219">
        <v>45094.0</v>
      </c>
      <c r="I333" s="220" t="str">
        <f t="shared" si="267"/>
        <v/>
      </c>
      <c r="J333" s="220"/>
      <c r="K333" s="220">
        <f t="shared" si="250"/>
        <v>0</v>
      </c>
      <c r="L333" s="220">
        <f t="shared" si="251"/>
        <v>-10</v>
      </c>
      <c r="M333" s="221"/>
      <c r="N333" s="219">
        <v>45094.0</v>
      </c>
      <c r="O333" s="220" t="str">
        <f t="shared" si="268"/>
        <v/>
      </c>
      <c r="P333" s="220"/>
      <c r="Q333" s="220">
        <f t="shared" si="252"/>
        <v>0</v>
      </c>
      <c r="R333" s="220">
        <f t="shared" si="253"/>
        <v>-10</v>
      </c>
      <c r="S333" s="221"/>
      <c r="T333" s="219">
        <v>45094.0</v>
      </c>
      <c r="U333" s="220" t="str">
        <f t="shared" si="269"/>
        <v/>
      </c>
      <c r="V333" s="220"/>
      <c r="W333" s="220">
        <f t="shared" si="254"/>
        <v>0</v>
      </c>
      <c r="X333" s="220">
        <f t="shared" si="255"/>
        <v>-10</v>
      </c>
      <c r="Y333" s="221"/>
      <c r="Z333" s="219">
        <v>45094.0</v>
      </c>
      <c r="AA333" s="220" t="str">
        <f t="shared" si="270"/>
        <v/>
      </c>
      <c r="AB333" s="220"/>
      <c r="AC333" s="220">
        <f t="shared" si="256"/>
        <v>0</v>
      </c>
      <c r="AD333" s="220">
        <f t="shared" si="257"/>
        <v>-10</v>
      </c>
      <c r="AE333" s="221"/>
      <c r="AF333" s="219">
        <v>45094.0</v>
      </c>
      <c r="AG333" s="220" t="str">
        <f t="shared" si="271"/>
        <v/>
      </c>
      <c r="AH333" s="220"/>
      <c r="AI333" s="220">
        <f t="shared" si="258"/>
        <v>0</v>
      </c>
      <c r="AJ333" s="220">
        <f t="shared" si="259"/>
        <v>-10</v>
      </c>
      <c r="AK333" s="221"/>
      <c r="AL333" s="219">
        <v>45094.0</v>
      </c>
      <c r="AM333" s="220" t="str">
        <f t="shared" si="272"/>
        <v/>
      </c>
      <c r="AN333" s="220"/>
      <c r="AO333" s="220">
        <f t="shared" si="260"/>
        <v>0</v>
      </c>
      <c r="AP333" s="220">
        <f t="shared" si="261"/>
        <v>-10</v>
      </c>
      <c r="AQ333" s="221"/>
      <c r="AR333" s="219">
        <v>45094.0</v>
      </c>
      <c r="AS333" s="220" t="str">
        <f t="shared" si="273"/>
        <v/>
      </c>
      <c r="AT333" s="220"/>
      <c r="AU333" s="220">
        <f t="shared" si="262"/>
        <v>0</v>
      </c>
      <c r="AV333" s="220">
        <f t="shared" si="263"/>
        <v>-10</v>
      </c>
      <c r="AW333" s="221"/>
      <c r="AX333" s="219">
        <v>45094.0</v>
      </c>
      <c r="AY333" s="220" t="str">
        <f t="shared" si="274"/>
        <v/>
      </c>
      <c r="AZ333" s="220"/>
      <c r="BA333" s="220">
        <f t="shared" si="264"/>
        <v>0</v>
      </c>
      <c r="BB333" s="220">
        <f t="shared" si="265"/>
        <v>-10</v>
      </c>
    </row>
    <row r="334" ht="14.25" customHeight="1">
      <c r="A334" s="218"/>
      <c r="B334" s="219">
        <v>45095.0</v>
      </c>
      <c r="C334" s="220" t="str">
        <f t="shared" si="266"/>
        <v/>
      </c>
      <c r="D334" s="220"/>
      <c r="E334" s="220">
        <f t="shared" si="248"/>
        <v>0</v>
      </c>
      <c r="F334" s="220">
        <f t="shared" si="249"/>
        <v>-10</v>
      </c>
      <c r="G334" s="221"/>
      <c r="H334" s="219">
        <v>45095.0</v>
      </c>
      <c r="I334" s="220" t="str">
        <f t="shared" si="267"/>
        <v/>
      </c>
      <c r="J334" s="220"/>
      <c r="K334" s="220">
        <f t="shared" si="250"/>
        <v>0</v>
      </c>
      <c r="L334" s="220">
        <f t="shared" si="251"/>
        <v>-10</v>
      </c>
      <c r="M334" s="221"/>
      <c r="N334" s="219">
        <v>45095.0</v>
      </c>
      <c r="O334" s="220" t="str">
        <f t="shared" si="268"/>
        <v/>
      </c>
      <c r="P334" s="220"/>
      <c r="Q334" s="220">
        <f t="shared" si="252"/>
        <v>0</v>
      </c>
      <c r="R334" s="220">
        <f t="shared" si="253"/>
        <v>-10</v>
      </c>
      <c r="S334" s="221"/>
      <c r="T334" s="219">
        <v>45095.0</v>
      </c>
      <c r="U334" s="220" t="str">
        <f t="shared" si="269"/>
        <v/>
      </c>
      <c r="V334" s="220"/>
      <c r="W334" s="220">
        <f t="shared" si="254"/>
        <v>0</v>
      </c>
      <c r="X334" s="220">
        <f t="shared" si="255"/>
        <v>-10</v>
      </c>
      <c r="Y334" s="221"/>
      <c r="Z334" s="219">
        <v>45095.0</v>
      </c>
      <c r="AA334" s="220" t="str">
        <f t="shared" si="270"/>
        <v/>
      </c>
      <c r="AB334" s="220"/>
      <c r="AC334" s="220">
        <f t="shared" si="256"/>
        <v>0</v>
      </c>
      <c r="AD334" s="220">
        <f t="shared" si="257"/>
        <v>-10</v>
      </c>
      <c r="AE334" s="221"/>
      <c r="AF334" s="219">
        <v>45095.0</v>
      </c>
      <c r="AG334" s="220" t="str">
        <f t="shared" si="271"/>
        <v/>
      </c>
      <c r="AH334" s="220"/>
      <c r="AI334" s="220">
        <f t="shared" si="258"/>
        <v>0</v>
      </c>
      <c r="AJ334" s="220">
        <f t="shared" si="259"/>
        <v>-10</v>
      </c>
      <c r="AK334" s="221"/>
      <c r="AL334" s="219">
        <v>45095.0</v>
      </c>
      <c r="AM334" s="220" t="str">
        <f t="shared" si="272"/>
        <v/>
      </c>
      <c r="AN334" s="220"/>
      <c r="AO334" s="220">
        <f t="shared" si="260"/>
        <v>0</v>
      </c>
      <c r="AP334" s="220">
        <f t="shared" si="261"/>
        <v>-10</v>
      </c>
      <c r="AQ334" s="221"/>
      <c r="AR334" s="219">
        <v>45095.0</v>
      </c>
      <c r="AS334" s="220" t="str">
        <f t="shared" si="273"/>
        <v/>
      </c>
      <c r="AT334" s="220"/>
      <c r="AU334" s="220">
        <f t="shared" si="262"/>
        <v>0</v>
      </c>
      <c r="AV334" s="220">
        <f t="shared" si="263"/>
        <v>-10</v>
      </c>
      <c r="AW334" s="221"/>
      <c r="AX334" s="219">
        <v>45095.0</v>
      </c>
      <c r="AY334" s="220" t="str">
        <f t="shared" si="274"/>
        <v/>
      </c>
      <c r="AZ334" s="220"/>
      <c r="BA334" s="220">
        <f t="shared" si="264"/>
        <v>0</v>
      </c>
      <c r="BB334" s="220">
        <f t="shared" si="265"/>
        <v>-10</v>
      </c>
    </row>
    <row r="335" ht="14.25" customHeight="1">
      <c r="A335" s="218"/>
      <c r="B335" s="219">
        <v>45096.0</v>
      </c>
      <c r="C335" s="220" t="str">
        <f t="shared" si="266"/>
        <v/>
      </c>
      <c r="D335" s="220"/>
      <c r="E335" s="220">
        <f t="shared" si="248"/>
        <v>0</v>
      </c>
      <c r="F335" s="220">
        <f t="shared" si="249"/>
        <v>-10</v>
      </c>
      <c r="H335" s="219">
        <v>45096.0</v>
      </c>
      <c r="I335" s="220" t="str">
        <f t="shared" si="267"/>
        <v/>
      </c>
      <c r="J335" s="220"/>
      <c r="K335" s="220">
        <f t="shared" si="250"/>
        <v>0</v>
      </c>
      <c r="L335" s="220">
        <f t="shared" si="251"/>
        <v>-10</v>
      </c>
      <c r="N335" s="219">
        <v>45096.0</v>
      </c>
      <c r="O335" s="220" t="str">
        <f t="shared" si="268"/>
        <v/>
      </c>
      <c r="P335" s="220"/>
      <c r="Q335" s="220">
        <f t="shared" si="252"/>
        <v>0</v>
      </c>
      <c r="R335" s="220">
        <f t="shared" si="253"/>
        <v>-10</v>
      </c>
      <c r="T335" s="219">
        <v>45096.0</v>
      </c>
      <c r="U335" s="220" t="str">
        <f t="shared" si="269"/>
        <v/>
      </c>
      <c r="V335" s="220"/>
      <c r="W335" s="220">
        <f t="shared" si="254"/>
        <v>0</v>
      </c>
      <c r="X335" s="220">
        <f t="shared" si="255"/>
        <v>-10</v>
      </c>
      <c r="Z335" s="219">
        <v>45096.0</v>
      </c>
      <c r="AA335" s="220" t="str">
        <f t="shared" si="270"/>
        <v/>
      </c>
      <c r="AB335" s="220"/>
      <c r="AC335" s="220">
        <f t="shared" si="256"/>
        <v>0</v>
      </c>
      <c r="AD335" s="220">
        <f t="shared" si="257"/>
        <v>-10</v>
      </c>
      <c r="AF335" s="219">
        <v>45096.0</v>
      </c>
      <c r="AG335" s="220" t="str">
        <f t="shared" si="271"/>
        <v/>
      </c>
      <c r="AH335" s="220"/>
      <c r="AI335" s="220">
        <f t="shared" si="258"/>
        <v>0</v>
      </c>
      <c r="AJ335" s="220">
        <f t="shared" si="259"/>
        <v>-10</v>
      </c>
      <c r="AL335" s="219">
        <v>45096.0</v>
      </c>
      <c r="AM335" s="220" t="str">
        <f t="shared" si="272"/>
        <v/>
      </c>
      <c r="AN335" s="220"/>
      <c r="AO335" s="220">
        <f t="shared" si="260"/>
        <v>0</v>
      </c>
      <c r="AP335" s="220">
        <f t="shared" si="261"/>
        <v>-10</v>
      </c>
      <c r="AR335" s="219">
        <v>45096.0</v>
      </c>
      <c r="AS335" s="220" t="str">
        <f t="shared" si="273"/>
        <v/>
      </c>
      <c r="AT335" s="220"/>
      <c r="AU335" s="220">
        <f t="shared" si="262"/>
        <v>0</v>
      </c>
      <c r="AV335" s="220">
        <f t="shared" si="263"/>
        <v>-10</v>
      </c>
      <c r="AX335" s="219">
        <v>45096.0</v>
      </c>
      <c r="AY335" s="220" t="str">
        <f t="shared" si="274"/>
        <v/>
      </c>
      <c r="AZ335" s="220"/>
      <c r="BA335" s="220">
        <f t="shared" si="264"/>
        <v>0</v>
      </c>
      <c r="BB335" s="220">
        <f t="shared" si="265"/>
        <v>-10</v>
      </c>
    </row>
    <row r="336" ht="14.25" customHeight="1">
      <c r="A336" s="218"/>
      <c r="B336" s="219">
        <v>45097.0</v>
      </c>
      <c r="C336" s="220" t="str">
        <f t="shared" si="266"/>
        <v/>
      </c>
      <c r="D336" s="220"/>
      <c r="E336" s="220">
        <f t="shared" si="248"/>
        <v>0</v>
      </c>
      <c r="F336" s="220">
        <f t="shared" si="249"/>
        <v>-10</v>
      </c>
      <c r="H336" s="219">
        <v>45097.0</v>
      </c>
      <c r="I336" s="220" t="str">
        <f t="shared" si="267"/>
        <v/>
      </c>
      <c r="J336" s="220"/>
      <c r="K336" s="220">
        <f t="shared" si="250"/>
        <v>0</v>
      </c>
      <c r="L336" s="220">
        <f t="shared" si="251"/>
        <v>-10</v>
      </c>
      <c r="N336" s="219">
        <v>45097.0</v>
      </c>
      <c r="O336" s="220" t="str">
        <f t="shared" si="268"/>
        <v/>
      </c>
      <c r="P336" s="220"/>
      <c r="Q336" s="220">
        <f t="shared" si="252"/>
        <v>0</v>
      </c>
      <c r="R336" s="220">
        <f t="shared" si="253"/>
        <v>-10</v>
      </c>
      <c r="T336" s="219">
        <v>45097.0</v>
      </c>
      <c r="U336" s="220" t="str">
        <f t="shared" si="269"/>
        <v/>
      </c>
      <c r="V336" s="220"/>
      <c r="W336" s="220">
        <f t="shared" si="254"/>
        <v>0</v>
      </c>
      <c r="X336" s="220">
        <f t="shared" si="255"/>
        <v>-10</v>
      </c>
      <c r="Z336" s="219">
        <v>45097.0</v>
      </c>
      <c r="AA336" s="220" t="str">
        <f t="shared" si="270"/>
        <v/>
      </c>
      <c r="AB336" s="220"/>
      <c r="AC336" s="220">
        <f t="shared" si="256"/>
        <v>0</v>
      </c>
      <c r="AD336" s="220">
        <f t="shared" si="257"/>
        <v>-10</v>
      </c>
      <c r="AF336" s="219">
        <v>45097.0</v>
      </c>
      <c r="AG336" s="220" t="str">
        <f t="shared" si="271"/>
        <v/>
      </c>
      <c r="AH336" s="220"/>
      <c r="AI336" s="220">
        <f t="shared" si="258"/>
        <v>0</v>
      </c>
      <c r="AJ336" s="220">
        <f t="shared" si="259"/>
        <v>-10</v>
      </c>
      <c r="AL336" s="219">
        <v>45097.0</v>
      </c>
      <c r="AM336" s="220" t="str">
        <f t="shared" si="272"/>
        <v/>
      </c>
      <c r="AN336" s="220"/>
      <c r="AO336" s="220">
        <f t="shared" si="260"/>
        <v>0</v>
      </c>
      <c r="AP336" s="220">
        <f t="shared" si="261"/>
        <v>-10</v>
      </c>
      <c r="AR336" s="219">
        <v>45097.0</v>
      </c>
      <c r="AS336" s="220" t="str">
        <f t="shared" si="273"/>
        <v/>
      </c>
      <c r="AT336" s="220"/>
      <c r="AU336" s="220">
        <f t="shared" si="262"/>
        <v>0</v>
      </c>
      <c r="AV336" s="220">
        <f t="shared" si="263"/>
        <v>-10</v>
      </c>
      <c r="AX336" s="219">
        <v>45097.0</v>
      </c>
      <c r="AY336" s="220" t="str">
        <f t="shared" si="274"/>
        <v/>
      </c>
      <c r="AZ336" s="220"/>
      <c r="BA336" s="220">
        <f t="shared" si="264"/>
        <v>0</v>
      </c>
      <c r="BB336" s="220">
        <f t="shared" si="265"/>
        <v>-10</v>
      </c>
    </row>
    <row r="337" ht="14.25" customHeight="1">
      <c r="A337" s="218"/>
      <c r="B337" s="219">
        <v>45098.0</v>
      </c>
      <c r="C337" s="220" t="str">
        <f t="shared" si="266"/>
        <v/>
      </c>
      <c r="D337" s="220"/>
      <c r="E337" s="220">
        <f t="shared" si="248"/>
        <v>0</v>
      </c>
      <c r="F337" s="220">
        <f t="shared" si="249"/>
        <v>-10</v>
      </c>
      <c r="H337" s="219">
        <v>45098.0</v>
      </c>
      <c r="I337" s="220" t="str">
        <f t="shared" si="267"/>
        <v/>
      </c>
      <c r="J337" s="220"/>
      <c r="K337" s="220">
        <f t="shared" si="250"/>
        <v>0</v>
      </c>
      <c r="L337" s="220">
        <f t="shared" si="251"/>
        <v>-10</v>
      </c>
      <c r="N337" s="219">
        <v>45098.0</v>
      </c>
      <c r="O337" s="220" t="str">
        <f t="shared" si="268"/>
        <v/>
      </c>
      <c r="P337" s="220"/>
      <c r="Q337" s="220">
        <f t="shared" si="252"/>
        <v>0</v>
      </c>
      <c r="R337" s="220">
        <f t="shared" si="253"/>
        <v>-10</v>
      </c>
      <c r="T337" s="219">
        <v>45098.0</v>
      </c>
      <c r="U337" s="220" t="str">
        <f t="shared" si="269"/>
        <v/>
      </c>
      <c r="V337" s="220"/>
      <c r="W337" s="220">
        <f t="shared" si="254"/>
        <v>0</v>
      </c>
      <c r="X337" s="220">
        <f t="shared" si="255"/>
        <v>-10</v>
      </c>
      <c r="Z337" s="219">
        <v>45098.0</v>
      </c>
      <c r="AA337" s="220" t="str">
        <f t="shared" si="270"/>
        <v/>
      </c>
      <c r="AB337" s="220"/>
      <c r="AC337" s="220">
        <f t="shared" si="256"/>
        <v>0</v>
      </c>
      <c r="AD337" s="220">
        <f t="shared" si="257"/>
        <v>-10</v>
      </c>
      <c r="AF337" s="219">
        <v>45098.0</v>
      </c>
      <c r="AG337" s="220" t="str">
        <f t="shared" si="271"/>
        <v/>
      </c>
      <c r="AH337" s="220"/>
      <c r="AI337" s="220">
        <f t="shared" si="258"/>
        <v>0</v>
      </c>
      <c r="AJ337" s="220">
        <f t="shared" si="259"/>
        <v>-10</v>
      </c>
      <c r="AL337" s="219">
        <v>45098.0</v>
      </c>
      <c r="AM337" s="220" t="str">
        <f t="shared" si="272"/>
        <v/>
      </c>
      <c r="AN337" s="220"/>
      <c r="AO337" s="220">
        <f t="shared" si="260"/>
        <v>0</v>
      </c>
      <c r="AP337" s="220">
        <f t="shared" si="261"/>
        <v>-10</v>
      </c>
      <c r="AR337" s="219">
        <v>45098.0</v>
      </c>
      <c r="AS337" s="220" t="str">
        <f t="shared" si="273"/>
        <v/>
      </c>
      <c r="AT337" s="220"/>
      <c r="AU337" s="220">
        <f t="shared" si="262"/>
        <v>0</v>
      </c>
      <c r="AV337" s="220">
        <f t="shared" si="263"/>
        <v>-10</v>
      </c>
      <c r="AX337" s="219">
        <v>45098.0</v>
      </c>
      <c r="AY337" s="220" t="str">
        <f t="shared" si="274"/>
        <v/>
      </c>
      <c r="AZ337" s="220"/>
      <c r="BA337" s="220">
        <f t="shared" si="264"/>
        <v>0</v>
      </c>
      <c r="BB337" s="220">
        <f t="shared" si="265"/>
        <v>-10</v>
      </c>
    </row>
    <row r="338" ht="14.25" customHeight="1">
      <c r="A338" s="218"/>
      <c r="B338" s="219">
        <v>45099.0</v>
      </c>
      <c r="C338" s="220" t="str">
        <f t="shared" si="266"/>
        <v/>
      </c>
      <c r="D338" s="220"/>
      <c r="E338" s="220">
        <f t="shared" si="248"/>
        <v>0</v>
      </c>
      <c r="F338" s="220">
        <f t="shared" si="249"/>
        <v>-10</v>
      </c>
      <c r="H338" s="219">
        <v>45099.0</v>
      </c>
      <c r="I338" s="220" t="str">
        <f t="shared" si="267"/>
        <v/>
      </c>
      <c r="J338" s="220"/>
      <c r="K338" s="220">
        <f t="shared" si="250"/>
        <v>0</v>
      </c>
      <c r="L338" s="220">
        <f t="shared" si="251"/>
        <v>-10</v>
      </c>
      <c r="N338" s="219">
        <v>45099.0</v>
      </c>
      <c r="O338" s="220" t="str">
        <f t="shared" si="268"/>
        <v/>
      </c>
      <c r="P338" s="220"/>
      <c r="Q338" s="220">
        <f t="shared" si="252"/>
        <v>0</v>
      </c>
      <c r="R338" s="220">
        <f t="shared" si="253"/>
        <v>-10</v>
      </c>
      <c r="T338" s="219">
        <v>45099.0</v>
      </c>
      <c r="U338" s="220" t="str">
        <f t="shared" si="269"/>
        <v/>
      </c>
      <c r="V338" s="220"/>
      <c r="W338" s="220">
        <f t="shared" si="254"/>
        <v>0</v>
      </c>
      <c r="X338" s="220">
        <f t="shared" si="255"/>
        <v>-10</v>
      </c>
      <c r="Z338" s="219">
        <v>45099.0</v>
      </c>
      <c r="AA338" s="220" t="str">
        <f t="shared" si="270"/>
        <v/>
      </c>
      <c r="AB338" s="220"/>
      <c r="AC338" s="220">
        <f t="shared" si="256"/>
        <v>0</v>
      </c>
      <c r="AD338" s="220">
        <f t="shared" si="257"/>
        <v>-10</v>
      </c>
      <c r="AF338" s="219">
        <v>45099.0</v>
      </c>
      <c r="AG338" s="220" t="str">
        <f t="shared" si="271"/>
        <v/>
      </c>
      <c r="AH338" s="220"/>
      <c r="AI338" s="220">
        <f t="shared" si="258"/>
        <v>0</v>
      </c>
      <c r="AJ338" s="220">
        <f t="shared" si="259"/>
        <v>-10</v>
      </c>
      <c r="AL338" s="219">
        <v>45099.0</v>
      </c>
      <c r="AM338" s="220" t="str">
        <f t="shared" si="272"/>
        <v/>
      </c>
      <c r="AN338" s="220"/>
      <c r="AO338" s="220">
        <f t="shared" si="260"/>
        <v>0</v>
      </c>
      <c r="AP338" s="220">
        <f t="shared" si="261"/>
        <v>-10</v>
      </c>
      <c r="AR338" s="219">
        <v>45099.0</v>
      </c>
      <c r="AS338" s="220" t="str">
        <f t="shared" si="273"/>
        <v/>
      </c>
      <c r="AT338" s="220"/>
      <c r="AU338" s="220">
        <f t="shared" si="262"/>
        <v>0</v>
      </c>
      <c r="AV338" s="220">
        <f t="shared" si="263"/>
        <v>-10</v>
      </c>
      <c r="AX338" s="219">
        <v>45099.0</v>
      </c>
      <c r="AY338" s="220" t="str">
        <f t="shared" si="274"/>
        <v/>
      </c>
      <c r="AZ338" s="220"/>
      <c r="BA338" s="220">
        <f t="shared" si="264"/>
        <v>0</v>
      </c>
      <c r="BB338" s="220">
        <f t="shared" si="265"/>
        <v>-10</v>
      </c>
    </row>
    <row r="339" ht="14.25" customHeight="1">
      <c r="A339" s="218"/>
      <c r="B339" s="219">
        <v>45100.0</v>
      </c>
      <c r="C339" s="220" t="str">
        <f t="shared" si="266"/>
        <v/>
      </c>
      <c r="D339" s="220"/>
      <c r="E339" s="220">
        <f t="shared" si="248"/>
        <v>0</v>
      </c>
      <c r="F339" s="220">
        <f t="shared" si="249"/>
        <v>-10</v>
      </c>
      <c r="H339" s="219">
        <v>45100.0</v>
      </c>
      <c r="I339" s="220" t="str">
        <f t="shared" si="267"/>
        <v/>
      </c>
      <c r="J339" s="220"/>
      <c r="K339" s="220">
        <f t="shared" si="250"/>
        <v>0</v>
      </c>
      <c r="L339" s="220">
        <f t="shared" si="251"/>
        <v>-10</v>
      </c>
      <c r="N339" s="219">
        <v>45100.0</v>
      </c>
      <c r="O339" s="220" t="str">
        <f t="shared" si="268"/>
        <v/>
      </c>
      <c r="P339" s="220"/>
      <c r="Q339" s="220">
        <f t="shared" si="252"/>
        <v>0</v>
      </c>
      <c r="R339" s="220">
        <f t="shared" si="253"/>
        <v>-10</v>
      </c>
      <c r="T339" s="219">
        <v>45100.0</v>
      </c>
      <c r="U339" s="220" t="str">
        <f t="shared" si="269"/>
        <v/>
      </c>
      <c r="V339" s="220"/>
      <c r="W339" s="220">
        <f t="shared" si="254"/>
        <v>0</v>
      </c>
      <c r="X339" s="220">
        <f t="shared" si="255"/>
        <v>-10</v>
      </c>
      <c r="Z339" s="219">
        <v>45100.0</v>
      </c>
      <c r="AA339" s="220" t="str">
        <f t="shared" si="270"/>
        <v/>
      </c>
      <c r="AB339" s="220"/>
      <c r="AC339" s="220">
        <f t="shared" si="256"/>
        <v>0</v>
      </c>
      <c r="AD339" s="220">
        <f t="shared" si="257"/>
        <v>-10</v>
      </c>
      <c r="AF339" s="219">
        <v>45100.0</v>
      </c>
      <c r="AG339" s="220" t="str">
        <f t="shared" si="271"/>
        <v/>
      </c>
      <c r="AH339" s="220"/>
      <c r="AI339" s="220">
        <f t="shared" si="258"/>
        <v>0</v>
      </c>
      <c r="AJ339" s="220">
        <f t="shared" si="259"/>
        <v>-10</v>
      </c>
      <c r="AL339" s="219">
        <v>45100.0</v>
      </c>
      <c r="AM339" s="220" t="str">
        <f t="shared" si="272"/>
        <v/>
      </c>
      <c r="AN339" s="220"/>
      <c r="AO339" s="220">
        <f t="shared" si="260"/>
        <v>0</v>
      </c>
      <c r="AP339" s="220">
        <f t="shared" si="261"/>
        <v>-10</v>
      </c>
      <c r="AR339" s="219">
        <v>45100.0</v>
      </c>
      <c r="AS339" s="220" t="str">
        <f t="shared" si="273"/>
        <v/>
      </c>
      <c r="AT339" s="220"/>
      <c r="AU339" s="220">
        <f t="shared" si="262"/>
        <v>0</v>
      </c>
      <c r="AV339" s="220">
        <f t="shared" si="263"/>
        <v>-10</v>
      </c>
      <c r="AX339" s="219">
        <v>45100.0</v>
      </c>
      <c r="AY339" s="220" t="str">
        <f t="shared" si="274"/>
        <v/>
      </c>
      <c r="AZ339" s="220"/>
      <c r="BA339" s="220">
        <f t="shared" si="264"/>
        <v>0</v>
      </c>
      <c r="BB339" s="220">
        <f t="shared" si="265"/>
        <v>-10</v>
      </c>
    </row>
    <row r="340" ht="14.25" customHeight="1">
      <c r="A340" s="218"/>
      <c r="B340" s="219">
        <v>45101.0</v>
      </c>
      <c r="C340" s="220" t="str">
        <f t="shared" si="266"/>
        <v/>
      </c>
      <c r="D340" s="220"/>
      <c r="E340" s="220">
        <f t="shared" si="248"/>
        <v>0</v>
      </c>
      <c r="F340" s="220">
        <f t="shared" si="249"/>
        <v>-10</v>
      </c>
      <c r="G340" s="221"/>
      <c r="H340" s="219">
        <v>45101.0</v>
      </c>
      <c r="I340" s="220" t="str">
        <f t="shared" si="267"/>
        <v/>
      </c>
      <c r="J340" s="220"/>
      <c r="K340" s="220">
        <f t="shared" si="250"/>
        <v>0</v>
      </c>
      <c r="L340" s="220">
        <f t="shared" si="251"/>
        <v>-10</v>
      </c>
      <c r="M340" s="221"/>
      <c r="N340" s="219">
        <v>45101.0</v>
      </c>
      <c r="O340" s="220" t="str">
        <f t="shared" si="268"/>
        <v/>
      </c>
      <c r="P340" s="220"/>
      <c r="Q340" s="220">
        <f t="shared" si="252"/>
        <v>0</v>
      </c>
      <c r="R340" s="220">
        <f t="shared" si="253"/>
        <v>-10</v>
      </c>
      <c r="S340" s="221"/>
      <c r="T340" s="219">
        <v>45101.0</v>
      </c>
      <c r="U340" s="220" t="str">
        <f t="shared" si="269"/>
        <v/>
      </c>
      <c r="V340" s="220"/>
      <c r="W340" s="220">
        <f t="shared" si="254"/>
        <v>0</v>
      </c>
      <c r="X340" s="220">
        <f t="shared" si="255"/>
        <v>-10</v>
      </c>
      <c r="Y340" s="221"/>
      <c r="Z340" s="219">
        <v>45101.0</v>
      </c>
      <c r="AA340" s="220" t="str">
        <f t="shared" si="270"/>
        <v/>
      </c>
      <c r="AB340" s="220"/>
      <c r="AC340" s="220">
        <f t="shared" si="256"/>
        <v>0</v>
      </c>
      <c r="AD340" s="220">
        <f t="shared" si="257"/>
        <v>-10</v>
      </c>
      <c r="AE340" s="221"/>
      <c r="AF340" s="219">
        <v>45101.0</v>
      </c>
      <c r="AG340" s="220" t="str">
        <f t="shared" si="271"/>
        <v/>
      </c>
      <c r="AH340" s="220"/>
      <c r="AI340" s="220">
        <f t="shared" si="258"/>
        <v>0</v>
      </c>
      <c r="AJ340" s="220">
        <f t="shared" si="259"/>
        <v>-10</v>
      </c>
      <c r="AK340" s="221"/>
      <c r="AL340" s="219">
        <v>45101.0</v>
      </c>
      <c r="AM340" s="220" t="str">
        <f t="shared" si="272"/>
        <v/>
      </c>
      <c r="AN340" s="220"/>
      <c r="AO340" s="220">
        <f t="shared" si="260"/>
        <v>0</v>
      </c>
      <c r="AP340" s="220">
        <f t="shared" si="261"/>
        <v>-10</v>
      </c>
      <c r="AQ340" s="221"/>
      <c r="AR340" s="219">
        <v>45101.0</v>
      </c>
      <c r="AS340" s="220" t="str">
        <f t="shared" si="273"/>
        <v/>
      </c>
      <c r="AT340" s="220"/>
      <c r="AU340" s="220">
        <f t="shared" si="262"/>
        <v>0</v>
      </c>
      <c r="AV340" s="220">
        <f t="shared" si="263"/>
        <v>-10</v>
      </c>
      <c r="AW340" s="221"/>
      <c r="AX340" s="219">
        <v>45101.0</v>
      </c>
      <c r="AY340" s="220" t="str">
        <f t="shared" si="274"/>
        <v/>
      </c>
      <c r="AZ340" s="220"/>
      <c r="BA340" s="220">
        <f t="shared" si="264"/>
        <v>0</v>
      </c>
      <c r="BB340" s="220">
        <f t="shared" si="265"/>
        <v>-10</v>
      </c>
    </row>
    <row r="341" ht="14.25" customHeight="1">
      <c r="A341" s="218"/>
      <c r="B341" s="219">
        <v>45102.0</v>
      </c>
      <c r="C341" s="220" t="str">
        <f t="shared" si="266"/>
        <v/>
      </c>
      <c r="D341" s="220"/>
      <c r="E341" s="220">
        <f t="shared" si="248"/>
        <v>0</v>
      </c>
      <c r="F341" s="220">
        <f t="shared" si="249"/>
        <v>-10</v>
      </c>
      <c r="G341" s="221"/>
      <c r="H341" s="219">
        <v>45102.0</v>
      </c>
      <c r="I341" s="220" t="str">
        <f t="shared" si="267"/>
        <v/>
      </c>
      <c r="J341" s="220"/>
      <c r="K341" s="220">
        <f t="shared" si="250"/>
        <v>0</v>
      </c>
      <c r="L341" s="220">
        <f t="shared" si="251"/>
        <v>-10</v>
      </c>
      <c r="M341" s="221"/>
      <c r="N341" s="219">
        <v>45102.0</v>
      </c>
      <c r="O341" s="220" t="str">
        <f t="shared" si="268"/>
        <v/>
      </c>
      <c r="P341" s="220"/>
      <c r="Q341" s="220">
        <f t="shared" si="252"/>
        <v>0</v>
      </c>
      <c r="R341" s="220">
        <f t="shared" si="253"/>
        <v>-10</v>
      </c>
      <c r="S341" s="221"/>
      <c r="T341" s="219">
        <v>45102.0</v>
      </c>
      <c r="U341" s="220" t="str">
        <f t="shared" si="269"/>
        <v/>
      </c>
      <c r="V341" s="220"/>
      <c r="W341" s="220">
        <f t="shared" si="254"/>
        <v>0</v>
      </c>
      <c r="X341" s="220">
        <f t="shared" si="255"/>
        <v>-10</v>
      </c>
      <c r="Y341" s="221"/>
      <c r="Z341" s="219">
        <v>45102.0</v>
      </c>
      <c r="AA341" s="220" t="str">
        <f t="shared" si="270"/>
        <v/>
      </c>
      <c r="AB341" s="220"/>
      <c r="AC341" s="220">
        <f t="shared" si="256"/>
        <v>0</v>
      </c>
      <c r="AD341" s="220">
        <f t="shared" si="257"/>
        <v>-10</v>
      </c>
      <c r="AE341" s="221"/>
      <c r="AF341" s="219">
        <v>45102.0</v>
      </c>
      <c r="AG341" s="220" t="str">
        <f t="shared" si="271"/>
        <v/>
      </c>
      <c r="AH341" s="220"/>
      <c r="AI341" s="220">
        <f t="shared" si="258"/>
        <v>0</v>
      </c>
      <c r="AJ341" s="220">
        <f t="shared" si="259"/>
        <v>-10</v>
      </c>
      <c r="AK341" s="221"/>
      <c r="AL341" s="219">
        <v>45102.0</v>
      </c>
      <c r="AM341" s="220" t="str">
        <f t="shared" si="272"/>
        <v/>
      </c>
      <c r="AN341" s="220"/>
      <c r="AO341" s="220">
        <f t="shared" si="260"/>
        <v>0</v>
      </c>
      <c r="AP341" s="220">
        <f t="shared" si="261"/>
        <v>-10</v>
      </c>
      <c r="AQ341" s="221"/>
      <c r="AR341" s="219">
        <v>45102.0</v>
      </c>
      <c r="AS341" s="220" t="str">
        <f t="shared" si="273"/>
        <v/>
      </c>
      <c r="AT341" s="220"/>
      <c r="AU341" s="220">
        <f t="shared" si="262"/>
        <v>0</v>
      </c>
      <c r="AV341" s="220">
        <f t="shared" si="263"/>
        <v>-10</v>
      </c>
      <c r="AW341" s="221"/>
      <c r="AX341" s="219">
        <v>45102.0</v>
      </c>
      <c r="AY341" s="220" t="str">
        <f t="shared" si="274"/>
        <v/>
      </c>
      <c r="AZ341" s="220"/>
      <c r="BA341" s="220">
        <f t="shared" si="264"/>
        <v>0</v>
      </c>
      <c r="BB341" s="220">
        <f t="shared" si="265"/>
        <v>-10</v>
      </c>
    </row>
    <row r="342" ht="14.25" customHeight="1">
      <c r="A342" s="218"/>
      <c r="B342" s="219">
        <v>45103.0</v>
      </c>
      <c r="C342" s="220" t="str">
        <f t="shared" si="266"/>
        <v/>
      </c>
      <c r="D342" s="220"/>
      <c r="E342" s="220">
        <f t="shared" si="248"/>
        <v>0</v>
      </c>
      <c r="F342" s="220">
        <f t="shared" si="249"/>
        <v>-10</v>
      </c>
      <c r="H342" s="219">
        <v>45103.0</v>
      </c>
      <c r="I342" s="220" t="str">
        <f t="shared" si="267"/>
        <v/>
      </c>
      <c r="J342" s="220"/>
      <c r="K342" s="220">
        <f t="shared" si="250"/>
        <v>0</v>
      </c>
      <c r="L342" s="220">
        <f t="shared" si="251"/>
        <v>-10</v>
      </c>
      <c r="N342" s="219">
        <v>45103.0</v>
      </c>
      <c r="O342" s="220" t="str">
        <f t="shared" si="268"/>
        <v/>
      </c>
      <c r="P342" s="220"/>
      <c r="Q342" s="220">
        <f t="shared" si="252"/>
        <v>0</v>
      </c>
      <c r="R342" s="220">
        <f t="shared" si="253"/>
        <v>-10</v>
      </c>
      <c r="T342" s="219">
        <v>45103.0</v>
      </c>
      <c r="U342" s="220" t="str">
        <f t="shared" si="269"/>
        <v/>
      </c>
      <c r="V342" s="220"/>
      <c r="W342" s="220">
        <f t="shared" si="254"/>
        <v>0</v>
      </c>
      <c r="X342" s="220">
        <f t="shared" si="255"/>
        <v>-10</v>
      </c>
      <c r="Z342" s="219">
        <v>45103.0</v>
      </c>
      <c r="AA342" s="220" t="str">
        <f t="shared" si="270"/>
        <v/>
      </c>
      <c r="AB342" s="220"/>
      <c r="AC342" s="220">
        <f t="shared" si="256"/>
        <v>0</v>
      </c>
      <c r="AD342" s="220">
        <f t="shared" si="257"/>
        <v>-10</v>
      </c>
      <c r="AF342" s="219">
        <v>45103.0</v>
      </c>
      <c r="AG342" s="220" t="str">
        <f t="shared" si="271"/>
        <v/>
      </c>
      <c r="AH342" s="220"/>
      <c r="AI342" s="220">
        <f t="shared" si="258"/>
        <v>0</v>
      </c>
      <c r="AJ342" s="220">
        <f t="shared" si="259"/>
        <v>-10</v>
      </c>
      <c r="AL342" s="219">
        <v>45103.0</v>
      </c>
      <c r="AM342" s="220" t="str">
        <f t="shared" si="272"/>
        <v/>
      </c>
      <c r="AN342" s="220"/>
      <c r="AO342" s="220">
        <f t="shared" si="260"/>
        <v>0</v>
      </c>
      <c r="AP342" s="220">
        <f t="shared" si="261"/>
        <v>-10</v>
      </c>
      <c r="AR342" s="219">
        <v>45103.0</v>
      </c>
      <c r="AS342" s="220" t="str">
        <f t="shared" si="273"/>
        <v/>
      </c>
      <c r="AT342" s="220"/>
      <c r="AU342" s="220">
        <f t="shared" si="262"/>
        <v>0</v>
      </c>
      <c r="AV342" s="220">
        <f t="shared" si="263"/>
        <v>-10</v>
      </c>
      <c r="AX342" s="219">
        <v>45103.0</v>
      </c>
      <c r="AY342" s="220" t="str">
        <f t="shared" si="274"/>
        <v/>
      </c>
      <c r="AZ342" s="220"/>
      <c r="BA342" s="220">
        <f t="shared" si="264"/>
        <v>0</v>
      </c>
      <c r="BB342" s="220">
        <f t="shared" si="265"/>
        <v>-10</v>
      </c>
    </row>
    <row r="343" ht="14.25" customHeight="1">
      <c r="A343" s="218"/>
      <c r="B343" s="219">
        <v>45104.0</v>
      </c>
      <c r="C343" s="220" t="str">
        <f t="shared" si="266"/>
        <v/>
      </c>
      <c r="D343" s="220"/>
      <c r="E343" s="220">
        <f t="shared" si="248"/>
        <v>0</v>
      </c>
      <c r="F343" s="220">
        <f t="shared" si="249"/>
        <v>-10</v>
      </c>
      <c r="H343" s="219">
        <v>45104.0</v>
      </c>
      <c r="I343" s="220" t="str">
        <f t="shared" si="267"/>
        <v/>
      </c>
      <c r="J343" s="220"/>
      <c r="K343" s="220">
        <f t="shared" si="250"/>
        <v>0</v>
      </c>
      <c r="L343" s="220">
        <f t="shared" si="251"/>
        <v>-10</v>
      </c>
      <c r="N343" s="219">
        <v>45104.0</v>
      </c>
      <c r="O343" s="220" t="str">
        <f t="shared" si="268"/>
        <v/>
      </c>
      <c r="P343" s="220"/>
      <c r="Q343" s="220">
        <f t="shared" si="252"/>
        <v>0</v>
      </c>
      <c r="R343" s="220">
        <f t="shared" si="253"/>
        <v>-10</v>
      </c>
      <c r="T343" s="219">
        <v>45104.0</v>
      </c>
      <c r="U343" s="220" t="str">
        <f t="shared" si="269"/>
        <v/>
      </c>
      <c r="V343" s="220"/>
      <c r="W343" s="220">
        <f t="shared" si="254"/>
        <v>0</v>
      </c>
      <c r="X343" s="220">
        <f t="shared" si="255"/>
        <v>-10</v>
      </c>
      <c r="Z343" s="219">
        <v>45104.0</v>
      </c>
      <c r="AA343" s="220" t="str">
        <f t="shared" si="270"/>
        <v/>
      </c>
      <c r="AB343" s="220"/>
      <c r="AC343" s="220">
        <f t="shared" si="256"/>
        <v>0</v>
      </c>
      <c r="AD343" s="220">
        <f t="shared" si="257"/>
        <v>-10</v>
      </c>
      <c r="AF343" s="219">
        <v>45104.0</v>
      </c>
      <c r="AG343" s="220" t="str">
        <f t="shared" si="271"/>
        <v/>
      </c>
      <c r="AH343" s="220"/>
      <c r="AI343" s="220">
        <f t="shared" si="258"/>
        <v>0</v>
      </c>
      <c r="AJ343" s="220">
        <f t="shared" si="259"/>
        <v>-10</v>
      </c>
      <c r="AL343" s="219">
        <v>45104.0</v>
      </c>
      <c r="AM343" s="220" t="str">
        <f t="shared" si="272"/>
        <v/>
      </c>
      <c r="AN343" s="220"/>
      <c r="AO343" s="220">
        <f t="shared" si="260"/>
        <v>0</v>
      </c>
      <c r="AP343" s="220">
        <f t="shared" si="261"/>
        <v>-10</v>
      </c>
      <c r="AR343" s="219">
        <v>45104.0</v>
      </c>
      <c r="AS343" s="220" t="str">
        <f t="shared" si="273"/>
        <v/>
      </c>
      <c r="AT343" s="220"/>
      <c r="AU343" s="220">
        <f t="shared" si="262"/>
        <v>0</v>
      </c>
      <c r="AV343" s="220">
        <f t="shared" si="263"/>
        <v>-10</v>
      </c>
      <c r="AX343" s="219">
        <v>45104.0</v>
      </c>
      <c r="AY343" s="220" t="str">
        <f t="shared" si="274"/>
        <v/>
      </c>
      <c r="AZ343" s="220"/>
      <c r="BA343" s="220">
        <f t="shared" si="264"/>
        <v>0</v>
      </c>
      <c r="BB343" s="220">
        <f t="shared" si="265"/>
        <v>-10</v>
      </c>
    </row>
    <row r="344" ht="14.25" customHeight="1">
      <c r="A344" s="218"/>
      <c r="B344" s="219">
        <v>45105.0</v>
      </c>
      <c r="C344" s="220" t="str">
        <f t="shared" si="266"/>
        <v/>
      </c>
      <c r="D344" s="220"/>
      <c r="E344" s="220">
        <f t="shared" si="248"/>
        <v>0</v>
      </c>
      <c r="F344" s="220">
        <f t="shared" si="249"/>
        <v>-10</v>
      </c>
      <c r="H344" s="219">
        <v>45105.0</v>
      </c>
      <c r="I344" s="220" t="str">
        <f t="shared" si="267"/>
        <v/>
      </c>
      <c r="J344" s="220"/>
      <c r="K344" s="220">
        <f t="shared" si="250"/>
        <v>0</v>
      </c>
      <c r="L344" s="220">
        <f t="shared" si="251"/>
        <v>-10</v>
      </c>
      <c r="N344" s="219">
        <v>45105.0</v>
      </c>
      <c r="O344" s="220" t="str">
        <f t="shared" si="268"/>
        <v/>
      </c>
      <c r="P344" s="220"/>
      <c r="Q344" s="220">
        <f t="shared" si="252"/>
        <v>0</v>
      </c>
      <c r="R344" s="220">
        <f t="shared" si="253"/>
        <v>-10</v>
      </c>
      <c r="T344" s="219">
        <v>45105.0</v>
      </c>
      <c r="U344" s="220" t="str">
        <f t="shared" si="269"/>
        <v/>
      </c>
      <c r="V344" s="220"/>
      <c r="W344" s="220">
        <f t="shared" si="254"/>
        <v>0</v>
      </c>
      <c r="X344" s="220">
        <f t="shared" si="255"/>
        <v>-10</v>
      </c>
      <c r="Z344" s="219">
        <v>45105.0</v>
      </c>
      <c r="AA344" s="220" t="str">
        <f t="shared" si="270"/>
        <v/>
      </c>
      <c r="AB344" s="220"/>
      <c r="AC344" s="220">
        <f t="shared" si="256"/>
        <v>0</v>
      </c>
      <c r="AD344" s="220">
        <f t="shared" si="257"/>
        <v>-10</v>
      </c>
      <c r="AF344" s="219">
        <v>45105.0</v>
      </c>
      <c r="AG344" s="220" t="str">
        <f t="shared" si="271"/>
        <v/>
      </c>
      <c r="AH344" s="220"/>
      <c r="AI344" s="220">
        <f t="shared" si="258"/>
        <v>0</v>
      </c>
      <c r="AJ344" s="220">
        <f t="shared" si="259"/>
        <v>-10</v>
      </c>
      <c r="AL344" s="219">
        <v>45105.0</v>
      </c>
      <c r="AM344" s="220" t="str">
        <f t="shared" si="272"/>
        <v/>
      </c>
      <c r="AN344" s="220"/>
      <c r="AO344" s="220">
        <f t="shared" si="260"/>
        <v>0</v>
      </c>
      <c r="AP344" s="220">
        <f t="shared" si="261"/>
        <v>-10</v>
      </c>
      <c r="AR344" s="219">
        <v>45105.0</v>
      </c>
      <c r="AS344" s="220" t="str">
        <f t="shared" si="273"/>
        <v/>
      </c>
      <c r="AT344" s="220"/>
      <c r="AU344" s="220">
        <f t="shared" si="262"/>
        <v>0</v>
      </c>
      <c r="AV344" s="220">
        <f t="shared" si="263"/>
        <v>-10</v>
      </c>
      <c r="AX344" s="219">
        <v>45105.0</v>
      </c>
      <c r="AY344" s="220" t="str">
        <f t="shared" si="274"/>
        <v/>
      </c>
      <c r="AZ344" s="220"/>
      <c r="BA344" s="220">
        <f t="shared" si="264"/>
        <v>0</v>
      </c>
      <c r="BB344" s="220">
        <f t="shared" si="265"/>
        <v>-10</v>
      </c>
    </row>
    <row r="345" ht="14.25" customHeight="1">
      <c r="A345" s="218"/>
      <c r="B345" s="219">
        <v>45106.0</v>
      </c>
      <c r="C345" s="220" t="str">
        <f t="shared" si="266"/>
        <v/>
      </c>
      <c r="D345" s="220"/>
      <c r="E345" s="220">
        <f t="shared" si="248"/>
        <v>0</v>
      </c>
      <c r="F345" s="220">
        <f t="shared" si="249"/>
        <v>-10</v>
      </c>
      <c r="H345" s="219">
        <v>45106.0</v>
      </c>
      <c r="I345" s="220" t="str">
        <f t="shared" si="267"/>
        <v/>
      </c>
      <c r="J345" s="220"/>
      <c r="K345" s="220">
        <f t="shared" si="250"/>
        <v>0</v>
      </c>
      <c r="L345" s="220">
        <f t="shared" si="251"/>
        <v>-10</v>
      </c>
      <c r="N345" s="219">
        <v>45106.0</v>
      </c>
      <c r="O345" s="220" t="str">
        <f t="shared" si="268"/>
        <v/>
      </c>
      <c r="P345" s="220"/>
      <c r="Q345" s="220">
        <f t="shared" si="252"/>
        <v>0</v>
      </c>
      <c r="R345" s="220">
        <f t="shared" si="253"/>
        <v>-10</v>
      </c>
      <c r="T345" s="219">
        <v>45106.0</v>
      </c>
      <c r="U345" s="220" t="str">
        <f t="shared" si="269"/>
        <v/>
      </c>
      <c r="V345" s="220"/>
      <c r="W345" s="220">
        <f t="shared" si="254"/>
        <v>0</v>
      </c>
      <c r="X345" s="220">
        <f t="shared" si="255"/>
        <v>-10</v>
      </c>
      <c r="Z345" s="219">
        <v>45106.0</v>
      </c>
      <c r="AA345" s="220" t="str">
        <f t="shared" si="270"/>
        <v/>
      </c>
      <c r="AB345" s="220"/>
      <c r="AC345" s="220">
        <f t="shared" si="256"/>
        <v>0</v>
      </c>
      <c r="AD345" s="220">
        <f t="shared" si="257"/>
        <v>-10</v>
      </c>
      <c r="AF345" s="219">
        <v>45106.0</v>
      </c>
      <c r="AG345" s="220" t="str">
        <f t="shared" si="271"/>
        <v/>
      </c>
      <c r="AH345" s="220"/>
      <c r="AI345" s="220">
        <f t="shared" si="258"/>
        <v>0</v>
      </c>
      <c r="AJ345" s="220">
        <f t="shared" si="259"/>
        <v>-10</v>
      </c>
      <c r="AL345" s="219">
        <v>45106.0</v>
      </c>
      <c r="AM345" s="220" t="str">
        <f t="shared" si="272"/>
        <v/>
      </c>
      <c r="AN345" s="220"/>
      <c r="AO345" s="220">
        <f t="shared" si="260"/>
        <v>0</v>
      </c>
      <c r="AP345" s="220">
        <f t="shared" si="261"/>
        <v>-10</v>
      </c>
      <c r="AR345" s="219">
        <v>45106.0</v>
      </c>
      <c r="AS345" s="220" t="str">
        <f t="shared" si="273"/>
        <v/>
      </c>
      <c r="AT345" s="220"/>
      <c r="AU345" s="220">
        <f t="shared" si="262"/>
        <v>0</v>
      </c>
      <c r="AV345" s="220">
        <f t="shared" si="263"/>
        <v>-10</v>
      </c>
      <c r="AX345" s="219">
        <v>45106.0</v>
      </c>
      <c r="AY345" s="220" t="str">
        <f t="shared" si="274"/>
        <v/>
      </c>
      <c r="AZ345" s="220"/>
      <c r="BA345" s="220">
        <f t="shared" si="264"/>
        <v>0</v>
      </c>
      <c r="BB345" s="220">
        <f t="shared" si="265"/>
        <v>-10</v>
      </c>
    </row>
    <row r="346" ht="14.25" customHeight="1">
      <c r="A346" s="218"/>
      <c r="B346" s="219">
        <v>45107.0</v>
      </c>
      <c r="C346" s="220" t="str">
        <f t="shared" si="266"/>
        <v/>
      </c>
      <c r="D346" s="220"/>
      <c r="E346" s="220">
        <f t="shared" si="248"/>
        <v>0</v>
      </c>
      <c r="F346" s="220">
        <f t="shared" si="249"/>
        <v>-10</v>
      </c>
      <c r="H346" s="219">
        <v>45107.0</v>
      </c>
      <c r="I346" s="220" t="str">
        <f t="shared" si="267"/>
        <v/>
      </c>
      <c r="J346" s="220"/>
      <c r="K346" s="220">
        <f t="shared" si="250"/>
        <v>0</v>
      </c>
      <c r="L346" s="220">
        <f t="shared" si="251"/>
        <v>-10</v>
      </c>
      <c r="N346" s="219">
        <v>45107.0</v>
      </c>
      <c r="O346" s="220" t="str">
        <f t="shared" si="268"/>
        <v/>
      </c>
      <c r="P346" s="220"/>
      <c r="Q346" s="220">
        <f t="shared" si="252"/>
        <v>0</v>
      </c>
      <c r="R346" s="220">
        <f t="shared" si="253"/>
        <v>-10</v>
      </c>
      <c r="T346" s="219">
        <v>45107.0</v>
      </c>
      <c r="U346" s="220" t="str">
        <f t="shared" si="269"/>
        <v/>
      </c>
      <c r="V346" s="220"/>
      <c r="W346" s="220">
        <f t="shared" si="254"/>
        <v>0</v>
      </c>
      <c r="X346" s="220">
        <f t="shared" si="255"/>
        <v>-10</v>
      </c>
      <c r="Z346" s="219">
        <v>45107.0</v>
      </c>
      <c r="AA346" s="220" t="str">
        <f t="shared" si="270"/>
        <v/>
      </c>
      <c r="AB346" s="220"/>
      <c r="AC346" s="220">
        <f t="shared" si="256"/>
        <v>0</v>
      </c>
      <c r="AD346" s="220">
        <f t="shared" si="257"/>
        <v>-10</v>
      </c>
      <c r="AF346" s="219">
        <v>45107.0</v>
      </c>
      <c r="AG346" s="220" t="str">
        <f t="shared" si="271"/>
        <v/>
      </c>
      <c r="AH346" s="220"/>
      <c r="AI346" s="220">
        <f t="shared" si="258"/>
        <v>0</v>
      </c>
      <c r="AJ346" s="220">
        <f t="shared" si="259"/>
        <v>-10</v>
      </c>
      <c r="AL346" s="219">
        <v>45107.0</v>
      </c>
      <c r="AM346" s="220" t="str">
        <f t="shared" si="272"/>
        <v/>
      </c>
      <c r="AN346" s="220"/>
      <c r="AO346" s="220">
        <f t="shared" si="260"/>
        <v>0</v>
      </c>
      <c r="AP346" s="220">
        <f t="shared" si="261"/>
        <v>-10</v>
      </c>
      <c r="AR346" s="219">
        <v>45107.0</v>
      </c>
      <c r="AS346" s="220" t="str">
        <f t="shared" si="273"/>
        <v/>
      </c>
      <c r="AT346" s="220"/>
      <c r="AU346" s="220">
        <f t="shared" si="262"/>
        <v>0</v>
      </c>
      <c r="AV346" s="220">
        <f t="shared" si="263"/>
        <v>-10</v>
      </c>
      <c r="AX346" s="219">
        <v>45107.0</v>
      </c>
      <c r="AY346" s="220" t="str">
        <f t="shared" si="274"/>
        <v/>
      </c>
      <c r="AZ346" s="220"/>
      <c r="BA346" s="220">
        <f t="shared" si="264"/>
        <v>0</v>
      </c>
      <c r="BB346" s="220">
        <f t="shared" si="265"/>
        <v>-10</v>
      </c>
    </row>
    <row r="347" ht="14.25" customHeight="1">
      <c r="A347" s="218"/>
      <c r="B347" s="229"/>
      <c r="C347" s="220" t="str">
        <f t="shared" si="266"/>
        <v/>
      </c>
      <c r="D347" s="220"/>
      <c r="E347" s="220">
        <f t="shared" si="248"/>
        <v>0</v>
      </c>
      <c r="F347" s="220">
        <f t="shared" si="249"/>
        <v>-10</v>
      </c>
      <c r="H347" s="229"/>
      <c r="I347" s="220" t="str">
        <f t="shared" si="267"/>
        <v/>
      </c>
      <c r="J347" s="220"/>
      <c r="K347" s="220">
        <f t="shared" si="250"/>
        <v>0</v>
      </c>
      <c r="L347" s="220">
        <f t="shared" si="251"/>
        <v>-10</v>
      </c>
      <c r="N347" s="229"/>
      <c r="O347" s="220" t="str">
        <f t="shared" si="268"/>
        <v/>
      </c>
      <c r="P347" s="220"/>
      <c r="Q347" s="220">
        <f t="shared" si="252"/>
        <v>0</v>
      </c>
      <c r="R347" s="220">
        <f t="shared" si="253"/>
        <v>-10</v>
      </c>
      <c r="T347" s="229"/>
      <c r="U347" s="220" t="str">
        <f t="shared" si="269"/>
        <v/>
      </c>
      <c r="V347" s="220"/>
      <c r="W347" s="220">
        <f t="shared" si="254"/>
        <v>0</v>
      </c>
      <c r="X347" s="220">
        <f t="shared" si="255"/>
        <v>-10</v>
      </c>
      <c r="Z347" s="229"/>
      <c r="AA347" s="220" t="str">
        <f t="shared" si="270"/>
        <v/>
      </c>
      <c r="AB347" s="220"/>
      <c r="AC347" s="220">
        <f t="shared" si="256"/>
        <v>0</v>
      </c>
      <c r="AD347" s="220">
        <f t="shared" si="257"/>
        <v>-10</v>
      </c>
      <c r="AF347" s="229"/>
      <c r="AG347" s="220" t="str">
        <f t="shared" si="271"/>
        <v/>
      </c>
      <c r="AH347" s="220"/>
      <c r="AI347" s="220">
        <f t="shared" si="258"/>
        <v>0</v>
      </c>
      <c r="AJ347" s="220">
        <f t="shared" si="259"/>
        <v>-10</v>
      </c>
      <c r="AL347" s="229"/>
      <c r="AM347" s="220" t="str">
        <f t="shared" si="272"/>
        <v/>
      </c>
      <c r="AN347" s="220"/>
      <c r="AO347" s="220">
        <f t="shared" si="260"/>
        <v>0</v>
      </c>
      <c r="AP347" s="220">
        <f t="shared" si="261"/>
        <v>-10</v>
      </c>
      <c r="AR347" s="229"/>
      <c r="AS347" s="220" t="str">
        <f t="shared" si="273"/>
        <v/>
      </c>
      <c r="AT347" s="220"/>
      <c r="AU347" s="220">
        <f t="shared" si="262"/>
        <v>0</v>
      </c>
      <c r="AV347" s="220">
        <f t="shared" si="263"/>
        <v>-10</v>
      </c>
      <c r="AX347" s="229"/>
      <c r="AY347" s="220" t="str">
        <f t="shared" si="274"/>
        <v/>
      </c>
      <c r="AZ347" s="220"/>
      <c r="BA347" s="220">
        <f t="shared" si="264"/>
        <v>0</v>
      </c>
      <c r="BB347" s="220">
        <f t="shared" si="265"/>
        <v>-10</v>
      </c>
    </row>
    <row r="348" ht="14.25" customHeight="1">
      <c r="A348" s="222"/>
      <c r="B348" s="216"/>
      <c r="C348" s="223" t="s">
        <v>221</v>
      </c>
      <c r="D348" s="223"/>
      <c r="E348" s="216">
        <f>SUM(E317:E347)</f>
        <v>0</v>
      </c>
      <c r="F348" s="216">
        <f t="shared" si="249"/>
        <v>-10</v>
      </c>
      <c r="H348" s="216"/>
      <c r="I348" s="223" t="s">
        <v>221</v>
      </c>
      <c r="J348" s="223"/>
      <c r="K348" s="216">
        <f>SUM(K317:K347)</f>
        <v>0</v>
      </c>
      <c r="L348" s="216">
        <f t="shared" si="251"/>
        <v>-10</v>
      </c>
      <c r="N348" s="216"/>
      <c r="O348" s="223" t="s">
        <v>221</v>
      </c>
      <c r="P348" s="223"/>
      <c r="Q348" s="216">
        <f>SUM(Q317:Q347)</f>
        <v>0</v>
      </c>
      <c r="R348" s="216">
        <f t="shared" si="253"/>
        <v>-10</v>
      </c>
      <c r="T348" s="216"/>
      <c r="U348" s="223" t="s">
        <v>221</v>
      </c>
      <c r="V348" s="223"/>
      <c r="W348" s="216">
        <f>SUM(W317:W347)</f>
        <v>0</v>
      </c>
      <c r="X348" s="216">
        <f t="shared" si="255"/>
        <v>-10</v>
      </c>
      <c r="Z348" s="216"/>
      <c r="AA348" s="223" t="s">
        <v>221</v>
      </c>
      <c r="AB348" s="223"/>
      <c r="AC348" s="216">
        <f>SUM(AC317:AC347)</f>
        <v>0</v>
      </c>
      <c r="AD348" s="216">
        <f t="shared" si="257"/>
        <v>-10</v>
      </c>
      <c r="AF348" s="216"/>
      <c r="AG348" s="223" t="s">
        <v>221</v>
      </c>
      <c r="AH348" s="223"/>
      <c r="AI348" s="216">
        <f>SUM(AI317:AI347)</f>
        <v>0</v>
      </c>
      <c r="AJ348" s="216">
        <f t="shared" si="259"/>
        <v>-10</v>
      </c>
      <c r="AL348" s="216"/>
      <c r="AM348" s="223" t="s">
        <v>221</v>
      </c>
      <c r="AN348" s="223"/>
      <c r="AO348" s="216">
        <f>SUM(AO317:AO347)</f>
        <v>0</v>
      </c>
      <c r="AP348" s="216">
        <f t="shared" si="261"/>
        <v>-10</v>
      </c>
      <c r="AR348" s="216"/>
      <c r="AS348" s="223" t="s">
        <v>221</v>
      </c>
      <c r="AT348" s="223"/>
      <c r="AU348" s="216">
        <f>SUM(AU317:AU347)</f>
        <v>0</v>
      </c>
      <c r="AV348" s="216">
        <f t="shared" si="263"/>
        <v>-10</v>
      </c>
      <c r="AX348" s="216"/>
      <c r="AY348" s="223" t="s">
        <v>221</v>
      </c>
      <c r="AZ348" s="223"/>
      <c r="BA348" s="216">
        <f>SUM(BA317:BA347)</f>
        <v>0</v>
      </c>
      <c r="BB348" s="216">
        <f t="shared" si="265"/>
        <v>-10</v>
      </c>
    </row>
    <row r="349" ht="14.25" customHeight="1"/>
    <row r="350" ht="14.25" customHeight="1"/>
    <row r="351" ht="14.25" customHeight="1"/>
    <row r="352" ht="18.0" customHeight="1">
      <c r="A352" s="215" t="s">
        <v>232</v>
      </c>
      <c r="B352" s="206" t="s">
        <v>18</v>
      </c>
      <c r="C352" s="207"/>
      <c r="D352" s="207"/>
      <c r="E352" s="207"/>
      <c r="F352" s="208"/>
      <c r="G352" s="209"/>
      <c r="H352" s="206" t="s">
        <v>20</v>
      </c>
      <c r="I352" s="207"/>
      <c r="J352" s="207"/>
      <c r="K352" s="207"/>
      <c r="L352" s="208"/>
      <c r="M352" s="209"/>
      <c r="N352" s="206" t="s">
        <v>142</v>
      </c>
      <c r="O352" s="207"/>
      <c r="P352" s="207"/>
      <c r="Q352" s="207"/>
      <c r="R352" s="208"/>
      <c r="S352" s="209"/>
      <c r="T352" s="206" t="s">
        <v>95</v>
      </c>
      <c r="U352" s="207"/>
      <c r="V352" s="207"/>
      <c r="W352" s="207"/>
      <c r="X352" s="208"/>
      <c r="Y352" s="209"/>
      <c r="Z352" s="206" t="s">
        <v>32</v>
      </c>
      <c r="AA352" s="207"/>
      <c r="AB352" s="207"/>
      <c r="AC352" s="207"/>
      <c r="AD352" s="208"/>
      <c r="AE352" s="209"/>
      <c r="AF352" s="206" t="s">
        <v>27</v>
      </c>
      <c r="AG352" s="207"/>
      <c r="AH352" s="207"/>
      <c r="AI352" s="207"/>
      <c r="AJ352" s="208"/>
      <c r="AK352" s="209"/>
      <c r="AL352" s="206" t="s">
        <v>34</v>
      </c>
      <c r="AM352" s="207"/>
      <c r="AN352" s="207"/>
      <c r="AO352" s="207"/>
      <c r="AP352" s="208"/>
      <c r="AQ352" s="209"/>
      <c r="AR352" s="206"/>
      <c r="AS352" s="207"/>
      <c r="AT352" s="207"/>
      <c r="AU352" s="207"/>
      <c r="AV352" s="208"/>
      <c r="AW352" s="209"/>
      <c r="AX352" s="206"/>
      <c r="AY352" s="207"/>
      <c r="AZ352" s="207"/>
      <c r="BA352" s="207"/>
      <c r="BB352" s="208"/>
    </row>
    <row r="353" ht="14.25" customHeight="1">
      <c r="A353" s="218"/>
      <c r="B353" s="210"/>
      <c r="F353" s="211"/>
      <c r="G353" s="209"/>
      <c r="H353" s="210"/>
      <c r="L353" s="211"/>
      <c r="M353" s="209"/>
      <c r="N353" s="210"/>
      <c r="R353" s="211"/>
      <c r="S353" s="209"/>
      <c r="T353" s="210"/>
      <c r="X353" s="211"/>
      <c r="Y353" s="209"/>
      <c r="Z353" s="210"/>
      <c r="AD353" s="211"/>
      <c r="AE353" s="209"/>
      <c r="AF353" s="210"/>
      <c r="AJ353" s="211"/>
      <c r="AK353" s="209"/>
      <c r="AL353" s="210"/>
      <c r="AP353" s="211"/>
      <c r="AQ353" s="209"/>
      <c r="AR353" s="210"/>
      <c r="AV353" s="211"/>
      <c r="AW353" s="209"/>
      <c r="AX353" s="210"/>
      <c r="BB353" s="211"/>
    </row>
    <row r="354" ht="14.25" customHeight="1">
      <c r="A354" s="218"/>
      <c r="B354" s="212"/>
      <c r="C354" s="213"/>
      <c r="D354" s="213"/>
      <c r="E354" s="213"/>
      <c r="F354" s="214"/>
      <c r="G354" s="209"/>
      <c r="H354" s="212"/>
      <c r="I354" s="213"/>
      <c r="J354" s="213"/>
      <c r="K354" s="213"/>
      <c r="L354" s="214"/>
      <c r="M354" s="209"/>
      <c r="N354" s="212"/>
      <c r="O354" s="213"/>
      <c r="P354" s="213"/>
      <c r="Q354" s="213"/>
      <c r="R354" s="214"/>
      <c r="S354" s="209"/>
      <c r="T354" s="212"/>
      <c r="U354" s="213"/>
      <c r="V354" s="213"/>
      <c r="W354" s="213"/>
      <c r="X354" s="214"/>
      <c r="Y354" s="209"/>
      <c r="Z354" s="212"/>
      <c r="AA354" s="213"/>
      <c r="AB354" s="213"/>
      <c r="AC354" s="213"/>
      <c r="AD354" s="214"/>
      <c r="AE354" s="209"/>
      <c r="AF354" s="212"/>
      <c r="AG354" s="213"/>
      <c r="AH354" s="213"/>
      <c r="AI354" s="213"/>
      <c r="AJ354" s="214"/>
      <c r="AK354" s="209"/>
      <c r="AL354" s="212"/>
      <c r="AM354" s="213"/>
      <c r="AN354" s="213"/>
      <c r="AO354" s="213"/>
      <c r="AP354" s="214"/>
      <c r="AQ354" s="209"/>
      <c r="AR354" s="212"/>
      <c r="AS354" s="213"/>
      <c r="AT354" s="213"/>
      <c r="AU354" s="213"/>
      <c r="AV354" s="214"/>
      <c r="AW354" s="209"/>
      <c r="AX354" s="212"/>
      <c r="AY354" s="213"/>
      <c r="AZ354" s="213"/>
      <c r="BA354" s="213"/>
      <c r="BB354" s="214"/>
    </row>
    <row r="355" ht="14.25" customHeight="1">
      <c r="A355" s="218"/>
      <c r="B355" s="216" t="s">
        <v>214</v>
      </c>
      <c r="C355" s="216" t="s">
        <v>215</v>
      </c>
      <c r="D355" s="216" t="s">
        <v>216</v>
      </c>
      <c r="E355" s="216" t="s">
        <v>217</v>
      </c>
      <c r="F355" s="216" t="s">
        <v>218</v>
      </c>
      <c r="H355" s="217" t="s">
        <v>214</v>
      </c>
      <c r="I355" s="216" t="s">
        <v>215</v>
      </c>
      <c r="J355" s="216" t="s">
        <v>216</v>
      </c>
      <c r="K355" s="216" t="s">
        <v>217</v>
      </c>
      <c r="L355" s="216" t="s">
        <v>218</v>
      </c>
      <c r="N355" s="216" t="s">
        <v>214</v>
      </c>
      <c r="O355" s="216" t="s">
        <v>215</v>
      </c>
      <c r="P355" s="216" t="s">
        <v>216</v>
      </c>
      <c r="Q355" s="216" t="s">
        <v>217</v>
      </c>
      <c r="R355" s="216" t="s">
        <v>218</v>
      </c>
      <c r="T355" s="216" t="s">
        <v>214</v>
      </c>
      <c r="U355" s="216" t="s">
        <v>215</v>
      </c>
      <c r="V355" s="216" t="s">
        <v>216</v>
      </c>
      <c r="W355" s="216" t="s">
        <v>217</v>
      </c>
      <c r="X355" s="216" t="s">
        <v>218</v>
      </c>
      <c r="Z355" s="216" t="s">
        <v>214</v>
      </c>
      <c r="AA355" s="216" t="s">
        <v>215</v>
      </c>
      <c r="AB355" s="216" t="s">
        <v>216</v>
      </c>
      <c r="AC355" s="216" t="s">
        <v>217</v>
      </c>
      <c r="AD355" s="216" t="s">
        <v>218</v>
      </c>
      <c r="AF355" s="216" t="s">
        <v>214</v>
      </c>
      <c r="AG355" s="216" t="s">
        <v>215</v>
      </c>
      <c r="AH355" s="216" t="s">
        <v>216</v>
      </c>
      <c r="AI355" s="216" t="s">
        <v>217</v>
      </c>
      <c r="AJ355" s="216" t="s">
        <v>218</v>
      </c>
      <c r="AL355" s="216" t="s">
        <v>214</v>
      </c>
      <c r="AM355" s="216" t="s">
        <v>215</v>
      </c>
      <c r="AN355" s="216" t="s">
        <v>216</v>
      </c>
      <c r="AO355" s="216" t="s">
        <v>217</v>
      </c>
      <c r="AP355" s="216" t="s">
        <v>218</v>
      </c>
      <c r="AR355" s="216" t="s">
        <v>214</v>
      </c>
      <c r="AS355" s="216" t="s">
        <v>215</v>
      </c>
      <c r="AT355" s="216" t="s">
        <v>216</v>
      </c>
      <c r="AU355" s="216" t="s">
        <v>217</v>
      </c>
      <c r="AV355" s="216" t="s">
        <v>218</v>
      </c>
      <c r="AX355" s="216" t="s">
        <v>214</v>
      </c>
      <c r="AY355" s="216" t="s">
        <v>215</v>
      </c>
      <c r="AZ355" s="216" t="s">
        <v>216</v>
      </c>
      <c r="BA355" s="216" t="s">
        <v>217</v>
      </c>
      <c r="BB355" s="216" t="s">
        <v>218</v>
      </c>
    </row>
    <row r="356" ht="14.25" customHeight="1">
      <c r="A356" s="218"/>
      <c r="B356" s="219">
        <v>45078.0</v>
      </c>
      <c r="C356" s="220"/>
      <c r="D356" s="220"/>
      <c r="E356" s="220">
        <f t="shared" ref="E356:E386" si="275">D356-C356</f>
        <v>0</v>
      </c>
      <c r="F356" s="220">
        <f t="shared" ref="F356:F387" si="276">E356-10</f>
        <v>-10</v>
      </c>
      <c r="H356" s="219">
        <v>45078.0</v>
      </c>
      <c r="I356" s="220"/>
      <c r="J356" s="220"/>
      <c r="K356" s="220">
        <f t="shared" ref="K356:K386" si="277">J356-I356</f>
        <v>0</v>
      </c>
      <c r="L356" s="220">
        <f t="shared" ref="L356:L387" si="278">K356-10</f>
        <v>-10</v>
      </c>
      <c r="N356" s="219">
        <v>45078.0</v>
      </c>
      <c r="O356" s="220"/>
      <c r="P356" s="220"/>
      <c r="Q356" s="220">
        <f t="shared" ref="Q356:Q386" si="279">P356-O356</f>
        <v>0</v>
      </c>
      <c r="R356" s="220">
        <f t="shared" ref="R356:R387" si="280">Q356-10</f>
        <v>-10</v>
      </c>
      <c r="T356" s="219">
        <v>45078.0</v>
      </c>
      <c r="U356" s="220"/>
      <c r="V356" s="220"/>
      <c r="W356" s="220">
        <f t="shared" ref="W356:W386" si="281">V356-U356</f>
        <v>0</v>
      </c>
      <c r="X356" s="220">
        <f t="shared" ref="X356:X387" si="282">W356-10</f>
        <v>-10</v>
      </c>
      <c r="Z356" s="219">
        <v>45078.0</v>
      </c>
      <c r="AA356" s="220"/>
      <c r="AB356" s="220"/>
      <c r="AC356" s="220">
        <f t="shared" ref="AC356:AC386" si="283">AB356-AA356</f>
        <v>0</v>
      </c>
      <c r="AD356" s="220">
        <f t="shared" ref="AD356:AD387" si="284">AC356-10</f>
        <v>-10</v>
      </c>
      <c r="AF356" s="219">
        <v>45078.0</v>
      </c>
      <c r="AG356" s="220"/>
      <c r="AH356" s="220"/>
      <c r="AI356" s="220">
        <f t="shared" ref="AI356:AI386" si="285">AH356-AG356</f>
        <v>0</v>
      </c>
      <c r="AJ356" s="220">
        <f t="shared" ref="AJ356:AJ387" si="286">AI356-10</f>
        <v>-10</v>
      </c>
      <c r="AL356" s="219">
        <v>45078.0</v>
      </c>
      <c r="AM356" s="220"/>
      <c r="AN356" s="220"/>
      <c r="AO356" s="220">
        <f t="shared" ref="AO356:AO386" si="287">AN356-AM356</f>
        <v>0</v>
      </c>
      <c r="AP356" s="220">
        <f t="shared" ref="AP356:AP387" si="288">AO356-10</f>
        <v>-10</v>
      </c>
      <c r="AR356" s="219">
        <v>45078.0</v>
      </c>
      <c r="AS356" s="220"/>
      <c r="AT356" s="220"/>
      <c r="AU356" s="220">
        <f t="shared" ref="AU356:AU386" si="289">AT356-AS356</f>
        <v>0</v>
      </c>
      <c r="AV356" s="220">
        <f t="shared" ref="AV356:AV387" si="290">AU356-10</f>
        <v>-10</v>
      </c>
      <c r="AX356" s="219">
        <v>45078.0</v>
      </c>
      <c r="AY356" s="220"/>
      <c r="AZ356" s="220"/>
      <c r="BA356" s="220">
        <f t="shared" ref="BA356:BA386" si="291">AZ356-AY356</f>
        <v>0</v>
      </c>
      <c r="BB356" s="220">
        <f t="shared" ref="BB356:BB387" si="292">BA356-10</f>
        <v>-10</v>
      </c>
    </row>
    <row r="357" ht="14.25" customHeight="1">
      <c r="A357" s="218"/>
      <c r="B357" s="219">
        <v>45079.0</v>
      </c>
      <c r="C357" s="220" t="str">
        <f t="shared" ref="C357:C386" si="293">D356</f>
        <v/>
      </c>
      <c r="D357" s="220"/>
      <c r="E357" s="220">
        <f t="shared" si="275"/>
        <v>0</v>
      </c>
      <c r="F357" s="220">
        <f t="shared" si="276"/>
        <v>-10</v>
      </c>
      <c r="H357" s="219">
        <v>45079.0</v>
      </c>
      <c r="I357" s="220" t="str">
        <f t="shared" ref="I357:I386" si="294">J356</f>
        <v/>
      </c>
      <c r="J357" s="220"/>
      <c r="K357" s="220">
        <f t="shared" si="277"/>
        <v>0</v>
      </c>
      <c r="L357" s="220">
        <f t="shared" si="278"/>
        <v>-10</v>
      </c>
      <c r="N357" s="219">
        <v>45079.0</v>
      </c>
      <c r="O357" s="220" t="str">
        <f t="shared" ref="O357:O386" si="295">P356</f>
        <v/>
      </c>
      <c r="P357" s="220"/>
      <c r="Q357" s="220">
        <f t="shared" si="279"/>
        <v>0</v>
      </c>
      <c r="R357" s="220">
        <f t="shared" si="280"/>
        <v>-10</v>
      </c>
      <c r="T357" s="219">
        <v>45079.0</v>
      </c>
      <c r="U357" s="220" t="str">
        <f t="shared" ref="U357:U386" si="296">V356</f>
        <v/>
      </c>
      <c r="V357" s="220"/>
      <c r="W357" s="220">
        <f t="shared" si="281"/>
        <v>0</v>
      </c>
      <c r="X357" s="220">
        <f t="shared" si="282"/>
        <v>-10</v>
      </c>
      <c r="Z357" s="219">
        <v>45079.0</v>
      </c>
      <c r="AA357" s="220" t="str">
        <f t="shared" ref="AA357:AA386" si="297">AB356</f>
        <v/>
      </c>
      <c r="AB357" s="220"/>
      <c r="AC357" s="220">
        <f t="shared" si="283"/>
        <v>0</v>
      </c>
      <c r="AD357" s="220">
        <f t="shared" si="284"/>
        <v>-10</v>
      </c>
      <c r="AF357" s="219">
        <v>45079.0</v>
      </c>
      <c r="AG357" s="220" t="str">
        <f t="shared" ref="AG357:AG386" si="298">AH356</f>
        <v/>
      </c>
      <c r="AH357" s="220"/>
      <c r="AI357" s="220">
        <f t="shared" si="285"/>
        <v>0</v>
      </c>
      <c r="AJ357" s="220">
        <f t="shared" si="286"/>
        <v>-10</v>
      </c>
      <c r="AL357" s="219">
        <v>45079.0</v>
      </c>
      <c r="AM357" s="220" t="str">
        <f t="shared" ref="AM357:AM386" si="299">AN356</f>
        <v/>
      </c>
      <c r="AN357" s="220"/>
      <c r="AO357" s="220">
        <f t="shared" si="287"/>
        <v>0</v>
      </c>
      <c r="AP357" s="220">
        <f t="shared" si="288"/>
        <v>-10</v>
      </c>
      <c r="AR357" s="219">
        <v>45079.0</v>
      </c>
      <c r="AS357" s="220" t="str">
        <f t="shared" ref="AS357:AS386" si="300">AT356</f>
        <v/>
      </c>
      <c r="AT357" s="220"/>
      <c r="AU357" s="220">
        <f t="shared" si="289"/>
        <v>0</v>
      </c>
      <c r="AV357" s="220">
        <f t="shared" si="290"/>
        <v>-10</v>
      </c>
      <c r="AX357" s="219">
        <v>45079.0</v>
      </c>
      <c r="AY357" s="220" t="str">
        <f t="shared" ref="AY357:AY386" si="301">AZ356</f>
        <v/>
      </c>
      <c r="AZ357" s="220"/>
      <c r="BA357" s="220">
        <f t="shared" si="291"/>
        <v>0</v>
      </c>
      <c r="BB357" s="220">
        <f t="shared" si="292"/>
        <v>-10</v>
      </c>
    </row>
    <row r="358" ht="14.25" customHeight="1">
      <c r="A358" s="218"/>
      <c r="B358" s="219">
        <v>45080.0</v>
      </c>
      <c r="C358" s="220" t="str">
        <f t="shared" si="293"/>
        <v/>
      </c>
      <c r="D358" s="220"/>
      <c r="E358" s="220">
        <f t="shared" si="275"/>
        <v>0</v>
      </c>
      <c r="F358" s="220">
        <f t="shared" si="276"/>
        <v>-10</v>
      </c>
      <c r="G358" s="221"/>
      <c r="H358" s="219">
        <v>45080.0</v>
      </c>
      <c r="I358" s="220" t="str">
        <f t="shared" si="294"/>
        <v/>
      </c>
      <c r="J358" s="220"/>
      <c r="K358" s="220">
        <f t="shared" si="277"/>
        <v>0</v>
      </c>
      <c r="L358" s="220">
        <f t="shared" si="278"/>
        <v>-10</v>
      </c>
      <c r="M358" s="221"/>
      <c r="N358" s="219">
        <v>45080.0</v>
      </c>
      <c r="O358" s="220" t="str">
        <f t="shared" si="295"/>
        <v/>
      </c>
      <c r="P358" s="220"/>
      <c r="Q358" s="220">
        <f t="shared" si="279"/>
        <v>0</v>
      </c>
      <c r="R358" s="220">
        <f t="shared" si="280"/>
        <v>-10</v>
      </c>
      <c r="S358" s="221"/>
      <c r="T358" s="219">
        <v>45080.0</v>
      </c>
      <c r="U358" s="220" t="str">
        <f t="shared" si="296"/>
        <v/>
      </c>
      <c r="V358" s="220"/>
      <c r="W358" s="220">
        <f t="shared" si="281"/>
        <v>0</v>
      </c>
      <c r="X358" s="220">
        <f t="shared" si="282"/>
        <v>-10</v>
      </c>
      <c r="Y358" s="221"/>
      <c r="Z358" s="219">
        <v>45080.0</v>
      </c>
      <c r="AA358" s="220" t="str">
        <f t="shared" si="297"/>
        <v/>
      </c>
      <c r="AB358" s="220"/>
      <c r="AC358" s="220">
        <f t="shared" si="283"/>
        <v>0</v>
      </c>
      <c r="AD358" s="220">
        <f t="shared" si="284"/>
        <v>-10</v>
      </c>
      <c r="AE358" s="221"/>
      <c r="AF358" s="219">
        <v>45080.0</v>
      </c>
      <c r="AG358" s="220" t="str">
        <f t="shared" si="298"/>
        <v/>
      </c>
      <c r="AH358" s="220"/>
      <c r="AI358" s="220">
        <f t="shared" si="285"/>
        <v>0</v>
      </c>
      <c r="AJ358" s="220">
        <f t="shared" si="286"/>
        <v>-10</v>
      </c>
      <c r="AK358" s="221"/>
      <c r="AL358" s="219">
        <v>45080.0</v>
      </c>
      <c r="AM358" s="220" t="str">
        <f t="shared" si="299"/>
        <v/>
      </c>
      <c r="AN358" s="220"/>
      <c r="AO358" s="220">
        <f t="shared" si="287"/>
        <v>0</v>
      </c>
      <c r="AP358" s="220">
        <f t="shared" si="288"/>
        <v>-10</v>
      </c>
      <c r="AQ358" s="221"/>
      <c r="AR358" s="219">
        <v>45080.0</v>
      </c>
      <c r="AS358" s="220" t="str">
        <f t="shared" si="300"/>
        <v/>
      </c>
      <c r="AT358" s="220"/>
      <c r="AU358" s="220">
        <f t="shared" si="289"/>
        <v>0</v>
      </c>
      <c r="AV358" s="220">
        <f t="shared" si="290"/>
        <v>-10</v>
      </c>
      <c r="AW358" s="221"/>
      <c r="AX358" s="219">
        <v>45080.0</v>
      </c>
      <c r="AY358" s="220" t="str">
        <f t="shared" si="301"/>
        <v/>
      </c>
      <c r="AZ358" s="220"/>
      <c r="BA358" s="220">
        <f t="shared" si="291"/>
        <v>0</v>
      </c>
      <c r="BB358" s="220">
        <f t="shared" si="292"/>
        <v>-10</v>
      </c>
    </row>
    <row r="359" ht="14.25" customHeight="1">
      <c r="A359" s="218"/>
      <c r="B359" s="219">
        <v>45081.0</v>
      </c>
      <c r="C359" s="220" t="str">
        <f t="shared" si="293"/>
        <v/>
      </c>
      <c r="D359" s="220"/>
      <c r="E359" s="220">
        <f t="shared" si="275"/>
        <v>0</v>
      </c>
      <c r="F359" s="220">
        <f t="shared" si="276"/>
        <v>-10</v>
      </c>
      <c r="G359" s="221"/>
      <c r="H359" s="219">
        <v>45081.0</v>
      </c>
      <c r="I359" s="220" t="str">
        <f t="shared" si="294"/>
        <v/>
      </c>
      <c r="J359" s="220"/>
      <c r="K359" s="220">
        <f t="shared" si="277"/>
        <v>0</v>
      </c>
      <c r="L359" s="220">
        <f t="shared" si="278"/>
        <v>-10</v>
      </c>
      <c r="M359" s="221"/>
      <c r="N359" s="219">
        <v>45081.0</v>
      </c>
      <c r="O359" s="220" t="str">
        <f t="shared" si="295"/>
        <v/>
      </c>
      <c r="P359" s="220"/>
      <c r="Q359" s="220">
        <f t="shared" si="279"/>
        <v>0</v>
      </c>
      <c r="R359" s="220">
        <f t="shared" si="280"/>
        <v>-10</v>
      </c>
      <c r="S359" s="221"/>
      <c r="T359" s="219">
        <v>45081.0</v>
      </c>
      <c r="U359" s="220" t="str">
        <f t="shared" si="296"/>
        <v/>
      </c>
      <c r="V359" s="220"/>
      <c r="W359" s="220">
        <f t="shared" si="281"/>
        <v>0</v>
      </c>
      <c r="X359" s="220">
        <f t="shared" si="282"/>
        <v>-10</v>
      </c>
      <c r="Y359" s="221"/>
      <c r="Z359" s="219">
        <v>45081.0</v>
      </c>
      <c r="AA359" s="220" t="str">
        <f t="shared" si="297"/>
        <v/>
      </c>
      <c r="AB359" s="220"/>
      <c r="AC359" s="220">
        <f t="shared" si="283"/>
        <v>0</v>
      </c>
      <c r="AD359" s="220">
        <f t="shared" si="284"/>
        <v>-10</v>
      </c>
      <c r="AE359" s="221"/>
      <c r="AF359" s="219">
        <v>45081.0</v>
      </c>
      <c r="AG359" s="220" t="str">
        <f t="shared" si="298"/>
        <v/>
      </c>
      <c r="AH359" s="220"/>
      <c r="AI359" s="220">
        <f t="shared" si="285"/>
        <v>0</v>
      </c>
      <c r="AJ359" s="220">
        <f t="shared" si="286"/>
        <v>-10</v>
      </c>
      <c r="AK359" s="221"/>
      <c r="AL359" s="219">
        <v>45081.0</v>
      </c>
      <c r="AM359" s="220" t="str">
        <f t="shared" si="299"/>
        <v/>
      </c>
      <c r="AN359" s="220"/>
      <c r="AO359" s="220">
        <f t="shared" si="287"/>
        <v>0</v>
      </c>
      <c r="AP359" s="220">
        <f t="shared" si="288"/>
        <v>-10</v>
      </c>
      <c r="AQ359" s="221"/>
      <c r="AR359" s="219">
        <v>45081.0</v>
      </c>
      <c r="AS359" s="220" t="str">
        <f t="shared" si="300"/>
        <v/>
      </c>
      <c r="AT359" s="220"/>
      <c r="AU359" s="220">
        <f t="shared" si="289"/>
        <v>0</v>
      </c>
      <c r="AV359" s="220">
        <f t="shared" si="290"/>
        <v>-10</v>
      </c>
      <c r="AW359" s="221"/>
      <c r="AX359" s="219">
        <v>45081.0</v>
      </c>
      <c r="AY359" s="220" t="str">
        <f t="shared" si="301"/>
        <v/>
      </c>
      <c r="AZ359" s="220"/>
      <c r="BA359" s="220">
        <f t="shared" si="291"/>
        <v>0</v>
      </c>
      <c r="BB359" s="220">
        <f t="shared" si="292"/>
        <v>-10</v>
      </c>
    </row>
    <row r="360" ht="14.25" customHeight="1">
      <c r="A360" s="218"/>
      <c r="B360" s="219">
        <v>45082.0</v>
      </c>
      <c r="C360" s="220" t="str">
        <f t="shared" si="293"/>
        <v/>
      </c>
      <c r="D360" s="220"/>
      <c r="E360" s="220">
        <f t="shared" si="275"/>
        <v>0</v>
      </c>
      <c r="F360" s="220">
        <f t="shared" si="276"/>
        <v>-10</v>
      </c>
      <c r="H360" s="219">
        <v>45082.0</v>
      </c>
      <c r="I360" s="220" t="str">
        <f t="shared" si="294"/>
        <v/>
      </c>
      <c r="J360" s="220"/>
      <c r="K360" s="220">
        <f t="shared" si="277"/>
        <v>0</v>
      </c>
      <c r="L360" s="220">
        <f t="shared" si="278"/>
        <v>-10</v>
      </c>
      <c r="N360" s="219">
        <v>45082.0</v>
      </c>
      <c r="O360" s="220" t="str">
        <f t="shared" si="295"/>
        <v/>
      </c>
      <c r="P360" s="220"/>
      <c r="Q360" s="220">
        <f t="shared" si="279"/>
        <v>0</v>
      </c>
      <c r="R360" s="220">
        <f t="shared" si="280"/>
        <v>-10</v>
      </c>
      <c r="T360" s="219">
        <v>45082.0</v>
      </c>
      <c r="U360" s="220" t="str">
        <f t="shared" si="296"/>
        <v/>
      </c>
      <c r="V360" s="220"/>
      <c r="W360" s="220">
        <f t="shared" si="281"/>
        <v>0</v>
      </c>
      <c r="X360" s="220">
        <f t="shared" si="282"/>
        <v>-10</v>
      </c>
      <c r="Z360" s="219">
        <v>45082.0</v>
      </c>
      <c r="AA360" s="220" t="str">
        <f t="shared" si="297"/>
        <v/>
      </c>
      <c r="AB360" s="220"/>
      <c r="AC360" s="220">
        <f t="shared" si="283"/>
        <v>0</v>
      </c>
      <c r="AD360" s="220">
        <f t="shared" si="284"/>
        <v>-10</v>
      </c>
      <c r="AF360" s="219">
        <v>45082.0</v>
      </c>
      <c r="AG360" s="220" t="str">
        <f t="shared" si="298"/>
        <v/>
      </c>
      <c r="AH360" s="220"/>
      <c r="AI360" s="220">
        <f t="shared" si="285"/>
        <v>0</v>
      </c>
      <c r="AJ360" s="220">
        <f t="shared" si="286"/>
        <v>-10</v>
      </c>
      <c r="AL360" s="219">
        <v>45082.0</v>
      </c>
      <c r="AM360" s="220" t="str">
        <f t="shared" si="299"/>
        <v/>
      </c>
      <c r="AN360" s="220"/>
      <c r="AO360" s="220">
        <f t="shared" si="287"/>
        <v>0</v>
      </c>
      <c r="AP360" s="220">
        <f t="shared" si="288"/>
        <v>-10</v>
      </c>
      <c r="AR360" s="219">
        <v>45082.0</v>
      </c>
      <c r="AS360" s="220" t="str">
        <f t="shared" si="300"/>
        <v/>
      </c>
      <c r="AT360" s="220"/>
      <c r="AU360" s="220">
        <f t="shared" si="289"/>
        <v>0</v>
      </c>
      <c r="AV360" s="220">
        <f t="shared" si="290"/>
        <v>-10</v>
      </c>
      <c r="AX360" s="219">
        <v>45082.0</v>
      </c>
      <c r="AY360" s="220" t="str">
        <f t="shared" si="301"/>
        <v/>
      </c>
      <c r="AZ360" s="220"/>
      <c r="BA360" s="220">
        <f t="shared" si="291"/>
        <v>0</v>
      </c>
      <c r="BB360" s="220">
        <f t="shared" si="292"/>
        <v>-10</v>
      </c>
    </row>
    <row r="361" ht="14.25" customHeight="1">
      <c r="A361" s="218"/>
      <c r="B361" s="219">
        <v>45083.0</v>
      </c>
      <c r="C361" s="220" t="str">
        <f t="shared" si="293"/>
        <v/>
      </c>
      <c r="D361" s="220"/>
      <c r="E361" s="220">
        <f t="shared" si="275"/>
        <v>0</v>
      </c>
      <c r="F361" s="220">
        <f t="shared" si="276"/>
        <v>-10</v>
      </c>
      <c r="H361" s="219">
        <v>45083.0</v>
      </c>
      <c r="I361" s="220" t="str">
        <f t="shared" si="294"/>
        <v/>
      </c>
      <c r="J361" s="220"/>
      <c r="K361" s="220">
        <f t="shared" si="277"/>
        <v>0</v>
      </c>
      <c r="L361" s="220">
        <f t="shared" si="278"/>
        <v>-10</v>
      </c>
      <c r="N361" s="219">
        <v>45083.0</v>
      </c>
      <c r="O361" s="220" t="str">
        <f t="shared" si="295"/>
        <v/>
      </c>
      <c r="P361" s="220"/>
      <c r="Q361" s="220">
        <f t="shared" si="279"/>
        <v>0</v>
      </c>
      <c r="R361" s="220">
        <f t="shared" si="280"/>
        <v>-10</v>
      </c>
      <c r="T361" s="219">
        <v>45083.0</v>
      </c>
      <c r="U361" s="220" t="str">
        <f t="shared" si="296"/>
        <v/>
      </c>
      <c r="V361" s="220"/>
      <c r="W361" s="220">
        <f t="shared" si="281"/>
        <v>0</v>
      </c>
      <c r="X361" s="220">
        <f t="shared" si="282"/>
        <v>-10</v>
      </c>
      <c r="Z361" s="219">
        <v>45083.0</v>
      </c>
      <c r="AA361" s="220" t="str">
        <f t="shared" si="297"/>
        <v/>
      </c>
      <c r="AB361" s="220"/>
      <c r="AC361" s="220">
        <f t="shared" si="283"/>
        <v>0</v>
      </c>
      <c r="AD361" s="220">
        <f t="shared" si="284"/>
        <v>-10</v>
      </c>
      <c r="AF361" s="219">
        <v>45083.0</v>
      </c>
      <c r="AG361" s="220" t="str">
        <f t="shared" si="298"/>
        <v/>
      </c>
      <c r="AH361" s="220"/>
      <c r="AI361" s="220">
        <f t="shared" si="285"/>
        <v>0</v>
      </c>
      <c r="AJ361" s="220">
        <f t="shared" si="286"/>
        <v>-10</v>
      </c>
      <c r="AL361" s="219">
        <v>45083.0</v>
      </c>
      <c r="AM361" s="220" t="str">
        <f t="shared" si="299"/>
        <v/>
      </c>
      <c r="AN361" s="220"/>
      <c r="AO361" s="220">
        <f t="shared" si="287"/>
        <v>0</v>
      </c>
      <c r="AP361" s="220">
        <f t="shared" si="288"/>
        <v>-10</v>
      </c>
      <c r="AR361" s="219">
        <v>45083.0</v>
      </c>
      <c r="AS361" s="220" t="str">
        <f t="shared" si="300"/>
        <v/>
      </c>
      <c r="AT361" s="220"/>
      <c r="AU361" s="220">
        <f t="shared" si="289"/>
        <v>0</v>
      </c>
      <c r="AV361" s="220">
        <f t="shared" si="290"/>
        <v>-10</v>
      </c>
      <c r="AX361" s="219">
        <v>45083.0</v>
      </c>
      <c r="AY361" s="220" t="str">
        <f t="shared" si="301"/>
        <v/>
      </c>
      <c r="AZ361" s="220"/>
      <c r="BA361" s="220">
        <f t="shared" si="291"/>
        <v>0</v>
      </c>
      <c r="BB361" s="220">
        <f t="shared" si="292"/>
        <v>-10</v>
      </c>
    </row>
    <row r="362" ht="14.25" customHeight="1">
      <c r="A362" s="218"/>
      <c r="B362" s="219">
        <v>45084.0</v>
      </c>
      <c r="C362" s="220" t="str">
        <f t="shared" si="293"/>
        <v/>
      </c>
      <c r="D362" s="220"/>
      <c r="E362" s="220">
        <f t="shared" si="275"/>
        <v>0</v>
      </c>
      <c r="F362" s="220">
        <f t="shared" si="276"/>
        <v>-10</v>
      </c>
      <c r="H362" s="219">
        <v>45084.0</v>
      </c>
      <c r="I362" s="220" t="str">
        <f t="shared" si="294"/>
        <v/>
      </c>
      <c r="J362" s="220"/>
      <c r="K362" s="220">
        <f t="shared" si="277"/>
        <v>0</v>
      </c>
      <c r="L362" s="220">
        <f t="shared" si="278"/>
        <v>-10</v>
      </c>
      <c r="N362" s="219">
        <v>45084.0</v>
      </c>
      <c r="O362" s="220" t="str">
        <f t="shared" si="295"/>
        <v/>
      </c>
      <c r="P362" s="220"/>
      <c r="Q362" s="220">
        <f t="shared" si="279"/>
        <v>0</v>
      </c>
      <c r="R362" s="220">
        <f t="shared" si="280"/>
        <v>-10</v>
      </c>
      <c r="T362" s="219">
        <v>45084.0</v>
      </c>
      <c r="U362" s="220" t="str">
        <f t="shared" si="296"/>
        <v/>
      </c>
      <c r="V362" s="220"/>
      <c r="W362" s="220">
        <f t="shared" si="281"/>
        <v>0</v>
      </c>
      <c r="X362" s="220">
        <f t="shared" si="282"/>
        <v>-10</v>
      </c>
      <c r="Z362" s="219">
        <v>45084.0</v>
      </c>
      <c r="AA362" s="220" t="str">
        <f t="shared" si="297"/>
        <v/>
      </c>
      <c r="AB362" s="220"/>
      <c r="AC362" s="220">
        <f t="shared" si="283"/>
        <v>0</v>
      </c>
      <c r="AD362" s="220">
        <f t="shared" si="284"/>
        <v>-10</v>
      </c>
      <c r="AF362" s="219">
        <v>45084.0</v>
      </c>
      <c r="AG362" s="220" t="str">
        <f t="shared" si="298"/>
        <v/>
      </c>
      <c r="AH362" s="220"/>
      <c r="AI362" s="220">
        <f t="shared" si="285"/>
        <v>0</v>
      </c>
      <c r="AJ362" s="220">
        <f t="shared" si="286"/>
        <v>-10</v>
      </c>
      <c r="AL362" s="219">
        <v>45084.0</v>
      </c>
      <c r="AM362" s="220" t="str">
        <f t="shared" si="299"/>
        <v/>
      </c>
      <c r="AN362" s="220"/>
      <c r="AO362" s="220">
        <f t="shared" si="287"/>
        <v>0</v>
      </c>
      <c r="AP362" s="220">
        <f t="shared" si="288"/>
        <v>-10</v>
      </c>
      <c r="AR362" s="219">
        <v>45084.0</v>
      </c>
      <c r="AS362" s="220" t="str">
        <f t="shared" si="300"/>
        <v/>
      </c>
      <c r="AT362" s="220"/>
      <c r="AU362" s="220">
        <f t="shared" si="289"/>
        <v>0</v>
      </c>
      <c r="AV362" s="220">
        <f t="shared" si="290"/>
        <v>-10</v>
      </c>
      <c r="AX362" s="219">
        <v>45084.0</v>
      </c>
      <c r="AY362" s="220" t="str">
        <f t="shared" si="301"/>
        <v/>
      </c>
      <c r="AZ362" s="220"/>
      <c r="BA362" s="220">
        <f t="shared" si="291"/>
        <v>0</v>
      </c>
      <c r="BB362" s="220">
        <f t="shared" si="292"/>
        <v>-10</v>
      </c>
    </row>
    <row r="363" ht="14.25" customHeight="1">
      <c r="A363" s="218"/>
      <c r="B363" s="219">
        <v>45085.0</v>
      </c>
      <c r="C363" s="220" t="str">
        <f t="shared" si="293"/>
        <v/>
      </c>
      <c r="D363" s="220"/>
      <c r="E363" s="220">
        <f t="shared" si="275"/>
        <v>0</v>
      </c>
      <c r="F363" s="220">
        <f t="shared" si="276"/>
        <v>-10</v>
      </c>
      <c r="H363" s="219">
        <v>45085.0</v>
      </c>
      <c r="I363" s="220" t="str">
        <f t="shared" si="294"/>
        <v/>
      </c>
      <c r="J363" s="220"/>
      <c r="K363" s="220">
        <f t="shared" si="277"/>
        <v>0</v>
      </c>
      <c r="L363" s="220">
        <f t="shared" si="278"/>
        <v>-10</v>
      </c>
      <c r="N363" s="219">
        <v>45085.0</v>
      </c>
      <c r="O363" s="220" t="str">
        <f t="shared" si="295"/>
        <v/>
      </c>
      <c r="P363" s="220"/>
      <c r="Q363" s="220">
        <f t="shared" si="279"/>
        <v>0</v>
      </c>
      <c r="R363" s="220">
        <f t="shared" si="280"/>
        <v>-10</v>
      </c>
      <c r="T363" s="219">
        <v>45085.0</v>
      </c>
      <c r="U363" s="220" t="str">
        <f t="shared" si="296"/>
        <v/>
      </c>
      <c r="V363" s="220"/>
      <c r="W363" s="220">
        <f t="shared" si="281"/>
        <v>0</v>
      </c>
      <c r="X363" s="220">
        <f t="shared" si="282"/>
        <v>-10</v>
      </c>
      <c r="Z363" s="219">
        <v>45085.0</v>
      </c>
      <c r="AA363" s="220" t="str">
        <f t="shared" si="297"/>
        <v/>
      </c>
      <c r="AB363" s="220"/>
      <c r="AC363" s="220">
        <f t="shared" si="283"/>
        <v>0</v>
      </c>
      <c r="AD363" s="220">
        <f t="shared" si="284"/>
        <v>-10</v>
      </c>
      <c r="AF363" s="219">
        <v>45085.0</v>
      </c>
      <c r="AG363" s="220" t="str">
        <f t="shared" si="298"/>
        <v/>
      </c>
      <c r="AH363" s="220"/>
      <c r="AI363" s="220">
        <f t="shared" si="285"/>
        <v>0</v>
      </c>
      <c r="AJ363" s="220">
        <f t="shared" si="286"/>
        <v>-10</v>
      </c>
      <c r="AL363" s="219">
        <v>45085.0</v>
      </c>
      <c r="AM363" s="220" t="str">
        <f t="shared" si="299"/>
        <v/>
      </c>
      <c r="AN363" s="220"/>
      <c r="AO363" s="220">
        <f t="shared" si="287"/>
        <v>0</v>
      </c>
      <c r="AP363" s="220">
        <f t="shared" si="288"/>
        <v>-10</v>
      </c>
      <c r="AR363" s="219">
        <v>45085.0</v>
      </c>
      <c r="AS363" s="220" t="str">
        <f t="shared" si="300"/>
        <v/>
      </c>
      <c r="AT363" s="220"/>
      <c r="AU363" s="220">
        <f t="shared" si="289"/>
        <v>0</v>
      </c>
      <c r="AV363" s="220">
        <f t="shared" si="290"/>
        <v>-10</v>
      </c>
      <c r="AX363" s="219">
        <v>45085.0</v>
      </c>
      <c r="AY363" s="220" t="str">
        <f t="shared" si="301"/>
        <v/>
      </c>
      <c r="AZ363" s="220"/>
      <c r="BA363" s="220">
        <f t="shared" si="291"/>
        <v>0</v>
      </c>
      <c r="BB363" s="220">
        <f t="shared" si="292"/>
        <v>-10</v>
      </c>
    </row>
    <row r="364" ht="14.25" customHeight="1">
      <c r="A364" s="218"/>
      <c r="B364" s="219">
        <v>45086.0</v>
      </c>
      <c r="C364" s="220" t="str">
        <f t="shared" si="293"/>
        <v/>
      </c>
      <c r="D364" s="220"/>
      <c r="E364" s="220">
        <f t="shared" si="275"/>
        <v>0</v>
      </c>
      <c r="F364" s="220">
        <f t="shared" si="276"/>
        <v>-10</v>
      </c>
      <c r="H364" s="219">
        <v>45086.0</v>
      </c>
      <c r="I364" s="220" t="str">
        <f t="shared" si="294"/>
        <v/>
      </c>
      <c r="J364" s="220"/>
      <c r="K364" s="220">
        <f t="shared" si="277"/>
        <v>0</v>
      </c>
      <c r="L364" s="220">
        <f t="shared" si="278"/>
        <v>-10</v>
      </c>
      <c r="N364" s="219">
        <v>45086.0</v>
      </c>
      <c r="O364" s="220" t="str">
        <f t="shared" si="295"/>
        <v/>
      </c>
      <c r="P364" s="220"/>
      <c r="Q364" s="220">
        <f t="shared" si="279"/>
        <v>0</v>
      </c>
      <c r="R364" s="220">
        <f t="shared" si="280"/>
        <v>-10</v>
      </c>
      <c r="T364" s="219">
        <v>45086.0</v>
      </c>
      <c r="U364" s="220" t="str">
        <f t="shared" si="296"/>
        <v/>
      </c>
      <c r="V364" s="220"/>
      <c r="W364" s="220">
        <f t="shared" si="281"/>
        <v>0</v>
      </c>
      <c r="X364" s="220">
        <f t="shared" si="282"/>
        <v>-10</v>
      </c>
      <c r="Z364" s="219">
        <v>45086.0</v>
      </c>
      <c r="AA364" s="220" t="str">
        <f t="shared" si="297"/>
        <v/>
      </c>
      <c r="AB364" s="220"/>
      <c r="AC364" s="220">
        <f t="shared" si="283"/>
        <v>0</v>
      </c>
      <c r="AD364" s="220">
        <f t="shared" si="284"/>
        <v>-10</v>
      </c>
      <c r="AF364" s="219">
        <v>45086.0</v>
      </c>
      <c r="AG364" s="220" t="str">
        <f t="shared" si="298"/>
        <v/>
      </c>
      <c r="AH364" s="220"/>
      <c r="AI364" s="220">
        <f t="shared" si="285"/>
        <v>0</v>
      </c>
      <c r="AJ364" s="220">
        <f t="shared" si="286"/>
        <v>-10</v>
      </c>
      <c r="AL364" s="219">
        <v>45086.0</v>
      </c>
      <c r="AM364" s="220" t="str">
        <f t="shared" si="299"/>
        <v/>
      </c>
      <c r="AN364" s="220"/>
      <c r="AO364" s="220">
        <f t="shared" si="287"/>
        <v>0</v>
      </c>
      <c r="AP364" s="220">
        <f t="shared" si="288"/>
        <v>-10</v>
      </c>
      <c r="AR364" s="219">
        <v>45086.0</v>
      </c>
      <c r="AS364" s="220" t="str">
        <f t="shared" si="300"/>
        <v/>
      </c>
      <c r="AT364" s="220"/>
      <c r="AU364" s="220">
        <f t="shared" si="289"/>
        <v>0</v>
      </c>
      <c r="AV364" s="220">
        <f t="shared" si="290"/>
        <v>-10</v>
      </c>
      <c r="AX364" s="219">
        <v>45086.0</v>
      </c>
      <c r="AY364" s="220" t="str">
        <f t="shared" si="301"/>
        <v/>
      </c>
      <c r="AZ364" s="220"/>
      <c r="BA364" s="220">
        <f t="shared" si="291"/>
        <v>0</v>
      </c>
      <c r="BB364" s="220">
        <f t="shared" si="292"/>
        <v>-10</v>
      </c>
    </row>
    <row r="365" ht="14.25" customHeight="1">
      <c r="A365" s="218"/>
      <c r="B365" s="219">
        <v>45087.0</v>
      </c>
      <c r="C365" s="220" t="str">
        <f t="shared" si="293"/>
        <v/>
      </c>
      <c r="D365" s="220"/>
      <c r="E365" s="220">
        <f t="shared" si="275"/>
        <v>0</v>
      </c>
      <c r="F365" s="220">
        <f t="shared" si="276"/>
        <v>-10</v>
      </c>
      <c r="G365" s="221"/>
      <c r="H365" s="219">
        <v>45087.0</v>
      </c>
      <c r="I365" s="220" t="str">
        <f t="shared" si="294"/>
        <v/>
      </c>
      <c r="J365" s="220"/>
      <c r="K365" s="220">
        <f t="shared" si="277"/>
        <v>0</v>
      </c>
      <c r="L365" s="220">
        <f t="shared" si="278"/>
        <v>-10</v>
      </c>
      <c r="M365" s="221"/>
      <c r="N365" s="219">
        <v>45087.0</v>
      </c>
      <c r="O365" s="220" t="str">
        <f t="shared" si="295"/>
        <v/>
      </c>
      <c r="P365" s="220"/>
      <c r="Q365" s="220">
        <f t="shared" si="279"/>
        <v>0</v>
      </c>
      <c r="R365" s="220">
        <f t="shared" si="280"/>
        <v>-10</v>
      </c>
      <c r="S365" s="221"/>
      <c r="T365" s="219">
        <v>45087.0</v>
      </c>
      <c r="U365" s="220" t="str">
        <f t="shared" si="296"/>
        <v/>
      </c>
      <c r="V365" s="220"/>
      <c r="W365" s="220">
        <f t="shared" si="281"/>
        <v>0</v>
      </c>
      <c r="X365" s="220">
        <f t="shared" si="282"/>
        <v>-10</v>
      </c>
      <c r="Y365" s="221"/>
      <c r="Z365" s="219">
        <v>45087.0</v>
      </c>
      <c r="AA365" s="220" t="str">
        <f t="shared" si="297"/>
        <v/>
      </c>
      <c r="AB365" s="220"/>
      <c r="AC365" s="220">
        <f t="shared" si="283"/>
        <v>0</v>
      </c>
      <c r="AD365" s="220">
        <f t="shared" si="284"/>
        <v>-10</v>
      </c>
      <c r="AE365" s="221"/>
      <c r="AF365" s="219">
        <v>45087.0</v>
      </c>
      <c r="AG365" s="220" t="str">
        <f t="shared" si="298"/>
        <v/>
      </c>
      <c r="AH365" s="220"/>
      <c r="AI365" s="220">
        <f t="shared" si="285"/>
        <v>0</v>
      </c>
      <c r="AJ365" s="220">
        <f t="shared" si="286"/>
        <v>-10</v>
      </c>
      <c r="AK365" s="221"/>
      <c r="AL365" s="219">
        <v>45087.0</v>
      </c>
      <c r="AM365" s="220" t="str">
        <f t="shared" si="299"/>
        <v/>
      </c>
      <c r="AN365" s="220"/>
      <c r="AO365" s="220">
        <f t="shared" si="287"/>
        <v>0</v>
      </c>
      <c r="AP365" s="220">
        <f t="shared" si="288"/>
        <v>-10</v>
      </c>
      <c r="AQ365" s="221"/>
      <c r="AR365" s="219">
        <v>45087.0</v>
      </c>
      <c r="AS365" s="220" t="str">
        <f t="shared" si="300"/>
        <v/>
      </c>
      <c r="AT365" s="220"/>
      <c r="AU365" s="220">
        <f t="shared" si="289"/>
        <v>0</v>
      </c>
      <c r="AV365" s="220">
        <f t="shared" si="290"/>
        <v>-10</v>
      </c>
      <c r="AW365" s="221"/>
      <c r="AX365" s="219">
        <v>45087.0</v>
      </c>
      <c r="AY365" s="220" t="str">
        <f t="shared" si="301"/>
        <v/>
      </c>
      <c r="AZ365" s="220"/>
      <c r="BA365" s="220">
        <f t="shared" si="291"/>
        <v>0</v>
      </c>
      <c r="BB365" s="220">
        <f t="shared" si="292"/>
        <v>-10</v>
      </c>
    </row>
    <row r="366" ht="14.25" customHeight="1">
      <c r="A366" s="218"/>
      <c r="B366" s="219">
        <v>45088.0</v>
      </c>
      <c r="C366" s="220" t="str">
        <f t="shared" si="293"/>
        <v/>
      </c>
      <c r="D366" s="220"/>
      <c r="E366" s="220">
        <f t="shared" si="275"/>
        <v>0</v>
      </c>
      <c r="F366" s="220">
        <f t="shared" si="276"/>
        <v>-10</v>
      </c>
      <c r="G366" s="221"/>
      <c r="H366" s="219">
        <v>45088.0</v>
      </c>
      <c r="I366" s="220" t="str">
        <f t="shared" si="294"/>
        <v/>
      </c>
      <c r="J366" s="220"/>
      <c r="K366" s="220">
        <f t="shared" si="277"/>
        <v>0</v>
      </c>
      <c r="L366" s="220">
        <f t="shared" si="278"/>
        <v>-10</v>
      </c>
      <c r="M366" s="221"/>
      <c r="N366" s="219">
        <v>45088.0</v>
      </c>
      <c r="O366" s="220" t="str">
        <f t="shared" si="295"/>
        <v/>
      </c>
      <c r="P366" s="220"/>
      <c r="Q366" s="220">
        <f t="shared" si="279"/>
        <v>0</v>
      </c>
      <c r="R366" s="220">
        <f t="shared" si="280"/>
        <v>-10</v>
      </c>
      <c r="S366" s="221"/>
      <c r="T366" s="219">
        <v>45088.0</v>
      </c>
      <c r="U366" s="220" t="str">
        <f t="shared" si="296"/>
        <v/>
      </c>
      <c r="V366" s="220"/>
      <c r="W366" s="220">
        <f t="shared" si="281"/>
        <v>0</v>
      </c>
      <c r="X366" s="220">
        <f t="shared" si="282"/>
        <v>-10</v>
      </c>
      <c r="Y366" s="221"/>
      <c r="Z366" s="219">
        <v>45088.0</v>
      </c>
      <c r="AA366" s="220" t="str">
        <f t="shared" si="297"/>
        <v/>
      </c>
      <c r="AB366" s="220"/>
      <c r="AC366" s="220">
        <f t="shared" si="283"/>
        <v>0</v>
      </c>
      <c r="AD366" s="220">
        <f t="shared" si="284"/>
        <v>-10</v>
      </c>
      <c r="AE366" s="221"/>
      <c r="AF366" s="219">
        <v>45088.0</v>
      </c>
      <c r="AG366" s="220" t="str">
        <f t="shared" si="298"/>
        <v/>
      </c>
      <c r="AH366" s="220"/>
      <c r="AI366" s="220">
        <f t="shared" si="285"/>
        <v>0</v>
      </c>
      <c r="AJ366" s="220">
        <f t="shared" si="286"/>
        <v>-10</v>
      </c>
      <c r="AK366" s="221"/>
      <c r="AL366" s="219">
        <v>45088.0</v>
      </c>
      <c r="AM366" s="220" t="str">
        <f t="shared" si="299"/>
        <v/>
      </c>
      <c r="AN366" s="220"/>
      <c r="AO366" s="220">
        <f t="shared" si="287"/>
        <v>0</v>
      </c>
      <c r="AP366" s="220">
        <f t="shared" si="288"/>
        <v>-10</v>
      </c>
      <c r="AQ366" s="221"/>
      <c r="AR366" s="219">
        <v>45088.0</v>
      </c>
      <c r="AS366" s="220" t="str">
        <f t="shared" si="300"/>
        <v/>
      </c>
      <c r="AT366" s="220"/>
      <c r="AU366" s="220">
        <f t="shared" si="289"/>
        <v>0</v>
      </c>
      <c r="AV366" s="220">
        <f t="shared" si="290"/>
        <v>-10</v>
      </c>
      <c r="AW366" s="221"/>
      <c r="AX366" s="219">
        <v>45088.0</v>
      </c>
      <c r="AY366" s="220" t="str">
        <f t="shared" si="301"/>
        <v/>
      </c>
      <c r="AZ366" s="220"/>
      <c r="BA366" s="220">
        <f t="shared" si="291"/>
        <v>0</v>
      </c>
      <c r="BB366" s="220">
        <f t="shared" si="292"/>
        <v>-10</v>
      </c>
    </row>
    <row r="367" ht="14.25" customHeight="1">
      <c r="A367" s="218"/>
      <c r="B367" s="219">
        <v>45089.0</v>
      </c>
      <c r="C367" s="220" t="str">
        <f t="shared" si="293"/>
        <v/>
      </c>
      <c r="D367" s="220"/>
      <c r="E367" s="220">
        <f t="shared" si="275"/>
        <v>0</v>
      </c>
      <c r="F367" s="220">
        <f t="shared" si="276"/>
        <v>-10</v>
      </c>
      <c r="H367" s="219">
        <v>45089.0</v>
      </c>
      <c r="I367" s="220" t="str">
        <f t="shared" si="294"/>
        <v/>
      </c>
      <c r="J367" s="220"/>
      <c r="K367" s="220">
        <f t="shared" si="277"/>
        <v>0</v>
      </c>
      <c r="L367" s="220">
        <f t="shared" si="278"/>
        <v>-10</v>
      </c>
      <c r="N367" s="219">
        <v>45089.0</v>
      </c>
      <c r="O367" s="220" t="str">
        <f t="shared" si="295"/>
        <v/>
      </c>
      <c r="P367" s="220"/>
      <c r="Q367" s="220">
        <f t="shared" si="279"/>
        <v>0</v>
      </c>
      <c r="R367" s="220">
        <f t="shared" si="280"/>
        <v>-10</v>
      </c>
      <c r="T367" s="219">
        <v>45089.0</v>
      </c>
      <c r="U367" s="220" t="str">
        <f t="shared" si="296"/>
        <v/>
      </c>
      <c r="V367" s="220"/>
      <c r="W367" s="220">
        <f t="shared" si="281"/>
        <v>0</v>
      </c>
      <c r="X367" s="220">
        <f t="shared" si="282"/>
        <v>-10</v>
      </c>
      <c r="Z367" s="219">
        <v>45089.0</v>
      </c>
      <c r="AA367" s="220" t="str">
        <f t="shared" si="297"/>
        <v/>
      </c>
      <c r="AB367" s="220"/>
      <c r="AC367" s="220">
        <f t="shared" si="283"/>
        <v>0</v>
      </c>
      <c r="AD367" s="220">
        <f t="shared" si="284"/>
        <v>-10</v>
      </c>
      <c r="AF367" s="219">
        <v>45089.0</v>
      </c>
      <c r="AG367" s="220" t="str">
        <f t="shared" si="298"/>
        <v/>
      </c>
      <c r="AH367" s="220"/>
      <c r="AI367" s="220">
        <f t="shared" si="285"/>
        <v>0</v>
      </c>
      <c r="AJ367" s="220">
        <f t="shared" si="286"/>
        <v>-10</v>
      </c>
      <c r="AL367" s="219">
        <v>45089.0</v>
      </c>
      <c r="AM367" s="220" t="str">
        <f t="shared" si="299"/>
        <v/>
      </c>
      <c r="AN367" s="220"/>
      <c r="AO367" s="220">
        <f t="shared" si="287"/>
        <v>0</v>
      </c>
      <c r="AP367" s="220">
        <f t="shared" si="288"/>
        <v>-10</v>
      </c>
      <c r="AR367" s="219">
        <v>45089.0</v>
      </c>
      <c r="AS367" s="220" t="str">
        <f t="shared" si="300"/>
        <v/>
      </c>
      <c r="AT367" s="220"/>
      <c r="AU367" s="220">
        <f t="shared" si="289"/>
        <v>0</v>
      </c>
      <c r="AV367" s="220">
        <f t="shared" si="290"/>
        <v>-10</v>
      </c>
      <c r="AX367" s="219">
        <v>45089.0</v>
      </c>
      <c r="AY367" s="220" t="str">
        <f t="shared" si="301"/>
        <v/>
      </c>
      <c r="AZ367" s="220"/>
      <c r="BA367" s="220">
        <f t="shared" si="291"/>
        <v>0</v>
      </c>
      <c r="BB367" s="220">
        <f t="shared" si="292"/>
        <v>-10</v>
      </c>
    </row>
    <row r="368" ht="14.25" customHeight="1">
      <c r="A368" s="218"/>
      <c r="B368" s="219">
        <v>45090.0</v>
      </c>
      <c r="C368" s="220" t="str">
        <f t="shared" si="293"/>
        <v/>
      </c>
      <c r="D368" s="220"/>
      <c r="E368" s="220">
        <f t="shared" si="275"/>
        <v>0</v>
      </c>
      <c r="F368" s="220">
        <f t="shared" si="276"/>
        <v>-10</v>
      </c>
      <c r="H368" s="219">
        <v>45090.0</v>
      </c>
      <c r="I368" s="220" t="str">
        <f t="shared" si="294"/>
        <v/>
      </c>
      <c r="J368" s="220"/>
      <c r="K368" s="220">
        <f t="shared" si="277"/>
        <v>0</v>
      </c>
      <c r="L368" s="220">
        <f t="shared" si="278"/>
        <v>-10</v>
      </c>
      <c r="N368" s="219">
        <v>45090.0</v>
      </c>
      <c r="O368" s="220" t="str">
        <f t="shared" si="295"/>
        <v/>
      </c>
      <c r="P368" s="220"/>
      <c r="Q368" s="220">
        <f t="shared" si="279"/>
        <v>0</v>
      </c>
      <c r="R368" s="220">
        <f t="shared" si="280"/>
        <v>-10</v>
      </c>
      <c r="T368" s="219">
        <v>45090.0</v>
      </c>
      <c r="U368" s="220" t="str">
        <f t="shared" si="296"/>
        <v/>
      </c>
      <c r="V368" s="220"/>
      <c r="W368" s="220">
        <f t="shared" si="281"/>
        <v>0</v>
      </c>
      <c r="X368" s="220">
        <f t="shared" si="282"/>
        <v>-10</v>
      </c>
      <c r="Z368" s="219">
        <v>45090.0</v>
      </c>
      <c r="AA368" s="220" t="str">
        <f t="shared" si="297"/>
        <v/>
      </c>
      <c r="AB368" s="220"/>
      <c r="AC368" s="220">
        <f t="shared" si="283"/>
        <v>0</v>
      </c>
      <c r="AD368" s="220">
        <f t="shared" si="284"/>
        <v>-10</v>
      </c>
      <c r="AF368" s="219">
        <v>45090.0</v>
      </c>
      <c r="AG368" s="220" t="str">
        <f t="shared" si="298"/>
        <v/>
      </c>
      <c r="AH368" s="220"/>
      <c r="AI368" s="220">
        <f t="shared" si="285"/>
        <v>0</v>
      </c>
      <c r="AJ368" s="220">
        <f t="shared" si="286"/>
        <v>-10</v>
      </c>
      <c r="AL368" s="219">
        <v>45090.0</v>
      </c>
      <c r="AM368" s="220" t="str">
        <f t="shared" si="299"/>
        <v/>
      </c>
      <c r="AN368" s="220"/>
      <c r="AO368" s="220">
        <f t="shared" si="287"/>
        <v>0</v>
      </c>
      <c r="AP368" s="220">
        <f t="shared" si="288"/>
        <v>-10</v>
      </c>
      <c r="AR368" s="219">
        <v>45090.0</v>
      </c>
      <c r="AS368" s="220" t="str">
        <f t="shared" si="300"/>
        <v/>
      </c>
      <c r="AT368" s="220"/>
      <c r="AU368" s="220">
        <f t="shared" si="289"/>
        <v>0</v>
      </c>
      <c r="AV368" s="220">
        <f t="shared" si="290"/>
        <v>-10</v>
      </c>
      <c r="AX368" s="219">
        <v>45090.0</v>
      </c>
      <c r="AY368" s="220" t="str">
        <f t="shared" si="301"/>
        <v/>
      </c>
      <c r="AZ368" s="220"/>
      <c r="BA368" s="220">
        <f t="shared" si="291"/>
        <v>0</v>
      </c>
      <c r="BB368" s="220">
        <f t="shared" si="292"/>
        <v>-10</v>
      </c>
    </row>
    <row r="369" ht="14.25" customHeight="1">
      <c r="A369" s="218"/>
      <c r="B369" s="219">
        <v>45091.0</v>
      </c>
      <c r="C369" s="220" t="str">
        <f t="shared" si="293"/>
        <v/>
      </c>
      <c r="D369" s="220"/>
      <c r="E369" s="220">
        <f t="shared" si="275"/>
        <v>0</v>
      </c>
      <c r="F369" s="220">
        <f t="shared" si="276"/>
        <v>-10</v>
      </c>
      <c r="H369" s="219">
        <v>45091.0</v>
      </c>
      <c r="I369" s="220" t="str">
        <f t="shared" si="294"/>
        <v/>
      </c>
      <c r="J369" s="220"/>
      <c r="K369" s="220">
        <f t="shared" si="277"/>
        <v>0</v>
      </c>
      <c r="L369" s="220">
        <f t="shared" si="278"/>
        <v>-10</v>
      </c>
      <c r="N369" s="219">
        <v>45091.0</v>
      </c>
      <c r="O369" s="220" t="str">
        <f t="shared" si="295"/>
        <v/>
      </c>
      <c r="P369" s="220"/>
      <c r="Q369" s="220">
        <f t="shared" si="279"/>
        <v>0</v>
      </c>
      <c r="R369" s="220">
        <f t="shared" si="280"/>
        <v>-10</v>
      </c>
      <c r="T369" s="219">
        <v>45091.0</v>
      </c>
      <c r="U369" s="220" t="str">
        <f t="shared" si="296"/>
        <v/>
      </c>
      <c r="V369" s="220"/>
      <c r="W369" s="220">
        <f t="shared" si="281"/>
        <v>0</v>
      </c>
      <c r="X369" s="220">
        <f t="shared" si="282"/>
        <v>-10</v>
      </c>
      <c r="Z369" s="219">
        <v>45091.0</v>
      </c>
      <c r="AA369" s="220" t="str">
        <f t="shared" si="297"/>
        <v/>
      </c>
      <c r="AB369" s="220"/>
      <c r="AC369" s="220">
        <f t="shared" si="283"/>
        <v>0</v>
      </c>
      <c r="AD369" s="220">
        <f t="shared" si="284"/>
        <v>-10</v>
      </c>
      <c r="AF369" s="219">
        <v>45091.0</v>
      </c>
      <c r="AG369" s="220" t="str">
        <f t="shared" si="298"/>
        <v/>
      </c>
      <c r="AH369" s="220"/>
      <c r="AI369" s="220">
        <f t="shared" si="285"/>
        <v>0</v>
      </c>
      <c r="AJ369" s="220">
        <f t="shared" si="286"/>
        <v>-10</v>
      </c>
      <c r="AL369" s="219">
        <v>45091.0</v>
      </c>
      <c r="AM369" s="220" t="str">
        <f t="shared" si="299"/>
        <v/>
      </c>
      <c r="AN369" s="220"/>
      <c r="AO369" s="220">
        <f t="shared" si="287"/>
        <v>0</v>
      </c>
      <c r="AP369" s="220">
        <f t="shared" si="288"/>
        <v>-10</v>
      </c>
      <c r="AR369" s="219">
        <v>45091.0</v>
      </c>
      <c r="AS369" s="220" t="str">
        <f t="shared" si="300"/>
        <v/>
      </c>
      <c r="AT369" s="220"/>
      <c r="AU369" s="220">
        <f t="shared" si="289"/>
        <v>0</v>
      </c>
      <c r="AV369" s="220">
        <f t="shared" si="290"/>
        <v>-10</v>
      </c>
      <c r="AX369" s="219">
        <v>45091.0</v>
      </c>
      <c r="AY369" s="220" t="str">
        <f t="shared" si="301"/>
        <v/>
      </c>
      <c r="AZ369" s="220"/>
      <c r="BA369" s="220">
        <f t="shared" si="291"/>
        <v>0</v>
      </c>
      <c r="BB369" s="220">
        <f t="shared" si="292"/>
        <v>-10</v>
      </c>
    </row>
    <row r="370" ht="14.25" customHeight="1">
      <c r="A370" s="218"/>
      <c r="B370" s="219">
        <v>45092.0</v>
      </c>
      <c r="C370" s="220" t="str">
        <f t="shared" si="293"/>
        <v/>
      </c>
      <c r="D370" s="220"/>
      <c r="E370" s="220">
        <f t="shared" si="275"/>
        <v>0</v>
      </c>
      <c r="F370" s="220">
        <f t="shared" si="276"/>
        <v>-10</v>
      </c>
      <c r="H370" s="219">
        <v>45092.0</v>
      </c>
      <c r="I370" s="220" t="str">
        <f t="shared" si="294"/>
        <v/>
      </c>
      <c r="J370" s="220"/>
      <c r="K370" s="220">
        <f t="shared" si="277"/>
        <v>0</v>
      </c>
      <c r="L370" s="220">
        <f t="shared" si="278"/>
        <v>-10</v>
      </c>
      <c r="N370" s="219">
        <v>45092.0</v>
      </c>
      <c r="O370" s="220" t="str">
        <f t="shared" si="295"/>
        <v/>
      </c>
      <c r="P370" s="220"/>
      <c r="Q370" s="220">
        <f t="shared" si="279"/>
        <v>0</v>
      </c>
      <c r="R370" s="220">
        <f t="shared" si="280"/>
        <v>-10</v>
      </c>
      <c r="T370" s="219">
        <v>45092.0</v>
      </c>
      <c r="U370" s="220" t="str">
        <f t="shared" si="296"/>
        <v/>
      </c>
      <c r="V370" s="220"/>
      <c r="W370" s="220">
        <f t="shared" si="281"/>
        <v>0</v>
      </c>
      <c r="X370" s="220">
        <f t="shared" si="282"/>
        <v>-10</v>
      </c>
      <c r="Z370" s="219">
        <v>45092.0</v>
      </c>
      <c r="AA370" s="220" t="str">
        <f t="shared" si="297"/>
        <v/>
      </c>
      <c r="AB370" s="220"/>
      <c r="AC370" s="220">
        <f t="shared" si="283"/>
        <v>0</v>
      </c>
      <c r="AD370" s="220">
        <f t="shared" si="284"/>
        <v>-10</v>
      </c>
      <c r="AF370" s="219">
        <v>45092.0</v>
      </c>
      <c r="AG370" s="220" t="str">
        <f t="shared" si="298"/>
        <v/>
      </c>
      <c r="AH370" s="220"/>
      <c r="AI370" s="220">
        <f t="shared" si="285"/>
        <v>0</v>
      </c>
      <c r="AJ370" s="220">
        <f t="shared" si="286"/>
        <v>-10</v>
      </c>
      <c r="AL370" s="219">
        <v>45092.0</v>
      </c>
      <c r="AM370" s="220" t="str">
        <f t="shared" si="299"/>
        <v/>
      </c>
      <c r="AN370" s="220"/>
      <c r="AO370" s="220">
        <f t="shared" si="287"/>
        <v>0</v>
      </c>
      <c r="AP370" s="220">
        <f t="shared" si="288"/>
        <v>-10</v>
      </c>
      <c r="AR370" s="219">
        <v>45092.0</v>
      </c>
      <c r="AS370" s="220" t="str">
        <f t="shared" si="300"/>
        <v/>
      </c>
      <c r="AT370" s="220"/>
      <c r="AU370" s="220">
        <f t="shared" si="289"/>
        <v>0</v>
      </c>
      <c r="AV370" s="220">
        <f t="shared" si="290"/>
        <v>-10</v>
      </c>
      <c r="AX370" s="219">
        <v>45092.0</v>
      </c>
      <c r="AY370" s="220" t="str">
        <f t="shared" si="301"/>
        <v/>
      </c>
      <c r="AZ370" s="220"/>
      <c r="BA370" s="220">
        <f t="shared" si="291"/>
        <v>0</v>
      </c>
      <c r="BB370" s="220">
        <f t="shared" si="292"/>
        <v>-10</v>
      </c>
    </row>
    <row r="371" ht="14.25" customHeight="1">
      <c r="A371" s="218"/>
      <c r="B371" s="219">
        <v>45093.0</v>
      </c>
      <c r="C371" s="220" t="str">
        <f t="shared" si="293"/>
        <v/>
      </c>
      <c r="D371" s="220"/>
      <c r="E371" s="220">
        <f t="shared" si="275"/>
        <v>0</v>
      </c>
      <c r="F371" s="220">
        <f t="shared" si="276"/>
        <v>-10</v>
      </c>
      <c r="H371" s="219">
        <v>45093.0</v>
      </c>
      <c r="I371" s="220" t="str">
        <f t="shared" si="294"/>
        <v/>
      </c>
      <c r="J371" s="220"/>
      <c r="K371" s="220">
        <f t="shared" si="277"/>
        <v>0</v>
      </c>
      <c r="L371" s="220">
        <f t="shared" si="278"/>
        <v>-10</v>
      </c>
      <c r="N371" s="219">
        <v>45093.0</v>
      </c>
      <c r="O371" s="220" t="str">
        <f t="shared" si="295"/>
        <v/>
      </c>
      <c r="P371" s="220"/>
      <c r="Q371" s="220">
        <f t="shared" si="279"/>
        <v>0</v>
      </c>
      <c r="R371" s="220">
        <f t="shared" si="280"/>
        <v>-10</v>
      </c>
      <c r="T371" s="219">
        <v>45093.0</v>
      </c>
      <c r="U371" s="220" t="str">
        <f t="shared" si="296"/>
        <v/>
      </c>
      <c r="V371" s="220"/>
      <c r="W371" s="220">
        <f t="shared" si="281"/>
        <v>0</v>
      </c>
      <c r="X371" s="220">
        <f t="shared" si="282"/>
        <v>-10</v>
      </c>
      <c r="Z371" s="219">
        <v>45093.0</v>
      </c>
      <c r="AA371" s="220" t="str">
        <f t="shared" si="297"/>
        <v/>
      </c>
      <c r="AB371" s="220"/>
      <c r="AC371" s="220">
        <f t="shared" si="283"/>
        <v>0</v>
      </c>
      <c r="AD371" s="220">
        <f t="shared" si="284"/>
        <v>-10</v>
      </c>
      <c r="AF371" s="219">
        <v>45093.0</v>
      </c>
      <c r="AG371" s="220" t="str">
        <f t="shared" si="298"/>
        <v/>
      </c>
      <c r="AH371" s="220"/>
      <c r="AI371" s="220">
        <f t="shared" si="285"/>
        <v>0</v>
      </c>
      <c r="AJ371" s="220">
        <f t="shared" si="286"/>
        <v>-10</v>
      </c>
      <c r="AL371" s="219">
        <v>45093.0</v>
      </c>
      <c r="AM371" s="220" t="str">
        <f t="shared" si="299"/>
        <v/>
      </c>
      <c r="AN371" s="220"/>
      <c r="AO371" s="220">
        <f t="shared" si="287"/>
        <v>0</v>
      </c>
      <c r="AP371" s="220">
        <f t="shared" si="288"/>
        <v>-10</v>
      </c>
      <c r="AR371" s="219">
        <v>45093.0</v>
      </c>
      <c r="AS371" s="220" t="str">
        <f t="shared" si="300"/>
        <v/>
      </c>
      <c r="AT371" s="220"/>
      <c r="AU371" s="220">
        <f t="shared" si="289"/>
        <v>0</v>
      </c>
      <c r="AV371" s="220">
        <f t="shared" si="290"/>
        <v>-10</v>
      </c>
      <c r="AX371" s="219">
        <v>45093.0</v>
      </c>
      <c r="AY371" s="220" t="str">
        <f t="shared" si="301"/>
        <v/>
      </c>
      <c r="AZ371" s="220"/>
      <c r="BA371" s="220">
        <f t="shared" si="291"/>
        <v>0</v>
      </c>
      <c r="BB371" s="220">
        <f t="shared" si="292"/>
        <v>-10</v>
      </c>
    </row>
    <row r="372" ht="14.25" customHeight="1">
      <c r="A372" s="218"/>
      <c r="B372" s="219">
        <v>45094.0</v>
      </c>
      <c r="C372" s="220" t="str">
        <f t="shared" si="293"/>
        <v/>
      </c>
      <c r="D372" s="220"/>
      <c r="E372" s="220">
        <f t="shared" si="275"/>
        <v>0</v>
      </c>
      <c r="F372" s="220">
        <f t="shared" si="276"/>
        <v>-10</v>
      </c>
      <c r="G372" s="221"/>
      <c r="H372" s="219">
        <v>45094.0</v>
      </c>
      <c r="I372" s="220" t="str">
        <f t="shared" si="294"/>
        <v/>
      </c>
      <c r="J372" s="220"/>
      <c r="K372" s="220">
        <f t="shared" si="277"/>
        <v>0</v>
      </c>
      <c r="L372" s="220">
        <f t="shared" si="278"/>
        <v>-10</v>
      </c>
      <c r="M372" s="221"/>
      <c r="N372" s="219">
        <v>45094.0</v>
      </c>
      <c r="O372" s="220" t="str">
        <f t="shared" si="295"/>
        <v/>
      </c>
      <c r="P372" s="220"/>
      <c r="Q372" s="220">
        <f t="shared" si="279"/>
        <v>0</v>
      </c>
      <c r="R372" s="220">
        <f t="shared" si="280"/>
        <v>-10</v>
      </c>
      <c r="S372" s="221"/>
      <c r="T372" s="219">
        <v>45094.0</v>
      </c>
      <c r="U372" s="220" t="str">
        <f t="shared" si="296"/>
        <v/>
      </c>
      <c r="V372" s="220"/>
      <c r="W372" s="220">
        <f t="shared" si="281"/>
        <v>0</v>
      </c>
      <c r="X372" s="220">
        <f t="shared" si="282"/>
        <v>-10</v>
      </c>
      <c r="Y372" s="221"/>
      <c r="Z372" s="219">
        <v>45094.0</v>
      </c>
      <c r="AA372" s="220" t="str">
        <f t="shared" si="297"/>
        <v/>
      </c>
      <c r="AB372" s="220"/>
      <c r="AC372" s="220">
        <f t="shared" si="283"/>
        <v>0</v>
      </c>
      <c r="AD372" s="220">
        <f t="shared" si="284"/>
        <v>-10</v>
      </c>
      <c r="AE372" s="221"/>
      <c r="AF372" s="219">
        <v>45094.0</v>
      </c>
      <c r="AG372" s="220" t="str">
        <f t="shared" si="298"/>
        <v/>
      </c>
      <c r="AH372" s="220"/>
      <c r="AI372" s="220">
        <f t="shared" si="285"/>
        <v>0</v>
      </c>
      <c r="AJ372" s="220">
        <f t="shared" si="286"/>
        <v>-10</v>
      </c>
      <c r="AK372" s="221"/>
      <c r="AL372" s="219">
        <v>45094.0</v>
      </c>
      <c r="AM372" s="220" t="str">
        <f t="shared" si="299"/>
        <v/>
      </c>
      <c r="AN372" s="220"/>
      <c r="AO372" s="220">
        <f t="shared" si="287"/>
        <v>0</v>
      </c>
      <c r="AP372" s="220">
        <f t="shared" si="288"/>
        <v>-10</v>
      </c>
      <c r="AQ372" s="221"/>
      <c r="AR372" s="219">
        <v>45094.0</v>
      </c>
      <c r="AS372" s="220" t="str">
        <f t="shared" si="300"/>
        <v/>
      </c>
      <c r="AT372" s="220"/>
      <c r="AU372" s="220">
        <f t="shared" si="289"/>
        <v>0</v>
      </c>
      <c r="AV372" s="220">
        <f t="shared" si="290"/>
        <v>-10</v>
      </c>
      <c r="AW372" s="221"/>
      <c r="AX372" s="219">
        <v>45094.0</v>
      </c>
      <c r="AY372" s="220" t="str">
        <f t="shared" si="301"/>
        <v/>
      </c>
      <c r="AZ372" s="220"/>
      <c r="BA372" s="220">
        <f t="shared" si="291"/>
        <v>0</v>
      </c>
      <c r="BB372" s="220">
        <f t="shared" si="292"/>
        <v>-10</v>
      </c>
    </row>
    <row r="373" ht="14.25" customHeight="1">
      <c r="A373" s="218"/>
      <c r="B373" s="219">
        <v>45095.0</v>
      </c>
      <c r="C373" s="220" t="str">
        <f t="shared" si="293"/>
        <v/>
      </c>
      <c r="D373" s="220"/>
      <c r="E373" s="220">
        <f t="shared" si="275"/>
        <v>0</v>
      </c>
      <c r="F373" s="220">
        <f t="shared" si="276"/>
        <v>-10</v>
      </c>
      <c r="G373" s="221"/>
      <c r="H373" s="219">
        <v>45095.0</v>
      </c>
      <c r="I373" s="220" t="str">
        <f t="shared" si="294"/>
        <v/>
      </c>
      <c r="J373" s="220"/>
      <c r="K373" s="220">
        <f t="shared" si="277"/>
        <v>0</v>
      </c>
      <c r="L373" s="220">
        <f t="shared" si="278"/>
        <v>-10</v>
      </c>
      <c r="M373" s="221"/>
      <c r="N373" s="219">
        <v>45095.0</v>
      </c>
      <c r="O373" s="220" t="str">
        <f t="shared" si="295"/>
        <v/>
      </c>
      <c r="P373" s="220"/>
      <c r="Q373" s="220">
        <f t="shared" si="279"/>
        <v>0</v>
      </c>
      <c r="R373" s="220">
        <f t="shared" si="280"/>
        <v>-10</v>
      </c>
      <c r="S373" s="221"/>
      <c r="T373" s="219">
        <v>45095.0</v>
      </c>
      <c r="U373" s="220" t="str">
        <f t="shared" si="296"/>
        <v/>
      </c>
      <c r="V373" s="220"/>
      <c r="W373" s="220">
        <f t="shared" si="281"/>
        <v>0</v>
      </c>
      <c r="X373" s="220">
        <f t="shared" si="282"/>
        <v>-10</v>
      </c>
      <c r="Y373" s="221"/>
      <c r="Z373" s="219">
        <v>45095.0</v>
      </c>
      <c r="AA373" s="220" t="str">
        <f t="shared" si="297"/>
        <v/>
      </c>
      <c r="AB373" s="220"/>
      <c r="AC373" s="220">
        <f t="shared" si="283"/>
        <v>0</v>
      </c>
      <c r="AD373" s="220">
        <f t="shared" si="284"/>
        <v>-10</v>
      </c>
      <c r="AE373" s="221"/>
      <c r="AF373" s="219">
        <v>45095.0</v>
      </c>
      <c r="AG373" s="220" t="str">
        <f t="shared" si="298"/>
        <v/>
      </c>
      <c r="AH373" s="220"/>
      <c r="AI373" s="220">
        <f t="shared" si="285"/>
        <v>0</v>
      </c>
      <c r="AJ373" s="220">
        <f t="shared" si="286"/>
        <v>-10</v>
      </c>
      <c r="AK373" s="221"/>
      <c r="AL373" s="219">
        <v>45095.0</v>
      </c>
      <c r="AM373" s="220" t="str">
        <f t="shared" si="299"/>
        <v/>
      </c>
      <c r="AN373" s="220"/>
      <c r="AO373" s="220">
        <f t="shared" si="287"/>
        <v>0</v>
      </c>
      <c r="AP373" s="220">
        <f t="shared" si="288"/>
        <v>-10</v>
      </c>
      <c r="AQ373" s="221"/>
      <c r="AR373" s="219">
        <v>45095.0</v>
      </c>
      <c r="AS373" s="220" t="str">
        <f t="shared" si="300"/>
        <v/>
      </c>
      <c r="AT373" s="220"/>
      <c r="AU373" s="220">
        <f t="shared" si="289"/>
        <v>0</v>
      </c>
      <c r="AV373" s="220">
        <f t="shared" si="290"/>
        <v>-10</v>
      </c>
      <c r="AW373" s="221"/>
      <c r="AX373" s="219">
        <v>45095.0</v>
      </c>
      <c r="AY373" s="220" t="str">
        <f t="shared" si="301"/>
        <v/>
      </c>
      <c r="AZ373" s="220"/>
      <c r="BA373" s="220">
        <f t="shared" si="291"/>
        <v>0</v>
      </c>
      <c r="BB373" s="220">
        <f t="shared" si="292"/>
        <v>-10</v>
      </c>
    </row>
    <row r="374" ht="14.25" customHeight="1">
      <c r="A374" s="218"/>
      <c r="B374" s="219">
        <v>45096.0</v>
      </c>
      <c r="C374" s="220" t="str">
        <f t="shared" si="293"/>
        <v/>
      </c>
      <c r="D374" s="220"/>
      <c r="E374" s="220">
        <f t="shared" si="275"/>
        <v>0</v>
      </c>
      <c r="F374" s="220">
        <f t="shared" si="276"/>
        <v>-10</v>
      </c>
      <c r="H374" s="219">
        <v>45096.0</v>
      </c>
      <c r="I374" s="220" t="str">
        <f t="shared" si="294"/>
        <v/>
      </c>
      <c r="J374" s="220"/>
      <c r="K374" s="220">
        <f t="shared" si="277"/>
        <v>0</v>
      </c>
      <c r="L374" s="220">
        <f t="shared" si="278"/>
        <v>-10</v>
      </c>
      <c r="N374" s="219">
        <v>45096.0</v>
      </c>
      <c r="O374" s="220" t="str">
        <f t="shared" si="295"/>
        <v/>
      </c>
      <c r="P374" s="220"/>
      <c r="Q374" s="220">
        <f t="shared" si="279"/>
        <v>0</v>
      </c>
      <c r="R374" s="220">
        <f t="shared" si="280"/>
        <v>-10</v>
      </c>
      <c r="T374" s="219">
        <v>45096.0</v>
      </c>
      <c r="U374" s="220" t="str">
        <f t="shared" si="296"/>
        <v/>
      </c>
      <c r="V374" s="220"/>
      <c r="W374" s="220">
        <f t="shared" si="281"/>
        <v>0</v>
      </c>
      <c r="X374" s="220">
        <f t="shared" si="282"/>
        <v>-10</v>
      </c>
      <c r="Z374" s="219">
        <v>45096.0</v>
      </c>
      <c r="AA374" s="220" t="str">
        <f t="shared" si="297"/>
        <v/>
      </c>
      <c r="AB374" s="220"/>
      <c r="AC374" s="220">
        <f t="shared" si="283"/>
        <v>0</v>
      </c>
      <c r="AD374" s="220">
        <f t="shared" si="284"/>
        <v>-10</v>
      </c>
      <c r="AF374" s="219">
        <v>45096.0</v>
      </c>
      <c r="AG374" s="220" t="str">
        <f t="shared" si="298"/>
        <v/>
      </c>
      <c r="AH374" s="220"/>
      <c r="AI374" s="220">
        <f t="shared" si="285"/>
        <v>0</v>
      </c>
      <c r="AJ374" s="220">
        <f t="shared" si="286"/>
        <v>-10</v>
      </c>
      <c r="AL374" s="219">
        <v>45096.0</v>
      </c>
      <c r="AM374" s="220" t="str">
        <f t="shared" si="299"/>
        <v/>
      </c>
      <c r="AN374" s="220"/>
      <c r="AO374" s="220">
        <f t="shared" si="287"/>
        <v>0</v>
      </c>
      <c r="AP374" s="220">
        <f t="shared" si="288"/>
        <v>-10</v>
      </c>
      <c r="AR374" s="219">
        <v>45096.0</v>
      </c>
      <c r="AS374" s="220" t="str">
        <f t="shared" si="300"/>
        <v/>
      </c>
      <c r="AT374" s="220"/>
      <c r="AU374" s="220">
        <f t="shared" si="289"/>
        <v>0</v>
      </c>
      <c r="AV374" s="220">
        <f t="shared" si="290"/>
        <v>-10</v>
      </c>
      <c r="AX374" s="219">
        <v>45096.0</v>
      </c>
      <c r="AY374" s="220" t="str">
        <f t="shared" si="301"/>
        <v/>
      </c>
      <c r="AZ374" s="220"/>
      <c r="BA374" s="220">
        <f t="shared" si="291"/>
        <v>0</v>
      </c>
      <c r="BB374" s="220">
        <f t="shared" si="292"/>
        <v>-10</v>
      </c>
    </row>
    <row r="375" ht="14.25" customHeight="1">
      <c r="A375" s="218"/>
      <c r="B375" s="219">
        <v>45097.0</v>
      </c>
      <c r="C375" s="220" t="str">
        <f t="shared" si="293"/>
        <v/>
      </c>
      <c r="D375" s="220"/>
      <c r="E375" s="220">
        <f t="shared" si="275"/>
        <v>0</v>
      </c>
      <c r="F375" s="220">
        <f t="shared" si="276"/>
        <v>-10</v>
      </c>
      <c r="H375" s="219">
        <v>45097.0</v>
      </c>
      <c r="I375" s="220" t="str">
        <f t="shared" si="294"/>
        <v/>
      </c>
      <c r="J375" s="220"/>
      <c r="K375" s="220">
        <f t="shared" si="277"/>
        <v>0</v>
      </c>
      <c r="L375" s="220">
        <f t="shared" si="278"/>
        <v>-10</v>
      </c>
      <c r="N375" s="219">
        <v>45097.0</v>
      </c>
      <c r="O375" s="220" t="str">
        <f t="shared" si="295"/>
        <v/>
      </c>
      <c r="P375" s="220"/>
      <c r="Q375" s="220">
        <f t="shared" si="279"/>
        <v>0</v>
      </c>
      <c r="R375" s="220">
        <f t="shared" si="280"/>
        <v>-10</v>
      </c>
      <c r="T375" s="219">
        <v>45097.0</v>
      </c>
      <c r="U375" s="220" t="str">
        <f t="shared" si="296"/>
        <v/>
      </c>
      <c r="V375" s="220"/>
      <c r="W375" s="220">
        <f t="shared" si="281"/>
        <v>0</v>
      </c>
      <c r="X375" s="220">
        <f t="shared" si="282"/>
        <v>-10</v>
      </c>
      <c r="Z375" s="219">
        <v>45097.0</v>
      </c>
      <c r="AA375" s="220" t="str">
        <f t="shared" si="297"/>
        <v/>
      </c>
      <c r="AB375" s="220"/>
      <c r="AC375" s="220">
        <f t="shared" si="283"/>
        <v>0</v>
      </c>
      <c r="AD375" s="220">
        <f t="shared" si="284"/>
        <v>-10</v>
      </c>
      <c r="AF375" s="219">
        <v>45097.0</v>
      </c>
      <c r="AG375" s="220" t="str">
        <f t="shared" si="298"/>
        <v/>
      </c>
      <c r="AH375" s="220"/>
      <c r="AI375" s="220">
        <f t="shared" si="285"/>
        <v>0</v>
      </c>
      <c r="AJ375" s="220">
        <f t="shared" si="286"/>
        <v>-10</v>
      </c>
      <c r="AL375" s="219">
        <v>45097.0</v>
      </c>
      <c r="AM375" s="220" t="str">
        <f t="shared" si="299"/>
        <v/>
      </c>
      <c r="AN375" s="220"/>
      <c r="AO375" s="220">
        <f t="shared" si="287"/>
        <v>0</v>
      </c>
      <c r="AP375" s="220">
        <f t="shared" si="288"/>
        <v>-10</v>
      </c>
      <c r="AR375" s="219">
        <v>45097.0</v>
      </c>
      <c r="AS375" s="220" t="str">
        <f t="shared" si="300"/>
        <v/>
      </c>
      <c r="AT375" s="220"/>
      <c r="AU375" s="220">
        <f t="shared" si="289"/>
        <v>0</v>
      </c>
      <c r="AV375" s="220">
        <f t="shared" si="290"/>
        <v>-10</v>
      </c>
      <c r="AX375" s="219">
        <v>45097.0</v>
      </c>
      <c r="AY375" s="220" t="str">
        <f t="shared" si="301"/>
        <v/>
      </c>
      <c r="AZ375" s="220"/>
      <c r="BA375" s="220">
        <f t="shared" si="291"/>
        <v>0</v>
      </c>
      <c r="BB375" s="220">
        <f t="shared" si="292"/>
        <v>-10</v>
      </c>
    </row>
    <row r="376" ht="14.25" customHeight="1">
      <c r="A376" s="218"/>
      <c r="B376" s="219">
        <v>45098.0</v>
      </c>
      <c r="C376" s="220" t="str">
        <f t="shared" si="293"/>
        <v/>
      </c>
      <c r="D376" s="220"/>
      <c r="E376" s="220">
        <f t="shared" si="275"/>
        <v>0</v>
      </c>
      <c r="F376" s="220">
        <f t="shared" si="276"/>
        <v>-10</v>
      </c>
      <c r="H376" s="219">
        <v>45098.0</v>
      </c>
      <c r="I376" s="220" t="str">
        <f t="shared" si="294"/>
        <v/>
      </c>
      <c r="J376" s="220"/>
      <c r="K376" s="220">
        <f t="shared" si="277"/>
        <v>0</v>
      </c>
      <c r="L376" s="220">
        <f t="shared" si="278"/>
        <v>-10</v>
      </c>
      <c r="N376" s="219">
        <v>45098.0</v>
      </c>
      <c r="O376" s="220" t="str">
        <f t="shared" si="295"/>
        <v/>
      </c>
      <c r="P376" s="220"/>
      <c r="Q376" s="220">
        <f t="shared" si="279"/>
        <v>0</v>
      </c>
      <c r="R376" s="220">
        <f t="shared" si="280"/>
        <v>-10</v>
      </c>
      <c r="T376" s="219">
        <v>45098.0</v>
      </c>
      <c r="U376" s="220" t="str">
        <f t="shared" si="296"/>
        <v/>
      </c>
      <c r="V376" s="220"/>
      <c r="W376" s="220">
        <f t="shared" si="281"/>
        <v>0</v>
      </c>
      <c r="X376" s="220">
        <f t="shared" si="282"/>
        <v>-10</v>
      </c>
      <c r="Z376" s="219">
        <v>45098.0</v>
      </c>
      <c r="AA376" s="220" t="str">
        <f t="shared" si="297"/>
        <v/>
      </c>
      <c r="AB376" s="220"/>
      <c r="AC376" s="220">
        <f t="shared" si="283"/>
        <v>0</v>
      </c>
      <c r="AD376" s="220">
        <f t="shared" si="284"/>
        <v>-10</v>
      </c>
      <c r="AF376" s="219">
        <v>45098.0</v>
      </c>
      <c r="AG376" s="220" t="str">
        <f t="shared" si="298"/>
        <v/>
      </c>
      <c r="AH376" s="220"/>
      <c r="AI376" s="220">
        <f t="shared" si="285"/>
        <v>0</v>
      </c>
      <c r="AJ376" s="220">
        <f t="shared" si="286"/>
        <v>-10</v>
      </c>
      <c r="AL376" s="219">
        <v>45098.0</v>
      </c>
      <c r="AM376" s="220" t="str">
        <f t="shared" si="299"/>
        <v/>
      </c>
      <c r="AN376" s="220"/>
      <c r="AO376" s="220">
        <f t="shared" si="287"/>
        <v>0</v>
      </c>
      <c r="AP376" s="220">
        <f t="shared" si="288"/>
        <v>-10</v>
      </c>
      <c r="AR376" s="219">
        <v>45098.0</v>
      </c>
      <c r="AS376" s="220" t="str">
        <f t="shared" si="300"/>
        <v/>
      </c>
      <c r="AT376" s="220"/>
      <c r="AU376" s="220">
        <f t="shared" si="289"/>
        <v>0</v>
      </c>
      <c r="AV376" s="220">
        <f t="shared" si="290"/>
        <v>-10</v>
      </c>
      <c r="AX376" s="219">
        <v>45098.0</v>
      </c>
      <c r="AY376" s="220" t="str">
        <f t="shared" si="301"/>
        <v/>
      </c>
      <c r="AZ376" s="220"/>
      <c r="BA376" s="220">
        <f t="shared" si="291"/>
        <v>0</v>
      </c>
      <c r="BB376" s="220">
        <f t="shared" si="292"/>
        <v>-10</v>
      </c>
    </row>
    <row r="377" ht="14.25" customHeight="1">
      <c r="A377" s="218"/>
      <c r="B377" s="219">
        <v>45099.0</v>
      </c>
      <c r="C377" s="220" t="str">
        <f t="shared" si="293"/>
        <v/>
      </c>
      <c r="D377" s="220"/>
      <c r="E377" s="220">
        <f t="shared" si="275"/>
        <v>0</v>
      </c>
      <c r="F377" s="220">
        <f t="shared" si="276"/>
        <v>-10</v>
      </c>
      <c r="H377" s="219">
        <v>45099.0</v>
      </c>
      <c r="I377" s="220" t="str">
        <f t="shared" si="294"/>
        <v/>
      </c>
      <c r="J377" s="220"/>
      <c r="K377" s="220">
        <f t="shared" si="277"/>
        <v>0</v>
      </c>
      <c r="L377" s="220">
        <f t="shared" si="278"/>
        <v>-10</v>
      </c>
      <c r="N377" s="219">
        <v>45099.0</v>
      </c>
      <c r="O377" s="220" t="str">
        <f t="shared" si="295"/>
        <v/>
      </c>
      <c r="P377" s="220"/>
      <c r="Q377" s="220">
        <f t="shared" si="279"/>
        <v>0</v>
      </c>
      <c r="R377" s="220">
        <f t="shared" si="280"/>
        <v>-10</v>
      </c>
      <c r="T377" s="219">
        <v>45099.0</v>
      </c>
      <c r="U377" s="220" t="str">
        <f t="shared" si="296"/>
        <v/>
      </c>
      <c r="V377" s="220"/>
      <c r="W377" s="220">
        <f t="shared" si="281"/>
        <v>0</v>
      </c>
      <c r="X377" s="220">
        <f t="shared" si="282"/>
        <v>-10</v>
      </c>
      <c r="Z377" s="219">
        <v>45099.0</v>
      </c>
      <c r="AA377" s="220" t="str">
        <f t="shared" si="297"/>
        <v/>
      </c>
      <c r="AB377" s="220"/>
      <c r="AC377" s="220">
        <f t="shared" si="283"/>
        <v>0</v>
      </c>
      <c r="AD377" s="220">
        <f t="shared" si="284"/>
        <v>-10</v>
      </c>
      <c r="AF377" s="219">
        <v>45099.0</v>
      </c>
      <c r="AG377" s="220" t="str">
        <f t="shared" si="298"/>
        <v/>
      </c>
      <c r="AH377" s="220"/>
      <c r="AI377" s="220">
        <f t="shared" si="285"/>
        <v>0</v>
      </c>
      <c r="AJ377" s="220">
        <f t="shared" si="286"/>
        <v>-10</v>
      </c>
      <c r="AL377" s="219">
        <v>45099.0</v>
      </c>
      <c r="AM377" s="220" t="str">
        <f t="shared" si="299"/>
        <v/>
      </c>
      <c r="AN377" s="220"/>
      <c r="AO377" s="220">
        <f t="shared" si="287"/>
        <v>0</v>
      </c>
      <c r="AP377" s="220">
        <f t="shared" si="288"/>
        <v>-10</v>
      </c>
      <c r="AR377" s="219">
        <v>45099.0</v>
      </c>
      <c r="AS377" s="220" t="str">
        <f t="shared" si="300"/>
        <v/>
      </c>
      <c r="AT377" s="220"/>
      <c r="AU377" s="220">
        <f t="shared" si="289"/>
        <v>0</v>
      </c>
      <c r="AV377" s="220">
        <f t="shared" si="290"/>
        <v>-10</v>
      </c>
      <c r="AX377" s="219">
        <v>45099.0</v>
      </c>
      <c r="AY377" s="220" t="str">
        <f t="shared" si="301"/>
        <v/>
      </c>
      <c r="AZ377" s="220"/>
      <c r="BA377" s="220">
        <f t="shared" si="291"/>
        <v>0</v>
      </c>
      <c r="BB377" s="220">
        <f t="shared" si="292"/>
        <v>-10</v>
      </c>
    </row>
    <row r="378" ht="14.25" customHeight="1">
      <c r="A378" s="218"/>
      <c r="B378" s="219">
        <v>45100.0</v>
      </c>
      <c r="C378" s="220" t="str">
        <f t="shared" si="293"/>
        <v/>
      </c>
      <c r="D378" s="220"/>
      <c r="E378" s="220">
        <f t="shared" si="275"/>
        <v>0</v>
      </c>
      <c r="F378" s="220">
        <f t="shared" si="276"/>
        <v>-10</v>
      </c>
      <c r="H378" s="219">
        <v>45100.0</v>
      </c>
      <c r="I378" s="220" t="str">
        <f t="shared" si="294"/>
        <v/>
      </c>
      <c r="J378" s="220"/>
      <c r="K378" s="220">
        <f t="shared" si="277"/>
        <v>0</v>
      </c>
      <c r="L378" s="220">
        <f t="shared" si="278"/>
        <v>-10</v>
      </c>
      <c r="N378" s="219">
        <v>45100.0</v>
      </c>
      <c r="O378" s="220" t="str">
        <f t="shared" si="295"/>
        <v/>
      </c>
      <c r="P378" s="220"/>
      <c r="Q378" s="220">
        <f t="shared" si="279"/>
        <v>0</v>
      </c>
      <c r="R378" s="220">
        <f t="shared" si="280"/>
        <v>-10</v>
      </c>
      <c r="T378" s="219">
        <v>45100.0</v>
      </c>
      <c r="U378" s="220" t="str">
        <f t="shared" si="296"/>
        <v/>
      </c>
      <c r="V378" s="220"/>
      <c r="W378" s="220">
        <f t="shared" si="281"/>
        <v>0</v>
      </c>
      <c r="X378" s="220">
        <f t="shared" si="282"/>
        <v>-10</v>
      </c>
      <c r="Z378" s="219">
        <v>45100.0</v>
      </c>
      <c r="AA378" s="220" t="str">
        <f t="shared" si="297"/>
        <v/>
      </c>
      <c r="AB378" s="220"/>
      <c r="AC378" s="220">
        <f t="shared" si="283"/>
        <v>0</v>
      </c>
      <c r="AD378" s="220">
        <f t="shared" si="284"/>
        <v>-10</v>
      </c>
      <c r="AF378" s="219">
        <v>45100.0</v>
      </c>
      <c r="AG378" s="220" t="str">
        <f t="shared" si="298"/>
        <v/>
      </c>
      <c r="AH378" s="220"/>
      <c r="AI378" s="220">
        <f t="shared" si="285"/>
        <v>0</v>
      </c>
      <c r="AJ378" s="220">
        <f t="shared" si="286"/>
        <v>-10</v>
      </c>
      <c r="AL378" s="219">
        <v>45100.0</v>
      </c>
      <c r="AM378" s="220" t="str">
        <f t="shared" si="299"/>
        <v/>
      </c>
      <c r="AN378" s="220"/>
      <c r="AO378" s="220">
        <f t="shared" si="287"/>
        <v>0</v>
      </c>
      <c r="AP378" s="220">
        <f t="shared" si="288"/>
        <v>-10</v>
      </c>
      <c r="AR378" s="219">
        <v>45100.0</v>
      </c>
      <c r="AS378" s="220" t="str">
        <f t="shared" si="300"/>
        <v/>
      </c>
      <c r="AT378" s="220"/>
      <c r="AU378" s="220">
        <f t="shared" si="289"/>
        <v>0</v>
      </c>
      <c r="AV378" s="220">
        <f t="shared" si="290"/>
        <v>-10</v>
      </c>
      <c r="AX378" s="219">
        <v>45100.0</v>
      </c>
      <c r="AY378" s="220" t="str">
        <f t="shared" si="301"/>
        <v/>
      </c>
      <c r="AZ378" s="220"/>
      <c r="BA378" s="220">
        <f t="shared" si="291"/>
        <v>0</v>
      </c>
      <c r="BB378" s="220">
        <f t="shared" si="292"/>
        <v>-10</v>
      </c>
    </row>
    <row r="379" ht="14.25" customHeight="1">
      <c r="A379" s="218"/>
      <c r="B379" s="219">
        <v>45101.0</v>
      </c>
      <c r="C379" s="220" t="str">
        <f t="shared" si="293"/>
        <v/>
      </c>
      <c r="D379" s="220"/>
      <c r="E379" s="220">
        <f t="shared" si="275"/>
        <v>0</v>
      </c>
      <c r="F379" s="220">
        <f t="shared" si="276"/>
        <v>-10</v>
      </c>
      <c r="G379" s="221"/>
      <c r="H379" s="219">
        <v>45101.0</v>
      </c>
      <c r="I379" s="220" t="str">
        <f t="shared" si="294"/>
        <v/>
      </c>
      <c r="J379" s="220"/>
      <c r="K379" s="220">
        <f t="shared" si="277"/>
        <v>0</v>
      </c>
      <c r="L379" s="220">
        <f t="shared" si="278"/>
        <v>-10</v>
      </c>
      <c r="M379" s="221"/>
      <c r="N379" s="219">
        <v>45101.0</v>
      </c>
      <c r="O379" s="220" t="str">
        <f t="shared" si="295"/>
        <v/>
      </c>
      <c r="P379" s="220"/>
      <c r="Q379" s="220">
        <f t="shared" si="279"/>
        <v>0</v>
      </c>
      <c r="R379" s="220">
        <f t="shared" si="280"/>
        <v>-10</v>
      </c>
      <c r="S379" s="221"/>
      <c r="T379" s="219">
        <v>45101.0</v>
      </c>
      <c r="U379" s="220" t="str">
        <f t="shared" si="296"/>
        <v/>
      </c>
      <c r="V379" s="220"/>
      <c r="W379" s="220">
        <f t="shared" si="281"/>
        <v>0</v>
      </c>
      <c r="X379" s="220">
        <f t="shared" si="282"/>
        <v>-10</v>
      </c>
      <c r="Y379" s="221"/>
      <c r="Z379" s="219">
        <v>45101.0</v>
      </c>
      <c r="AA379" s="220" t="str">
        <f t="shared" si="297"/>
        <v/>
      </c>
      <c r="AB379" s="220"/>
      <c r="AC379" s="220">
        <f t="shared" si="283"/>
        <v>0</v>
      </c>
      <c r="AD379" s="220">
        <f t="shared" si="284"/>
        <v>-10</v>
      </c>
      <c r="AE379" s="221"/>
      <c r="AF379" s="219">
        <v>45101.0</v>
      </c>
      <c r="AG379" s="220" t="str">
        <f t="shared" si="298"/>
        <v/>
      </c>
      <c r="AH379" s="220"/>
      <c r="AI379" s="220">
        <f t="shared" si="285"/>
        <v>0</v>
      </c>
      <c r="AJ379" s="220">
        <f t="shared" si="286"/>
        <v>-10</v>
      </c>
      <c r="AK379" s="221"/>
      <c r="AL379" s="219">
        <v>45101.0</v>
      </c>
      <c r="AM379" s="220" t="str">
        <f t="shared" si="299"/>
        <v/>
      </c>
      <c r="AN379" s="220"/>
      <c r="AO379" s="220">
        <f t="shared" si="287"/>
        <v>0</v>
      </c>
      <c r="AP379" s="220">
        <f t="shared" si="288"/>
        <v>-10</v>
      </c>
      <c r="AQ379" s="221"/>
      <c r="AR379" s="219">
        <v>45101.0</v>
      </c>
      <c r="AS379" s="220" t="str">
        <f t="shared" si="300"/>
        <v/>
      </c>
      <c r="AT379" s="220"/>
      <c r="AU379" s="220">
        <f t="shared" si="289"/>
        <v>0</v>
      </c>
      <c r="AV379" s="220">
        <f t="shared" si="290"/>
        <v>-10</v>
      </c>
      <c r="AW379" s="221"/>
      <c r="AX379" s="219">
        <v>45101.0</v>
      </c>
      <c r="AY379" s="220" t="str">
        <f t="shared" si="301"/>
        <v/>
      </c>
      <c r="AZ379" s="220"/>
      <c r="BA379" s="220">
        <f t="shared" si="291"/>
        <v>0</v>
      </c>
      <c r="BB379" s="220">
        <f t="shared" si="292"/>
        <v>-10</v>
      </c>
    </row>
    <row r="380" ht="14.25" customHeight="1">
      <c r="A380" s="218"/>
      <c r="B380" s="219">
        <v>45102.0</v>
      </c>
      <c r="C380" s="220" t="str">
        <f t="shared" si="293"/>
        <v/>
      </c>
      <c r="D380" s="220"/>
      <c r="E380" s="220">
        <f t="shared" si="275"/>
        <v>0</v>
      </c>
      <c r="F380" s="220">
        <f t="shared" si="276"/>
        <v>-10</v>
      </c>
      <c r="G380" s="221"/>
      <c r="H380" s="219">
        <v>45102.0</v>
      </c>
      <c r="I380" s="220" t="str">
        <f t="shared" si="294"/>
        <v/>
      </c>
      <c r="J380" s="220"/>
      <c r="K380" s="220">
        <f t="shared" si="277"/>
        <v>0</v>
      </c>
      <c r="L380" s="220">
        <f t="shared" si="278"/>
        <v>-10</v>
      </c>
      <c r="M380" s="221"/>
      <c r="N380" s="219">
        <v>45102.0</v>
      </c>
      <c r="O380" s="220" t="str">
        <f t="shared" si="295"/>
        <v/>
      </c>
      <c r="P380" s="220"/>
      <c r="Q380" s="220">
        <f t="shared" si="279"/>
        <v>0</v>
      </c>
      <c r="R380" s="220">
        <f t="shared" si="280"/>
        <v>-10</v>
      </c>
      <c r="S380" s="221"/>
      <c r="T380" s="219">
        <v>45102.0</v>
      </c>
      <c r="U380" s="220" t="str">
        <f t="shared" si="296"/>
        <v/>
      </c>
      <c r="V380" s="220"/>
      <c r="W380" s="220">
        <f t="shared" si="281"/>
        <v>0</v>
      </c>
      <c r="X380" s="220">
        <f t="shared" si="282"/>
        <v>-10</v>
      </c>
      <c r="Y380" s="221"/>
      <c r="Z380" s="219">
        <v>45102.0</v>
      </c>
      <c r="AA380" s="220" t="str">
        <f t="shared" si="297"/>
        <v/>
      </c>
      <c r="AB380" s="220"/>
      <c r="AC380" s="220">
        <f t="shared" si="283"/>
        <v>0</v>
      </c>
      <c r="AD380" s="220">
        <f t="shared" si="284"/>
        <v>-10</v>
      </c>
      <c r="AE380" s="221"/>
      <c r="AF380" s="219">
        <v>45102.0</v>
      </c>
      <c r="AG380" s="220" t="str">
        <f t="shared" si="298"/>
        <v/>
      </c>
      <c r="AH380" s="220"/>
      <c r="AI380" s="220">
        <f t="shared" si="285"/>
        <v>0</v>
      </c>
      <c r="AJ380" s="220">
        <f t="shared" si="286"/>
        <v>-10</v>
      </c>
      <c r="AK380" s="221"/>
      <c r="AL380" s="219">
        <v>45102.0</v>
      </c>
      <c r="AM380" s="220" t="str">
        <f t="shared" si="299"/>
        <v/>
      </c>
      <c r="AN380" s="220"/>
      <c r="AO380" s="220">
        <f t="shared" si="287"/>
        <v>0</v>
      </c>
      <c r="AP380" s="220">
        <f t="shared" si="288"/>
        <v>-10</v>
      </c>
      <c r="AQ380" s="221"/>
      <c r="AR380" s="219">
        <v>45102.0</v>
      </c>
      <c r="AS380" s="220" t="str">
        <f t="shared" si="300"/>
        <v/>
      </c>
      <c r="AT380" s="220"/>
      <c r="AU380" s="220">
        <f t="shared" si="289"/>
        <v>0</v>
      </c>
      <c r="AV380" s="220">
        <f t="shared" si="290"/>
        <v>-10</v>
      </c>
      <c r="AW380" s="221"/>
      <c r="AX380" s="219">
        <v>45102.0</v>
      </c>
      <c r="AY380" s="220" t="str">
        <f t="shared" si="301"/>
        <v/>
      </c>
      <c r="AZ380" s="220"/>
      <c r="BA380" s="220">
        <f t="shared" si="291"/>
        <v>0</v>
      </c>
      <c r="BB380" s="220">
        <f t="shared" si="292"/>
        <v>-10</v>
      </c>
    </row>
    <row r="381" ht="14.25" customHeight="1">
      <c r="A381" s="218"/>
      <c r="B381" s="219">
        <v>45103.0</v>
      </c>
      <c r="C381" s="220" t="str">
        <f t="shared" si="293"/>
        <v/>
      </c>
      <c r="D381" s="220"/>
      <c r="E381" s="220">
        <f t="shared" si="275"/>
        <v>0</v>
      </c>
      <c r="F381" s="220">
        <f t="shared" si="276"/>
        <v>-10</v>
      </c>
      <c r="H381" s="219">
        <v>45103.0</v>
      </c>
      <c r="I381" s="220" t="str">
        <f t="shared" si="294"/>
        <v/>
      </c>
      <c r="J381" s="220"/>
      <c r="K381" s="220">
        <f t="shared" si="277"/>
        <v>0</v>
      </c>
      <c r="L381" s="220">
        <f t="shared" si="278"/>
        <v>-10</v>
      </c>
      <c r="N381" s="219">
        <v>45103.0</v>
      </c>
      <c r="O381" s="220" t="str">
        <f t="shared" si="295"/>
        <v/>
      </c>
      <c r="P381" s="220"/>
      <c r="Q381" s="220">
        <f t="shared" si="279"/>
        <v>0</v>
      </c>
      <c r="R381" s="220">
        <f t="shared" si="280"/>
        <v>-10</v>
      </c>
      <c r="T381" s="219">
        <v>45103.0</v>
      </c>
      <c r="U381" s="220" t="str">
        <f t="shared" si="296"/>
        <v/>
      </c>
      <c r="V381" s="220"/>
      <c r="W381" s="220">
        <f t="shared" si="281"/>
        <v>0</v>
      </c>
      <c r="X381" s="220">
        <f t="shared" si="282"/>
        <v>-10</v>
      </c>
      <c r="Z381" s="219">
        <v>45103.0</v>
      </c>
      <c r="AA381" s="220" t="str">
        <f t="shared" si="297"/>
        <v/>
      </c>
      <c r="AB381" s="220"/>
      <c r="AC381" s="220">
        <f t="shared" si="283"/>
        <v>0</v>
      </c>
      <c r="AD381" s="220">
        <f t="shared" si="284"/>
        <v>-10</v>
      </c>
      <c r="AF381" s="219">
        <v>45103.0</v>
      </c>
      <c r="AG381" s="220" t="str">
        <f t="shared" si="298"/>
        <v/>
      </c>
      <c r="AH381" s="220"/>
      <c r="AI381" s="220">
        <f t="shared" si="285"/>
        <v>0</v>
      </c>
      <c r="AJ381" s="220">
        <f t="shared" si="286"/>
        <v>-10</v>
      </c>
      <c r="AL381" s="219">
        <v>45103.0</v>
      </c>
      <c r="AM381" s="220" t="str">
        <f t="shared" si="299"/>
        <v/>
      </c>
      <c r="AN381" s="220"/>
      <c r="AO381" s="220">
        <f t="shared" si="287"/>
        <v>0</v>
      </c>
      <c r="AP381" s="220">
        <f t="shared" si="288"/>
        <v>-10</v>
      </c>
      <c r="AR381" s="219">
        <v>45103.0</v>
      </c>
      <c r="AS381" s="220" t="str">
        <f t="shared" si="300"/>
        <v/>
      </c>
      <c r="AT381" s="220"/>
      <c r="AU381" s="220">
        <f t="shared" si="289"/>
        <v>0</v>
      </c>
      <c r="AV381" s="220">
        <f t="shared" si="290"/>
        <v>-10</v>
      </c>
      <c r="AX381" s="219">
        <v>45103.0</v>
      </c>
      <c r="AY381" s="220" t="str">
        <f t="shared" si="301"/>
        <v/>
      </c>
      <c r="AZ381" s="220"/>
      <c r="BA381" s="220">
        <f t="shared" si="291"/>
        <v>0</v>
      </c>
      <c r="BB381" s="220">
        <f t="shared" si="292"/>
        <v>-10</v>
      </c>
    </row>
    <row r="382" ht="14.25" customHeight="1">
      <c r="A382" s="218"/>
      <c r="B382" s="219">
        <v>45104.0</v>
      </c>
      <c r="C382" s="220" t="str">
        <f t="shared" si="293"/>
        <v/>
      </c>
      <c r="D382" s="220"/>
      <c r="E382" s="220">
        <f t="shared" si="275"/>
        <v>0</v>
      </c>
      <c r="F382" s="220">
        <f t="shared" si="276"/>
        <v>-10</v>
      </c>
      <c r="H382" s="219">
        <v>45104.0</v>
      </c>
      <c r="I382" s="220" t="str">
        <f t="shared" si="294"/>
        <v/>
      </c>
      <c r="J382" s="220"/>
      <c r="K382" s="220">
        <f t="shared" si="277"/>
        <v>0</v>
      </c>
      <c r="L382" s="220">
        <f t="shared" si="278"/>
        <v>-10</v>
      </c>
      <c r="N382" s="219">
        <v>45104.0</v>
      </c>
      <c r="O382" s="220" t="str">
        <f t="shared" si="295"/>
        <v/>
      </c>
      <c r="P382" s="220"/>
      <c r="Q382" s="220">
        <f t="shared" si="279"/>
        <v>0</v>
      </c>
      <c r="R382" s="220">
        <f t="shared" si="280"/>
        <v>-10</v>
      </c>
      <c r="T382" s="219">
        <v>45104.0</v>
      </c>
      <c r="U382" s="220" t="str">
        <f t="shared" si="296"/>
        <v/>
      </c>
      <c r="V382" s="220"/>
      <c r="W382" s="220">
        <f t="shared" si="281"/>
        <v>0</v>
      </c>
      <c r="X382" s="220">
        <f t="shared" si="282"/>
        <v>-10</v>
      </c>
      <c r="Z382" s="219">
        <v>45104.0</v>
      </c>
      <c r="AA382" s="220" t="str">
        <f t="shared" si="297"/>
        <v/>
      </c>
      <c r="AB382" s="220"/>
      <c r="AC382" s="220">
        <f t="shared" si="283"/>
        <v>0</v>
      </c>
      <c r="AD382" s="220">
        <f t="shared" si="284"/>
        <v>-10</v>
      </c>
      <c r="AF382" s="219">
        <v>45104.0</v>
      </c>
      <c r="AG382" s="220" t="str">
        <f t="shared" si="298"/>
        <v/>
      </c>
      <c r="AH382" s="220"/>
      <c r="AI382" s="220">
        <f t="shared" si="285"/>
        <v>0</v>
      </c>
      <c r="AJ382" s="220">
        <f t="shared" si="286"/>
        <v>-10</v>
      </c>
      <c r="AL382" s="219">
        <v>45104.0</v>
      </c>
      <c r="AM382" s="220" t="str">
        <f t="shared" si="299"/>
        <v/>
      </c>
      <c r="AN382" s="220"/>
      <c r="AO382" s="220">
        <f t="shared" si="287"/>
        <v>0</v>
      </c>
      <c r="AP382" s="220">
        <f t="shared" si="288"/>
        <v>-10</v>
      </c>
      <c r="AR382" s="219">
        <v>45104.0</v>
      </c>
      <c r="AS382" s="220" t="str">
        <f t="shared" si="300"/>
        <v/>
      </c>
      <c r="AT382" s="220"/>
      <c r="AU382" s="220">
        <f t="shared" si="289"/>
        <v>0</v>
      </c>
      <c r="AV382" s="220">
        <f t="shared" si="290"/>
        <v>-10</v>
      </c>
      <c r="AX382" s="219">
        <v>45104.0</v>
      </c>
      <c r="AY382" s="220" t="str">
        <f t="shared" si="301"/>
        <v/>
      </c>
      <c r="AZ382" s="220"/>
      <c r="BA382" s="220">
        <f t="shared" si="291"/>
        <v>0</v>
      </c>
      <c r="BB382" s="220">
        <f t="shared" si="292"/>
        <v>-10</v>
      </c>
    </row>
    <row r="383" ht="14.25" customHeight="1">
      <c r="A383" s="218"/>
      <c r="B383" s="219">
        <v>45105.0</v>
      </c>
      <c r="C383" s="220" t="str">
        <f t="shared" si="293"/>
        <v/>
      </c>
      <c r="D383" s="220"/>
      <c r="E383" s="220">
        <f t="shared" si="275"/>
        <v>0</v>
      </c>
      <c r="F383" s="220">
        <f t="shared" si="276"/>
        <v>-10</v>
      </c>
      <c r="H383" s="219">
        <v>45105.0</v>
      </c>
      <c r="I383" s="220" t="str">
        <f t="shared" si="294"/>
        <v/>
      </c>
      <c r="J383" s="220"/>
      <c r="K383" s="220">
        <f t="shared" si="277"/>
        <v>0</v>
      </c>
      <c r="L383" s="220">
        <f t="shared" si="278"/>
        <v>-10</v>
      </c>
      <c r="N383" s="219">
        <v>45105.0</v>
      </c>
      <c r="O383" s="220" t="str">
        <f t="shared" si="295"/>
        <v/>
      </c>
      <c r="P383" s="220"/>
      <c r="Q383" s="220">
        <f t="shared" si="279"/>
        <v>0</v>
      </c>
      <c r="R383" s="220">
        <f t="shared" si="280"/>
        <v>-10</v>
      </c>
      <c r="T383" s="219">
        <v>45105.0</v>
      </c>
      <c r="U383" s="220" t="str">
        <f t="shared" si="296"/>
        <v/>
      </c>
      <c r="V383" s="220"/>
      <c r="W383" s="220">
        <f t="shared" si="281"/>
        <v>0</v>
      </c>
      <c r="X383" s="220">
        <f t="shared" si="282"/>
        <v>-10</v>
      </c>
      <c r="Z383" s="219">
        <v>45105.0</v>
      </c>
      <c r="AA383" s="220" t="str">
        <f t="shared" si="297"/>
        <v/>
      </c>
      <c r="AB383" s="220"/>
      <c r="AC383" s="220">
        <f t="shared" si="283"/>
        <v>0</v>
      </c>
      <c r="AD383" s="220">
        <f t="shared" si="284"/>
        <v>-10</v>
      </c>
      <c r="AF383" s="219">
        <v>45105.0</v>
      </c>
      <c r="AG383" s="220" t="str">
        <f t="shared" si="298"/>
        <v/>
      </c>
      <c r="AH383" s="220"/>
      <c r="AI383" s="220">
        <f t="shared" si="285"/>
        <v>0</v>
      </c>
      <c r="AJ383" s="220">
        <f t="shared" si="286"/>
        <v>-10</v>
      </c>
      <c r="AL383" s="219">
        <v>45105.0</v>
      </c>
      <c r="AM383" s="220" t="str">
        <f t="shared" si="299"/>
        <v/>
      </c>
      <c r="AN383" s="220"/>
      <c r="AO383" s="220">
        <f t="shared" si="287"/>
        <v>0</v>
      </c>
      <c r="AP383" s="220">
        <f t="shared" si="288"/>
        <v>-10</v>
      </c>
      <c r="AR383" s="219">
        <v>45105.0</v>
      </c>
      <c r="AS383" s="220" t="str">
        <f t="shared" si="300"/>
        <v/>
      </c>
      <c r="AT383" s="220"/>
      <c r="AU383" s="220">
        <f t="shared" si="289"/>
        <v>0</v>
      </c>
      <c r="AV383" s="220">
        <f t="shared" si="290"/>
        <v>-10</v>
      </c>
      <c r="AX383" s="219">
        <v>45105.0</v>
      </c>
      <c r="AY383" s="220" t="str">
        <f t="shared" si="301"/>
        <v/>
      </c>
      <c r="AZ383" s="220"/>
      <c r="BA383" s="220">
        <f t="shared" si="291"/>
        <v>0</v>
      </c>
      <c r="BB383" s="220">
        <f t="shared" si="292"/>
        <v>-10</v>
      </c>
    </row>
    <row r="384" ht="14.25" customHeight="1">
      <c r="A384" s="218"/>
      <c r="B384" s="219">
        <v>45106.0</v>
      </c>
      <c r="C384" s="220" t="str">
        <f t="shared" si="293"/>
        <v/>
      </c>
      <c r="D384" s="220"/>
      <c r="E384" s="220">
        <f t="shared" si="275"/>
        <v>0</v>
      </c>
      <c r="F384" s="220">
        <f t="shared" si="276"/>
        <v>-10</v>
      </c>
      <c r="H384" s="219">
        <v>45106.0</v>
      </c>
      <c r="I384" s="220" t="str">
        <f t="shared" si="294"/>
        <v/>
      </c>
      <c r="J384" s="220"/>
      <c r="K384" s="220">
        <f t="shared" si="277"/>
        <v>0</v>
      </c>
      <c r="L384" s="220">
        <f t="shared" si="278"/>
        <v>-10</v>
      </c>
      <c r="N384" s="219">
        <v>45106.0</v>
      </c>
      <c r="O384" s="220" t="str">
        <f t="shared" si="295"/>
        <v/>
      </c>
      <c r="P384" s="220"/>
      <c r="Q384" s="220">
        <f t="shared" si="279"/>
        <v>0</v>
      </c>
      <c r="R384" s="220">
        <f t="shared" si="280"/>
        <v>-10</v>
      </c>
      <c r="T384" s="219">
        <v>45106.0</v>
      </c>
      <c r="U384" s="220" t="str">
        <f t="shared" si="296"/>
        <v/>
      </c>
      <c r="V384" s="220"/>
      <c r="W384" s="220">
        <f t="shared" si="281"/>
        <v>0</v>
      </c>
      <c r="X384" s="220">
        <f t="shared" si="282"/>
        <v>-10</v>
      </c>
      <c r="Z384" s="219">
        <v>45106.0</v>
      </c>
      <c r="AA384" s="220" t="str">
        <f t="shared" si="297"/>
        <v/>
      </c>
      <c r="AB384" s="220"/>
      <c r="AC384" s="220">
        <f t="shared" si="283"/>
        <v>0</v>
      </c>
      <c r="AD384" s="220">
        <f t="shared" si="284"/>
        <v>-10</v>
      </c>
      <c r="AF384" s="219">
        <v>45106.0</v>
      </c>
      <c r="AG384" s="220" t="str">
        <f t="shared" si="298"/>
        <v/>
      </c>
      <c r="AH384" s="220"/>
      <c r="AI384" s="220">
        <f t="shared" si="285"/>
        <v>0</v>
      </c>
      <c r="AJ384" s="220">
        <f t="shared" si="286"/>
        <v>-10</v>
      </c>
      <c r="AL384" s="219">
        <v>45106.0</v>
      </c>
      <c r="AM384" s="220" t="str">
        <f t="shared" si="299"/>
        <v/>
      </c>
      <c r="AN384" s="220"/>
      <c r="AO384" s="220">
        <f t="shared" si="287"/>
        <v>0</v>
      </c>
      <c r="AP384" s="220">
        <f t="shared" si="288"/>
        <v>-10</v>
      </c>
      <c r="AR384" s="219">
        <v>45106.0</v>
      </c>
      <c r="AS384" s="220" t="str">
        <f t="shared" si="300"/>
        <v/>
      </c>
      <c r="AT384" s="220"/>
      <c r="AU384" s="220">
        <f t="shared" si="289"/>
        <v>0</v>
      </c>
      <c r="AV384" s="220">
        <f t="shared" si="290"/>
        <v>-10</v>
      </c>
      <c r="AX384" s="219">
        <v>45106.0</v>
      </c>
      <c r="AY384" s="220" t="str">
        <f t="shared" si="301"/>
        <v/>
      </c>
      <c r="AZ384" s="220"/>
      <c r="BA384" s="220">
        <f t="shared" si="291"/>
        <v>0</v>
      </c>
      <c r="BB384" s="220">
        <f t="shared" si="292"/>
        <v>-10</v>
      </c>
    </row>
    <row r="385" ht="14.25" customHeight="1">
      <c r="A385" s="218"/>
      <c r="B385" s="219">
        <v>45107.0</v>
      </c>
      <c r="C385" s="220" t="str">
        <f t="shared" si="293"/>
        <v/>
      </c>
      <c r="D385" s="220"/>
      <c r="E385" s="220">
        <f t="shared" si="275"/>
        <v>0</v>
      </c>
      <c r="F385" s="220">
        <f t="shared" si="276"/>
        <v>-10</v>
      </c>
      <c r="H385" s="219">
        <v>45107.0</v>
      </c>
      <c r="I385" s="220" t="str">
        <f t="shared" si="294"/>
        <v/>
      </c>
      <c r="J385" s="220"/>
      <c r="K385" s="220">
        <f t="shared" si="277"/>
        <v>0</v>
      </c>
      <c r="L385" s="220">
        <f t="shared" si="278"/>
        <v>-10</v>
      </c>
      <c r="N385" s="219">
        <v>45107.0</v>
      </c>
      <c r="O385" s="220" t="str">
        <f t="shared" si="295"/>
        <v/>
      </c>
      <c r="P385" s="220"/>
      <c r="Q385" s="220">
        <f t="shared" si="279"/>
        <v>0</v>
      </c>
      <c r="R385" s="220">
        <f t="shared" si="280"/>
        <v>-10</v>
      </c>
      <c r="T385" s="219">
        <v>45107.0</v>
      </c>
      <c r="U385" s="220" t="str">
        <f t="shared" si="296"/>
        <v/>
      </c>
      <c r="V385" s="220"/>
      <c r="W385" s="220">
        <f t="shared" si="281"/>
        <v>0</v>
      </c>
      <c r="X385" s="220">
        <f t="shared" si="282"/>
        <v>-10</v>
      </c>
      <c r="Z385" s="219">
        <v>45107.0</v>
      </c>
      <c r="AA385" s="220" t="str">
        <f t="shared" si="297"/>
        <v/>
      </c>
      <c r="AB385" s="220"/>
      <c r="AC385" s="220">
        <f t="shared" si="283"/>
        <v>0</v>
      </c>
      <c r="AD385" s="220">
        <f t="shared" si="284"/>
        <v>-10</v>
      </c>
      <c r="AF385" s="219">
        <v>45107.0</v>
      </c>
      <c r="AG385" s="220" t="str">
        <f t="shared" si="298"/>
        <v/>
      </c>
      <c r="AH385" s="220"/>
      <c r="AI385" s="220">
        <f t="shared" si="285"/>
        <v>0</v>
      </c>
      <c r="AJ385" s="220">
        <f t="shared" si="286"/>
        <v>-10</v>
      </c>
      <c r="AL385" s="219">
        <v>45107.0</v>
      </c>
      <c r="AM385" s="220" t="str">
        <f t="shared" si="299"/>
        <v/>
      </c>
      <c r="AN385" s="220"/>
      <c r="AO385" s="220">
        <f t="shared" si="287"/>
        <v>0</v>
      </c>
      <c r="AP385" s="220">
        <f t="shared" si="288"/>
        <v>-10</v>
      </c>
      <c r="AR385" s="219">
        <v>45107.0</v>
      </c>
      <c r="AS385" s="220" t="str">
        <f t="shared" si="300"/>
        <v/>
      </c>
      <c r="AT385" s="220"/>
      <c r="AU385" s="220">
        <f t="shared" si="289"/>
        <v>0</v>
      </c>
      <c r="AV385" s="220">
        <f t="shared" si="290"/>
        <v>-10</v>
      </c>
      <c r="AX385" s="219">
        <v>45107.0</v>
      </c>
      <c r="AY385" s="220" t="str">
        <f t="shared" si="301"/>
        <v/>
      </c>
      <c r="AZ385" s="220"/>
      <c r="BA385" s="220">
        <f t="shared" si="291"/>
        <v>0</v>
      </c>
      <c r="BB385" s="220">
        <f t="shared" si="292"/>
        <v>-10</v>
      </c>
    </row>
    <row r="386" ht="14.25" customHeight="1">
      <c r="A386" s="218"/>
      <c r="B386" s="229"/>
      <c r="C386" s="220" t="str">
        <f t="shared" si="293"/>
        <v/>
      </c>
      <c r="D386" s="220"/>
      <c r="E386" s="220">
        <f t="shared" si="275"/>
        <v>0</v>
      </c>
      <c r="F386" s="220">
        <f t="shared" si="276"/>
        <v>-10</v>
      </c>
      <c r="H386" s="229"/>
      <c r="I386" s="220" t="str">
        <f t="shared" si="294"/>
        <v/>
      </c>
      <c r="J386" s="220"/>
      <c r="K386" s="220">
        <f t="shared" si="277"/>
        <v>0</v>
      </c>
      <c r="L386" s="220">
        <f t="shared" si="278"/>
        <v>-10</v>
      </c>
      <c r="N386" s="229"/>
      <c r="O386" s="220" t="str">
        <f t="shared" si="295"/>
        <v/>
      </c>
      <c r="P386" s="220"/>
      <c r="Q386" s="220">
        <f t="shared" si="279"/>
        <v>0</v>
      </c>
      <c r="R386" s="220">
        <f t="shared" si="280"/>
        <v>-10</v>
      </c>
      <c r="T386" s="229"/>
      <c r="U386" s="220" t="str">
        <f t="shared" si="296"/>
        <v/>
      </c>
      <c r="V386" s="220"/>
      <c r="W386" s="220">
        <f t="shared" si="281"/>
        <v>0</v>
      </c>
      <c r="X386" s="220">
        <f t="shared" si="282"/>
        <v>-10</v>
      </c>
      <c r="Z386" s="229"/>
      <c r="AA386" s="220" t="str">
        <f t="shared" si="297"/>
        <v/>
      </c>
      <c r="AB386" s="220"/>
      <c r="AC386" s="220">
        <f t="shared" si="283"/>
        <v>0</v>
      </c>
      <c r="AD386" s="220">
        <f t="shared" si="284"/>
        <v>-10</v>
      </c>
      <c r="AF386" s="229"/>
      <c r="AG386" s="220" t="str">
        <f t="shared" si="298"/>
        <v/>
      </c>
      <c r="AH386" s="220"/>
      <c r="AI386" s="220">
        <f t="shared" si="285"/>
        <v>0</v>
      </c>
      <c r="AJ386" s="220">
        <f t="shared" si="286"/>
        <v>-10</v>
      </c>
      <c r="AL386" s="229"/>
      <c r="AM386" s="220" t="str">
        <f t="shared" si="299"/>
        <v/>
      </c>
      <c r="AN386" s="220"/>
      <c r="AO386" s="220">
        <f t="shared" si="287"/>
        <v>0</v>
      </c>
      <c r="AP386" s="220">
        <f t="shared" si="288"/>
        <v>-10</v>
      </c>
      <c r="AR386" s="229"/>
      <c r="AS386" s="220" t="str">
        <f t="shared" si="300"/>
        <v/>
      </c>
      <c r="AT386" s="220"/>
      <c r="AU386" s="220">
        <f t="shared" si="289"/>
        <v>0</v>
      </c>
      <c r="AV386" s="220">
        <f t="shared" si="290"/>
        <v>-10</v>
      </c>
      <c r="AX386" s="229"/>
      <c r="AY386" s="220" t="str">
        <f t="shared" si="301"/>
        <v/>
      </c>
      <c r="AZ386" s="220"/>
      <c r="BA386" s="220">
        <f t="shared" si="291"/>
        <v>0</v>
      </c>
      <c r="BB386" s="220">
        <f t="shared" si="292"/>
        <v>-10</v>
      </c>
    </row>
    <row r="387" ht="14.25" customHeight="1">
      <c r="A387" s="222"/>
      <c r="B387" s="216"/>
      <c r="C387" s="223" t="s">
        <v>221</v>
      </c>
      <c r="D387" s="223"/>
      <c r="E387" s="216">
        <f>SUM(E356:E386)</f>
        <v>0</v>
      </c>
      <c r="F387" s="216">
        <f t="shared" si="276"/>
        <v>-10</v>
      </c>
      <c r="H387" s="216"/>
      <c r="I387" s="223" t="s">
        <v>221</v>
      </c>
      <c r="J387" s="223"/>
      <c r="K387" s="216">
        <f>SUM(K356:K386)</f>
        <v>0</v>
      </c>
      <c r="L387" s="216">
        <f t="shared" si="278"/>
        <v>-10</v>
      </c>
      <c r="N387" s="216"/>
      <c r="O387" s="223" t="s">
        <v>221</v>
      </c>
      <c r="P387" s="223"/>
      <c r="Q387" s="216">
        <f>SUM(Q356:Q386)</f>
        <v>0</v>
      </c>
      <c r="R387" s="216">
        <f t="shared" si="280"/>
        <v>-10</v>
      </c>
      <c r="T387" s="216"/>
      <c r="U387" s="223" t="s">
        <v>221</v>
      </c>
      <c r="V387" s="223"/>
      <c r="W387" s="216">
        <f>SUM(W356:W386)</f>
        <v>0</v>
      </c>
      <c r="X387" s="216">
        <f t="shared" si="282"/>
        <v>-10</v>
      </c>
      <c r="Z387" s="216"/>
      <c r="AA387" s="223" t="s">
        <v>221</v>
      </c>
      <c r="AB387" s="223"/>
      <c r="AC387" s="216">
        <f>SUM(AC356:AC386)</f>
        <v>0</v>
      </c>
      <c r="AD387" s="216">
        <f t="shared" si="284"/>
        <v>-10</v>
      </c>
      <c r="AF387" s="216"/>
      <c r="AG387" s="223" t="s">
        <v>221</v>
      </c>
      <c r="AH387" s="223"/>
      <c r="AI387" s="216">
        <f>SUM(AI356:AI386)</f>
        <v>0</v>
      </c>
      <c r="AJ387" s="216">
        <f t="shared" si="286"/>
        <v>-10</v>
      </c>
      <c r="AL387" s="216"/>
      <c r="AM387" s="223" t="s">
        <v>221</v>
      </c>
      <c r="AN387" s="223"/>
      <c r="AO387" s="216">
        <f>SUM(AO356:AO386)</f>
        <v>0</v>
      </c>
      <c r="AP387" s="216">
        <f t="shared" si="288"/>
        <v>-10</v>
      </c>
      <c r="AR387" s="216"/>
      <c r="AS387" s="223" t="s">
        <v>221</v>
      </c>
      <c r="AT387" s="223"/>
      <c r="AU387" s="216">
        <f>SUM(AU356:AU386)</f>
        <v>0</v>
      </c>
      <c r="AV387" s="216">
        <f t="shared" si="290"/>
        <v>-10</v>
      </c>
      <c r="AX387" s="216"/>
      <c r="AY387" s="223" t="s">
        <v>221</v>
      </c>
      <c r="AZ387" s="223"/>
      <c r="BA387" s="216">
        <f>SUM(BA356:BA386)</f>
        <v>0</v>
      </c>
      <c r="BB387" s="216">
        <f t="shared" si="292"/>
        <v>-10</v>
      </c>
    </row>
    <row r="388" ht="14.25" customHeight="1"/>
    <row r="389" ht="14.25" customHeight="1"/>
    <row r="390" ht="14.25" customHeight="1"/>
    <row r="391" ht="18.0" customHeight="1">
      <c r="A391" s="215" t="s">
        <v>233</v>
      </c>
      <c r="B391" s="206" t="s">
        <v>18</v>
      </c>
      <c r="C391" s="207"/>
      <c r="D391" s="207"/>
      <c r="E391" s="207"/>
      <c r="F391" s="208"/>
      <c r="G391" s="209"/>
      <c r="H391" s="206" t="s">
        <v>20</v>
      </c>
      <c r="I391" s="207"/>
      <c r="J391" s="207"/>
      <c r="K391" s="207"/>
      <c r="L391" s="208"/>
      <c r="M391" s="209"/>
      <c r="N391" s="206" t="s">
        <v>142</v>
      </c>
      <c r="O391" s="207"/>
      <c r="P391" s="207"/>
      <c r="Q391" s="207"/>
      <c r="R391" s="208"/>
      <c r="S391" s="209"/>
      <c r="T391" s="206" t="s">
        <v>95</v>
      </c>
      <c r="U391" s="207"/>
      <c r="V391" s="207"/>
      <c r="W391" s="207"/>
      <c r="X391" s="208"/>
      <c r="Y391" s="209"/>
      <c r="Z391" s="206" t="s">
        <v>32</v>
      </c>
      <c r="AA391" s="207"/>
      <c r="AB391" s="207"/>
      <c r="AC391" s="207"/>
      <c r="AD391" s="208"/>
      <c r="AE391" s="209"/>
      <c r="AF391" s="206" t="s">
        <v>27</v>
      </c>
      <c r="AG391" s="207"/>
      <c r="AH391" s="207"/>
      <c r="AI391" s="207"/>
      <c r="AJ391" s="208"/>
      <c r="AK391" s="209"/>
      <c r="AL391" s="206" t="s">
        <v>34</v>
      </c>
      <c r="AM391" s="207"/>
      <c r="AN391" s="207"/>
      <c r="AO391" s="207"/>
      <c r="AP391" s="208"/>
      <c r="AQ391" s="209"/>
      <c r="AR391" s="206"/>
      <c r="AS391" s="207"/>
      <c r="AT391" s="207"/>
      <c r="AU391" s="207"/>
      <c r="AV391" s="208"/>
      <c r="AW391" s="209"/>
      <c r="AX391" s="206"/>
      <c r="AY391" s="207"/>
      <c r="AZ391" s="207"/>
      <c r="BA391" s="207"/>
      <c r="BB391" s="208"/>
    </row>
    <row r="392" ht="14.25" customHeight="1">
      <c r="A392" s="218"/>
      <c r="B392" s="210"/>
      <c r="F392" s="211"/>
      <c r="G392" s="209"/>
      <c r="H392" s="210"/>
      <c r="L392" s="211"/>
      <c r="M392" s="209"/>
      <c r="N392" s="210"/>
      <c r="R392" s="211"/>
      <c r="S392" s="209"/>
      <c r="T392" s="210"/>
      <c r="X392" s="211"/>
      <c r="Y392" s="209"/>
      <c r="Z392" s="210"/>
      <c r="AD392" s="211"/>
      <c r="AE392" s="209"/>
      <c r="AF392" s="210"/>
      <c r="AJ392" s="211"/>
      <c r="AK392" s="209"/>
      <c r="AL392" s="210"/>
      <c r="AP392" s="211"/>
      <c r="AQ392" s="209"/>
      <c r="AR392" s="210"/>
      <c r="AV392" s="211"/>
      <c r="AW392" s="209"/>
      <c r="AX392" s="210"/>
      <c r="BB392" s="211"/>
    </row>
    <row r="393" ht="14.25" customHeight="1">
      <c r="A393" s="218"/>
      <c r="B393" s="212"/>
      <c r="C393" s="213"/>
      <c r="D393" s="213"/>
      <c r="E393" s="213"/>
      <c r="F393" s="214"/>
      <c r="G393" s="209"/>
      <c r="H393" s="212"/>
      <c r="I393" s="213"/>
      <c r="J393" s="213"/>
      <c r="K393" s="213"/>
      <c r="L393" s="214"/>
      <c r="M393" s="209"/>
      <c r="N393" s="212"/>
      <c r="O393" s="213"/>
      <c r="P393" s="213"/>
      <c r="Q393" s="213"/>
      <c r="R393" s="214"/>
      <c r="S393" s="209"/>
      <c r="T393" s="212"/>
      <c r="U393" s="213"/>
      <c r="V393" s="213"/>
      <c r="W393" s="213"/>
      <c r="X393" s="214"/>
      <c r="Y393" s="209"/>
      <c r="Z393" s="212"/>
      <c r="AA393" s="213"/>
      <c r="AB393" s="213"/>
      <c r="AC393" s="213"/>
      <c r="AD393" s="214"/>
      <c r="AE393" s="209"/>
      <c r="AF393" s="212"/>
      <c r="AG393" s="213"/>
      <c r="AH393" s="213"/>
      <c r="AI393" s="213"/>
      <c r="AJ393" s="214"/>
      <c r="AK393" s="209"/>
      <c r="AL393" s="212"/>
      <c r="AM393" s="213"/>
      <c r="AN393" s="213"/>
      <c r="AO393" s="213"/>
      <c r="AP393" s="214"/>
      <c r="AQ393" s="209"/>
      <c r="AR393" s="212"/>
      <c r="AS393" s="213"/>
      <c r="AT393" s="213"/>
      <c r="AU393" s="213"/>
      <c r="AV393" s="214"/>
      <c r="AW393" s="209"/>
      <c r="AX393" s="212"/>
      <c r="AY393" s="213"/>
      <c r="AZ393" s="213"/>
      <c r="BA393" s="213"/>
      <c r="BB393" s="214"/>
    </row>
    <row r="394" ht="14.25" customHeight="1">
      <c r="A394" s="218"/>
      <c r="B394" s="216" t="s">
        <v>214</v>
      </c>
      <c r="C394" s="216" t="s">
        <v>215</v>
      </c>
      <c r="D394" s="216" t="s">
        <v>216</v>
      </c>
      <c r="E394" s="216" t="s">
        <v>217</v>
      </c>
      <c r="F394" s="216" t="s">
        <v>218</v>
      </c>
      <c r="H394" s="217" t="s">
        <v>214</v>
      </c>
      <c r="I394" s="216" t="s">
        <v>215</v>
      </c>
      <c r="J394" s="216" t="s">
        <v>216</v>
      </c>
      <c r="K394" s="216" t="s">
        <v>217</v>
      </c>
      <c r="L394" s="216" t="s">
        <v>218</v>
      </c>
      <c r="N394" s="216" t="s">
        <v>214</v>
      </c>
      <c r="O394" s="216" t="s">
        <v>215</v>
      </c>
      <c r="P394" s="216" t="s">
        <v>216</v>
      </c>
      <c r="Q394" s="216" t="s">
        <v>217</v>
      </c>
      <c r="R394" s="216" t="s">
        <v>218</v>
      </c>
      <c r="T394" s="216" t="s">
        <v>214</v>
      </c>
      <c r="U394" s="216" t="s">
        <v>215</v>
      </c>
      <c r="V394" s="216" t="s">
        <v>216</v>
      </c>
      <c r="W394" s="216" t="s">
        <v>217</v>
      </c>
      <c r="X394" s="216" t="s">
        <v>218</v>
      </c>
      <c r="Z394" s="216" t="s">
        <v>214</v>
      </c>
      <c r="AA394" s="216" t="s">
        <v>215</v>
      </c>
      <c r="AB394" s="216" t="s">
        <v>216</v>
      </c>
      <c r="AC394" s="216" t="s">
        <v>217</v>
      </c>
      <c r="AD394" s="216" t="s">
        <v>218</v>
      </c>
      <c r="AF394" s="216" t="s">
        <v>214</v>
      </c>
      <c r="AG394" s="216" t="s">
        <v>215</v>
      </c>
      <c r="AH394" s="216" t="s">
        <v>216</v>
      </c>
      <c r="AI394" s="216" t="s">
        <v>217</v>
      </c>
      <c r="AJ394" s="216" t="s">
        <v>218</v>
      </c>
      <c r="AL394" s="216" t="s">
        <v>214</v>
      </c>
      <c r="AM394" s="216" t="s">
        <v>215</v>
      </c>
      <c r="AN394" s="216" t="s">
        <v>216</v>
      </c>
      <c r="AO394" s="216" t="s">
        <v>217</v>
      </c>
      <c r="AP394" s="216" t="s">
        <v>218</v>
      </c>
      <c r="AR394" s="216" t="s">
        <v>214</v>
      </c>
      <c r="AS394" s="216" t="s">
        <v>215</v>
      </c>
      <c r="AT394" s="216" t="s">
        <v>216</v>
      </c>
      <c r="AU394" s="216" t="s">
        <v>217</v>
      </c>
      <c r="AV394" s="216" t="s">
        <v>218</v>
      </c>
      <c r="AX394" s="216" t="s">
        <v>214</v>
      </c>
      <c r="AY394" s="216" t="s">
        <v>215</v>
      </c>
      <c r="AZ394" s="216" t="s">
        <v>216</v>
      </c>
      <c r="BA394" s="216" t="s">
        <v>217</v>
      </c>
      <c r="BB394" s="216" t="s">
        <v>218</v>
      </c>
    </row>
    <row r="395" ht="14.25" customHeight="1">
      <c r="A395" s="218"/>
      <c r="B395" s="219">
        <v>45078.0</v>
      </c>
      <c r="C395" s="220"/>
      <c r="D395" s="220"/>
      <c r="E395" s="220">
        <f t="shared" ref="E395:E425" si="302">D395-C395</f>
        <v>0</v>
      </c>
      <c r="F395" s="220">
        <f t="shared" ref="F395:F426" si="303">E395-10</f>
        <v>-10</v>
      </c>
      <c r="H395" s="219">
        <v>45078.0</v>
      </c>
      <c r="I395" s="220"/>
      <c r="J395" s="220"/>
      <c r="K395" s="220">
        <f t="shared" ref="K395:K425" si="304">J395-I395</f>
        <v>0</v>
      </c>
      <c r="L395" s="220">
        <f t="shared" ref="L395:L426" si="305">K395-10</f>
        <v>-10</v>
      </c>
      <c r="N395" s="219">
        <v>45078.0</v>
      </c>
      <c r="O395" s="220"/>
      <c r="P395" s="220"/>
      <c r="Q395" s="220">
        <f t="shared" ref="Q395:Q425" si="306">P395-O395</f>
        <v>0</v>
      </c>
      <c r="R395" s="220">
        <f t="shared" ref="R395:R426" si="307">Q395-10</f>
        <v>-10</v>
      </c>
      <c r="T395" s="219">
        <v>45078.0</v>
      </c>
      <c r="U395" s="220"/>
      <c r="V395" s="220"/>
      <c r="W395" s="220">
        <f t="shared" ref="W395:W425" si="308">V395-U395</f>
        <v>0</v>
      </c>
      <c r="X395" s="220">
        <f t="shared" ref="X395:X426" si="309">W395-10</f>
        <v>-10</v>
      </c>
      <c r="Z395" s="219">
        <v>45078.0</v>
      </c>
      <c r="AA395" s="220"/>
      <c r="AB395" s="220"/>
      <c r="AC395" s="220">
        <f t="shared" ref="AC395:AC425" si="310">AB395-AA395</f>
        <v>0</v>
      </c>
      <c r="AD395" s="220">
        <f t="shared" ref="AD395:AD426" si="311">AC395-10</f>
        <v>-10</v>
      </c>
      <c r="AF395" s="219">
        <v>45078.0</v>
      </c>
      <c r="AG395" s="220"/>
      <c r="AH395" s="220"/>
      <c r="AI395" s="220">
        <f t="shared" ref="AI395:AI425" si="312">AH395-AG395</f>
        <v>0</v>
      </c>
      <c r="AJ395" s="220">
        <f t="shared" ref="AJ395:AJ426" si="313">AI395-10</f>
        <v>-10</v>
      </c>
      <c r="AL395" s="219">
        <v>45078.0</v>
      </c>
      <c r="AM395" s="220"/>
      <c r="AN395" s="220"/>
      <c r="AO395" s="220">
        <f t="shared" ref="AO395:AO425" si="314">AN395-AM395</f>
        <v>0</v>
      </c>
      <c r="AP395" s="220">
        <f t="shared" ref="AP395:AP426" si="315">AO395-10</f>
        <v>-10</v>
      </c>
      <c r="AR395" s="219">
        <v>45078.0</v>
      </c>
      <c r="AS395" s="220"/>
      <c r="AT395" s="220"/>
      <c r="AU395" s="220">
        <f t="shared" ref="AU395:AU425" si="316">AT395-AS395</f>
        <v>0</v>
      </c>
      <c r="AV395" s="220">
        <f t="shared" ref="AV395:AV426" si="317">AU395-10</f>
        <v>-10</v>
      </c>
      <c r="AX395" s="219">
        <v>45078.0</v>
      </c>
      <c r="AY395" s="220"/>
      <c r="AZ395" s="220"/>
      <c r="BA395" s="220">
        <f t="shared" ref="BA395:BA425" si="318">AZ395-AY395</f>
        <v>0</v>
      </c>
      <c r="BB395" s="220">
        <f t="shared" ref="BB395:BB426" si="319">BA395-10</f>
        <v>-10</v>
      </c>
    </row>
    <row r="396" ht="14.25" customHeight="1">
      <c r="A396" s="218"/>
      <c r="B396" s="219">
        <v>45079.0</v>
      </c>
      <c r="C396" s="220" t="str">
        <f t="shared" ref="C396:C425" si="320">D395</f>
        <v/>
      </c>
      <c r="D396" s="220"/>
      <c r="E396" s="220">
        <f t="shared" si="302"/>
        <v>0</v>
      </c>
      <c r="F396" s="220">
        <f t="shared" si="303"/>
        <v>-10</v>
      </c>
      <c r="H396" s="219">
        <v>45079.0</v>
      </c>
      <c r="I396" s="220" t="str">
        <f t="shared" ref="I396:I425" si="321">J395</f>
        <v/>
      </c>
      <c r="J396" s="220"/>
      <c r="K396" s="220">
        <f t="shared" si="304"/>
        <v>0</v>
      </c>
      <c r="L396" s="220">
        <f t="shared" si="305"/>
        <v>-10</v>
      </c>
      <c r="N396" s="219">
        <v>45079.0</v>
      </c>
      <c r="O396" s="220" t="str">
        <f t="shared" ref="O396:O425" si="322">P395</f>
        <v/>
      </c>
      <c r="P396" s="220"/>
      <c r="Q396" s="220">
        <f t="shared" si="306"/>
        <v>0</v>
      </c>
      <c r="R396" s="220">
        <f t="shared" si="307"/>
        <v>-10</v>
      </c>
      <c r="T396" s="219">
        <v>45079.0</v>
      </c>
      <c r="U396" s="220" t="str">
        <f t="shared" ref="U396:U425" si="323">V395</f>
        <v/>
      </c>
      <c r="V396" s="220"/>
      <c r="W396" s="220">
        <f t="shared" si="308"/>
        <v>0</v>
      </c>
      <c r="X396" s="220">
        <f t="shared" si="309"/>
        <v>-10</v>
      </c>
      <c r="Z396" s="219">
        <v>45079.0</v>
      </c>
      <c r="AA396" s="220" t="str">
        <f t="shared" ref="AA396:AA425" si="324">AB395</f>
        <v/>
      </c>
      <c r="AB396" s="220"/>
      <c r="AC396" s="220">
        <f t="shared" si="310"/>
        <v>0</v>
      </c>
      <c r="AD396" s="220">
        <f t="shared" si="311"/>
        <v>-10</v>
      </c>
      <c r="AF396" s="219">
        <v>45079.0</v>
      </c>
      <c r="AG396" s="220" t="str">
        <f t="shared" ref="AG396:AG425" si="325">AH395</f>
        <v/>
      </c>
      <c r="AH396" s="220"/>
      <c r="AI396" s="220">
        <f t="shared" si="312"/>
        <v>0</v>
      </c>
      <c r="AJ396" s="220">
        <f t="shared" si="313"/>
        <v>-10</v>
      </c>
      <c r="AL396" s="219">
        <v>45079.0</v>
      </c>
      <c r="AM396" s="220" t="str">
        <f t="shared" ref="AM396:AM425" si="326">AN395</f>
        <v/>
      </c>
      <c r="AN396" s="220"/>
      <c r="AO396" s="220">
        <f t="shared" si="314"/>
        <v>0</v>
      </c>
      <c r="AP396" s="220">
        <f t="shared" si="315"/>
        <v>-10</v>
      </c>
      <c r="AR396" s="219">
        <v>45079.0</v>
      </c>
      <c r="AS396" s="220" t="str">
        <f t="shared" ref="AS396:AS425" si="327">AT395</f>
        <v/>
      </c>
      <c r="AT396" s="220"/>
      <c r="AU396" s="220">
        <f t="shared" si="316"/>
        <v>0</v>
      </c>
      <c r="AV396" s="220">
        <f t="shared" si="317"/>
        <v>-10</v>
      </c>
      <c r="AX396" s="219">
        <v>45079.0</v>
      </c>
      <c r="AY396" s="220" t="str">
        <f t="shared" ref="AY396:AY425" si="328">AZ395</f>
        <v/>
      </c>
      <c r="AZ396" s="220"/>
      <c r="BA396" s="220">
        <f t="shared" si="318"/>
        <v>0</v>
      </c>
      <c r="BB396" s="220">
        <f t="shared" si="319"/>
        <v>-10</v>
      </c>
    </row>
    <row r="397" ht="14.25" customHeight="1">
      <c r="A397" s="218"/>
      <c r="B397" s="219">
        <v>45080.0</v>
      </c>
      <c r="C397" s="220" t="str">
        <f t="shared" si="320"/>
        <v/>
      </c>
      <c r="D397" s="220"/>
      <c r="E397" s="220">
        <f t="shared" si="302"/>
        <v>0</v>
      </c>
      <c r="F397" s="220">
        <f t="shared" si="303"/>
        <v>-10</v>
      </c>
      <c r="G397" s="221"/>
      <c r="H397" s="219">
        <v>45080.0</v>
      </c>
      <c r="I397" s="220" t="str">
        <f t="shared" si="321"/>
        <v/>
      </c>
      <c r="J397" s="220"/>
      <c r="K397" s="220">
        <f t="shared" si="304"/>
        <v>0</v>
      </c>
      <c r="L397" s="220">
        <f t="shared" si="305"/>
        <v>-10</v>
      </c>
      <c r="M397" s="221"/>
      <c r="N397" s="219">
        <v>45080.0</v>
      </c>
      <c r="O397" s="220" t="str">
        <f t="shared" si="322"/>
        <v/>
      </c>
      <c r="P397" s="220"/>
      <c r="Q397" s="220">
        <f t="shared" si="306"/>
        <v>0</v>
      </c>
      <c r="R397" s="220">
        <f t="shared" si="307"/>
        <v>-10</v>
      </c>
      <c r="S397" s="221"/>
      <c r="T397" s="219">
        <v>45080.0</v>
      </c>
      <c r="U397" s="220" t="str">
        <f t="shared" si="323"/>
        <v/>
      </c>
      <c r="V397" s="220"/>
      <c r="W397" s="220">
        <f t="shared" si="308"/>
        <v>0</v>
      </c>
      <c r="X397" s="220">
        <f t="shared" si="309"/>
        <v>-10</v>
      </c>
      <c r="Y397" s="221"/>
      <c r="Z397" s="219">
        <v>45080.0</v>
      </c>
      <c r="AA397" s="220" t="str">
        <f t="shared" si="324"/>
        <v/>
      </c>
      <c r="AB397" s="220"/>
      <c r="AC397" s="220">
        <f t="shared" si="310"/>
        <v>0</v>
      </c>
      <c r="AD397" s="220">
        <f t="shared" si="311"/>
        <v>-10</v>
      </c>
      <c r="AE397" s="221"/>
      <c r="AF397" s="219">
        <v>45080.0</v>
      </c>
      <c r="AG397" s="220" t="str">
        <f t="shared" si="325"/>
        <v/>
      </c>
      <c r="AH397" s="220"/>
      <c r="AI397" s="220">
        <f t="shared" si="312"/>
        <v>0</v>
      </c>
      <c r="AJ397" s="220">
        <f t="shared" si="313"/>
        <v>-10</v>
      </c>
      <c r="AK397" s="221"/>
      <c r="AL397" s="219">
        <v>45080.0</v>
      </c>
      <c r="AM397" s="220" t="str">
        <f t="shared" si="326"/>
        <v/>
      </c>
      <c r="AN397" s="220"/>
      <c r="AO397" s="220">
        <f t="shared" si="314"/>
        <v>0</v>
      </c>
      <c r="AP397" s="220">
        <f t="shared" si="315"/>
        <v>-10</v>
      </c>
      <c r="AQ397" s="221"/>
      <c r="AR397" s="219">
        <v>45080.0</v>
      </c>
      <c r="AS397" s="220" t="str">
        <f t="shared" si="327"/>
        <v/>
      </c>
      <c r="AT397" s="220"/>
      <c r="AU397" s="220">
        <f t="shared" si="316"/>
        <v>0</v>
      </c>
      <c r="AV397" s="220">
        <f t="shared" si="317"/>
        <v>-10</v>
      </c>
      <c r="AW397" s="221"/>
      <c r="AX397" s="219">
        <v>45080.0</v>
      </c>
      <c r="AY397" s="220" t="str">
        <f t="shared" si="328"/>
        <v/>
      </c>
      <c r="AZ397" s="220"/>
      <c r="BA397" s="220">
        <f t="shared" si="318"/>
        <v>0</v>
      </c>
      <c r="BB397" s="220">
        <f t="shared" si="319"/>
        <v>-10</v>
      </c>
    </row>
    <row r="398" ht="14.25" customHeight="1">
      <c r="A398" s="218"/>
      <c r="B398" s="219">
        <v>45081.0</v>
      </c>
      <c r="C398" s="220" t="str">
        <f t="shared" si="320"/>
        <v/>
      </c>
      <c r="D398" s="220"/>
      <c r="E398" s="220">
        <f t="shared" si="302"/>
        <v>0</v>
      </c>
      <c r="F398" s="220">
        <f t="shared" si="303"/>
        <v>-10</v>
      </c>
      <c r="G398" s="221"/>
      <c r="H398" s="219">
        <v>45081.0</v>
      </c>
      <c r="I398" s="220" t="str">
        <f t="shared" si="321"/>
        <v/>
      </c>
      <c r="J398" s="220"/>
      <c r="K398" s="220">
        <f t="shared" si="304"/>
        <v>0</v>
      </c>
      <c r="L398" s="220">
        <f t="shared" si="305"/>
        <v>-10</v>
      </c>
      <c r="M398" s="221"/>
      <c r="N398" s="219">
        <v>45081.0</v>
      </c>
      <c r="O398" s="220" t="str">
        <f t="shared" si="322"/>
        <v/>
      </c>
      <c r="P398" s="220"/>
      <c r="Q398" s="220">
        <f t="shared" si="306"/>
        <v>0</v>
      </c>
      <c r="R398" s="220">
        <f t="shared" si="307"/>
        <v>-10</v>
      </c>
      <c r="S398" s="221"/>
      <c r="T398" s="219">
        <v>45081.0</v>
      </c>
      <c r="U398" s="220" t="str">
        <f t="shared" si="323"/>
        <v/>
      </c>
      <c r="V398" s="220"/>
      <c r="W398" s="220">
        <f t="shared" si="308"/>
        <v>0</v>
      </c>
      <c r="X398" s="220">
        <f t="shared" si="309"/>
        <v>-10</v>
      </c>
      <c r="Y398" s="221"/>
      <c r="Z398" s="219">
        <v>45081.0</v>
      </c>
      <c r="AA398" s="220" t="str">
        <f t="shared" si="324"/>
        <v/>
      </c>
      <c r="AB398" s="220"/>
      <c r="AC398" s="220">
        <f t="shared" si="310"/>
        <v>0</v>
      </c>
      <c r="AD398" s="220">
        <f t="shared" si="311"/>
        <v>-10</v>
      </c>
      <c r="AE398" s="221"/>
      <c r="AF398" s="219">
        <v>45081.0</v>
      </c>
      <c r="AG398" s="220" t="str">
        <f t="shared" si="325"/>
        <v/>
      </c>
      <c r="AH398" s="220"/>
      <c r="AI398" s="220">
        <f t="shared" si="312"/>
        <v>0</v>
      </c>
      <c r="AJ398" s="220">
        <f t="shared" si="313"/>
        <v>-10</v>
      </c>
      <c r="AK398" s="221"/>
      <c r="AL398" s="219">
        <v>45081.0</v>
      </c>
      <c r="AM398" s="220" t="str">
        <f t="shared" si="326"/>
        <v/>
      </c>
      <c r="AN398" s="220"/>
      <c r="AO398" s="220">
        <f t="shared" si="314"/>
        <v>0</v>
      </c>
      <c r="AP398" s="220">
        <f t="shared" si="315"/>
        <v>-10</v>
      </c>
      <c r="AQ398" s="221"/>
      <c r="AR398" s="219">
        <v>45081.0</v>
      </c>
      <c r="AS398" s="220" t="str">
        <f t="shared" si="327"/>
        <v/>
      </c>
      <c r="AT398" s="220"/>
      <c r="AU398" s="220">
        <f t="shared" si="316"/>
        <v>0</v>
      </c>
      <c r="AV398" s="220">
        <f t="shared" si="317"/>
        <v>-10</v>
      </c>
      <c r="AW398" s="221"/>
      <c r="AX398" s="219">
        <v>45081.0</v>
      </c>
      <c r="AY398" s="220" t="str">
        <f t="shared" si="328"/>
        <v/>
      </c>
      <c r="AZ398" s="220"/>
      <c r="BA398" s="220">
        <f t="shared" si="318"/>
        <v>0</v>
      </c>
      <c r="BB398" s="220">
        <f t="shared" si="319"/>
        <v>-10</v>
      </c>
    </row>
    <row r="399" ht="14.25" customHeight="1">
      <c r="A399" s="218"/>
      <c r="B399" s="219">
        <v>45082.0</v>
      </c>
      <c r="C399" s="220" t="str">
        <f t="shared" si="320"/>
        <v/>
      </c>
      <c r="D399" s="220"/>
      <c r="E399" s="220">
        <f t="shared" si="302"/>
        <v>0</v>
      </c>
      <c r="F399" s="220">
        <f t="shared" si="303"/>
        <v>-10</v>
      </c>
      <c r="H399" s="219">
        <v>45082.0</v>
      </c>
      <c r="I399" s="220" t="str">
        <f t="shared" si="321"/>
        <v/>
      </c>
      <c r="J399" s="220"/>
      <c r="K399" s="220">
        <f t="shared" si="304"/>
        <v>0</v>
      </c>
      <c r="L399" s="220">
        <f t="shared" si="305"/>
        <v>-10</v>
      </c>
      <c r="N399" s="219">
        <v>45082.0</v>
      </c>
      <c r="O399" s="220" t="str">
        <f t="shared" si="322"/>
        <v/>
      </c>
      <c r="P399" s="220"/>
      <c r="Q399" s="220">
        <f t="shared" si="306"/>
        <v>0</v>
      </c>
      <c r="R399" s="220">
        <f t="shared" si="307"/>
        <v>-10</v>
      </c>
      <c r="T399" s="219">
        <v>45082.0</v>
      </c>
      <c r="U399" s="220" t="str">
        <f t="shared" si="323"/>
        <v/>
      </c>
      <c r="V399" s="220"/>
      <c r="W399" s="220">
        <f t="shared" si="308"/>
        <v>0</v>
      </c>
      <c r="X399" s="220">
        <f t="shared" si="309"/>
        <v>-10</v>
      </c>
      <c r="Z399" s="219">
        <v>45082.0</v>
      </c>
      <c r="AA399" s="220" t="str">
        <f t="shared" si="324"/>
        <v/>
      </c>
      <c r="AB399" s="220"/>
      <c r="AC399" s="220">
        <f t="shared" si="310"/>
        <v>0</v>
      </c>
      <c r="AD399" s="220">
        <f t="shared" si="311"/>
        <v>-10</v>
      </c>
      <c r="AF399" s="219">
        <v>45082.0</v>
      </c>
      <c r="AG399" s="220" t="str">
        <f t="shared" si="325"/>
        <v/>
      </c>
      <c r="AH399" s="220"/>
      <c r="AI399" s="220">
        <f t="shared" si="312"/>
        <v>0</v>
      </c>
      <c r="AJ399" s="220">
        <f t="shared" si="313"/>
        <v>-10</v>
      </c>
      <c r="AL399" s="219">
        <v>45082.0</v>
      </c>
      <c r="AM399" s="220" t="str">
        <f t="shared" si="326"/>
        <v/>
      </c>
      <c r="AN399" s="220"/>
      <c r="AO399" s="220">
        <f t="shared" si="314"/>
        <v>0</v>
      </c>
      <c r="AP399" s="220">
        <f t="shared" si="315"/>
        <v>-10</v>
      </c>
      <c r="AR399" s="219">
        <v>45082.0</v>
      </c>
      <c r="AS399" s="220" t="str">
        <f t="shared" si="327"/>
        <v/>
      </c>
      <c r="AT399" s="220"/>
      <c r="AU399" s="220">
        <f t="shared" si="316"/>
        <v>0</v>
      </c>
      <c r="AV399" s="220">
        <f t="shared" si="317"/>
        <v>-10</v>
      </c>
      <c r="AX399" s="219">
        <v>45082.0</v>
      </c>
      <c r="AY399" s="220" t="str">
        <f t="shared" si="328"/>
        <v/>
      </c>
      <c r="AZ399" s="220"/>
      <c r="BA399" s="220">
        <f t="shared" si="318"/>
        <v>0</v>
      </c>
      <c r="BB399" s="220">
        <f t="shared" si="319"/>
        <v>-10</v>
      </c>
    </row>
    <row r="400" ht="14.25" customHeight="1">
      <c r="A400" s="218"/>
      <c r="B400" s="219">
        <v>45083.0</v>
      </c>
      <c r="C400" s="220" t="str">
        <f t="shared" si="320"/>
        <v/>
      </c>
      <c r="D400" s="220"/>
      <c r="E400" s="220">
        <f t="shared" si="302"/>
        <v>0</v>
      </c>
      <c r="F400" s="220">
        <f t="shared" si="303"/>
        <v>-10</v>
      </c>
      <c r="H400" s="219">
        <v>45083.0</v>
      </c>
      <c r="I400" s="220" t="str">
        <f t="shared" si="321"/>
        <v/>
      </c>
      <c r="J400" s="220"/>
      <c r="K400" s="220">
        <f t="shared" si="304"/>
        <v>0</v>
      </c>
      <c r="L400" s="220">
        <f t="shared" si="305"/>
        <v>-10</v>
      </c>
      <c r="N400" s="219">
        <v>45083.0</v>
      </c>
      <c r="O400" s="220" t="str">
        <f t="shared" si="322"/>
        <v/>
      </c>
      <c r="P400" s="220"/>
      <c r="Q400" s="220">
        <f t="shared" si="306"/>
        <v>0</v>
      </c>
      <c r="R400" s="220">
        <f t="shared" si="307"/>
        <v>-10</v>
      </c>
      <c r="T400" s="219">
        <v>45083.0</v>
      </c>
      <c r="U400" s="220" t="str">
        <f t="shared" si="323"/>
        <v/>
      </c>
      <c r="V400" s="220"/>
      <c r="W400" s="220">
        <f t="shared" si="308"/>
        <v>0</v>
      </c>
      <c r="X400" s="220">
        <f t="shared" si="309"/>
        <v>-10</v>
      </c>
      <c r="Z400" s="219">
        <v>45083.0</v>
      </c>
      <c r="AA400" s="220" t="str">
        <f t="shared" si="324"/>
        <v/>
      </c>
      <c r="AB400" s="220"/>
      <c r="AC400" s="220">
        <f t="shared" si="310"/>
        <v>0</v>
      </c>
      <c r="AD400" s="220">
        <f t="shared" si="311"/>
        <v>-10</v>
      </c>
      <c r="AF400" s="219">
        <v>45083.0</v>
      </c>
      <c r="AG400" s="220" t="str">
        <f t="shared" si="325"/>
        <v/>
      </c>
      <c r="AH400" s="220"/>
      <c r="AI400" s="220">
        <f t="shared" si="312"/>
        <v>0</v>
      </c>
      <c r="AJ400" s="220">
        <f t="shared" si="313"/>
        <v>-10</v>
      </c>
      <c r="AL400" s="219">
        <v>45083.0</v>
      </c>
      <c r="AM400" s="220" t="str">
        <f t="shared" si="326"/>
        <v/>
      </c>
      <c r="AN400" s="220"/>
      <c r="AO400" s="220">
        <f t="shared" si="314"/>
        <v>0</v>
      </c>
      <c r="AP400" s="220">
        <f t="shared" si="315"/>
        <v>-10</v>
      </c>
      <c r="AR400" s="219">
        <v>45083.0</v>
      </c>
      <c r="AS400" s="220" t="str">
        <f t="shared" si="327"/>
        <v/>
      </c>
      <c r="AT400" s="220"/>
      <c r="AU400" s="220">
        <f t="shared" si="316"/>
        <v>0</v>
      </c>
      <c r="AV400" s="220">
        <f t="shared" si="317"/>
        <v>-10</v>
      </c>
      <c r="AX400" s="219">
        <v>45083.0</v>
      </c>
      <c r="AY400" s="220" t="str">
        <f t="shared" si="328"/>
        <v/>
      </c>
      <c r="AZ400" s="220"/>
      <c r="BA400" s="220">
        <f t="shared" si="318"/>
        <v>0</v>
      </c>
      <c r="BB400" s="220">
        <f t="shared" si="319"/>
        <v>-10</v>
      </c>
    </row>
    <row r="401" ht="14.25" customHeight="1">
      <c r="A401" s="218"/>
      <c r="B401" s="219">
        <v>45084.0</v>
      </c>
      <c r="C401" s="220" t="str">
        <f t="shared" si="320"/>
        <v/>
      </c>
      <c r="D401" s="220"/>
      <c r="E401" s="220">
        <f t="shared" si="302"/>
        <v>0</v>
      </c>
      <c r="F401" s="220">
        <f t="shared" si="303"/>
        <v>-10</v>
      </c>
      <c r="H401" s="219">
        <v>45084.0</v>
      </c>
      <c r="I401" s="220" t="str">
        <f t="shared" si="321"/>
        <v/>
      </c>
      <c r="J401" s="220"/>
      <c r="K401" s="220">
        <f t="shared" si="304"/>
        <v>0</v>
      </c>
      <c r="L401" s="220">
        <f t="shared" si="305"/>
        <v>-10</v>
      </c>
      <c r="N401" s="219">
        <v>45084.0</v>
      </c>
      <c r="O401" s="220" t="str">
        <f t="shared" si="322"/>
        <v/>
      </c>
      <c r="P401" s="220"/>
      <c r="Q401" s="220">
        <f t="shared" si="306"/>
        <v>0</v>
      </c>
      <c r="R401" s="220">
        <f t="shared" si="307"/>
        <v>-10</v>
      </c>
      <c r="T401" s="219">
        <v>45084.0</v>
      </c>
      <c r="U401" s="220" t="str">
        <f t="shared" si="323"/>
        <v/>
      </c>
      <c r="V401" s="220"/>
      <c r="W401" s="220">
        <f t="shared" si="308"/>
        <v>0</v>
      </c>
      <c r="X401" s="220">
        <f t="shared" si="309"/>
        <v>-10</v>
      </c>
      <c r="Z401" s="219">
        <v>45084.0</v>
      </c>
      <c r="AA401" s="220" t="str">
        <f t="shared" si="324"/>
        <v/>
      </c>
      <c r="AB401" s="220"/>
      <c r="AC401" s="220">
        <f t="shared" si="310"/>
        <v>0</v>
      </c>
      <c r="AD401" s="220">
        <f t="shared" si="311"/>
        <v>-10</v>
      </c>
      <c r="AF401" s="219">
        <v>45084.0</v>
      </c>
      <c r="AG401" s="220" t="str">
        <f t="shared" si="325"/>
        <v/>
      </c>
      <c r="AH401" s="220"/>
      <c r="AI401" s="220">
        <f t="shared" si="312"/>
        <v>0</v>
      </c>
      <c r="AJ401" s="220">
        <f t="shared" si="313"/>
        <v>-10</v>
      </c>
      <c r="AL401" s="219">
        <v>45084.0</v>
      </c>
      <c r="AM401" s="220" t="str">
        <f t="shared" si="326"/>
        <v/>
      </c>
      <c r="AN401" s="220"/>
      <c r="AO401" s="220">
        <f t="shared" si="314"/>
        <v>0</v>
      </c>
      <c r="AP401" s="220">
        <f t="shared" si="315"/>
        <v>-10</v>
      </c>
      <c r="AR401" s="219">
        <v>45084.0</v>
      </c>
      <c r="AS401" s="220" t="str">
        <f t="shared" si="327"/>
        <v/>
      </c>
      <c r="AT401" s="220"/>
      <c r="AU401" s="220">
        <f t="shared" si="316"/>
        <v>0</v>
      </c>
      <c r="AV401" s="220">
        <f t="shared" si="317"/>
        <v>-10</v>
      </c>
      <c r="AX401" s="219">
        <v>45084.0</v>
      </c>
      <c r="AY401" s="220" t="str">
        <f t="shared" si="328"/>
        <v/>
      </c>
      <c r="AZ401" s="220"/>
      <c r="BA401" s="220">
        <f t="shared" si="318"/>
        <v>0</v>
      </c>
      <c r="BB401" s="220">
        <f t="shared" si="319"/>
        <v>-10</v>
      </c>
    </row>
    <row r="402" ht="14.25" customHeight="1">
      <c r="A402" s="218"/>
      <c r="B402" s="219">
        <v>45085.0</v>
      </c>
      <c r="C402" s="220" t="str">
        <f t="shared" si="320"/>
        <v/>
      </c>
      <c r="D402" s="220"/>
      <c r="E402" s="220">
        <f t="shared" si="302"/>
        <v>0</v>
      </c>
      <c r="F402" s="220">
        <f t="shared" si="303"/>
        <v>-10</v>
      </c>
      <c r="H402" s="219">
        <v>45085.0</v>
      </c>
      <c r="I402" s="220" t="str">
        <f t="shared" si="321"/>
        <v/>
      </c>
      <c r="J402" s="220"/>
      <c r="K402" s="220">
        <f t="shared" si="304"/>
        <v>0</v>
      </c>
      <c r="L402" s="220">
        <f t="shared" si="305"/>
        <v>-10</v>
      </c>
      <c r="N402" s="219">
        <v>45085.0</v>
      </c>
      <c r="O402" s="220" t="str">
        <f t="shared" si="322"/>
        <v/>
      </c>
      <c r="P402" s="220"/>
      <c r="Q402" s="220">
        <f t="shared" si="306"/>
        <v>0</v>
      </c>
      <c r="R402" s="220">
        <f t="shared" si="307"/>
        <v>-10</v>
      </c>
      <c r="T402" s="219">
        <v>45085.0</v>
      </c>
      <c r="U402" s="220" t="str">
        <f t="shared" si="323"/>
        <v/>
      </c>
      <c r="V402" s="220"/>
      <c r="W402" s="220">
        <f t="shared" si="308"/>
        <v>0</v>
      </c>
      <c r="X402" s="220">
        <f t="shared" si="309"/>
        <v>-10</v>
      </c>
      <c r="Z402" s="219">
        <v>45085.0</v>
      </c>
      <c r="AA402" s="220" t="str">
        <f t="shared" si="324"/>
        <v/>
      </c>
      <c r="AB402" s="220"/>
      <c r="AC402" s="220">
        <f t="shared" si="310"/>
        <v>0</v>
      </c>
      <c r="AD402" s="220">
        <f t="shared" si="311"/>
        <v>-10</v>
      </c>
      <c r="AF402" s="219">
        <v>45085.0</v>
      </c>
      <c r="AG402" s="220" t="str">
        <f t="shared" si="325"/>
        <v/>
      </c>
      <c r="AH402" s="220"/>
      <c r="AI402" s="220">
        <f t="shared" si="312"/>
        <v>0</v>
      </c>
      <c r="AJ402" s="220">
        <f t="shared" si="313"/>
        <v>-10</v>
      </c>
      <c r="AL402" s="219">
        <v>45085.0</v>
      </c>
      <c r="AM402" s="220" t="str">
        <f t="shared" si="326"/>
        <v/>
      </c>
      <c r="AN402" s="220"/>
      <c r="AO402" s="220">
        <f t="shared" si="314"/>
        <v>0</v>
      </c>
      <c r="AP402" s="220">
        <f t="shared" si="315"/>
        <v>-10</v>
      </c>
      <c r="AR402" s="219">
        <v>45085.0</v>
      </c>
      <c r="AS402" s="220" t="str">
        <f t="shared" si="327"/>
        <v/>
      </c>
      <c r="AT402" s="220"/>
      <c r="AU402" s="220">
        <f t="shared" si="316"/>
        <v>0</v>
      </c>
      <c r="AV402" s="220">
        <f t="shared" si="317"/>
        <v>-10</v>
      </c>
      <c r="AX402" s="219">
        <v>45085.0</v>
      </c>
      <c r="AY402" s="220" t="str">
        <f t="shared" si="328"/>
        <v/>
      </c>
      <c r="AZ402" s="220"/>
      <c r="BA402" s="220">
        <f t="shared" si="318"/>
        <v>0</v>
      </c>
      <c r="BB402" s="220">
        <f t="shared" si="319"/>
        <v>-10</v>
      </c>
    </row>
    <row r="403" ht="14.25" customHeight="1">
      <c r="A403" s="218"/>
      <c r="B403" s="219">
        <v>45086.0</v>
      </c>
      <c r="C403" s="220" t="str">
        <f t="shared" si="320"/>
        <v/>
      </c>
      <c r="D403" s="220"/>
      <c r="E403" s="220">
        <f t="shared" si="302"/>
        <v>0</v>
      </c>
      <c r="F403" s="220">
        <f t="shared" si="303"/>
        <v>-10</v>
      </c>
      <c r="H403" s="219">
        <v>45086.0</v>
      </c>
      <c r="I403" s="220" t="str">
        <f t="shared" si="321"/>
        <v/>
      </c>
      <c r="J403" s="220"/>
      <c r="K403" s="220">
        <f t="shared" si="304"/>
        <v>0</v>
      </c>
      <c r="L403" s="220">
        <f t="shared" si="305"/>
        <v>-10</v>
      </c>
      <c r="N403" s="219">
        <v>45086.0</v>
      </c>
      <c r="O403" s="220" t="str">
        <f t="shared" si="322"/>
        <v/>
      </c>
      <c r="P403" s="220"/>
      <c r="Q403" s="220">
        <f t="shared" si="306"/>
        <v>0</v>
      </c>
      <c r="R403" s="220">
        <f t="shared" si="307"/>
        <v>-10</v>
      </c>
      <c r="T403" s="219">
        <v>45086.0</v>
      </c>
      <c r="U403" s="220" t="str">
        <f t="shared" si="323"/>
        <v/>
      </c>
      <c r="V403" s="220"/>
      <c r="W403" s="220">
        <f t="shared" si="308"/>
        <v>0</v>
      </c>
      <c r="X403" s="220">
        <f t="shared" si="309"/>
        <v>-10</v>
      </c>
      <c r="Z403" s="219">
        <v>45086.0</v>
      </c>
      <c r="AA403" s="220" t="str">
        <f t="shared" si="324"/>
        <v/>
      </c>
      <c r="AB403" s="220"/>
      <c r="AC403" s="220">
        <f t="shared" si="310"/>
        <v>0</v>
      </c>
      <c r="AD403" s="220">
        <f t="shared" si="311"/>
        <v>-10</v>
      </c>
      <c r="AF403" s="219">
        <v>45086.0</v>
      </c>
      <c r="AG403" s="220" t="str">
        <f t="shared" si="325"/>
        <v/>
      </c>
      <c r="AH403" s="220"/>
      <c r="AI403" s="220">
        <f t="shared" si="312"/>
        <v>0</v>
      </c>
      <c r="AJ403" s="220">
        <f t="shared" si="313"/>
        <v>-10</v>
      </c>
      <c r="AL403" s="219">
        <v>45086.0</v>
      </c>
      <c r="AM403" s="220" t="str">
        <f t="shared" si="326"/>
        <v/>
      </c>
      <c r="AN403" s="220"/>
      <c r="AO403" s="220">
        <f t="shared" si="314"/>
        <v>0</v>
      </c>
      <c r="AP403" s="220">
        <f t="shared" si="315"/>
        <v>-10</v>
      </c>
      <c r="AR403" s="219">
        <v>45086.0</v>
      </c>
      <c r="AS403" s="220" t="str">
        <f t="shared" si="327"/>
        <v/>
      </c>
      <c r="AT403" s="220"/>
      <c r="AU403" s="220">
        <f t="shared" si="316"/>
        <v>0</v>
      </c>
      <c r="AV403" s="220">
        <f t="shared" si="317"/>
        <v>-10</v>
      </c>
      <c r="AX403" s="219">
        <v>45086.0</v>
      </c>
      <c r="AY403" s="220" t="str">
        <f t="shared" si="328"/>
        <v/>
      </c>
      <c r="AZ403" s="220"/>
      <c r="BA403" s="220">
        <f t="shared" si="318"/>
        <v>0</v>
      </c>
      <c r="BB403" s="220">
        <f t="shared" si="319"/>
        <v>-10</v>
      </c>
    </row>
    <row r="404" ht="14.25" customHeight="1">
      <c r="A404" s="218"/>
      <c r="B404" s="219">
        <v>45087.0</v>
      </c>
      <c r="C404" s="220" t="str">
        <f t="shared" si="320"/>
        <v/>
      </c>
      <c r="D404" s="220"/>
      <c r="E404" s="220">
        <f t="shared" si="302"/>
        <v>0</v>
      </c>
      <c r="F404" s="220">
        <f t="shared" si="303"/>
        <v>-10</v>
      </c>
      <c r="G404" s="221"/>
      <c r="H404" s="219">
        <v>45087.0</v>
      </c>
      <c r="I404" s="220" t="str">
        <f t="shared" si="321"/>
        <v/>
      </c>
      <c r="J404" s="220"/>
      <c r="K404" s="220">
        <f t="shared" si="304"/>
        <v>0</v>
      </c>
      <c r="L404" s="220">
        <f t="shared" si="305"/>
        <v>-10</v>
      </c>
      <c r="M404" s="221"/>
      <c r="N404" s="219">
        <v>45087.0</v>
      </c>
      <c r="O404" s="220" t="str">
        <f t="shared" si="322"/>
        <v/>
      </c>
      <c r="P404" s="220"/>
      <c r="Q404" s="220">
        <f t="shared" si="306"/>
        <v>0</v>
      </c>
      <c r="R404" s="220">
        <f t="shared" si="307"/>
        <v>-10</v>
      </c>
      <c r="S404" s="221"/>
      <c r="T404" s="219">
        <v>45087.0</v>
      </c>
      <c r="U404" s="220" t="str">
        <f t="shared" si="323"/>
        <v/>
      </c>
      <c r="V404" s="220"/>
      <c r="W404" s="220">
        <f t="shared" si="308"/>
        <v>0</v>
      </c>
      <c r="X404" s="220">
        <f t="shared" si="309"/>
        <v>-10</v>
      </c>
      <c r="Y404" s="221"/>
      <c r="Z404" s="219">
        <v>45087.0</v>
      </c>
      <c r="AA404" s="220" t="str">
        <f t="shared" si="324"/>
        <v/>
      </c>
      <c r="AB404" s="220"/>
      <c r="AC404" s="220">
        <f t="shared" si="310"/>
        <v>0</v>
      </c>
      <c r="AD404" s="220">
        <f t="shared" si="311"/>
        <v>-10</v>
      </c>
      <c r="AE404" s="221"/>
      <c r="AF404" s="219">
        <v>45087.0</v>
      </c>
      <c r="AG404" s="220" t="str">
        <f t="shared" si="325"/>
        <v/>
      </c>
      <c r="AH404" s="220"/>
      <c r="AI404" s="220">
        <f t="shared" si="312"/>
        <v>0</v>
      </c>
      <c r="AJ404" s="220">
        <f t="shared" si="313"/>
        <v>-10</v>
      </c>
      <c r="AK404" s="221"/>
      <c r="AL404" s="219">
        <v>45087.0</v>
      </c>
      <c r="AM404" s="220" t="str">
        <f t="shared" si="326"/>
        <v/>
      </c>
      <c r="AN404" s="220"/>
      <c r="AO404" s="220">
        <f t="shared" si="314"/>
        <v>0</v>
      </c>
      <c r="AP404" s="220">
        <f t="shared" si="315"/>
        <v>-10</v>
      </c>
      <c r="AQ404" s="221"/>
      <c r="AR404" s="219">
        <v>45087.0</v>
      </c>
      <c r="AS404" s="220" t="str">
        <f t="shared" si="327"/>
        <v/>
      </c>
      <c r="AT404" s="220"/>
      <c r="AU404" s="220">
        <f t="shared" si="316"/>
        <v>0</v>
      </c>
      <c r="AV404" s="220">
        <f t="shared" si="317"/>
        <v>-10</v>
      </c>
      <c r="AW404" s="221"/>
      <c r="AX404" s="219">
        <v>45087.0</v>
      </c>
      <c r="AY404" s="220" t="str">
        <f t="shared" si="328"/>
        <v/>
      </c>
      <c r="AZ404" s="220"/>
      <c r="BA404" s="220">
        <f t="shared" si="318"/>
        <v>0</v>
      </c>
      <c r="BB404" s="220">
        <f t="shared" si="319"/>
        <v>-10</v>
      </c>
    </row>
    <row r="405" ht="14.25" customHeight="1">
      <c r="A405" s="218"/>
      <c r="B405" s="219">
        <v>45088.0</v>
      </c>
      <c r="C405" s="220" t="str">
        <f t="shared" si="320"/>
        <v/>
      </c>
      <c r="D405" s="220"/>
      <c r="E405" s="220">
        <f t="shared" si="302"/>
        <v>0</v>
      </c>
      <c r="F405" s="220">
        <f t="shared" si="303"/>
        <v>-10</v>
      </c>
      <c r="G405" s="221"/>
      <c r="H405" s="219">
        <v>45088.0</v>
      </c>
      <c r="I405" s="220" t="str">
        <f t="shared" si="321"/>
        <v/>
      </c>
      <c r="J405" s="220"/>
      <c r="K405" s="220">
        <f t="shared" si="304"/>
        <v>0</v>
      </c>
      <c r="L405" s="220">
        <f t="shared" si="305"/>
        <v>-10</v>
      </c>
      <c r="M405" s="221"/>
      <c r="N405" s="219">
        <v>45088.0</v>
      </c>
      <c r="O405" s="220" t="str">
        <f t="shared" si="322"/>
        <v/>
      </c>
      <c r="P405" s="220"/>
      <c r="Q405" s="220">
        <f t="shared" si="306"/>
        <v>0</v>
      </c>
      <c r="R405" s="220">
        <f t="shared" si="307"/>
        <v>-10</v>
      </c>
      <c r="S405" s="221"/>
      <c r="T405" s="219">
        <v>45088.0</v>
      </c>
      <c r="U405" s="220" t="str">
        <f t="shared" si="323"/>
        <v/>
      </c>
      <c r="V405" s="220"/>
      <c r="W405" s="220">
        <f t="shared" si="308"/>
        <v>0</v>
      </c>
      <c r="X405" s="220">
        <f t="shared" si="309"/>
        <v>-10</v>
      </c>
      <c r="Y405" s="221"/>
      <c r="Z405" s="219">
        <v>45088.0</v>
      </c>
      <c r="AA405" s="220" t="str">
        <f t="shared" si="324"/>
        <v/>
      </c>
      <c r="AB405" s="220"/>
      <c r="AC405" s="220">
        <f t="shared" si="310"/>
        <v>0</v>
      </c>
      <c r="AD405" s="220">
        <f t="shared" si="311"/>
        <v>-10</v>
      </c>
      <c r="AE405" s="221"/>
      <c r="AF405" s="219">
        <v>45088.0</v>
      </c>
      <c r="AG405" s="220" t="str">
        <f t="shared" si="325"/>
        <v/>
      </c>
      <c r="AH405" s="220"/>
      <c r="AI405" s="220">
        <f t="shared" si="312"/>
        <v>0</v>
      </c>
      <c r="AJ405" s="220">
        <f t="shared" si="313"/>
        <v>-10</v>
      </c>
      <c r="AK405" s="221"/>
      <c r="AL405" s="219">
        <v>45088.0</v>
      </c>
      <c r="AM405" s="220" t="str">
        <f t="shared" si="326"/>
        <v/>
      </c>
      <c r="AN405" s="220"/>
      <c r="AO405" s="220">
        <f t="shared" si="314"/>
        <v>0</v>
      </c>
      <c r="AP405" s="220">
        <f t="shared" si="315"/>
        <v>-10</v>
      </c>
      <c r="AQ405" s="221"/>
      <c r="AR405" s="219">
        <v>45088.0</v>
      </c>
      <c r="AS405" s="220" t="str">
        <f t="shared" si="327"/>
        <v/>
      </c>
      <c r="AT405" s="220"/>
      <c r="AU405" s="220">
        <f t="shared" si="316"/>
        <v>0</v>
      </c>
      <c r="AV405" s="220">
        <f t="shared" si="317"/>
        <v>-10</v>
      </c>
      <c r="AW405" s="221"/>
      <c r="AX405" s="219">
        <v>45088.0</v>
      </c>
      <c r="AY405" s="220" t="str">
        <f t="shared" si="328"/>
        <v/>
      </c>
      <c r="AZ405" s="220"/>
      <c r="BA405" s="220">
        <f t="shared" si="318"/>
        <v>0</v>
      </c>
      <c r="BB405" s="220">
        <f t="shared" si="319"/>
        <v>-10</v>
      </c>
    </row>
    <row r="406" ht="14.25" customHeight="1">
      <c r="A406" s="218"/>
      <c r="B406" s="219">
        <v>45089.0</v>
      </c>
      <c r="C406" s="220" t="str">
        <f t="shared" si="320"/>
        <v/>
      </c>
      <c r="D406" s="220"/>
      <c r="E406" s="220">
        <f t="shared" si="302"/>
        <v>0</v>
      </c>
      <c r="F406" s="220">
        <f t="shared" si="303"/>
        <v>-10</v>
      </c>
      <c r="H406" s="219">
        <v>45089.0</v>
      </c>
      <c r="I406" s="220" t="str">
        <f t="shared" si="321"/>
        <v/>
      </c>
      <c r="J406" s="220"/>
      <c r="K406" s="220">
        <f t="shared" si="304"/>
        <v>0</v>
      </c>
      <c r="L406" s="220">
        <f t="shared" si="305"/>
        <v>-10</v>
      </c>
      <c r="N406" s="219">
        <v>45089.0</v>
      </c>
      <c r="O406" s="220" t="str">
        <f t="shared" si="322"/>
        <v/>
      </c>
      <c r="P406" s="220"/>
      <c r="Q406" s="220">
        <f t="shared" si="306"/>
        <v>0</v>
      </c>
      <c r="R406" s="220">
        <f t="shared" si="307"/>
        <v>-10</v>
      </c>
      <c r="T406" s="219">
        <v>45089.0</v>
      </c>
      <c r="U406" s="220" t="str">
        <f t="shared" si="323"/>
        <v/>
      </c>
      <c r="V406" s="220"/>
      <c r="W406" s="220">
        <f t="shared" si="308"/>
        <v>0</v>
      </c>
      <c r="X406" s="220">
        <f t="shared" si="309"/>
        <v>-10</v>
      </c>
      <c r="Z406" s="219">
        <v>45089.0</v>
      </c>
      <c r="AA406" s="220" t="str">
        <f t="shared" si="324"/>
        <v/>
      </c>
      <c r="AB406" s="220"/>
      <c r="AC406" s="220">
        <f t="shared" si="310"/>
        <v>0</v>
      </c>
      <c r="AD406" s="220">
        <f t="shared" si="311"/>
        <v>-10</v>
      </c>
      <c r="AF406" s="219">
        <v>45089.0</v>
      </c>
      <c r="AG406" s="220" t="str">
        <f t="shared" si="325"/>
        <v/>
      </c>
      <c r="AH406" s="220"/>
      <c r="AI406" s="220">
        <f t="shared" si="312"/>
        <v>0</v>
      </c>
      <c r="AJ406" s="220">
        <f t="shared" si="313"/>
        <v>-10</v>
      </c>
      <c r="AL406" s="219">
        <v>45089.0</v>
      </c>
      <c r="AM406" s="220" t="str">
        <f t="shared" si="326"/>
        <v/>
      </c>
      <c r="AN406" s="220"/>
      <c r="AO406" s="220">
        <f t="shared" si="314"/>
        <v>0</v>
      </c>
      <c r="AP406" s="220">
        <f t="shared" si="315"/>
        <v>-10</v>
      </c>
      <c r="AR406" s="219">
        <v>45089.0</v>
      </c>
      <c r="AS406" s="220" t="str">
        <f t="shared" si="327"/>
        <v/>
      </c>
      <c r="AT406" s="220"/>
      <c r="AU406" s="220">
        <f t="shared" si="316"/>
        <v>0</v>
      </c>
      <c r="AV406" s="220">
        <f t="shared" si="317"/>
        <v>-10</v>
      </c>
      <c r="AX406" s="219">
        <v>45089.0</v>
      </c>
      <c r="AY406" s="220" t="str">
        <f t="shared" si="328"/>
        <v/>
      </c>
      <c r="AZ406" s="220"/>
      <c r="BA406" s="220">
        <f t="shared" si="318"/>
        <v>0</v>
      </c>
      <c r="BB406" s="220">
        <f t="shared" si="319"/>
        <v>-10</v>
      </c>
    </row>
    <row r="407" ht="14.25" customHeight="1">
      <c r="A407" s="218"/>
      <c r="B407" s="219">
        <v>45090.0</v>
      </c>
      <c r="C407" s="220" t="str">
        <f t="shared" si="320"/>
        <v/>
      </c>
      <c r="D407" s="220"/>
      <c r="E407" s="220">
        <f t="shared" si="302"/>
        <v>0</v>
      </c>
      <c r="F407" s="220">
        <f t="shared" si="303"/>
        <v>-10</v>
      </c>
      <c r="H407" s="219">
        <v>45090.0</v>
      </c>
      <c r="I407" s="220" t="str">
        <f t="shared" si="321"/>
        <v/>
      </c>
      <c r="J407" s="220"/>
      <c r="K407" s="220">
        <f t="shared" si="304"/>
        <v>0</v>
      </c>
      <c r="L407" s="220">
        <f t="shared" si="305"/>
        <v>-10</v>
      </c>
      <c r="N407" s="219">
        <v>45090.0</v>
      </c>
      <c r="O407" s="220" t="str">
        <f t="shared" si="322"/>
        <v/>
      </c>
      <c r="P407" s="220"/>
      <c r="Q407" s="220">
        <f t="shared" si="306"/>
        <v>0</v>
      </c>
      <c r="R407" s="220">
        <f t="shared" si="307"/>
        <v>-10</v>
      </c>
      <c r="T407" s="219">
        <v>45090.0</v>
      </c>
      <c r="U407" s="220" t="str">
        <f t="shared" si="323"/>
        <v/>
      </c>
      <c r="V407" s="220"/>
      <c r="W407" s="220">
        <f t="shared" si="308"/>
        <v>0</v>
      </c>
      <c r="X407" s="220">
        <f t="shared" si="309"/>
        <v>-10</v>
      </c>
      <c r="Z407" s="219">
        <v>45090.0</v>
      </c>
      <c r="AA407" s="220" t="str">
        <f t="shared" si="324"/>
        <v/>
      </c>
      <c r="AB407" s="220"/>
      <c r="AC407" s="220">
        <f t="shared" si="310"/>
        <v>0</v>
      </c>
      <c r="AD407" s="220">
        <f t="shared" si="311"/>
        <v>-10</v>
      </c>
      <c r="AF407" s="219">
        <v>45090.0</v>
      </c>
      <c r="AG407" s="220" t="str">
        <f t="shared" si="325"/>
        <v/>
      </c>
      <c r="AH407" s="220"/>
      <c r="AI407" s="220">
        <f t="shared" si="312"/>
        <v>0</v>
      </c>
      <c r="AJ407" s="220">
        <f t="shared" si="313"/>
        <v>-10</v>
      </c>
      <c r="AL407" s="219">
        <v>45090.0</v>
      </c>
      <c r="AM407" s="220" t="str">
        <f t="shared" si="326"/>
        <v/>
      </c>
      <c r="AN407" s="220"/>
      <c r="AO407" s="220">
        <f t="shared" si="314"/>
        <v>0</v>
      </c>
      <c r="AP407" s="220">
        <f t="shared" si="315"/>
        <v>-10</v>
      </c>
      <c r="AR407" s="219">
        <v>45090.0</v>
      </c>
      <c r="AS407" s="220" t="str">
        <f t="shared" si="327"/>
        <v/>
      </c>
      <c r="AT407" s="220"/>
      <c r="AU407" s="220">
        <f t="shared" si="316"/>
        <v>0</v>
      </c>
      <c r="AV407" s="220">
        <f t="shared" si="317"/>
        <v>-10</v>
      </c>
      <c r="AX407" s="219">
        <v>45090.0</v>
      </c>
      <c r="AY407" s="220" t="str">
        <f t="shared" si="328"/>
        <v/>
      </c>
      <c r="AZ407" s="220"/>
      <c r="BA407" s="220">
        <f t="shared" si="318"/>
        <v>0</v>
      </c>
      <c r="BB407" s="220">
        <f t="shared" si="319"/>
        <v>-10</v>
      </c>
    </row>
    <row r="408" ht="14.25" customHeight="1">
      <c r="A408" s="218"/>
      <c r="B408" s="219">
        <v>45091.0</v>
      </c>
      <c r="C408" s="220" t="str">
        <f t="shared" si="320"/>
        <v/>
      </c>
      <c r="D408" s="220"/>
      <c r="E408" s="220">
        <f t="shared" si="302"/>
        <v>0</v>
      </c>
      <c r="F408" s="220">
        <f t="shared" si="303"/>
        <v>-10</v>
      </c>
      <c r="H408" s="219">
        <v>45091.0</v>
      </c>
      <c r="I408" s="220" t="str">
        <f t="shared" si="321"/>
        <v/>
      </c>
      <c r="J408" s="220"/>
      <c r="K408" s="220">
        <f t="shared" si="304"/>
        <v>0</v>
      </c>
      <c r="L408" s="220">
        <f t="shared" si="305"/>
        <v>-10</v>
      </c>
      <c r="N408" s="219">
        <v>45091.0</v>
      </c>
      <c r="O408" s="220" t="str">
        <f t="shared" si="322"/>
        <v/>
      </c>
      <c r="P408" s="220"/>
      <c r="Q408" s="220">
        <f t="shared" si="306"/>
        <v>0</v>
      </c>
      <c r="R408" s="220">
        <f t="shared" si="307"/>
        <v>-10</v>
      </c>
      <c r="T408" s="219">
        <v>45091.0</v>
      </c>
      <c r="U408" s="220" t="str">
        <f t="shared" si="323"/>
        <v/>
      </c>
      <c r="V408" s="220"/>
      <c r="W408" s="220">
        <f t="shared" si="308"/>
        <v>0</v>
      </c>
      <c r="X408" s="220">
        <f t="shared" si="309"/>
        <v>-10</v>
      </c>
      <c r="Z408" s="219">
        <v>45091.0</v>
      </c>
      <c r="AA408" s="220" t="str">
        <f t="shared" si="324"/>
        <v/>
      </c>
      <c r="AB408" s="220"/>
      <c r="AC408" s="220">
        <f t="shared" si="310"/>
        <v>0</v>
      </c>
      <c r="AD408" s="220">
        <f t="shared" si="311"/>
        <v>-10</v>
      </c>
      <c r="AF408" s="219">
        <v>45091.0</v>
      </c>
      <c r="AG408" s="220" t="str">
        <f t="shared" si="325"/>
        <v/>
      </c>
      <c r="AH408" s="220"/>
      <c r="AI408" s="220">
        <f t="shared" si="312"/>
        <v>0</v>
      </c>
      <c r="AJ408" s="220">
        <f t="shared" si="313"/>
        <v>-10</v>
      </c>
      <c r="AL408" s="219">
        <v>45091.0</v>
      </c>
      <c r="AM408" s="220" t="str">
        <f t="shared" si="326"/>
        <v/>
      </c>
      <c r="AN408" s="220"/>
      <c r="AO408" s="220">
        <f t="shared" si="314"/>
        <v>0</v>
      </c>
      <c r="AP408" s="220">
        <f t="shared" si="315"/>
        <v>-10</v>
      </c>
      <c r="AR408" s="219">
        <v>45091.0</v>
      </c>
      <c r="AS408" s="220" t="str">
        <f t="shared" si="327"/>
        <v/>
      </c>
      <c r="AT408" s="220"/>
      <c r="AU408" s="220">
        <f t="shared" si="316"/>
        <v>0</v>
      </c>
      <c r="AV408" s="220">
        <f t="shared" si="317"/>
        <v>-10</v>
      </c>
      <c r="AX408" s="219">
        <v>45091.0</v>
      </c>
      <c r="AY408" s="220" t="str">
        <f t="shared" si="328"/>
        <v/>
      </c>
      <c r="AZ408" s="220"/>
      <c r="BA408" s="220">
        <f t="shared" si="318"/>
        <v>0</v>
      </c>
      <c r="BB408" s="220">
        <f t="shared" si="319"/>
        <v>-10</v>
      </c>
    </row>
    <row r="409" ht="14.25" customHeight="1">
      <c r="A409" s="218"/>
      <c r="B409" s="219">
        <v>45092.0</v>
      </c>
      <c r="C409" s="220" t="str">
        <f t="shared" si="320"/>
        <v/>
      </c>
      <c r="D409" s="220"/>
      <c r="E409" s="220">
        <f t="shared" si="302"/>
        <v>0</v>
      </c>
      <c r="F409" s="220">
        <f t="shared" si="303"/>
        <v>-10</v>
      </c>
      <c r="H409" s="219">
        <v>45092.0</v>
      </c>
      <c r="I409" s="220" t="str">
        <f t="shared" si="321"/>
        <v/>
      </c>
      <c r="J409" s="220"/>
      <c r="K409" s="220">
        <f t="shared" si="304"/>
        <v>0</v>
      </c>
      <c r="L409" s="220">
        <f t="shared" si="305"/>
        <v>-10</v>
      </c>
      <c r="N409" s="219">
        <v>45092.0</v>
      </c>
      <c r="O409" s="220" t="str">
        <f t="shared" si="322"/>
        <v/>
      </c>
      <c r="P409" s="220"/>
      <c r="Q409" s="220">
        <f t="shared" si="306"/>
        <v>0</v>
      </c>
      <c r="R409" s="220">
        <f t="shared" si="307"/>
        <v>-10</v>
      </c>
      <c r="T409" s="219">
        <v>45092.0</v>
      </c>
      <c r="U409" s="220" t="str">
        <f t="shared" si="323"/>
        <v/>
      </c>
      <c r="V409" s="220"/>
      <c r="W409" s="220">
        <f t="shared" si="308"/>
        <v>0</v>
      </c>
      <c r="X409" s="220">
        <f t="shared" si="309"/>
        <v>-10</v>
      </c>
      <c r="Z409" s="219">
        <v>45092.0</v>
      </c>
      <c r="AA409" s="220" t="str">
        <f t="shared" si="324"/>
        <v/>
      </c>
      <c r="AB409" s="220"/>
      <c r="AC409" s="220">
        <f t="shared" si="310"/>
        <v>0</v>
      </c>
      <c r="AD409" s="220">
        <f t="shared" si="311"/>
        <v>-10</v>
      </c>
      <c r="AF409" s="219">
        <v>45092.0</v>
      </c>
      <c r="AG409" s="220" t="str">
        <f t="shared" si="325"/>
        <v/>
      </c>
      <c r="AH409" s="220"/>
      <c r="AI409" s="220">
        <f t="shared" si="312"/>
        <v>0</v>
      </c>
      <c r="AJ409" s="220">
        <f t="shared" si="313"/>
        <v>-10</v>
      </c>
      <c r="AL409" s="219">
        <v>45092.0</v>
      </c>
      <c r="AM409" s="220" t="str">
        <f t="shared" si="326"/>
        <v/>
      </c>
      <c r="AN409" s="220"/>
      <c r="AO409" s="220">
        <f t="shared" si="314"/>
        <v>0</v>
      </c>
      <c r="AP409" s="220">
        <f t="shared" si="315"/>
        <v>-10</v>
      </c>
      <c r="AR409" s="219">
        <v>45092.0</v>
      </c>
      <c r="AS409" s="220" t="str">
        <f t="shared" si="327"/>
        <v/>
      </c>
      <c r="AT409" s="220"/>
      <c r="AU409" s="220">
        <f t="shared" si="316"/>
        <v>0</v>
      </c>
      <c r="AV409" s="220">
        <f t="shared" si="317"/>
        <v>-10</v>
      </c>
      <c r="AX409" s="219">
        <v>45092.0</v>
      </c>
      <c r="AY409" s="220" t="str">
        <f t="shared" si="328"/>
        <v/>
      </c>
      <c r="AZ409" s="220"/>
      <c r="BA409" s="220">
        <f t="shared" si="318"/>
        <v>0</v>
      </c>
      <c r="BB409" s="220">
        <f t="shared" si="319"/>
        <v>-10</v>
      </c>
    </row>
    <row r="410" ht="14.25" customHeight="1">
      <c r="A410" s="218"/>
      <c r="B410" s="219">
        <v>45093.0</v>
      </c>
      <c r="C410" s="220" t="str">
        <f t="shared" si="320"/>
        <v/>
      </c>
      <c r="D410" s="220"/>
      <c r="E410" s="220">
        <f t="shared" si="302"/>
        <v>0</v>
      </c>
      <c r="F410" s="220">
        <f t="shared" si="303"/>
        <v>-10</v>
      </c>
      <c r="H410" s="219">
        <v>45093.0</v>
      </c>
      <c r="I410" s="220" t="str">
        <f t="shared" si="321"/>
        <v/>
      </c>
      <c r="J410" s="220"/>
      <c r="K410" s="220">
        <f t="shared" si="304"/>
        <v>0</v>
      </c>
      <c r="L410" s="220">
        <f t="shared" si="305"/>
        <v>-10</v>
      </c>
      <c r="N410" s="219">
        <v>45093.0</v>
      </c>
      <c r="O410" s="220" t="str">
        <f t="shared" si="322"/>
        <v/>
      </c>
      <c r="P410" s="220"/>
      <c r="Q410" s="220">
        <f t="shared" si="306"/>
        <v>0</v>
      </c>
      <c r="R410" s="220">
        <f t="shared" si="307"/>
        <v>-10</v>
      </c>
      <c r="T410" s="219">
        <v>45093.0</v>
      </c>
      <c r="U410" s="220" t="str">
        <f t="shared" si="323"/>
        <v/>
      </c>
      <c r="V410" s="220"/>
      <c r="W410" s="220">
        <f t="shared" si="308"/>
        <v>0</v>
      </c>
      <c r="X410" s="220">
        <f t="shared" si="309"/>
        <v>-10</v>
      </c>
      <c r="Z410" s="219">
        <v>45093.0</v>
      </c>
      <c r="AA410" s="220" t="str">
        <f t="shared" si="324"/>
        <v/>
      </c>
      <c r="AB410" s="220"/>
      <c r="AC410" s="220">
        <f t="shared" si="310"/>
        <v>0</v>
      </c>
      <c r="AD410" s="220">
        <f t="shared" si="311"/>
        <v>-10</v>
      </c>
      <c r="AF410" s="219">
        <v>45093.0</v>
      </c>
      <c r="AG410" s="220" t="str">
        <f t="shared" si="325"/>
        <v/>
      </c>
      <c r="AH410" s="220"/>
      <c r="AI410" s="220">
        <f t="shared" si="312"/>
        <v>0</v>
      </c>
      <c r="AJ410" s="220">
        <f t="shared" si="313"/>
        <v>-10</v>
      </c>
      <c r="AL410" s="219">
        <v>45093.0</v>
      </c>
      <c r="AM410" s="220" t="str">
        <f t="shared" si="326"/>
        <v/>
      </c>
      <c r="AN410" s="220"/>
      <c r="AO410" s="220">
        <f t="shared" si="314"/>
        <v>0</v>
      </c>
      <c r="AP410" s="220">
        <f t="shared" si="315"/>
        <v>-10</v>
      </c>
      <c r="AR410" s="219">
        <v>45093.0</v>
      </c>
      <c r="AS410" s="220" t="str">
        <f t="shared" si="327"/>
        <v/>
      </c>
      <c r="AT410" s="220"/>
      <c r="AU410" s="220">
        <f t="shared" si="316"/>
        <v>0</v>
      </c>
      <c r="AV410" s="220">
        <f t="shared" si="317"/>
        <v>-10</v>
      </c>
      <c r="AX410" s="219">
        <v>45093.0</v>
      </c>
      <c r="AY410" s="220" t="str">
        <f t="shared" si="328"/>
        <v/>
      </c>
      <c r="AZ410" s="220"/>
      <c r="BA410" s="220">
        <f t="shared" si="318"/>
        <v>0</v>
      </c>
      <c r="BB410" s="220">
        <f t="shared" si="319"/>
        <v>-10</v>
      </c>
    </row>
    <row r="411" ht="14.25" customHeight="1">
      <c r="A411" s="218"/>
      <c r="B411" s="219">
        <v>45094.0</v>
      </c>
      <c r="C411" s="220" t="str">
        <f t="shared" si="320"/>
        <v/>
      </c>
      <c r="D411" s="220"/>
      <c r="E411" s="220">
        <f t="shared" si="302"/>
        <v>0</v>
      </c>
      <c r="F411" s="220">
        <f t="shared" si="303"/>
        <v>-10</v>
      </c>
      <c r="G411" s="221"/>
      <c r="H411" s="219">
        <v>45094.0</v>
      </c>
      <c r="I411" s="220" t="str">
        <f t="shared" si="321"/>
        <v/>
      </c>
      <c r="J411" s="220"/>
      <c r="K411" s="220">
        <f t="shared" si="304"/>
        <v>0</v>
      </c>
      <c r="L411" s="220">
        <f t="shared" si="305"/>
        <v>-10</v>
      </c>
      <c r="M411" s="221"/>
      <c r="N411" s="219">
        <v>45094.0</v>
      </c>
      <c r="O411" s="220" t="str">
        <f t="shared" si="322"/>
        <v/>
      </c>
      <c r="P411" s="220"/>
      <c r="Q411" s="220">
        <f t="shared" si="306"/>
        <v>0</v>
      </c>
      <c r="R411" s="220">
        <f t="shared" si="307"/>
        <v>-10</v>
      </c>
      <c r="S411" s="221"/>
      <c r="T411" s="219">
        <v>45094.0</v>
      </c>
      <c r="U411" s="220" t="str">
        <f t="shared" si="323"/>
        <v/>
      </c>
      <c r="V411" s="220"/>
      <c r="W411" s="220">
        <f t="shared" si="308"/>
        <v>0</v>
      </c>
      <c r="X411" s="220">
        <f t="shared" si="309"/>
        <v>-10</v>
      </c>
      <c r="Y411" s="221"/>
      <c r="Z411" s="219">
        <v>45094.0</v>
      </c>
      <c r="AA411" s="220" t="str">
        <f t="shared" si="324"/>
        <v/>
      </c>
      <c r="AB411" s="220"/>
      <c r="AC411" s="220">
        <f t="shared" si="310"/>
        <v>0</v>
      </c>
      <c r="AD411" s="220">
        <f t="shared" si="311"/>
        <v>-10</v>
      </c>
      <c r="AE411" s="221"/>
      <c r="AF411" s="219">
        <v>45094.0</v>
      </c>
      <c r="AG411" s="220" t="str">
        <f t="shared" si="325"/>
        <v/>
      </c>
      <c r="AH411" s="220"/>
      <c r="AI411" s="220">
        <f t="shared" si="312"/>
        <v>0</v>
      </c>
      <c r="AJ411" s="220">
        <f t="shared" si="313"/>
        <v>-10</v>
      </c>
      <c r="AK411" s="221"/>
      <c r="AL411" s="219">
        <v>45094.0</v>
      </c>
      <c r="AM411" s="220" t="str">
        <f t="shared" si="326"/>
        <v/>
      </c>
      <c r="AN411" s="220"/>
      <c r="AO411" s="220">
        <f t="shared" si="314"/>
        <v>0</v>
      </c>
      <c r="AP411" s="220">
        <f t="shared" si="315"/>
        <v>-10</v>
      </c>
      <c r="AQ411" s="221"/>
      <c r="AR411" s="219">
        <v>45094.0</v>
      </c>
      <c r="AS411" s="220" t="str">
        <f t="shared" si="327"/>
        <v/>
      </c>
      <c r="AT411" s="220"/>
      <c r="AU411" s="220">
        <f t="shared" si="316"/>
        <v>0</v>
      </c>
      <c r="AV411" s="220">
        <f t="shared" si="317"/>
        <v>-10</v>
      </c>
      <c r="AW411" s="221"/>
      <c r="AX411" s="219">
        <v>45094.0</v>
      </c>
      <c r="AY411" s="220" t="str">
        <f t="shared" si="328"/>
        <v/>
      </c>
      <c r="AZ411" s="220"/>
      <c r="BA411" s="220">
        <f t="shared" si="318"/>
        <v>0</v>
      </c>
      <c r="BB411" s="220">
        <f t="shared" si="319"/>
        <v>-10</v>
      </c>
    </row>
    <row r="412" ht="14.25" customHeight="1">
      <c r="A412" s="218"/>
      <c r="B412" s="219">
        <v>45095.0</v>
      </c>
      <c r="C412" s="220" t="str">
        <f t="shared" si="320"/>
        <v/>
      </c>
      <c r="D412" s="220"/>
      <c r="E412" s="220">
        <f t="shared" si="302"/>
        <v>0</v>
      </c>
      <c r="F412" s="220">
        <f t="shared" si="303"/>
        <v>-10</v>
      </c>
      <c r="G412" s="221"/>
      <c r="H412" s="219">
        <v>45095.0</v>
      </c>
      <c r="I412" s="220" t="str">
        <f t="shared" si="321"/>
        <v/>
      </c>
      <c r="J412" s="220"/>
      <c r="K412" s="220">
        <f t="shared" si="304"/>
        <v>0</v>
      </c>
      <c r="L412" s="220">
        <f t="shared" si="305"/>
        <v>-10</v>
      </c>
      <c r="M412" s="221"/>
      <c r="N412" s="219">
        <v>45095.0</v>
      </c>
      <c r="O412" s="220" t="str">
        <f t="shared" si="322"/>
        <v/>
      </c>
      <c r="P412" s="220"/>
      <c r="Q412" s="220">
        <f t="shared" si="306"/>
        <v>0</v>
      </c>
      <c r="R412" s="220">
        <f t="shared" si="307"/>
        <v>-10</v>
      </c>
      <c r="S412" s="221"/>
      <c r="T412" s="219">
        <v>45095.0</v>
      </c>
      <c r="U412" s="220" t="str">
        <f t="shared" si="323"/>
        <v/>
      </c>
      <c r="V412" s="220"/>
      <c r="W412" s="220">
        <f t="shared" si="308"/>
        <v>0</v>
      </c>
      <c r="X412" s="220">
        <f t="shared" si="309"/>
        <v>-10</v>
      </c>
      <c r="Y412" s="221"/>
      <c r="Z412" s="219">
        <v>45095.0</v>
      </c>
      <c r="AA412" s="220" t="str">
        <f t="shared" si="324"/>
        <v/>
      </c>
      <c r="AB412" s="220"/>
      <c r="AC412" s="220">
        <f t="shared" si="310"/>
        <v>0</v>
      </c>
      <c r="AD412" s="220">
        <f t="shared" si="311"/>
        <v>-10</v>
      </c>
      <c r="AE412" s="221"/>
      <c r="AF412" s="219">
        <v>45095.0</v>
      </c>
      <c r="AG412" s="220" t="str">
        <f t="shared" si="325"/>
        <v/>
      </c>
      <c r="AH412" s="220"/>
      <c r="AI412" s="220">
        <f t="shared" si="312"/>
        <v>0</v>
      </c>
      <c r="AJ412" s="220">
        <f t="shared" si="313"/>
        <v>-10</v>
      </c>
      <c r="AK412" s="221"/>
      <c r="AL412" s="219">
        <v>45095.0</v>
      </c>
      <c r="AM412" s="220" t="str">
        <f t="shared" si="326"/>
        <v/>
      </c>
      <c r="AN412" s="220"/>
      <c r="AO412" s="220">
        <f t="shared" si="314"/>
        <v>0</v>
      </c>
      <c r="AP412" s="220">
        <f t="shared" si="315"/>
        <v>-10</v>
      </c>
      <c r="AQ412" s="221"/>
      <c r="AR412" s="219">
        <v>45095.0</v>
      </c>
      <c r="AS412" s="220" t="str">
        <f t="shared" si="327"/>
        <v/>
      </c>
      <c r="AT412" s="220"/>
      <c r="AU412" s="220">
        <f t="shared" si="316"/>
        <v>0</v>
      </c>
      <c r="AV412" s="220">
        <f t="shared" si="317"/>
        <v>-10</v>
      </c>
      <c r="AW412" s="221"/>
      <c r="AX412" s="219">
        <v>45095.0</v>
      </c>
      <c r="AY412" s="220" t="str">
        <f t="shared" si="328"/>
        <v/>
      </c>
      <c r="AZ412" s="220"/>
      <c r="BA412" s="220">
        <f t="shared" si="318"/>
        <v>0</v>
      </c>
      <c r="BB412" s="220">
        <f t="shared" si="319"/>
        <v>-10</v>
      </c>
    </row>
    <row r="413" ht="14.25" customHeight="1">
      <c r="A413" s="218"/>
      <c r="B413" s="219">
        <v>45096.0</v>
      </c>
      <c r="C413" s="220" t="str">
        <f t="shared" si="320"/>
        <v/>
      </c>
      <c r="D413" s="220"/>
      <c r="E413" s="220">
        <f t="shared" si="302"/>
        <v>0</v>
      </c>
      <c r="F413" s="220">
        <f t="shared" si="303"/>
        <v>-10</v>
      </c>
      <c r="H413" s="219">
        <v>45096.0</v>
      </c>
      <c r="I413" s="220" t="str">
        <f t="shared" si="321"/>
        <v/>
      </c>
      <c r="J413" s="220"/>
      <c r="K413" s="220">
        <f t="shared" si="304"/>
        <v>0</v>
      </c>
      <c r="L413" s="220">
        <f t="shared" si="305"/>
        <v>-10</v>
      </c>
      <c r="N413" s="219">
        <v>45096.0</v>
      </c>
      <c r="O413" s="220" t="str">
        <f t="shared" si="322"/>
        <v/>
      </c>
      <c r="P413" s="220"/>
      <c r="Q413" s="220">
        <f t="shared" si="306"/>
        <v>0</v>
      </c>
      <c r="R413" s="220">
        <f t="shared" si="307"/>
        <v>-10</v>
      </c>
      <c r="T413" s="219">
        <v>45096.0</v>
      </c>
      <c r="U413" s="220" t="str">
        <f t="shared" si="323"/>
        <v/>
      </c>
      <c r="V413" s="220"/>
      <c r="W413" s="220">
        <f t="shared" si="308"/>
        <v>0</v>
      </c>
      <c r="X413" s="220">
        <f t="shared" si="309"/>
        <v>-10</v>
      </c>
      <c r="Z413" s="219">
        <v>45096.0</v>
      </c>
      <c r="AA413" s="220" t="str">
        <f t="shared" si="324"/>
        <v/>
      </c>
      <c r="AB413" s="220"/>
      <c r="AC413" s="220">
        <f t="shared" si="310"/>
        <v>0</v>
      </c>
      <c r="AD413" s="220">
        <f t="shared" si="311"/>
        <v>-10</v>
      </c>
      <c r="AF413" s="219">
        <v>45096.0</v>
      </c>
      <c r="AG413" s="220" t="str">
        <f t="shared" si="325"/>
        <v/>
      </c>
      <c r="AH413" s="220"/>
      <c r="AI413" s="220">
        <f t="shared" si="312"/>
        <v>0</v>
      </c>
      <c r="AJ413" s="220">
        <f t="shared" si="313"/>
        <v>-10</v>
      </c>
      <c r="AL413" s="219">
        <v>45096.0</v>
      </c>
      <c r="AM413" s="220" t="str">
        <f t="shared" si="326"/>
        <v/>
      </c>
      <c r="AN413" s="220"/>
      <c r="AO413" s="220">
        <f t="shared" si="314"/>
        <v>0</v>
      </c>
      <c r="AP413" s="220">
        <f t="shared" si="315"/>
        <v>-10</v>
      </c>
      <c r="AR413" s="219">
        <v>45096.0</v>
      </c>
      <c r="AS413" s="220" t="str">
        <f t="shared" si="327"/>
        <v/>
      </c>
      <c r="AT413" s="220"/>
      <c r="AU413" s="220">
        <f t="shared" si="316"/>
        <v>0</v>
      </c>
      <c r="AV413" s="220">
        <f t="shared" si="317"/>
        <v>-10</v>
      </c>
      <c r="AX413" s="219">
        <v>45096.0</v>
      </c>
      <c r="AY413" s="220" t="str">
        <f t="shared" si="328"/>
        <v/>
      </c>
      <c r="AZ413" s="220"/>
      <c r="BA413" s="220">
        <f t="shared" si="318"/>
        <v>0</v>
      </c>
      <c r="BB413" s="220">
        <f t="shared" si="319"/>
        <v>-10</v>
      </c>
    </row>
    <row r="414" ht="14.25" customHeight="1">
      <c r="A414" s="218"/>
      <c r="B414" s="219">
        <v>45097.0</v>
      </c>
      <c r="C414" s="220" t="str">
        <f t="shared" si="320"/>
        <v/>
      </c>
      <c r="D414" s="220"/>
      <c r="E414" s="220">
        <f t="shared" si="302"/>
        <v>0</v>
      </c>
      <c r="F414" s="220">
        <f t="shared" si="303"/>
        <v>-10</v>
      </c>
      <c r="H414" s="219">
        <v>45097.0</v>
      </c>
      <c r="I414" s="220" t="str">
        <f t="shared" si="321"/>
        <v/>
      </c>
      <c r="J414" s="220"/>
      <c r="K414" s="220">
        <f t="shared" si="304"/>
        <v>0</v>
      </c>
      <c r="L414" s="220">
        <f t="shared" si="305"/>
        <v>-10</v>
      </c>
      <c r="N414" s="219">
        <v>45097.0</v>
      </c>
      <c r="O414" s="220" t="str">
        <f t="shared" si="322"/>
        <v/>
      </c>
      <c r="P414" s="220"/>
      <c r="Q414" s="220">
        <f t="shared" si="306"/>
        <v>0</v>
      </c>
      <c r="R414" s="220">
        <f t="shared" si="307"/>
        <v>-10</v>
      </c>
      <c r="T414" s="219">
        <v>45097.0</v>
      </c>
      <c r="U414" s="220" t="str">
        <f t="shared" si="323"/>
        <v/>
      </c>
      <c r="V414" s="220"/>
      <c r="W414" s="220">
        <f t="shared" si="308"/>
        <v>0</v>
      </c>
      <c r="X414" s="220">
        <f t="shared" si="309"/>
        <v>-10</v>
      </c>
      <c r="Z414" s="219">
        <v>45097.0</v>
      </c>
      <c r="AA414" s="220" t="str">
        <f t="shared" si="324"/>
        <v/>
      </c>
      <c r="AB414" s="220"/>
      <c r="AC414" s="220">
        <f t="shared" si="310"/>
        <v>0</v>
      </c>
      <c r="AD414" s="220">
        <f t="shared" si="311"/>
        <v>-10</v>
      </c>
      <c r="AF414" s="219">
        <v>45097.0</v>
      </c>
      <c r="AG414" s="220" t="str">
        <f t="shared" si="325"/>
        <v/>
      </c>
      <c r="AH414" s="220"/>
      <c r="AI414" s="220">
        <f t="shared" si="312"/>
        <v>0</v>
      </c>
      <c r="AJ414" s="220">
        <f t="shared" si="313"/>
        <v>-10</v>
      </c>
      <c r="AL414" s="219">
        <v>45097.0</v>
      </c>
      <c r="AM414" s="220" t="str">
        <f t="shared" si="326"/>
        <v/>
      </c>
      <c r="AN414" s="220"/>
      <c r="AO414" s="220">
        <f t="shared" si="314"/>
        <v>0</v>
      </c>
      <c r="AP414" s="220">
        <f t="shared" si="315"/>
        <v>-10</v>
      </c>
      <c r="AR414" s="219">
        <v>45097.0</v>
      </c>
      <c r="AS414" s="220" t="str">
        <f t="shared" si="327"/>
        <v/>
      </c>
      <c r="AT414" s="220"/>
      <c r="AU414" s="220">
        <f t="shared" si="316"/>
        <v>0</v>
      </c>
      <c r="AV414" s="220">
        <f t="shared" si="317"/>
        <v>-10</v>
      </c>
      <c r="AX414" s="219">
        <v>45097.0</v>
      </c>
      <c r="AY414" s="220" t="str">
        <f t="shared" si="328"/>
        <v/>
      </c>
      <c r="AZ414" s="220"/>
      <c r="BA414" s="220">
        <f t="shared" si="318"/>
        <v>0</v>
      </c>
      <c r="BB414" s="220">
        <f t="shared" si="319"/>
        <v>-10</v>
      </c>
    </row>
    <row r="415" ht="14.25" customHeight="1">
      <c r="A415" s="218"/>
      <c r="B415" s="219">
        <v>45098.0</v>
      </c>
      <c r="C415" s="220" t="str">
        <f t="shared" si="320"/>
        <v/>
      </c>
      <c r="D415" s="220"/>
      <c r="E415" s="220">
        <f t="shared" si="302"/>
        <v>0</v>
      </c>
      <c r="F415" s="220">
        <f t="shared" si="303"/>
        <v>-10</v>
      </c>
      <c r="H415" s="219">
        <v>45098.0</v>
      </c>
      <c r="I415" s="220" t="str">
        <f t="shared" si="321"/>
        <v/>
      </c>
      <c r="J415" s="220"/>
      <c r="K415" s="220">
        <f t="shared" si="304"/>
        <v>0</v>
      </c>
      <c r="L415" s="220">
        <f t="shared" si="305"/>
        <v>-10</v>
      </c>
      <c r="N415" s="219">
        <v>45098.0</v>
      </c>
      <c r="O415" s="220" t="str">
        <f t="shared" si="322"/>
        <v/>
      </c>
      <c r="P415" s="220"/>
      <c r="Q415" s="220">
        <f t="shared" si="306"/>
        <v>0</v>
      </c>
      <c r="R415" s="220">
        <f t="shared" si="307"/>
        <v>-10</v>
      </c>
      <c r="T415" s="219">
        <v>45098.0</v>
      </c>
      <c r="U415" s="220" t="str">
        <f t="shared" si="323"/>
        <v/>
      </c>
      <c r="V415" s="220"/>
      <c r="W415" s="220">
        <f t="shared" si="308"/>
        <v>0</v>
      </c>
      <c r="X415" s="220">
        <f t="shared" si="309"/>
        <v>-10</v>
      </c>
      <c r="Z415" s="219">
        <v>45098.0</v>
      </c>
      <c r="AA415" s="220" t="str">
        <f t="shared" si="324"/>
        <v/>
      </c>
      <c r="AB415" s="220"/>
      <c r="AC415" s="220">
        <f t="shared" si="310"/>
        <v>0</v>
      </c>
      <c r="AD415" s="220">
        <f t="shared" si="311"/>
        <v>-10</v>
      </c>
      <c r="AF415" s="219">
        <v>45098.0</v>
      </c>
      <c r="AG415" s="220" t="str">
        <f t="shared" si="325"/>
        <v/>
      </c>
      <c r="AH415" s="220"/>
      <c r="AI415" s="220">
        <f t="shared" si="312"/>
        <v>0</v>
      </c>
      <c r="AJ415" s="220">
        <f t="shared" si="313"/>
        <v>-10</v>
      </c>
      <c r="AL415" s="219">
        <v>45098.0</v>
      </c>
      <c r="AM415" s="220" t="str">
        <f t="shared" si="326"/>
        <v/>
      </c>
      <c r="AN415" s="220"/>
      <c r="AO415" s="220">
        <f t="shared" si="314"/>
        <v>0</v>
      </c>
      <c r="AP415" s="220">
        <f t="shared" si="315"/>
        <v>-10</v>
      </c>
      <c r="AR415" s="219">
        <v>45098.0</v>
      </c>
      <c r="AS415" s="220" t="str">
        <f t="shared" si="327"/>
        <v/>
      </c>
      <c r="AT415" s="220"/>
      <c r="AU415" s="220">
        <f t="shared" si="316"/>
        <v>0</v>
      </c>
      <c r="AV415" s="220">
        <f t="shared" si="317"/>
        <v>-10</v>
      </c>
      <c r="AX415" s="219">
        <v>45098.0</v>
      </c>
      <c r="AY415" s="220" t="str">
        <f t="shared" si="328"/>
        <v/>
      </c>
      <c r="AZ415" s="220"/>
      <c r="BA415" s="220">
        <f t="shared" si="318"/>
        <v>0</v>
      </c>
      <c r="BB415" s="220">
        <f t="shared" si="319"/>
        <v>-10</v>
      </c>
    </row>
    <row r="416" ht="14.25" customHeight="1">
      <c r="A416" s="218"/>
      <c r="B416" s="219">
        <v>45099.0</v>
      </c>
      <c r="C416" s="220" t="str">
        <f t="shared" si="320"/>
        <v/>
      </c>
      <c r="D416" s="220"/>
      <c r="E416" s="220">
        <f t="shared" si="302"/>
        <v>0</v>
      </c>
      <c r="F416" s="220">
        <f t="shared" si="303"/>
        <v>-10</v>
      </c>
      <c r="H416" s="219">
        <v>45099.0</v>
      </c>
      <c r="I416" s="220" t="str">
        <f t="shared" si="321"/>
        <v/>
      </c>
      <c r="J416" s="220"/>
      <c r="K416" s="220">
        <f t="shared" si="304"/>
        <v>0</v>
      </c>
      <c r="L416" s="220">
        <f t="shared" si="305"/>
        <v>-10</v>
      </c>
      <c r="N416" s="219">
        <v>45099.0</v>
      </c>
      <c r="O416" s="220" t="str">
        <f t="shared" si="322"/>
        <v/>
      </c>
      <c r="P416" s="220"/>
      <c r="Q416" s="220">
        <f t="shared" si="306"/>
        <v>0</v>
      </c>
      <c r="R416" s="220">
        <f t="shared" si="307"/>
        <v>-10</v>
      </c>
      <c r="T416" s="219">
        <v>45099.0</v>
      </c>
      <c r="U416" s="220" t="str">
        <f t="shared" si="323"/>
        <v/>
      </c>
      <c r="V416" s="220"/>
      <c r="W416" s="220">
        <f t="shared" si="308"/>
        <v>0</v>
      </c>
      <c r="X416" s="220">
        <f t="shared" si="309"/>
        <v>-10</v>
      </c>
      <c r="Z416" s="219">
        <v>45099.0</v>
      </c>
      <c r="AA416" s="220" t="str">
        <f t="shared" si="324"/>
        <v/>
      </c>
      <c r="AB416" s="220"/>
      <c r="AC416" s="220">
        <f t="shared" si="310"/>
        <v>0</v>
      </c>
      <c r="AD416" s="220">
        <f t="shared" si="311"/>
        <v>-10</v>
      </c>
      <c r="AF416" s="219">
        <v>45099.0</v>
      </c>
      <c r="AG416" s="220" t="str">
        <f t="shared" si="325"/>
        <v/>
      </c>
      <c r="AH416" s="220"/>
      <c r="AI416" s="220">
        <f t="shared" si="312"/>
        <v>0</v>
      </c>
      <c r="AJ416" s="220">
        <f t="shared" si="313"/>
        <v>-10</v>
      </c>
      <c r="AL416" s="219">
        <v>45099.0</v>
      </c>
      <c r="AM416" s="220" t="str">
        <f t="shared" si="326"/>
        <v/>
      </c>
      <c r="AN416" s="220"/>
      <c r="AO416" s="220">
        <f t="shared" si="314"/>
        <v>0</v>
      </c>
      <c r="AP416" s="220">
        <f t="shared" si="315"/>
        <v>-10</v>
      </c>
      <c r="AR416" s="219">
        <v>45099.0</v>
      </c>
      <c r="AS416" s="220" t="str">
        <f t="shared" si="327"/>
        <v/>
      </c>
      <c r="AT416" s="220"/>
      <c r="AU416" s="220">
        <f t="shared" si="316"/>
        <v>0</v>
      </c>
      <c r="AV416" s="220">
        <f t="shared" si="317"/>
        <v>-10</v>
      </c>
      <c r="AX416" s="219">
        <v>45099.0</v>
      </c>
      <c r="AY416" s="220" t="str">
        <f t="shared" si="328"/>
        <v/>
      </c>
      <c r="AZ416" s="220"/>
      <c r="BA416" s="220">
        <f t="shared" si="318"/>
        <v>0</v>
      </c>
      <c r="BB416" s="220">
        <f t="shared" si="319"/>
        <v>-10</v>
      </c>
    </row>
    <row r="417" ht="14.25" customHeight="1">
      <c r="A417" s="218"/>
      <c r="B417" s="219">
        <v>45100.0</v>
      </c>
      <c r="C417" s="220" t="str">
        <f t="shared" si="320"/>
        <v/>
      </c>
      <c r="D417" s="220"/>
      <c r="E417" s="220">
        <f t="shared" si="302"/>
        <v>0</v>
      </c>
      <c r="F417" s="220">
        <f t="shared" si="303"/>
        <v>-10</v>
      </c>
      <c r="H417" s="219">
        <v>45100.0</v>
      </c>
      <c r="I417" s="220" t="str">
        <f t="shared" si="321"/>
        <v/>
      </c>
      <c r="J417" s="220"/>
      <c r="K417" s="220">
        <f t="shared" si="304"/>
        <v>0</v>
      </c>
      <c r="L417" s="220">
        <f t="shared" si="305"/>
        <v>-10</v>
      </c>
      <c r="N417" s="219">
        <v>45100.0</v>
      </c>
      <c r="O417" s="220" t="str">
        <f t="shared" si="322"/>
        <v/>
      </c>
      <c r="P417" s="220"/>
      <c r="Q417" s="220">
        <f t="shared" si="306"/>
        <v>0</v>
      </c>
      <c r="R417" s="220">
        <f t="shared" si="307"/>
        <v>-10</v>
      </c>
      <c r="T417" s="219">
        <v>45100.0</v>
      </c>
      <c r="U417" s="220" t="str">
        <f t="shared" si="323"/>
        <v/>
      </c>
      <c r="V417" s="220"/>
      <c r="W417" s="220">
        <f t="shared" si="308"/>
        <v>0</v>
      </c>
      <c r="X417" s="220">
        <f t="shared" si="309"/>
        <v>-10</v>
      </c>
      <c r="Z417" s="219">
        <v>45100.0</v>
      </c>
      <c r="AA417" s="220" t="str">
        <f t="shared" si="324"/>
        <v/>
      </c>
      <c r="AB417" s="220"/>
      <c r="AC417" s="220">
        <f t="shared" si="310"/>
        <v>0</v>
      </c>
      <c r="AD417" s="220">
        <f t="shared" si="311"/>
        <v>-10</v>
      </c>
      <c r="AF417" s="219">
        <v>45100.0</v>
      </c>
      <c r="AG417" s="220" t="str">
        <f t="shared" si="325"/>
        <v/>
      </c>
      <c r="AH417" s="220"/>
      <c r="AI417" s="220">
        <f t="shared" si="312"/>
        <v>0</v>
      </c>
      <c r="AJ417" s="220">
        <f t="shared" si="313"/>
        <v>-10</v>
      </c>
      <c r="AL417" s="219">
        <v>45100.0</v>
      </c>
      <c r="AM417" s="220" t="str">
        <f t="shared" si="326"/>
        <v/>
      </c>
      <c r="AN417" s="220"/>
      <c r="AO417" s="220">
        <f t="shared" si="314"/>
        <v>0</v>
      </c>
      <c r="AP417" s="220">
        <f t="shared" si="315"/>
        <v>-10</v>
      </c>
      <c r="AR417" s="219">
        <v>45100.0</v>
      </c>
      <c r="AS417" s="220" t="str">
        <f t="shared" si="327"/>
        <v/>
      </c>
      <c r="AT417" s="220"/>
      <c r="AU417" s="220">
        <f t="shared" si="316"/>
        <v>0</v>
      </c>
      <c r="AV417" s="220">
        <f t="shared" si="317"/>
        <v>-10</v>
      </c>
      <c r="AX417" s="219">
        <v>45100.0</v>
      </c>
      <c r="AY417" s="220" t="str">
        <f t="shared" si="328"/>
        <v/>
      </c>
      <c r="AZ417" s="220"/>
      <c r="BA417" s="220">
        <f t="shared" si="318"/>
        <v>0</v>
      </c>
      <c r="BB417" s="220">
        <f t="shared" si="319"/>
        <v>-10</v>
      </c>
    </row>
    <row r="418" ht="14.25" customHeight="1">
      <c r="A418" s="218"/>
      <c r="B418" s="219">
        <v>45101.0</v>
      </c>
      <c r="C418" s="220" t="str">
        <f t="shared" si="320"/>
        <v/>
      </c>
      <c r="D418" s="220"/>
      <c r="E418" s="220">
        <f t="shared" si="302"/>
        <v>0</v>
      </c>
      <c r="F418" s="220">
        <f t="shared" si="303"/>
        <v>-10</v>
      </c>
      <c r="G418" s="221"/>
      <c r="H418" s="219">
        <v>45101.0</v>
      </c>
      <c r="I418" s="220" t="str">
        <f t="shared" si="321"/>
        <v/>
      </c>
      <c r="J418" s="220"/>
      <c r="K418" s="220">
        <f t="shared" si="304"/>
        <v>0</v>
      </c>
      <c r="L418" s="220">
        <f t="shared" si="305"/>
        <v>-10</v>
      </c>
      <c r="M418" s="221"/>
      <c r="N418" s="219">
        <v>45101.0</v>
      </c>
      <c r="O418" s="220" t="str">
        <f t="shared" si="322"/>
        <v/>
      </c>
      <c r="P418" s="220"/>
      <c r="Q418" s="220">
        <f t="shared" si="306"/>
        <v>0</v>
      </c>
      <c r="R418" s="220">
        <f t="shared" si="307"/>
        <v>-10</v>
      </c>
      <c r="S418" s="221"/>
      <c r="T418" s="219">
        <v>45101.0</v>
      </c>
      <c r="U418" s="220" t="str">
        <f t="shared" si="323"/>
        <v/>
      </c>
      <c r="V418" s="220"/>
      <c r="W418" s="220">
        <f t="shared" si="308"/>
        <v>0</v>
      </c>
      <c r="X418" s="220">
        <f t="shared" si="309"/>
        <v>-10</v>
      </c>
      <c r="Y418" s="221"/>
      <c r="Z418" s="219">
        <v>45101.0</v>
      </c>
      <c r="AA418" s="220" t="str">
        <f t="shared" si="324"/>
        <v/>
      </c>
      <c r="AB418" s="220"/>
      <c r="AC418" s="220">
        <f t="shared" si="310"/>
        <v>0</v>
      </c>
      <c r="AD418" s="220">
        <f t="shared" si="311"/>
        <v>-10</v>
      </c>
      <c r="AE418" s="221"/>
      <c r="AF418" s="219">
        <v>45101.0</v>
      </c>
      <c r="AG418" s="220" t="str">
        <f t="shared" si="325"/>
        <v/>
      </c>
      <c r="AH418" s="220"/>
      <c r="AI418" s="220">
        <f t="shared" si="312"/>
        <v>0</v>
      </c>
      <c r="AJ418" s="220">
        <f t="shared" si="313"/>
        <v>-10</v>
      </c>
      <c r="AK418" s="221"/>
      <c r="AL418" s="219">
        <v>45101.0</v>
      </c>
      <c r="AM418" s="220" t="str">
        <f t="shared" si="326"/>
        <v/>
      </c>
      <c r="AN418" s="220"/>
      <c r="AO418" s="220">
        <f t="shared" si="314"/>
        <v>0</v>
      </c>
      <c r="AP418" s="220">
        <f t="shared" si="315"/>
        <v>-10</v>
      </c>
      <c r="AQ418" s="221"/>
      <c r="AR418" s="219">
        <v>45101.0</v>
      </c>
      <c r="AS418" s="220" t="str">
        <f t="shared" si="327"/>
        <v/>
      </c>
      <c r="AT418" s="220"/>
      <c r="AU418" s="220">
        <f t="shared" si="316"/>
        <v>0</v>
      </c>
      <c r="AV418" s="220">
        <f t="shared" si="317"/>
        <v>-10</v>
      </c>
      <c r="AW418" s="221"/>
      <c r="AX418" s="219">
        <v>45101.0</v>
      </c>
      <c r="AY418" s="220" t="str">
        <f t="shared" si="328"/>
        <v/>
      </c>
      <c r="AZ418" s="220"/>
      <c r="BA418" s="220">
        <f t="shared" si="318"/>
        <v>0</v>
      </c>
      <c r="BB418" s="220">
        <f t="shared" si="319"/>
        <v>-10</v>
      </c>
    </row>
    <row r="419" ht="14.25" customHeight="1">
      <c r="A419" s="218"/>
      <c r="B419" s="219">
        <v>45102.0</v>
      </c>
      <c r="C419" s="220" t="str">
        <f t="shared" si="320"/>
        <v/>
      </c>
      <c r="D419" s="220"/>
      <c r="E419" s="220">
        <f t="shared" si="302"/>
        <v>0</v>
      </c>
      <c r="F419" s="220">
        <f t="shared" si="303"/>
        <v>-10</v>
      </c>
      <c r="G419" s="221"/>
      <c r="H419" s="219">
        <v>45102.0</v>
      </c>
      <c r="I419" s="220" t="str">
        <f t="shared" si="321"/>
        <v/>
      </c>
      <c r="J419" s="220"/>
      <c r="K419" s="220">
        <f t="shared" si="304"/>
        <v>0</v>
      </c>
      <c r="L419" s="220">
        <f t="shared" si="305"/>
        <v>-10</v>
      </c>
      <c r="M419" s="221"/>
      <c r="N419" s="219">
        <v>45102.0</v>
      </c>
      <c r="O419" s="220" t="str">
        <f t="shared" si="322"/>
        <v/>
      </c>
      <c r="P419" s="220"/>
      <c r="Q419" s="220">
        <f t="shared" si="306"/>
        <v>0</v>
      </c>
      <c r="R419" s="220">
        <f t="shared" si="307"/>
        <v>-10</v>
      </c>
      <c r="S419" s="221"/>
      <c r="T419" s="219">
        <v>45102.0</v>
      </c>
      <c r="U419" s="220" t="str">
        <f t="shared" si="323"/>
        <v/>
      </c>
      <c r="V419" s="220"/>
      <c r="W419" s="220">
        <f t="shared" si="308"/>
        <v>0</v>
      </c>
      <c r="X419" s="220">
        <f t="shared" si="309"/>
        <v>-10</v>
      </c>
      <c r="Y419" s="221"/>
      <c r="Z419" s="219">
        <v>45102.0</v>
      </c>
      <c r="AA419" s="220" t="str">
        <f t="shared" si="324"/>
        <v/>
      </c>
      <c r="AB419" s="220"/>
      <c r="AC419" s="220">
        <f t="shared" si="310"/>
        <v>0</v>
      </c>
      <c r="AD419" s="220">
        <f t="shared" si="311"/>
        <v>-10</v>
      </c>
      <c r="AE419" s="221"/>
      <c r="AF419" s="219">
        <v>45102.0</v>
      </c>
      <c r="AG419" s="220" t="str">
        <f t="shared" si="325"/>
        <v/>
      </c>
      <c r="AH419" s="220"/>
      <c r="AI419" s="220">
        <f t="shared" si="312"/>
        <v>0</v>
      </c>
      <c r="AJ419" s="220">
        <f t="shared" si="313"/>
        <v>-10</v>
      </c>
      <c r="AK419" s="221"/>
      <c r="AL419" s="219">
        <v>45102.0</v>
      </c>
      <c r="AM419" s="220" t="str">
        <f t="shared" si="326"/>
        <v/>
      </c>
      <c r="AN419" s="220"/>
      <c r="AO419" s="220">
        <f t="shared" si="314"/>
        <v>0</v>
      </c>
      <c r="AP419" s="220">
        <f t="shared" si="315"/>
        <v>-10</v>
      </c>
      <c r="AQ419" s="221"/>
      <c r="AR419" s="219">
        <v>45102.0</v>
      </c>
      <c r="AS419" s="220" t="str">
        <f t="shared" si="327"/>
        <v/>
      </c>
      <c r="AT419" s="220"/>
      <c r="AU419" s="220">
        <f t="shared" si="316"/>
        <v>0</v>
      </c>
      <c r="AV419" s="220">
        <f t="shared" si="317"/>
        <v>-10</v>
      </c>
      <c r="AW419" s="221"/>
      <c r="AX419" s="219">
        <v>45102.0</v>
      </c>
      <c r="AY419" s="220" t="str">
        <f t="shared" si="328"/>
        <v/>
      </c>
      <c r="AZ419" s="220"/>
      <c r="BA419" s="220">
        <f t="shared" si="318"/>
        <v>0</v>
      </c>
      <c r="BB419" s="220">
        <f t="shared" si="319"/>
        <v>-10</v>
      </c>
    </row>
    <row r="420" ht="14.25" customHeight="1">
      <c r="A420" s="218"/>
      <c r="B420" s="219">
        <v>45103.0</v>
      </c>
      <c r="C420" s="220" t="str">
        <f t="shared" si="320"/>
        <v/>
      </c>
      <c r="D420" s="220"/>
      <c r="E420" s="220">
        <f t="shared" si="302"/>
        <v>0</v>
      </c>
      <c r="F420" s="220">
        <f t="shared" si="303"/>
        <v>-10</v>
      </c>
      <c r="H420" s="219">
        <v>45103.0</v>
      </c>
      <c r="I420" s="220" t="str">
        <f t="shared" si="321"/>
        <v/>
      </c>
      <c r="J420" s="220"/>
      <c r="K420" s="220">
        <f t="shared" si="304"/>
        <v>0</v>
      </c>
      <c r="L420" s="220">
        <f t="shared" si="305"/>
        <v>-10</v>
      </c>
      <c r="N420" s="219">
        <v>45103.0</v>
      </c>
      <c r="O420" s="220" t="str">
        <f t="shared" si="322"/>
        <v/>
      </c>
      <c r="P420" s="220"/>
      <c r="Q420" s="220">
        <f t="shared" si="306"/>
        <v>0</v>
      </c>
      <c r="R420" s="220">
        <f t="shared" si="307"/>
        <v>-10</v>
      </c>
      <c r="T420" s="219">
        <v>45103.0</v>
      </c>
      <c r="U420" s="220" t="str">
        <f t="shared" si="323"/>
        <v/>
      </c>
      <c r="V420" s="220"/>
      <c r="W420" s="220">
        <f t="shared" si="308"/>
        <v>0</v>
      </c>
      <c r="X420" s="220">
        <f t="shared" si="309"/>
        <v>-10</v>
      </c>
      <c r="Z420" s="219">
        <v>45103.0</v>
      </c>
      <c r="AA420" s="220" t="str">
        <f t="shared" si="324"/>
        <v/>
      </c>
      <c r="AB420" s="220"/>
      <c r="AC420" s="220">
        <f t="shared" si="310"/>
        <v>0</v>
      </c>
      <c r="AD420" s="220">
        <f t="shared" si="311"/>
        <v>-10</v>
      </c>
      <c r="AF420" s="219">
        <v>45103.0</v>
      </c>
      <c r="AG420" s="220" t="str">
        <f t="shared" si="325"/>
        <v/>
      </c>
      <c r="AH420" s="220"/>
      <c r="AI420" s="220">
        <f t="shared" si="312"/>
        <v>0</v>
      </c>
      <c r="AJ420" s="220">
        <f t="shared" si="313"/>
        <v>-10</v>
      </c>
      <c r="AL420" s="219">
        <v>45103.0</v>
      </c>
      <c r="AM420" s="220" t="str">
        <f t="shared" si="326"/>
        <v/>
      </c>
      <c r="AN420" s="220"/>
      <c r="AO420" s="220">
        <f t="shared" si="314"/>
        <v>0</v>
      </c>
      <c r="AP420" s="220">
        <f t="shared" si="315"/>
        <v>-10</v>
      </c>
      <c r="AR420" s="219">
        <v>45103.0</v>
      </c>
      <c r="AS420" s="220" t="str">
        <f t="shared" si="327"/>
        <v/>
      </c>
      <c r="AT420" s="220"/>
      <c r="AU420" s="220">
        <f t="shared" si="316"/>
        <v>0</v>
      </c>
      <c r="AV420" s="220">
        <f t="shared" si="317"/>
        <v>-10</v>
      </c>
      <c r="AX420" s="219">
        <v>45103.0</v>
      </c>
      <c r="AY420" s="220" t="str">
        <f t="shared" si="328"/>
        <v/>
      </c>
      <c r="AZ420" s="220"/>
      <c r="BA420" s="220">
        <f t="shared" si="318"/>
        <v>0</v>
      </c>
      <c r="BB420" s="220">
        <f t="shared" si="319"/>
        <v>-10</v>
      </c>
    </row>
    <row r="421" ht="14.25" customHeight="1">
      <c r="A421" s="218"/>
      <c r="B421" s="219">
        <v>45104.0</v>
      </c>
      <c r="C421" s="220" t="str">
        <f t="shared" si="320"/>
        <v/>
      </c>
      <c r="D421" s="220"/>
      <c r="E421" s="220">
        <f t="shared" si="302"/>
        <v>0</v>
      </c>
      <c r="F421" s="220">
        <f t="shared" si="303"/>
        <v>-10</v>
      </c>
      <c r="H421" s="219">
        <v>45104.0</v>
      </c>
      <c r="I421" s="220" t="str">
        <f t="shared" si="321"/>
        <v/>
      </c>
      <c r="J421" s="220"/>
      <c r="K421" s="220">
        <f t="shared" si="304"/>
        <v>0</v>
      </c>
      <c r="L421" s="220">
        <f t="shared" si="305"/>
        <v>-10</v>
      </c>
      <c r="N421" s="219">
        <v>45104.0</v>
      </c>
      <c r="O421" s="220" t="str">
        <f t="shared" si="322"/>
        <v/>
      </c>
      <c r="P421" s="220"/>
      <c r="Q421" s="220">
        <f t="shared" si="306"/>
        <v>0</v>
      </c>
      <c r="R421" s="220">
        <f t="shared" si="307"/>
        <v>-10</v>
      </c>
      <c r="T421" s="219">
        <v>45104.0</v>
      </c>
      <c r="U421" s="220" t="str">
        <f t="shared" si="323"/>
        <v/>
      </c>
      <c r="V421" s="220"/>
      <c r="W421" s="220">
        <f t="shared" si="308"/>
        <v>0</v>
      </c>
      <c r="X421" s="220">
        <f t="shared" si="309"/>
        <v>-10</v>
      </c>
      <c r="Z421" s="219">
        <v>45104.0</v>
      </c>
      <c r="AA421" s="220" t="str">
        <f t="shared" si="324"/>
        <v/>
      </c>
      <c r="AB421" s="220"/>
      <c r="AC421" s="220">
        <f t="shared" si="310"/>
        <v>0</v>
      </c>
      <c r="AD421" s="220">
        <f t="shared" si="311"/>
        <v>-10</v>
      </c>
      <c r="AF421" s="219">
        <v>45104.0</v>
      </c>
      <c r="AG421" s="220" t="str">
        <f t="shared" si="325"/>
        <v/>
      </c>
      <c r="AH421" s="220"/>
      <c r="AI421" s="220">
        <f t="shared" si="312"/>
        <v>0</v>
      </c>
      <c r="AJ421" s="220">
        <f t="shared" si="313"/>
        <v>-10</v>
      </c>
      <c r="AL421" s="219">
        <v>45104.0</v>
      </c>
      <c r="AM421" s="220" t="str">
        <f t="shared" si="326"/>
        <v/>
      </c>
      <c r="AN421" s="220"/>
      <c r="AO421" s="220">
        <f t="shared" si="314"/>
        <v>0</v>
      </c>
      <c r="AP421" s="220">
        <f t="shared" si="315"/>
        <v>-10</v>
      </c>
      <c r="AR421" s="219">
        <v>45104.0</v>
      </c>
      <c r="AS421" s="220" t="str">
        <f t="shared" si="327"/>
        <v/>
      </c>
      <c r="AT421" s="220"/>
      <c r="AU421" s="220">
        <f t="shared" si="316"/>
        <v>0</v>
      </c>
      <c r="AV421" s="220">
        <f t="shared" si="317"/>
        <v>-10</v>
      </c>
      <c r="AX421" s="219">
        <v>45104.0</v>
      </c>
      <c r="AY421" s="220" t="str">
        <f t="shared" si="328"/>
        <v/>
      </c>
      <c r="AZ421" s="220"/>
      <c r="BA421" s="220">
        <f t="shared" si="318"/>
        <v>0</v>
      </c>
      <c r="BB421" s="220">
        <f t="shared" si="319"/>
        <v>-10</v>
      </c>
    </row>
    <row r="422" ht="14.25" customHeight="1">
      <c r="A422" s="218"/>
      <c r="B422" s="219">
        <v>45105.0</v>
      </c>
      <c r="C422" s="220" t="str">
        <f t="shared" si="320"/>
        <v/>
      </c>
      <c r="D422" s="220"/>
      <c r="E422" s="220">
        <f t="shared" si="302"/>
        <v>0</v>
      </c>
      <c r="F422" s="220">
        <f t="shared" si="303"/>
        <v>-10</v>
      </c>
      <c r="H422" s="219">
        <v>45105.0</v>
      </c>
      <c r="I422" s="220" t="str">
        <f t="shared" si="321"/>
        <v/>
      </c>
      <c r="J422" s="220"/>
      <c r="K422" s="220">
        <f t="shared" si="304"/>
        <v>0</v>
      </c>
      <c r="L422" s="220">
        <f t="shared" si="305"/>
        <v>-10</v>
      </c>
      <c r="N422" s="219">
        <v>45105.0</v>
      </c>
      <c r="O422" s="220" t="str">
        <f t="shared" si="322"/>
        <v/>
      </c>
      <c r="P422" s="220"/>
      <c r="Q422" s="220">
        <f t="shared" si="306"/>
        <v>0</v>
      </c>
      <c r="R422" s="220">
        <f t="shared" si="307"/>
        <v>-10</v>
      </c>
      <c r="T422" s="219">
        <v>45105.0</v>
      </c>
      <c r="U422" s="220" t="str">
        <f t="shared" si="323"/>
        <v/>
      </c>
      <c r="V422" s="220"/>
      <c r="W422" s="220">
        <f t="shared" si="308"/>
        <v>0</v>
      </c>
      <c r="X422" s="220">
        <f t="shared" si="309"/>
        <v>-10</v>
      </c>
      <c r="Z422" s="219">
        <v>45105.0</v>
      </c>
      <c r="AA422" s="220" t="str">
        <f t="shared" si="324"/>
        <v/>
      </c>
      <c r="AB422" s="220"/>
      <c r="AC422" s="220">
        <f t="shared" si="310"/>
        <v>0</v>
      </c>
      <c r="AD422" s="220">
        <f t="shared" si="311"/>
        <v>-10</v>
      </c>
      <c r="AF422" s="219">
        <v>45105.0</v>
      </c>
      <c r="AG422" s="220" t="str">
        <f t="shared" si="325"/>
        <v/>
      </c>
      <c r="AH422" s="220"/>
      <c r="AI422" s="220">
        <f t="shared" si="312"/>
        <v>0</v>
      </c>
      <c r="AJ422" s="220">
        <f t="shared" si="313"/>
        <v>-10</v>
      </c>
      <c r="AL422" s="219">
        <v>45105.0</v>
      </c>
      <c r="AM422" s="220" t="str">
        <f t="shared" si="326"/>
        <v/>
      </c>
      <c r="AN422" s="220"/>
      <c r="AO422" s="220">
        <f t="shared" si="314"/>
        <v>0</v>
      </c>
      <c r="AP422" s="220">
        <f t="shared" si="315"/>
        <v>-10</v>
      </c>
      <c r="AR422" s="219">
        <v>45105.0</v>
      </c>
      <c r="AS422" s="220" t="str">
        <f t="shared" si="327"/>
        <v/>
      </c>
      <c r="AT422" s="220"/>
      <c r="AU422" s="220">
        <f t="shared" si="316"/>
        <v>0</v>
      </c>
      <c r="AV422" s="220">
        <f t="shared" si="317"/>
        <v>-10</v>
      </c>
      <c r="AX422" s="219">
        <v>45105.0</v>
      </c>
      <c r="AY422" s="220" t="str">
        <f t="shared" si="328"/>
        <v/>
      </c>
      <c r="AZ422" s="220"/>
      <c r="BA422" s="220">
        <f t="shared" si="318"/>
        <v>0</v>
      </c>
      <c r="BB422" s="220">
        <f t="shared" si="319"/>
        <v>-10</v>
      </c>
    </row>
    <row r="423" ht="14.25" customHeight="1">
      <c r="A423" s="218"/>
      <c r="B423" s="219">
        <v>45106.0</v>
      </c>
      <c r="C423" s="220" t="str">
        <f t="shared" si="320"/>
        <v/>
      </c>
      <c r="D423" s="220"/>
      <c r="E423" s="220">
        <f t="shared" si="302"/>
        <v>0</v>
      </c>
      <c r="F423" s="220">
        <f t="shared" si="303"/>
        <v>-10</v>
      </c>
      <c r="H423" s="219">
        <v>45106.0</v>
      </c>
      <c r="I423" s="220" t="str">
        <f t="shared" si="321"/>
        <v/>
      </c>
      <c r="J423" s="220"/>
      <c r="K423" s="220">
        <f t="shared" si="304"/>
        <v>0</v>
      </c>
      <c r="L423" s="220">
        <f t="shared" si="305"/>
        <v>-10</v>
      </c>
      <c r="N423" s="219">
        <v>45106.0</v>
      </c>
      <c r="O423" s="220" t="str">
        <f t="shared" si="322"/>
        <v/>
      </c>
      <c r="P423" s="220"/>
      <c r="Q423" s="220">
        <f t="shared" si="306"/>
        <v>0</v>
      </c>
      <c r="R423" s="220">
        <f t="shared" si="307"/>
        <v>-10</v>
      </c>
      <c r="T423" s="219">
        <v>45106.0</v>
      </c>
      <c r="U423" s="220" t="str">
        <f t="shared" si="323"/>
        <v/>
      </c>
      <c r="V423" s="220"/>
      <c r="W423" s="220">
        <f t="shared" si="308"/>
        <v>0</v>
      </c>
      <c r="X423" s="220">
        <f t="shared" si="309"/>
        <v>-10</v>
      </c>
      <c r="Z423" s="219">
        <v>45106.0</v>
      </c>
      <c r="AA423" s="220" t="str">
        <f t="shared" si="324"/>
        <v/>
      </c>
      <c r="AB423" s="220"/>
      <c r="AC423" s="220">
        <f t="shared" si="310"/>
        <v>0</v>
      </c>
      <c r="AD423" s="220">
        <f t="shared" si="311"/>
        <v>-10</v>
      </c>
      <c r="AF423" s="219">
        <v>45106.0</v>
      </c>
      <c r="AG423" s="220" t="str">
        <f t="shared" si="325"/>
        <v/>
      </c>
      <c r="AH423" s="220"/>
      <c r="AI423" s="220">
        <f t="shared" si="312"/>
        <v>0</v>
      </c>
      <c r="AJ423" s="220">
        <f t="shared" si="313"/>
        <v>-10</v>
      </c>
      <c r="AL423" s="219">
        <v>45106.0</v>
      </c>
      <c r="AM423" s="220" t="str">
        <f t="shared" si="326"/>
        <v/>
      </c>
      <c r="AN423" s="220"/>
      <c r="AO423" s="220">
        <f t="shared" si="314"/>
        <v>0</v>
      </c>
      <c r="AP423" s="220">
        <f t="shared" si="315"/>
        <v>-10</v>
      </c>
      <c r="AR423" s="219">
        <v>45106.0</v>
      </c>
      <c r="AS423" s="220" t="str">
        <f t="shared" si="327"/>
        <v/>
      </c>
      <c r="AT423" s="220"/>
      <c r="AU423" s="220">
        <f t="shared" si="316"/>
        <v>0</v>
      </c>
      <c r="AV423" s="220">
        <f t="shared" si="317"/>
        <v>-10</v>
      </c>
      <c r="AX423" s="219">
        <v>45106.0</v>
      </c>
      <c r="AY423" s="220" t="str">
        <f t="shared" si="328"/>
        <v/>
      </c>
      <c r="AZ423" s="220"/>
      <c r="BA423" s="220">
        <f t="shared" si="318"/>
        <v>0</v>
      </c>
      <c r="BB423" s="220">
        <f t="shared" si="319"/>
        <v>-10</v>
      </c>
    </row>
    <row r="424" ht="14.25" customHeight="1">
      <c r="A424" s="218"/>
      <c r="B424" s="219">
        <v>45107.0</v>
      </c>
      <c r="C424" s="220" t="str">
        <f t="shared" si="320"/>
        <v/>
      </c>
      <c r="D424" s="220"/>
      <c r="E424" s="220">
        <f t="shared" si="302"/>
        <v>0</v>
      </c>
      <c r="F424" s="220">
        <f t="shared" si="303"/>
        <v>-10</v>
      </c>
      <c r="H424" s="219">
        <v>45107.0</v>
      </c>
      <c r="I424" s="220" t="str">
        <f t="shared" si="321"/>
        <v/>
      </c>
      <c r="J424" s="220"/>
      <c r="K424" s="220">
        <f t="shared" si="304"/>
        <v>0</v>
      </c>
      <c r="L424" s="220">
        <f t="shared" si="305"/>
        <v>-10</v>
      </c>
      <c r="N424" s="219">
        <v>45107.0</v>
      </c>
      <c r="O424" s="220" t="str">
        <f t="shared" si="322"/>
        <v/>
      </c>
      <c r="P424" s="220"/>
      <c r="Q424" s="220">
        <f t="shared" si="306"/>
        <v>0</v>
      </c>
      <c r="R424" s="220">
        <f t="shared" si="307"/>
        <v>-10</v>
      </c>
      <c r="T424" s="219">
        <v>45107.0</v>
      </c>
      <c r="U424" s="220" t="str">
        <f t="shared" si="323"/>
        <v/>
      </c>
      <c r="V424" s="220"/>
      <c r="W424" s="220">
        <f t="shared" si="308"/>
        <v>0</v>
      </c>
      <c r="X424" s="220">
        <f t="shared" si="309"/>
        <v>-10</v>
      </c>
      <c r="Z424" s="219">
        <v>45107.0</v>
      </c>
      <c r="AA424" s="220" t="str">
        <f t="shared" si="324"/>
        <v/>
      </c>
      <c r="AB424" s="220"/>
      <c r="AC424" s="220">
        <f t="shared" si="310"/>
        <v>0</v>
      </c>
      <c r="AD424" s="220">
        <f t="shared" si="311"/>
        <v>-10</v>
      </c>
      <c r="AF424" s="219">
        <v>45107.0</v>
      </c>
      <c r="AG424" s="220" t="str">
        <f t="shared" si="325"/>
        <v/>
      </c>
      <c r="AH424" s="220"/>
      <c r="AI424" s="220">
        <f t="shared" si="312"/>
        <v>0</v>
      </c>
      <c r="AJ424" s="220">
        <f t="shared" si="313"/>
        <v>-10</v>
      </c>
      <c r="AL424" s="219">
        <v>45107.0</v>
      </c>
      <c r="AM424" s="220" t="str">
        <f t="shared" si="326"/>
        <v/>
      </c>
      <c r="AN424" s="220"/>
      <c r="AO424" s="220">
        <f t="shared" si="314"/>
        <v>0</v>
      </c>
      <c r="AP424" s="220">
        <f t="shared" si="315"/>
        <v>-10</v>
      </c>
      <c r="AR424" s="219">
        <v>45107.0</v>
      </c>
      <c r="AS424" s="220" t="str">
        <f t="shared" si="327"/>
        <v/>
      </c>
      <c r="AT424" s="220"/>
      <c r="AU424" s="220">
        <f t="shared" si="316"/>
        <v>0</v>
      </c>
      <c r="AV424" s="220">
        <f t="shared" si="317"/>
        <v>-10</v>
      </c>
      <c r="AX424" s="219">
        <v>45107.0</v>
      </c>
      <c r="AY424" s="220" t="str">
        <f t="shared" si="328"/>
        <v/>
      </c>
      <c r="AZ424" s="220"/>
      <c r="BA424" s="220">
        <f t="shared" si="318"/>
        <v>0</v>
      </c>
      <c r="BB424" s="220">
        <f t="shared" si="319"/>
        <v>-10</v>
      </c>
    </row>
    <row r="425" ht="14.25" customHeight="1">
      <c r="A425" s="218"/>
      <c r="B425" s="229"/>
      <c r="C425" s="220" t="str">
        <f t="shared" si="320"/>
        <v/>
      </c>
      <c r="D425" s="220"/>
      <c r="E425" s="220">
        <f t="shared" si="302"/>
        <v>0</v>
      </c>
      <c r="F425" s="220">
        <f t="shared" si="303"/>
        <v>-10</v>
      </c>
      <c r="H425" s="229"/>
      <c r="I425" s="220" t="str">
        <f t="shared" si="321"/>
        <v/>
      </c>
      <c r="J425" s="220"/>
      <c r="K425" s="220">
        <f t="shared" si="304"/>
        <v>0</v>
      </c>
      <c r="L425" s="220">
        <f t="shared" si="305"/>
        <v>-10</v>
      </c>
      <c r="N425" s="229"/>
      <c r="O425" s="220" t="str">
        <f t="shared" si="322"/>
        <v/>
      </c>
      <c r="P425" s="220"/>
      <c r="Q425" s="220">
        <f t="shared" si="306"/>
        <v>0</v>
      </c>
      <c r="R425" s="220">
        <f t="shared" si="307"/>
        <v>-10</v>
      </c>
      <c r="T425" s="229"/>
      <c r="U425" s="220" t="str">
        <f t="shared" si="323"/>
        <v/>
      </c>
      <c r="V425" s="220"/>
      <c r="W425" s="220">
        <f t="shared" si="308"/>
        <v>0</v>
      </c>
      <c r="X425" s="220">
        <f t="shared" si="309"/>
        <v>-10</v>
      </c>
      <c r="Z425" s="229"/>
      <c r="AA425" s="220" t="str">
        <f t="shared" si="324"/>
        <v/>
      </c>
      <c r="AB425" s="220"/>
      <c r="AC425" s="220">
        <f t="shared" si="310"/>
        <v>0</v>
      </c>
      <c r="AD425" s="220">
        <f t="shared" si="311"/>
        <v>-10</v>
      </c>
      <c r="AF425" s="229"/>
      <c r="AG425" s="220" t="str">
        <f t="shared" si="325"/>
        <v/>
      </c>
      <c r="AH425" s="220"/>
      <c r="AI425" s="220">
        <f t="shared" si="312"/>
        <v>0</v>
      </c>
      <c r="AJ425" s="220">
        <f t="shared" si="313"/>
        <v>-10</v>
      </c>
      <c r="AL425" s="229"/>
      <c r="AM425" s="220" t="str">
        <f t="shared" si="326"/>
        <v/>
      </c>
      <c r="AN425" s="220"/>
      <c r="AO425" s="220">
        <f t="shared" si="314"/>
        <v>0</v>
      </c>
      <c r="AP425" s="220">
        <f t="shared" si="315"/>
        <v>-10</v>
      </c>
      <c r="AR425" s="229"/>
      <c r="AS425" s="220" t="str">
        <f t="shared" si="327"/>
        <v/>
      </c>
      <c r="AT425" s="220"/>
      <c r="AU425" s="220">
        <f t="shared" si="316"/>
        <v>0</v>
      </c>
      <c r="AV425" s="220">
        <f t="shared" si="317"/>
        <v>-10</v>
      </c>
      <c r="AX425" s="229"/>
      <c r="AY425" s="220" t="str">
        <f t="shared" si="328"/>
        <v/>
      </c>
      <c r="AZ425" s="220"/>
      <c r="BA425" s="220">
        <f t="shared" si="318"/>
        <v>0</v>
      </c>
      <c r="BB425" s="220">
        <f t="shared" si="319"/>
        <v>-10</v>
      </c>
    </row>
    <row r="426" ht="14.25" customHeight="1">
      <c r="A426" s="222"/>
      <c r="B426" s="216"/>
      <c r="C426" s="223" t="s">
        <v>221</v>
      </c>
      <c r="D426" s="223"/>
      <c r="E426" s="216">
        <f>SUM(E395:E425)</f>
        <v>0</v>
      </c>
      <c r="F426" s="216">
        <f t="shared" si="303"/>
        <v>-10</v>
      </c>
      <c r="H426" s="216"/>
      <c r="I426" s="223" t="s">
        <v>221</v>
      </c>
      <c r="J426" s="223"/>
      <c r="K426" s="216">
        <f>SUM(K395:K425)</f>
        <v>0</v>
      </c>
      <c r="L426" s="216">
        <f t="shared" si="305"/>
        <v>-10</v>
      </c>
      <c r="N426" s="216"/>
      <c r="O426" s="223" t="s">
        <v>221</v>
      </c>
      <c r="P426" s="223"/>
      <c r="Q426" s="216">
        <f>SUM(Q395:Q425)</f>
        <v>0</v>
      </c>
      <c r="R426" s="216">
        <f t="shared" si="307"/>
        <v>-10</v>
      </c>
      <c r="T426" s="216"/>
      <c r="U426" s="223" t="s">
        <v>221</v>
      </c>
      <c r="V426" s="223"/>
      <c r="W426" s="216">
        <f>SUM(W395:W425)</f>
        <v>0</v>
      </c>
      <c r="X426" s="216">
        <f t="shared" si="309"/>
        <v>-10</v>
      </c>
      <c r="Z426" s="216"/>
      <c r="AA426" s="223" t="s">
        <v>221</v>
      </c>
      <c r="AB426" s="223"/>
      <c r="AC426" s="216">
        <f>SUM(AC395:AC425)</f>
        <v>0</v>
      </c>
      <c r="AD426" s="216">
        <f t="shared" si="311"/>
        <v>-10</v>
      </c>
      <c r="AF426" s="216"/>
      <c r="AG426" s="223" t="s">
        <v>221</v>
      </c>
      <c r="AH426" s="223"/>
      <c r="AI426" s="216">
        <f>SUM(AI395:AI425)</f>
        <v>0</v>
      </c>
      <c r="AJ426" s="216">
        <f t="shared" si="313"/>
        <v>-10</v>
      </c>
      <c r="AL426" s="216"/>
      <c r="AM426" s="223" t="s">
        <v>221</v>
      </c>
      <c r="AN426" s="223"/>
      <c r="AO426" s="216">
        <f>SUM(AO395:AO425)</f>
        <v>0</v>
      </c>
      <c r="AP426" s="216">
        <f t="shared" si="315"/>
        <v>-10</v>
      </c>
      <c r="AR426" s="216"/>
      <c r="AS426" s="223" t="s">
        <v>221</v>
      </c>
      <c r="AT426" s="223"/>
      <c r="AU426" s="216">
        <f>SUM(AU395:AU425)</f>
        <v>0</v>
      </c>
      <c r="AV426" s="216">
        <f t="shared" si="317"/>
        <v>-10</v>
      </c>
      <c r="AX426" s="216"/>
      <c r="AY426" s="223" t="s">
        <v>221</v>
      </c>
      <c r="AZ426" s="223"/>
      <c r="BA426" s="216">
        <f>SUM(BA395:BA425)</f>
        <v>0</v>
      </c>
      <c r="BB426" s="216">
        <f t="shared" si="319"/>
        <v>-10</v>
      </c>
    </row>
    <row r="427" ht="14.25" customHeight="1"/>
    <row r="428" ht="14.25" customHeight="1"/>
    <row r="429" ht="14.25" customHeight="1"/>
    <row r="430" ht="18.0" customHeight="1">
      <c r="A430" s="215" t="s">
        <v>234</v>
      </c>
      <c r="B430" s="206" t="s">
        <v>18</v>
      </c>
      <c r="C430" s="207"/>
      <c r="D430" s="207"/>
      <c r="E430" s="207"/>
      <c r="F430" s="208"/>
      <c r="G430" s="209"/>
      <c r="H430" s="206" t="s">
        <v>20</v>
      </c>
      <c r="I430" s="207"/>
      <c r="J430" s="207"/>
      <c r="K430" s="207"/>
      <c r="L430" s="208"/>
      <c r="M430" s="209"/>
      <c r="N430" s="206" t="s">
        <v>142</v>
      </c>
      <c r="O430" s="207"/>
      <c r="P430" s="207"/>
      <c r="Q430" s="207"/>
      <c r="R430" s="208"/>
      <c r="S430" s="209"/>
      <c r="T430" s="206" t="s">
        <v>95</v>
      </c>
      <c r="U430" s="207"/>
      <c r="V430" s="207"/>
      <c r="W430" s="207"/>
      <c r="X430" s="208"/>
      <c r="Y430" s="209"/>
      <c r="Z430" s="206" t="s">
        <v>32</v>
      </c>
      <c r="AA430" s="207"/>
      <c r="AB430" s="207"/>
      <c r="AC430" s="207"/>
      <c r="AD430" s="208"/>
      <c r="AE430" s="209"/>
      <c r="AF430" s="206" t="s">
        <v>27</v>
      </c>
      <c r="AG430" s="207"/>
      <c r="AH430" s="207"/>
      <c r="AI430" s="207"/>
      <c r="AJ430" s="208"/>
      <c r="AK430" s="209"/>
      <c r="AL430" s="206" t="s">
        <v>34</v>
      </c>
      <c r="AM430" s="207"/>
      <c r="AN430" s="207"/>
      <c r="AO430" s="207"/>
      <c r="AP430" s="208"/>
      <c r="AQ430" s="209"/>
      <c r="AR430" s="206"/>
      <c r="AS430" s="207"/>
      <c r="AT430" s="207"/>
      <c r="AU430" s="207"/>
      <c r="AV430" s="208"/>
      <c r="AW430" s="209"/>
      <c r="AX430" s="206"/>
      <c r="AY430" s="207"/>
      <c r="AZ430" s="207"/>
      <c r="BA430" s="207"/>
      <c r="BB430" s="208"/>
    </row>
    <row r="431" ht="14.25" customHeight="1">
      <c r="A431" s="218"/>
      <c r="B431" s="210"/>
      <c r="F431" s="211"/>
      <c r="G431" s="209"/>
      <c r="H431" s="210"/>
      <c r="L431" s="211"/>
      <c r="M431" s="209"/>
      <c r="N431" s="210"/>
      <c r="R431" s="211"/>
      <c r="S431" s="209"/>
      <c r="T431" s="210"/>
      <c r="X431" s="211"/>
      <c r="Y431" s="209"/>
      <c r="Z431" s="210"/>
      <c r="AD431" s="211"/>
      <c r="AE431" s="209"/>
      <c r="AF431" s="210"/>
      <c r="AJ431" s="211"/>
      <c r="AK431" s="209"/>
      <c r="AL431" s="210"/>
      <c r="AP431" s="211"/>
      <c r="AQ431" s="209"/>
      <c r="AR431" s="210"/>
      <c r="AV431" s="211"/>
      <c r="AW431" s="209"/>
      <c r="AX431" s="210"/>
      <c r="BB431" s="211"/>
    </row>
    <row r="432" ht="14.25" customHeight="1">
      <c r="A432" s="218"/>
      <c r="B432" s="212"/>
      <c r="C432" s="213"/>
      <c r="D432" s="213"/>
      <c r="E432" s="213"/>
      <c r="F432" s="214"/>
      <c r="G432" s="209"/>
      <c r="H432" s="212"/>
      <c r="I432" s="213"/>
      <c r="J432" s="213"/>
      <c r="K432" s="213"/>
      <c r="L432" s="214"/>
      <c r="M432" s="209"/>
      <c r="N432" s="212"/>
      <c r="O432" s="213"/>
      <c r="P432" s="213"/>
      <c r="Q432" s="213"/>
      <c r="R432" s="214"/>
      <c r="S432" s="209"/>
      <c r="T432" s="212"/>
      <c r="U432" s="213"/>
      <c r="V432" s="213"/>
      <c r="W432" s="213"/>
      <c r="X432" s="214"/>
      <c r="Y432" s="209"/>
      <c r="Z432" s="212"/>
      <c r="AA432" s="213"/>
      <c r="AB432" s="213"/>
      <c r="AC432" s="213"/>
      <c r="AD432" s="214"/>
      <c r="AE432" s="209"/>
      <c r="AF432" s="212"/>
      <c r="AG432" s="213"/>
      <c r="AH432" s="213"/>
      <c r="AI432" s="213"/>
      <c r="AJ432" s="214"/>
      <c r="AK432" s="209"/>
      <c r="AL432" s="212"/>
      <c r="AM432" s="213"/>
      <c r="AN432" s="213"/>
      <c r="AO432" s="213"/>
      <c r="AP432" s="214"/>
      <c r="AQ432" s="209"/>
      <c r="AR432" s="212"/>
      <c r="AS432" s="213"/>
      <c r="AT432" s="213"/>
      <c r="AU432" s="213"/>
      <c r="AV432" s="214"/>
      <c r="AW432" s="209"/>
      <c r="AX432" s="212"/>
      <c r="AY432" s="213"/>
      <c r="AZ432" s="213"/>
      <c r="BA432" s="213"/>
      <c r="BB432" s="214"/>
    </row>
    <row r="433" ht="14.25" customHeight="1">
      <c r="A433" s="218"/>
      <c r="B433" s="216" t="s">
        <v>214</v>
      </c>
      <c r="C433" s="216" t="s">
        <v>215</v>
      </c>
      <c r="D433" s="216" t="s">
        <v>216</v>
      </c>
      <c r="E433" s="216" t="s">
        <v>217</v>
      </c>
      <c r="F433" s="216" t="s">
        <v>218</v>
      </c>
      <c r="H433" s="217" t="s">
        <v>214</v>
      </c>
      <c r="I433" s="216" t="s">
        <v>215</v>
      </c>
      <c r="J433" s="216" t="s">
        <v>216</v>
      </c>
      <c r="K433" s="216" t="s">
        <v>217</v>
      </c>
      <c r="L433" s="216" t="s">
        <v>218</v>
      </c>
      <c r="N433" s="216" t="s">
        <v>214</v>
      </c>
      <c r="O433" s="216" t="s">
        <v>215</v>
      </c>
      <c r="P433" s="216" t="s">
        <v>216</v>
      </c>
      <c r="Q433" s="216" t="s">
        <v>217</v>
      </c>
      <c r="R433" s="216" t="s">
        <v>218</v>
      </c>
      <c r="T433" s="216" t="s">
        <v>214</v>
      </c>
      <c r="U433" s="216" t="s">
        <v>215</v>
      </c>
      <c r="V433" s="216" t="s">
        <v>216</v>
      </c>
      <c r="W433" s="216" t="s">
        <v>217</v>
      </c>
      <c r="X433" s="216" t="s">
        <v>218</v>
      </c>
      <c r="Z433" s="216" t="s">
        <v>214</v>
      </c>
      <c r="AA433" s="216" t="s">
        <v>215</v>
      </c>
      <c r="AB433" s="216" t="s">
        <v>216</v>
      </c>
      <c r="AC433" s="216" t="s">
        <v>217</v>
      </c>
      <c r="AD433" s="216" t="s">
        <v>218</v>
      </c>
      <c r="AF433" s="216" t="s">
        <v>214</v>
      </c>
      <c r="AG433" s="216" t="s">
        <v>215</v>
      </c>
      <c r="AH433" s="216" t="s">
        <v>216</v>
      </c>
      <c r="AI433" s="216" t="s">
        <v>217</v>
      </c>
      <c r="AJ433" s="216" t="s">
        <v>218</v>
      </c>
      <c r="AL433" s="216" t="s">
        <v>214</v>
      </c>
      <c r="AM433" s="216" t="s">
        <v>215</v>
      </c>
      <c r="AN433" s="216" t="s">
        <v>216</v>
      </c>
      <c r="AO433" s="216" t="s">
        <v>217</v>
      </c>
      <c r="AP433" s="216" t="s">
        <v>218</v>
      </c>
      <c r="AR433" s="216" t="s">
        <v>214</v>
      </c>
      <c r="AS433" s="216" t="s">
        <v>215</v>
      </c>
      <c r="AT433" s="216" t="s">
        <v>216</v>
      </c>
      <c r="AU433" s="216" t="s">
        <v>217</v>
      </c>
      <c r="AV433" s="216" t="s">
        <v>218</v>
      </c>
      <c r="AX433" s="216" t="s">
        <v>214</v>
      </c>
      <c r="AY433" s="216" t="s">
        <v>215</v>
      </c>
      <c r="AZ433" s="216" t="s">
        <v>216</v>
      </c>
      <c r="BA433" s="216" t="s">
        <v>217</v>
      </c>
      <c r="BB433" s="216" t="s">
        <v>218</v>
      </c>
    </row>
    <row r="434" ht="14.25" customHeight="1">
      <c r="A434" s="218"/>
      <c r="B434" s="219">
        <v>45078.0</v>
      </c>
      <c r="C434" s="220"/>
      <c r="D434" s="220"/>
      <c r="E434" s="220">
        <f t="shared" ref="E434:E464" si="329">D434-C434</f>
        <v>0</v>
      </c>
      <c r="F434" s="220">
        <f t="shared" ref="F434:F465" si="330">E434-10</f>
        <v>-10</v>
      </c>
      <c r="H434" s="219">
        <v>45078.0</v>
      </c>
      <c r="I434" s="220"/>
      <c r="J434" s="220"/>
      <c r="K434" s="220">
        <f t="shared" ref="K434:K464" si="331">J434-I434</f>
        <v>0</v>
      </c>
      <c r="L434" s="220">
        <f t="shared" ref="L434:L465" si="332">K434-10</f>
        <v>-10</v>
      </c>
      <c r="N434" s="219">
        <v>45078.0</v>
      </c>
      <c r="O434" s="220"/>
      <c r="P434" s="220"/>
      <c r="Q434" s="220">
        <f t="shared" ref="Q434:Q464" si="333">P434-O434</f>
        <v>0</v>
      </c>
      <c r="R434" s="220">
        <f t="shared" ref="R434:R465" si="334">Q434-10</f>
        <v>-10</v>
      </c>
      <c r="T434" s="219">
        <v>45078.0</v>
      </c>
      <c r="U434" s="220"/>
      <c r="V434" s="220"/>
      <c r="W434" s="220">
        <f t="shared" ref="W434:W464" si="335">V434-U434</f>
        <v>0</v>
      </c>
      <c r="X434" s="220">
        <f t="shared" ref="X434:X465" si="336">W434-10</f>
        <v>-10</v>
      </c>
      <c r="Z434" s="219">
        <v>45078.0</v>
      </c>
      <c r="AA434" s="220"/>
      <c r="AB434" s="220"/>
      <c r="AC434" s="220">
        <f t="shared" ref="AC434:AC464" si="337">AB434-AA434</f>
        <v>0</v>
      </c>
      <c r="AD434" s="220">
        <f t="shared" ref="AD434:AD465" si="338">AC434-10</f>
        <v>-10</v>
      </c>
      <c r="AF434" s="219">
        <v>45078.0</v>
      </c>
      <c r="AG434" s="220"/>
      <c r="AH434" s="220"/>
      <c r="AI434" s="220">
        <f t="shared" ref="AI434:AI464" si="339">AH434-AG434</f>
        <v>0</v>
      </c>
      <c r="AJ434" s="220">
        <f t="shared" ref="AJ434:AJ465" si="340">AI434-10</f>
        <v>-10</v>
      </c>
      <c r="AL434" s="219">
        <v>45078.0</v>
      </c>
      <c r="AM434" s="220"/>
      <c r="AN434" s="220"/>
      <c r="AO434" s="220">
        <f t="shared" ref="AO434:AO464" si="341">AN434-AM434</f>
        <v>0</v>
      </c>
      <c r="AP434" s="220">
        <f t="shared" ref="AP434:AP465" si="342">AO434-10</f>
        <v>-10</v>
      </c>
      <c r="AR434" s="219">
        <v>45078.0</v>
      </c>
      <c r="AS434" s="220"/>
      <c r="AT434" s="220"/>
      <c r="AU434" s="220">
        <f t="shared" ref="AU434:AU464" si="343">AT434-AS434</f>
        <v>0</v>
      </c>
      <c r="AV434" s="220">
        <f t="shared" ref="AV434:AV465" si="344">AU434-10</f>
        <v>-10</v>
      </c>
      <c r="AX434" s="219">
        <v>45078.0</v>
      </c>
      <c r="AY434" s="220"/>
      <c r="AZ434" s="220"/>
      <c r="BA434" s="220">
        <f t="shared" ref="BA434:BA464" si="345">AZ434-AY434</f>
        <v>0</v>
      </c>
      <c r="BB434" s="220">
        <f t="shared" ref="BB434:BB465" si="346">BA434-10</f>
        <v>-10</v>
      </c>
    </row>
    <row r="435" ht="14.25" customHeight="1">
      <c r="A435" s="218"/>
      <c r="B435" s="219">
        <v>45079.0</v>
      </c>
      <c r="C435" s="220" t="str">
        <f t="shared" ref="C435:C464" si="347">D434</f>
        <v/>
      </c>
      <c r="D435" s="220"/>
      <c r="E435" s="220">
        <f t="shared" si="329"/>
        <v>0</v>
      </c>
      <c r="F435" s="220">
        <f t="shared" si="330"/>
        <v>-10</v>
      </c>
      <c r="H435" s="219">
        <v>45079.0</v>
      </c>
      <c r="I435" s="220" t="str">
        <f t="shared" ref="I435:I464" si="348">J434</f>
        <v/>
      </c>
      <c r="J435" s="220"/>
      <c r="K435" s="220">
        <f t="shared" si="331"/>
        <v>0</v>
      </c>
      <c r="L435" s="220">
        <f t="shared" si="332"/>
        <v>-10</v>
      </c>
      <c r="N435" s="219">
        <v>45079.0</v>
      </c>
      <c r="O435" s="220" t="str">
        <f t="shared" ref="O435:O464" si="349">P434</f>
        <v/>
      </c>
      <c r="P435" s="220"/>
      <c r="Q435" s="220">
        <f t="shared" si="333"/>
        <v>0</v>
      </c>
      <c r="R435" s="220">
        <f t="shared" si="334"/>
        <v>-10</v>
      </c>
      <c r="T435" s="219">
        <v>45079.0</v>
      </c>
      <c r="U435" s="220" t="str">
        <f t="shared" ref="U435:U464" si="350">V434</f>
        <v/>
      </c>
      <c r="V435" s="220"/>
      <c r="W435" s="220">
        <f t="shared" si="335"/>
        <v>0</v>
      </c>
      <c r="X435" s="220">
        <f t="shared" si="336"/>
        <v>-10</v>
      </c>
      <c r="Z435" s="219">
        <v>45079.0</v>
      </c>
      <c r="AA435" s="220" t="str">
        <f t="shared" ref="AA435:AA464" si="351">AB434</f>
        <v/>
      </c>
      <c r="AB435" s="220"/>
      <c r="AC435" s="220">
        <f t="shared" si="337"/>
        <v>0</v>
      </c>
      <c r="AD435" s="220">
        <f t="shared" si="338"/>
        <v>-10</v>
      </c>
      <c r="AF435" s="219">
        <v>45079.0</v>
      </c>
      <c r="AG435" s="220" t="str">
        <f t="shared" ref="AG435:AG464" si="352">AH434</f>
        <v/>
      </c>
      <c r="AH435" s="220"/>
      <c r="AI435" s="220">
        <f t="shared" si="339"/>
        <v>0</v>
      </c>
      <c r="AJ435" s="220">
        <f t="shared" si="340"/>
        <v>-10</v>
      </c>
      <c r="AL435" s="219">
        <v>45079.0</v>
      </c>
      <c r="AM435" s="220" t="str">
        <f t="shared" ref="AM435:AM464" si="353">AN434</f>
        <v/>
      </c>
      <c r="AN435" s="220"/>
      <c r="AO435" s="220">
        <f t="shared" si="341"/>
        <v>0</v>
      </c>
      <c r="AP435" s="220">
        <f t="shared" si="342"/>
        <v>-10</v>
      </c>
      <c r="AR435" s="219">
        <v>45079.0</v>
      </c>
      <c r="AS435" s="220" t="str">
        <f t="shared" ref="AS435:AS464" si="354">AT434</f>
        <v/>
      </c>
      <c r="AT435" s="220"/>
      <c r="AU435" s="220">
        <f t="shared" si="343"/>
        <v>0</v>
      </c>
      <c r="AV435" s="220">
        <f t="shared" si="344"/>
        <v>-10</v>
      </c>
      <c r="AX435" s="219">
        <v>45079.0</v>
      </c>
      <c r="AY435" s="220" t="str">
        <f t="shared" ref="AY435:AY464" si="355">AZ434</f>
        <v/>
      </c>
      <c r="AZ435" s="220"/>
      <c r="BA435" s="220">
        <f t="shared" si="345"/>
        <v>0</v>
      </c>
      <c r="BB435" s="220">
        <f t="shared" si="346"/>
        <v>-10</v>
      </c>
    </row>
    <row r="436" ht="14.25" customHeight="1">
      <c r="A436" s="218"/>
      <c r="B436" s="219">
        <v>45080.0</v>
      </c>
      <c r="C436" s="220" t="str">
        <f t="shared" si="347"/>
        <v/>
      </c>
      <c r="D436" s="220"/>
      <c r="E436" s="220">
        <f t="shared" si="329"/>
        <v>0</v>
      </c>
      <c r="F436" s="220">
        <f t="shared" si="330"/>
        <v>-10</v>
      </c>
      <c r="G436" s="221"/>
      <c r="H436" s="219">
        <v>45080.0</v>
      </c>
      <c r="I436" s="220" t="str">
        <f t="shared" si="348"/>
        <v/>
      </c>
      <c r="J436" s="220"/>
      <c r="K436" s="220">
        <f t="shared" si="331"/>
        <v>0</v>
      </c>
      <c r="L436" s="220">
        <f t="shared" si="332"/>
        <v>-10</v>
      </c>
      <c r="M436" s="221"/>
      <c r="N436" s="219">
        <v>45080.0</v>
      </c>
      <c r="O436" s="220" t="str">
        <f t="shared" si="349"/>
        <v/>
      </c>
      <c r="P436" s="220"/>
      <c r="Q436" s="220">
        <f t="shared" si="333"/>
        <v>0</v>
      </c>
      <c r="R436" s="220">
        <f t="shared" si="334"/>
        <v>-10</v>
      </c>
      <c r="S436" s="221"/>
      <c r="T436" s="219">
        <v>45080.0</v>
      </c>
      <c r="U436" s="220" t="str">
        <f t="shared" si="350"/>
        <v/>
      </c>
      <c r="V436" s="220"/>
      <c r="W436" s="220">
        <f t="shared" si="335"/>
        <v>0</v>
      </c>
      <c r="X436" s="220">
        <f t="shared" si="336"/>
        <v>-10</v>
      </c>
      <c r="Y436" s="221"/>
      <c r="Z436" s="219">
        <v>45080.0</v>
      </c>
      <c r="AA436" s="220" t="str">
        <f t="shared" si="351"/>
        <v/>
      </c>
      <c r="AB436" s="220"/>
      <c r="AC436" s="220">
        <f t="shared" si="337"/>
        <v>0</v>
      </c>
      <c r="AD436" s="220">
        <f t="shared" si="338"/>
        <v>-10</v>
      </c>
      <c r="AE436" s="221"/>
      <c r="AF436" s="219">
        <v>45080.0</v>
      </c>
      <c r="AG436" s="220" t="str">
        <f t="shared" si="352"/>
        <v/>
      </c>
      <c r="AH436" s="220"/>
      <c r="AI436" s="220">
        <f t="shared" si="339"/>
        <v>0</v>
      </c>
      <c r="AJ436" s="220">
        <f t="shared" si="340"/>
        <v>-10</v>
      </c>
      <c r="AK436" s="221"/>
      <c r="AL436" s="219">
        <v>45080.0</v>
      </c>
      <c r="AM436" s="220" t="str">
        <f t="shared" si="353"/>
        <v/>
      </c>
      <c r="AN436" s="220"/>
      <c r="AO436" s="220">
        <f t="shared" si="341"/>
        <v>0</v>
      </c>
      <c r="AP436" s="220">
        <f t="shared" si="342"/>
        <v>-10</v>
      </c>
      <c r="AQ436" s="221"/>
      <c r="AR436" s="219">
        <v>45080.0</v>
      </c>
      <c r="AS436" s="220" t="str">
        <f t="shared" si="354"/>
        <v/>
      </c>
      <c r="AT436" s="220"/>
      <c r="AU436" s="220">
        <f t="shared" si="343"/>
        <v>0</v>
      </c>
      <c r="AV436" s="220">
        <f t="shared" si="344"/>
        <v>-10</v>
      </c>
      <c r="AW436" s="221"/>
      <c r="AX436" s="219">
        <v>45080.0</v>
      </c>
      <c r="AY436" s="220" t="str">
        <f t="shared" si="355"/>
        <v/>
      </c>
      <c r="AZ436" s="220"/>
      <c r="BA436" s="220">
        <f t="shared" si="345"/>
        <v>0</v>
      </c>
      <c r="BB436" s="220">
        <f t="shared" si="346"/>
        <v>-10</v>
      </c>
    </row>
    <row r="437" ht="14.25" customHeight="1">
      <c r="A437" s="218"/>
      <c r="B437" s="219">
        <v>45081.0</v>
      </c>
      <c r="C437" s="220" t="str">
        <f t="shared" si="347"/>
        <v/>
      </c>
      <c r="D437" s="220"/>
      <c r="E437" s="220">
        <f t="shared" si="329"/>
        <v>0</v>
      </c>
      <c r="F437" s="220">
        <f t="shared" si="330"/>
        <v>-10</v>
      </c>
      <c r="G437" s="221"/>
      <c r="H437" s="219">
        <v>45081.0</v>
      </c>
      <c r="I437" s="220" t="str">
        <f t="shared" si="348"/>
        <v/>
      </c>
      <c r="J437" s="220"/>
      <c r="K437" s="220">
        <f t="shared" si="331"/>
        <v>0</v>
      </c>
      <c r="L437" s="220">
        <f t="shared" si="332"/>
        <v>-10</v>
      </c>
      <c r="M437" s="221"/>
      <c r="N437" s="219">
        <v>45081.0</v>
      </c>
      <c r="O437" s="220" t="str">
        <f t="shared" si="349"/>
        <v/>
      </c>
      <c r="P437" s="220"/>
      <c r="Q437" s="220">
        <f t="shared" si="333"/>
        <v>0</v>
      </c>
      <c r="R437" s="220">
        <f t="shared" si="334"/>
        <v>-10</v>
      </c>
      <c r="S437" s="221"/>
      <c r="T437" s="219">
        <v>45081.0</v>
      </c>
      <c r="U437" s="220" t="str">
        <f t="shared" si="350"/>
        <v/>
      </c>
      <c r="V437" s="220"/>
      <c r="W437" s="220">
        <f t="shared" si="335"/>
        <v>0</v>
      </c>
      <c r="X437" s="220">
        <f t="shared" si="336"/>
        <v>-10</v>
      </c>
      <c r="Y437" s="221"/>
      <c r="Z437" s="219">
        <v>45081.0</v>
      </c>
      <c r="AA437" s="220" t="str">
        <f t="shared" si="351"/>
        <v/>
      </c>
      <c r="AB437" s="220"/>
      <c r="AC437" s="220">
        <f t="shared" si="337"/>
        <v>0</v>
      </c>
      <c r="AD437" s="220">
        <f t="shared" si="338"/>
        <v>-10</v>
      </c>
      <c r="AE437" s="221"/>
      <c r="AF437" s="219">
        <v>45081.0</v>
      </c>
      <c r="AG437" s="220" t="str">
        <f t="shared" si="352"/>
        <v/>
      </c>
      <c r="AH437" s="220"/>
      <c r="AI437" s="220">
        <f t="shared" si="339"/>
        <v>0</v>
      </c>
      <c r="AJ437" s="220">
        <f t="shared" si="340"/>
        <v>-10</v>
      </c>
      <c r="AK437" s="221"/>
      <c r="AL437" s="219">
        <v>45081.0</v>
      </c>
      <c r="AM437" s="220" t="str">
        <f t="shared" si="353"/>
        <v/>
      </c>
      <c r="AN437" s="220"/>
      <c r="AO437" s="220">
        <f t="shared" si="341"/>
        <v>0</v>
      </c>
      <c r="AP437" s="220">
        <f t="shared" si="342"/>
        <v>-10</v>
      </c>
      <c r="AQ437" s="221"/>
      <c r="AR437" s="219">
        <v>45081.0</v>
      </c>
      <c r="AS437" s="220" t="str">
        <f t="shared" si="354"/>
        <v/>
      </c>
      <c r="AT437" s="220"/>
      <c r="AU437" s="220">
        <f t="shared" si="343"/>
        <v>0</v>
      </c>
      <c r="AV437" s="220">
        <f t="shared" si="344"/>
        <v>-10</v>
      </c>
      <c r="AW437" s="221"/>
      <c r="AX437" s="219">
        <v>45081.0</v>
      </c>
      <c r="AY437" s="220" t="str">
        <f t="shared" si="355"/>
        <v/>
      </c>
      <c r="AZ437" s="220"/>
      <c r="BA437" s="220">
        <f t="shared" si="345"/>
        <v>0</v>
      </c>
      <c r="BB437" s="220">
        <f t="shared" si="346"/>
        <v>-10</v>
      </c>
    </row>
    <row r="438" ht="14.25" customHeight="1">
      <c r="A438" s="218"/>
      <c r="B438" s="219">
        <v>45082.0</v>
      </c>
      <c r="C438" s="220" t="str">
        <f t="shared" si="347"/>
        <v/>
      </c>
      <c r="D438" s="220"/>
      <c r="E438" s="220">
        <f t="shared" si="329"/>
        <v>0</v>
      </c>
      <c r="F438" s="220">
        <f t="shared" si="330"/>
        <v>-10</v>
      </c>
      <c r="H438" s="219">
        <v>45082.0</v>
      </c>
      <c r="I438" s="220" t="str">
        <f t="shared" si="348"/>
        <v/>
      </c>
      <c r="J438" s="220"/>
      <c r="K438" s="220">
        <f t="shared" si="331"/>
        <v>0</v>
      </c>
      <c r="L438" s="220">
        <f t="shared" si="332"/>
        <v>-10</v>
      </c>
      <c r="N438" s="219">
        <v>45082.0</v>
      </c>
      <c r="O438" s="220" t="str">
        <f t="shared" si="349"/>
        <v/>
      </c>
      <c r="P438" s="220"/>
      <c r="Q438" s="220">
        <f t="shared" si="333"/>
        <v>0</v>
      </c>
      <c r="R438" s="220">
        <f t="shared" si="334"/>
        <v>-10</v>
      </c>
      <c r="T438" s="219">
        <v>45082.0</v>
      </c>
      <c r="U438" s="220" t="str">
        <f t="shared" si="350"/>
        <v/>
      </c>
      <c r="V438" s="220"/>
      <c r="W438" s="220">
        <f t="shared" si="335"/>
        <v>0</v>
      </c>
      <c r="X438" s="220">
        <f t="shared" si="336"/>
        <v>-10</v>
      </c>
      <c r="Z438" s="219">
        <v>45082.0</v>
      </c>
      <c r="AA438" s="220" t="str">
        <f t="shared" si="351"/>
        <v/>
      </c>
      <c r="AB438" s="220"/>
      <c r="AC438" s="220">
        <f t="shared" si="337"/>
        <v>0</v>
      </c>
      <c r="AD438" s="220">
        <f t="shared" si="338"/>
        <v>-10</v>
      </c>
      <c r="AF438" s="219">
        <v>45082.0</v>
      </c>
      <c r="AG438" s="220" t="str">
        <f t="shared" si="352"/>
        <v/>
      </c>
      <c r="AH438" s="220"/>
      <c r="AI438" s="220">
        <f t="shared" si="339"/>
        <v>0</v>
      </c>
      <c r="AJ438" s="220">
        <f t="shared" si="340"/>
        <v>-10</v>
      </c>
      <c r="AL438" s="219">
        <v>45082.0</v>
      </c>
      <c r="AM438" s="220" t="str">
        <f t="shared" si="353"/>
        <v/>
      </c>
      <c r="AN438" s="220"/>
      <c r="AO438" s="220">
        <f t="shared" si="341"/>
        <v>0</v>
      </c>
      <c r="AP438" s="220">
        <f t="shared" si="342"/>
        <v>-10</v>
      </c>
      <c r="AR438" s="219">
        <v>45082.0</v>
      </c>
      <c r="AS438" s="220" t="str">
        <f t="shared" si="354"/>
        <v/>
      </c>
      <c r="AT438" s="220"/>
      <c r="AU438" s="220">
        <f t="shared" si="343"/>
        <v>0</v>
      </c>
      <c r="AV438" s="220">
        <f t="shared" si="344"/>
        <v>-10</v>
      </c>
      <c r="AX438" s="219">
        <v>45082.0</v>
      </c>
      <c r="AY438" s="220" t="str">
        <f t="shared" si="355"/>
        <v/>
      </c>
      <c r="AZ438" s="220"/>
      <c r="BA438" s="220">
        <f t="shared" si="345"/>
        <v>0</v>
      </c>
      <c r="BB438" s="220">
        <f t="shared" si="346"/>
        <v>-10</v>
      </c>
    </row>
    <row r="439" ht="14.25" customHeight="1">
      <c r="A439" s="218"/>
      <c r="B439" s="219">
        <v>45083.0</v>
      </c>
      <c r="C439" s="220" t="str">
        <f t="shared" si="347"/>
        <v/>
      </c>
      <c r="D439" s="220"/>
      <c r="E439" s="220">
        <f t="shared" si="329"/>
        <v>0</v>
      </c>
      <c r="F439" s="220">
        <f t="shared" si="330"/>
        <v>-10</v>
      </c>
      <c r="H439" s="219">
        <v>45083.0</v>
      </c>
      <c r="I439" s="220" t="str">
        <f t="shared" si="348"/>
        <v/>
      </c>
      <c r="J439" s="220"/>
      <c r="K439" s="220">
        <f t="shared" si="331"/>
        <v>0</v>
      </c>
      <c r="L439" s="220">
        <f t="shared" si="332"/>
        <v>-10</v>
      </c>
      <c r="N439" s="219">
        <v>45083.0</v>
      </c>
      <c r="O439" s="220" t="str">
        <f t="shared" si="349"/>
        <v/>
      </c>
      <c r="P439" s="220"/>
      <c r="Q439" s="220">
        <f t="shared" si="333"/>
        <v>0</v>
      </c>
      <c r="R439" s="220">
        <f t="shared" si="334"/>
        <v>-10</v>
      </c>
      <c r="T439" s="219">
        <v>45083.0</v>
      </c>
      <c r="U439" s="220" t="str">
        <f t="shared" si="350"/>
        <v/>
      </c>
      <c r="V439" s="220"/>
      <c r="W439" s="220">
        <f t="shared" si="335"/>
        <v>0</v>
      </c>
      <c r="X439" s="220">
        <f t="shared" si="336"/>
        <v>-10</v>
      </c>
      <c r="Z439" s="219">
        <v>45083.0</v>
      </c>
      <c r="AA439" s="220" t="str">
        <f t="shared" si="351"/>
        <v/>
      </c>
      <c r="AB439" s="220"/>
      <c r="AC439" s="220">
        <f t="shared" si="337"/>
        <v>0</v>
      </c>
      <c r="AD439" s="220">
        <f t="shared" si="338"/>
        <v>-10</v>
      </c>
      <c r="AF439" s="219">
        <v>45083.0</v>
      </c>
      <c r="AG439" s="220" t="str">
        <f t="shared" si="352"/>
        <v/>
      </c>
      <c r="AH439" s="220"/>
      <c r="AI439" s="220">
        <f t="shared" si="339"/>
        <v>0</v>
      </c>
      <c r="AJ439" s="220">
        <f t="shared" si="340"/>
        <v>-10</v>
      </c>
      <c r="AL439" s="219">
        <v>45083.0</v>
      </c>
      <c r="AM439" s="220" t="str">
        <f t="shared" si="353"/>
        <v/>
      </c>
      <c r="AN439" s="220"/>
      <c r="AO439" s="220">
        <f t="shared" si="341"/>
        <v>0</v>
      </c>
      <c r="AP439" s="220">
        <f t="shared" si="342"/>
        <v>-10</v>
      </c>
      <c r="AR439" s="219">
        <v>45083.0</v>
      </c>
      <c r="AS439" s="220" t="str">
        <f t="shared" si="354"/>
        <v/>
      </c>
      <c r="AT439" s="220"/>
      <c r="AU439" s="220">
        <f t="shared" si="343"/>
        <v>0</v>
      </c>
      <c r="AV439" s="220">
        <f t="shared" si="344"/>
        <v>-10</v>
      </c>
      <c r="AX439" s="219">
        <v>45083.0</v>
      </c>
      <c r="AY439" s="220" t="str">
        <f t="shared" si="355"/>
        <v/>
      </c>
      <c r="AZ439" s="220"/>
      <c r="BA439" s="220">
        <f t="shared" si="345"/>
        <v>0</v>
      </c>
      <c r="BB439" s="220">
        <f t="shared" si="346"/>
        <v>-10</v>
      </c>
    </row>
    <row r="440" ht="14.25" customHeight="1">
      <c r="A440" s="218"/>
      <c r="B440" s="219">
        <v>45084.0</v>
      </c>
      <c r="C440" s="220" t="str">
        <f t="shared" si="347"/>
        <v/>
      </c>
      <c r="D440" s="220"/>
      <c r="E440" s="220">
        <f t="shared" si="329"/>
        <v>0</v>
      </c>
      <c r="F440" s="220">
        <f t="shared" si="330"/>
        <v>-10</v>
      </c>
      <c r="H440" s="219">
        <v>45084.0</v>
      </c>
      <c r="I440" s="220" t="str">
        <f t="shared" si="348"/>
        <v/>
      </c>
      <c r="J440" s="220"/>
      <c r="K440" s="220">
        <f t="shared" si="331"/>
        <v>0</v>
      </c>
      <c r="L440" s="220">
        <f t="shared" si="332"/>
        <v>-10</v>
      </c>
      <c r="N440" s="219">
        <v>45084.0</v>
      </c>
      <c r="O440" s="220" t="str">
        <f t="shared" si="349"/>
        <v/>
      </c>
      <c r="P440" s="220"/>
      <c r="Q440" s="220">
        <f t="shared" si="333"/>
        <v>0</v>
      </c>
      <c r="R440" s="220">
        <f t="shared" si="334"/>
        <v>-10</v>
      </c>
      <c r="T440" s="219">
        <v>45084.0</v>
      </c>
      <c r="U440" s="220" t="str">
        <f t="shared" si="350"/>
        <v/>
      </c>
      <c r="V440" s="220"/>
      <c r="W440" s="220">
        <f t="shared" si="335"/>
        <v>0</v>
      </c>
      <c r="X440" s="220">
        <f t="shared" si="336"/>
        <v>-10</v>
      </c>
      <c r="Z440" s="219">
        <v>45084.0</v>
      </c>
      <c r="AA440" s="220" t="str">
        <f t="shared" si="351"/>
        <v/>
      </c>
      <c r="AB440" s="220"/>
      <c r="AC440" s="220">
        <f t="shared" si="337"/>
        <v>0</v>
      </c>
      <c r="AD440" s="220">
        <f t="shared" si="338"/>
        <v>-10</v>
      </c>
      <c r="AF440" s="219">
        <v>45084.0</v>
      </c>
      <c r="AG440" s="220" t="str">
        <f t="shared" si="352"/>
        <v/>
      </c>
      <c r="AH440" s="220"/>
      <c r="AI440" s="220">
        <f t="shared" si="339"/>
        <v>0</v>
      </c>
      <c r="AJ440" s="220">
        <f t="shared" si="340"/>
        <v>-10</v>
      </c>
      <c r="AL440" s="219">
        <v>45084.0</v>
      </c>
      <c r="AM440" s="220" t="str">
        <f t="shared" si="353"/>
        <v/>
      </c>
      <c r="AN440" s="220"/>
      <c r="AO440" s="220">
        <f t="shared" si="341"/>
        <v>0</v>
      </c>
      <c r="AP440" s="220">
        <f t="shared" si="342"/>
        <v>-10</v>
      </c>
      <c r="AR440" s="219">
        <v>45084.0</v>
      </c>
      <c r="AS440" s="220" t="str">
        <f t="shared" si="354"/>
        <v/>
      </c>
      <c r="AT440" s="220"/>
      <c r="AU440" s="220">
        <f t="shared" si="343"/>
        <v>0</v>
      </c>
      <c r="AV440" s="220">
        <f t="shared" si="344"/>
        <v>-10</v>
      </c>
      <c r="AX440" s="219">
        <v>45084.0</v>
      </c>
      <c r="AY440" s="220" t="str">
        <f t="shared" si="355"/>
        <v/>
      </c>
      <c r="AZ440" s="220"/>
      <c r="BA440" s="220">
        <f t="shared" si="345"/>
        <v>0</v>
      </c>
      <c r="BB440" s="220">
        <f t="shared" si="346"/>
        <v>-10</v>
      </c>
    </row>
    <row r="441" ht="14.25" customHeight="1">
      <c r="A441" s="218"/>
      <c r="B441" s="219">
        <v>45085.0</v>
      </c>
      <c r="C441" s="220" t="str">
        <f t="shared" si="347"/>
        <v/>
      </c>
      <c r="D441" s="220"/>
      <c r="E441" s="220">
        <f t="shared" si="329"/>
        <v>0</v>
      </c>
      <c r="F441" s="220">
        <f t="shared" si="330"/>
        <v>-10</v>
      </c>
      <c r="H441" s="219">
        <v>45085.0</v>
      </c>
      <c r="I441" s="220" t="str">
        <f t="shared" si="348"/>
        <v/>
      </c>
      <c r="J441" s="220"/>
      <c r="K441" s="220">
        <f t="shared" si="331"/>
        <v>0</v>
      </c>
      <c r="L441" s="220">
        <f t="shared" si="332"/>
        <v>-10</v>
      </c>
      <c r="N441" s="219">
        <v>45085.0</v>
      </c>
      <c r="O441" s="220" t="str">
        <f t="shared" si="349"/>
        <v/>
      </c>
      <c r="P441" s="220"/>
      <c r="Q441" s="220">
        <f t="shared" si="333"/>
        <v>0</v>
      </c>
      <c r="R441" s="220">
        <f t="shared" si="334"/>
        <v>-10</v>
      </c>
      <c r="T441" s="219">
        <v>45085.0</v>
      </c>
      <c r="U441" s="220" t="str">
        <f t="shared" si="350"/>
        <v/>
      </c>
      <c r="V441" s="220"/>
      <c r="W441" s="220">
        <f t="shared" si="335"/>
        <v>0</v>
      </c>
      <c r="X441" s="220">
        <f t="shared" si="336"/>
        <v>-10</v>
      </c>
      <c r="Z441" s="219">
        <v>45085.0</v>
      </c>
      <c r="AA441" s="220" t="str">
        <f t="shared" si="351"/>
        <v/>
      </c>
      <c r="AB441" s="220"/>
      <c r="AC441" s="220">
        <f t="shared" si="337"/>
        <v>0</v>
      </c>
      <c r="AD441" s="220">
        <f t="shared" si="338"/>
        <v>-10</v>
      </c>
      <c r="AF441" s="219">
        <v>45085.0</v>
      </c>
      <c r="AG441" s="220" t="str">
        <f t="shared" si="352"/>
        <v/>
      </c>
      <c r="AH441" s="220"/>
      <c r="AI441" s="220">
        <f t="shared" si="339"/>
        <v>0</v>
      </c>
      <c r="AJ441" s="220">
        <f t="shared" si="340"/>
        <v>-10</v>
      </c>
      <c r="AL441" s="219">
        <v>45085.0</v>
      </c>
      <c r="AM441" s="220" t="str">
        <f t="shared" si="353"/>
        <v/>
      </c>
      <c r="AN441" s="220"/>
      <c r="AO441" s="220">
        <f t="shared" si="341"/>
        <v>0</v>
      </c>
      <c r="AP441" s="220">
        <f t="shared" si="342"/>
        <v>-10</v>
      </c>
      <c r="AR441" s="219">
        <v>45085.0</v>
      </c>
      <c r="AS441" s="220" t="str">
        <f t="shared" si="354"/>
        <v/>
      </c>
      <c r="AT441" s="220"/>
      <c r="AU441" s="220">
        <f t="shared" si="343"/>
        <v>0</v>
      </c>
      <c r="AV441" s="220">
        <f t="shared" si="344"/>
        <v>-10</v>
      </c>
      <c r="AX441" s="219">
        <v>45085.0</v>
      </c>
      <c r="AY441" s="220" t="str">
        <f t="shared" si="355"/>
        <v/>
      </c>
      <c r="AZ441" s="220"/>
      <c r="BA441" s="220">
        <f t="shared" si="345"/>
        <v>0</v>
      </c>
      <c r="BB441" s="220">
        <f t="shared" si="346"/>
        <v>-10</v>
      </c>
    </row>
    <row r="442" ht="14.25" customHeight="1">
      <c r="A442" s="218"/>
      <c r="B442" s="219">
        <v>45086.0</v>
      </c>
      <c r="C442" s="220" t="str">
        <f t="shared" si="347"/>
        <v/>
      </c>
      <c r="D442" s="220"/>
      <c r="E442" s="220">
        <f t="shared" si="329"/>
        <v>0</v>
      </c>
      <c r="F442" s="220">
        <f t="shared" si="330"/>
        <v>-10</v>
      </c>
      <c r="H442" s="219">
        <v>45086.0</v>
      </c>
      <c r="I442" s="220" t="str">
        <f t="shared" si="348"/>
        <v/>
      </c>
      <c r="J442" s="220"/>
      <c r="K442" s="220">
        <f t="shared" si="331"/>
        <v>0</v>
      </c>
      <c r="L442" s="220">
        <f t="shared" si="332"/>
        <v>-10</v>
      </c>
      <c r="N442" s="219">
        <v>45086.0</v>
      </c>
      <c r="O442" s="220" t="str">
        <f t="shared" si="349"/>
        <v/>
      </c>
      <c r="P442" s="220"/>
      <c r="Q442" s="220">
        <f t="shared" si="333"/>
        <v>0</v>
      </c>
      <c r="R442" s="220">
        <f t="shared" si="334"/>
        <v>-10</v>
      </c>
      <c r="T442" s="219">
        <v>45086.0</v>
      </c>
      <c r="U442" s="220" t="str">
        <f t="shared" si="350"/>
        <v/>
      </c>
      <c r="V442" s="220"/>
      <c r="W442" s="220">
        <f t="shared" si="335"/>
        <v>0</v>
      </c>
      <c r="X442" s="220">
        <f t="shared" si="336"/>
        <v>-10</v>
      </c>
      <c r="Z442" s="219">
        <v>45086.0</v>
      </c>
      <c r="AA442" s="220" t="str">
        <f t="shared" si="351"/>
        <v/>
      </c>
      <c r="AB442" s="220"/>
      <c r="AC442" s="220">
        <f t="shared" si="337"/>
        <v>0</v>
      </c>
      <c r="AD442" s="220">
        <f t="shared" si="338"/>
        <v>-10</v>
      </c>
      <c r="AF442" s="219">
        <v>45086.0</v>
      </c>
      <c r="AG442" s="220" t="str">
        <f t="shared" si="352"/>
        <v/>
      </c>
      <c r="AH442" s="220"/>
      <c r="AI442" s="220">
        <f t="shared" si="339"/>
        <v>0</v>
      </c>
      <c r="AJ442" s="220">
        <f t="shared" si="340"/>
        <v>-10</v>
      </c>
      <c r="AL442" s="219">
        <v>45086.0</v>
      </c>
      <c r="AM442" s="220" t="str">
        <f t="shared" si="353"/>
        <v/>
      </c>
      <c r="AN442" s="220"/>
      <c r="AO442" s="220">
        <f t="shared" si="341"/>
        <v>0</v>
      </c>
      <c r="AP442" s="220">
        <f t="shared" si="342"/>
        <v>-10</v>
      </c>
      <c r="AR442" s="219">
        <v>45086.0</v>
      </c>
      <c r="AS442" s="220" t="str">
        <f t="shared" si="354"/>
        <v/>
      </c>
      <c r="AT442" s="220"/>
      <c r="AU442" s="220">
        <f t="shared" si="343"/>
        <v>0</v>
      </c>
      <c r="AV442" s="220">
        <f t="shared" si="344"/>
        <v>-10</v>
      </c>
      <c r="AX442" s="219">
        <v>45086.0</v>
      </c>
      <c r="AY442" s="220" t="str">
        <f t="shared" si="355"/>
        <v/>
      </c>
      <c r="AZ442" s="220"/>
      <c r="BA442" s="220">
        <f t="shared" si="345"/>
        <v>0</v>
      </c>
      <c r="BB442" s="220">
        <f t="shared" si="346"/>
        <v>-10</v>
      </c>
    </row>
    <row r="443" ht="14.25" customHeight="1">
      <c r="A443" s="218"/>
      <c r="B443" s="219">
        <v>45087.0</v>
      </c>
      <c r="C443" s="220" t="str">
        <f t="shared" si="347"/>
        <v/>
      </c>
      <c r="D443" s="220"/>
      <c r="E443" s="220">
        <f t="shared" si="329"/>
        <v>0</v>
      </c>
      <c r="F443" s="220">
        <f t="shared" si="330"/>
        <v>-10</v>
      </c>
      <c r="G443" s="221"/>
      <c r="H443" s="219">
        <v>45087.0</v>
      </c>
      <c r="I443" s="220" t="str">
        <f t="shared" si="348"/>
        <v/>
      </c>
      <c r="J443" s="220"/>
      <c r="K443" s="220">
        <f t="shared" si="331"/>
        <v>0</v>
      </c>
      <c r="L443" s="220">
        <f t="shared" si="332"/>
        <v>-10</v>
      </c>
      <c r="M443" s="221"/>
      <c r="N443" s="219">
        <v>45087.0</v>
      </c>
      <c r="O443" s="220" t="str">
        <f t="shared" si="349"/>
        <v/>
      </c>
      <c r="P443" s="220"/>
      <c r="Q443" s="220">
        <f t="shared" si="333"/>
        <v>0</v>
      </c>
      <c r="R443" s="220">
        <f t="shared" si="334"/>
        <v>-10</v>
      </c>
      <c r="S443" s="221"/>
      <c r="T443" s="219">
        <v>45087.0</v>
      </c>
      <c r="U443" s="220" t="str">
        <f t="shared" si="350"/>
        <v/>
      </c>
      <c r="V443" s="220"/>
      <c r="W443" s="220">
        <f t="shared" si="335"/>
        <v>0</v>
      </c>
      <c r="X443" s="220">
        <f t="shared" si="336"/>
        <v>-10</v>
      </c>
      <c r="Y443" s="221"/>
      <c r="Z443" s="219">
        <v>45087.0</v>
      </c>
      <c r="AA443" s="220" t="str">
        <f t="shared" si="351"/>
        <v/>
      </c>
      <c r="AB443" s="220"/>
      <c r="AC443" s="220">
        <f t="shared" si="337"/>
        <v>0</v>
      </c>
      <c r="AD443" s="220">
        <f t="shared" si="338"/>
        <v>-10</v>
      </c>
      <c r="AE443" s="221"/>
      <c r="AF443" s="219">
        <v>45087.0</v>
      </c>
      <c r="AG443" s="220" t="str">
        <f t="shared" si="352"/>
        <v/>
      </c>
      <c r="AH443" s="220"/>
      <c r="AI443" s="220">
        <f t="shared" si="339"/>
        <v>0</v>
      </c>
      <c r="AJ443" s="220">
        <f t="shared" si="340"/>
        <v>-10</v>
      </c>
      <c r="AK443" s="221"/>
      <c r="AL443" s="219">
        <v>45087.0</v>
      </c>
      <c r="AM443" s="220" t="str">
        <f t="shared" si="353"/>
        <v/>
      </c>
      <c r="AN443" s="220"/>
      <c r="AO443" s="220">
        <f t="shared" si="341"/>
        <v>0</v>
      </c>
      <c r="AP443" s="220">
        <f t="shared" si="342"/>
        <v>-10</v>
      </c>
      <c r="AQ443" s="221"/>
      <c r="AR443" s="219">
        <v>45087.0</v>
      </c>
      <c r="AS443" s="220" t="str">
        <f t="shared" si="354"/>
        <v/>
      </c>
      <c r="AT443" s="220"/>
      <c r="AU443" s="220">
        <f t="shared" si="343"/>
        <v>0</v>
      </c>
      <c r="AV443" s="220">
        <f t="shared" si="344"/>
        <v>-10</v>
      </c>
      <c r="AW443" s="221"/>
      <c r="AX443" s="219">
        <v>45087.0</v>
      </c>
      <c r="AY443" s="220" t="str">
        <f t="shared" si="355"/>
        <v/>
      </c>
      <c r="AZ443" s="220"/>
      <c r="BA443" s="220">
        <f t="shared" si="345"/>
        <v>0</v>
      </c>
      <c r="BB443" s="220">
        <f t="shared" si="346"/>
        <v>-10</v>
      </c>
    </row>
    <row r="444" ht="14.25" customHeight="1">
      <c r="A444" s="218"/>
      <c r="B444" s="219">
        <v>45088.0</v>
      </c>
      <c r="C444" s="220" t="str">
        <f t="shared" si="347"/>
        <v/>
      </c>
      <c r="D444" s="220"/>
      <c r="E444" s="220">
        <f t="shared" si="329"/>
        <v>0</v>
      </c>
      <c r="F444" s="220">
        <f t="shared" si="330"/>
        <v>-10</v>
      </c>
      <c r="G444" s="221"/>
      <c r="H444" s="219">
        <v>45088.0</v>
      </c>
      <c r="I444" s="220" t="str">
        <f t="shared" si="348"/>
        <v/>
      </c>
      <c r="J444" s="220"/>
      <c r="K444" s="220">
        <f t="shared" si="331"/>
        <v>0</v>
      </c>
      <c r="L444" s="220">
        <f t="shared" si="332"/>
        <v>-10</v>
      </c>
      <c r="M444" s="221"/>
      <c r="N444" s="219">
        <v>45088.0</v>
      </c>
      <c r="O444" s="220" t="str">
        <f t="shared" si="349"/>
        <v/>
      </c>
      <c r="P444" s="220"/>
      <c r="Q444" s="220">
        <f t="shared" si="333"/>
        <v>0</v>
      </c>
      <c r="R444" s="220">
        <f t="shared" si="334"/>
        <v>-10</v>
      </c>
      <c r="S444" s="221"/>
      <c r="T444" s="219">
        <v>45088.0</v>
      </c>
      <c r="U444" s="220" t="str">
        <f t="shared" si="350"/>
        <v/>
      </c>
      <c r="V444" s="220"/>
      <c r="W444" s="220">
        <f t="shared" si="335"/>
        <v>0</v>
      </c>
      <c r="X444" s="220">
        <f t="shared" si="336"/>
        <v>-10</v>
      </c>
      <c r="Y444" s="221"/>
      <c r="Z444" s="219">
        <v>45088.0</v>
      </c>
      <c r="AA444" s="220" t="str">
        <f t="shared" si="351"/>
        <v/>
      </c>
      <c r="AB444" s="220"/>
      <c r="AC444" s="220">
        <f t="shared" si="337"/>
        <v>0</v>
      </c>
      <c r="AD444" s="220">
        <f t="shared" si="338"/>
        <v>-10</v>
      </c>
      <c r="AE444" s="221"/>
      <c r="AF444" s="219">
        <v>45088.0</v>
      </c>
      <c r="AG444" s="220" t="str">
        <f t="shared" si="352"/>
        <v/>
      </c>
      <c r="AH444" s="220"/>
      <c r="AI444" s="220">
        <f t="shared" si="339"/>
        <v>0</v>
      </c>
      <c r="AJ444" s="220">
        <f t="shared" si="340"/>
        <v>-10</v>
      </c>
      <c r="AK444" s="221"/>
      <c r="AL444" s="219">
        <v>45088.0</v>
      </c>
      <c r="AM444" s="220" t="str">
        <f t="shared" si="353"/>
        <v/>
      </c>
      <c r="AN444" s="220"/>
      <c r="AO444" s="220">
        <f t="shared" si="341"/>
        <v>0</v>
      </c>
      <c r="AP444" s="220">
        <f t="shared" si="342"/>
        <v>-10</v>
      </c>
      <c r="AQ444" s="221"/>
      <c r="AR444" s="219">
        <v>45088.0</v>
      </c>
      <c r="AS444" s="220" t="str">
        <f t="shared" si="354"/>
        <v/>
      </c>
      <c r="AT444" s="220"/>
      <c r="AU444" s="220">
        <f t="shared" si="343"/>
        <v>0</v>
      </c>
      <c r="AV444" s="220">
        <f t="shared" si="344"/>
        <v>-10</v>
      </c>
      <c r="AW444" s="221"/>
      <c r="AX444" s="219">
        <v>45088.0</v>
      </c>
      <c r="AY444" s="220" t="str">
        <f t="shared" si="355"/>
        <v/>
      </c>
      <c r="AZ444" s="220"/>
      <c r="BA444" s="220">
        <f t="shared" si="345"/>
        <v>0</v>
      </c>
      <c r="BB444" s="220">
        <f t="shared" si="346"/>
        <v>-10</v>
      </c>
    </row>
    <row r="445" ht="14.25" customHeight="1">
      <c r="A445" s="218"/>
      <c r="B445" s="219">
        <v>45089.0</v>
      </c>
      <c r="C445" s="220" t="str">
        <f t="shared" si="347"/>
        <v/>
      </c>
      <c r="D445" s="220"/>
      <c r="E445" s="220">
        <f t="shared" si="329"/>
        <v>0</v>
      </c>
      <c r="F445" s="220">
        <f t="shared" si="330"/>
        <v>-10</v>
      </c>
      <c r="H445" s="219">
        <v>45089.0</v>
      </c>
      <c r="I445" s="220" t="str">
        <f t="shared" si="348"/>
        <v/>
      </c>
      <c r="J445" s="220"/>
      <c r="K445" s="220">
        <f t="shared" si="331"/>
        <v>0</v>
      </c>
      <c r="L445" s="220">
        <f t="shared" si="332"/>
        <v>-10</v>
      </c>
      <c r="N445" s="219">
        <v>45089.0</v>
      </c>
      <c r="O445" s="220" t="str">
        <f t="shared" si="349"/>
        <v/>
      </c>
      <c r="P445" s="220"/>
      <c r="Q445" s="220">
        <f t="shared" si="333"/>
        <v>0</v>
      </c>
      <c r="R445" s="220">
        <f t="shared" si="334"/>
        <v>-10</v>
      </c>
      <c r="T445" s="219">
        <v>45089.0</v>
      </c>
      <c r="U445" s="220" t="str">
        <f t="shared" si="350"/>
        <v/>
      </c>
      <c r="V445" s="220"/>
      <c r="W445" s="220">
        <f t="shared" si="335"/>
        <v>0</v>
      </c>
      <c r="X445" s="220">
        <f t="shared" si="336"/>
        <v>-10</v>
      </c>
      <c r="Z445" s="219">
        <v>45089.0</v>
      </c>
      <c r="AA445" s="220" t="str">
        <f t="shared" si="351"/>
        <v/>
      </c>
      <c r="AB445" s="220"/>
      <c r="AC445" s="220">
        <f t="shared" si="337"/>
        <v>0</v>
      </c>
      <c r="AD445" s="220">
        <f t="shared" si="338"/>
        <v>-10</v>
      </c>
      <c r="AF445" s="219">
        <v>45089.0</v>
      </c>
      <c r="AG445" s="220" t="str">
        <f t="shared" si="352"/>
        <v/>
      </c>
      <c r="AH445" s="220"/>
      <c r="AI445" s="220">
        <f t="shared" si="339"/>
        <v>0</v>
      </c>
      <c r="AJ445" s="220">
        <f t="shared" si="340"/>
        <v>-10</v>
      </c>
      <c r="AL445" s="219">
        <v>45089.0</v>
      </c>
      <c r="AM445" s="220" t="str">
        <f t="shared" si="353"/>
        <v/>
      </c>
      <c r="AN445" s="220"/>
      <c r="AO445" s="220">
        <f t="shared" si="341"/>
        <v>0</v>
      </c>
      <c r="AP445" s="220">
        <f t="shared" si="342"/>
        <v>-10</v>
      </c>
      <c r="AR445" s="219">
        <v>45089.0</v>
      </c>
      <c r="AS445" s="220" t="str">
        <f t="shared" si="354"/>
        <v/>
      </c>
      <c r="AT445" s="220"/>
      <c r="AU445" s="220">
        <f t="shared" si="343"/>
        <v>0</v>
      </c>
      <c r="AV445" s="220">
        <f t="shared" si="344"/>
        <v>-10</v>
      </c>
      <c r="AX445" s="219">
        <v>45089.0</v>
      </c>
      <c r="AY445" s="220" t="str">
        <f t="shared" si="355"/>
        <v/>
      </c>
      <c r="AZ445" s="220"/>
      <c r="BA445" s="220">
        <f t="shared" si="345"/>
        <v>0</v>
      </c>
      <c r="BB445" s="220">
        <f t="shared" si="346"/>
        <v>-10</v>
      </c>
    </row>
    <row r="446" ht="14.25" customHeight="1">
      <c r="A446" s="218"/>
      <c r="B446" s="219">
        <v>45090.0</v>
      </c>
      <c r="C446" s="220" t="str">
        <f t="shared" si="347"/>
        <v/>
      </c>
      <c r="D446" s="220"/>
      <c r="E446" s="220">
        <f t="shared" si="329"/>
        <v>0</v>
      </c>
      <c r="F446" s="220">
        <f t="shared" si="330"/>
        <v>-10</v>
      </c>
      <c r="H446" s="219">
        <v>45090.0</v>
      </c>
      <c r="I446" s="220" t="str">
        <f t="shared" si="348"/>
        <v/>
      </c>
      <c r="J446" s="220"/>
      <c r="K446" s="220">
        <f t="shared" si="331"/>
        <v>0</v>
      </c>
      <c r="L446" s="220">
        <f t="shared" si="332"/>
        <v>-10</v>
      </c>
      <c r="N446" s="219">
        <v>45090.0</v>
      </c>
      <c r="O446" s="220" t="str">
        <f t="shared" si="349"/>
        <v/>
      </c>
      <c r="P446" s="220"/>
      <c r="Q446" s="220">
        <f t="shared" si="333"/>
        <v>0</v>
      </c>
      <c r="R446" s="220">
        <f t="shared" si="334"/>
        <v>-10</v>
      </c>
      <c r="T446" s="219">
        <v>45090.0</v>
      </c>
      <c r="U446" s="220" t="str">
        <f t="shared" si="350"/>
        <v/>
      </c>
      <c r="V446" s="220"/>
      <c r="W446" s="220">
        <f t="shared" si="335"/>
        <v>0</v>
      </c>
      <c r="X446" s="220">
        <f t="shared" si="336"/>
        <v>-10</v>
      </c>
      <c r="Z446" s="219">
        <v>45090.0</v>
      </c>
      <c r="AA446" s="220" t="str">
        <f t="shared" si="351"/>
        <v/>
      </c>
      <c r="AB446" s="220"/>
      <c r="AC446" s="220">
        <f t="shared" si="337"/>
        <v>0</v>
      </c>
      <c r="AD446" s="220">
        <f t="shared" si="338"/>
        <v>-10</v>
      </c>
      <c r="AF446" s="219">
        <v>45090.0</v>
      </c>
      <c r="AG446" s="220" t="str">
        <f t="shared" si="352"/>
        <v/>
      </c>
      <c r="AH446" s="220"/>
      <c r="AI446" s="220">
        <f t="shared" si="339"/>
        <v>0</v>
      </c>
      <c r="AJ446" s="220">
        <f t="shared" si="340"/>
        <v>-10</v>
      </c>
      <c r="AL446" s="219">
        <v>45090.0</v>
      </c>
      <c r="AM446" s="220" t="str">
        <f t="shared" si="353"/>
        <v/>
      </c>
      <c r="AN446" s="220"/>
      <c r="AO446" s="220">
        <f t="shared" si="341"/>
        <v>0</v>
      </c>
      <c r="AP446" s="220">
        <f t="shared" si="342"/>
        <v>-10</v>
      </c>
      <c r="AR446" s="219">
        <v>45090.0</v>
      </c>
      <c r="AS446" s="220" t="str">
        <f t="shared" si="354"/>
        <v/>
      </c>
      <c r="AT446" s="220"/>
      <c r="AU446" s="220">
        <f t="shared" si="343"/>
        <v>0</v>
      </c>
      <c r="AV446" s="220">
        <f t="shared" si="344"/>
        <v>-10</v>
      </c>
      <c r="AX446" s="219">
        <v>45090.0</v>
      </c>
      <c r="AY446" s="220" t="str">
        <f t="shared" si="355"/>
        <v/>
      </c>
      <c r="AZ446" s="220"/>
      <c r="BA446" s="220">
        <f t="shared" si="345"/>
        <v>0</v>
      </c>
      <c r="BB446" s="220">
        <f t="shared" si="346"/>
        <v>-10</v>
      </c>
    </row>
    <row r="447" ht="14.25" customHeight="1">
      <c r="A447" s="218"/>
      <c r="B447" s="219">
        <v>45091.0</v>
      </c>
      <c r="C447" s="220" t="str">
        <f t="shared" si="347"/>
        <v/>
      </c>
      <c r="D447" s="220"/>
      <c r="E447" s="220">
        <f t="shared" si="329"/>
        <v>0</v>
      </c>
      <c r="F447" s="220">
        <f t="shared" si="330"/>
        <v>-10</v>
      </c>
      <c r="H447" s="219">
        <v>45091.0</v>
      </c>
      <c r="I447" s="220" t="str">
        <f t="shared" si="348"/>
        <v/>
      </c>
      <c r="J447" s="220"/>
      <c r="K447" s="220">
        <f t="shared" si="331"/>
        <v>0</v>
      </c>
      <c r="L447" s="220">
        <f t="shared" si="332"/>
        <v>-10</v>
      </c>
      <c r="N447" s="219">
        <v>45091.0</v>
      </c>
      <c r="O447" s="220" t="str">
        <f t="shared" si="349"/>
        <v/>
      </c>
      <c r="P447" s="220"/>
      <c r="Q447" s="220">
        <f t="shared" si="333"/>
        <v>0</v>
      </c>
      <c r="R447" s="220">
        <f t="shared" si="334"/>
        <v>-10</v>
      </c>
      <c r="T447" s="219">
        <v>45091.0</v>
      </c>
      <c r="U447" s="220" t="str">
        <f t="shared" si="350"/>
        <v/>
      </c>
      <c r="V447" s="220"/>
      <c r="W447" s="220">
        <f t="shared" si="335"/>
        <v>0</v>
      </c>
      <c r="X447" s="220">
        <f t="shared" si="336"/>
        <v>-10</v>
      </c>
      <c r="Z447" s="219">
        <v>45091.0</v>
      </c>
      <c r="AA447" s="220" t="str">
        <f t="shared" si="351"/>
        <v/>
      </c>
      <c r="AB447" s="220"/>
      <c r="AC447" s="220">
        <f t="shared" si="337"/>
        <v>0</v>
      </c>
      <c r="AD447" s="220">
        <f t="shared" si="338"/>
        <v>-10</v>
      </c>
      <c r="AF447" s="219">
        <v>45091.0</v>
      </c>
      <c r="AG447" s="220" t="str">
        <f t="shared" si="352"/>
        <v/>
      </c>
      <c r="AH447" s="220"/>
      <c r="AI447" s="220">
        <f t="shared" si="339"/>
        <v>0</v>
      </c>
      <c r="AJ447" s="220">
        <f t="shared" si="340"/>
        <v>-10</v>
      </c>
      <c r="AL447" s="219">
        <v>45091.0</v>
      </c>
      <c r="AM447" s="220" t="str">
        <f t="shared" si="353"/>
        <v/>
      </c>
      <c r="AN447" s="220"/>
      <c r="AO447" s="220">
        <f t="shared" si="341"/>
        <v>0</v>
      </c>
      <c r="AP447" s="220">
        <f t="shared" si="342"/>
        <v>-10</v>
      </c>
      <c r="AR447" s="219">
        <v>45091.0</v>
      </c>
      <c r="AS447" s="220" t="str">
        <f t="shared" si="354"/>
        <v/>
      </c>
      <c r="AT447" s="220"/>
      <c r="AU447" s="220">
        <f t="shared" si="343"/>
        <v>0</v>
      </c>
      <c r="AV447" s="220">
        <f t="shared" si="344"/>
        <v>-10</v>
      </c>
      <c r="AX447" s="219">
        <v>45091.0</v>
      </c>
      <c r="AY447" s="220" t="str">
        <f t="shared" si="355"/>
        <v/>
      </c>
      <c r="AZ447" s="220"/>
      <c r="BA447" s="220">
        <f t="shared" si="345"/>
        <v>0</v>
      </c>
      <c r="BB447" s="220">
        <f t="shared" si="346"/>
        <v>-10</v>
      </c>
    </row>
    <row r="448" ht="14.25" customHeight="1">
      <c r="A448" s="218"/>
      <c r="B448" s="219">
        <v>45092.0</v>
      </c>
      <c r="C448" s="220" t="str">
        <f t="shared" si="347"/>
        <v/>
      </c>
      <c r="D448" s="220"/>
      <c r="E448" s="220">
        <f t="shared" si="329"/>
        <v>0</v>
      </c>
      <c r="F448" s="220">
        <f t="shared" si="330"/>
        <v>-10</v>
      </c>
      <c r="H448" s="219">
        <v>45092.0</v>
      </c>
      <c r="I448" s="220" t="str">
        <f t="shared" si="348"/>
        <v/>
      </c>
      <c r="J448" s="220"/>
      <c r="K448" s="220">
        <f t="shared" si="331"/>
        <v>0</v>
      </c>
      <c r="L448" s="220">
        <f t="shared" si="332"/>
        <v>-10</v>
      </c>
      <c r="N448" s="219">
        <v>45092.0</v>
      </c>
      <c r="O448" s="220" t="str">
        <f t="shared" si="349"/>
        <v/>
      </c>
      <c r="P448" s="220"/>
      <c r="Q448" s="220">
        <f t="shared" si="333"/>
        <v>0</v>
      </c>
      <c r="R448" s="220">
        <f t="shared" si="334"/>
        <v>-10</v>
      </c>
      <c r="T448" s="219">
        <v>45092.0</v>
      </c>
      <c r="U448" s="220" t="str">
        <f t="shared" si="350"/>
        <v/>
      </c>
      <c r="V448" s="220"/>
      <c r="W448" s="220">
        <f t="shared" si="335"/>
        <v>0</v>
      </c>
      <c r="X448" s="220">
        <f t="shared" si="336"/>
        <v>-10</v>
      </c>
      <c r="Z448" s="219">
        <v>45092.0</v>
      </c>
      <c r="AA448" s="220" t="str">
        <f t="shared" si="351"/>
        <v/>
      </c>
      <c r="AB448" s="220"/>
      <c r="AC448" s="220">
        <f t="shared" si="337"/>
        <v>0</v>
      </c>
      <c r="AD448" s="220">
        <f t="shared" si="338"/>
        <v>-10</v>
      </c>
      <c r="AF448" s="219">
        <v>45092.0</v>
      </c>
      <c r="AG448" s="220" t="str">
        <f t="shared" si="352"/>
        <v/>
      </c>
      <c r="AH448" s="220"/>
      <c r="AI448" s="220">
        <f t="shared" si="339"/>
        <v>0</v>
      </c>
      <c r="AJ448" s="220">
        <f t="shared" si="340"/>
        <v>-10</v>
      </c>
      <c r="AL448" s="219">
        <v>45092.0</v>
      </c>
      <c r="AM448" s="220" t="str">
        <f t="shared" si="353"/>
        <v/>
      </c>
      <c r="AN448" s="220"/>
      <c r="AO448" s="220">
        <f t="shared" si="341"/>
        <v>0</v>
      </c>
      <c r="AP448" s="220">
        <f t="shared" si="342"/>
        <v>-10</v>
      </c>
      <c r="AR448" s="219">
        <v>45092.0</v>
      </c>
      <c r="AS448" s="220" t="str">
        <f t="shared" si="354"/>
        <v/>
      </c>
      <c r="AT448" s="220"/>
      <c r="AU448" s="220">
        <f t="shared" si="343"/>
        <v>0</v>
      </c>
      <c r="AV448" s="220">
        <f t="shared" si="344"/>
        <v>-10</v>
      </c>
      <c r="AX448" s="219">
        <v>45092.0</v>
      </c>
      <c r="AY448" s="220" t="str">
        <f t="shared" si="355"/>
        <v/>
      </c>
      <c r="AZ448" s="220"/>
      <c r="BA448" s="220">
        <f t="shared" si="345"/>
        <v>0</v>
      </c>
      <c r="BB448" s="220">
        <f t="shared" si="346"/>
        <v>-10</v>
      </c>
    </row>
    <row r="449" ht="14.25" customHeight="1">
      <c r="A449" s="218"/>
      <c r="B449" s="219">
        <v>45093.0</v>
      </c>
      <c r="C449" s="220" t="str">
        <f t="shared" si="347"/>
        <v/>
      </c>
      <c r="D449" s="220"/>
      <c r="E449" s="220">
        <f t="shared" si="329"/>
        <v>0</v>
      </c>
      <c r="F449" s="220">
        <f t="shared" si="330"/>
        <v>-10</v>
      </c>
      <c r="H449" s="219">
        <v>45093.0</v>
      </c>
      <c r="I449" s="220" t="str">
        <f t="shared" si="348"/>
        <v/>
      </c>
      <c r="J449" s="220"/>
      <c r="K449" s="220">
        <f t="shared" si="331"/>
        <v>0</v>
      </c>
      <c r="L449" s="220">
        <f t="shared" si="332"/>
        <v>-10</v>
      </c>
      <c r="N449" s="219">
        <v>45093.0</v>
      </c>
      <c r="O449" s="220" t="str">
        <f t="shared" si="349"/>
        <v/>
      </c>
      <c r="P449" s="220"/>
      <c r="Q449" s="220">
        <f t="shared" si="333"/>
        <v>0</v>
      </c>
      <c r="R449" s="220">
        <f t="shared" si="334"/>
        <v>-10</v>
      </c>
      <c r="T449" s="219">
        <v>45093.0</v>
      </c>
      <c r="U449" s="220" t="str">
        <f t="shared" si="350"/>
        <v/>
      </c>
      <c r="V449" s="220"/>
      <c r="W449" s="220">
        <f t="shared" si="335"/>
        <v>0</v>
      </c>
      <c r="X449" s="220">
        <f t="shared" si="336"/>
        <v>-10</v>
      </c>
      <c r="Z449" s="219">
        <v>45093.0</v>
      </c>
      <c r="AA449" s="220" t="str">
        <f t="shared" si="351"/>
        <v/>
      </c>
      <c r="AB449" s="220"/>
      <c r="AC449" s="220">
        <f t="shared" si="337"/>
        <v>0</v>
      </c>
      <c r="AD449" s="220">
        <f t="shared" si="338"/>
        <v>-10</v>
      </c>
      <c r="AF449" s="219">
        <v>45093.0</v>
      </c>
      <c r="AG449" s="220" t="str">
        <f t="shared" si="352"/>
        <v/>
      </c>
      <c r="AH449" s="220"/>
      <c r="AI449" s="220">
        <f t="shared" si="339"/>
        <v>0</v>
      </c>
      <c r="AJ449" s="220">
        <f t="shared" si="340"/>
        <v>-10</v>
      </c>
      <c r="AL449" s="219">
        <v>45093.0</v>
      </c>
      <c r="AM449" s="220" t="str">
        <f t="shared" si="353"/>
        <v/>
      </c>
      <c r="AN449" s="220"/>
      <c r="AO449" s="220">
        <f t="shared" si="341"/>
        <v>0</v>
      </c>
      <c r="AP449" s="220">
        <f t="shared" si="342"/>
        <v>-10</v>
      </c>
      <c r="AR449" s="219">
        <v>45093.0</v>
      </c>
      <c r="AS449" s="220" t="str">
        <f t="shared" si="354"/>
        <v/>
      </c>
      <c r="AT449" s="220"/>
      <c r="AU449" s="220">
        <f t="shared" si="343"/>
        <v>0</v>
      </c>
      <c r="AV449" s="220">
        <f t="shared" si="344"/>
        <v>-10</v>
      </c>
      <c r="AX449" s="219">
        <v>45093.0</v>
      </c>
      <c r="AY449" s="220" t="str">
        <f t="shared" si="355"/>
        <v/>
      </c>
      <c r="AZ449" s="220"/>
      <c r="BA449" s="220">
        <f t="shared" si="345"/>
        <v>0</v>
      </c>
      <c r="BB449" s="220">
        <f t="shared" si="346"/>
        <v>-10</v>
      </c>
    </row>
    <row r="450" ht="14.25" customHeight="1">
      <c r="A450" s="218"/>
      <c r="B450" s="219">
        <v>45094.0</v>
      </c>
      <c r="C450" s="220" t="str">
        <f t="shared" si="347"/>
        <v/>
      </c>
      <c r="D450" s="220"/>
      <c r="E450" s="220">
        <f t="shared" si="329"/>
        <v>0</v>
      </c>
      <c r="F450" s="220">
        <f t="shared" si="330"/>
        <v>-10</v>
      </c>
      <c r="G450" s="221"/>
      <c r="H450" s="219">
        <v>45094.0</v>
      </c>
      <c r="I450" s="220" t="str">
        <f t="shared" si="348"/>
        <v/>
      </c>
      <c r="J450" s="220"/>
      <c r="K450" s="220">
        <f t="shared" si="331"/>
        <v>0</v>
      </c>
      <c r="L450" s="220">
        <f t="shared" si="332"/>
        <v>-10</v>
      </c>
      <c r="M450" s="221"/>
      <c r="N450" s="219">
        <v>45094.0</v>
      </c>
      <c r="O450" s="220" t="str">
        <f t="shared" si="349"/>
        <v/>
      </c>
      <c r="P450" s="220"/>
      <c r="Q450" s="220">
        <f t="shared" si="333"/>
        <v>0</v>
      </c>
      <c r="R450" s="220">
        <f t="shared" si="334"/>
        <v>-10</v>
      </c>
      <c r="S450" s="221"/>
      <c r="T450" s="219">
        <v>45094.0</v>
      </c>
      <c r="U450" s="220" t="str">
        <f t="shared" si="350"/>
        <v/>
      </c>
      <c r="V450" s="220"/>
      <c r="W450" s="220">
        <f t="shared" si="335"/>
        <v>0</v>
      </c>
      <c r="X450" s="220">
        <f t="shared" si="336"/>
        <v>-10</v>
      </c>
      <c r="Y450" s="221"/>
      <c r="Z450" s="219">
        <v>45094.0</v>
      </c>
      <c r="AA450" s="220" t="str">
        <f t="shared" si="351"/>
        <v/>
      </c>
      <c r="AB450" s="220"/>
      <c r="AC450" s="220">
        <f t="shared" si="337"/>
        <v>0</v>
      </c>
      <c r="AD450" s="220">
        <f t="shared" si="338"/>
        <v>-10</v>
      </c>
      <c r="AE450" s="221"/>
      <c r="AF450" s="219">
        <v>45094.0</v>
      </c>
      <c r="AG450" s="220" t="str">
        <f t="shared" si="352"/>
        <v/>
      </c>
      <c r="AH450" s="220"/>
      <c r="AI450" s="220">
        <f t="shared" si="339"/>
        <v>0</v>
      </c>
      <c r="AJ450" s="220">
        <f t="shared" si="340"/>
        <v>-10</v>
      </c>
      <c r="AK450" s="221"/>
      <c r="AL450" s="219">
        <v>45094.0</v>
      </c>
      <c r="AM450" s="220" t="str">
        <f t="shared" si="353"/>
        <v/>
      </c>
      <c r="AN450" s="220"/>
      <c r="AO450" s="220">
        <f t="shared" si="341"/>
        <v>0</v>
      </c>
      <c r="AP450" s="220">
        <f t="shared" si="342"/>
        <v>-10</v>
      </c>
      <c r="AQ450" s="221"/>
      <c r="AR450" s="219">
        <v>45094.0</v>
      </c>
      <c r="AS450" s="220" t="str">
        <f t="shared" si="354"/>
        <v/>
      </c>
      <c r="AT450" s="220"/>
      <c r="AU450" s="220">
        <f t="shared" si="343"/>
        <v>0</v>
      </c>
      <c r="AV450" s="220">
        <f t="shared" si="344"/>
        <v>-10</v>
      </c>
      <c r="AW450" s="221"/>
      <c r="AX450" s="219">
        <v>45094.0</v>
      </c>
      <c r="AY450" s="220" t="str">
        <f t="shared" si="355"/>
        <v/>
      </c>
      <c r="AZ450" s="220"/>
      <c r="BA450" s="220">
        <f t="shared" si="345"/>
        <v>0</v>
      </c>
      <c r="BB450" s="220">
        <f t="shared" si="346"/>
        <v>-10</v>
      </c>
    </row>
    <row r="451" ht="14.25" customHeight="1">
      <c r="A451" s="218"/>
      <c r="B451" s="219">
        <v>45095.0</v>
      </c>
      <c r="C451" s="220" t="str">
        <f t="shared" si="347"/>
        <v/>
      </c>
      <c r="D451" s="220"/>
      <c r="E451" s="220">
        <f t="shared" si="329"/>
        <v>0</v>
      </c>
      <c r="F451" s="220">
        <f t="shared" si="330"/>
        <v>-10</v>
      </c>
      <c r="G451" s="221"/>
      <c r="H451" s="219">
        <v>45095.0</v>
      </c>
      <c r="I451" s="220" t="str">
        <f t="shared" si="348"/>
        <v/>
      </c>
      <c r="J451" s="220"/>
      <c r="K451" s="220">
        <f t="shared" si="331"/>
        <v>0</v>
      </c>
      <c r="L451" s="220">
        <f t="shared" si="332"/>
        <v>-10</v>
      </c>
      <c r="M451" s="221"/>
      <c r="N451" s="219">
        <v>45095.0</v>
      </c>
      <c r="O451" s="220" t="str">
        <f t="shared" si="349"/>
        <v/>
      </c>
      <c r="P451" s="220"/>
      <c r="Q451" s="220">
        <f t="shared" si="333"/>
        <v>0</v>
      </c>
      <c r="R451" s="220">
        <f t="shared" si="334"/>
        <v>-10</v>
      </c>
      <c r="S451" s="221"/>
      <c r="T451" s="219">
        <v>45095.0</v>
      </c>
      <c r="U451" s="220" t="str">
        <f t="shared" si="350"/>
        <v/>
      </c>
      <c r="V451" s="220"/>
      <c r="W451" s="220">
        <f t="shared" si="335"/>
        <v>0</v>
      </c>
      <c r="X451" s="220">
        <f t="shared" si="336"/>
        <v>-10</v>
      </c>
      <c r="Y451" s="221"/>
      <c r="Z451" s="219">
        <v>45095.0</v>
      </c>
      <c r="AA451" s="220" t="str">
        <f t="shared" si="351"/>
        <v/>
      </c>
      <c r="AB451" s="220"/>
      <c r="AC451" s="220">
        <f t="shared" si="337"/>
        <v>0</v>
      </c>
      <c r="AD451" s="220">
        <f t="shared" si="338"/>
        <v>-10</v>
      </c>
      <c r="AE451" s="221"/>
      <c r="AF451" s="219">
        <v>45095.0</v>
      </c>
      <c r="AG451" s="220" t="str">
        <f t="shared" si="352"/>
        <v/>
      </c>
      <c r="AH451" s="220"/>
      <c r="AI451" s="220">
        <f t="shared" si="339"/>
        <v>0</v>
      </c>
      <c r="AJ451" s="220">
        <f t="shared" si="340"/>
        <v>-10</v>
      </c>
      <c r="AK451" s="221"/>
      <c r="AL451" s="219">
        <v>45095.0</v>
      </c>
      <c r="AM451" s="220" t="str">
        <f t="shared" si="353"/>
        <v/>
      </c>
      <c r="AN451" s="220"/>
      <c r="AO451" s="220">
        <f t="shared" si="341"/>
        <v>0</v>
      </c>
      <c r="AP451" s="220">
        <f t="shared" si="342"/>
        <v>-10</v>
      </c>
      <c r="AQ451" s="221"/>
      <c r="AR451" s="219">
        <v>45095.0</v>
      </c>
      <c r="AS451" s="220" t="str">
        <f t="shared" si="354"/>
        <v/>
      </c>
      <c r="AT451" s="220"/>
      <c r="AU451" s="220">
        <f t="shared" si="343"/>
        <v>0</v>
      </c>
      <c r="AV451" s="220">
        <f t="shared" si="344"/>
        <v>-10</v>
      </c>
      <c r="AW451" s="221"/>
      <c r="AX451" s="219">
        <v>45095.0</v>
      </c>
      <c r="AY451" s="220" t="str">
        <f t="shared" si="355"/>
        <v/>
      </c>
      <c r="AZ451" s="220"/>
      <c r="BA451" s="220">
        <f t="shared" si="345"/>
        <v>0</v>
      </c>
      <c r="BB451" s="220">
        <f t="shared" si="346"/>
        <v>-10</v>
      </c>
    </row>
    <row r="452" ht="14.25" customHeight="1">
      <c r="A452" s="218"/>
      <c r="B452" s="219">
        <v>45096.0</v>
      </c>
      <c r="C452" s="220" t="str">
        <f t="shared" si="347"/>
        <v/>
      </c>
      <c r="D452" s="220"/>
      <c r="E452" s="220">
        <f t="shared" si="329"/>
        <v>0</v>
      </c>
      <c r="F452" s="220">
        <f t="shared" si="330"/>
        <v>-10</v>
      </c>
      <c r="H452" s="219">
        <v>45096.0</v>
      </c>
      <c r="I452" s="220" t="str">
        <f t="shared" si="348"/>
        <v/>
      </c>
      <c r="J452" s="220"/>
      <c r="K452" s="220">
        <f t="shared" si="331"/>
        <v>0</v>
      </c>
      <c r="L452" s="220">
        <f t="shared" si="332"/>
        <v>-10</v>
      </c>
      <c r="N452" s="219">
        <v>45096.0</v>
      </c>
      <c r="O452" s="220" t="str">
        <f t="shared" si="349"/>
        <v/>
      </c>
      <c r="P452" s="220"/>
      <c r="Q452" s="220">
        <f t="shared" si="333"/>
        <v>0</v>
      </c>
      <c r="R452" s="220">
        <f t="shared" si="334"/>
        <v>-10</v>
      </c>
      <c r="T452" s="219">
        <v>45096.0</v>
      </c>
      <c r="U452" s="220" t="str">
        <f t="shared" si="350"/>
        <v/>
      </c>
      <c r="V452" s="220"/>
      <c r="W452" s="220">
        <f t="shared" si="335"/>
        <v>0</v>
      </c>
      <c r="X452" s="220">
        <f t="shared" si="336"/>
        <v>-10</v>
      </c>
      <c r="Z452" s="219">
        <v>45096.0</v>
      </c>
      <c r="AA452" s="220" t="str">
        <f t="shared" si="351"/>
        <v/>
      </c>
      <c r="AB452" s="220"/>
      <c r="AC452" s="220">
        <f t="shared" si="337"/>
        <v>0</v>
      </c>
      <c r="AD452" s="220">
        <f t="shared" si="338"/>
        <v>-10</v>
      </c>
      <c r="AF452" s="219">
        <v>45096.0</v>
      </c>
      <c r="AG452" s="220" t="str">
        <f t="shared" si="352"/>
        <v/>
      </c>
      <c r="AH452" s="220"/>
      <c r="AI452" s="220">
        <f t="shared" si="339"/>
        <v>0</v>
      </c>
      <c r="AJ452" s="220">
        <f t="shared" si="340"/>
        <v>-10</v>
      </c>
      <c r="AL452" s="219">
        <v>45096.0</v>
      </c>
      <c r="AM452" s="220" t="str">
        <f t="shared" si="353"/>
        <v/>
      </c>
      <c r="AN452" s="220"/>
      <c r="AO452" s="220">
        <f t="shared" si="341"/>
        <v>0</v>
      </c>
      <c r="AP452" s="220">
        <f t="shared" si="342"/>
        <v>-10</v>
      </c>
      <c r="AR452" s="219">
        <v>45096.0</v>
      </c>
      <c r="AS452" s="220" t="str">
        <f t="shared" si="354"/>
        <v/>
      </c>
      <c r="AT452" s="220"/>
      <c r="AU452" s="220">
        <f t="shared" si="343"/>
        <v>0</v>
      </c>
      <c r="AV452" s="220">
        <f t="shared" si="344"/>
        <v>-10</v>
      </c>
      <c r="AX452" s="219">
        <v>45096.0</v>
      </c>
      <c r="AY452" s="220" t="str">
        <f t="shared" si="355"/>
        <v/>
      </c>
      <c r="AZ452" s="220"/>
      <c r="BA452" s="220">
        <f t="shared" si="345"/>
        <v>0</v>
      </c>
      <c r="BB452" s="220">
        <f t="shared" si="346"/>
        <v>-10</v>
      </c>
    </row>
    <row r="453" ht="14.25" customHeight="1">
      <c r="A453" s="218"/>
      <c r="B453" s="219">
        <v>45097.0</v>
      </c>
      <c r="C453" s="220" t="str">
        <f t="shared" si="347"/>
        <v/>
      </c>
      <c r="D453" s="220"/>
      <c r="E453" s="220">
        <f t="shared" si="329"/>
        <v>0</v>
      </c>
      <c r="F453" s="220">
        <f t="shared" si="330"/>
        <v>-10</v>
      </c>
      <c r="H453" s="219">
        <v>45097.0</v>
      </c>
      <c r="I453" s="220" t="str">
        <f t="shared" si="348"/>
        <v/>
      </c>
      <c r="J453" s="220"/>
      <c r="K453" s="220">
        <f t="shared" si="331"/>
        <v>0</v>
      </c>
      <c r="L453" s="220">
        <f t="shared" si="332"/>
        <v>-10</v>
      </c>
      <c r="N453" s="219">
        <v>45097.0</v>
      </c>
      <c r="O453" s="220" t="str">
        <f t="shared" si="349"/>
        <v/>
      </c>
      <c r="P453" s="220"/>
      <c r="Q453" s="220">
        <f t="shared" si="333"/>
        <v>0</v>
      </c>
      <c r="R453" s="220">
        <f t="shared" si="334"/>
        <v>-10</v>
      </c>
      <c r="T453" s="219">
        <v>45097.0</v>
      </c>
      <c r="U453" s="220" t="str">
        <f t="shared" si="350"/>
        <v/>
      </c>
      <c r="V453" s="220"/>
      <c r="W453" s="220">
        <f t="shared" si="335"/>
        <v>0</v>
      </c>
      <c r="X453" s="220">
        <f t="shared" si="336"/>
        <v>-10</v>
      </c>
      <c r="Z453" s="219">
        <v>45097.0</v>
      </c>
      <c r="AA453" s="220" t="str">
        <f t="shared" si="351"/>
        <v/>
      </c>
      <c r="AB453" s="220"/>
      <c r="AC453" s="220">
        <f t="shared" si="337"/>
        <v>0</v>
      </c>
      <c r="AD453" s="220">
        <f t="shared" si="338"/>
        <v>-10</v>
      </c>
      <c r="AF453" s="219">
        <v>45097.0</v>
      </c>
      <c r="AG453" s="220" t="str">
        <f t="shared" si="352"/>
        <v/>
      </c>
      <c r="AH453" s="220"/>
      <c r="AI453" s="220">
        <f t="shared" si="339"/>
        <v>0</v>
      </c>
      <c r="AJ453" s="220">
        <f t="shared" si="340"/>
        <v>-10</v>
      </c>
      <c r="AL453" s="219">
        <v>45097.0</v>
      </c>
      <c r="AM453" s="220" t="str">
        <f t="shared" si="353"/>
        <v/>
      </c>
      <c r="AN453" s="220"/>
      <c r="AO453" s="220">
        <f t="shared" si="341"/>
        <v>0</v>
      </c>
      <c r="AP453" s="220">
        <f t="shared" si="342"/>
        <v>-10</v>
      </c>
      <c r="AR453" s="219">
        <v>45097.0</v>
      </c>
      <c r="AS453" s="220" t="str">
        <f t="shared" si="354"/>
        <v/>
      </c>
      <c r="AT453" s="220"/>
      <c r="AU453" s="220">
        <f t="shared" si="343"/>
        <v>0</v>
      </c>
      <c r="AV453" s="220">
        <f t="shared" si="344"/>
        <v>-10</v>
      </c>
      <c r="AX453" s="219">
        <v>45097.0</v>
      </c>
      <c r="AY453" s="220" t="str">
        <f t="shared" si="355"/>
        <v/>
      </c>
      <c r="AZ453" s="220"/>
      <c r="BA453" s="220">
        <f t="shared" si="345"/>
        <v>0</v>
      </c>
      <c r="BB453" s="220">
        <f t="shared" si="346"/>
        <v>-10</v>
      </c>
    </row>
    <row r="454" ht="14.25" customHeight="1">
      <c r="A454" s="218"/>
      <c r="B454" s="219">
        <v>45098.0</v>
      </c>
      <c r="C454" s="220" t="str">
        <f t="shared" si="347"/>
        <v/>
      </c>
      <c r="D454" s="220"/>
      <c r="E454" s="220">
        <f t="shared" si="329"/>
        <v>0</v>
      </c>
      <c r="F454" s="220">
        <f t="shared" si="330"/>
        <v>-10</v>
      </c>
      <c r="H454" s="219">
        <v>45098.0</v>
      </c>
      <c r="I454" s="220" t="str">
        <f t="shared" si="348"/>
        <v/>
      </c>
      <c r="J454" s="220"/>
      <c r="K454" s="220">
        <f t="shared" si="331"/>
        <v>0</v>
      </c>
      <c r="L454" s="220">
        <f t="shared" si="332"/>
        <v>-10</v>
      </c>
      <c r="N454" s="219">
        <v>45098.0</v>
      </c>
      <c r="O454" s="220" t="str">
        <f t="shared" si="349"/>
        <v/>
      </c>
      <c r="P454" s="220"/>
      <c r="Q454" s="220">
        <f t="shared" si="333"/>
        <v>0</v>
      </c>
      <c r="R454" s="220">
        <f t="shared" si="334"/>
        <v>-10</v>
      </c>
      <c r="T454" s="219">
        <v>45098.0</v>
      </c>
      <c r="U454" s="220" t="str">
        <f t="shared" si="350"/>
        <v/>
      </c>
      <c r="V454" s="220"/>
      <c r="W454" s="220">
        <f t="shared" si="335"/>
        <v>0</v>
      </c>
      <c r="X454" s="220">
        <f t="shared" si="336"/>
        <v>-10</v>
      </c>
      <c r="Z454" s="219">
        <v>45098.0</v>
      </c>
      <c r="AA454" s="220" t="str">
        <f t="shared" si="351"/>
        <v/>
      </c>
      <c r="AB454" s="220"/>
      <c r="AC454" s="220">
        <f t="shared" si="337"/>
        <v>0</v>
      </c>
      <c r="AD454" s="220">
        <f t="shared" si="338"/>
        <v>-10</v>
      </c>
      <c r="AF454" s="219">
        <v>45098.0</v>
      </c>
      <c r="AG454" s="220" t="str">
        <f t="shared" si="352"/>
        <v/>
      </c>
      <c r="AH454" s="220"/>
      <c r="AI454" s="220">
        <f t="shared" si="339"/>
        <v>0</v>
      </c>
      <c r="AJ454" s="220">
        <f t="shared" si="340"/>
        <v>-10</v>
      </c>
      <c r="AL454" s="219">
        <v>45098.0</v>
      </c>
      <c r="AM454" s="220" t="str">
        <f t="shared" si="353"/>
        <v/>
      </c>
      <c r="AN454" s="220"/>
      <c r="AO454" s="220">
        <f t="shared" si="341"/>
        <v>0</v>
      </c>
      <c r="AP454" s="220">
        <f t="shared" si="342"/>
        <v>-10</v>
      </c>
      <c r="AR454" s="219">
        <v>45098.0</v>
      </c>
      <c r="AS454" s="220" t="str">
        <f t="shared" si="354"/>
        <v/>
      </c>
      <c r="AT454" s="220"/>
      <c r="AU454" s="220">
        <f t="shared" si="343"/>
        <v>0</v>
      </c>
      <c r="AV454" s="220">
        <f t="shared" si="344"/>
        <v>-10</v>
      </c>
      <c r="AX454" s="219">
        <v>45098.0</v>
      </c>
      <c r="AY454" s="220" t="str">
        <f t="shared" si="355"/>
        <v/>
      </c>
      <c r="AZ454" s="220"/>
      <c r="BA454" s="220">
        <f t="shared" si="345"/>
        <v>0</v>
      </c>
      <c r="BB454" s="220">
        <f t="shared" si="346"/>
        <v>-10</v>
      </c>
    </row>
    <row r="455" ht="14.25" customHeight="1">
      <c r="A455" s="218"/>
      <c r="B455" s="219">
        <v>45099.0</v>
      </c>
      <c r="C455" s="220" t="str">
        <f t="shared" si="347"/>
        <v/>
      </c>
      <c r="D455" s="220"/>
      <c r="E455" s="220">
        <f t="shared" si="329"/>
        <v>0</v>
      </c>
      <c r="F455" s="220">
        <f t="shared" si="330"/>
        <v>-10</v>
      </c>
      <c r="H455" s="219">
        <v>45099.0</v>
      </c>
      <c r="I455" s="220" t="str">
        <f t="shared" si="348"/>
        <v/>
      </c>
      <c r="J455" s="220"/>
      <c r="K455" s="220">
        <f t="shared" si="331"/>
        <v>0</v>
      </c>
      <c r="L455" s="220">
        <f t="shared" si="332"/>
        <v>-10</v>
      </c>
      <c r="N455" s="219">
        <v>45099.0</v>
      </c>
      <c r="O455" s="220" t="str">
        <f t="shared" si="349"/>
        <v/>
      </c>
      <c r="P455" s="220"/>
      <c r="Q455" s="220">
        <f t="shared" si="333"/>
        <v>0</v>
      </c>
      <c r="R455" s="220">
        <f t="shared" si="334"/>
        <v>-10</v>
      </c>
      <c r="T455" s="219">
        <v>45099.0</v>
      </c>
      <c r="U455" s="220" t="str">
        <f t="shared" si="350"/>
        <v/>
      </c>
      <c r="V455" s="220"/>
      <c r="W455" s="220">
        <f t="shared" si="335"/>
        <v>0</v>
      </c>
      <c r="X455" s="220">
        <f t="shared" si="336"/>
        <v>-10</v>
      </c>
      <c r="Z455" s="219">
        <v>45099.0</v>
      </c>
      <c r="AA455" s="220" t="str">
        <f t="shared" si="351"/>
        <v/>
      </c>
      <c r="AB455" s="220"/>
      <c r="AC455" s="220">
        <f t="shared" si="337"/>
        <v>0</v>
      </c>
      <c r="AD455" s="220">
        <f t="shared" si="338"/>
        <v>-10</v>
      </c>
      <c r="AF455" s="219">
        <v>45099.0</v>
      </c>
      <c r="AG455" s="220" t="str">
        <f t="shared" si="352"/>
        <v/>
      </c>
      <c r="AH455" s="220"/>
      <c r="AI455" s="220">
        <f t="shared" si="339"/>
        <v>0</v>
      </c>
      <c r="AJ455" s="220">
        <f t="shared" si="340"/>
        <v>-10</v>
      </c>
      <c r="AL455" s="219">
        <v>45099.0</v>
      </c>
      <c r="AM455" s="220" t="str">
        <f t="shared" si="353"/>
        <v/>
      </c>
      <c r="AN455" s="220"/>
      <c r="AO455" s="220">
        <f t="shared" si="341"/>
        <v>0</v>
      </c>
      <c r="AP455" s="220">
        <f t="shared" si="342"/>
        <v>-10</v>
      </c>
      <c r="AR455" s="219">
        <v>45099.0</v>
      </c>
      <c r="AS455" s="220" t="str">
        <f t="shared" si="354"/>
        <v/>
      </c>
      <c r="AT455" s="220"/>
      <c r="AU455" s="220">
        <f t="shared" si="343"/>
        <v>0</v>
      </c>
      <c r="AV455" s="220">
        <f t="shared" si="344"/>
        <v>-10</v>
      </c>
      <c r="AX455" s="219">
        <v>45099.0</v>
      </c>
      <c r="AY455" s="220" t="str">
        <f t="shared" si="355"/>
        <v/>
      </c>
      <c r="AZ455" s="220"/>
      <c r="BA455" s="220">
        <f t="shared" si="345"/>
        <v>0</v>
      </c>
      <c r="BB455" s="220">
        <f t="shared" si="346"/>
        <v>-10</v>
      </c>
    </row>
    <row r="456" ht="14.25" customHeight="1">
      <c r="A456" s="218"/>
      <c r="B456" s="219">
        <v>45100.0</v>
      </c>
      <c r="C456" s="220" t="str">
        <f t="shared" si="347"/>
        <v/>
      </c>
      <c r="D456" s="220"/>
      <c r="E456" s="220">
        <f t="shared" si="329"/>
        <v>0</v>
      </c>
      <c r="F456" s="220">
        <f t="shared" si="330"/>
        <v>-10</v>
      </c>
      <c r="H456" s="219">
        <v>45100.0</v>
      </c>
      <c r="I456" s="220" t="str">
        <f t="shared" si="348"/>
        <v/>
      </c>
      <c r="J456" s="220"/>
      <c r="K456" s="220">
        <f t="shared" si="331"/>
        <v>0</v>
      </c>
      <c r="L456" s="220">
        <f t="shared" si="332"/>
        <v>-10</v>
      </c>
      <c r="N456" s="219">
        <v>45100.0</v>
      </c>
      <c r="O456" s="220" t="str">
        <f t="shared" si="349"/>
        <v/>
      </c>
      <c r="P456" s="220"/>
      <c r="Q456" s="220">
        <f t="shared" si="333"/>
        <v>0</v>
      </c>
      <c r="R456" s="220">
        <f t="shared" si="334"/>
        <v>-10</v>
      </c>
      <c r="T456" s="219">
        <v>45100.0</v>
      </c>
      <c r="U456" s="220" t="str">
        <f t="shared" si="350"/>
        <v/>
      </c>
      <c r="V456" s="220"/>
      <c r="W456" s="220">
        <f t="shared" si="335"/>
        <v>0</v>
      </c>
      <c r="X456" s="220">
        <f t="shared" si="336"/>
        <v>-10</v>
      </c>
      <c r="Z456" s="219">
        <v>45100.0</v>
      </c>
      <c r="AA456" s="220" t="str">
        <f t="shared" si="351"/>
        <v/>
      </c>
      <c r="AB456" s="220"/>
      <c r="AC456" s="220">
        <f t="shared" si="337"/>
        <v>0</v>
      </c>
      <c r="AD456" s="220">
        <f t="shared" si="338"/>
        <v>-10</v>
      </c>
      <c r="AF456" s="219">
        <v>45100.0</v>
      </c>
      <c r="AG456" s="220" t="str">
        <f t="shared" si="352"/>
        <v/>
      </c>
      <c r="AH456" s="220"/>
      <c r="AI456" s="220">
        <f t="shared" si="339"/>
        <v>0</v>
      </c>
      <c r="AJ456" s="220">
        <f t="shared" si="340"/>
        <v>-10</v>
      </c>
      <c r="AL456" s="219">
        <v>45100.0</v>
      </c>
      <c r="AM456" s="220" t="str">
        <f t="shared" si="353"/>
        <v/>
      </c>
      <c r="AN456" s="220"/>
      <c r="AO456" s="220">
        <f t="shared" si="341"/>
        <v>0</v>
      </c>
      <c r="AP456" s="220">
        <f t="shared" si="342"/>
        <v>-10</v>
      </c>
      <c r="AR456" s="219">
        <v>45100.0</v>
      </c>
      <c r="AS456" s="220" t="str">
        <f t="shared" si="354"/>
        <v/>
      </c>
      <c r="AT456" s="220"/>
      <c r="AU456" s="220">
        <f t="shared" si="343"/>
        <v>0</v>
      </c>
      <c r="AV456" s="220">
        <f t="shared" si="344"/>
        <v>-10</v>
      </c>
      <c r="AX456" s="219">
        <v>45100.0</v>
      </c>
      <c r="AY456" s="220" t="str">
        <f t="shared" si="355"/>
        <v/>
      </c>
      <c r="AZ456" s="220"/>
      <c r="BA456" s="220">
        <f t="shared" si="345"/>
        <v>0</v>
      </c>
      <c r="BB456" s="220">
        <f t="shared" si="346"/>
        <v>-10</v>
      </c>
    </row>
    <row r="457" ht="14.25" customHeight="1">
      <c r="A457" s="218"/>
      <c r="B457" s="219">
        <v>45101.0</v>
      </c>
      <c r="C457" s="220" t="str">
        <f t="shared" si="347"/>
        <v/>
      </c>
      <c r="D457" s="220"/>
      <c r="E457" s="220">
        <f t="shared" si="329"/>
        <v>0</v>
      </c>
      <c r="F457" s="220">
        <f t="shared" si="330"/>
        <v>-10</v>
      </c>
      <c r="G457" s="221"/>
      <c r="H457" s="219">
        <v>45101.0</v>
      </c>
      <c r="I457" s="220" t="str">
        <f t="shared" si="348"/>
        <v/>
      </c>
      <c r="J457" s="220"/>
      <c r="K457" s="220">
        <f t="shared" si="331"/>
        <v>0</v>
      </c>
      <c r="L457" s="220">
        <f t="shared" si="332"/>
        <v>-10</v>
      </c>
      <c r="M457" s="221"/>
      <c r="N457" s="219">
        <v>45101.0</v>
      </c>
      <c r="O457" s="220" t="str">
        <f t="shared" si="349"/>
        <v/>
      </c>
      <c r="P457" s="220"/>
      <c r="Q457" s="220">
        <f t="shared" si="333"/>
        <v>0</v>
      </c>
      <c r="R457" s="220">
        <f t="shared" si="334"/>
        <v>-10</v>
      </c>
      <c r="S457" s="221"/>
      <c r="T457" s="219">
        <v>45101.0</v>
      </c>
      <c r="U457" s="220" t="str">
        <f t="shared" si="350"/>
        <v/>
      </c>
      <c r="V457" s="220"/>
      <c r="W457" s="220">
        <f t="shared" si="335"/>
        <v>0</v>
      </c>
      <c r="X457" s="220">
        <f t="shared" si="336"/>
        <v>-10</v>
      </c>
      <c r="Y457" s="221"/>
      <c r="Z457" s="219">
        <v>45101.0</v>
      </c>
      <c r="AA457" s="220" t="str">
        <f t="shared" si="351"/>
        <v/>
      </c>
      <c r="AB457" s="220"/>
      <c r="AC457" s="220">
        <f t="shared" si="337"/>
        <v>0</v>
      </c>
      <c r="AD457" s="220">
        <f t="shared" si="338"/>
        <v>-10</v>
      </c>
      <c r="AE457" s="221"/>
      <c r="AF457" s="219">
        <v>45101.0</v>
      </c>
      <c r="AG457" s="220" t="str">
        <f t="shared" si="352"/>
        <v/>
      </c>
      <c r="AH457" s="220"/>
      <c r="AI457" s="220">
        <f t="shared" si="339"/>
        <v>0</v>
      </c>
      <c r="AJ457" s="220">
        <f t="shared" si="340"/>
        <v>-10</v>
      </c>
      <c r="AK457" s="221"/>
      <c r="AL457" s="219">
        <v>45101.0</v>
      </c>
      <c r="AM457" s="220" t="str">
        <f t="shared" si="353"/>
        <v/>
      </c>
      <c r="AN457" s="220"/>
      <c r="AO457" s="220">
        <f t="shared" si="341"/>
        <v>0</v>
      </c>
      <c r="AP457" s="220">
        <f t="shared" si="342"/>
        <v>-10</v>
      </c>
      <c r="AQ457" s="221"/>
      <c r="AR457" s="219">
        <v>45101.0</v>
      </c>
      <c r="AS457" s="220" t="str">
        <f t="shared" si="354"/>
        <v/>
      </c>
      <c r="AT457" s="220"/>
      <c r="AU457" s="220">
        <f t="shared" si="343"/>
        <v>0</v>
      </c>
      <c r="AV457" s="220">
        <f t="shared" si="344"/>
        <v>-10</v>
      </c>
      <c r="AW457" s="221"/>
      <c r="AX457" s="219">
        <v>45101.0</v>
      </c>
      <c r="AY457" s="220" t="str">
        <f t="shared" si="355"/>
        <v/>
      </c>
      <c r="AZ457" s="220"/>
      <c r="BA457" s="220">
        <f t="shared" si="345"/>
        <v>0</v>
      </c>
      <c r="BB457" s="220">
        <f t="shared" si="346"/>
        <v>-10</v>
      </c>
    </row>
    <row r="458" ht="14.25" customHeight="1">
      <c r="A458" s="218"/>
      <c r="B458" s="219">
        <v>45102.0</v>
      </c>
      <c r="C458" s="220" t="str">
        <f t="shared" si="347"/>
        <v/>
      </c>
      <c r="D458" s="220"/>
      <c r="E458" s="220">
        <f t="shared" si="329"/>
        <v>0</v>
      </c>
      <c r="F458" s="220">
        <f t="shared" si="330"/>
        <v>-10</v>
      </c>
      <c r="G458" s="221"/>
      <c r="H458" s="219">
        <v>45102.0</v>
      </c>
      <c r="I458" s="220" t="str">
        <f t="shared" si="348"/>
        <v/>
      </c>
      <c r="J458" s="220"/>
      <c r="K458" s="220">
        <f t="shared" si="331"/>
        <v>0</v>
      </c>
      <c r="L458" s="220">
        <f t="shared" si="332"/>
        <v>-10</v>
      </c>
      <c r="M458" s="221"/>
      <c r="N458" s="219">
        <v>45102.0</v>
      </c>
      <c r="O458" s="220" t="str">
        <f t="shared" si="349"/>
        <v/>
      </c>
      <c r="P458" s="220"/>
      <c r="Q458" s="220">
        <f t="shared" si="333"/>
        <v>0</v>
      </c>
      <c r="R458" s="220">
        <f t="shared" si="334"/>
        <v>-10</v>
      </c>
      <c r="S458" s="221"/>
      <c r="T458" s="219">
        <v>45102.0</v>
      </c>
      <c r="U458" s="220" t="str">
        <f t="shared" si="350"/>
        <v/>
      </c>
      <c r="V458" s="220"/>
      <c r="W458" s="220">
        <f t="shared" si="335"/>
        <v>0</v>
      </c>
      <c r="X458" s="220">
        <f t="shared" si="336"/>
        <v>-10</v>
      </c>
      <c r="Y458" s="221"/>
      <c r="Z458" s="219">
        <v>45102.0</v>
      </c>
      <c r="AA458" s="220" t="str">
        <f t="shared" si="351"/>
        <v/>
      </c>
      <c r="AB458" s="220"/>
      <c r="AC458" s="220">
        <f t="shared" si="337"/>
        <v>0</v>
      </c>
      <c r="AD458" s="220">
        <f t="shared" si="338"/>
        <v>-10</v>
      </c>
      <c r="AE458" s="221"/>
      <c r="AF458" s="219">
        <v>45102.0</v>
      </c>
      <c r="AG458" s="220" t="str">
        <f t="shared" si="352"/>
        <v/>
      </c>
      <c r="AH458" s="220"/>
      <c r="AI458" s="220">
        <f t="shared" si="339"/>
        <v>0</v>
      </c>
      <c r="AJ458" s="220">
        <f t="shared" si="340"/>
        <v>-10</v>
      </c>
      <c r="AK458" s="221"/>
      <c r="AL458" s="219">
        <v>45102.0</v>
      </c>
      <c r="AM458" s="220" t="str">
        <f t="shared" si="353"/>
        <v/>
      </c>
      <c r="AN458" s="220"/>
      <c r="AO458" s="220">
        <f t="shared" si="341"/>
        <v>0</v>
      </c>
      <c r="AP458" s="220">
        <f t="shared" si="342"/>
        <v>-10</v>
      </c>
      <c r="AQ458" s="221"/>
      <c r="AR458" s="219">
        <v>45102.0</v>
      </c>
      <c r="AS458" s="220" t="str">
        <f t="shared" si="354"/>
        <v/>
      </c>
      <c r="AT458" s="220"/>
      <c r="AU458" s="220">
        <f t="shared" si="343"/>
        <v>0</v>
      </c>
      <c r="AV458" s="220">
        <f t="shared" si="344"/>
        <v>-10</v>
      </c>
      <c r="AW458" s="221"/>
      <c r="AX458" s="219">
        <v>45102.0</v>
      </c>
      <c r="AY458" s="220" t="str">
        <f t="shared" si="355"/>
        <v/>
      </c>
      <c r="AZ458" s="220"/>
      <c r="BA458" s="220">
        <f t="shared" si="345"/>
        <v>0</v>
      </c>
      <c r="BB458" s="220">
        <f t="shared" si="346"/>
        <v>-10</v>
      </c>
    </row>
    <row r="459" ht="14.25" customHeight="1">
      <c r="A459" s="218"/>
      <c r="B459" s="219">
        <v>45103.0</v>
      </c>
      <c r="C459" s="220" t="str">
        <f t="shared" si="347"/>
        <v/>
      </c>
      <c r="D459" s="220"/>
      <c r="E459" s="220">
        <f t="shared" si="329"/>
        <v>0</v>
      </c>
      <c r="F459" s="220">
        <f t="shared" si="330"/>
        <v>-10</v>
      </c>
      <c r="H459" s="219">
        <v>45103.0</v>
      </c>
      <c r="I459" s="220" t="str">
        <f t="shared" si="348"/>
        <v/>
      </c>
      <c r="J459" s="220"/>
      <c r="K459" s="220">
        <f t="shared" si="331"/>
        <v>0</v>
      </c>
      <c r="L459" s="220">
        <f t="shared" si="332"/>
        <v>-10</v>
      </c>
      <c r="N459" s="219">
        <v>45103.0</v>
      </c>
      <c r="O459" s="220" t="str">
        <f t="shared" si="349"/>
        <v/>
      </c>
      <c r="P459" s="220"/>
      <c r="Q459" s="220">
        <f t="shared" si="333"/>
        <v>0</v>
      </c>
      <c r="R459" s="220">
        <f t="shared" si="334"/>
        <v>-10</v>
      </c>
      <c r="T459" s="219">
        <v>45103.0</v>
      </c>
      <c r="U459" s="220" t="str">
        <f t="shared" si="350"/>
        <v/>
      </c>
      <c r="V459" s="220"/>
      <c r="W459" s="220">
        <f t="shared" si="335"/>
        <v>0</v>
      </c>
      <c r="X459" s="220">
        <f t="shared" si="336"/>
        <v>-10</v>
      </c>
      <c r="Z459" s="219">
        <v>45103.0</v>
      </c>
      <c r="AA459" s="220" t="str">
        <f t="shared" si="351"/>
        <v/>
      </c>
      <c r="AB459" s="220"/>
      <c r="AC459" s="220">
        <f t="shared" si="337"/>
        <v>0</v>
      </c>
      <c r="AD459" s="220">
        <f t="shared" si="338"/>
        <v>-10</v>
      </c>
      <c r="AF459" s="219">
        <v>45103.0</v>
      </c>
      <c r="AG459" s="220" t="str">
        <f t="shared" si="352"/>
        <v/>
      </c>
      <c r="AH459" s="220"/>
      <c r="AI459" s="220">
        <f t="shared" si="339"/>
        <v>0</v>
      </c>
      <c r="AJ459" s="220">
        <f t="shared" si="340"/>
        <v>-10</v>
      </c>
      <c r="AL459" s="219">
        <v>45103.0</v>
      </c>
      <c r="AM459" s="220" t="str">
        <f t="shared" si="353"/>
        <v/>
      </c>
      <c r="AN459" s="220"/>
      <c r="AO459" s="220">
        <f t="shared" si="341"/>
        <v>0</v>
      </c>
      <c r="AP459" s="220">
        <f t="shared" si="342"/>
        <v>-10</v>
      </c>
      <c r="AR459" s="219">
        <v>45103.0</v>
      </c>
      <c r="AS459" s="220" t="str">
        <f t="shared" si="354"/>
        <v/>
      </c>
      <c r="AT459" s="220"/>
      <c r="AU459" s="220">
        <f t="shared" si="343"/>
        <v>0</v>
      </c>
      <c r="AV459" s="220">
        <f t="shared" si="344"/>
        <v>-10</v>
      </c>
      <c r="AX459" s="219">
        <v>45103.0</v>
      </c>
      <c r="AY459" s="220" t="str">
        <f t="shared" si="355"/>
        <v/>
      </c>
      <c r="AZ459" s="220"/>
      <c r="BA459" s="220">
        <f t="shared" si="345"/>
        <v>0</v>
      </c>
      <c r="BB459" s="220">
        <f t="shared" si="346"/>
        <v>-10</v>
      </c>
    </row>
    <row r="460" ht="14.25" customHeight="1">
      <c r="A460" s="218"/>
      <c r="B460" s="219">
        <v>45104.0</v>
      </c>
      <c r="C460" s="220" t="str">
        <f t="shared" si="347"/>
        <v/>
      </c>
      <c r="D460" s="220"/>
      <c r="E460" s="220">
        <f t="shared" si="329"/>
        <v>0</v>
      </c>
      <c r="F460" s="220">
        <f t="shared" si="330"/>
        <v>-10</v>
      </c>
      <c r="H460" s="219">
        <v>45104.0</v>
      </c>
      <c r="I460" s="220" t="str">
        <f t="shared" si="348"/>
        <v/>
      </c>
      <c r="J460" s="220"/>
      <c r="K460" s="220">
        <f t="shared" si="331"/>
        <v>0</v>
      </c>
      <c r="L460" s="220">
        <f t="shared" si="332"/>
        <v>-10</v>
      </c>
      <c r="N460" s="219">
        <v>45104.0</v>
      </c>
      <c r="O460" s="220" t="str">
        <f t="shared" si="349"/>
        <v/>
      </c>
      <c r="P460" s="220"/>
      <c r="Q460" s="220">
        <f t="shared" si="333"/>
        <v>0</v>
      </c>
      <c r="R460" s="220">
        <f t="shared" si="334"/>
        <v>-10</v>
      </c>
      <c r="T460" s="219">
        <v>45104.0</v>
      </c>
      <c r="U460" s="220" t="str">
        <f t="shared" si="350"/>
        <v/>
      </c>
      <c r="V460" s="220"/>
      <c r="W460" s="220">
        <f t="shared" si="335"/>
        <v>0</v>
      </c>
      <c r="X460" s="220">
        <f t="shared" si="336"/>
        <v>-10</v>
      </c>
      <c r="Z460" s="219">
        <v>45104.0</v>
      </c>
      <c r="AA460" s="220" t="str">
        <f t="shared" si="351"/>
        <v/>
      </c>
      <c r="AB460" s="220"/>
      <c r="AC460" s="220">
        <f t="shared" si="337"/>
        <v>0</v>
      </c>
      <c r="AD460" s="220">
        <f t="shared" si="338"/>
        <v>-10</v>
      </c>
      <c r="AF460" s="219">
        <v>45104.0</v>
      </c>
      <c r="AG460" s="220" t="str">
        <f t="shared" si="352"/>
        <v/>
      </c>
      <c r="AH460" s="220"/>
      <c r="AI460" s="220">
        <f t="shared" si="339"/>
        <v>0</v>
      </c>
      <c r="AJ460" s="220">
        <f t="shared" si="340"/>
        <v>-10</v>
      </c>
      <c r="AL460" s="219">
        <v>45104.0</v>
      </c>
      <c r="AM460" s="220" t="str">
        <f t="shared" si="353"/>
        <v/>
      </c>
      <c r="AN460" s="220"/>
      <c r="AO460" s="220">
        <f t="shared" si="341"/>
        <v>0</v>
      </c>
      <c r="AP460" s="220">
        <f t="shared" si="342"/>
        <v>-10</v>
      </c>
      <c r="AR460" s="219">
        <v>45104.0</v>
      </c>
      <c r="AS460" s="220" t="str">
        <f t="shared" si="354"/>
        <v/>
      </c>
      <c r="AT460" s="220"/>
      <c r="AU460" s="220">
        <f t="shared" si="343"/>
        <v>0</v>
      </c>
      <c r="AV460" s="220">
        <f t="shared" si="344"/>
        <v>-10</v>
      </c>
      <c r="AX460" s="219">
        <v>45104.0</v>
      </c>
      <c r="AY460" s="220" t="str">
        <f t="shared" si="355"/>
        <v/>
      </c>
      <c r="AZ460" s="220"/>
      <c r="BA460" s="220">
        <f t="shared" si="345"/>
        <v>0</v>
      </c>
      <c r="BB460" s="220">
        <f t="shared" si="346"/>
        <v>-10</v>
      </c>
    </row>
    <row r="461" ht="14.25" customHeight="1">
      <c r="A461" s="218"/>
      <c r="B461" s="219">
        <v>45105.0</v>
      </c>
      <c r="C461" s="220" t="str">
        <f t="shared" si="347"/>
        <v/>
      </c>
      <c r="D461" s="220"/>
      <c r="E461" s="220">
        <f t="shared" si="329"/>
        <v>0</v>
      </c>
      <c r="F461" s="220">
        <f t="shared" si="330"/>
        <v>-10</v>
      </c>
      <c r="H461" s="219">
        <v>45105.0</v>
      </c>
      <c r="I461" s="220" t="str">
        <f t="shared" si="348"/>
        <v/>
      </c>
      <c r="J461" s="220"/>
      <c r="K461" s="220">
        <f t="shared" si="331"/>
        <v>0</v>
      </c>
      <c r="L461" s="220">
        <f t="shared" si="332"/>
        <v>-10</v>
      </c>
      <c r="N461" s="219">
        <v>45105.0</v>
      </c>
      <c r="O461" s="220" t="str">
        <f t="shared" si="349"/>
        <v/>
      </c>
      <c r="P461" s="220"/>
      <c r="Q461" s="220">
        <f t="shared" si="333"/>
        <v>0</v>
      </c>
      <c r="R461" s="220">
        <f t="shared" si="334"/>
        <v>-10</v>
      </c>
      <c r="T461" s="219">
        <v>45105.0</v>
      </c>
      <c r="U461" s="220" t="str">
        <f t="shared" si="350"/>
        <v/>
      </c>
      <c r="V461" s="220"/>
      <c r="W461" s="220">
        <f t="shared" si="335"/>
        <v>0</v>
      </c>
      <c r="X461" s="220">
        <f t="shared" si="336"/>
        <v>-10</v>
      </c>
      <c r="Z461" s="219">
        <v>45105.0</v>
      </c>
      <c r="AA461" s="220" t="str">
        <f t="shared" si="351"/>
        <v/>
      </c>
      <c r="AB461" s="220"/>
      <c r="AC461" s="220">
        <f t="shared" si="337"/>
        <v>0</v>
      </c>
      <c r="AD461" s="220">
        <f t="shared" si="338"/>
        <v>-10</v>
      </c>
      <c r="AF461" s="219">
        <v>45105.0</v>
      </c>
      <c r="AG461" s="220" t="str">
        <f t="shared" si="352"/>
        <v/>
      </c>
      <c r="AH461" s="220"/>
      <c r="AI461" s="220">
        <f t="shared" si="339"/>
        <v>0</v>
      </c>
      <c r="AJ461" s="220">
        <f t="shared" si="340"/>
        <v>-10</v>
      </c>
      <c r="AL461" s="219">
        <v>45105.0</v>
      </c>
      <c r="AM461" s="220" t="str">
        <f t="shared" si="353"/>
        <v/>
      </c>
      <c r="AN461" s="220"/>
      <c r="AO461" s="220">
        <f t="shared" si="341"/>
        <v>0</v>
      </c>
      <c r="AP461" s="220">
        <f t="shared" si="342"/>
        <v>-10</v>
      </c>
      <c r="AR461" s="219">
        <v>45105.0</v>
      </c>
      <c r="AS461" s="220" t="str">
        <f t="shared" si="354"/>
        <v/>
      </c>
      <c r="AT461" s="220"/>
      <c r="AU461" s="220">
        <f t="shared" si="343"/>
        <v>0</v>
      </c>
      <c r="AV461" s="220">
        <f t="shared" si="344"/>
        <v>-10</v>
      </c>
      <c r="AX461" s="219">
        <v>45105.0</v>
      </c>
      <c r="AY461" s="220" t="str">
        <f t="shared" si="355"/>
        <v/>
      </c>
      <c r="AZ461" s="220"/>
      <c r="BA461" s="220">
        <f t="shared" si="345"/>
        <v>0</v>
      </c>
      <c r="BB461" s="220">
        <f t="shared" si="346"/>
        <v>-10</v>
      </c>
    </row>
    <row r="462" ht="14.25" customHeight="1">
      <c r="A462" s="218"/>
      <c r="B462" s="219">
        <v>45106.0</v>
      </c>
      <c r="C462" s="220" t="str">
        <f t="shared" si="347"/>
        <v/>
      </c>
      <c r="D462" s="220"/>
      <c r="E462" s="220">
        <f t="shared" si="329"/>
        <v>0</v>
      </c>
      <c r="F462" s="220">
        <f t="shared" si="330"/>
        <v>-10</v>
      </c>
      <c r="H462" s="219">
        <v>45106.0</v>
      </c>
      <c r="I462" s="220" t="str">
        <f t="shared" si="348"/>
        <v/>
      </c>
      <c r="J462" s="220"/>
      <c r="K462" s="220">
        <f t="shared" si="331"/>
        <v>0</v>
      </c>
      <c r="L462" s="220">
        <f t="shared" si="332"/>
        <v>-10</v>
      </c>
      <c r="N462" s="219">
        <v>45106.0</v>
      </c>
      <c r="O462" s="220" t="str">
        <f t="shared" si="349"/>
        <v/>
      </c>
      <c r="P462" s="220"/>
      <c r="Q462" s="220">
        <f t="shared" si="333"/>
        <v>0</v>
      </c>
      <c r="R462" s="220">
        <f t="shared" si="334"/>
        <v>-10</v>
      </c>
      <c r="T462" s="219">
        <v>45106.0</v>
      </c>
      <c r="U462" s="220" t="str">
        <f t="shared" si="350"/>
        <v/>
      </c>
      <c r="V462" s="220"/>
      <c r="W462" s="220">
        <f t="shared" si="335"/>
        <v>0</v>
      </c>
      <c r="X462" s="220">
        <f t="shared" si="336"/>
        <v>-10</v>
      </c>
      <c r="Z462" s="219">
        <v>45106.0</v>
      </c>
      <c r="AA462" s="220" t="str">
        <f t="shared" si="351"/>
        <v/>
      </c>
      <c r="AB462" s="220"/>
      <c r="AC462" s="220">
        <f t="shared" si="337"/>
        <v>0</v>
      </c>
      <c r="AD462" s="220">
        <f t="shared" si="338"/>
        <v>-10</v>
      </c>
      <c r="AF462" s="219">
        <v>45106.0</v>
      </c>
      <c r="AG462" s="220" t="str">
        <f t="shared" si="352"/>
        <v/>
      </c>
      <c r="AH462" s="220"/>
      <c r="AI462" s="220">
        <f t="shared" si="339"/>
        <v>0</v>
      </c>
      <c r="AJ462" s="220">
        <f t="shared" si="340"/>
        <v>-10</v>
      </c>
      <c r="AL462" s="219">
        <v>45106.0</v>
      </c>
      <c r="AM462" s="220" t="str">
        <f t="shared" si="353"/>
        <v/>
      </c>
      <c r="AN462" s="220"/>
      <c r="AO462" s="220">
        <f t="shared" si="341"/>
        <v>0</v>
      </c>
      <c r="AP462" s="220">
        <f t="shared" si="342"/>
        <v>-10</v>
      </c>
      <c r="AR462" s="219">
        <v>45106.0</v>
      </c>
      <c r="AS462" s="220" t="str">
        <f t="shared" si="354"/>
        <v/>
      </c>
      <c r="AT462" s="220"/>
      <c r="AU462" s="220">
        <f t="shared" si="343"/>
        <v>0</v>
      </c>
      <c r="AV462" s="220">
        <f t="shared" si="344"/>
        <v>-10</v>
      </c>
      <c r="AX462" s="219">
        <v>45106.0</v>
      </c>
      <c r="AY462" s="220" t="str">
        <f t="shared" si="355"/>
        <v/>
      </c>
      <c r="AZ462" s="220"/>
      <c r="BA462" s="220">
        <f t="shared" si="345"/>
        <v>0</v>
      </c>
      <c r="BB462" s="220">
        <f t="shared" si="346"/>
        <v>-10</v>
      </c>
    </row>
    <row r="463" ht="14.25" customHeight="1">
      <c r="A463" s="218"/>
      <c r="B463" s="219">
        <v>45107.0</v>
      </c>
      <c r="C463" s="220" t="str">
        <f t="shared" si="347"/>
        <v/>
      </c>
      <c r="D463" s="220"/>
      <c r="E463" s="220">
        <f t="shared" si="329"/>
        <v>0</v>
      </c>
      <c r="F463" s="220">
        <f t="shared" si="330"/>
        <v>-10</v>
      </c>
      <c r="H463" s="219">
        <v>45107.0</v>
      </c>
      <c r="I463" s="220" t="str">
        <f t="shared" si="348"/>
        <v/>
      </c>
      <c r="J463" s="220"/>
      <c r="K463" s="220">
        <f t="shared" si="331"/>
        <v>0</v>
      </c>
      <c r="L463" s="220">
        <f t="shared" si="332"/>
        <v>-10</v>
      </c>
      <c r="N463" s="219">
        <v>45107.0</v>
      </c>
      <c r="O463" s="220" t="str">
        <f t="shared" si="349"/>
        <v/>
      </c>
      <c r="P463" s="220"/>
      <c r="Q463" s="220">
        <f t="shared" si="333"/>
        <v>0</v>
      </c>
      <c r="R463" s="220">
        <f t="shared" si="334"/>
        <v>-10</v>
      </c>
      <c r="T463" s="219">
        <v>45107.0</v>
      </c>
      <c r="U463" s="220" t="str">
        <f t="shared" si="350"/>
        <v/>
      </c>
      <c r="V463" s="220"/>
      <c r="W463" s="220">
        <f t="shared" si="335"/>
        <v>0</v>
      </c>
      <c r="X463" s="220">
        <f t="shared" si="336"/>
        <v>-10</v>
      </c>
      <c r="Z463" s="219">
        <v>45107.0</v>
      </c>
      <c r="AA463" s="220" t="str">
        <f t="shared" si="351"/>
        <v/>
      </c>
      <c r="AB463" s="220"/>
      <c r="AC463" s="220">
        <f t="shared" si="337"/>
        <v>0</v>
      </c>
      <c r="AD463" s="220">
        <f t="shared" si="338"/>
        <v>-10</v>
      </c>
      <c r="AF463" s="219">
        <v>45107.0</v>
      </c>
      <c r="AG463" s="220" t="str">
        <f t="shared" si="352"/>
        <v/>
      </c>
      <c r="AH463" s="220"/>
      <c r="AI463" s="220">
        <f t="shared" si="339"/>
        <v>0</v>
      </c>
      <c r="AJ463" s="220">
        <f t="shared" si="340"/>
        <v>-10</v>
      </c>
      <c r="AL463" s="219">
        <v>45107.0</v>
      </c>
      <c r="AM463" s="220" t="str">
        <f t="shared" si="353"/>
        <v/>
      </c>
      <c r="AN463" s="220"/>
      <c r="AO463" s="220">
        <f t="shared" si="341"/>
        <v>0</v>
      </c>
      <c r="AP463" s="220">
        <f t="shared" si="342"/>
        <v>-10</v>
      </c>
      <c r="AR463" s="219">
        <v>45107.0</v>
      </c>
      <c r="AS463" s="220" t="str">
        <f t="shared" si="354"/>
        <v/>
      </c>
      <c r="AT463" s="220"/>
      <c r="AU463" s="220">
        <f t="shared" si="343"/>
        <v>0</v>
      </c>
      <c r="AV463" s="220">
        <f t="shared" si="344"/>
        <v>-10</v>
      </c>
      <c r="AX463" s="219">
        <v>45107.0</v>
      </c>
      <c r="AY463" s="220" t="str">
        <f t="shared" si="355"/>
        <v/>
      </c>
      <c r="AZ463" s="220"/>
      <c r="BA463" s="220">
        <f t="shared" si="345"/>
        <v>0</v>
      </c>
      <c r="BB463" s="220">
        <f t="shared" si="346"/>
        <v>-10</v>
      </c>
    </row>
    <row r="464" ht="14.25" customHeight="1">
      <c r="A464" s="218"/>
      <c r="B464" s="229"/>
      <c r="C464" s="220" t="str">
        <f t="shared" si="347"/>
        <v/>
      </c>
      <c r="D464" s="220"/>
      <c r="E464" s="220">
        <f t="shared" si="329"/>
        <v>0</v>
      </c>
      <c r="F464" s="220">
        <f t="shared" si="330"/>
        <v>-10</v>
      </c>
      <c r="H464" s="229"/>
      <c r="I464" s="220" t="str">
        <f t="shared" si="348"/>
        <v/>
      </c>
      <c r="J464" s="220"/>
      <c r="K464" s="220">
        <f t="shared" si="331"/>
        <v>0</v>
      </c>
      <c r="L464" s="220">
        <f t="shared" si="332"/>
        <v>-10</v>
      </c>
      <c r="N464" s="229"/>
      <c r="O464" s="220" t="str">
        <f t="shared" si="349"/>
        <v/>
      </c>
      <c r="P464" s="220"/>
      <c r="Q464" s="220">
        <f t="shared" si="333"/>
        <v>0</v>
      </c>
      <c r="R464" s="220">
        <f t="shared" si="334"/>
        <v>-10</v>
      </c>
      <c r="T464" s="229"/>
      <c r="U464" s="220" t="str">
        <f t="shared" si="350"/>
        <v/>
      </c>
      <c r="V464" s="220"/>
      <c r="W464" s="220">
        <f t="shared" si="335"/>
        <v>0</v>
      </c>
      <c r="X464" s="220">
        <f t="shared" si="336"/>
        <v>-10</v>
      </c>
      <c r="Z464" s="229"/>
      <c r="AA464" s="220" t="str">
        <f t="shared" si="351"/>
        <v/>
      </c>
      <c r="AB464" s="220"/>
      <c r="AC464" s="220">
        <f t="shared" si="337"/>
        <v>0</v>
      </c>
      <c r="AD464" s="220">
        <f t="shared" si="338"/>
        <v>-10</v>
      </c>
      <c r="AF464" s="229"/>
      <c r="AG464" s="220" t="str">
        <f t="shared" si="352"/>
        <v/>
      </c>
      <c r="AH464" s="220"/>
      <c r="AI464" s="220">
        <f t="shared" si="339"/>
        <v>0</v>
      </c>
      <c r="AJ464" s="220">
        <f t="shared" si="340"/>
        <v>-10</v>
      </c>
      <c r="AL464" s="229"/>
      <c r="AM464" s="220" t="str">
        <f t="shared" si="353"/>
        <v/>
      </c>
      <c r="AN464" s="220"/>
      <c r="AO464" s="220">
        <f t="shared" si="341"/>
        <v>0</v>
      </c>
      <c r="AP464" s="220">
        <f t="shared" si="342"/>
        <v>-10</v>
      </c>
      <c r="AR464" s="229"/>
      <c r="AS464" s="220" t="str">
        <f t="shared" si="354"/>
        <v/>
      </c>
      <c r="AT464" s="220"/>
      <c r="AU464" s="220">
        <f t="shared" si="343"/>
        <v>0</v>
      </c>
      <c r="AV464" s="220">
        <f t="shared" si="344"/>
        <v>-10</v>
      </c>
      <c r="AX464" s="229"/>
      <c r="AY464" s="220" t="str">
        <f t="shared" si="355"/>
        <v/>
      </c>
      <c r="AZ464" s="220"/>
      <c r="BA464" s="220">
        <f t="shared" si="345"/>
        <v>0</v>
      </c>
      <c r="BB464" s="220">
        <f t="shared" si="346"/>
        <v>-10</v>
      </c>
    </row>
    <row r="465" ht="14.25" customHeight="1">
      <c r="A465" s="222"/>
      <c r="B465" s="216"/>
      <c r="C465" s="223" t="s">
        <v>221</v>
      </c>
      <c r="D465" s="223"/>
      <c r="E465" s="216">
        <f>SUM(E434:E464)</f>
        <v>0</v>
      </c>
      <c r="F465" s="216">
        <f t="shared" si="330"/>
        <v>-10</v>
      </c>
      <c r="H465" s="216"/>
      <c r="I465" s="223" t="s">
        <v>221</v>
      </c>
      <c r="J465" s="223"/>
      <c r="K465" s="216">
        <f>SUM(K434:K464)</f>
        <v>0</v>
      </c>
      <c r="L465" s="216">
        <f t="shared" si="332"/>
        <v>-10</v>
      </c>
      <c r="N465" s="216"/>
      <c r="O465" s="223" t="s">
        <v>221</v>
      </c>
      <c r="P465" s="223"/>
      <c r="Q465" s="216">
        <f>SUM(Q434:Q464)</f>
        <v>0</v>
      </c>
      <c r="R465" s="216">
        <f t="shared" si="334"/>
        <v>-10</v>
      </c>
      <c r="T465" s="216"/>
      <c r="U465" s="223" t="s">
        <v>221</v>
      </c>
      <c r="V465" s="223"/>
      <c r="W465" s="216">
        <f>SUM(W434:W464)</f>
        <v>0</v>
      </c>
      <c r="X465" s="216">
        <f t="shared" si="336"/>
        <v>-10</v>
      </c>
      <c r="Z465" s="216"/>
      <c r="AA465" s="223" t="s">
        <v>221</v>
      </c>
      <c r="AB465" s="223"/>
      <c r="AC465" s="216">
        <f>SUM(AC434:AC464)</f>
        <v>0</v>
      </c>
      <c r="AD465" s="216">
        <f t="shared" si="338"/>
        <v>-10</v>
      </c>
      <c r="AF465" s="216"/>
      <c r="AG465" s="223" t="s">
        <v>221</v>
      </c>
      <c r="AH465" s="223"/>
      <c r="AI465" s="216">
        <f>SUM(AI434:AI464)</f>
        <v>0</v>
      </c>
      <c r="AJ465" s="216">
        <f t="shared" si="340"/>
        <v>-10</v>
      </c>
      <c r="AL465" s="216"/>
      <c r="AM465" s="223" t="s">
        <v>221</v>
      </c>
      <c r="AN465" s="223"/>
      <c r="AO465" s="216">
        <f>SUM(AO434:AO464)</f>
        <v>0</v>
      </c>
      <c r="AP465" s="216">
        <f t="shared" si="342"/>
        <v>-10</v>
      </c>
      <c r="AR465" s="216"/>
      <c r="AS465" s="223" t="s">
        <v>221</v>
      </c>
      <c r="AT465" s="223"/>
      <c r="AU465" s="216">
        <f>SUM(AU434:AU464)</f>
        <v>0</v>
      </c>
      <c r="AV465" s="216">
        <f t="shared" si="344"/>
        <v>-10</v>
      </c>
      <c r="AX465" s="216"/>
      <c r="AY465" s="223" t="s">
        <v>221</v>
      </c>
      <c r="AZ465" s="223"/>
      <c r="BA465" s="216">
        <f>SUM(BA434:BA464)</f>
        <v>0</v>
      </c>
      <c r="BB465" s="216">
        <f t="shared" si="346"/>
        <v>-10</v>
      </c>
    </row>
    <row r="466" ht="14.25" customHeight="1"/>
    <row r="467" ht="14.25" customHeight="1"/>
    <row r="468" ht="14.25" customHeight="1"/>
    <row r="469" ht="18.0" customHeight="1">
      <c r="A469" s="215" t="s">
        <v>213</v>
      </c>
      <c r="B469" s="206" t="s">
        <v>18</v>
      </c>
      <c r="C469" s="207"/>
      <c r="D469" s="207"/>
      <c r="E469" s="207"/>
      <c r="F469" s="208"/>
      <c r="G469" s="209"/>
      <c r="H469" s="206" t="s">
        <v>20</v>
      </c>
      <c r="I469" s="207"/>
      <c r="J469" s="207"/>
      <c r="K469" s="207"/>
      <c r="L469" s="208"/>
      <c r="M469" s="209"/>
      <c r="N469" s="206" t="s">
        <v>142</v>
      </c>
      <c r="O469" s="207"/>
      <c r="P469" s="207"/>
      <c r="Q469" s="207"/>
      <c r="R469" s="208"/>
      <c r="S469" s="209"/>
      <c r="T469" s="206" t="s">
        <v>95</v>
      </c>
      <c r="U469" s="207"/>
      <c r="V469" s="207"/>
      <c r="W469" s="207"/>
      <c r="X469" s="208"/>
      <c r="Y469" s="209"/>
      <c r="Z469" s="206" t="s">
        <v>32</v>
      </c>
      <c r="AA469" s="207"/>
      <c r="AB469" s="207"/>
      <c r="AC469" s="207"/>
      <c r="AD469" s="208"/>
      <c r="AE469" s="209"/>
      <c r="AF469" s="206" t="s">
        <v>27</v>
      </c>
      <c r="AG469" s="207"/>
      <c r="AH469" s="207"/>
      <c r="AI469" s="207"/>
      <c r="AJ469" s="208"/>
      <c r="AK469" s="209"/>
      <c r="AL469" s="206" t="s">
        <v>34</v>
      </c>
      <c r="AM469" s="207"/>
      <c r="AN469" s="207"/>
      <c r="AO469" s="207"/>
      <c r="AP469" s="208"/>
      <c r="AQ469" s="209"/>
      <c r="AR469" s="206"/>
      <c r="AS469" s="207"/>
      <c r="AT469" s="207"/>
      <c r="AU469" s="207"/>
      <c r="AV469" s="208"/>
      <c r="AW469" s="209"/>
      <c r="AX469" s="206"/>
      <c r="AY469" s="207"/>
      <c r="AZ469" s="207"/>
      <c r="BA469" s="207"/>
      <c r="BB469" s="208"/>
    </row>
    <row r="470" ht="14.25" customHeight="1">
      <c r="A470" s="218"/>
      <c r="B470" s="210"/>
      <c r="F470" s="211"/>
      <c r="G470" s="209"/>
      <c r="H470" s="210"/>
      <c r="L470" s="211"/>
      <c r="M470" s="209"/>
      <c r="N470" s="210"/>
      <c r="R470" s="211"/>
      <c r="S470" s="209"/>
      <c r="T470" s="210"/>
      <c r="X470" s="211"/>
      <c r="Y470" s="209"/>
      <c r="Z470" s="210"/>
      <c r="AD470" s="211"/>
      <c r="AE470" s="209"/>
      <c r="AF470" s="210"/>
      <c r="AJ470" s="211"/>
      <c r="AK470" s="209"/>
      <c r="AL470" s="210"/>
      <c r="AP470" s="211"/>
      <c r="AQ470" s="209"/>
      <c r="AR470" s="210"/>
      <c r="AV470" s="211"/>
      <c r="AW470" s="209"/>
      <c r="AX470" s="210"/>
      <c r="BB470" s="211"/>
    </row>
    <row r="471" ht="14.25" customHeight="1">
      <c r="A471" s="218"/>
      <c r="B471" s="212"/>
      <c r="C471" s="213"/>
      <c r="D471" s="213"/>
      <c r="E471" s="213"/>
      <c r="F471" s="214"/>
      <c r="G471" s="209"/>
      <c r="H471" s="212"/>
      <c r="I471" s="213"/>
      <c r="J471" s="213"/>
      <c r="K471" s="213"/>
      <c r="L471" s="214"/>
      <c r="M471" s="209"/>
      <c r="N471" s="212"/>
      <c r="O471" s="213"/>
      <c r="P471" s="213"/>
      <c r="Q471" s="213"/>
      <c r="R471" s="214"/>
      <c r="S471" s="209"/>
      <c r="T471" s="212"/>
      <c r="U471" s="213"/>
      <c r="V471" s="213"/>
      <c r="W471" s="213"/>
      <c r="X471" s="214"/>
      <c r="Y471" s="209"/>
      <c r="Z471" s="212"/>
      <c r="AA471" s="213"/>
      <c r="AB471" s="213"/>
      <c r="AC471" s="213"/>
      <c r="AD471" s="214"/>
      <c r="AE471" s="209"/>
      <c r="AF471" s="212"/>
      <c r="AG471" s="213"/>
      <c r="AH471" s="213"/>
      <c r="AI471" s="213"/>
      <c r="AJ471" s="214"/>
      <c r="AK471" s="209"/>
      <c r="AL471" s="212"/>
      <c r="AM471" s="213"/>
      <c r="AN471" s="213"/>
      <c r="AO471" s="213"/>
      <c r="AP471" s="214"/>
      <c r="AQ471" s="209"/>
      <c r="AR471" s="212"/>
      <c r="AS471" s="213"/>
      <c r="AT471" s="213"/>
      <c r="AU471" s="213"/>
      <c r="AV471" s="214"/>
      <c r="AW471" s="209"/>
      <c r="AX471" s="212"/>
      <c r="AY471" s="213"/>
      <c r="AZ471" s="213"/>
      <c r="BA471" s="213"/>
      <c r="BB471" s="214"/>
    </row>
    <row r="472" ht="14.25" customHeight="1">
      <c r="A472" s="218"/>
      <c r="B472" s="216" t="s">
        <v>214</v>
      </c>
      <c r="C472" s="216" t="s">
        <v>215</v>
      </c>
      <c r="D472" s="216" t="s">
        <v>216</v>
      </c>
      <c r="E472" s="216" t="s">
        <v>217</v>
      </c>
      <c r="F472" s="216" t="s">
        <v>218</v>
      </c>
      <c r="H472" s="217" t="s">
        <v>214</v>
      </c>
      <c r="I472" s="216" t="s">
        <v>215</v>
      </c>
      <c r="J472" s="216" t="s">
        <v>216</v>
      </c>
      <c r="K472" s="216" t="s">
        <v>217</v>
      </c>
      <c r="L472" s="216" t="s">
        <v>218</v>
      </c>
      <c r="N472" s="216" t="s">
        <v>214</v>
      </c>
      <c r="O472" s="216" t="s">
        <v>215</v>
      </c>
      <c r="P472" s="216" t="s">
        <v>216</v>
      </c>
      <c r="Q472" s="216" t="s">
        <v>217</v>
      </c>
      <c r="R472" s="216" t="s">
        <v>218</v>
      </c>
      <c r="T472" s="216" t="s">
        <v>214</v>
      </c>
      <c r="U472" s="216" t="s">
        <v>215</v>
      </c>
      <c r="V472" s="216" t="s">
        <v>216</v>
      </c>
      <c r="W472" s="216" t="s">
        <v>217</v>
      </c>
      <c r="X472" s="216" t="s">
        <v>218</v>
      </c>
      <c r="Z472" s="216" t="s">
        <v>214</v>
      </c>
      <c r="AA472" s="216" t="s">
        <v>215</v>
      </c>
      <c r="AB472" s="216" t="s">
        <v>216</v>
      </c>
      <c r="AC472" s="216" t="s">
        <v>217</v>
      </c>
      <c r="AD472" s="216" t="s">
        <v>218</v>
      </c>
      <c r="AF472" s="216" t="s">
        <v>214</v>
      </c>
      <c r="AG472" s="216" t="s">
        <v>215</v>
      </c>
      <c r="AH472" s="216" t="s">
        <v>216</v>
      </c>
      <c r="AI472" s="216" t="s">
        <v>217</v>
      </c>
      <c r="AJ472" s="216" t="s">
        <v>218</v>
      </c>
      <c r="AL472" s="216" t="s">
        <v>214</v>
      </c>
      <c r="AM472" s="216" t="s">
        <v>215</v>
      </c>
      <c r="AN472" s="216" t="s">
        <v>216</v>
      </c>
      <c r="AO472" s="216" t="s">
        <v>217</v>
      </c>
      <c r="AP472" s="216" t="s">
        <v>218</v>
      </c>
      <c r="AR472" s="216" t="s">
        <v>214</v>
      </c>
      <c r="AS472" s="216" t="s">
        <v>215</v>
      </c>
      <c r="AT472" s="216" t="s">
        <v>216</v>
      </c>
      <c r="AU472" s="216" t="s">
        <v>217</v>
      </c>
      <c r="AV472" s="216" t="s">
        <v>218</v>
      </c>
      <c r="AX472" s="216" t="s">
        <v>214</v>
      </c>
      <c r="AY472" s="216" t="s">
        <v>215</v>
      </c>
      <c r="AZ472" s="216" t="s">
        <v>216</v>
      </c>
      <c r="BA472" s="216" t="s">
        <v>217</v>
      </c>
      <c r="BB472" s="216" t="s">
        <v>218</v>
      </c>
    </row>
    <row r="473" ht="14.25" customHeight="1">
      <c r="A473" s="218"/>
      <c r="B473" s="219">
        <v>45078.0</v>
      </c>
      <c r="C473" s="220"/>
      <c r="D473" s="220"/>
      <c r="E473" s="220">
        <f t="shared" ref="E473:E503" si="356">D473-C473</f>
        <v>0</v>
      </c>
      <c r="F473" s="220">
        <f t="shared" ref="F473:F504" si="357">E473-10</f>
        <v>-10</v>
      </c>
      <c r="H473" s="219">
        <v>45078.0</v>
      </c>
      <c r="I473" s="220"/>
      <c r="J473" s="220"/>
      <c r="K473" s="220">
        <f t="shared" ref="K473:K503" si="358">J473-I473</f>
        <v>0</v>
      </c>
      <c r="L473" s="220">
        <f t="shared" ref="L473:L504" si="359">K473-10</f>
        <v>-10</v>
      </c>
      <c r="N473" s="219">
        <v>45078.0</v>
      </c>
      <c r="O473" s="220"/>
      <c r="P473" s="220"/>
      <c r="Q473" s="220">
        <f t="shared" ref="Q473:Q503" si="360">P473-O473</f>
        <v>0</v>
      </c>
      <c r="R473" s="220">
        <f t="shared" ref="R473:R504" si="361">Q473-10</f>
        <v>-10</v>
      </c>
      <c r="T473" s="219">
        <v>45078.0</v>
      </c>
      <c r="U473" s="220"/>
      <c r="V473" s="220"/>
      <c r="W473" s="220">
        <f t="shared" ref="W473:W503" si="362">V473-U473</f>
        <v>0</v>
      </c>
      <c r="X473" s="220">
        <f t="shared" ref="X473:X504" si="363">W473-10</f>
        <v>-10</v>
      </c>
      <c r="Z473" s="219">
        <v>45078.0</v>
      </c>
      <c r="AA473" s="220"/>
      <c r="AB473" s="220"/>
      <c r="AC473" s="220">
        <f t="shared" ref="AC473:AC503" si="364">AB473-AA473</f>
        <v>0</v>
      </c>
      <c r="AD473" s="220">
        <f t="shared" ref="AD473:AD504" si="365">AC473-10</f>
        <v>-10</v>
      </c>
      <c r="AF473" s="219">
        <v>45078.0</v>
      </c>
      <c r="AG473" s="220"/>
      <c r="AH473" s="220"/>
      <c r="AI473" s="220">
        <f t="shared" ref="AI473:AI503" si="366">AH473-AG473</f>
        <v>0</v>
      </c>
      <c r="AJ473" s="220">
        <f t="shared" ref="AJ473:AJ504" si="367">AI473-10</f>
        <v>-10</v>
      </c>
      <c r="AL473" s="219">
        <v>45078.0</v>
      </c>
      <c r="AM473" s="220"/>
      <c r="AN473" s="220"/>
      <c r="AO473" s="220">
        <f t="shared" ref="AO473:AO503" si="368">AN473-AM473</f>
        <v>0</v>
      </c>
      <c r="AP473" s="220">
        <f t="shared" ref="AP473:AP504" si="369">AO473-10</f>
        <v>-10</v>
      </c>
      <c r="AR473" s="219">
        <v>45078.0</v>
      </c>
      <c r="AS473" s="220"/>
      <c r="AT473" s="220"/>
      <c r="AU473" s="220">
        <f t="shared" ref="AU473:AU503" si="370">AT473-AS473</f>
        <v>0</v>
      </c>
      <c r="AV473" s="220">
        <f t="shared" ref="AV473:AV504" si="371">AU473-10</f>
        <v>-10</v>
      </c>
      <c r="AX473" s="219">
        <v>45078.0</v>
      </c>
      <c r="AY473" s="220"/>
      <c r="AZ473" s="220"/>
      <c r="BA473" s="220">
        <f t="shared" ref="BA473:BA503" si="372">AZ473-AY473</f>
        <v>0</v>
      </c>
      <c r="BB473" s="220">
        <f t="shared" ref="BB473:BB504" si="373">BA473-10</f>
        <v>-10</v>
      </c>
    </row>
    <row r="474" ht="14.25" customHeight="1">
      <c r="A474" s="218"/>
      <c r="B474" s="219">
        <v>45079.0</v>
      </c>
      <c r="C474" s="220" t="str">
        <f t="shared" ref="C474:C503" si="374">D473</f>
        <v/>
      </c>
      <c r="D474" s="220"/>
      <c r="E474" s="220">
        <f t="shared" si="356"/>
        <v>0</v>
      </c>
      <c r="F474" s="220">
        <f t="shared" si="357"/>
        <v>-10</v>
      </c>
      <c r="H474" s="219">
        <v>45079.0</v>
      </c>
      <c r="I474" s="220" t="str">
        <f t="shared" ref="I474:I503" si="375">J473</f>
        <v/>
      </c>
      <c r="J474" s="220"/>
      <c r="K474" s="220">
        <f t="shared" si="358"/>
        <v>0</v>
      </c>
      <c r="L474" s="220">
        <f t="shared" si="359"/>
        <v>-10</v>
      </c>
      <c r="N474" s="219">
        <v>45079.0</v>
      </c>
      <c r="O474" s="220" t="str">
        <f t="shared" ref="O474:O503" si="376">P473</f>
        <v/>
      </c>
      <c r="P474" s="220"/>
      <c r="Q474" s="220">
        <f t="shared" si="360"/>
        <v>0</v>
      </c>
      <c r="R474" s="220">
        <f t="shared" si="361"/>
        <v>-10</v>
      </c>
      <c r="T474" s="219">
        <v>45079.0</v>
      </c>
      <c r="U474" s="220" t="str">
        <f t="shared" ref="U474:U503" si="377">V473</f>
        <v/>
      </c>
      <c r="V474" s="220"/>
      <c r="W474" s="220">
        <f t="shared" si="362"/>
        <v>0</v>
      </c>
      <c r="X474" s="220">
        <f t="shared" si="363"/>
        <v>-10</v>
      </c>
      <c r="Z474" s="219">
        <v>45079.0</v>
      </c>
      <c r="AA474" s="220" t="str">
        <f t="shared" ref="AA474:AA503" si="378">AB473</f>
        <v/>
      </c>
      <c r="AB474" s="220"/>
      <c r="AC474" s="220">
        <f t="shared" si="364"/>
        <v>0</v>
      </c>
      <c r="AD474" s="220">
        <f t="shared" si="365"/>
        <v>-10</v>
      </c>
      <c r="AF474" s="219">
        <v>45079.0</v>
      </c>
      <c r="AG474" s="220" t="str">
        <f t="shared" ref="AG474:AG503" si="379">AH473</f>
        <v/>
      </c>
      <c r="AH474" s="220"/>
      <c r="AI474" s="220">
        <f t="shared" si="366"/>
        <v>0</v>
      </c>
      <c r="AJ474" s="220">
        <f t="shared" si="367"/>
        <v>-10</v>
      </c>
      <c r="AL474" s="219">
        <v>45079.0</v>
      </c>
      <c r="AM474" s="220" t="str">
        <f t="shared" ref="AM474:AM503" si="380">AN473</f>
        <v/>
      </c>
      <c r="AN474" s="220"/>
      <c r="AO474" s="220">
        <f t="shared" si="368"/>
        <v>0</v>
      </c>
      <c r="AP474" s="220">
        <f t="shared" si="369"/>
        <v>-10</v>
      </c>
      <c r="AR474" s="219">
        <v>45079.0</v>
      </c>
      <c r="AS474" s="220" t="str">
        <f t="shared" ref="AS474:AS503" si="381">AT473</f>
        <v/>
      </c>
      <c r="AT474" s="220"/>
      <c r="AU474" s="220">
        <f t="shared" si="370"/>
        <v>0</v>
      </c>
      <c r="AV474" s="220">
        <f t="shared" si="371"/>
        <v>-10</v>
      </c>
      <c r="AX474" s="219">
        <v>45079.0</v>
      </c>
      <c r="AY474" s="220" t="str">
        <f t="shared" ref="AY474:AY503" si="382">AZ473</f>
        <v/>
      </c>
      <c r="AZ474" s="220"/>
      <c r="BA474" s="220">
        <f t="shared" si="372"/>
        <v>0</v>
      </c>
      <c r="BB474" s="220">
        <f t="shared" si="373"/>
        <v>-10</v>
      </c>
    </row>
    <row r="475" ht="14.25" customHeight="1">
      <c r="A475" s="218"/>
      <c r="B475" s="219">
        <v>45080.0</v>
      </c>
      <c r="C475" s="220" t="str">
        <f t="shared" si="374"/>
        <v/>
      </c>
      <c r="D475" s="220"/>
      <c r="E475" s="220">
        <f t="shared" si="356"/>
        <v>0</v>
      </c>
      <c r="F475" s="220">
        <f t="shared" si="357"/>
        <v>-10</v>
      </c>
      <c r="G475" s="221"/>
      <c r="H475" s="219">
        <v>45080.0</v>
      </c>
      <c r="I475" s="220" t="str">
        <f t="shared" si="375"/>
        <v/>
      </c>
      <c r="J475" s="220"/>
      <c r="K475" s="220">
        <f t="shared" si="358"/>
        <v>0</v>
      </c>
      <c r="L475" s="220">
        <f t="shared" si="359"/>
        <v>-10</v>
      </c>
      <c r="M475" s="221"/>
      <c r="N475" s="219">
        <v>45080.0</v>
      </c>
      <c r="O475" s="220" t="str">
        <f t="shared" si="376"/>
        <v/>
      </c>
      <c r="P475" s="220"/>
      <c r="Q475" s="220">
        <f t="shared" si="360"/>
        <v>0</v>
      </c>
      <c r="R475" s="220">
        <f t="shared" si="361"/>
        <v>-10</v>
      </c>
      <c r="S475" s="221"/>
      <c r="T475" s="219">
        <v>45080.0</v>
      </c>
      <c r="U475" s="220" t="str">
        <f t="shared" si="377"/>
        <v/>
      </c>
      <c r="V475" s="220"/>
      <c r="W475" s="220">
        <f t="shared" si="362"/>
        <v>0</v>
      </c>
      <c r="X475" s="220">
        <f t="shared" si="363"/>
        <v>-10</v>
      </c>
      <c r="Y475" s="221"/>
      <c r="Z475" s="219">
        <v>45080.0</v>
      </c>
      <c r="AA475" s="220" t="str">
        <f t="shared" si="378"/>
        <v/>
      </c>
      <c r="AB475" s="220"/>
      <c r="AC475" s="220">
        <f t="shared" si="364"/>
        <v>0</v>
      </c>
      <c r="AD475" s="220">
        <f t="shared" si="365"/>
        <v>-10</v>
      </c>
      <c r="AE475" s="221"/>
      <c r="AF475" s="219">
        <v>45080.0</v>
      </c>
      <c r="AG475" s="220" t="str">
        <f t="shared" si="379"/>
        <v/>
      </c>
      <c r="AH475" s="220"/>
      <c r="AI475" s="220">
        <f t="shared" si="366"/>
        <v>0</v>
      </c>
      <c r="AJ475" s="220">
        <f t="shared" si="367"/>
        <v>-10</v>
      </c>
      <c r="AK475" s="221"/>
      <c r="AL475" s="219">
        <v>45080.0</v>
      </c>
      <c r="AM475" s="220" t="str">
        <f t="shared" si="380"/>
        <v/>
      </c>
      <c r="AN475" s="220"/>
      <c r="AO475" s="220">
        <f t="shared" si="368"/>
        <v>0</v>
      </c>
      <c r="AP475" s="220">
        <f t="shared" si="369"/>
        <v>-10</v>
      </c>
      <c r="AQ475" s="221"/>
      <c r="AR475" s="219">
        <v>45080.0</v>
      </c>
      <c r="AS475" s="220" t="str">
        <f t="shared" si="381"/>
        <v/>
      </c>
      <c r="AT475" s="220"/>
      <c r="AU475" s="220">
        <f t="shared" si="370"/>
        <v>0</v>
      </c>
      <c r="AV475" s="220">
        <f t="shared" si="371"/>
        <v>-10</v>
      </c>
      <c r="AW475" s="221"/>
      <c r="AX475" s="219">
        <v>45080.0</v>
      </c>
      <c r="AY475" s="220" t="str">
        <f t="shared" si="382"/>
        <v/>
      </c>
      <c r="AZ475" s="220"/>
      <c r="BA475" s="220">
        <f t="shared" si="372"/>
        <v>0</v>
      </c>
      <c r="BB475" s="220">
        <f t="shared" si="373"/>
        <v>-10</v>
      </c>
    </row>
    <row r="476" ht="14.25" customHeight="1">
      <c r="A476" s="218"/>
      <c r="B476" s="219">
        <v>45081.0</v>
      </c>
      <c r="C476" s="220" t="str">
        <f t="shared" si="374"/>
        <v/>
      </c>
      <c r="D476" s="220"/>
      <c r="E476" s="220">
        <f t="shared" si="356"/>
        <v>0</v>
      </c>
      <c r="F476" s="220">
        <f t="shared" si="357"/>
        <v>-10</v>
      </c>
      <c r="G476" s="221"/>
      <c r="H476" s="219">
        <v>45081.0</v>
      </c>
      <c r="I476" s="220" t="str">
        <f t="shared" si="375"/>
        <v/>
      </c>
      <c r="J476" s="220"/>
      <c r="K476" s="220">
        <f t="shared" si="358"/>
        <v>0</v>
      </c>
      <c r="L476" s="220">
        <f t="shared" si="359"/>
        <v>-10</v>
      </c>
      <c r="M476" s="221"/>
      <c r="N476" s="219">
        <v>45081.0</v>
      </c>
      <c r="O476" s="220" t="str">
        <f t="shared" si="376"/>
        <v/>
      </c>
      <c r="P476" s="220"/>
      <c r="Q476" s="220">
        <f t="shared" si="360"/>
        <v>0</v>
      </c>
      <c r="R476" s="220">
        <f t="shared" si="361"/>
        <v>-10</v>
      </c>
      <c r="S476" s="221"/>
      <c r="T476" s="219">
        <v>45081.0</v>
      </c>
      <c r="U476" s="220" t="str">
        <f t="shared" si="377"/>
        <v/>
      </c>
      <c r="V476" s="220"/>
      <c r="W476" s="220">
        <f t="shared" si="362"/>
        <v>0</v>
      </c>
      <c r="X476" s="220">
        <f t="shared" si="363"/>
        <v>-10</v>
      </c>
      <c r="Y476" s="221"/>
      <c r="Z476" s="219">
        <v>45081.0</v>
      </c>
      <c r="AA476" s="220" t="str">
        <f t="shared" si="378"/>
        <v/>
      </c>
      <c r="AB476" s="220"/>
      <c r="AC476" s="220">
        <f t="shared" si="364"/>
        <v>0</v>
      </c>
      <c r="AD476" s="220">
        <f t="shared" si="365"/>
        <v>-10</v>
      </c>
      <c r="AE476" s="221"/>
      <c r="AF476" s="219">
        <v>45081.0</v>
      </c>
      <c r="AG476" s="220" t="str">
        <f t="shared" si="379"/>
        <v/>
      </c>
      <c r="AH476" s="220"/>
      <c r="AI476" s="220">
        <f t="shared" si="366"/>
        <v>0</v>
      </c>
      <c r="AJ476" s="220">
        <f t="shared" si="367"/>
        <v>-10</v>
      </c>
      <c r="AK476" s="221"/>
      <c r="AL476" s="219">
        <v>45081.0</v>
      </c>
      <c r="AM476" s="220" t="str">
        <f t="shared" si="380"/>
        <v/>
      </c>
      <c r="AN476" s="220"/>
      <c r="AO476" s="220">
        <f t="shared" si="368"/>
        <v>0</v>
      </c>
      <c r="AP476" s="220">
        <f t="shared" si="369"/>
        <v>-10</v>
      </c>
      <c r="AQ476" s="221"/>
      <c r="AR476" s="219">
        <v>45081.0</v>
      </c>
      <c r="AS476" s="220" t="str">
        <f t="shared" si="381"/>
        <v/>
      </c>
      <c r="AT476" s="220"/>
      <c r="AU476" s="220">
        <f t="shared" si="370"/>
        <v>0</v>
      </c>
      <c r="AV476" s="220">
        <f t="shared" si="371"/>
        <v>-10</v>
      </c>
      <c r="AW476" s="221"/>
      <c r="AX476" s="219">
        <v>45081.0</v>
      </c>
      <c r="AY476" s="220" t="str">
        <f t="shared" si="382"/>
        <v/>
      </c>
      <c r="AZ476" s="220"/>
      <c r="BA476" s="220">
        <f t="shared" si="372"/>
        <v>0</v>
      </c>
      <c r="BB476" s="220">
        <f t="shared" si="373"/>
        <v>-10</v>
      </c>
    </row>
    <row r="477" ht="14.25" customHeight="1">
      <c r="A477" s="218"/>
      <c r="B477" s="219">
        <v>45082.0</v>
      </c>
      <c r="C477" s="220" t="str">
        <f t="shared" si="374"/>
        <v/>
      </c>
      <c r="D477" s="220"/>
      <c r="E477" s="220">
        <f t="shared" si="356"/>
        <v>0</v>
      </c>
      <c r="F477" s="220">
        <f t="shared" si="357"/>
        <v>-10</v>
      </c>
      <c r="H477" s="219">
        <v>45082.0</v>
      </c>
      <c r="I477" s="220" t="str">
        <f t="shared" si="375"/>
        <v/>
      </c>
      <c r="J477" s="220"/>
      <c r="K477" s="220">
        <f t="shared" si="358"/>
        <v>0</v>
      </c>
      <c r="L477" s="220">
        <f t="shared" si="359"/>
        <v>-10</v>
      </c>
      <c r="N477" s="219">
        <v>45082.0</v>
      </c>
      <c r="O477" s="220" t="str">
        <f t="shared" si="376"/>
        <v/>
      </c>
      <c r="P477" s="220"/>
      <c r="Q477" s="220">
        <f t="shared" si="360"/>
        <v>0</v>
      </c>
      <c r="R477" s="220">
        <f t="shared" si="361"/>
        <v>-10</v>
      </c>
      <c r="T477" s="219">
        <v>45082.0</v>
      </c>
      <c r="U477" s="220" t="str">
        <f t="shared" si="377"/>
        <v/>
      </c>
      <c r="V477" s="220"/>
      <c r="W477" s="220">
        <f t="shared" si="362"/>
        <v>0</v>
      </c>
      <c r="X477" s="220">
        <f t="shared" si="363"/>
        <v>-10</v>
      </c>
      <c r="Z477" s="219">
        <v>45082.0</v>
      </c>
      <c r="AA477" s="220" t="str">
        <f t="shared" si="378"/>
        <v/>
      </c>
      <c r="AB477" s="220"/>
      <c r="AC477" s="220">
        <f t="shared" si="364"/>
        <v>0</v>
      </c>
      <c r="AD477" s="220">
        <f t="shared" si="365"/>
        <v>-10</v>
      </c>
      <c r="AF477" s="219">
        <v>45082.0</v>
      </c>
      <c r="AG477" s="220" t="str">
        <f t="shared" si="379"/>
        <v/>
      </c>
      <c r="AH477" s="220"/>
      <c r="AI477" s="220">
        <f t="shared" si="366"/>
        <v>0</v>
      </c>
      <c r="AJ477" s="220">
        <f t="shared" si="367"/>
        <v>-10</v>
      </c>
      <c r="AL477" s="219">
        <v>45082.0</v>
      </c>
      <c r="AM477" s="220" t="str">
        <f t="shared" si="380"/>
        <v/>
      </c>
      <c r="AN477" s="220"/>
      <c r="AO477" s="220">
        <f t="shared" si="368"/>
        <v>0</v>
      </c>
      <c r="AP477" s="220">
        <f t="shared" si="369"/>
        <v>-10</v>
      </c>
      <c r="AR477" s="219">
        <v>45082.0</v>
      </c>
      <c r="AS477" s="220" t="str">
        <f t="shared" si="381"/>
        <v/>
      </c>
      <c r="AT477" s="220"/>
      <c r="AU477" s="220">
        <f t="shared" si="370"/>
        <v>0</v>
      </c>
      <c r="AV477" s="220">
        <f t="shared" si="371"/>
        <v>-10</v>
      </c>
      <c r="AX477" s="219">
        <v>45082.0</v>
      </c>
      <c r="AY477" s="220" t="str">
        <f t="shared" si="382"/>
        <v/>
      </c>
      <c r="AZ477" s="220"/>
      <c r="BA477" s="220">
        <f t="shared" si="372"/>
        <v>0</v>
      </c>
      <c r="BB477" s="220">
        <f t="shared" si="373"/>
        <v>-10</v>
      </c>
    </row>
    <row r="478" ht="14.25" customHeight="1">
      <c r="A478" s="218"/>
      <c r="B478" s="219">
        <v>45083.0</v>
      </c>
      <c r="C478" s="220" t="str">
        <f t="shared" si="374"/>
        <v/>
      </c>
      <c r="D478" s="220"/>
      <c r="E478" s="220">
        <f t="shared" si="356"/>
        <v>0</v>
      </c>
      <c r="F478" s="220">
        <f t="shared" si="357"/>
        <v>-10</v>
      </c>
      <c r="H478" s="219">
        <v>45083.0</v>
      </c>
      <c r="I478" s="220" t="str">
        <f t="shared" si="375"/>
        <v/>
      </c>
      <c r="J478" s="220"/>
      <c r="K478" s="220">
        <f t="shared" si="358"/>
        <v>0</v>
      </c>
      <c r="L478" s="220">
        <f t="shared" si="359"/>
        <v>-10</v>
      </c>
      <c r="N478" s="219">
        <v>45083.0</v>
      </c>
      <c r="O478" s="220" t="str">
        <f t="shared" si="376"/>
        <v/>
      </c>
      <c r="P478" s="220"/>
      <c r="Q478" s="220">
        <f t="shared" si="360"/>
        <v>0</v>
      </c>
      <c r="R478" s="220">
        <f t="shared" si="361"/>
        <v>-10</v>
      </c>
      <c r="T478" s="219">
        <v>45083.0</v>
      </c>
      <c r="U478" s="220" t="str">
        <f t="shared" si="377"/>
        <v/>
      </c>
      <c r="V478" s="220"/>
      <c r="W478" s="220">
        <f t="shared" si="362"/>
        <v>0</v>
      </c>
      <c r="X478" s="220">
        <f t="shared" si="363"/>
        <v>-10</v>
      </c>
      <c r="Z478" s="219">
        <v>45083.0</v>
      </c>
      <c r="AA478" s="220" t="str">
        <f t="shared" si="378"/>
        <v/>
      </c>
      <c r="AB478" s="220"/>
      <c r="AC478" s="220">
        <f t="shared" si="364"/>
        <v>0</v>
      </c>
      <c r="AD478" s="220">
        <f t="shared" si="365"/>
        <v>-10</v>
      </c>
      <c r="AF478" s="219">
        <v>45083.0</v>
      </c>
      <c r="AG478" s="220" t="str">
        <f t="shared" si="379"/>
        <v/>
      </c>
      <c r="AH478" s="220"/>
      <c r="AI478" s="220">
        <f t="shared" si="366"/>
        <v>0</v>
      </c>
      <c r="AJ478" s="220">
        <f t="shared" si="367"/>
        <v>-10</v>
      </c>
      <c r="AL478" s="219">
        <v>45083.0</v>
      </c>
      <c r="AM478" s="220" t="str">
        <f t="shared" si="380"/>
        <v/>
      </c>
      <c r="AN478" s="220"/>
      <c r="AO478" s="220">
        <f t="shared" si="368"/>
        <v>0</v>
      </c>
      <c r="AP478" s="220">
        <f t="shared" si="369"/>
        <v>-10</v>
      </c>
      <c r="AR478" s="219">
        <v>45083.0</v>
      </c>
      <c r="AS478" s="220" t="str">
        <f t="shared" si="381"/>
        <v/>
      </c>
      <c r="AT478" s="220"/>
      <c r="AU478" s="220">
        <f t="shared" si="370"/>
        <v>0</v>
      </c>
      <c r="AV478" s="220">
        <f t="shared" si="371"/>
        <v>-10</v>
      </c>
      <c r="AX478" s="219">
        <v>45083.0</v>
      </c>
      <c r="AY478" s="220" t="str">
        <f t="shared" si="382"/>
        <v/>
      </c>
      <c r="AZ478" s="220"/>
      <c r="BA478" s="220">
        <f t="shared" si="372"/>
        <v>0</v>
      </c>
      <c r="BB478" s="220">
        <f t="shared" si="373"/>
        <v>-10</v>
      </c>
    </row>
    <row r="479" ht="14.25" customHeight="1">
      <c r="A479" s="218"/>
      <c r="B479" s="219">
        <v>45084.0</v>
      </c>
      <c r="C479" s="220" t="str">
        <f t="shared" si="374"/>
        <v/>
      </c>
      <c r="D479" s="220"/>
      <c r="E479" s="220">
        <f t="shared" si="356"/>
        <v>0</v>
      </c>
      <c r="F479" s="220">
        <f t="shared" si="357"/>
        <v>-10</v>
      </c>
      <c r="H479" s="219">
        <v>45084.0</v>
      </c>
      <c r="I479" s="220" t="str">
        <f t="shared" si="375"/>
        <v/>
      </c>
      <c r="J479" s="220"/>
      <c r="K479" s="220">
        <f t="shared" si="358"/>
        <v>0</v>
      </c>
      <c r="L479" s="220">
        <f t="shared" si="359"/>
        <v>-10</v>
      </c>
      <c r="N479" s="219">
        <v>45084.0</v>
      </c>
      <c r="O479" s="220" t="str">
        <f t="shared" si="376"/>
        <v/>
      </c>
      <c r="P479" s="220"/>
      <c r="Q479" s="220">
        <f t="shared" si="360"/>
        <v>0</v>
      </c>
      <c r="R479" s="220">
        <f t="shared" si="361"/>
        <v>-10</v>
      </c>
      <c r="T479" s="219">
        <v>45084.0</v>
      </c>
      <c r="U479" s="220" t="str">
        <f t="shared" si="377"/>
        <v/>
      </c>
      <c r="V479" s="220"/>
      <c r="W479" s="220">
        <f t="shared" si="362"/>
        <v>0</v>
      </c>
      <c r="X479" s="220">
        <f t="shared" si="363"/>
        <v>-10</v>
      </c>
      <c r="Z479" s="219">
        <v>45084.0</v>
      </c>
      <c r="AA479" s="220" t="str">
        <f t="shared" si="378"/>
        <v/>
      </c>
      <c r="AB479" s="220"/>
      <c r="AC479" s="220">
        <f t="shared" si="364"/>
        <v>0</v>
      </c>
      <c r="AD479" s="220">
        <f t="shared" si="365"/>
        <v>-10</v>
      </c>
      <c r="AF479" s="219">
        <v>45084.0</v>
      </c>
      <c r="AG479" s="220" t="str">
        <f t="shared" si="379"/>
        <v/>
      </c>
      <c r="AH479" s="220"/>
      <c r="AI479" s="220">
        <f t="shared" si="366"/>
        <v>0</v>
      </c>
      <c r="AJ479" s="220">
        <f t="shared" si="367"/>
        <v>-10</v>
      </c>
      <c r="AL479" s="219">
        <v>45084.0</v>
      </c>
      <c r="AM479" s="220" t="str">
        <f t="shared" si="380"/>
        <v/>
      </c>
      <c r="AN479" s="220"/>
      <c r="AO479" s="220">
        <f t="shared" si="368"/>
        <v>0</v>
      </c>
      <c r="AP479" s="220">
        <f t="shared" si="369"/>
        <v>-10</v>
      </c>
      <c r="AR479" s="219">
        <v>45084.0</v>
      </c>
      <c r="AS479" s="220" t="str">
        <f t="shared" si="381"/>
        <v/>
      </c>
      <c r="AT479" s="220"/>
      <c r="AU479" s="220">
        <f t="shared" si="370"/>
        <v>0</v>
      </c>
      <c r="AV479" s="220">
        <f t="shared" si="371"/>
        <v>-10</v>
      </c>
      <c r="AX479" s="219">
        <v>45084.0</v>
      </c>
      <c r="AY479" s="220" t="str">
        <f t="shared" si="382"/>
        <v/>
      </c>
      <c r="AZ479" s="220"/>
      <c r="BA479" s="220">
        <f t="shared" si="372"/>
        <v>0</v>
      </c>
      <c r="BB479" s="220">
        <f t="shared" si="373"/>
        <v>-10</v>
      </c>
    </row>
    <row r="480" ht="14.25" customHeight="1">
      <c r="A480" s="218"/>
      <c r="B480" s="219">
        <v>45085.0</v>
      </c>
      <c r="C480" s="220" t="str">
        <f t="shared" si="374"/>
        <v/>
      </c>
      <c r="D480" s="220"/>
      <c r="E480" s="220">
        <f t="shared" si="356"/>
        <v>0</v>
      </c>
      <c r="F480" s="220">
        <f t="shared" si="357"/>
        <v>-10</v>
      </c>
      <c r="H480" s="219">
        <v>45085.0</v>
      </c>
      <c r="I480" s="220" t="str">
        <f t="shared" si="375"/>
        <v/>
      </c>
      <c r="J480" s="220"/>
      <c r="K480" s="220">
        <f t="shared" si="358"/>
        <v>0</v>
      </c>
      <c r="L480" s="220">
        <f t="shared" si="359"/>
        <v>-10</v>
      </c>
      <c r="N480" s="219">
        <v>45085.0</v>
      </c>
      <c r="O480" s="220" t="str">
        <f t="shared" si="376"/>
        <v/>
      </c>
      <c r="P480" s="220"/>
      <c r="Q480" s="220">
        <f t="shared" si="360"/>
        <v>0</v>
      </c>
      <c r="R480" s="220">
        <f t="shared" si="361"/>
        <v>-10</v>
      </c>
      <c r="T480" s="219">
        <v>45085.0</v>
      </c>
      <c r="U480" s="220" t="str">
        <f t="shared" si="377"/>
        <v/>
      </c>
      <c r="V480" s="220"/>
      <c r="W480" s="220">
        <f t="shared" si="362"/>
        <v>0</v>
      </c>
      <c r="X480" s="220">
        <f t="shared" si="363"/>
        <v>-10</v>
      </c>
      <c r="Z480" s="219">
        <v>45085.0</v>
      </c>
      <c r="AA480" s="220" t="str">
        <f t="shared" si="378"/>
        <v/>
      </c>
      <c r="AB480" s="220"/>
      <c r="AC480" s="220">
        <f t="shared" si="364"/>
        <v>0</v>
      </c>
      <c r="AD480" s="220">
        <f t="shared" si="365"/>
        <v>-10</v>
      </c>
      <c r="AF480" s="219">
        <v>45085.0</v>
      </c>
      <c r="AG480" s="220" t="str">
        <f t="shared" si="379"/>
        <v/>
      </c>
      <c r="AH480" s="220"/>
      <c r="AI480" s="220">
        <f t="shared" si="366"/>
        <v>0</v>
      </c>
      <c r="AJ480" s="220">
        <f t="shared" si="367"/>
        <v>-10</v>
      </c>
      <c r="AL480" s="219">
        <v>45085.0</v>
      </c>
      <c r="AM480" s="220" t="str">
        <f t="shared" si="380"/>
        <v/>
      </c>
      <c r="AN480" s="220"/>
      <c r="AO480" s="220">
        <f t="shared" si="368"/>
        <v>0</v>
      </c>
      <c r="AP480" s="220">
        <f t="shared" si="369"/>
        <v>-10</v>
      </c>
      <c r="AR480" s="219">
        <v>45085.0</v>
      </c>
      <c r="AS480" s="220" t="str">
        <f t="shared" si="381"/>
        <v/>
      </c>
      <c r="AT480" s="220"/>
      <c r="AU480" s="220">
        <f t="shared" si="370"/>
        <v>0</v>
      </c>
      <c r="AV480" s="220">
        <f t="shared" si="371"/>
        <v>-10</v>
      </c>
      <c r="AX480" s="219">
        <v>45085.0</v>
      </c>
      <c r="AY480" s="220" t="str">
        <f t="shared" si="382"/>
        <v/>
      </c>
      <c r="AZ480" s="220"/>
      <c r="BA480" s="220">
        <f t="shared" si="372"/>
        <v>0</v>
      </c>
      <c r="BB480" s="220">
        <f t="shared" si="373"/>
        <v>-10</v>
      </c>
    </row>
    <row r="481" ht="14.25" customHeight="1">
      <c r="A481" s="218"/>
      <c r="B481" s="219">
        <v>45086.0</v>
      </c>
      <c r="C481" s="220" t="str">
        <f t="shared" si="374"/>
        <v/>
      </c>
      <c r="D481" s="220"/>
      <c r="E481" s="220">
        <f t="shared" si="356"/>
        <v>0</v>
      </c>
      <c r="F481" s="220">
        <f t="shared" si="357"/>
        <v>-10</v>
      </c>
      <c r="H481" s="219">
        <v>45086.0</v>
      </c>
      <c r="I481" s="220" t="str">
        <f t="shared" si="375"/>
        <v/>
      </c>
      <c r="J481" s="220"/>
      <c r="K481" s="220">
        <f t="shared" si="358"/>
        <v>0</v>
      </c>
      <c r="L481" s="220">
        <f t="shared" si="359"/>
        <v>-10</v>
      </c>
      <c r="N481" s="219">
        <v>45086.0</v>
      </c>
      <c r="O481" s="220" t="str">
        <f t="shared" si="376"/>
        <v/>
      </c>
      <c r="P481" s="220"/>
      <c r="Q481" s="220">
        <f t="shared" si="360"/>
        <v>0</v>
      </c>
      <c r="R481" s="220">
        <f t="shared" si="361"/>
        <v>-10</v>
      </c>
      <c r="T481" s="219">
        <v>45086.0</v>
      </c>
      <c r="U481" s="220" t="str">
        <f t="shared" si="377"/>
        <v/>
      </c>
      <c r="V481" s="220"/>
      <c r="W481" s="220">
        <f t="shared" si="362"/>
        <v>0</v>
      </c>
      <c r="X481" s="220">
        <f t="shared" si="363"/>
        <v>-10</v>
      </c>
      <c r="Z481" s="219">
        <v>45086.0</v>
      </c>
      <c r="AA481" s="220" t="str">
        <f t="shared" si="378"/>
        <v/>
      </c>
      <c r="AB481" s="220"/>
      <c r="AC481" s="220">
        <f t="shared" si="364"/>
        <v>0</v>
      </c>
      <c r="AD481" s="220">
        <f t="shared" si="365"/>
        <v>-10</v>
      </c>
      <c r="AF481" s="219">
        <v>45086.0</v>
      </c>
      <c r="AG481" s="220" t="str">
        <f t="shared" si="379"/>
        <v/>
      </c>
      <c r="AH481" s="220"/>
      <c r="AI481" s="220">
        <f t="shared" si="366"/>
        <v>0</v>
      </c>
      <c r="AJ481" s="220">
        <f t="shared" si="367"/>
        <v>-10</v>
      </c>
      <c r="AL481" s="219">
        <v>45086.0</v>
      </c>
      <c r="AM481" s="220" t="str">
        <f t="shared" si="380"/>
        <v/>
      </c>
      <c r="AN481" s="220"/>
      <c r="AO481" s="220">
        <f t="shared" si="368"/>
        <v>0</v>
      </c>
      <c r="AP481" s="220">
        <f t="shared" si="369"/>
        <v>-10</v>
      </c>
      <c r="AR481" s="219">
        <v>45086.0</v>
      </c>
      <c r="AS481" s="220" t="str">
        <f t="shared" si="381"/>
        <v/>
      </c>
      <c r="AT481" s="220"/>
      <c r="AU481" s="220">
        <f t="shared" si="370"/>
        <v>0</v>
      </c>
      <c r="AV481" s="220">
        <f t="shared" si="371"/>
        <v>-10</v>
      </c>
      <c r="AX481" s="219">
        <v>45086.0</v>
      </c>
      <c r="AY481" s="220" t="str">
        <f t="shared" si="382"/>
        <v/>
      </c>
      <c r="AZ481" s="220"/>
      <c r="BA481" s="220">
        <f t="shared" si="372"/>
        <v>0</v>
      </c>
      <c r="BB481" s="220">
        <f t="shared" si="373"/>
        <v>-10</v>
      </c>
    </row>
    <row r="482" ht="14.25" customHeight="1">
      <c r="A482" s="218"/>
      <c r="B482" s="219">
        <v>45087.0</v>
      </c>
      <c r="C482" s="220" t="str">
        <f t="shared" si="374"/>
        <v/>
      </c>
      <c r="D482" s="220"/>
      <c r="E482" s="220">
        <f t="shared" si="356"/>
        <v>0</v>
      </c>
      <c r="F482" s="220">
        <f t="shared" si="357"/>
        <v>-10</v>
      </c>
      <c r="G482" s="221"/>
      <c r="H482" s="219">
        <v>45087.0</v>
      </c>
      <c r="I482" s="220" t="str">
        <f t="shared" si="375"/>
        <v/>
      </c>
      <c r="J482" s="220"/>
      <c r="K482" s="220">
        <f t="shared" si="358"/>
        <v>0</v>
      </c>
      <c r="L482" s="220">
        <f t="shared" si="359"/>
        <v>-10</v>
      </c>
      <c r="M482" s="221"/>
      <c r="N482" s="219">
        <v>45087.0</v>
      </c>
      <c r="O482" s="220" t="str">
        <f t="shared" si="376"/>
        <v/>
      </c>
      <c r="P482" s="220"/>
      <c r="Q482" s="220">
        <f t="shared" si="360"/>
        <v>0</v>
      </c>
      <c r="R482" s="220">
        <f t="shared" si="361"/>
        <v>-10</v>
      </c>
      <c r="S482" s="221"/>
      <c r="T482" s="219">
        <v>45087.0</v>
      </c>
      <c r="U482" s="220" t="str">
        <f t="shared" si="377"/>
        <v/>
      </c>
      <c r="V482" s="220"/>
      <c r="W482" s="220">
        <f t="shared" si="362"/>
        <v>0</v>
      </c>
      <c r="X482" s="220">
        <f t="shared" si="363"/>
        <v>-10</v>
      </c>
      <c r="Y482" s="221"/>
      <c r="Z482" s="219">
        <v>45087.0</v>
      </c>
      <c r="AA482" s="220" t="str">
        <f t="shared" si="378"/>
        <v/>
      </c>
      <c r="AB482" s="220"/>
      <c r="AC482" s="220">
        <f t="shared" si="364"/>
        <v>0</v>
      </c>
      <c r="AD482" s="220">
        <f t="shared" si="365"/>
        <v>-10</v>
      </c>
      <c r="AE482" s="221"/>
      <c r="AF482" s="219">
        <v>45087.0</v>
      </c>
      <c r="AG482" s="220" t="str">
        <f t="shared" si="379"/>
        <v/>
      </c>
      <c r="AH482" s="220"/>
      <c r="AI482" s="220">
        <f t="shared" si="366"/>
        <v>0</v>
      </c>
      <c r="AJ482" s="220">
        <f t="shared" si="367"/>
        <v>-10</v>
      </c>
      <c r="AK482" s="221"/>
      <c r="AL482" s="219">
        <v>45087.0</v>
      </c>
      <c r="AM482" s="220" t="str">
        <f t="shared" si="380"/>
        <v/>
      </c>
      <c r="AN482" s="220"/>
      <c r="AO482" s="220">
        <f t="shared" si="368"/>
        <v>0</v>
      </c>
      <c r="AP482" s="220">
        <f t="shared" si="369"/>
        <v>-10</v>
      </c>
      <c r="AQ482" s="221"/>
      <c r="AR482" s="219">
        <v>45087.0</v>
      </c>
      <c r="AS482" s="220" t="str">
        <f t="shared" si="381"/>
        <v/>
      </c>
      <c r="AT482" s="220"/>
      <c r="AU482" s="220">
        <f t="shared" si="370"/>
        <v>0</v>
      </c>
      <c r="AV482" s="220">
        <f t="shared" si="371"/>
        <v>-10</v>
      </c>
      <c r="AW482" s="221"/>
      <c r="AX482" s="219">
        <v>45087.0</v>
      </c>
      <c r="AY482" s="220" t="str">
        <f t="shared" si="382"/>
        <v/>
      </c>
      <c r="AZ482" s="220"/>
      <c r="BA482" s="220">
        <f t="shared" si="372"/>
        <v>0</v>
      </c>
      <c r="BB482" s="220">
        <f t="shared" si="373"/>
        <v>-10</v>
      </c>
    </row>
    <row r="483" ht="14.25" customHeight="1">
      <c r="A483" s="218"/>
      <c r="B483" s="219">
        <v>45088.0</v>
      </c>
      <c r="C483" s="220" t="str">
        <f t="shared" si="374"/>
        <v/>
      </c>
      <c r="D483" s="220"/>
      <c r="E483" s="220">
        <f t="shared" si="356"/>
        <v>0</v>
      </c>
      <c r="F483" s="220">
        <f t="shared" si="357"/>
        <v>-10</v>
      </c>
      <c r="G483" s="221"/>
      <c r="H483" s="219">
        <v>45088.0</v>
      </c>
      <c r="I483" s="220" t="str">
        <f t="shared" si="375"/>
        <v/>
      </c>
      <c r="J483" s="220"/>
      <c r="K483" s="220">
        <f t="shared" si="358"/>
        <v>0</v>
      </c>
      <c r="L483" s="220">
        <f t="shared" si="359"/>
        <v>-10</v>
      </c>
      <c r="M483" s="221"/>
      <c r="N483" s="219">
        <v>45088.0</v>
      </c>
      <c r="O483" s="220" t="str">
        <f t="shared" si="376"/>
        <v/>
      </c>
      <c r="P483" s="220"/>
      <c r="Q483" s="220">
        <f t="shared" si="360"/>
        <v>0</v>
      </c>
      <c r="R483" s="220">
        <f t="shared" si="361"/>
        <v>-10</v>
      </c>
      <c r="S483" s="221"/>
      <c r="T483" s="219">
        <v>45088.0</v>
      </c>
      <c r="U483" s="220" t="str">
        <f t="shared" si="377"/>
        <v/>
      </c>
      <c r="V483" s="220"/>
      <c r="W483" s="220">
        <f t="shared" si="362"/>
        <v>0</v>
      </c>
      <c r="X483" s="220">
        <f t="shared" si="363"/>
        <v>-10</v>
      </c>
      <c r="Y483" s="221"/>
      <c r="Z483" s="219">
        <v>45088.0</v>
      </c>
      <c r="AA483" s="220" t="str">
        <f t="shared" si="378"/>
        <v/>
      </c>
      <c r="AB483" s="220"/>
      <c r="AC483" s="220">
        <f t="shared" si="364"/>
        <v>0</v>
      </c>
      <c r="AD483" s="220">
        <f t="shared" si="365"/>
        <v>-10</v>
      </c>
      <c r="AE483" s="221"/>
      <c r="AF483" s="219">
        <v>45088.0</v>
      </c>
      <c r="AG483" s="220" t="str">
        <f t="shared" si="379"/>
        <v/>
      </c>
      <c r="AH483" s="220"/>
      <c r="AI483" s="220">
        <f t="shared" si="366"/>
        <v>0</v>
      </c>
      <c r="AJ483" s="220">
        <f t="shared" si="367"/>
        <v>-10</v>
      </c>
      <c r="AK483" s="221"/>
      <c r="AL483" s="219">
        <v>45088.0</v>
      </c>
      <c r="AM483" s="220" t="str">
        <f t="shared" si="380"/>
        <v/>
      </c>
      <c r="AN483" s="220"/>
      <c r="AO483" s="220">
        <f t="shared" si="368"/>
        <v>0</v>
      </c>
      <c r="AP483" s="220">
        <f t="shared" si="369"/>
        <v>-10</v>
      </c>
      <c r="AQ483" s="221"/>
      <c r="AR483" s="219">
        <v>45088.0</v>
      </c>
      <c r="AS483" s="220" t="str">
        <f t="shared" si="381"/>
        <v/>
      </c>
      <c r="AT483" s="220"/>
      <c r="AU483" s="220">
        <f t="shared" si="370"/>
        <v>0</v>
      </c>
      <c r="AV483" s="220">
        <f t="shared" si="371"/>
        <v>-10</v>
      </c>
      <c r="AW483" s="221"/>
      <c r="AX483" s="219">
        <v>45088.0</v>
      </c>
      <c r="AY483" s="220" t="str">
        <f t="shared" si="382"/>
        <v/>
      </c>
      <c r="AZ483" s="220"/>
      <c r="BA483" s="220">
        <f t="shared" si="372"/>
        <v>0</v>
      </c>
      <c r="BB483" s="220">
        <f t="shared" si="373"/>
        <v>-10</v>
      </c>
    </row>
    <row r="484" ht="14.25" customHeight="1">
      <c r="A484" s="218"/>
      <c r="B484" s="219">
        <v>45089.0</v>
      </c>
      <c r="C484" s="220" t="str">
        <f t="shared" si="374"/>
        <v/>
      </c>
      <c r="D484" s="220"/>
      <c r="E484" s="220">
        <f t="shared" si="356"/>
        <v>0</v>
      </c>
      <c r="F484" s="220">
        <f t="shared" si="357"/>
        <v>-10</v>
      </c>
      <c r="H484" s="219">
        <v>45089.0</v>
      </c>
      <c r="I484" s="220" t="str">
        <f t="shared" si="375"/>
        <v/>
      </c>
      <c r="J484" s="220"/>
      <c r="K484" s="220">
        <f t="shared" si="358"/>
        <v>0</v>
      </c>
      <c r="L484" s="220">
        <f t="shared" si="359"/>
        <v>-10</v>
      </c>
      <c r="N484" s="219">
        <v>45089.0</v>
      </c>
      <c r="O484" s="220" t="str">
        <f t="shared" si="376"/>
        <v/>
      </c>
      <c r="P484" s="220"/>
      <c r="Q484" s="220">
        <f t="shared" si="360"/>
        <v>0</v>
      </c>
      <c r="R484" s="220">
        <f t="shared" si="361"/>
        <v>-10</v>
      </c>
      <c r="T484" s="219">
        <v>45089.0</v>
      </c>
      <c r="U484" s="220" t="str">
        <f t="shared" si="377"/>
        <v/>
      </c>
      <c r="V484" s="220"/>
      <c r="W484" s="220">
        <f t="shared" si="362"/>
        <v>0</v>
      </c>
      <c r="X484" s="220">
        <f t="shared" si="363"/>
        <v>-10</v>
      </c>
      <c r="Z484" s="219">
        <v>45089.0</v>
      </c>
      <c r="AA484" s="220" t="str">
        <f t="shared" si="378"/>
        <v/>
      </c>
      <c r="AB484" s="220"/>
      <c r="AC484" s="220">
        <f t="shared" si="364"/>
        <v>0</v>
      </c>
      <c r="AD484" s="220">
        <f t="shared" si="365"/>
        <v>-10</v>
      </c>
      <c r="AF484" s="219">
        <v>45089.0</v>
      </c>
      <c r="AG484" s="220" t="str">
        <f t="shared" si="379"/>
        <v/>
      </c>
      <c r="AH484" s="220"/>
      <c r="AI484" s="220">
        <f t="shared" si="366"/>
        <v>0</v>
      </c>
      <c r="AJ484" s="220">
        <f t="shared" si="367"/>
        <v>-10</v>
      </c>
      <c r="AL484" s="219">
        <v>45089.0</v>
      </c>
      <c r="AM484" s="220" t="str">
        <f t="shared" si="380"/>
        <v/>
      </c>
      <c r="AN484" s="220"/>
      <c r="AO484" s="220">
        <f t="shared" si="368"/>
        <v>0</v>
      </c>
      <c r="AP484" s="220">
        <f t="shared" si="369"/>
        <v>-10</v>
      </c>
      <c r="AR484" s="219">
        <v>45089.0</v>
      </c>
      <c r="AS484" s="220" t="str">
        <f t="shared" si="381"/>
        <v/>
      </c>
      <c r="AT484" s="220"/>
      <c r="AU484" s="220">
        <f t="shared" si="370"/>
        <v>0</v>
      </c>
      <c r="AV484" s="220">
        <f t="shared" si="371"/>
        <v>-10</v>
      </c>
      <c r="AX484" s="219">
        <v>45089.0</v>
      </c>
      <c r="AY484" s="220" t="str">
        <f t="shared" si="382"/>
        <v/>
      </c>
      <c r="AZ484" s="220"/>
      <c r="BA484" s="220">
        <f t="shared" si="372"/>
        <v>0</v>
      </c>
      <c r="BB484" s="220">
        <f t="shared" si="373"/>
        <v>-10</v>
      </c>
    </row>
    <row r="485" ht="14.25" customHeight="1">
      <c r="A485" s="218"/>
      <c r="B485" s="219">
        <v>45090.0</v>
      </c>
      <c r="C485" s="220" t="str">
        <f t="shared" si="374"/>
        <v/>
      </c>
      <c r="D485" s="220"/>
      <c r="E485" s="220">
        <f t="shared" si="356"/>
        <v>0</v>
      </c>
      <c r="F485" s="220">
        <f t="shared" si="357"/>
        <v>-10</v>
      </c>
      <c r="H485" s="219">
        <v>45090.0</v>
      </c>
      <c r="I485" s="220" t="str">
        <f t="shared" si="375"/>
        <v/>
      </c>
      <c r="J485" s="220"/>
      <c r="K485" s="220">
        <f t="shared" si="358"/>
        <v>0</v>
      </c>
      <c r="L485" s="220">
        <f t="shared" si="359"/>
        <v>-10</v>
      </c>
      <c r="N485" s="219">
        <v>45090.0</v>
      </c>
      <c r="O485" s="220" t="str">
        <f t="shared" si="376"/>
        <v/>
      </c>
      <c r="P485" s="220"/>
      <c r="Q485" s="220">
        <f t="shared" si="360"/>
        <v>0</v>
      </c>
      <c r="R485" s="220">
        <f t="shared" si="361"/>
        <v>-10</v>
      </c>
      <c r="T485" s="219">
        <v>45090.0</v>
      </c>
      <c r="U485" s="220" t="str">
        <f t="shared" si="377"/>
        <v/>
      </c>
      <c r="V485" s="220"/>
      <c r="W485" s="220">
        <f t="shared" si="362"/>
        <v>0</v>
      </c>
      <c r="X485" s="220">
        <f t="shared" si="363"/>
        <v>-10</v>
      </c>
      <c r="Z485" s="219">
        <v>45090.0</v>
      </c>
      <c r="AA485" s="220" t="str">
        <f t="shared" si="378"/>
        <v/>
      </c>
      <c r="AB485" s="220"/>
      <c r="AC485" s="220">
        <f t="shared" si="364"/>
        <v>0</v>
      </c>
      <c r="AD485" s="220">
        <f t="shared" si="365"/>
        <v>-10</v>
      </c>
      <c r="AF485" s="219">
        <v>45090.0</v>
      </c>
      <c r="AG485" s="220" t="str">
        <f t="shared" si="379"/>
        <v/>
      </c>
      <c r="AH485" s="220"/>
      <c r="AI485" s="220">
        <f t="shared" si="366"/>
        <v>0</v>
      </c>
      <c r="AJ485" s="220">
        <f t="shared" si="367"/>
        <v>-10</v>
      </c>
      <c r="AL485" s="219">
        <v>45090.0</v>
      </c>
      <c r="AM485" s="220" t="str">
        <f t="shared" si="380"/>
        <v/>
      </c>
      <c r="AN485" s="220"/>
      <c r="AO485" s="220">
        <f t="shared" si="368"/>
        <v>0</v>
      </c>
      <c r="AP485" s="220">
        <f t="shared" si="369"/>
        <v>-10</v>
      </c>
      <c r="AR485" s="219">
        <v>45090.0</v>
      </c>
      <c r="AS485" s="220" t="str">
        <f t="shared" si="381"/>
        <v/>
      </c>
      <c r="AT485" s="220"/>
      <c r="AU485" s="220">
        <f t="shared" si="370"/>
        <v>0</v>
      </c>
      <c r="AV485" s="220">
        <f t="shared" si="371"/>
        <v>-10</v>
      </c>
      <c r="AX485" s="219">
        <v>45090.0</v>
      </c>
      <c r="AY485" s="220" t="str">
        <f t="shared" si="382"/>
        <v/>
      </c>
      <c r="AZ485" s="220"/>
      <c r="BA485" s="220">
        <f t="shared" si="372"/>
        <v>0</v>
      </c>
      <c r="BB485" s="220">
        <f t="shared" si="373"/>
        <v>-10</v>
      </c>
    </row>
    <row r="486" ht="14.25" customHeight="1">
      <c r="A486" s="218"/>
      <c r="B486" s="219">
        <v>45091.0</v>
      </c>
      <c r="C486" s="220" t="str">
        <f t="shared" si="374"/>
        <v/>
      </c>
      <c r="D486" s="220"/>
      <c r="E486" s="220">
        <f t="shared" si="356"/>
        <v>0</v>
      </c>
      <c r="F486" s="220">
        <f t="shared" si="357"/>
        <v>-10</v>
      </c>
      <c r="H486" s="219">
        <v>45091.0</v>
      </c>
      <c r="I486" s="220" t="str">
        <f t="shared" si="375"/>
        <v/>
      </c>
      <c r="J486" s="220"/>
      <c r="K486" s="220">
        <f t="shared" si="358"/>
        <v>0</v>
      </c>
      <c r="L486" s="220">
        <f t="shared" si="359"/>
        <v>-10</v>
      </c>
      <c r="N486" s="219">
        <v>45091.0</v>
      </c>
      <c r="O486" s="220" t="str">
        <f t="shared" si="376"/>
        <v/>
      </c>
      <c r="P486" s="220"/>
      <c r="Q486" s="220">
        <f t="shared" si="360"/>
        <v>0</v>
      </c>
      <c r="R486" s="220">
        <f t="shared" si="361"/>
        <v>-10</v>
      </c>
      <c r="T486" s="219">
        <v>45091.0</v>
      </c>
      <c r="U486" s="220" t="str">
        <f t="shared" si="377"/>
        <v/>
      </c>
      <c r="V486" s="220"/>
      <c r="W486" s="220">
        <f t="shared" si="362"/>
        <v>0</v>
      </c>
      <c r="X486" s="220">
        <f t="shared" si="363"/>
        <v>-10</v>
      </c>
      <c r="Z486" s="219">
        <v>45091.0</v>
      </c>
      <c r="AA486" s="220" t="str">
        <f t="shared" si="378"/>
        <v/>
      </c>
      <c r="AB486" s="220"/>
      <c r="AC486" s="220">
        <f t="shared" si="364"/>
        <v>0</v>
      </c>
      <c r="AD486" s="220">
        <f t="shared" si="365"/>
        <v>-10</v>
      </c>
      <c r="AF486" s="219">
        <v>45091.0</v>
      </c>
      <c r="AG486" s="220" t="str">
        <f t="shared" si="379"/>
        <v/>
      </c>
      <c r="AH486" s="220"/>
      <c r="AI486" s="220">
        <f t="shared" si="366"/>
        <v>0</v>
      </c>
      <c r="AJ486" s="220">
        <f t="shared" si="367"/>
        <v>-10</v>
      </c>
      <c r="AL486" s="219">
        <v>45091.0</v>
      </c>
      <c r="AM486" s="220" t="str">
        <f t="shared" si="380"/>
        <v/>
      </c>
      <c r="AN486" s="220"/>
      <c r="AO486" s="220">
        <f t="shared" si="368"/>
        <v>0</v>
      </c>
      <c r="AP486" s="220">
        <f t="shared" si="369"/>
        <v>-10</v>
      </c>
      <c r="AR486" s="219">
        <v>45091.0</v>
      </c>
      <c r="AS486" s="220" t="str">
        <f t="shared" si="381"/>
        <v/>
      </c>
      <c r="AT486" s="220"/>
      <c r="AU486" s="220">
        <f t="shared" si="370"/>
        <v>0</v>
      </c>
      <c r="AV486" s="220">
        <f t="shared" si="371"/>
        <v>-10</v>
      </c>
      <c r="AX486" s="219">
        <v>45091.0</v>
      </c>
      <c r="AY486" s="220" t="str">
        <f t="shared" si="382"/>
        <v/>
      </c>
      <c r="AZ486" s="220"/>
      <c r="BA486" s="220">
        <f t="shared" si="372"/>
        <v>0</v>
      </c>
      <c r="BB486" s="220">
        <f t="shared" si="373"/>
        <v>-10</v>
      </c>
    </row>
    <row r="487" ht="14.25" customHeight="1">
      <c r="A487" s="218"/>
      <c r="B487" s="219">
        <v>45092.0</v>
      </c>
      <c r="C487" s="220" t="str">
        <f t="shared" si="374"/>
        <v/>
      </c>
      <c r="D487" s="220"/>
      <c r="E487" s="220">
        <f t="shared" si="356"/>
        <v>0</v>
      </c>
      <c r="F487" s="220">
        <f t="shared" si="357"/>
        <v>-10</v>
      </c>
      <c r="H487" s="219">
        <v>45092.0</v>
      </c>
      <c r="I487" s="220" t="str">
        <f t="shared" si="375"/>
        <v/>
      </c>
      <c r="J487" s="220"/>
      <c r="K487" s="220">
        <f t="shared" si="358"/>
        <v>0</v>
      </c>
      <c r="L487" s="220">
        <f t="shared" si="359"/>
        <v>-10</v>
      </c>
      <c r="N487" s="219">
        <v>45092.0</v>
      </c>
      <c r="O487" s="220" t="str">
        <f t="shared" si="376"/>
        <v/>
      </c>
      <c r="P487" s="220"/>
      <c r="Q487" s="220">
        <f t="shared" si="360"/>
        <v>0</v>
      </c>
      <c r="R487" s="220">
        <f t="shared" si="361"/>
        <v>-10</v>
      </c>
      <c r="T487" s="219">
        <v>45092.0</v>
      </c>
      <c r="U487" s="220" t="str">
        <f t="shared" si="377"/>
        <v/>
      </c>
      <c r="V487" s="220"/>
      <c r="W487" s="220">
        <f t="shared" si="362"/>
        <v>0</v>
      </c>
      <c r="X487" s="220">
        <f t="shared" si="363"/>
        <v>-10</v>
      </c>
      <c r="Z487" s="219">
        <v>45092.0</v>
      </c>
      <c r="AA487" s="220" t="str">
        <f t="shared" si="378"/>
        <v/>
      </c>
      <c r="AB487" s="220"/>
      <c r="AC487" s="220">
        <f t="shared" si="364"/>
        <v>0</v>
      </c>
      <c r="AD487" s="220">
        <f t="shared" si="365"/>
        <v>-10</v>
      </c>
      <c r="AF487" s="219">
        <v>45092.0</v>
      </c>
      <c r="AG487" s="220" t="str">
        <f t="shared" si="379"/>
        <v/>
      </c>
      <c r="AH487" s="220"/>
      <c r="AI487" s="220">
        <f t="shared" si="366"/>
        <v>0</v>
      </c>
      <c r="AJ487" s="220">
        <f t="shared" si="367"/>
        <v>-10</v>
      </c>
      <c r="AL487" s="219">
        <v>45092.0</v>
      </c>
      <c r="AM487" s="220" t="str">
        <f t="shared" si="380"/>
        <v/>
      </c>
      <c r="AN487" s="220"/>
      <c r="AO487" s="220">
        <f t="shared" si="368"/>
        <v>0</v>
      </c>
      <c r="AP487" s="220">
        <f t="shared" si="369"/>
        <v>-10</v>
      </c>
      <c r="AR487" s="219">
        <v>45092.0</v>
      </c>
      <c r="AS487" s="220" t="str">
        <f t="shared" si="381"/>
        <v/>
      </c>
      <c r="AT487" s="220"/>
      <c r="AU487" s="220">
        <f t="shared" si="370"/>
        <v>0</v>
      </c>
      <c r="AV487" s="220">
        <f t="shared" si="371"/>
        <v>-10</v>
      </c>
      <c r="AX487" s="219">
        <v>45092.0</v>
      </c>
      <c r="AY487" s="220" t="str">
        <f t="shared" si="382"/>
        <v/>
      </c>
      <c r="AZ487" s="220"/>
      <c r="BA487" s="220">
        <f t="shared" si="372"/>
        <v>0</v>
      </c>
      <c r="BB487" s="220">
        <f t="shared" si="373"/>
        <v>-10</v>
      </c>
    </row>
    <row r="488" ht="14.25" customHeight="1">
      <c r="A488" s="218"/>
      <c r="B488" s="219">
        <v>45093.0</v>
      </c>
      <c r="C488" s="220" t="str">
        <f t="shared" si="374"/>
        <v/>
      </c>
      <c r="D488" s="220"/>
      <c r="E488" s="220">
        <f t="shared" si="356"/>
        <v>0</v>
      </c>
      <c r="F488" s="220">
        <f t="shared" si="357"/>
        <v>-10</v>
      </c>
      <c r="H488" s="219">
        <v>45093.0</v>
      </c>
      <c r="I488" s="220" t="str">
        <f t="shared" si="375"/>
        <v/>
      </c>
      <c r="J488" s="220"/>
      <c r="K488" s="220">
        <f t="shared" si="358"/>
        <v>0</v>
      </c>
      <c r="L488" s="220">
        <f t="shared" si="359"/>
        <v>-10</v>
      </c>
      <c r="N488" s="219">
        <v>45093.0</v>
      </c>
      <c r="O488" s="220" t="str">
        <f t="shared" si="376"/>
        <v/>
      </c>
      <c r="P488" s="220"/>
      <c r="Q488" s="220">
        <f t="shared" si="360"/>
        <v>0</v>
      </c>
      <c r="R488" s="220">
        <f t="shared" si="361"/>
        <v>-10</v>
      </c>
      <c r="T488" s="219">
        <v>45093.0</v>
      </c>
      <c r="U488" s="220" t="str">
        <f t="shared" si="377"/>
        <v/>
      </c>
      <c r="V488" s="220"/>
      <c r="W488" s="220">
        <f t="shared" si="362"/>
        <v>0</v>
      </c>
      <c r="X488" s="220">
        <f t="shared" si="363"/>
        <v>-10</v>
      </c>
      <c r="Z488" s="219">
        <v>45093.0</v>
      </c>
      <c r="AA488" s="220" t="str">
        <f t="shared" si="378"/>
        <v/>
      </c>
      <c r="AB488" s="220"/>
      <c r="AC488" s="220">
        <f t="shared" si="364"/>
        <v>0</v>
      </c>
      <c r="AD488" s="220">
        <f t="shared" si="365"/>
        <v>-10</v>
      </c>
      <c r="AF488" s="219">
        <v>45093.0</v>
      </c>
      <c r="AG488" s="220" t="str">
        <f t="shared" si="379"/>
        <v/>
      </c>
      <c r="AH488" s="220"/>
      <c r="AI488" s="220">
        <f t="shared" si="366"/>
        <v>0</v>
      </c>
      <c r="AJ488" s="220">
        <f t="shared" si="367"/>
        <v>-10</v>
      </c>
      <c r="AL488" s="219">
        <v>45093.0</v>
      </c>
      <c r="AM488" s="220" t="str">
        <f t="shared" si="380"/>
        <v/>
      </c>
      <c r="AN488" s="220"/>
      <c r="AO488" s="220">
        <f t="shared" si="368"/>
        <v>0</v>
      </c>
      <c r="AP488" s="220">
        <f t="shared" si="369"/>
        <v>-10</v>
      </c>
      <c r="AR488" s="219">
        <v>45093.0</v>
      </c>
      <c r="AS488" s="220" t="str">
        <f t="shared" si="381"/>
        <v/>
      </c>
      <c r="AT488" s="220"/>
      <c r="AU488" s="220">
        <f t="shared" si="370"/>
        <v>0</v>
      </c>
      <c r="AV488" s="220">
        <f t="shared" si="371"/>
        <v>-10</v>
      </c>
      <c r="AX488" s="219">
        <v>45093.0</v>
      </c>
      <c r="AY488" s="220" t="str">
        <f t="shared" si="382"/>
        <v/>
      </c>
      <c r="AZ488" s="220"/>
      <c r="BA488" s="220">
        <f t="shared" si="372"/>
        <v>0</v>
      </c>
      <c r="BB488" s="220">
        <f t="shared" si="373"/>
        <v>-10</v>
      </c>
    </row>
    <row r="489" ht="14.25" customHeight="1">
      <c r="A489" s="218"/>
      <c r="B489" s="219">
        <v>45094.0</v>
      </c>
      <c r="C489" s="220" t="str">
        <f t="shared" si="374"/>
        <v/>
      </c>
      <c r="D489" s="220"/>
      <c r="E489" s="220">
        <f t="shared" si="356"/>
        <v>0</v>
      </c>
      <c r="F489" s="220">
        <f t="shared" si="357"/>
        <v>-10</v>
      </c>
      <c r="G489" s="221"/>
      <c r="H489" s="219">
        <v>45094.0</v>
      </c>
      <c r="I489" s="220" t="str">
        <f t="shared" si="375"/>
        <v/>
      </c>
      <c r="J489" s="220"/>
      <c r="K489" s="220">
        <f t="shared" si="358"/>
        <v>0</v>
      </c>
      <c r="L489" s="220">
        <f t="shared" si="359"/>
        <v>-10</v>
      </c>
      <c r="M489" s="221"/>
      <c r="N489" s="219">
        <v>45094.0</v>
      </c>
      <c r="O489" s="220" t="str">
        <f t="shared" si="376"/>
        <v/>
      </c>
      <c r="P489" s="220"/>
      <c r="Q489" s="220">
        <f t="shared" si="360"/>
        <v>0</v>
      </c>
      <c r="R489" s="220">
        <f t="shared" si="361"/>
        <v>-10</v>
      </c>
      <c r="S489" s="221"/>
      <c r="T489" s="219">
        <v>45094.0</v>
      </c>
      <c r="U489" s="220" t="str">
        <f t="shared" si="377"/>
        <v/>
      </c>
      <c r="V489" s="220"/>
      <c r="W489" s="220">
        <f t="shared" si="362"/>
        <v>0</v>
      </c>
      <c r="X489" s="220">
        <f t="shared" si="363"/>
        <v>-10</v>
      </c>
      <c r="Y489" s="221"/>
      <c r="Z489" s="219">
        <v>45094.0</v>
      </c>
      <c r="AA489" s="220" t="str">
        <f t="shared" si="378"/>
        <v/>
      </c>
      <c r="AB489" s="220"/>
      <c r="AC489" s="220">
        <f t="shared" si="364"/>
        <v>0</v>
      </c>
      <c r="AD489" s="220">
        <f t="shared" si="365"/>
        <v>-10</v>
      </c>
      <c r="AE489" s="221"/>
      <c r="AF489" s="219">
        <v>45094.0</v>
      </c>
      <c r="AG489" s="220" t="str">
        <f t="shared" si="379"/>
        <v/>
      </c>
      <c r="AH489" s="220"/>
      <c r="AI489" s="220">
        <f t="shared" si="366"/>
        <v>0</v>
      </c>
      <c r="AJ489" s="220">
        <f t="shared" si="367"/>
        <v>-10</v>
      </c>
      <c r="AK489" s="221"/>
      <c r="AL489" s="219">
        <v>45094.0</v>
      </c>
      <c r="AM489" s="220" t="str">
        <f t="shared" si="380"/>
        <v/>
      </c>
      <c r="AN489" s="220"/>
      <c r="AO489" s="220">
        <f t="shared" si="368"/>
        <v>0</v>
      </c>
      <c r="AP489" s="220">
        <f t="shared" si="369"/>
        <v>-10</v>
      </c>
      <c r="AQ489" s="221"/>
      <c r="AR489" s="219">
        <v>45094.0</v>
      </c>
      <c r="AS489" s="220" t="str">
        <f t="shared" si="381"/>
        <v/>
      </c>
      <c r="AT489" s="220"/>
      <c r="AU489" s="220">
        <f t="shared" si="370"/>
        <v>0</v>
      </c>
      <c r="AV489" s="220">
        <f t="shared" si="371"/>
        <v>-10</v>
      </c>
      <c r="AW489" s="221"/>
      <c r="AX489" s="219">
        <v>45094.0</v>
      </c>
      <c r="AY489" s="220" t="str">
        <f t="shared" si="382"/>
        <v/>
      </c>
      <c r="AZ489" s="220"/>
      <c r="BA489" s="220">
        <f t="shared" si="372"/>
        <v>0</v>
      </c>
      <c r="BB489" s="220">
        <f t="shared" si="373"/>
        <v>-10</v>
      </c>
    </row>
    <row r="490" ht="14.25" customHeight="1">
      <c r="A490" s="218"/>
      <c r="B490" s="219">
        <v>45095.0</v>
      </c>
      <c r="C490" s="220" t="str">
        <f t="shared" si="374"/>
        <v/>
      </c>
      <c r="D490" s="220"/>
      <c r="E490" s="220">
        <f t="shared" si="356"/>
        <v>0</v>
      </c>
      <c r="F490" s="220">
        <f t="shared" si="357"/>
        <v>-10</v>
      </c>
      <c r="G490" s="221"/>
      <c r="H490" s="219">
        <v>45095.0</v>
      </c>
      <c r="I490" s="220" t="str">
        <f t="shared" si="375"/>
        <v/>
      </c>
      <c r="J490" s="220"/>
      <c r="K490" s="220">
        <f t="shared" si="358"/>
        <v>0</v>
      </c>
      <c r="L490" s="220">
        <f t="shared" si="359"/>
        <v>-10</v>
      </c>
      <c r="M490" s="221"/>
      <c r="N490" s="219">
        <v>45095.0</v>
      </c>
      <c r="O490" s="220" t="str">
        <f t="shared" si="376"/>
        <v/>
      </c>
      <c r="P490" s="220"/>
      <c r="Q490" s="220">
        <f t="shared" si="360"/>
        <v>0</v>
      </c>
      <c r="R490" s="220">
        <f t="shared" si="361"/>
        <v>-10</v>
      </c>
      <c r="S490" s="221"/>
      <c r="T490" s="219">
        <v>45095.0</v>
      </c>
      <c r="U490" s="220" t="str">
        <f t="shared" si="377"/>
        <v/>
      </c>
      <c r="V490" s="220"/>
      <c r="W490" s="220">
        <f t="shared" si="362"/>
        <v>0</v>
      </c>
      <c r="X490" s="220">
        <f t="shared" si="363"/>
        <v>-10</v>
      </c>
      <c r="Y490" s="221"/>
      <c r="Z490" s="219">
        <v>45095.0</v>
      </c>
      <c r="AA490" s="220" t="str">
        <f t="shared" si="378"/>
        <v/>
      </c>
      <c r="AB490" s="220"/>
      <c r="AC490" s="220">
        <f t="shared" si="364"/>
        <v>0</v>
      </c>
      <c r="AD490" s="220">
        <f t="shared" si="365"/>
        <v>-10</v>
      </c>
      <c r="AE490" s="221"/>
      <c r="AF490" s="219">
        <v>45095.0</v>
      </c>
      <c r="AG490" s="220" t="str">
        <f t="shared" si="379"/>
        <v/>
      </c>
      <c r="AH490" s="220"/>
      <c r="AI490" s="220">
        <f t="shared" si="366"/>
        <v>0</v>
      </c>
      <c r="AJ490" s="220">
        <f t="shared" si="367"/>
        <v>-10</v>
      </c>
      <c r="AK490" s="221"/>
      <c r="AL490" s="219">
        <v>45095.0</v>
      </c>
      <c r="AM490" s="220" t="str">
        <f t="shared" si="380"/>
        <v/>
      </c>
      <c r="AN490" s="220"/>
      <c r="AO490" s="220">
        <f t="shared" si="368"/>
        <v>0</v>
      </c>
      <c r="AP490" s="220">
        <f t="shared" si="369"/>
        <v>-10</v>
      </c>
      <c r="AQ490" s="221"/>
      <c r="AR490" s="219">
        <v>45095.0</v>
      </c>
      <c r="AS490" s="220" t="str">
        <f t="shared" si="381"/>
        <v/>
      </c>
      <c r="AT490" s="220"/>
      <c r="AU490" s="220">
        <f t="shared" si="370"/>
        <v>0</v>
      </c>
      <c r="AV490" s="220">
        <f t="shared" si="371"/>
        <v>-10</v>
      </c>
      <c r="AW490" s="221"/>
      <c r="AX490" s="219">
        <v>45095.0</v>
      </c>
      <c r="AY490" s="220" t="str">
        <f t="shared" si="382"/>
        <v/>
      </c>
      <c r="AZ490" s="220"/>
      <c r="BA490" s="220">
        <f t="shared" si="372"/>
        <v>0</v>
      </c>
      <c r="BB490" s="220">
        <f t="shared" si="373"/>
        <v>-10</v>
      </c>
    </row>
    <row r="491" ht="14.25" customHeight="1">
      <c r="A491" s="218"/>
      <c r="B491" s="219">
        <v>45096.0</v>
      </c>
      <c r="C491" s="220" t="str">
        <f t="shared" si="374"/>
        <v/>
      </c>
      <c r="D491" s="220"/>
      <c r="E491" s="220">
        <f t="shared" si="356"/>
        <v>0</v>
      </c>
      <c r="F491" s="220">
        <f t="shared" si="357"/>
        <v>-10</v>
      </c>
      <c r="H491" s="219">
        <v>45096.0</v>
      </c>
      <c r="I491" s="220" t="str">
        <f t="shared" si="375"/>
        <v/>
      </c>
      <c r="J491" s="220"/>
      <c r="K491" s="220">
        <f t="shared" si="358"/>
        <v>0</v>
      </c>
      <c r="L491" s="220">
        <f t="shared" si="359"/>
        <v>-10</v>
      </c>
      <c r="N491" s="219">
        <v>45096.0</v>
      </c>
      <c r="O491" s="220" t="str">
        <f t="shared" si="376"/>
        <v/>
      </c>
      <c r="P491" s="220"/>
      <c r="Q491" s="220">
        <f t="shared" si="360"/>
        <v>0</v>
      </c>
      <c r="R491" s="220">
        <f t="shared" si="361"/>
        <v>-10</v>
      </c>
      <c r="T491" s="219">
        <v>45096.0</v>
      </c>
      <c r="U491" s="220" t="str">
        <f t="shared" si="377"/>
        <v/>
      </c>
      <c r="V491" s="220"/>
      <c r="W491" s="220">
        <f t="shared" si="362"/>
        <v>0</v>
      </c>
      <c r="X491" s="220">
        <f t="shared" si="363"/>
        <v>-10</v>
      </c>
      <c r="Z491" s="219">
        <v>45096.0</v>
      </c>
      <c r="AA491" s="220" t="str">
        <f t="shared" si="378"/>
        <v/>
      </c>
      <c r="AB491" s="220"/>
      <c r="AC491" s="220">
        <f t="shared" si="364"/>
        <v>0</v>
      </c>
      <c r="AD491" s="220">
        <f t="shared" si="365"/>
        <v>-10</v>
      </c>
      <c r="AF491" s="219">
        <v>45096.0</v>
      </c>
      <c r="AG491" s="220" t="str">
        <f t="shared" si="379"/>
        <v/>
      </c>
      <c r="AH491" s="220"/>
      <c r="AI491" s="220">
        <f t="shared" si="366"/>
        <v>0</v>
      </c>
      <c r="AJ491" s="220">
        <f t="shared" si="367"/>
        <v>-10</v>
      </c>
      <c r="AL491" s="219">
        <v>45096.0</v>
      </c>
      <c r="AM491" s="220" t="str">
        <f t="shared" si="380"/>
        <v/>
      </c>
      <c r="AN491" s="220"/>
      <c r="AO491" s="220">
        <f t="shared" si="368"/>
        <v>0</v>
      </c>
      <c r="AP491" s="220">
        <f t="shared" si="369"/>
        <v>-10</v>
      </c>
      <c r="AR491" s="219">
        <v>45096.0</v>
      </c>
      <c r="AS491" s="220" t="str">
        <f t="shared" si="381"/>
        <v/>
      </c>
      <c r="AT491" s="220"/>
      <c r="AU491" s="220">
        <f t="shared" si="370"/>
        <v>0</v>
      </c>
      <c r="AV491" s="220">
        <f t="shared" si="371"/>
        <v>-10</v>
      </c>
      <c r="AX491" s="219">
        <v>45096.0</v>
      </c>
      <c r="AY491" s="220" t="str">
        <f t="shared" si="382"/>
        <v/>
      </c>
      <c r="AZ491" s="220"/>
      <c r="BA491" s="220">
        <f t="shared" si="372"/>
        <v>0</v>
      </c>
      <c r="BB491" s="220">
        <f t="shared" si="373"/>
        <v>-10</v>
      </c>
    </row>
    <row r="492" ht="14.25" customHeight="1">
      <c r="A492" s="218"/>
      <c r="B492" s="219">
        <v>45097.0</v>
      </c>
      <c r="C492" s="220" t="str">
        <f t="shared" si="374"/>
        <v/>
      </c>
      <c r="D492" s="220"/>
      <c r="E492" s="220">
        <f t="shared" si="356"/>
        <v>0</v>
      </c>
      <c r="F492" s="220">
        <f t="shared" si="357"/>
        <v>-10</v>
      </c>
      <c r="H492" s="219">
        <v>45097.0</v>
      </c>
      <c r="I492" s="220" t="str">
        <f t="shared" si="375"/>
        <v/>
      </c>
      <c r="J492" s="220"/>
      <c r="K492" s="220">
        <f t="shared" si="358"/>
        <v>0</v>
      </c>
      <c r="L492" s="220">
        <f t="shared" si="359"/>
        <v>-10</v>
      </c>
      <c r="N492" s="219">
        <v>45097.0</v>
      </c>
      <c r="O492" s="220" t="str">
        <f t="shared" si="376"/>
        <v/>
      </c>
      <c r="P492" s="220"/>
      <c r="Q492" s="220">
        <f t="shared" si="360"/>
        <v>0</v>
      </c>
      <c r="R492" s="220">
        <f t="shared" si="361"/>
        <v>-10</v>
      </c>
      <c r="T492" s="219">
        <v>45097.0</v>
      </c>
      <c r="U492" s="220" t="str">
        <f t="shared" si="377"/>
        <v/>
      </c>
      <c r="V492" s="220"/>
      <c r="W492" s="220">
        <f t="shared" si="362"/>
        <v>0</v>
      </c>
      <c r="X492" s="220">
        <f t="shared" si="363"/>
        <v>-10</v>
      </c>
      <c r="Z492" s="219">
        <v>45097.0</v>
      </c>
      <c r="AA492" s="220" t="str">
        <f t="shared" si="378"/>
        <v/>
      </c>
      <c r="AB492" s="220"/>
      <c r="AC492" s="220">
        <f t="shared" si="364"/>
        <v>0</v>
      </c>
      <c r="AD492" s="220">
        <f t="shared" si="365"/>
        <v>-10</v>
      </c>
      <c r="AF492" s="219">
        <v>45097.0</v>
      </c>
      <c r="AG492" s="220" t="str">
        <f t="shared" si="379"/>
        <v/>
      </c>
      <c r="AH492" s="220"/>
      <c r="AI492" s="220">
        <f t="shared" si="366"/>
        <v>0</v>
      </c>
      <c r="AJ492" s="220">
        <f t="shared" si="367"/>
        <v>-10</v>
      </c>
      <c r="AL492" s="219">
        <v>45097.0</v>
      </c>
      <c r="AM492" s="220" t="str">
        <f t="shared" si="380"/>
        <v/>
      </c>
      <c r="AN492" s="220"/>
      <c r="AO492" s="220">
        <f t="shared" si="368"/>
        <v>0</v>
      </c>
      <c r="AP492" s="220">
        <f t="shared" si="369"/>
        <v>-10</v>
      </c>
      <c r="AR492" s="219">
        <v>45097.0</v>
      </c>
      <c r="AS492" s="220" t="str">
        <f t="shared" si="381"/>
        <v/>
      </c>
      <c r="AT492" s="220"/>
      <c r="AU492" s="220">
        <f t="shared" si="370"/>
        <v>0</v>
      </c>
      <c r="AV492" s="220">
        <f t="shared" si="371"/>
        <v>-10</v>
      </c>
      <c r="AX492" s="219">
        <v>45097.0</v>
      </c>
      <c r="AY492" s="220" t="str">
        <f t="shared" si="382"/>
        <v/>
      </c>
      <c r="AZ492" s="220"/>
      <c r="BA492" s="220">
        <f t="shared" si="372"/>
        <v>0</v>
      </c>
      <c r="BB492" s="220">
        <f t="shared" si="373"/>
        <v>-10</v>
      </c>
    </row>
    <row r="493" ht="14.25" customHeight="1">
      <c r="A493" s="218"/>
      <c r="B493" s="219">
        <v>45098.0</v>
      </c>
      <c r="C493" s="220" t="str">
        <f t="shared" si="374"/>
        <v/>
      </c>
      <c r="D493" s="220"/>
      <c r="E493" s="220">
        <f t="shared" si="356"/>
        <v>0</v>
      </c>
      <c r="F493" s="220">
        <f t="shared" si="357"/>
        <v>-10</v>
      </c>
      <c r="H493" s="219">
        <v>45098.0</v>
      </c>
      <c r="I493" s="220" t="str">
        <f t="shared" si="375"/>
        <v/>
      </c>
      <c r="J493" s="220"/>
      <c r="K493" s="220">
        <f t="shared" si="358"/>
        <v>0</v>
      </c>
      <c r="L493" s="220">
        <f t="shared" si="359"/>
        <v>-10</v>
      </c>
      <c r="N493" s="219">
        <v>45098.0</v>
      </c>
      <c r="O493" s="220" t="str">
        <f t="shared" si="376"/>
        <v/>
      </c>
      <c r="P493" s="220"/>
      <c r="Q493" s="220">
        <f t="shared" si="360"/>
        <v>0</v>
      </c>
      <c r="R493" s="220">
        <f t="shared" si="361"/>
        <v>-10</v>
      </c>
      <c r="T493" s="219">
        <v>45098.0</v>
      </c>
      <c r="U493" s="220" t="str">
        <f t="shared" si="377"/>
        <v/>
      </c>
      <c r="V493" s="220"/>
      <c r="W493" s="220">
        <f t="shared" si="362"/>
        <v>0</v>
      </c>
      <c r="X493" s="220">
        <f t="shared" si="363"/>
        <v>-10</v>
      </c>
      <c r="Z493" s="219">
        <v>45098.0</v>
      </c>
      <c r="AA493" s="220" t="str">
        <f t="shared" si="378"/>
        <v/>
      </c>
      <c r="AB493" s="220"/>
      <c r="AC493" s="220">
        <f t="shared" si="364"/>
        <v>0</v>
      </c>
      <c r="AD493" s="220">
        <f t="shared" si="365"/>
        <v>-10</v>
      </c>
      <c r="AF493" s="219">
        <v>45098.0</v>
      </c>
      <c r="AG493" s="220" t="str">
        <f t="shared" si="379"/>
        <v/>
      </c>
      <c r="AH493" s="220"/>
      <c r="AI493" s="220">
        <f t="shared" si="366"/>
        <v>0</v>
      </c>
      <c r="AJ493" s="220">
        <f t="shared" si="367"/>
        <v>-10</v>
      </c>
      <c r="AL493" s="219">
        <v>45098.0</v>
      </c>
      <c r="AM493" s="220" t="str">
        <f t="shared" si="380"/>
        <v/>
      </c>
      <c r="AN493" s="220"/>
      <c r="AO493" s="220">
        <f t="shared" si="368"/>
        <v>0</v>
      </c>
      <c r="AP493" s="220">
        <f t="shared" si="369"/>
        <v>-10</v>
      </c>
      <c r="AR493" s="219">
        <v>45098.0</v>
      </c>
      <c r="AS493" s="220" t="str">
        <f t="shared" si="381"/>
        <v/>
      </c>
      <c r="AT493" s="220"/>
      <c r="AU493" s="220">
        <f t="shared" si="370"/>
        <v>0</v>
      </c>
      <c r="AV493" s="220">
        <f t="shared" si="371"/>
        <v>-10</v>
      </c>
      <c r="AX493" s="219">
        <v>45098.0</v>
      </c>
      <c r="AY493" s="220" t="str">
        <f t="shared" si="382"/>
        <v/>
      </c>
      <c r="AZ493" s="220"/>
      <c r="BA493" s="220">
        <f t="shared" si="372"/>
        <v>0</v>
      </c>
      <c r="BB493" s="220">
        <f t="shared" si="373"/>
        <v>-10</v>
      </c>
    </row>
    <row r="494" ht="14.25" customHeight="1">
      <c r="A494" s="218"/>
      <c r="B494" s="219">
        <v>45099.0</v>
      </c>
      <c r="C494" s="220" t="str">
        <f t="shared" si="374"/>
        <v/>
      </c>
      <c r="D494" s="220"/>
      <c r="E494" s="220">
        <f t="shared" si="356"/>
        <v>0</v>
      </c>
      <c r="F494" s="220">
        <f t="shared" si="357"/>
        <v>-10</v>
      </c>
      <c r="H494" s="219">
        <v>45099.0</v>
      </c>
      <c r="I494" s="220" t="str">
        <f t="shared" si="375"/>
        <v/>
      </c>
      <c r="J494" s="220"/>
      <c r="K494" s="220">
        <f t="shared" si="358"/>
        <v>0</v>
      </c>
      <c r="L494" s="220">
        <f t="shared" si="359"/>
        <v>-10</v>
      </c>
      <c r="N494" s="219">
        <v>45099.0</v>
      </c>
      <c r="O494" s="220" t="str">
        <f t="shared" si="376"/>
        <v/>
      </c>
      <c r="P494" s="220"/>
      <c r="Q494" s="220">
        <f t="shared" si="360"/>
        <v>0</v>
      </c>
      <c r="R494" s="220">
        <f t="shared" si="361"/>
        <v>-10</v>
      </c>
      <c r="T494" s="219">
        <v>45099.0</v>
      </c>
      <c r="U494" s="220" t="str">
        <f t="shared" si="377"/>
        <v/>
      </c>
      <c r="V494" s="220"/>
      <c r="W494" s="220">
        <f t="shared" si="362"/>
        <v>0</v>
      </c>
      <c r="X494" s="220">
        <f t="shared" si="363"/>
        <v>-10</v>
      </c>
      <c r="Z494" s="219">
        <v>45099.0</v>
      </c>
      <c r="AA494" s="220" t="str">
        <f t="shared" si="378"/>
        <v/>
      </c>
      <c r="AB494" s="220"/>
      <c r="AC494" s="220">
        <f t="shared" si="364"/>
        <v>0</v>
      </c>
      <c r="AD494" s="220">
        <f t="shared" si="365"/>
        <v>-10</v>
      </c>
      <c r="AF494" s="219">
        <v>45099.0</v>
      </c>
      <c r="AG494" s="220" t="str">
        <f t="shared" si="379"/>
        <v/>
      </c>
      <c r="AH494" s="220"/>
      <c r="AI494" s="220">
        <f t="shared" si="366"/>
        <v>0</v>
      </c>
      <c r="AJ494" s="220">
        <f t="shared" si="367"/>
        <v>-10</v>
      </c>
      <c r="AL494" s="219">
        <v>45099.0</v>
      </c>
      <c r="AM494" s="220" t="str">
        <f t="shared" si="380"/>
        <v/>
      </c>
      <c r="AN494" s="220"/>
      <c r="AO494" s="220">
        <f t="shared" si="368"/>
        <v>0</v>
      </c>
      <c r="AP494" s="220">
        <f t="shared" si="369"/>
        <v>-10</v>
      </c>
      <c r="AR494" s="219">
        <v>45099.0</v>
      </c>
      <c r="AS494" s="220" t="str">
        <f t="shared" si="381"/>
        <v/>
      </c>
      <c r="AT494" s="220"/>
      <c r="AU494" s="220">
        <f t="shared" si="370"/>
        <v>0</v>
      </c>
      <c r="AV494" s="220">
        <f t="shared" si="371"/>
        <v>-10</v>
      </c>
      <c r="AX494" s="219">
        <v>45099.0</v>
      </c>
      <c r="AY494" s="220" t="str">
        <f t="shared" si="382"/>
        <v/>
      </c>
      <c r="AZ494" s="220"/>
      <c r="BA494" s="220">
        <f t="shared" si="372"/>
        <v>0</v>
      </c>
      <c r="BB494" s="220">
        <f t="shared" si="373"/>
        <v>-10</v>
      </c>
    </row>
    <row r="495" ht="14.25" customHeight="1">
      <c r="A495" s="218"/>
      <c r="B495" s="219">
        <v>45100.0</v>
      </c>
      <c r="C495" s="220" t="str">
        <f t="shared" si="374"/>
        <v/>
      </c>
      <c r="D495" s="220"/>
      <c r="E495" s="220">
        <f t="shared" si="356"/>
        <v>0</v>
      </c>
      <c r="F495" s="220">
        <f t="shared" si="357"/>
        <v>-10</v>
      </c>
      <c r="H495" s="219">
        <v>45100.0</v>
      </c>
      <c r="I495" s="220" t="str">
        <f t="shared" si="375"/>
        <v/>
      </c>
      <c r="J495" s="220"/>
      <c r="K495" s="220">
        <f t="shared" si="358"/>
        <v>0</v>
      </c>
      <c r="L495" s="220">
        <f t="shared" si="359"/>
        <v>-10</v>
      </c>
      <c r="N495" s="219">
        <v>45100.0</v>
      </c>
      <c r="O495" s="220" t="str">
        <f t="shared" si="376"/>
        <v/>
      </c>
      <c r="P495" s="220"/>
      <c r="Q495" s="220">
        <f t="shared" si="360"/>
        <v>0</v>
      </c>
      <c r="R495" s="220">
        <f t="shared" si="361"/>
        <v>-10</v>
      </c>
      <c r="T495" s="219">
        <v>45100.0</v>
      </c>
      <c r="U495" s="220" t="str">
        <f t="shared" si="377"/>
        <v/>
      </c>
      <c r="V495" s="220"/>
      <c r="W495" s="220">
        <f t="shared" si="362"/>
        <v>0</v>
      </c>
      <c r="X495" s="220">
        <f t="shared" si="363"/>
        <v>-10</v>
      </c>
      <c r="Z495" s="219">
        <v>45100.0</v>
      </c>
      <c r="AA495" s="220" t="str">
        <f t="shared" si="378"/>
        <v/>
      </c>
      <c r="AB495" s="220"/>
      <c r="AC495" s="220">
        <f t="shared" si="364"/>
        <v>0</v>
      </c>
      <c r="AD495" s="220">
        <f t="shared" si="365"/>
        <v>-10</v>
      </c>
      <c r="AF495" s="219">
        <v>45100.0</v>
      </c>
      <c r="AG495" s="220" t="str">
        <f t="shared" si="379"/>
        <v/>
      </c>
      <c r="AH495" s="220"/>
      <c r="AI495" s="220">
        <f t="shared" si="366"/>
        <v>0</v>
      </c>
      <c r="AJ495" s="220">
        <f t="shared" si="367"/>
        <v>-10</v>
      </c>
      <c r="AL495" s="219">
        <v>45100.0</v>
      </c>
      <c r="AM495" s="220" t="str">
        <f t="shared" si="380"/>
        <v/>
      </c>
      <c r="AN495" s="220"/>
      <c r="AO495" s="220">
        <f t="shared" si="368"/>
        <v>0</v>
      </c>
      <c r="AP495" s="220">
        <f t="shared" si="369"/>
        <v>-10</v>
      </c>
      <c r="AR495" s="219">
        <v>45100.0</v>
      </c>
      <c r="AS495" s="220" t="str">
        <f t="shared" si="381"/>
        <v/>
      </c>
      <c r="AT495" s="220"/>
      <c r="AU495" s="220">
        <f t="shared" si="370"/>
        <v>0</v>
      </c>
      <c r="AV495" s="220">
        <f t="shared" si="371"/>
        <v>-10</v>
      </c>
      <c r="AX495" s="219">
        <v>45100.0</v>
      </c>
      <c r="AY495" s="220" t="str">
        <f t="shared" si="382"/>
        <v/>
      </c>
      <c r="AZ495" s="220"/>
      <c r="BA495" s="220">
        <f t="shared" si="372"/>
        <v>0</v>
      </c>
      <c r="BB495" s="220">
        <f t="shared" si="373"/>
        <v>-10</v>
      </c>
    </row>
    <row r="496" ht="14.25" customHeight="1">
      <c r="A496" s="218"/>
      <c r="B496" s="219">
        <v>45101.0</v>
      </c>
      <c r="C496" s="220" t="str">
        <f t="shared" si="374"/>
        <v/>
      </c>
      <c r="D496" s="220"/>
      <c r="E496" s="220">
        <f t="shared" si="356"/>
        <v>0</v>
      </c>
      <c r="F496" s="220">
        <f t="shared" si="357"/>
        <v>-10</v>
      </c>
      <c r="G496" s="221"/>
      <c r="H496" s="219">
        <v>45101.0</v>
      </c>
      <c r="I496" s="220" t="str">
        <f t="shared" si="375"/>
        <v/>
      </c>
      <c r="J496" s="220"/>
      <c r="K496" s="220">
        <f t="shared" si="358"/>
        <v>0</v>
      </c>
      <c r="L496" s="220">
        <f t="shared" si="359"/>
        <v>-10</v>
      </c>
      <c r="M496" s="221"/>
      <c r="N496" s="219">
        <v>45101.0</v>
      </c>
      <c r="O496" s="220" t="str">
        <f t="shared" si="376"/>
        <v/>
      </c>
      <c r="P496" s="220"/>
      <c r="Q496" s="220">
        <f t="shared" si="360"/>
        <v>0</v>
      </c>
      <c r="R496" s="220">
        <f t="shared" si="361"/>
        <v>-10</v>
      </c>
      <c r="S496" s="221"/>
      <c r="T496" s="219">
        <v>45101.0</v>
      </c>
      <c r="U496" s="220" t="str">
        <f t="shared" si="377"/>
        <v/>
      </c>
      <c r="V496" s="220"/>
      <c r="W496" s="220">
        <f t="shared" si="362"/>
        <v>0</v>
      </c>
      <c r="X496" s="220">
        <f t="shared" si="363"/>
        <v>-10</v>
      </c>
      <c r="Y496" s="221"/>
      <c r="Z496" s="219">
        <v>45101.0</v>
      </c>
      <c r="AA496" s="220" t="str">
        <f t="shared" si="378"/>
        <v/>
      </c>
      <c r="AB496" s="220"/>
      <c r="AC496" s="220">
        <f t="shared" si="364"/>
        <v>0</v>
      </c>
      <c r="AD496" s="220">
        <f t="shared" si="365"/>
        <v>-10</v>
      </c>
      <c r="AE496" s="221"/>
      <c r="AF496" s="219">
        <v>45101.0</v>
      </c>
      <c r="AG496" s="220" t="str">
        <f t="shared" si="379"/>
        <v/>
      </c>
      <c r="AH496" s="220"/>
      <c r="AI496" s="220">
        <f t="shared" si="366"/>
        <v>0</v>
      </c>
      <c r="AJ496" s="220">
        <f t="shared" si="367"/>
        <v>-10</v>
      </c>
      <c r="AK496" s="221"/>
      <c r="AL496" s="219">
        <v>45101.0</v>
      </c>
      <c r="AM496" s="220" t="str">
        <f t="shared" si="380"/>
        <v/>
      </c>
      <c r="AN496" s="220"/>
      <c r="AO496" s="220">
        <f t="shared" si="368"/>
        <v>0</v>
      </c>
      <c r="AP496" s="220">
        <f t="shared" si="369"/>
        <v>-10</v>
      </c>
      <c r="AQ496" s="221"/>
      <c r="AR496" s="219">
        <v>45101.0</v>
      </c>
      <c r="AS496" s="220" t="str">
        <f t="shared" si="381"/>
        <v/>
      </c>
      <c r="AT496" s="220"/>
      <c r="AU496" s="220">
        <f t="shared" si="370"/>
        <v>0</v>
      </c>
      <c r="AV496" s="220">
        <f t="shared" si="371"/>
        <v>-10</v>
      </c>
      <c r="AW496" s="221"/>
      <c r="AX496" s="219">
        <v>45101.0</v>
      </c>
      <c r="AY496" s="220" t="str">
        <f t="shared" si="382"/>
        <v/>
      </c>
      <c r="AZ496" s="220"/>
      <c r="BA496" s="220">
        <f t="shared" si="372"/>
        <v>0</v>
      </c>
      <c r="BB496" s="220">
        <f t="shared" si="373"/>
        <v>-10</v>
      </c>
    </row>
    <row r="497" ht="14.25" customHeight="1">
      <c r="A497" s="218"/>
      <c r="B497" s="219">
        <v>45102.0</v>
      </c>
      <c r="C497" s="220" t="str">
        <f t="shared" si="374"/>
        <v/>
      </c>
      <c r="D497" s="220"/>
      <c r="E497" s="220">
        <f t="shared" si="356"/>
        <v>0</v>
      </c>
      <c r="F497" s="220">
        <f t="shared" si="357"/>
        <v>-10</v>
      </c>
      <c r="G497" s="221"/>
      <c r="H497" s="219">
        <v>45102.0</v>
      </c>
      <c r="I497" s="220" t="str">
        <f t="shared" si="375"/>
        <v/>
      </c>
      <c r="J497" s="220"/>
      <c r="K497" s="220">
        <f t="shared" si="358"/>
        <v>0</v>
      </c>
      <c r="L497" s="220">
        <f t="shared" si="359"/>
        <v>-10</v>
      </c>
      <c r="M497" s="221"/>
      <c r="N497" s="219">
        <v>45102.0</v>
      </c>
      <c r="O497" s="220" t="str">
        <f t="shared" si="376"/>
        <v/>
      </c>
      <c r="P497" s="220"/>
      <c r="Q497" s="220">
        <f t="shared" si="360"/>
        <v>0</v>
      </c>
      <c r="R497" s="220">
        <f t="shared" si="361"/>
        <v>-10</v>
      </c>
      <c r="S497" s="221"/>
      <c r="T497" s="219">
        <v>45102.0</v>
      </c>
      <c r="U497" s="220" t="str">
        <f t="shared" si="377"/>
        <v/>
      </c>
      <c r="V497" s="220"/>
      <c r="W497" s="220">
        <f t="shared" si="362"/>
        <v>0</v>
      </c>
      <c r="X497" s="220">
        <f t="shared" si="363"/>
        <v>-10</v>
      </c>
      <c r="Y497" s="221"/>
      <c r="Z497" s="219">
        <v>45102.0</v>
      </c>
      <c r="AA497" s="220" t="str">
        <f t="shared" si="378"/>
        <v/>
      </c>
      <c r="AB497" s="220"/>
      <c r="AC497" s="220">
        <f t="shared" si="364"/>
        <v>0</v>
      </c>
      <c r="AD497" s="220">
        <f t="shared" si="365"/>
        <v>-10</v>
      </c>
      <c r="AE497" s="221"/>
      <c r="AF497" s="219">
        <v>45102.0</v>
      </c>
      <c r="AG497" s="220" t="str">
        <f t="shared" si="379"/>
        <v/>
      </c>
      <c r="AH497" s="220"/>
      <c r="AI497" s="220">
        <f t="shared" si="366"/>
        <v>0</v>
      </c>
      <c r="AJ497" s="220">
        <f t="shared" si="367"/>
        <v>-10</v>
      </c>
      <c r="AK497" s="221"/>
      <c r="AL497" s="219">
        <v>45102.0</v>
      </c>
      <c r="AM497" s="220" t="str">
        <f t="shared" si="380"/>
        <v/>
      </c>
      <c r="AN497" s="220"/>
      <c r="AO497" s="220">
        <f t="shared" si="368"/>
        <v>0</v>
      </c>
      <c r="AP497" s="220">
        <f t="shared" si="369"/>
        <v>-10</v>
      </c>
      <c r="AQ497" s="221"/>
      <c r="AR497" s="219">
        <v>45102.0</v>
      </c>
      <c r="AS497" s="220" t="str">
        <f t="shared" si="381"/>
        <v/>
      </c>
      <c r="AT497" s="220"/>
      <c r="AU497" s="220">
        <f t="shared" si="370"/>
        <v>0</v>
      </c>
      <c r="AV497" s="220">
        <f t="shared" si="371"/>
        <v>-10</v>
      </c>
      <c r="AW497" s="221"/>
      <c r="AX497" s="219">
        <v>45102.0</v>
      </c>
      <c r="AY497" s="220" t="str">
        <f t="shared" si="382"/>
        <v/>
      </c>
      <c r="AZ497" s="220"/>
      <c r="BA497" s="220">
        <f t="shared" si="372"/>
        <v>0</v>
      </c>
      <c r="BB497" s="220">
        <f t="shared" si="373"/>
        <v>-10</v>
      </c>
    </row>
    <row r="498" ht="14.25" customHeight="1">
      <c r="A498" s="218"/>
      <c r="B498" s="219">
        <v>45103.0</v>
      </c>
      <c r="C498" s="220" t="str">
        <f t="shared" si="374"/>
        <v/>
      </c>
      <c r="D498" s="220"/>
      <c r="E498" s="220">
        <f t="shared" si="356"/>
        <v>0</v>
      </c>
      <c r="F498" s="220">
        <f t="shared" si="357"/>
        <v>-10</v>
      </c>
      <c r="H498" s="219">
        <v>45103.0</v>
      </c>
      <c r="I498" s="220" t="str">
        <f t="shared" si="375"/>
        <v/>
      </c>
      <c r="J498" s="220"/>
      <c r="K498" s="220">
        <f t="shared" si="358"/>
        <v>0</v>
      </c>
      <c r="L498" s="220">
        <f t="shared" si="359"/>
        <v>-10</v>
      </c>
      <c r="N498" s="219">
        <v>45103.0</v>
      </c>
      <c r="O498" s="220" t="str">
        <f t="shared" si="376"/>
        <v/>
      </c>
      <c r="P498" s="220"/>
      <c r="Q498" s="220">
        <f t="shared" si="360"/>
        <v>0</v>
      </c>
      <c r="R498" s="220">
        <f t="shared" si="361"/>
        <v>-10</v>
      </c>
      <c r="T498" s="219">
        <v>45103.0</v>
      </c>
      <c r="U498" s="220" t="str">
        <f t="shared" si="377"/>
        <v/>
      </c>
      <c r="V498" s="220"/>
      <c r="W498" s="220">
        <f t="shared" si="362"/>
        <v>0</v>
      </c>
      <c r="X498" s="220">
        <f t="shared" si="363"/>
        <v>-10</v>
      </c>
      <c r="Z498" s="219">
        <v>45103.0</v>
      </c>
      <c r="AA498" s="220" t="str">
        <f t="shared" si="378"/>
        <v/>
      </c>
      <c r="AB498" s="220"/>
      <c r="AC498" s="220">
        <f t="shared" si="364"/>
        <v>0</v>
      </c>
      <c r="AD498" s="220">
        <f t="shared" si="365"/>
        <v>-10</v>
      </c>
      <c r="AF498" s="219">
        <v>45103.0</v>
      </c>
      <c r="AG498" s="220" t="str">
        <f t="shared" si="379"/>
        <v/>
      </c>
      <c r="AH498" s="220"/>
      <c r="AI498" s="220">
        <f t="shared" si="366"/>
        <v>0</v>
      </c>
      <c r="AJ498" s="220">
        <f t="shared" si="367"/>
        <v>-10</v>
      </c>
      <c r="AL498" s="219">
        <v>45103.0</v>
      </c>
      <c r="AM498" s="220" t="str">
        <f t="shared" si="380"/>
        <v/>
      </c>
      <c r="AN498" s="220"/>
      <c r="AO498" s="220">
        <f t="shared" si="368"/>
        <v>0</v>
      </c>
      <c r="AP498" s="220">
        <f t="shared" si="369"/>
        <v>-10</v>
      </c>
      <c r="AR498" s="219">
        <v>45103.0</v>
      </c>
      <c r="AS498" s="220" t="str">
        <f t="shared" si="381"/>
        <v/>
      </c>
      <c r="AT498" s="220"/>
      <c r="AU498" s="220">
        <f t="shared" si="370"/>
        <v>0</v>
      </c>
      <c r="AV498" s="220">
        <f t="shared" si="371"/>
        <v>-10</v>
      </c>
      <c r="AX498" s="219">
        <v>45103.0</v>
      </c>
      <c r="AY498" s="220" t="str">
        <f t="shared" si="382"/>
        <v/>
      </c>
      <c r="AZ498" s="220"/>
      <c r="BA498" s="220">
        <f t="shared" si="372"/>
        <v>0</v>
      </c>
      <c r="BB498" s="220">
        <f t="shared" si="373"/>
        <v>-10</v>
      </c>
    </row>
    <row r="499" ht="14.25" customHeight="1">
      <c r="A499" s="218"/>
      <c r="B499" s="219">
        <v>45104.0</v>
      </c>
      <c r="C499" s="220" t="str">
        <f t="shared" si="374"/>
        <v/>
      </c>
      <c r="D499" s="220"/>
      <c r="E499" s="220">
        <f t="shared" si="356"/>
        <v>0</v>
      </c>
      <c r="F499" s="220">
        <f t="shared" si="357"/>
        <v>-10</v>
      </c>
      <c r="H499" s="219">
        <v>45104.0</v>
      </c>
      <c r="I499" s="220" t="str">
        <f t="shared" si="375"/>
        <v/>
      </c>
      <c r="J499" s="220"/>
      <c r="K499" s="220">
        <f t="shared" si="358"/>
        <v>0</v>
      </c>
      <c r="L499" s="220">
        <f t="shared" si="359"/>
        <v>-10</v>
      </c>
      <c r="N499" s="219">
        <v>45104.0</v>
      </c>
      <c r="O499" s="220" t="str">
        <f t="shared" si="376"/>
        <v/>
      </c>
      <c r="P499" s="220"/>
      <c r="Q499" s="220">
        <f t="shared" si="360"/>
        <v>0</v>
      </c>
      <c r="R499" s="220">
        <f t="shared" si="361"/>
        <v>-10</v>
      </c>
      <c r="T499" s="219">
        <v>45104.0</v>
      </c>
      <c r="U499" s="220" t="str">
        <f t="shared" si="377"/>
        <v/>
      </c>
      <c r="V499" s="220"/>
      <c r="W499" s="220">
        <f t="shared" si="362"/>
        <v>0</v>
      </c>
      <c r="X499" s="220">
        <f t="shared" si="363"/>
        <v>-10</v>
      </c>
      <c r="Z499" s="219">
        <v>45104.0</v>
      </c>
      <c r="AA499" s="220" t="str">
        <f t="shared" si="378"/>
        <v/>
      </c>
      <c r="AB499" s="220"/>
      <c r="AC499" s="220">
        <f t="shared" si="364"/>
        <v>0</v>
      </c>
      <c r="AD499" s="220">
        <f t="shared" si="365"/>
        <v>-10</v>
      </c>
      <c r="AF499" s="219">
        <v>45104.0</v>
      </c>
      <c r="AG499" s="220" t="str">
        <f t="shared" si="379"/>
        <v/>
      </c>
      <c r="AH499" s="220"/>
      <c r="AI499" s="220">
        <f t="shared" si="366"/>
        <v>0</v>
      </c>
      <c r="AJ499" s="220">
        <f t="shared" si="367"/>
        <v>-10</v>
      </c>
      <c r="AL499" s="219">
        <v>45104.0</v>
      </c>
      <c r="AM499" s="220" t="str">
        <f t="shared" si="380"/>
        <v/>
      </c>
      <c r="AN499" s="220"/>
      <c r="AO499" s="220">
        <f t="shared" si="368"/>
        <v>0</v>
      </c>
      <c r="AP499" s="220">
        <f t="shared" si="369"/>
        <v>-10</v>
      </c>
      <c r="AR499" s="219">
        <v>45104.0</v>
      </c>
      <c r="AS499" s="220" t="str">
        <f t="shared" si="381"/>
        <v/>
      </c>
      <c r="AT499" s="220"/>
      <c r="AU499" s="220">
        <f t="shared" si="370"/>
        <v>0</v>
      </c>
      <c r="AV499" s="220">
        <f t="shared" si="371"/>
        <v>-10</v>
      </c>
      <c r="AX499" s="219">
        <v>45104.0</v>
      </c>
      <c r="AY499" s="220" t="str">
        <f t="shared" si="382"/>
        <v/>
      </c>
      <c r="AZ499" s="220"/>
      <c r="BA499" s="220">
        <f t="shared" si="372"/>
        <v>0</v>
      </c>
      <c r="BB499" s="220">
        <f t="shared" si="373"/>
        <v>-10</v>
      </c>
    </row>
    <row r="500" ht="14.25" customHeight="1">
      <c r="A500" s="218"/>
      <c r="B500" s="219">
        <v>45105.0</v>
      </c>
      <c r="C500" s="220" t="str">
        <f t="shared" si="374"/>
        <v/>
      </c>
      <c r="D500" s="220"/>
      <c r="E500" s="220">
        <f t="shared" si="356"/>
        <v>0</v>
      </c>
      <c r="F500" s="220">
        <f t="shared" si="357"/>
        <v>-10</v>
      </c>
      <c r="H500" s="219">
        <v>45105.0</v>
      </c>
      <c r="I500" s="220" t="str">
        <f t="shared" si="375"/>
        <v/>
      </c>
      <c r="J500" s="220"/>
      <c r="K500" s="220">
        <f t="shared" si="358"/>
        <v>0</v>
      </c>
      <c r="L500" s="220">
        <f t="shared" si="359"/>
        <v>-10</v>
      </c>
      <c r="N500" s="219">
        <v>45105.0</v>
      </c>
      <c r="O500" s="220" t="str">
        <f t="shared" si="376"/>
        <v/>
      </c>
      <c r="P500" s="220"/>
      <c r="Q500" s="220">
        <f t="shared" si="360"/>
        <v>0</v>
      </c>
      <c r="R500" s="220">
        <f t="shared" si="361"/>
        <v>-10</v>
      </c>
      <c r="T500" s="219">
        <v>45105.0</v>
      </c>
      <c r="U500" s="220" t="str">
        <f t="shared" si="377"/>
        <v/>
      </c>
      <c r="V500" s="220"/>
      <c r="W500" s="220">
        <f t="shared" si="362"/>
        <v>0</v>
      </c>
      <c r="X500" s="220">
        <f t="shared" si="363"/>
        <v>-10</v>
      </c>
      <c r="Z500" s="219">
        <v>45105.0</v>
      </c>
      <c r="AA500" s="220" t="str">
        <f t="shared" si="378"/>
        <v/>
      </c>
      <c r="AB500" s="220"/>
      <c r="AC500" s="220">
        <f t="shared" si="364"/>
        <v>0</v>
      </c>
      <c r="AD500" s="220">
        <f t="shared" si="365"/>
        <v>-10</v>
      </c>
      <c r="AF500" s="219">
        <v>45105.0</v>
      </c>
      <c r="AG500" s="220" t="str">
        <f t="shared" si="379"/>
        <v/>
      </c>
      <c r="AH500" s="220"/>
      <c r="AI500" s="220">
        <f t="shared" si="366"/>
        <v>0</v>
      </c>
      <c r="AJ500" s="220">
        <f t="shared" si="367"/>
        <v>-10</v>
      </c>
      <c r="AL500" s="219">
        <v>45105.0</v>
      </c>
      <c r="AM500" s="220" t="str">
        <f t="shared" si="380"/>
        <v/>
      </c>
      <c r="AN500" s="220"/>
      <c r="AO500" s="220">
        <f t="shared" si="368"/>
        <v>0</v>
      </c>
      <c r="AP500" s="220">
        <f t="shared" si="369"/>
        <v>-10</v>
      </c>
      <c r="AR500" s="219">
        <v>45105.0</v>
      </c>
      <c r="AS500" s="220" t="str">
        <f t="shared" si="381"/>
        <v/>
      </c>
      <c r="AT500" s="220"/>
      <c r="AU500" s="220">
        <f t="shared" si="370"/>
        <v>0</v>
      </c>
      <c r="AV500" s="220">
        <f t="shared" si="371"/>
        <v>-10</v>
      </c>
      <c r="AX500" s="219">
        <v>45105.0</v>
      </c>
      <c r="AY500" s="220" t="str">
        <f t="shared" si="382"/>
        <v/>
      </c>
      <c r="AZ500" s="220"/>
      <c r="BA500" s="220">
        <f t="shared" si="372"/>
        <v>0</v>
      </c>
      <c r="BB500" s="220">
        <f t="shared" si="373"/>
        <v>-10</v>
      </c>
    </row>
    <row r="501" ht="14.25" customHeight="1">
      <c r="A501" s="218"/>
      <c r="B501" s="219">
        <v>45106.0</v>
      </c>
      <c r="C501" s="220" t="str">
        <f t="shared" si="374"/>
        <v/>
      </c>
      <c r="D501" s="220"/>
      <c r="E501" s="220">
        <f t="shared" si="356"/>
        <v>0</v>
      </c>
      <c r="F501" s="220">
        <f t="shared" si="357"/>
        <v>-10</v>
      </c>
      <c r="H501" s="219">
        <v>45106.0</v>
      </c>
      <c r="I501" s="220" t="str">
        <f t="shared" si="375"/>
        <v/>
      </c>
      <c r="J501" s="220"/>
      <c r="K501" s="220">
        <f t="shared" si="358"/>
        <v>0</v>
      </c>
      <c r="L501" s="220">
        <f t="shared" si="359"/>
        <v>-10</v>
      </c>
      <c r="N501" s="219">
        <v>45106.0</v>
      </c>
      <c r="O501" s="220" t="str">
        <f t="shared" si="376"/>
        <v/>
      </c>
      <c r="P501" s="220"/>
      <c r="Q501" s="220">
        <f t="shared" si="360"/>
        <v>0</v>
      </c>
      <c r="R501" s="220">
        <f t="shared" si="361"/>
        <v>-10</v>
      </c>
      <c r="T501" s="219">
        <v>45106.0</v>
      </c>
      <c r="U501" s="220" t="str">
        <f t="shared" si="377"/>
        <v/>
      </c>
      <c r="V501" s="220"/>
      <c r="W501" s="220">
        <f t="shared" si="362"/>
        <v>0</v>
      </c>
      <c r="X501" s="220">
        <f t="shared" si="363"/>
        <v>-10</v>
      </c>
      <c r="Z501" s="219">
        <v>45106.0</v>
      </c>
      <c r="AA501" s="220" t="str">
        <f t="shared" si="378"/>
        <v/>
      </c>
      <c r="AB501" s="220"/>
      <c r="AC501" s="220">
        <f t="shared" si="364"/>
        <v>0</v>
      </c>
      <c r="AD501" s="220">
        <f t="shared" si="365"/>
        <v>-10</v>
      </c>
      <c r="AF501" s="219">
        <v>45106.0</v>
      </c>
      <c r="AG501" s="220" t="str">
        <f t="shared" si="379"/>
        <v/>
      </c>
      <c r="AH501" s="220"/>
      <c r="AI501" s="220">
        <f t="shared" si="366"/>
        <v>0</v>
      </c>
      <c r="AJ501" s="220">
        <f t="shared" si="367"/>
        <v>-10</v>
      </c>
      <c r="AL501" s="219">
        <v>45106.0</v>
      </c>
      <c r="AM501" s="220" t="str">
        <f t="shared" si="380"/>
        <v/>
      </c>
      <c r="AN501" s="220"/>
      <c r="AO501" s="220">
        <f t="shared" si="368"/>
        <v>0</v>
      </c>
      <c r="AP501" s="220">
        <f t="shared" si="369"/>
        <v>-10</v>
      </c>
      <c r="AR501" s="219">
        <v>45106.0</v>
      </c>
      <c r="AS501" s="220" t="str">
        <f t="shared" si="381"/>
        <v/>
      </c>
      <c r="AT501" s="220"/>
      <c r="AU501" s="220">
        <f t="shared" si="370"/>
        <v>0</v>
      </c>
      <c r="AV501" s="220">
        <f t="shared" si="371"/>
        <v>-10</v>
      </c>
      <c r="AX501" s="219">
        <v>45106.0</v>
      </c>
      <c r="AY501" s="220" t="str">
        <f t="shared" si="382"/>
        <v/>
      </c>
      <c r="AZ501" s="220"/>
      <c r="BA501" s="220">
        <f t="shared" si="372"/>
        <v>0</v>
      </c>
      <c r="BB501" s="220">
        <f t="shared" si="373"/>
        <v>-10</v>
      </c>
    </row>
    <row r="502" ht="14.25" customHeight="1">
      <c r="A502" s="218"/>
      <c r="B502" s="219">
        <v>45107.0</v>
      </c>
      <c r="C502" s="220" t="str">
        <f t="shared" si="374"/>
        <v/>
      </c>
      <c r="D502" s="220"/>
      <c r="E502" s="220">
        <f t="shared" si="356"/>
        <v>0</v>
      </c>
      <c r="F502" s="220">
        <f t="shared" si="357"/>
        <v>-10</v>
      </c>
      <c r="H502" s="219">
        <v>45107.0</v>
      </c>
      <c r="I502" s="220" t="str">
        <f t="shared" si="375"/>
        <v/>
      </c>
      <c r="J502" s="220"/>
      <c r="K502" s="220">
        <f t="shared" si="358"/>
        <v>0</v>
      </c>
      <c r="L502" s="220">
        <f t="shared" si="359"/>
        <v>-10</v>
      </c>
      <c r="N502" s="219">
        <v>45107.0</v>
      </c>
      <c r="O502" s="220" t="str">
        <f t="shared" si="376"/>
        <v/>
      </c>
      <c r="P502" s="220"/>
      <c r="Q502" s="220">
        <f t="shared" si="360"/>
        <v>0</v>
      </c>
      <c r="R502" s="220">
        <f t="shared" si="361"/>
        <v>-10</v>
      </c>
      <c r="T502" s="219">
        <v>45107.0</v>
      </c>
      <c r="U502" s="220" t="str">
        <f t="shared" si="377"/>
        <v/>
      </c>
      <c r="V502" s="220"/>
      <c r="W502" s="220">
        <f t="shared" si="362"/>
        <v>0</v>
      </c>
      <c r="X502" s="220">
        <f t="shared" si="363"/>
        <v>-10</v>
      </c>
      <c r="Z502" s="219">
        <v>45107.0</v>
      </c>
      <c r="AA502" s="220" t="str">
        <f t="shared" si="378"/>
        <v/>
      </c>
      <c r="AB502" s="220"/>
      <c r="AC502" s="220">
        <f t="shared" si="364"/>
        <v>0</v>
      </c>
      <c r="AD502" s="220">
        <f t="shared" si="365"/>
        <v>-10</v>
      </c>
      <c r="AF502" s="219">
        <v>45107.0</v>
      </c>
      <c r="AG502" s="220" t="str">
        <f t="shared" si="379"/>
        <v/>
      </c>
      <c r="AH502" s="220"/>
      <c r="AI502" s="220">
        <f t="shared" si="366"/>
        <v>0</v>
      </c>
      <c r="AJ502" s="220">
        <f t="shared" si="367"/>
        <v>-10</v>
      </c>
      <c r="AL502" s="219">
        <v>45107.0</v>
      </c>
      <c r="AM502" s="220" t="str">
        <f t="shared" si="380"/>
        <v/>
      </c>
      <c r="AN502" s="220"/>
      <c r="AO502" s="220">
        <f t="shared" si="368"/>
        <v>0</v>
      </c>
      <c r="AP502" s="220">
        <f t="shared" si="369"/>
        <v>-10</v>
      </c>
      <c r="AR502" s="219">
        <v>45107.0</v>
      </c>
      <c r="AS502" s="220" t="str">
        <f t="shared" si="381"/>
        <v/>
      </c>
      <c r="AT502" s="220"/>
      <c r="AU502" s="220">
        <f t="shared" si="370"/>
        <v>0</v>
      </c>
      <c r="AV502" s="220">
        <f t="shared" si="371"/>
        <v>-10</v>
      </c>
      <c r="AX502" s="219">
        <v>45107.0</v>
      </c>
      <c r="AY502" s="220" t="str">
        <f t="shared" si="382"/>
        <v/>
      </c>
      <c r="AZ502" s="220"/>
      <c r="BA502" s="220">
        <f t="shared" si="372"/>
        <v>0</v>
      </c>
      <c r="BB502" s="220">
        <f t="shared" si="373"/>
        <v>-10</v>
      </c>
    </row>
    <row r="503" ht="14.25" customHeight="1">
      <c r="A503" s="218"/>
      <c r="B503" s="229"/>
      <c r="C503" s="220" t="str">
        <f t="shared" si="374"/>
        <v/>
      </c>
      <c r="D503" s="220"/>
      <c r="E503" s="220">
        <f t="shared" si="356"/>
        <v>0</v>
      </c>
      <c r="F503" s="220">
        <f t="shared" si="357"/>
        <v>-10</v>
      </c>
      <c r="H503" s="229"/>
      <c r="I503" s="220" t="str">
        <f t="shared" si="375"/>
        <v/>
      </c>
      <c r="J503" s="220"/>
      <c r="K503" s="220">
        <f t="shared" si="358"/>
        <v>0</v>
      </c>
      <c r="L503" s="220">
        <f t="shared" si="359"/>
        <v>-10</v>
      </c>
      <c r="N503" s="229"/>
      <c r="O503" s="220" t="str">
        <f t="shared" si="376"/>
        <v/>
      </c>
      <c r="P503" s="220"/>
      <c r="Q503" s="220">
        <f t="shared" si="360"/>
        <v>0</v>
      </c>
      <c r="R503" s="220">
        <f t="shared" si="361"/>
        <v>-10</v>
      </c>
      <c r="T503" s="229"/>
      <c r="U503" s="220" t="str">
        <f t="shared" si="377"/>
        <v/>
      </c>
      <c r="V503" s="220"/>
      <c r="W503" s="220">
        <f t="shared" si="362"/>
        <v>0</v>
      </c>
      <c r="X503" s="220">
        <f t="shared" si="363"/>
        <v>-10</v>
      </c>
      <c r="Z503" s="229"/>
      <c r="AA503" s="220" t="str">
        <f t="shared" si="378"/>
        <v/>
      </c>
      <c r="AB503" s="220"/>
      <c r="AC503" s="220">
        <f t="shared" si="364"/>
        <v>0</v>
      </c>
      <c r="AD503" s="220">
        <f t="shared" si="365"/>
        <v>-10</v>
      </c>
      <c r="AF503" s="229"/>
      <c r="AG503" s="220" t="str">
        <f t="shared" si="379"/>
        <v/>
      </c>
      <c r="AH503" s="220"/>
      <c r="AI503" s="220">
        <f t="shared" si="366"/>
        <v>0</v>
      </c>
      <c r="AJ503" s="220">
        <f t="shared" si="367"/>
        <v>-10</v>
      </c>
      <c r="AL503" s="229"/>
      <c r="AM503" s="220" t="str">
        <f t="shared" si="380"/>
        <v/>
      </c>
      <c r="AN503" s="220"/>
      <c r="AO503" s="220">
        <f t="shared" si="368"/>
        <v>0</v>
      </c>
      <c r="AP503" s="220">
        <f t="shared" si="369"/>
        <v>-10</v>
      </c>
      <c r="AR503" s="229"/>
      <c r="AS503" s="220" t="str">
        <f t="shared" si="381"/>
        <v/>
      </c>
      <c r="AT503" s="220"/>
      <c r="AU503" s="220">
        <f t="shared" si="370"/>
        <v>0</v>
      </c>
      <c r="AV503" s="220">
        <f t="shared" si="371"/>
        <v>-10</v>
      </c>
      <c r="AX503" s="229"/>
      <c r="AY503" s="220" t="str">
        <f t="shared" si="382"/>
        <v/>
      </c>
      <c r="AZ503" s="220"/>
      <c r="BA503" s="220">
        <f t="shared" si="372"/>
        <v>0</v>
      </c>
      <c r="BB503" s="220">
        <f t="shared" si="373"/>
        <v>-10</v>
      </c>
    </row>
    <row r="504" ht="14.25" customHeight="1">
      <c r="A504" s="222"/>
      <c r="B504" s="216"/>
      <c r="C504" s="223" t="s">
        <v>221</v>
      </c>
      <c r="D504" s="223"/>
      <c r="E504" s="216">
        <f>SUM(E473:E503)</f>
        <v>0</v>
      </c>
      <c r="F504" s="216">
        <f t="shared" si="357"/>
        <v>-10</v>
      </c>
      <c r="H504" s="216"/>
      <c r="I504" s="223" t="s">
        <v>221</v>
      </c>
      <c r="J504" s="223"/>
      <c r="K504" s="216">
        <f>SUM(K473:K503)</f>
        <v>0</v>
      </c>
      <c r="L504" s="216">
        <f t="shared" si="359"/>
        <v>-10</v>
      </c>
      <c r="N504" s="216"/>
      <c r="O504" s="223" t="s">
        <v>221</v>
      </c>
      <c r="P504" s="223"/>
      <c r="Q504" s="216">
        <f>SUM(Q473:Q503)</f>
        <v>0</v>
      </c>
      <c r="R504" s="216">
        <f t="shared" si="361"/>
        <v>-10</v>
      </c>
      <c r="T504" s="216"/>
      <c r="U504" s="223" t="s">
        <v>221</v>
      </c>
      <c r="V504" s="223"/>
      <c r="W504" s="216">
        <f>SUM(W473:W503)</f>
        <v>0</v>
      </c>
      <c r="X504" s="216">
        <f t="shared" si="363"/>
        <v>-10</v>
      </c>
      <c r="Z504" s="216"/>
      <c r="AA504" s="223" t="s">
        <v>221</v>
      </c>
      <c r="AB504" s="223"/>
      <c r="AC504" s="216">
        <f>SUM(AC473:AC503)</f>
        <v>0</v>
      </c>
      <c r="AD504" s="216">
        <f t="shared" si="365"/>
        <v>-10</v>
      </c>
      <c r="AF504" s="216"/>
      <c r="AG504" s="223" t="s">
        <v>221</v>
      </c>
      <c r="AH504" s="223"/>
      <c r="AI504" s="216">
        <f>SUM(AI473:AI503)</f>
        <v>0</v>
      </c>
      <c r="AJ504" s="216">
        <f t="shared" si="367"/>
        <v>-10</v>
      </c>
      <c r="AL504" s="216"/>
      <c r="AM504" s="223" t="s">
        <v>221</v>
      </c>
      <c r="AN504" s="223"/>
      <c r="AO504" s="216">
        <f>SUM(AO473:AO503)</f>
        <v>0</v>
      </c>
      <c r="AP504" s="216">
        <f t="shared" si="369"/>
        <v>-10</v>
      </c>
      <c r="AR504" s="216"/>
      <c r="AS504" s="223" t="s">
        <v>221</v>
      </c>
      <c r="AT504" s="223"/>
      <c r="AU504" s="216">
        <f>SUM(AU473:AU503)</f>
        <v>0</v>
      </c>
      <c r="AV504" s="216">
        <f t="shared" si="371"/>
        <v>-10</v>
      </c>
      <c r="AX504" s="216"/>
      <c r="AY504" s="223" t="s">
        <v>221</v>
      </c>
      <c r="AZ504" s="223"/>
      <c r="BA504" s="216">
        <f>SUM(BA473:BA503)</f>
        <v>0</v>
      </c>
      <c r="BB504" s="216">
        <f t="shared" si="373"/>
        <v>-10</v>
      </c>
    </row>
    <row r="505" ht="14.25" customHeight="1"/>
    <row r="506" ht="14.25" customHeight="1"/>
    <row r="507" ht="14.25" customHeight="1"/>
    <row r="508" ht="18.0" customHeight="1">
      <c r="A508" s="215" t="s">
        <v>235</v>
      </c>
      <c r="B508" s="206" t="s">
        <v>18</v>
      </c>
      <c r="C508" s="207"/>
      <c r="D508" s="207"/>
      <c r="E508" s="207"/>
      <c r="F508" s="208"/>
      <c r="G508" s="209"/>
      <c r="H508" s="206" t="s">
        <v>20</v>
      </c>
      <c r="I508" s="207"/>
      <c r="J508" s="207"/>
      <c r="K508" s="207"/>
      <c r="L508" s="208"/>
      <c r="M508" s="209"/>
      <c r="N508" s="206" t="s">
        <v>142</v>
      </c>
      <c r="O508" s="207"/>
      <c r="P508" s="207"/>
      <c r="Q508" s="207"/>
      <c r="R508" s="208"/>
      <c r="S508" s="209"/>
      <c r="T508" s="206" t="s">
        <v>95</v>
      </c>
      <c r="U508" s="207"/>
      <c r="V508" s="207"/>
      <c r="W508" s="207"/>
      <c r="X508" s="208"/>
      <c r="Y508" s="209"/>
      <c r="Z508" s="206" t="s">
        <v>32</v>
      </c>
      <c r="AA508" s="207"/>
      <c r="AB508" s="207"/>
      <c r="AC508" s="207"/>
      <c r="AD508" s="208"/>
      <c r="AE508" s="209"/>
      <c r="AF508" s="206" t="s">
        <v>27</v>
      </c>
      <c r="AG508" s="207"/>
      <c r="AH508" s="207"/>
      <c r="AI508" s="207"/>
      <c r="AJ508" s="208"/>
      <c r="AK508" s="209"/>
      <c r="AL508" s="206" t="s">
        <v>34</v>
      </c>
      <c r="AM508" s="207"/>
      <c r="AN508" s="207"/>
      <c r="AO508" s="207"/>
      <c r="AP508" s="208"/>
      <c r="AQ508" s="209"/>
      <c r="AR508" s="206"/>
      <c r="AS508" s="207"/>
      <c r="AT508" s="207"/>
      <c r="AU508" s="207"/>
      <c r="AV508" s="208"/>
      <c r="AW508" s="209"/>
      <c r="AX508" s="206"/>
      <c r="AY508" s="207"/>
      <c r="AZ508" s="207"/>
      <c r="BA508" s="207"/>
      <c r="BB508" s="208"/>
    </row>
    <row r="509" ht="14.25" customHeight="1">
      <c r="A509" s="218"/>
      <c r="B509" s="210"/>
      <c r="F509" s="211"/>
      <c r="G509" s="209"/>
      <c r="H509" s="210"/>
      <c r="L509" s="211"/>
      <c r="M509" s="209"/>
      <c r="N509" s="210"/>
      <c r="R509" s="211"/>
      <c r="S509" s="209"/>
      <c r="T509" s="210"/>
      <c r="X509" s="211"/>
      <c r="Y509" s="209"/>
      <c r="Z509" s="210"/>
      <c r="AD509" s="211"/>
      <c r="AE509" s="209"/>
      <c r="AF509" s="210"/>
      <c r="AJ509" s="211"/>
      <c r="AK509" s="209"/>
      <c r="AL509" s="210"/>
      <c r="AP509" s="211"/>
      <c r="AQ509" s="209"/>
      <c r="AR509" s="210"/>
      <c r="AV509" s="211"/>
      <c r="AW509" s="209"/>
      <c r="AX509" s="210"/>
      <c r="BB509" s="211"/>
    </row>
    <row r="510" ht="14.25" customHeight="1">
      <c r="A510" s="218"/>
      <c r="B510" s="212"/>
      <c r="C510" s="213"/>
      <c r="D510" s="213"/>
      <c r="E510" s="213"/>
      <c r="F510" s="214"/>
      <c r="G510" s="209"/>
      <c r="H510" s="212"/>
      <c r="I510" s="213"/>
      <c r="J510" s="213"/>
      <c r="K510" s="213"/>
      <c r="L510" s="214"/>
      <c r="M510" s="209"/>
      <c r="N510" s="212"/>
      <c r="O510" s="213"/>
      <c r="P510" s="213"/>
      <c r="Q510" s="213"/>
      <c r="R510" s="214"/>
      <c r="S510" s="209"/>
      <c r="T510" s="212"/>
      <c r="U510" s="213"/>
      <c r="V510" s="213"/>
      <c r="W510" s="213"/>
      <c r="X510" s="214"/>
      <c r="Y510" s="209"/>
      <c r="Z510" s="212"/>
      <c r="AA510" s="213"/>
      <c r="AB510" s="213"/>
      <c r="AC510" s="213"/>
      <c r="AD510" s="214"/>
      <c r="AE510" s="209"/>
      <c r="AF510" s="212"/>
      <c r="AG510" s="213"/>
      <c r="AH510" s="213"/>
      <c r="AI510" s="213"/>
      <c r="AJ510" s="214"/>
      <c r="AK510" s="209"/>
      <c r="AL510" s="212"/>
      <c r="AM510" s="213"/>
      <c r="AN510" s="213"/>
      <c r="AO510" s="213"/>
      <c r="AP510" s="214"/>
      <c r="AQ510" s="209"/>
      <c r="AR510" s="212"/>
      <c r="AS510" s="213"/>
      <c r="AT510" s="213"/>
      <c r="AU510" s="213"/>
      <c r="AV510" s="214"/>
      <c r="AW510" s="209"/>
      <c r="AX510" s="212"/>
      <c r="AY510" s="213"/>
      <c r="AZ510" s="213"/>
      <c r="BA510" s="213"/>
      <c r="BB510" s="214"/>
    </row>
    <row r="511" ht="14.25" customHeight="1">
      <c r="A511" s="218"/>
      <c r="B511" s="216" t="s">
        <v>214</v>
      </c>
      <c r="C511" s="216" t="s">
        <v>215</v>
      </c>
      <c r="D511" s="216" t="s">
        <v>216</v>
      </c>
      <c r="E511" s="216" t="s">
        <v>217</v>
      </c>
      <c r="F511" s="216" t="s">
        <v>218</v>
      </c>
      <c r="H511" s="217" t="s">
        <v>214</v>
      </c>
      <c r="I511" s="216" t="s">
        <v>215</v>
      </c>
      <c r="J511" s="216" t="s">
        <v>216</v>
      </c>
      <c r="K511" s="216" t="s">
        <v>217</v>
      </c>
      <c r="L511" s="216" t="s">
        <v>218</v>
      </c>
      <c r="N511" s="216" t="s">
        <v>214</v>
      </c>
      <c r="O511" s="216" t="s">
        <v>215</v>
      </c>
      <c r="P511" s="216" t="s">
        <v>216</v>
      </c>
      <c r="Q511" s="216" t="s">
        <v>217</v>
      </c>
      <c r="R511" s="216" t="s">
        <v>218</v>
      </c>
      <c r="T511" s="216" t="s">
        <v>214</v>
      </c>
      <c r="U511" s="216" t="s">
        <v>215</v>
      </c>
      <c r="V511" s="216" t="s">
        <v>216</v>
      </c>
      <c r="W511" s="216" t="s">
        <v>217</v>
      </c>
      <c r="X511" s="216" t="s">
        <v>218</v>
      </c>
      <c r="Z511" s="216" t="s">
        <v>214</v>
      </c>
      <c r="AA511" s="216" t="s">
        <v>215</v>
      </c>
      <c r="AB511" s="216" t="s">
        <v>216</v>
      </c>
      <c r="AC511" s="216" t="s">
        <v>217</v>
      </c>
      <c r="AD511" s="216" t="s">
        <v>218</v>
      </c>
      <c r="AF511" s="216" t="s">
        <v>214</v>
      </c>
      <c r="AG511" s="216" t="s">
        <v>215</v>
      </c>
      <c r="AH511" s="216" t="s">
        <v>216</v>
      </c>
      <c r="AI511" s="216" t="s">
        <v>217</v>
      </c>
      <c r="AJ511" s="216" t="s">
        <v>218</v>
      </c>
      <c r="AL511" s="216" t="s">
        <v>214</v>
      </c>
      <c r="AM511" s="216" t="s">
        <v>215</v>
      </c>
      <c r="AN511" s="216" t="s">
        <v>216</v>
      </c>
      <c r="AO511" s="216" t="s">
        <v>217</v>
      </c>
      <c r="AP511" s="216" t="s">
        <v>218</v>
      </c>
      <c r="AR511" s="216" t="s">
        <v>214</v>
      </c>
      <c r="AS511" s="216" t="s">
        <v>215</v>
      </c>
      <c r="AT511" s="216" t="s">
        <v>216</v>
      </c>
      <c r="AU511" s="216" t="s">
        <v>217</v>
      </c>
      <c r="AV511" s="216" t="s">
        <v>218</v>
      </c>
      <c r="AX511" s="216" t="s">
        <v>214</v>
      </c>
      <c r="AY511" s="216" t="s">
        <v>215</v>
      </c>
      <c r="AZ511" s="216" t="s">
        <v>216</v>
      </c>
      <c r="BA511" s="216" t="s">
        <v>217</v>
      </c>
      <c r="BB511" s="216" t="s">
        <v>218</v>
      </c>
    </row>
    <row r="512" ht="14.25" customHeight="1">
      <c r="A512" s="218"/>
      <c r="B512" s="219">
        <v>45078.0</v>
      </c>
      <c r="C512" s="220"/>
      <c r="D512" s="220"/>
      <c r="E512" s="220">
        <f t="shared" ref="E512:E542" si="383">D512-C512</f>
        <v>0</v>
      </c>
      <c r="F512" s="220">
        <f t="shared" ref="F512:F543" si="384">E512-10</f>
        <v>-10</v>
      </c>
      <c r="H512" s="219">
        <v>45078.0</v>
      </c>
      <c r="I512" s="220"/>
      <c r="J512" s="220"/>
      <c r="K512" s="220">
        <f t="shared" ref="K512:K542" si="385">J512-I512</f>
        <v>0</v>
      </c>
      <c r="L512" s="220">
        <f t="shared" ref="L512:L543" si="386">K512-10</f>
        <v>-10</v>
      </c>
      <c r="N512" s="219">
        <v>45078.0</v>
      </c>
      <c r="O512" s="220"/>
      <c r="P512" s="220"/>
      <c r="Q512" s="220">
        <f t="shared" ref="Q512:Q542" si="387">P512-O512</f>
        <v>0</v>
      </c>
      <c r="R512" s="220">
        <f t="shared" ref="R512:R543" si="388">Q512-10</f>
        <v>-10</v>
      </c>
      <c r="T512" s="219">
        <v>45078.0</v>
      </c>
      <c r="U512" s="220"/>
      <c r="V512" s="220"/>
      <c r="W512" s="220">
        <f t="shared" ref="W512:W542" si="389">V512-U512</f>
        <v>0</v>
      </c>
      <c r="X512" s="220">
        <f t="shared" ref="X512:X543" si="390">W512-10</f>
        <v>-10</v>
      </c>
      <c r="Z512" s="219">
        <v>45078.0</v>
      </c>
      <c r="AA512" s="220"/>
      <c r="AB512" s="220"/>
      <c r="AC512" s="220">
        <f t="shared" ref="AC512:AC542" si="391">AB512-AA512</f>
        <v>0</v>
      </c>
      <c r="AD512" s="220">
        <f t="shared" ref="AD512:AD543" si="392">AC512-10</f>
        <v>-10</v>
      </c>
      <c r="AF512" s="219">
        <v>45078.0</v>
      </c>
      <c r="AG512" s="220"/>
      <c r="AH512" s="220"/>
      <c r="AI512" s="220">
        <f t="shared" ref="AI512:AI542" si="393">AH512-AG512</f>
        <v>0</v>
      </c>
      <c r="AJ512" s="220">
        <f t="shared" ref="AJ512:AJ543" si="394">AI512-10</f>
        <v>-10</v>
      </c>
      <c r="AL512" s="219">
        <v>45078.0</v>
      </c>
      <c r="AM512" s="220"/>
      <c r="AN512" s="220"/>
      <c r="AO512" s="220">
        <f t="shared" ref="AO512:AO542" si="395">AN512-AM512</f>
        <v>0</v>
      </c>
      <c r="AP512" s="220">
        <f t="shared" ref="AP512:AP543" si="396">AO512-10</f>
        <v>-10</v>
      </c>
      <c r="AR512" s="219">
        <v>45078.0</v>
      </c>
      <c r="AS512" s="220"/>
      <c r="AT512" s="220"/>
      <c r="AU512" s="220">
        <f t="shared" ref="AU512:AU542" si="397">AT512-AS512</f>
        <v>0</v>
      </c>
      <c r="AV512" s="220">
        <f t="shared" ref="AV512:AV543" si="398">AU512-10</f>
        <v>-10</v>
      </c>
      <c r="AX512" s="219">
        <v>45078.0</v>
      </c>
      <c r="AY512" s="220"/>
      <c r="AZ512" s="220"/>
      <c r="BA512" s="220">
        <f t="shared" ref="BA512:BA542" si="399">AZ512-AY512</f>
        <v>0</v>
      </c>
      <c r="BB512" s="220">
        <f t="shared" ref="BB512:BB543" si="400">BA512-10</f>
        <v>-10</v>
      </c>
    </row>
    <row r="513" ht="14.25" customHeight="1">
      <c r="A513" s="218"/>
      <c r="B513" s="219">
        <v>45079.0</v>
      </c>
      <c r="C513" s="220" t="str">
        <f t="shared" ref="C513:C542" si="401">D512</f>
        <v/>
      </c>
      <c r="D513" s="220"/>
      <c r="E513" s="220">
        <f t="shared" si="383"/>
        <v>0</v>
      </c>
      <c r="F513" s="220">
        <f t="shared" si="384"/>
        <v>-10</v>
      </c>
      <c r="H513" s="219">
        <v>45079.0</v>
      </c>
      <c r="I513" s="220" t="str">
        <f t="shared" ref="I513:I542" si="402">J512</f>
        <v/>
      </c>
      <c r="J513" s="220"/>
      <c r="K513" s="220">
        <f t="shared" si="385"/>
        <v>0</v>
      </c>
      <c r="L513" s="220">
        <f t="shared" si="386"/>
        <v>-10</v>
      </c>
      <c r="N513" s="219">
        <v>45079.0</v>
      </c>
      <c r="O513" s="220" t="str">
        <f t="shared" ref="O513:O542" si="403">P512</f>
        <v/>
      </c>
      <c r="P513" s="220"/>
      <c r="Q513" s="220">
        <f t="shared" si="387"/>
        <v>0</v>
      </c>
      <c r="R513" s="220">
        <f t="shared" si="388"/>
        <v>-10</v>
      </c>
      <c r="T513" s="219">
        <v>45079.0</v>
      </c>
      <c r="U513" s="220" t="str">
        <f t="shared" ref="U513:U542" si="404">V512</f>
        <v/>
      </c>
      <c r="V513" s="220"/>
      <c r="W513" s="220">
        <f t="shared" si="389"/>
        <v>0</v>
      </c>
      <c r="X513" s="220">
        <f t="shared" si="390"/>
        <v>-10</v>
      </c>
      <c r="Z513" s="219">
        <v>45079.0</v>
      </c>
      <c r="AA513" s="220" t="str">
        <f t="shared" ref="AA513:AA542" si="405">AB512</f>
        <v/>
      </c>
      <c r="AB513" s="220"/>
      <c r="AC513" s="220">
        <f t="shared" si="391"/>
        <v>0</v>
      </c>
      <c r="AD513" s="220">
        <f t="shared" si="392"/>
        <v>-10</v>
      </c>
      <c r="AF513" s="219">
        <v>45079.0</v>
      </c>
      <c r="AG513" s="220" t="str">
        <f t="shared" ref="AG513:AG542" si="406">AH512</f>
        <v/>
      </c>
      <c r="AH513" s="220"/>
      <c r="AI513" s="220">
        <f t="shared" si="393"/>
        <v>0</v>
      </c>
      <c r="AJ513" s="220">
        <f t="shared" si="394"/>
        <v>-10</v>
      </c>
      <c r="AL513" s="219">
        <v>45079.0</v>
      </c>
      <c r="AM513" s="220" t="str">
        <f t="shared" ref="AM513:AM542" si="407">AN512</f>
        <v/>
      </c>
      <c r="AN513" s="220"/>
      <c r="AO513" s="220">
        <f t="shared" si="395"/>
        <v>0</v>
      </c>
      <c r="AP513" s="220">
        <f t="shared" si="396"/>
        <v>-10</v>
      </c>
      <c r="AR513" s="219">
        <v>45079.0</v>
      </c>
      <c r="AS513" s="220" t="str">
        <f t="shared" ref="AS513:AS542" si="408">AT512</f>
        <v/>
      </c>
      <c r="AT513" s="220"/>
      <c r="AU513" s="220">
        <f t="shared" si="397"/>
        <v>0</v>
      </c>
      <c r="AV513" s="220">
        <f t="shared" si="398"/>
        <v>-10</v>
      </c>
      <c r="AX513" s="219">
        <v>45079.0</v>
      </c>
      <c r="AY513" s="220" t="str">
        <f t="shared" ref="AY513:AY542" si="409">AZ512</f>
        <v/>
      </c>
      <c r="AZ513" s="220"/>
      <c r="BA513" s="220">
        <f t="shared" si="399"/>
        <v>0</v>
      </c>
      <c r="BB513" s="220">
        <f t="shared" si="400"/>
        <v>-10</v>
      </c>
    </row>
    <row r="514" ht="14.25" customHeight="1">
      <c r="A514" s="218"/>
      <c r="B514" s="219">
        <v>45080.0</v>
      </c>
      <c r="C514" s="220" t="str">
        <f t="shared" si="401"/>
        <v/>
      </c>
      <c r="D514" s="220"/>
      <c r="E514" s="220">
        <f t="shared" si="383"/>
        <v>0</v>
      </c>
      <c r="F514" s="220">
        <f t="shared" si="384"/>
        <v>-10</v>
      </c>
      <c r="G514" s="221"/>
      <c r="H514" s="219">
        <v>45080.0</v>
      </c>
      <c r="I514" s="220" t="str">
        <f t="shared" si="402"/>
        <v/>
      </c>
      <c r="J514" s="220"/>
      <c r="K514" s="220">
        <f t="shared" si="385"/>
        <v>0</v>
      </c>
      <c r="L514" s="220">
        <f t="shared" si="386"/>
        <v>-10</v>
      </c>
      <c r="M514" s="221"/>
      <c r="N514" s="219">
        <v>45080.0</v>
      </c>
      <c r="O514" s="220" t="str">
        <f t="shared" si="403"/>
        <v/>
      </c>
      <c r="P514" s="220"/>
      <c r="Q514" s="220">
        <f t="shared" si="387"/>
        <v>0</v>
      </c>
      <c r="R514" s="220">
        <f t="shared" si="388"/>
        <v>-10</v>
      </c>
      <c r="S514" s="221"/>
      <c r="T514" s="219">
        <v>45080.0</v>
      </c>
      <c r="U514" s="220" t="str">
        <f t="shared" si="404"/>
        <v/>
      </c>
      <c r="V514" s="220"/>
      <c r="W514" s="220">
        <f t="shared" si="389"/>
        <v>0</v>
      </c>
      <c r="X514" s="220">
        <f t="shared" si="390"/>
        <v>-10</v>
      </c>
      <c r="Y514" s="221"/>
      <c r="Z514" s="219">
        <v>45080.0</v>
      </c>
      <c r="AA514" s="220" t="str">
        <f t="shared" si="405"/>
        <v/>
      </c>
      <c r="AB514" s="220"/>
      <c r="AC514" s="220">
        <f t="shared" si="391"/>
        <v>0</v>
      </c>
      <c r="AD514" s="220">
        <f t="shared" si="392"/>
        <v>-10</v>
      </c>
      <c r="AE514" s="221"/>
      <c r="AF514" s="219">
        <v>45080.0</v>
      </c>
      <c r="AG514" s="220" t="str">
        <f t="shared" si="406"/>
        <v/>
      </c>
      <c r="AH514" s="220"/>
      <c r="AI514" s="220">
        <f t="shared" si="393"/>
        <v>0</v>
      </c>
      <c r="AJ514" s="220">
        <f t="shared" si="394"/>
        <v>-10</v>
      </c>
      <c r="AK514" s="221"/>
      <c r="AL514" s="219">
        <v>45080.0</v>
      </c>
      <c r="AM514" s="220" t="str">
        <f t="shared" si="407"/>
        <v/>
      </c>
      <c r="AN514" s="220"/>
      <c r="AO514" s="220">
        <f t="shared" si="395"/>
        <v>0</v>
      </c>
      <c r="AP514" s="220">
        <f t="shared" si="396"/>
        <v>-10</v>
      </c>
      <c r="AQ514" s="221"/>
      <c r="AR514" s="219">
        <v>45080.0</v>
      </c>
      <c r="AS514" s="220" t="str">
        <f t="shared" si="408"/>
        <v/>
      </c>
      <c r="AT514" s="220"/>
      <c r="AU514" s="220">
        <f t="shared" si="397"/>
        <v>0</v>
      </c>
      <c r="AV514" s="220">
        <f t="shared" si="398"/>
        <v>-10</v>
      </c>
      <c r="AW514" s="221"/>
      <c r="AX514" s="219">
        <v>45080.0</v>
      </c>
      <c r="AY514" s="220" t="str">
        <f t="shared" si="409"/>
        <v/>
      </c>
      <c r="AZ514" s="220"/>
      <c r="BA514" s="220">
        <f t="shared" si="399"/>
        <v>0</v>
      </c>
      <c r="BB514" s="220">
        <f t="shared" si="400"/>
        <v>-10</v>
      </c>
    </row>
    <row r="515" ht="14.25" customHeight="1">
      <c r="A515" s="218"/>
      <c r="B515" s="219">
        <v>45081.0</v>
      </c>
      <c r="C515" s="220" t="str">
        <f t="shared" si="401"/>
        <v/>
      </c>
      <c r="D515" s="220"/>
      <c r="E515" s="220">
        <f t="shared" si="383"/>
        <v>0</v>
      </c>
      <c r="F515" s="220">
        <f t="shared" si="384"/>
        <v>-10</v>
      </c>
      <c r="G515" s="221"/>
      <c r="H515" s="219">
        <v>45081.0</v>
      </c>
      <c r="I515" s="220" t="str">
        <f t="shared" si="402"/>
        <v/>
      </c>
      <c r="J515" s="220"/>
      <c r="K515" s="220">
        <f t="shared" si="385"/>
        <v>0</v>
      </c>
      <c r="L515" s="220">
        <f t="shared" si="386"/>
        <v>-10</v>
      </c>
      <c r="M515" s="221"/>
      <c r="N515" s="219">
        <v>45081.0</v>
      </c>
      <c r="O515" s="220" t="str">
        <f t="shared" si="403"/>
        <v/>
      </c>
      <c r="P515" s="220"/>
      <c r="Q515" s="220">
        <f t="shared" si="387"/>
        <v>0</v>
      </c>
      <c r="R515" s="220">
        <f t="shared" si="388"/>
        <v>-10</v>
      </c>
      <c r="S515" s="221"/>
      <c r="T515" s="219">
        <v>45081.0</v>
      </c>
      <c r="U515" s="220" t="str">
        <f t="shared" si="404"/>
        <v/>
      </c>
      <c r="V515" s="220"/>
      <c r="W515" s="220">
        <f t="shared" si="389"/>
        <v>0</v>
      </c>
      <c r="X515" s="220">
        <f t="shared" si="390"/>
        <v>-10</v>
      </c>
      <c r="Y515" s="221"/>
      <c r="Z515" s="219">
        <v>45081.0</v>
      </c>
      <c r="AA515" s="220" t="str">
        <f t="shared" si="405"/>
        <v/>
      </c>
      <c r="AB515" s="220"/>
      <c r="AC515" s="220">
        <f t="shared" si="391"/>
        <v>0</v>
      </c>
      <c r="AD515" s="220">
        <f t="shared" si="392"/>
        <v>-10</v>
      </c>
      <c r="AE515" s="221"/>
      <c r="AF515" s="219">
        <v>45081.0</v>
      </c>
      <c r="AG515" s="220" t="str">
        <f t="shared" si="406"/>
        <v/>
      </c>
      <c r="AH515" s="220"/>
      <c r="AI515" s="220">
        <f t="shared" si="393"/>
        <v>0</v>
      </c>
      <c r="AJ515" s="220">
        <f t="shared" si="394"/>
        <v>-10</v>
      </c>
      <c r="AK515" s="221"/>
      <c r="AL515" s="219">
        <v>45081.0</v>
      </c>
      <c r="AM515" s="220" t="str">
        <f t="shared" si="407"/>
        <v/>
      </c>
      <c r="AN515" s="220"/>
      <c r="AO515" s="220">
        <f t="shared" si="395"/>
        <v>0</v>
      </c>
      <c r="AP515" s="220">
        <f t="shared" si="396"/>
        <v>-10</v>
      </c>
      <c r="AQ515" s="221"/>
      <c r="AR515" s="219">
        <v>45081.0</v>
      </c>
      <c r="AS515" s="220" t="str">
        <f t="shared" si="408"/>
        <v/>
      </c>
      <c r="AT515" s="220"/>
      <c r="AU515" s="220">
        <f t="shared" si="397"/>
        <v>0</v>
      </c>
      <c r="AV515" s="220">
        <f t="shared" si="398"/>
        <v>-10</v>
      </c>
      <c r="AW515" s="221"/>
      <c r="AX515" s="219">
        <v>45081.0</v>
      </c>
      <c r="AY515" s="220" t="str">
        <f t="shared" si="409"/>
        <v/>
      </c>
      <c r="AZ515" s="220"/>
      <c r="BA515" s="220">
        <f t="shared" si="399"/>
        <v>0</v>
      </c>
      <c r="BB515" s="220">
        <f t="shared" si="400"/>
        <v>-10</v>
      </c>
    </row>
    <row r="516" ht="14.25" customHeight="1">
      <c r="A516" s="218"/>
      <c r="B516" s="219">
        <v>45082.0</v>
      </c>
      <c r="C516" s="220" t="str">
        <f t="shared" si="401"/>
        <v/>
      </c>
      <c r="D516" s="220"/>
      <c r="E516" s="220">
        <f t="shared" si="383"/>
        <v>0</v>
      </c>
      <c r="F516" s="220">
        <f t="shared" si="384"/>
        <v>-10</v>
      </c>
      <c r="H516" s="219">
        <v>45082.0</v>
      </c>
      <c r="I516" s="220" t="str">
        <f t="shared" si="402"/>
        <v/>
      </c>
      <c r="J516" s="220"/>
      <c r="K516" s="220">
        <f t="shared" si="385"/>
        <v>0</v>
      </c>
      <c r="L516" s="220">
        <f t="shared" si="386"/>
        <v>-10</v>
      </c>
      <c r="N516" s="219">
        <v>45082.0</v>
      </c>
      <c r="O516" s="220" t="str">
        <f t="shared" si="403"/>
        <v/>
      </c>
      <c r="P516" s="220"/>
      <c r="Q516" s="220">
        <f t="shared" si="387"/>
        <v>0</v>
      </c>
      <c r="R516" s="220">
        <f t="shared" si="388"/>
        <v>-10</v>
      </c>
      <c r="T516" s="219">
        <v>45082.0</v>
      </c>
      <c r="U516" s="220" t="str">
        <f t="shared" si="404"/>
        <v/>
      </c>
      <c r="V516" s="220"/>
      <c r="W516" s="220">
        <f t="shared" si="389"/>
        <v>0</v>
      </c>
      <c r="X516" s="220">
        <f t="shared" si="390"/>
        <v>-10</v>
      </c>
      <c r="Z516" s="219">
        <v>45082.0</v>
      </c>
      <c r="AA516" s="220" t="str">
        <f t="shared" si="405"/>
        <v/>
      </c>
      <c r="AB516" s="220"/>
      <c r="AC516" s="220">
        <f t="shared" si="391"/>
        <v>0</v>
      </c>
      <c r="AD516" s="220">
        <f t="shared" si="392"/>
        <v>-10</v>
      </c>
      <c r="AF516" s="219">
        <v>45082.0</v>
      </c>
      <c r="AG516" s="220" t="str">
        <f t="shared" si="406"/>
        <v/>
      </c>
      <c r="AH516" s="220"/>
      <c r="AI516" s="220">
        <f t="shared" si="393"/>
        <v>0</v>
      </c>
      <c r="AJ516" s="220">
        <f t="shared" si="394"/>
        <v>-10</v>
      </c>
      <c r="AL516" s="219">
        <v>45082.0</v>
      </c>
      <c r="AM516" s="220" t="str">
        <f t="shared" si="407"/>
        <v/>
      </c>
      <c r="AN516" s="220"/>
      <c r="AO516" s="220">
        <f t="shared" si="395"/>
        <v>0</v>
      </c>
      <c r="AP516" s="220">
        <f t="shared" si="396"/>
        <v>-10</v>
      </c>
      <c r="AR516" s="219">
        <v>45082.0</v>
      </c>
      <c r="AS516" s="220" t="str">
        <f t="shared" si="408"/>
        <v/>
      </c>
      <c r="AT516" s="220"/>
      <c r="AU516" s="220">
        <f t="shared" si="397"/>
        <v>0</v>
      </c>
      <c r="AV516" s="220">
        <f t="shared" si="398"/>
        <v>-10</v>
      </c>
      <c r="AX516" s="219">
        <v>45082.0</v>
      </c>
      <c r="AY516" s="220" t="str">
        <f t="shared" si="409"/>
        <v/>
      </c>
      <c r="AZ516" s="220"/>
      <c r="BA516" s="220">
        <f t="shared" si="399"/>
        <v>0</v>
      </c>
      <c r="BB516" s="220">
        <f t="shared" si="400"/>
        <v>-10</v>
      </c>
    </row>
    <row r="517" ht="14.25" customHeight="1">
      <c r="A517" s="218"/>
      <c r="B517" s="219">
        <v>45083.0</v>
      </c>
      <c r="C517" s="220" t="str">
        <f t="shared" si="401"/>
        <v/>
      </c>
      <c r="D517" s="220"/>
      <c r="E517" s="220">
        <f t="shared" si="383"/>
        <v>0</v>
      </c>
      <c r="F517" s="220">
        <f t="shared" si="384"/>
        <v>-10</v>
      </c>
      <c r="H517" s="219">
        <v>45083.0</v>
      </c>
      <c r="I517" s="220" t="str">
        <f t="shared" si="402"/>
        <v/>
      </c>
      <c r="J517" s="220"/>
      <c r="K517" s="220">
        <f t="shared" si="385"/>
        <v>0</v>
      </c>
      <c r="L517" s="220">
        <f t="shared" si="386"/>
        <v>-10</v>
      </c>
      <c r="N517" s="219">
        <v>45083.0</v>
      </c>
      <c r="O517" s="220" t="str">
        <f t="shared" si="403"/>
        <v/>
      </c>
      <c r="P517" s="220"/>
      <c r="Q517" s="220">
        <f t="shared" si="387"/>
        <v>0</v>
      </c>
      <c r="R517" s="220">
        <f t="shared" si="388"/>
        <v>-10</v>
      </c>
      <c r="T517" s="219">
        <v>45083.0</v>
      </c>
      <c r="U517" s="220" t="str">
        <f t="shared" si="404"/>
        <v/>
      </c>
      <c r="V517" s="220"/>
      <c r="W517" s="220">
        <f t="shared" si="389"/>
        <v>0</v>
      </c>
      <c r="X517" s="220">
        <f t="shared" si="390"/>
        <v>-10</v>
      </c>
      <c r="Z517" s="219">
        <v>45083.0</v>
      </c>
      <c r="AA517" s="220" t="str">
        <f t="shared" si="405"/>
        <v/>
      </c>
      <c r="AB517" s="220"/>
      <c r="AC517" s="220">
        <f t="shared" si="391"/>
        <v>0</v>
      </c>
      <c r="AD517" s="220">
        <f t="shared" si="392"/>
        <v>-10</v>
      </c>
      <c r="AF517" s="219">
        <v>45083.0</v>
      </c>
      <c r="AG517" s="220" t="str">
        <f t="shared" si="406"/>
        <v/>
      </c>
      <c r="AH517" s="220"/>
      <c r="AI517" s="220">
        <f t="shared" si="393"/>
        <v>0</v>
      </c>
      <c r="AJ517" s="220">
        <f t="shared" si="394"/>
        <v>-10</v>
      </c>
      <c r="AL517" s="219">
        <v>45083.0</v>
      </c>
      <c r="AM517" s="220" t="str">
        <f t="shared" si="407"/>
        <v/>
      </c>
      <c r="AN517" s="220"/>
      <c r="AO517" s="220">
        <f t="shared" si="395"/>
        <v>0</v>
      </c>
      <c r="AP517" s="220">
        <f t="shared" si="396"/>
        <v>-10</v>
      </c>
      <c r="AR517" s="219">
        <v>45083.0</v>
      </c>
      <c r="AS517" s="220" t="str">
        <f t="shared" si="408"/>
        <v/>
      </c>
      <c r="AT517" s="220"/>
      <c r="AU517" s="220">
        <f t="shared" si="397"/>
        <v>0</v>
      </c>
      <c r="AV517" s="220">
        <f t="shared" si="398"/>
        <v>-10</v>
      </c>
      <c r="AX517" s="219">
        <v>45083.0</v>
      </c>
      <c r="AY517" s="220" t="str">
        <f t="shared" si="409"/>
        <v/>
      </c>
      <c r="AZ517" s="220"/>
      <c r="BA517" s="220">
        <f t="shared" si="399"/>
        <v>0</v>
      </c>
      <c r="BB517" s="220">
        <f t="shared" si="400"/>
        <v>-10</v>
      </c>
    </row>
    <row r="518" ht="14.25" customHeight="1">
      <c r="A518" s="218"/>
      <c r="B518" s="219">
        <v>45084.0</v>
      </c>
      <c r="C518" s="220" t="str">
        <f t="shared" si="401"/>
        <v/>
      </c>
      <c r="D518" s="220"/>
      <c r="E518" s="220">
        <f t="shared" si="383"/>
        <v>0</v>
      </c>
      <c r="F518" s="220">
        <f t="shared" si="384"/>
        <v>-10</v>
      </c>
      <c r="H518" s="219">
        <v>45084.0</v>
      </c>
      <c r="I518" s="220" t="str">
        <f t="shared" si="402"/>
        <v/>
      </c>
      <c r="J518" s="220"/>
      <c r="K518" s="220">
        <f t="shared" si="385"/>
        <v>0</v>
      </c>
      <c r="L518" s="220">
        <f t="shared" si="386"/>
        <v>-10</v>
      </c>
      <c r="N518" s="219">
        <v>45084.0</v>
      </c>
      <c r="O518" s="220" t="str">
        <f t="shared" si="403"/>
        <v/>
      </c>
      <c r="P518" s="220"/>
      <c r="Q518" s="220">
        <f t="shared" si="387"/>
        <v>0</v>
      </c>
      <c r="R518" s="220">
        <f t="shared" si="388"/>
        <v>-10</v>
      </c>
      <c r="T518" s="219">
        <v>45084.0</v>
      </c>
      <c r="U518" s="220" t="str">
        <f t="shared" si="404"/>
        <v/>
      </c>
      <c r="V518" s="220"/>
      <c r="W518" s="220">
        <f t="shared" si="389"/>
        <v>0</v>
      </c>
      <c r="X518" s="220">
        <f t="shared" si="390"/>
        <v>-10</v>
      </c>
      <c r="Z518" s="219">
        <v>45084.0</v>
      </c>
      <c r="AA518" s="220" t="str">
        <f t="shared" si="405"/>
        <v/>
      </c>
      <c r="AB518" s="220"/>
      <c r="AC518" s="220">
        <f t="shared" si="391"/>
        <v>0</v>
      </c>
      <c r="AD518" s="220">
        <f t="shared" si="392"/>
        <v>-10</v>
      </c>
      <c r="AF518" s="219">
        <v>45084.0</v>
      </c>
      <c r="AG518" s="220" t="str">
        <f t="shared" si="406"/>
        <v/>
      </c>
      <c r="AH518" s="220"/>
      <c r="AI518" s="220">
        <f t="shared" si="393"/>
        <v>0</v>
      </c>
      <c r="AJ518" s="220">
        <f t="shared" si="394"/>
        <v>-10</v>
      </c>
      <c r="AL518" s="219">
        <v>45084.0</v>
      </c>
      <c r="AM518" s="220" t="str">
        <f t="shared" si="407"/>
        <v/>
      </c>
      <c r="AN518" s="220"/>
      <c r="AO518" s="220">
        <f t="shared" si="395"/>
        <v>0</v>
      </c>
      <c r="AP518" s="220">
        <f t="shared" si="396"/>
        <v>-10</v>
      </c>
      <c r="AR518" s="219">
        <v>45084.0</v>
      </c>
      <c r="AS518" s="220" t="str">
        <f t="shared" si="408"/>
        <v/>
      </c>
      <c r="AT518" s="220"/>
      <c r="AU518" s="220">
        <f t="shared" si="397"/>
        <v>0</v>
      </c>
      <c r="AV518" s="220">
        <f t="shared" si="398"/>
        <v>-10</v>
      </c>
      <c r="AX518" s="219">
        <v>45084.0</v>
      </c>
      <c r="AY518" s="220" t="str">
        <f t="shared" si="409"/>
        <v/>
      </c>
      <c r="AZ518" s="220"/>
      <c r="BA518" s="220">
        <f t="shared" si="399"/>
        <v>0</v>
      </c>
      <c r="BB518" s="220">
        <f t="shared" si="400"/>
        <v>-10</v>
      </c>
    </row>
    <row r="519" ht="14.25" customHeight="1">
      <c r="A519" s="218"/>
      <c r="B519" s="219">
        <v>45085.0</v>
      </c>
      <c r="C519" s="220" t="str">
        <f t="shared" si="401"/>
        <v/>
      </c>
      <c r="D519" s="220"/>
      <c r="E519" s="220">
        <f t="shared" si="383"/>
        <v>0</v>
      </c>
      <c r="F519" s="220">
        <f t="shared" si="384"/>
        <v>-10</v>
      </c>
      <c r="H519" s="219">
        <v>45085.0</v>
      </c>
      <c r="I519" s="220" t="str">
        <f t="shared" si="402"/>
        <v/>
      </c>
      <c r="J519" s="220"/>
      <c r="K519" s="220">
        <f t="shared" si="385"/>
        <v>0</v>
      </c>
      <c r="L519" s="220">
        <f t="shared" si="386"/>
        <v>-10</v>
      </c>
      <c r="N519" s="219">
        <v>45085.0</v>
      </c>
      <c r="O519" s="220" t="str">
        <f t="shared" si="403"/>
        <v/>
      </c>
      <c r="P519" s="220"/>
      <c r="Q519" s="220">
        <f t="shared" si="387"/>
        <v>0</v>
      </c>
      <c r="R519" s="220">
        <f t="shared" si="388"/>
        <v>-10</v>
      </c>
      <c r="T519" s="219">
        <v>45085.0</v>
      </c>
      <c r="U519" s="220" t="str">
        <f t="shared" si="404"/>
        <v/>
      </c>
      <c r="V519" s="220"/>
      <c r="W519" s="220">
        <f t="shared" si="389"/>
        <v>0</v>
      </c>
      <c r="X519" s="220">
        <f t="shared" si="390"/>
        <v>-10</v>
      </c>
      <c r="Z519" s="219">
        <v>45085.0</v>
      </c>
      <c r="AA519" s="220" t="str">
        <f t="shared" si="405"/>
        <v/>
      </c>
      <c r="AB519" s="220"/>
      <c r="AC519" s="220">
        <f t="shared" si="391"/>
        <v>0</v>
      </c>
      <c r="AD519" s="220">
        <f t="shared" si="392"/>
        <v>-10</v>
      </c>
      <c r="AF519" s="219">
        <v>45085.0</v>
      </c>
      <c r="AG519" s="220" t="str">
        <f t="shared" si="406"/>
        <v/>
      </c>
      <c r="AH519" s="220"/>
      <c r="AI519" s="220">
        <f t="shared" si="393"/>
        <v>0</v>
      </c>
      <c r="AJ519" s="220">
        <f t="shared" si="394"/>
        <v>-10</v>
      </c>
      <c r="AL519" s="219">
        <v>45085.0</v>
      </c>
      <c r="AM519" s="220" t="str">
        <f t="shared" si="407"/>
        <v/>
      </c>
      <c r="AN519" s="220"/>
      <c r="AO519" s="220">
        <f t="shared" si="395"/>
        <v>0</v>
      </c>
      <c r="AP519" s="220">
        <f t="shared" si="396"/>
        <v>-10</v>
      </c>
      <c r="AR519" s="219">
        <v>45085.0</v>
      </c>
      <c r="AS519" s="220" t="str">
        <f t="shared" si="408"/>
        <v/>
      </c>
      <c r="AT519" s="220"/>
      <c r="AU519" s="220">
        <f t="shared" si="397"/>
        <v>0</v>
      </c>
      <c r="AV519" s="220">
        <f t="shared" si="398"/>
        <v>-10</v>
      </c>
      <c r="AX519" s="219">
        <v>45085.0</v>
      </c>
      <c r="AY519" s="220" t="str">
        <f t="shared" si="409"/>
        <v/>
      </c>
      <c r="AZ519" s="220"/>
      <c r="BA519" s="220">
        <f t="shared" si="399"/>
        <v>0</v>
      </c>
      <c r="BB519" s="220">
        <f t="shared" si="400"/>
        <v>-10</v>
      </c>
    </row>
    <row r="520" ht="14.25" customHeight="1">
      <c r="A520" s="218"/>
      <c r="B520" s="219">
        <v>45086.0</v>
      </c>
      <c r="C520" s="220" t="str">
        <f t="shared" si="401"/>
        <v/>
      </c>
      <c r="D520" s="220"/>
      <c r="E520" s="220">
        <f t="shared" si="383"/>
        <v>0</v>
      </c>
      <c r="F520" s="220">
        <f t="shared" si="384"/>
        <v>-10</v>
      </c>
      <c r="H520" s="219">
        <v>45086.0</v>
      </c>
      <c r="I520" s="220" t="str">
        <f t="shared" si="402"/>
        <v/>
      </c>
      <c r="J520" s="220"/>
      <c r="K520" s="220">
        <f t="shared" si="385"/>
        <v>0</v>
      </c>
      <c r="L520" s="220">
        <f t="shared" si="386"/>
        <v>-10</v>
      </c>
      <c r="N520" s="219">
        <v>45086.0</v>
      </c>
      <c r="O520" s="220" t="str">
        <f t="shared" si="403"/>
        <v/>
      </c>
      <c r="P520" s="220"/>
      <c r="Q520" s="220">
        <f t="shared" si="387"/>
        <v>0</v>
      </c>
      <c r="R520" s="220">
        <f t="shared" si="388"/>
        <v>-10</v>
      </c>
      <c r="T520" s="219">
        <v>45086.0</v>
      </c>
      <c r="U520" s="220" t="str">
        <f t="shared" si="404"/>
        <v/>
      </c>
      <c r="V520" s="220"/>
      <c r="W520" s="220">
        <f t="shared" si="389"/>
        <v>0</v>
      </c>
      <c r="X520" s="220">
        <f t="shared" si="390"/>
        <v>-10</v>
      </c>
      <c r="Z520" s="219">
        <v>45086.0</v>
      </c>
      <c r="AA520" s="220" t="str">
        <f t="shared" si="405"/>
        <v/>
      </c>
      <c r="AB520" s="220"/>
      <c r="AC520" s="220">
        <f t="shared" si="391"/>
        <v>0</v>
      </c>
      <c r="AD520" s="220">
        <f t="shared" si="392"/>
        <v>-10</v>
      </c>
      <c r="AF520" s="219">
        <v>45086.0</v>
      </c>
      <c r="AG520" s="220" t="str">
        <f t="shared" si="406"/>
        <v/>
      </c>
      <c r="AH520" s="220"/>
      <c r="AI520" s="220">
        <f t="shared" si="393"/>
        <v>0</v>
      </c>
      <c r="AJ520" s="220">
        <f t="shared" si="394"/>
        <v>-10</v>
      </c>
      <c r="AL520" s="219">
        <v>45086.0</v>
      </c>
      <c r="AM520" s="220" t="str">
        <f t="shared" si="407"/>
        <v/>
      </c>
      <c r="AN520" s="220"/>
      <c r="AO520" s="220">
        <f t="shared" si="395"/>
        <v>0</v>
      </c>
      <c r="AP520" s="220">
        <f t="shared" si="396"/>
        <v>-10</v>
      </c>
      <c r="AR520" s="219">
        <v>45086.0</v>
      </c>
      <c r="AS520" s="220" t="str">
        <f t="shared" si="408"/>
        <v/>
      </c>
      <c r="AT520" s="220"/>
      <c r="AU520" s="220">
        <f t="shared" si="397"/>
        <v>0</v>
      </c>
      <c r="AV520" s="220">
        <f t="shared" si="398"/>
        <v>-10</v>
      </c>
      <c r="AX520" s="219">
        <v>45086.0</v>
      </c>
      <c r="AY520" s="220" t="str">
        <f t="shared" si="409"/>
        <v/>
      </c>
      <c r="AZ520" s="220"/>
      <c r="BA520" s="220">
        <f t="shared" si="399"/>
        <v>0</v>
      </c>
      <c r="BB520" s="220">
        <f t="shared" si="400"/>
        <v>-10</v>
      </c>
    </row>
    <row r="521" ht="14.25" customHeight="1">
      <c r="A521" s="218"/>
      <c r="B521" s="219">
        <v>45087.0</v>
      </c>
      <c r="C521" s="220" t="str">
        <f t="shared" si="401"/>
        <v/>
      </c>
      <c r="D521" s="220"/>
      <c r="E521" s="220">
        <f t="shared" si="383"/>
        <v>0</v>
      </c>
      <c r="F521" s="220">
        <f t="shared" si="384"/>
        <v>-10</v>
      </c>
      <c r="G521" s="221"/>
      <c r="H521" s="219">
        <v>45087.0</v>
      </c>
      <c r="I521" s="220" t="str">
        <f t="shared" si="402"/>
        <v/>
      </c>
      <c r="J521" s="220"/>
      <c r="K521" s="220">
        <f t="shared" si="385"/>
        <v>0</v>
      </c>
      <c r="L521" s="220">
        <f t="shared" si="386"/>
        <v>-10</v>
      </c>
      <c r="M521" s="221"/>
      <c r="N521" s="219">
        <v>45087.0</v>
      </c>
      <c r="O521" s="220" t="str">
        <f t="shared" si="403"/>
        <v/>
      </c>
      <c r="P521" s="220"/>
      <c r="Q521" s="220">
        <f t="shared" si="387"/>
        <v>0</v>
      </c>
      <c r="R521" s="220">
        <f t="shared" si="388"/>
        <v>-10</v>
      </c>
      <c r="S521" s="221"/>
      <c r="T521" s="219">
        <v>45087.0</v>
      </c>
      <c r="U521" s="220" t="str">
        <f t="shared" si="404"/>
        <v/>
      </c>
      <c r="V521" s="220"/>
      <c r="W521" s="220">
        <f t="shared" si="389"/>
        <v>0</v>
      </c>
      <c r="X521" s="220">
        <f t="shared" si="390"/>
        <v>-10</v>
      </c>
      <c r="Y521" s="221"/>
      <c r="Z521" s="219">
        <v>45087.0</v>
      </c>
      <c r="AA521" s="220" t="str">
        <f t="shared" si="405"/>
        <v/>
      </c>
      <c r="AB521" s="220"/>
      <c r="AC521" s="220">
        <f t="shared" si="391"/>
        <v>0</v>
      </c>
      <c r="AD521" s="220">
        <f t="shared" si="392"/>
        <v>-10</v>
      </c>
      <c r="AE521" s="221"/>
      <c r="AF521" s="219">
        <v>45087.0</v>
      </c>
      <c r="AG521" s="220" t="str">
        <f t="shared" si="406"/>
        <v/>
      </c>
      <c r="AH521" s="220"/>
      <c r="AI521" s="220">
        <f t="shared" si="393"/>
        <v>0</v>
      </c>
      <c r="AJ521" s="220">
        <f t="shared" si="394"/>
        <v>-10</v>
      </c>
      <c r="AK521" s="221"/>
      <c r="AL521" s="219">
        <v>45087.0</v>
      </c>
      <c r="AM521" s="220" t="str">
        <f t="shared" si="407"/>
        <v/>
      </c>
      <c r="AN521" s="220"/>
      <c r="AO521" s="220">
        <f t="shared" si="395"/>
        <v>0</v>
      </c>
      <c r="AP521" s="220">
        <f t="shared" si="396"/>
        <v>-10</v>
      </c>
      <c r="AQ521" s="221"/>
      <c r="AR521" s="219">
        <v>45087.0</v>
      </c>
      <c r="AS521" s="220" t="str">
        <f t="shared" si="408"/>
        <v/>
      </c>
      <c r="AT521" s="220"/>
      <c r="AU521" s="220">
        <f t="shared" si="397"/>
        <v>0</v>
      </c>
      <c r="AV521" s="220">
        <f t="shared" si="398"/>
        <v>-10</v>
      </c>
      <c r="AW521" s="221"/>
      <c r="AX521" s="219">
        <v>45087.0</v>
      </c>
      <c r="AY521" s="220" t="str">
        <f t="shared" si="409"/>
        <v/>
      </c>
      <c r="AZ521" s="220"/>
      <c r="BA521" s="220">
        <f t="shared" si="399"/>
        <v>0</v>
      </c>
      <c r="BB521" s="220">
        <f t="shared" si="400"/>
        <v>-10</v>
      </c>
    </row>
    <row r="522" ht="14.25" customHeight="1">
      <c r="A522" s="218"/>
      <c r="B522" s="219">
        <v>45088.0</v>
      </c>
      <c r="C522" s="220" t="str">
        <f t="shared" si="401"/>
        <v/>
      </c>
      <c r="D522" s="220"/>
      <c r="E522" s="220">
        <f t="shared" si="383"/>
        <v>0</v>
      </c>
      <c r="F522" s="220">
        <f t="shared" si="384"/>
        <v>-10</v>
      </c>
      <c r="G522" s="221"/>
      <c r="H522" s="219">
        <v>45088.0</v>
      </c>
      <c r="I522" s="220" t="str">
        <f t="shared" si="402"/>
        <v/>
      </c>
      <c r="J522" s="220"/>
      <c r="K522" s="220">
        <f t="shared" si="385"/>
        <v>0</v>
      </c>
      <c r="L522" s="220">
        <f t="shared" si="386"/>
        <v>-10</v>
      </c>
      <c r="M522" s="221"/>
      <c r="N522" s="219">
        <v>45088.0</v>
      </c>
      <c r="O522" s="220" t="str">
        <f t="shared" si="403"/>
        <v/>
      </c>
      <c r="P522" s="220"/>
      <c r="Q522" s="220">
        <f t="shared" si="387"/>
        <v>0</v>
      </c>
      <c r="R522" s="220">
        <f t="shared" si="388"/>
        <v>-10</v>
      </c>
      <c r="S522" s="221"/>
      <c r="T522" s="219">
        <v>45088.0</v>
      </c>
      <c r="U522" s="220" t="str">
        <f t="shared" si="404"/>
        <v/>
      </c>
      <c r="V522" s="220"/>
      <c r="W522" s="220">
        <f t="shared" si="389"/>
        <v>0</v>
      </c>
      <c r="X522" s="220">
        <f t="shared" si="390"/>
        <v>-10</v>
      </c>
      <c r="Y522" s="221"/>
      <c r="Z522" s="219">
        <v>45088.0</v>
      </c>
      <c r="AA522" s="220" t="str">
        <f t="shared" si="405"/>
        <v/>
      </c>
      <c r="AB522" s="220"/>
      <c r="AC522" s="220">
        <f t="shared" si="391"/>
        <v>0</v>
      </c>
      <c r="AD522" s="220">
        <f t="shared" si="392"/>
        <v>-10</v>
      </c>
      <c r="AE522" s="221"/>
      <c r="AF522" s="219">
        <v>45088.0</v>
      </c>
      <c r="AG522" s="220" t="str">
        <f t="shared" si="406"/>
        <v/>
      </c>
      <c r="AH522" s="220"/>
      <c r="AI522" s="220">
        <f t="shared" si="393"/>
        <v>0</v>
      </c>
      <c r="AJ522" s="220">
        <f t="shared" si="394"/>
        <v>-10</v>
      </c>
      <c r="AK522" s="221"/>
      <c r="AL522" s="219">
        <v>45088.0</v>
      </c>
      <c r="AM522" s="220" t="str">
        <f t="shared" si="407"/>
        <v/>
      </c>
      <c r="AN522" s="220"/>
      <c r="AO522" s="220">
        <f t="shared" si="395"/>
        <v>0</v>
      </c>
      <c r="AP522" s="220">
        <f t="shared" si="396"/>
        <v>-10</v>
      </c>
      <c r="AQ522" s="221"/>
      <c r="AR522" s="219">
        <v>45088.0</v>
      </c>
      <c r="AS522" s="220" t="str">
        <f t="shared" si="408"/>
        <v/>
      </c>
      <c r="AT522" s="220"/>
      <c r="AU522" s="220">
        <f t="shared" si="397"/>
        <v>0</v>
      </c>
      <c r="AV522" s="220">
        <f t="shared" si="398"/>
        <v>-10</v>
      </c>
      <c r="AW522" s="221"/>
      <c r="AX522" s="219">
        <v>45088.0</v>
      </c>
      <c r="AY522" s="220" t="str">
        <f t="shared" si="409"/>
        <v/>
      </c>
      <c r="AZ522" s="220"/>
      <c r="BA522" s="220">
        <f t="shared" si="399"/>
        <v>0</v>
      </c>
      <c r="BB522" s="220">
        <f t="shared" si="400"/>
        <v>-10</v>
      </c>
    </row>
    <row r="523" ht="14.25" customHeight="1">
      <c r="A523" s="218"/>
      <c r="B523" s="219">
        <v>45089.0</v>
      </c>
      <c r="C523" s="220" t="str">
        <f t="shared" si="401"/>
        <v/>
      </c>
      <c r="D523" s="220"/>
      <c r="E523" s="220">
        <f t="shared" si="383"/>
        <v>0</v>
      </c>
      <c r="F523" s="220">
        <f t="shared" si="384"/>
        <v>-10</v>
      </c>
      <c r="H523" s="219">
        <v>45089.0</v>
      </c>
      <c r="I523" s="220" t="str">
        <f t="shared" si="402"/>
        <v/>
      </c>
      <c r="J523" s="220"/>
      <c r="K523" s="220">
        <f t="shared" si="385"/>
        <v>0</v>
      </c>
      <c r="L523" s="220">
        <f t="shared" si="386"/>
        <v>-10</v>
      </c>
      <c r="N523" s="219">
        <v>45089.0</v>
      </c>
      <c r="O523" s="220" t="str">
        <f t="shared" si="403"/>
        <v/>
      </c>
      <c r="P523" s="220"/>
      <c r="Q523" s="220">
        <f t="shared" si="387"/>
        <v>0</v>
      </c>
      <c r="R523" s="220">
        <f t="shared" si="388"/>
        <v>-10</v>
      </c>
      <c r="T523" s="219">
        <v>45089.0</v>
      </c>
      <c r="U523" s="220" t="str">
        <f t="shared" si="404"/>
        <v/>
      </c>
      <c r="V523" s="220"/>
      <c r="W523" s="220">
        <f t="shared" si="389"/>
        <v>0</v>
      </c>
      <c r="X523" s="220">
        <f t="shared" si="390"/>
        <v>-10</v>
      </c>
      <c r="Z523" s="219">
        <v>45089.0</v>
      </c>
      <c r="AA523" s="220" t="str">
        <f t="shared" si="405"/>
        <v/>
      </c>
      <c r="AB523" s="220"/>
      <c r="AC523" s="220">
        <f t="shared" si="391"/>
        <v>0</v>
      </c>
      <c r="AD523" s="220">
        <f t="shared" si="392"/>
        <v>-10</v>
      </c>
      <c r="AF523" s="219">
        <v>45089.0</v>
      </c>
      <c r="AG523" s="220" t="str">
        <f t="shared" si="406"/>
        <v/>
      </c>
      <c r="AH523" s="220"/>
      <c r="AI523" s="220">
        <f t="shared" si="393"/>
        <v>0</v>
      </c>
      <c r="AJ523" s="220">
        <f t="shared" si="394"/>
        <v>-10</v>
      </c>
      <c r="AL523" s="219">
        <v>45089.0</v>
      </c>
      <c r="AM523" s="220" t="str">
        <f t="shared" si="407"/>
        <v/>
      </c>
      <c r="AN523" s="220"/>
      <c r="AO523" s="220">
        <f t="shared" si="395"/>
        <v>0</v>
      </c>
      <c r="AP523" s="220">
        <f t="shared" si="396"/>
        <v>-10</v>
      </c>
      <c r="AR523" s="219">
        <v>45089.0</v>
      </c>
      <c r="AS523" s="220" t="str">
        <f t="shared" si="408"/>
        <v/>
      </c>
      <c r="AT523" s="220"/>
      <c r="AU523" s="220">
        <f t="shared" si="397"/>
        <v>0</v>
      </c>
      <c r="AV523" s="220">
        <f t="shared" si="398"/>
        <v>-10</v>
      </c>
      <c r="AX523" s="219">
        <v>45089.0</v>
      </c>
      <c r="AY523" s="220" t="str">
        <f t="shared" si="409"/>
        <v/>
      </c>
      <c r="AZ523" s="220"/>
      <c r="BA523" s="220">
        <f t="shared" si="399"/>
        <v>0</v>
      </c>
      <c r="BB523" s="220">
        <f t="shared" si="400"/>
        <v>-10</v>
      </c>
    </row>
    <row r="524" ht="14.25" customHeight="1">
      <c r="A524" s="218"/>
      <c r="B524" s="219">
        <v>45090.0</v>
      </c>
      <c r="C524" s="220" t="str">
        <f t="shared" si="401"/>
        <v/>
      </c>
      <c r="D524" s="220"/>
      <c r="E524" s="220">
        <f t="shared" si="383"/>
        <v>0</v>
      </c>
      <c r="F524" s="220">
        <f t="shared" si="384"/>
        <v>-10</v>
      </c>
      <c r="H524" s="219">
        <v>45090.0</v>
      </c>
      <c r="I524" s="220" t="str">
        <f t="shared" si="402"/>
        <v/>
      </c>
      <c r="J524" s="220"/>
      <c r="K524" s="220">
        <f t="shared" si="385"/>
        <v>0</v>
      </c>
      <c r="L524" s="220">
        <f t="shared" si="386"/>
        <v>-10</v>
      </c>
      <c r="N524" s="219">
        <v>45090.0</v>
      </c>
      <c r="O524" s="220" t="str">
        <f t="shared" si="403"/>
        <v/>
      </c>
      <c r="P524" s="220"/>
      <c r="Q524" s="220">
        <f t="shared" si="387"/>
        <v>0</v>
      </c>
      <c r="R524" s="220">
        <f t="shared" si="388"/>
        <v>-10</v>
      </c>
      <c r="T524" s="219">
        <v>45090.0</v>
      </c>
      <c r="U524" s="220" t="str">
        <f t="shared" si="404"/>
        <v/>
      </c>
      <c r="V524" s="220"/>
      <c r="W524" s="220">
        <f t="shared" si="389"/>
        <v>0</v>
      </c>
      <c r="X524" s="220">
        <f t="shared" si="390"/>
        <v>-10</v>
      </c>
      <c r="Z524" s="219">
        <v>45090.0</v>
      </c>
      <c r="AA524" s="220" t="str">
        <f t="shared" si="405"/>
        <v/>
      </c>
      <c r="AB524" s="220"/>
      <c r="AC524" s="220">
        <f t="shared" si="391"/>
        <v>0</v>
      </c>
      <c r="AD524" s="220">
        <f t="shared" si="392"/>
        <v>-10</v>
      </c>
      <c r="AF524" s="219">
        <v>45090.0</v>
      </c>
      <c r="AG524" s="220" t="str">
        <f t="shared" si="406"/>
        <v/>
      </c>
      <c r="AH524" s="220"/>
      <c r="AI524" s="220">
        <f t="shared" si="393"/>
        <v>0</v>
      </c>
      <c r="AJ524" s="220">
        <f t="shared" si="394"/>
        <v>-10</v>
      </c>
      <c r="AL524" s="219">
        <v>45090.0</v>
      </c>
      <c r="AM524" s="220" t="str">
        <f t="shared" si="407"/>
        <v/>
      </c>
      <c r="AN524" s="220"/>
      <c r="AO524" s="220">
        <f t="shared" si="395"/>
        <v>0</v>
      </c>
      <c r="AP524" s="220">
        <f t="shared" si="396"/>
        <v>-10</v>
      </c>
      <c r="AR524" s="219">
        <v>45090.0</v>
      </c>
      <c r="AS524" s="220" t="str">
        <f t="shared" si="408"/>
        <v/>
      </c>
      <c r="AT524" s="220"/>
      <c r="AU524" s="220">
        <f t="shared" si="397"/>
        <v>0</v>
      </c>
      <c r="AV524" s="220">
        <f t="shared" si="398"/>
        <v>-10</v>
      </c>
      <c r="AX524" s="219">
        <v>45090.0</v>
      </c>
      <c r="AY524" s="220" t="str">
        <f t="shared" si="409"/>
        <v/>
      </c>
      <c r="AZ524" s="220"/>
      <c r="BA524" s="220">
        <f t="shared" si="399"/>
        <v>0</v>
      </c>
      <c r="BB524" s="220">
        <f t="shared" si="400"/>
        <v>-10</v>
      </c>
    </row>
    <row r="525" ht="14.25" customHeight="1">
      <c r="A525" s="218"/>
      <c r="B525" s="219">
        <v>45091.0</v>
      </c>
      <c r="C525" s="220" t="str">
        <f t="shared" si="401"/>
        <v/>
      </c>
      <c r="D525" s="220"/>
      <c r="E525" s="220">
        <f t="shared" si="383"/>
        <v>0</v>
      </c>
      <c r="F525" s="220">
        <f t="shared" si="384"/>
        <v>-10</v>
      </c>
      <c r="H525" s="219">
        <v>45091.0</v>
      </c>
      <c r="I525" s="220" t="str">
        <f t="shared" si="402"/>
        <v/>
      </c>
      <c r="J525" s="220"/>
      <c r="K525" s="220">
        <f t="shared" si="385"/>
        <v>0</v>
      </c>
      <c r="L525" s="220">
        <f t="shared" si="386"/>
        <v>-10</v>
      </c>
      <c r="N525" s="219">
        <v>45091.0</v>
      </c>
      <c r="O525" s="220" t="str">
        <f t="shared" si="403"/>
        <v/>
      </c>
      <c r="P525" s="220"/>
      <c r="Q525" s="220">
        <f t="shared" si="387"/>
        <v>0</v>
      </c>
      <c r="R525" s="220">
        <f t="shared" si="388"/>
        <v>-10</v>
      </c>
      <c r="T525" s="219">
        <v>45091.0</v>
      </c>
      <c r="U525" s="220" t="str">
        <f t="shared" si="404"/>
        <v/>
      </c>
      <c r="V525" s="220"/>
      <c r="W525" s="220">
        <f t="shared" si="389"/>
        <v>0</v>
      </c>
      <c r="X525" s="220">
        <f t="shared" si="390"/>
        <v>-10</v>
      </c>
      <c r="Z525" s="219">
        <v>45091.0</v>
      </c>
      <c r="AA525" s="220" t="str">
        <f t="shared" si="405"/>
        <v/>
      </c>
      <c r="AB525" s="220"/>
      <c r="AC525" s="220">
        <f t="shared" si="391"/>
        <v>0</v>
      </c>
      <c r="AD525" s="220">
        <f t="shared" si="392"/>
        <v>-10</v>
      </c>
      <c r="AF525" s="219">
        <v>45091.0</v>
      </c>
      <c r="AG525" s="220" t="str">
        <f t="shared" si="406"/>
        <v/>
      </c>
      <c r="AH525" s="220"/>
      <c r="AI525" s="220">
        <f t="shared" si="393"/>
        <v>0</v>
      </c>
      <c r="AJ525" s="220">
        <f t="shared" si="394"/>
        <v>-10</v>
      </c>
      <c r="AL525" s="219">
        <v>45091.0</v>
      </c>
      <c r="AM525" s="220" t="str">
        <f t="shared" si="407"/>
        <v/>
      </c>
      <c r="AN525" s="220"/>
      <c r="AO525" s="220">
        <f t="shared" si="395"/>
        <v>0</v>
      </c>
      <c r="AP525" s="220">
        <f t="shared" si="396"/>
        <v>-10</v>
      </c>
      <c r="AR525" s="219">
        <v>45091.0</v>
      </c>
      <c r="AS525" s="220" t="str">
        <f t="shared" si="408"/>
        <v/>
      </c>
      <c r="AT525" s="220"/>
      <c r="AU525" s="220">
        <f t="shared" si="397"/>
        <v>0</v>
      </c>
      <c r="AV525" s="220">
        <f t="shared" si="398"/>
        <v>-10</v>
      </c>
      <c r="AX525" s="219">
        <v>45091.0</v>
      </c>
      <c r="AY525" s="220" t="str">
        <f t="shared" si="409"/>
        <v/>
      </c>
      <c r="AZ525" s="220"/>
      <c r="BA525" s="220">
        <f t="shared" si="399"/>
        <v>0</v>
      </c>
      <c r="BB525" s="220">
        <f t="shared" si="400"/>
        <v>-10</v>
      </c>
    </row>
    <row r="526" ht="14.25" customHeight="1">
      <c r="A526" s="218"/>
      <c r="B526" s="219">
        <v>45092.0</v>
      </c>
      <c r="C526" s="220" t="str">
        <f t="shared" si="401"/>
        <v/>
      </c>
      <c r="D526" s="220"/>
      <c r="E526" s="220">
        <f t="shared" si="383"/>
        <v>0</v>
      </c>
      <c r="F526" s="220">
        <f t="shared" si="384"/>
        <v>-10</v>
      </c>
      <c r="H526" s="219">
        <v>45092.0</v>
      </c>
      <c r="I526" s="220" t="str">
        <f t="shared" si="402"/>
        <v/>
      </c>
      <c r="J526" s="220"/>
      <c r="K526" s="220">
        <f t="shared" si="385"/>
        <v>0</v>
      </c>
      <c r="L526" s="220">
        <f t="shared" si="386"/>
        <v>-10</v>
      </c>
      <c r="N526" s="219">
        <v>45092.0</v>
      </c>
      <c r="O526" s="220" t="str">
        <f t="shared" si="403"/>
        <v/>
      </c>
      <c r="P526" s="220"/>
      <c r="Q526" s="220">
        <f t="shared" si="387"/>
        <v>0</v>
      </c>
      <c r="R526" s="220">
        <f t="shared" si="388"/>
        <v>-10</v>
      </c>
      <c r="T526" s="219">
        <v>45092.0</v>
      </c>
      <c r="U526" s="220" t="str">
        <f t="shared" si="404"/>
        <v/>
      </c>
      <c r="V526" s="220"/>
      <c r="W526" s="220">
        <f t="shared" si="389"/>
        <v>0</v>
      </c>
      <c r="X526" s="220">
        <f t="shared" si="390"/>
        <v>-10</v>
      </c>
      <c r="Z526" s="219">
        <v>45092.0</v>
      </c>
      <c r="AA526" s="220" t="str">
        <f t="shared" si="405"/>
        <v/>
      </c>
      <c r="AB526" s="220"/>
      <c r="AC526" s="220">
        <f t="shared" si="391"/>
        <v>0</v>
      </c>
      <c r="AD526" s="220">
        <f t="shared" si="392"/>
        <v>-10</v>
      </c>
      <c r="AF526" s="219">
        <v>45092.0</v>
      </c>
      <c r="AG526" s="220" t="str">
        <f t="shared" si="406"/>
        <v/>
      </c>
      <c r="AH526" s="220"/>
      <c r="AI526" s="220">
        <f t="shared" si="393"/>
        <v>0</v>
      </c>
      <c r="AJ526" s="220">
        <f t="shared" si="394"/>
        <v>-10</v>
      </c>
      <c r="AL526" s="219">
        <v>45092.0</v>
      </c>
      <c r="AM526" s="220" t="str">
        <f t="shared" si="407"/>
        <v/>
      </c>
      <c r="AN526" s="220"/>
      <c r="AO526" s="220">
        <f t="shared" si="395"/>
        <v>0</v>
      </c>
      <c r="AP526" s="220">
        <f t="shared" si="396"/>
        <v>-10</v>
      </c>
      <c r="AR526" s="219">
        <v>45092.0</v>
      </c>
      <c r="AS526" s="220" t="str">
        <f t="shared" si="408"/>
        <v/>
      </c>
      <c r="AT526" s="220"/>
      <c r="AU526" s="220">
        <f t="shared" si="397"/>
        <v>0</v>
      </c>
      <c r="AV526" s="220">
        <f t="shared" si="398"/>
        <v>-10</v>
      </c>
      <c r="AX526" s="219">
        <v>45092.0</v>
      </c>
      <c r="AY526" s="220" t="str">
        <f t="shared" si="409"/>
        <v/>
      </c>
      <c r="AZ526" s="220"/>
      <c r="BA526" s="220">
        <f t="shared" si="399"/>
        <v>0</v>
      </c>
      <c r="BB526" s="220">
        <f t="shared" si="400"/>
        <v>-10</v>
      </c>
    </row>
    <row r="527" ht="14.25" customHeight="1">
      <c r="A527" s="218"/>
      <c r="B527" s="219">
        <v>45093.0</v>
      </c>
      <c r="C527" s="220" t="str">
        <f t="shared" si="401"/>
        <v/>
      </c>
      <c r="D527" s="220"/>
      <c r="E527" s="220">
        <f t="shared" si="383"/>
        <v>0</v>
      </c>
      <c r="F527" s="220">
        <f t="shared" si="384"/>
        <v>-10</v>
      </c>
      <c r="H527" s="219">
        <v>45093.0</v>
      </c>
      <c r="I527" s="220" t="str">
        <f t="shared" si="402"/>
        <v/>
      </c>
      <c r="J527" s="220"/>
      <c r="K527" s="220">
        <f t="shared" si="385"/>
        <v>0</v>
      </c>
      <c r="L527" s="220">
        <f t="shared" si="386"/>
        <v>-10</v>
      </c>
      <c r="N527" s="219">
        <v>45093.0</v>
      </c>
      <c r="O527" s="220" t="str">
        <f t="shared" si="403"/>
        <v/>
      </c>
      <c r="P527" s="220"/>
      <c r="Q527" s="220">
        <f t="shared" si="387"/>
        <v>0</v>
      </c>
      <c r="R527" s="220">
        <f t="shared" si="388"/>
        <v>-10</v>
      </c>
      <c r="T527" s="219">
        <v>45093.0</v>
      </c>
      <c r="U527" s="220" t="str">
        <f t="shared" si="404"/>
        <v/>
      </c>
      <c r="V527" s="220"/>
      <c r="W527" s="220">
        <f t="shared" si="389"/>
        <v>0</v>
      </c>
      <c r="X527" s="220">
        <f t="shared" si="390"/>
        <v>-10</v>
      </c>
      <c r="Z527" s="219">
        <v>45093.0</v>
      </c>
      <c r="AA527" s="220" t="str">
        <f t="shared" si="405"/>
        <v/>
      </c>
      <c r="AB527" s="220"/>
      <c r="AC527" s="220">
        <f t="shared" si="391"/>
        <v>0</v>
      </c>
      <c r="AD527" s="220">
        <f t="shared" si="392"/>
        <v>-10</v>
      </c>
      <c r="AF527" s="219">
        <v>45093.0</v>
      </c>
      <c r="AG527" s="220" t="str">
        <f t="shared" si="406"/>
        <v/>
      </c>
      <c r="AH527" s="220"/>
      <c r="AI527" s="220">
        <f t="shared" si="393"/>
        <v>0</v>
      </c>
      <c r="AJ527" s="220">
        <f t="shared" si="394"/>
        <v>-10</v>
      </c>
      <c r="AL527" s="219">
        <v>45093.0</v>
      </c>
      <c r="AM527" s="220" t="str">
        <f t="shared" si="407"/>
        <v/>
      </c>
      <c r="AN527" s="220"/>
      <c r="AO527" s="220">
        <f t="shared" si="395"/>
        <v>0</v>
      </c>
      <c r="AP527" s="220">
        <f t="shared" si="396"/>
        <v>-10</v>
      </c>
      <c r="AR527" s="219">
        <v>45093.0</v>
      </c>
      <c r="AS527" s="220" t="str">
        <f t="shared" si="408"/>
        <v/>
      </c>
      <c r="AT527" s="220"/>
      <c r="AU527" s="220">
        <f t="shared" si="397"/>
        <v>0</v>
      </c>
      <c r="AV527" s="220">
        <f t="shared" si="398"/>
        <v>-10</v>
      </c>
      <c r="AX527" s="219">
        <v>45093.0</v>
      </c>
      <c r="AY527" s="220" t="str">
        <f t="shared" si="409"/>
        <v/>
      </c>
      <c r="AZ527" s="220"/>
      <c r="BA527" s="220">
        <f t="shared" si="399"/>
        <v>0</v>
      </c>
      <c r="BB527" s="220">
        <f t="shared" si="400"/>
        <v>-10</v>
      </c>
    </row>
    <row r="528" ht="14.25" customHeight="1">
      <c r="A528" s="218"/>
      <c r="B528" s="219">
        <v>45094.0</v>
      </c>
      <c r="C528" s="220" t="str">
        <f t="shared" si="401"/>
        <v/>
      </c>
      <c r="D528" s="220"/>
      <c r="E528" s="220">
        <f t="shared" si="383"/>
        <v>0</v>
      </c>
      <c r="F528" s="220">
        <f t="shared" si="384"/>
        <v>-10</v>
      </c>
      <c r="G528" s="221"/>
      <c r="H528" s="219">
        <v>45094.0</v>
      </c>
      <c r="I528" s="220" t="str">
        <f t="shared" si="402"/>
        <v/>
      </c>
      <c r="J528" s="220"/>
      <c r="K528" s="220">
        <f t="shared" si="385"/>
        <v>0</v>
      </c>
      <c r="L528" s="220">
        <f t="shared" si="386"/>
        <v>-10</v>
      </c>
      <c r="M528" s="221"/>
      <c r="N528" s="219">
        <v>45094.0</v>
      </c>
      <c r="O528" s="220" t="str">
        <f t="shared" si="403"/>
        <v/>
      </c>
      <c r="P528" s="220"/>
      <c r="Q528" s="220">
        <f t="shared" si="387"/>
        <v>0</v>
      </c>
      <c r="R528" s="220">
        <f t="shared" si="388"/>
        <v>-10</v>
      </c>
      <c r="S528" s="221"/>
      <c r="T528" s="219">
        <v>45094.0</v>
      </c>
      <c r="U528" s="220" t="str">
        <f t="shared" si="404"/>
        <v/>
      </c>
      <c r="V528" s="220"/>
      <c r="W528" s="220">
        <f t="shared" si="389"/>
        <v>0</v>
      </c>
      <c r="X528" s="220">
        <f t="shared" si="390"/>
        <v>-10</v>
      </c>
      <c r="Y528" s="221"/>
      <c r="Z528" s="219">
        <v>45094.0</v>
      </c>
      <c r="AA528" s="220" t="str">
        <f t="shared" si="405"/>
        <v/>
      </c>
      <c r="AB528" s="220"/>
      <c r="AC528" s="220">
        <f t="shared" si="391"/>
        <v>0</v>
      </c>
      <c r="AD528" s="220">
        <f t="shared" si="392"/>
        <v>-10</v>
      </c>
      <c r="AE528" s="221"/>
      <c r="AF528" s="219">
        <v>45094.0</v>
      </c>
      <c r="AG528" s="220" t="str">
        <f t="shared" si="406"/>
        <v/>
      </c>
      <c r="AH528" s="220"/>
      <c r="AI528" s="220">
        <f t="shared" si="393"/>
        <v>0</v>
      </c>
      <c r="AJ528" s="220">
        <f t="shared" si="394"/>
        <v>-10</v>
      </c>
      <c r="AK528" s="221"/>
      <c r="AL528" s="219">
        <v>45094.0</v>
      </c>
      <c r="AM528" s="220" t="str">
        <f t="shared" si="407"/>
        <v/>
      </c>
      <c r="AN528" s="220"/>
      <c r="AO528" s="220">
        <f t="shared" si="395"/>
        <v>0</v>
      </c>
      <c r="AP528" s="220">
        <f t="shared" si="396"/>
        <v>-10</v>
      </c>
      <c r="AQ528" s="221"/>
      <c r="AR528" s="219">
        <v>45094.0</v>
      </c>
      <c r="AS528" s="220" t="str">
        <f t="shared" si="408"/>
        <v/>
      </c>
      <c r="AT528" s="220"/>
      <c r="AU528" s="220">
        <f t="shared" si="397"/>
        <v>0</v>
      </c>
      <c r="AV528" s="220">
        <f t="shared" si="398"/>
        <v>-10</v>
      </c>
      <c r="AW528" s="221"/>
      <c r="AX528" s="219">
        <v>45094.0</v>
      </c>
      <c r="AY528" s="220" t="str">
        <f t="shared" si="409"/>
        <v/>
      </c>
      <c r="AZ528" s="220"/>
      <c r="BA528" s="220">
        <f t="shared" si="399"/>
        <v>0</v>
      </c>
      <c r="BB528" s="220">
        <f t="shared" si="400"/>
        <v>-10</v>
      </c>
    </row>
    <row r="529" ht="14.25" customHeight="1">
      <c r="A529" s="218"/>
      <c r="B529" s="219">
        <v>45095.0</v>
      </c>
      <c r="C529" s="220" t="str">
        <f t="shared" si="401"/>
        <v/>
      </c>
      <c r="D529" s="220"/>
      <c r="E529" s="220">
        <f t="shared" si="383"/>
        <v>0</v>
      </c>
      <c r="F529" s="220">
        <f t="shared" si="384"/>
        <v>-10</v>
      </c>
      <c r="G529" s="221"/>
      <c r="H529" s="219">
        <v>45095.0</v>
      </c>
      <c r="I529" s="220" t="str">
        <f t="shared" si="402"/>
        <v/>
      </c>
      <c r="J529" s="220"/>
      <c r="K529" s="220">
        <f t="shared" si="385"/>
        <v>0</v>
      </c>
      <c r="L529" s="220">
        <f t="shared" si="386"/>
        <v>-10</v>
      </c>
      <c r="M529" s="221"/>
      <c r="N529" s="219">
        <v>45095.0</v>
      </c>
      <c r="O529" s="220" t="str">
        <f t="shared" si="403"/>
        <v/>
      </c>
      <c r="P529" s="220"/>
      <c r="Q529" s="220">
        <f t="shared" si="387"/>
        <v>0</v>
      </c>
      <c r="R529" s="220">
        <f t="shared" si="388"/>
        <v>-10</v>
      </c>
      <c r="S529" s="221"/>
      <c r="T529" s="219">
        <v>45095.0</v>
      </c>
      <c r="U529" s="220" t="str">
        <f t="shared" si="404"/>
        <v/>
      </c>
      <c r="V529" s="220"/>
      <c r="W529" s="220">
        <f t="shared" si="389"/>
        <v>0</v>
      </c>
      <c r="X529" s="220">
        <f t="shared" si="390"/>
        <v>-10</v>
      </c>
      <c r="Y529" s="221"/>
      <c r="Z529" s="219">
        <v>45095.0</v>
      </c>
      <c r="AA529" s="220" t="str">
        <f t="shared" si="405"/>
        <v/>
      </c>
      <c r="AB529" s="220"/>
      <c r="AC529" s="220">
        <f t="shared" si="391"/>
        <v>0</v>
      </c>
      <c r="AD529" s="220">
        <f t="shared" si="392"/>
        <v>-10</v>
      </c>
      <c r="AE529" s="221"/>
      <c r="AF529" s="219">
        <v>45095.0</v>
      </c>
      <c r="AG529" s="220" t="str">
        <f t="shared" si="406"/>
        <v/>
      </c>
      <c r="AH529" s="220"/>
      <c r="AI529" s="220">
        <f t="shared" si="393"/>
        <v>0</v>
      </c>
      <c r="AJ529" s="220">
        <f t="shared" si="394"/>
        <v>-10</v>
      </c>
      <c r="AK529" s="221"/>
      <c r="AL529" s="219">
        <v>45095.0</v>
      </c>
      <c r="AM529" s="220" t="str">
        <f t="shared" si="407"/>
        <v/>
      </c>
      <c r="AN529" s="220"/>
      <c r="AO529" s="220">
        <f t="shared" si="395"/>
        <v>0</v>
      </c>
      <c r="AP529" s="220">
        <f t="shared" si="396"/>
        <v>-10</v>
      </c>
      <c r="AQ529" s="221"/>
      <c r="AR529" s="219">
        <v>45095.0</v>
      </c>
      <c r="AS529" s="220" t="str">
        <f t="shared" si="408"/>
        <v/>
      </c>
      <c r="AT529" s="220"/>
      <c r="AU529" s="220">
        <f t="shared" si="397"/>
        <v>0</v>
      </c>
      <c r="AV529" s="220">
        <f t="shared" si="398"/>
        <v>-10</v>
      </c>
      <c r="AW529" s="221"/>
      <c r="AX529" s="219">
        <v>45095.0</v>
      </c>
      <c r="AY529" s="220" t="str">
        <f t="shared" si="409"/>
        <v/>
      </c>
      <c r="AZ529" s="220"/>
      <c r="BA529" s="220">
        <f t="shared" si="399"/>
        <v>0</v>
      </c>
      <c r="BB529" s="220">
        <f t="shared" si="400"/>
        <v>-10</v>
      </c>
    </row>
    <row r="530" ht="14.25" customHeight="1">
      <c r="A530" s="218"/>
      <c r="B530" s="219">
        <v>45096.0</v>
      </c>
      <c r="C530" s="220" t="str">
        <f t="shared" si="401"/>
        <v/>
      </c>
      <c r="D530" s="220"/>
      <c r="E530" s="220">
        <f t="shared" si="383"/>
        <v>0</v>
      </c>
      <c r="F530" s="220">
        <f t="shared" si="384"/>
        <v>-10</v>
      </c>
      <c r="H530" s="219">
        <v>45096.0</v>
      </c>
      <c r="I530" s="220" t="str">
        <f t="shared" si="402"/>
        <v/>
      </c>
      <c r="J530" s="220"/>
      <c r="K530" s="220">
        <f t="shared" si="385"/>
        <v>0</v>
      </c>
      <c r="L530" s="220">
        <f t="shared" si="386"/>
        <v>-10</v>
      </c>
      <c r="N530" s="219">
        <v>45096.0</v>
      </c>
      <c r="O530" s="220" t="str">
        <f t="shared" si="403"/>
        <v/>
      </c>
      <c r="P530" s="220"/>
      <c r="Q530" s="220">
        <f t="shared" si="387"/>
        <v>0</v>
      </c>
      <c r="R530" s="220">
        <f t="shared" si="388"/>
        <v>-10</v>
      </c>
      <c r="T530" s="219">
        <v>45096.0</v>
      </c>
      <c r="U530" s="220" t="str">
        <f t="shared" si="404"/>
        <v/>
      </c>
      <c r="V530" s="220"/>
      <c r="W530" s="220">
        <f t="shared" si="389"/>
        <v>0</v>
      </c>
      <c r="X530" s="220">
        <f t="shared" si="390"/>
        <v>-10</v>
      </c>
      <c r="Z530" s="219">
        <v>45096.0</v>
      </c>
      <c r="AA530" s="220" t="str">
        <f t="shared" si="405"/>
        <v/>
      </c>
      <c r="AB530" s="220"/>
      <c r="AC530" s="220">
        <f t="shared" si="391"/>
        <v>0</v>
      </c>
      <c r="AD530" s="220">
        <f t="shared" si="392"/>
        <v>-10</v>
      </c>
      <c r="AF530" s="219">
        <v>45096.0</v>
      </c>
      <c r="AG530" s="220" t="str">
        <f t="shared" si="406"/>
        <v/>
      </c>
      <c r="AH530" s="220"/>
      <c r="AI530" s="220">
        <f t="shared" si="393"/>
        <v>0</v>
      </c>
      <c r="AJ530" s="220">
        <f t="shared" si="394"/>
        <v>-10</v>
      </c>
      <c r="AL530" s="219">
        <v>45096.0</v>
      </c>
      <c r="AM530" s="220" t="str">
        <f t="shared" si="407"/>
        <v/>
      </c>
      <c r="AN530" s="220"/>
      <c r="AO530" s="220">
        <f t="shared" si="395"/>
        <v>0</v>
      </c>
      <c r="AP530" s="220">
        <f t="shared" si="396"/>
        <v>-10</v>
      </c>
      <c r="AR530" s="219">
        <v>45096.0</v>
      </c>
      <c r="AS530" s="220" t="str">
        <f t="shared" si="408"/>
        <v/>
      </c>
      <c r="AT530" s="220"/>
      <c r="AU530" s="220">
        <f t="shared" si="397"/>
        <v>0</v>
      </c>
      <c r="AV530" s="220">
        <f t="shared" si="398"/>
        <v>-10</v>
      </c>
      <c r="AX530" s="219">
        <v>45096.0</v>
      </c>
      <c r="AY530" s="220" t="str">
        <f t="shared" si="409"/>
        <v/>
      </c>
      <c r="AZ530" s="220"/>
      <c r="BA530" s="220">
        <f t="shared" si="399"/>
        <v>0</v>
      </c>
      <c r="BB530" s="220">
        <f t="shared" si="400"/>
        <v>-10</v>
      </c>
    </row>
    <row r="531" ht="14.25" customHeight="1">
      <c r="A531" s="218"/>
      <c r="B531" s="219">
        <v>45097.0</v>
      </c>
      <c r="C531" s="220" t="str">
        <f t="shared" si="401"/>
        <v/>
      </c>
      <c r="D531" s="220"/>
      <c r="E531" s="220">
        <f t="shared" si="383"/>
        <v>0</v>
      </c>
      <c r="F531" s="220">
        <f t="shared" si="384"/>
        <v>-10</v>
      </c>
      <c r="H531" s="219">
        <v>45097.0</v>
      </c>
      <c r="I531" s="220" t="str">
        <f t="shared" si="402"/>
        <v/>
      </c>
      <c r="J531" s="220"/>
      <c r="K531" s="220">
        <f t="shared" si="385"/>
        <v>0</v>
      </c>
      <c r="L531" s="220">
        <f t="shared" si="386"/>
        <v>-10</v>
      </c>
      <c r="N531" s="219">
        <v>45097.0</v>
      </c>
      <c r="O531" s="220" t="str">
        <f t="shared" si="403"/>
        <v/>
      </c>
      <c r="P531" s="220"/>
      <c r="Q531" s="220">
        <f t="shared" si="387"/>
        <v>0</v>
      </c>
      <c r="R531" s="220">
        <f t="shared" si="388"/>
        <v>-10</v>
      </c>
      <c r="T531" s="219">
        <v>45097.0</v>
      </c>
      <c r="U531" s="220" t="str">
        <f t="shared" si="404"/>
        <v/>
      </c>
      <c r="V531" s="220"/>
      <c r="W531" s="220">
        <f t="shared" si="389"/>
        <v>0</v>
      </c>
      <c r="X531" s="220">
        <f t="shared" si="390"/>
        <v>-10</v>
      </c>
      <c r="Z531" s="219">
        <v>45097.0</v>
      </c>
      <c r="AA531" s="220" t="str">
        <f t="shared" si="405"/>
        <v/>
      </c>
      <c r="AB531" s="220"/>
      <c r="AC531" s="220">
        <f t="shared" si="391"/>
        <v>0</v>
      </c>
      <c r="AD531" s="220">
        <f t="shared" si="392"/>
        <v>-10</v>
      </c>
      <c r="AF531" s="219">
        <v>45097.0</v>
      </c>
      <c r="AG531" s="220" t="str">
        <f t="shared" si="406"/>
        <v/>
      </c>
      <c r="AH531" s="220"/>
      <c r="AI531" s="220">
        <f t="shared" si="393"/>
        <v>0</v>
      </c>
      <c r="AJ531" s="220">
        <f t="shared" si="394"/>
        <v>-10</v>
      </c>
      <c r="AL531" s="219">
        <v>45097.0</v>
      </c>
      <c r="AM531" s="220" t="str">
        <f t="shared" si="407"/>
        <v/>
      </c>
      <c r="AN531" s="220"/>
      <c r="AO531" s="220">
        <f t="shared" si="395"/>
        <v>0</v>
      </c>
      <c r="AP531" s="220">
        <f t="shared" si="396"/>
        <v>-10</v>
      </c>
      <c r="AR531" s="219">
        <v>45097.0</v>
      </c>
      <c r="AS531" s="220" t="str">
        <f t="shared" si="408"/>
        <v/>
      </c>
      <c r="AT531" s="220"/>
      <c r="AU531" s="220">
        <f t="shared" si="397"/>
        <v>0</v>
      </c>
      <c r="AV531" s="220">
        <f t="shared" si="398"/>
        <v>-10</v>
      </c>
      <c r="AX531" s="219">
        <v>45097.0</v>
      </c>
      <c r="AY531" s="220" t="str">
        <f t="shared" si="409"/>
        <v/>
      </c>
      <c r="AZ531" s="220"/>
      <c r="BA531" s="220">
        <f t="shared" si="399"/>
        <v>0</v>
      </c>
      <c r="BB531" s="220">
        <f t="shared" si="400"/>
        <v>-10</v>
      </c>
    </row>
    <row r="532" ht="14.25" customHeight="1">
      <c r="A532" s="218"/>
      <c r="B532" s="219">
        <v>45098.0</v>
      </c>
      <c r="C532" s="220" t="str">
        <f t="shared" si="401"/>
        <v/>
      </c>
      <c r="D532" s="220"/>
      <c r="E532" s="220">
        <f t="shared" si="383"/>
        <v>0</v>
      </c>
      <c r="F532" s="220">
        <f t="shared" si="384"/>
        <v>-10</v>
      </c>
      <c r="H532" s="219">
        <v>45098.0</v>
      </c>
      <c r="I532" s="220" t="str">
        <f t="shared" si="402"/>
        <v/>
      </c>
      <c r="J532" s="220"/>
      <c r="K532" s="220">
        <f t="shared" si="385"/>
        <v>0</v>
      </c>
      <c r="L532" s="220">
        <f t="shared" si="386"/>
        <v>-10</v>
      </c>
      <c r="N532" s="219">
        <v>45098.0</v>
      </c>
      <c r="O532" s="220" t="str">
        <f t="shared" si="403"/>
        <v/>
      </c>
      <c r="P532" s="220"/>
      <c r="Q532" s="220">
        <f t="shared" si="387"/>
        <v>0</v>
      </c>
      <c r="R532" s="220">
        <f t="shared" si="388"/>
        <v>-10</v>
      </c>
      <c r="T532" s="219">
        <v>45098.0</v>
      </c>
      <c r="U532" s="220" t="str">
        <f t="shared" si="404"/>
        <v/>
      </c>
      <c r="V532" s="220"/>
      <c r="W532" s="220">
        <f t="shared" si="389"/>
        <v>0</v>
      </c>
      <c r="X532" s="220">
        <f t="shared" si="390"/>
        <v>-10</v>
      </c>
      <c r="Z532" s="219">
        <v>45098.0</v>
      </c>
      <c r="AA532" s="220" t="str">
        <f t="shared" si="405"/>
        <v/>
      </c>
      <c r="AB532" s="220"/>
      <c r="AC532" s="220">
        <f t="shared" si="391"/>
        <v>0</v>
      </c>
      <c r="AD532" s="220">
        <f t="shared" si="392"/>
        <v>-10</v>
      </c>
      <c r="AF532" s="219">
        <v>45098.0</v>
      </c>
      <c r="AG532" s="220" t="str">
        <f t="shared" si="406"/>
        <v/>
      </c>
      <c r="AH532" s="220"/>
      <c r="AI532" s="220">
        <f t="shared" si="393"/>
        <v>0</v>
      </c>
      <c r="AJ532" s="220">
        <f t="shared" si="394"/>
        <v>-10</v>
      </c>
      <c r="AL532" s="219">
        <v>45098.0</v>
      </c>
      <c r="AM532" s="220" t="str">
        <f t="shared" si="407"/>
        <v/>
      </c>
      <c r="AN532" s="220"/>
      <c r="AO532" s="220">
        <f t="shared" si="395"/>
        <v>0</v>
      </c>
      <c r="AP532" s="220">
        <f t="shared" si="396"/>
        <v>-10</v>
      </c>
      <c r="AR532" s="219">
        <v>45098.0</v>
      </c>
      <c r="AS532" s="220" t="str">
        <f t="shared" si="408"/>
        <v/>
      </c>
      <c r="AT532" s="220"/>
      <c r="AU532" s="220">
        <f t="shared" si="397"/>
        <v>0</v>
      </c>
      <c r="AV532" s="220">
        <f t="shared" si="398"/>
        <v>-10</v>
      </c>
      <c r="AX532" s="219">
        <v>45098.0</v>
      </c>
      <c r="AY532" s="220" t="str">
        <f t="shared" si="409"/>
        <v/>
      </c>
      <c r="AZ532" s="220"/>
      <c r="BA532" s="220">
        <f t="shared" si="399"/>
        <v>0</v>
      </c>
      <c r="BB532" s="220">
        <f t="shared" si="400"/>
        <v>-10</v>
      </c>
    </row>
    <row r="533" ht="14.25" customHeight="1">
      <c r="A533" s="218"/>
      <c r="B533" s="219">
        <v>45099.0</v>
      </c>
      <c r="C533" s="220" t="str">
        <f t="shared" si="401"/>
        <v/>
      </c>
      <c r="D533" s="220"/>
      <c r="E533" s="220">
        <f t="shared" si="383"/>
        <v>0</v>
      </c>
      <c r="F533" s="220">
        <f t="shared" si="384"/>
        <v>-10</v>
      </c>
      <c r="H533" s="219">
        <v>45099.0</v>
      </c>
      <c r="I533" s="220" t="str">
        <f t="shared" si="402"/>
        <v/>
      </c>
      <c r="J533" s="220"/>
      <c r="K533" s="220">
        <f t="shared" si="385"/>
        <v>0</v>
      </c>
      <c r="L533" s="220">
        <f t="shared" si="386"/>
        <v>-10</v>
      </c>
      <c r="N533" s="219">
        <v>45099.0</v>
      </c>
      <c r="O533" s="220" t="str">
        <f t="shared" si="403"/>
        <v/>
      </c>
      <c r="P533" s="220"/>
      <c r="Q533" s="220">
        <f t="shared" si="387"/>
        <v>0</v>
      </c>
      <c r="R533" s="220">
        <f t="shared" si="388"/>
        <v>-10</v>
      </c>
      <c r="T533" s="219">
        <v>45099.0</v>
      </c>
      <c r="U533" s="220" t="str">
        <f t="shared" si="404"/>
        <v/>
      </c>
      <c r="V533" s="220"/>
      <c r="W533" s="220">
        <f t="shared" si="389"/>
        <v>0</v>
      </c>
      <c r="X533" s="220">
        <f t="shared" si="390"/>
        <v>-10</v>
      </c>
      <c r="Z533" s="219">
        <v>45099.0</v>
      </c>
      <c r="AA533" s="220" t="str">
        <f t="shared" si="405"/>
        <v/>
      </c>
      <c r="AB533" s="220"/>
      <c r="AC533" s="220">
        <f t="shared" si="391"/>
        <v>0</v>
      </c>
      <c r="AD533" s="220">
        <f t="shared" si="392"/>
        <v>-10</v>
      </c>
      <c r="AF533" s="219">
        <v>45099.0</v>
      </c>
      <c r="AG533" s="220" t="str">
        <f t="shared" si="406"/>
        <v/>
      </c>
      <c r="AH533" s="220"/>
      <c r="AI533" s="220">
        <f t="shared" si="393"/>
        <v>0</v>
      </c>
      <c r="AJ533" s="220">
        <f t="shared" si="394"/>
        <v>-10</v>
      </c>
      <c r="AL533" s="219">
        <v>45099.0</v>
      </c>
      <c r="AM533" s="220" t="str">
        <f t="shared" si="407"/>
        <v/>
      </c>
      <c r="AN533" s="220"/>
      <c r="AO533" s="220">
        <f t="shared" si="395"/>
        <v>0</v>
      </c>
      <c r="AP533" s="220">
        <f t="shared" si="396"/>
        <v>-10</v>
      </c>
      <c r="AR533" s="219">
        <v>45099.0</v>
      </c>
      <c r="AS533" s="220" t="str">
        <f t="shared" si="408"/>
        <v/>
      </c>
      <c r="AT533" s="220"/>
      <c r="AU533" s="220">
        <f t="shared" si="397"/>
        <v>0</v>
      </c>
      <c r="AV533" s="220">
        <f t="shared" si="398"/>
        <v>-10</v>
      </c>
      <c r="AX533" s="219">
        <v>45099.0</v>
      </c>
      <c r="AY533" s="220" t="str">
        <f t="shared" si="409"/>
        <v/>
      </c>
      <c r="AZ533" s="220"/>
      <c r="BA533" s="220">
        <f t="shared" si="399"/>
        <v>0</v>
      </c>
      <c r="BB533" s="220">
        <f t="shared" si="400"/>
        <v>-10</v>
      </c>
    </row>
    <row r="534" ht="14.25" customHeight="1">
      <c r="A534" s="218"/>
      <c r="B534" s="219">
        <v>45100.0</v>
      </c>
      <c r="C534" s="220" t="str">
        <f t="shared" si="401"/>
        <v/>
      </c>
      <c r="D534" s="220"/>
      <c r="E534" s="220">
        <f t="shared" si="383"/>
        <v>0</v>
      </c>
      <c r="F534" s="220">
        <f t="shared" si="384"/>
        <v>-10</v>
      </c>
      <c r="H534" s="219">
        <v>45100.0</v>
      </c>
      <c r="I534" s="220" t="str">
        <f t="shared" si="402"/>
        <v/>
      </c>
      <c r="J534" s="220"/>
      <c r="K534" s="220">
        <f t="shared" si="385"/>
        <v>0</v>
      </c>
      <c r="L534" s="220">
        <f t="shared" si="386"/>
        <v>-10</v>
      </c>
      <c r="N534" s="219">
        <v>45100.0</v>
      </c>
      <c r="O534" s="220" t="str">
        <f t="shared" si="403"/>
        <v/>
      </c>
      <c r="P534" s="220"/>
      <c r="Q534" s="220">
        <f t="shared" si="387"/>
        <v>0</v>
      </c>
      <c r="R534" s="220">
        <f t="shared" si="388"/>
        <v>-10</v>
      </c>
      <c r="T534" s="219">
        <v>45100.0</v>
      </c>
      <c r="U534" s="220" t="str">
        <f t="shared" si="404"/>
        <v/>
      </c>
      <c r="V534" s="220"/>
      <c r="W534" s="220">
        <f t="shared" si="389"/>
        <v>0</v>
      </c>
      <c r="X534" s="220">
        <f t="shared" si="390"/>
        <v>-10</v>
      </c>
      <c r="Z534" s="219">
        <v>45100.0</v>
      </c>
      <c r="AA534" s="220" t="str">
        <f t="shared" si="405"/>
        <v/>
      </c>
      <c r="AB534" s="220"/>
      <c r="AC534" s="220">
        <f t="shared" si="391"/>
        <v>0</v>
      </c>
      <c r="AD534" s="220">
        <f t="shared" si="392"/>
        <v>-10</v>
      </c>
      <c r="AF534" s="219">
        <v>45100.0</v>
      </c>
      <c r="AG534" s="220" t="str">
        <f t="shared" si="406"/>
        <v/>
      </c>
      <c r="AH534" s="220"/>
      <c r="AI534" s="220">
        <f t="shared" si="393"/>
        <v>0</v>
      </c>
      <c r="AJ534" s="220">
        <f t="shared" si="394"/>
        <v>-10</v>
      </c>
      <c r="AL534" s="219">
        <v>45100.0</v>
      </c>
      <c r="AM534" s="220" t="str">
        <f t="shared" si="407"/>
        <v/>
      </c>
      <c r="AN534" s="220"/>
      <c r="AO534" s="220">
        <f t="shared" si="395"/>
        <v>0</v>
      </c>
      <c r="AP534" s="220">
        <f t="shared" si="396"/>
        <v>-10</v>
      </c>
      <c r="AR534" s="219">
        <v>45100.0</v>
      </c>
      <c r="AS534" s="220" t="str">
        <f t="shared" si="408"/>
        <v/>
      </c>
      <c r="AT534" s="220"/>
      <c r="AU534" s="220">
        <f t="shared" si="397"/>
        <v>0</v>
      </c>
      <c r="AV534" s="220">
        <f t="shared" si="398"/>
        <v>-10</v>
      </c>
      <c r="AX534" s="219">
        <v>45100.0</v>
      </c>
      <c r="AY534" s="220" t="str">
        <f t="shared" si="409"/>
        <v/>
      </c>
      <c r="AZ534" s="220"/>
      <c r="BA534" s="220">
        <f t="shared" si="399"/>
        <v>0</v>
      </c>
      <c r="BB534" s="220">
        <f t="shared" si="400"/>
        <v>-10</v>
      </c>
    </row>
    <row r="535" ht="14.25" customHeight="1">
      <c r="A535" s="218"/>
      <c r="B535" s="219">
        <v>45101.0</v>
      </c>
      <c r="C535" s="220" t="str">
        <f t="shared" si="401"/>
        <v/>
      </c>
      <c r="D535" s="220"/>
      <c r="E535" s="220">
        <f t="shared" si="383"/>
        <v>0</v>
      </c>
      <c r="F535" s="220">
        <f t="shared" si="384"/>
        <v>-10</v>
      </c>
      <c r="G535" s="221"/>
      <c r="H535" s="219">
        <v>45101.0</v>
      </c>
      <c r="I535" s="220" t="str">
        <f t="shared" si="402"/>
        <v/>
      </c>
      <c r="J535" s="220"/>
      <c r="K535" s="220">
        <f t="shared" si="385"/>
        <v>0</v>
      </c>
      <c r="L535" s="220">
        <f t="shared" si="386"/>
        <v>-10</v>
      </c>
      <c r="M535" s="221"/>
      <c r="N535" s="219">
        <v>45101.0</v>
      </c>
      <c r="O535" s="220" t="str">
        <f t="shared" si="403"/>
        <v/>
      </c>
      <c r="P535" s="220"/>
      <c r="Q535" s="220">
        <f t="shared" si="387"/>
        <v>0</v>
      </c>
      <c r="R535" s="220">
        <f t="shared" si="388"/>
        <v>-10</v>
      </c>
      <c r="S535" s="221"/>
      <c r="T535" s="219">
        <v>45101.0</v>
      </c>
      <c r="U535" s="220" t="str">
        <f t="shared" si="404"/>
        <v/>
      </c>
      <c r="V535" s="220"/>
      <c r="W535" s="220">
        <f t="shared" si="389"/>
        <v>0</v>
      </c>
      <c r="X535" s="220">
        <f t="shared" si="390"/>
        <v>-10</v>
      </c>
      <c r="Y535" s="221"/>
      <c r="Z535" s="219">
        <v>45101.0</v>
      </c>
      <c r="AA535" s="220" t="str">
        <f t="shared" si="405"/>
        <v/>
      </c>
      <c r="AB535" s="220"/>
      <c r="AC535" s="220">
        <f t="shared" si="391"/>
        <v>0</v>
      </c>
      <c r="AD535" s="220">
        <f t="shared" si="392"/>
        <v>-10</v>
      </c>
      <c r="AE535" s="221"/>
      <c r="AF535" s="219">
        <v>45101.0</v>
      </c>
      <c r="AG535" s="220" t="str">
        <f t="shared" si="406"/>
        <v/>
      </c>
      <c r="AH535" s="220"/>
      <c r="AI535" s="220">
        <f t="shared" si="393"/>
        <v>0</v>
      </c>
      <c r="AJ535" s="220">
        <f t="shared" si="394"/>
        <v>-10</v>
      </c>
      <c r="AK535" s="221"/>
      <c r="AL535" s="219">
        <v>45101.0</v>
      </c>
      <c r="AM535" s="220" t="str">
        <f t="shared" si="407"/>
        <v/>
      </c>
      <c r="AN535" s="220"/>
      <c r="AO535" s="220">
        <f t="shared" si="395"/>
        <v>0</v>
      </c>
      <c r="AP535" s="220">
        <f t="shared" si="396"/>
        <v>-10</v>
      </c>
      <c r="AQ535" s="221"/>
      <c r="AR535" s="219">
        <v>45101.0</v>
      </c>
      <c r="AS535" s="220" t="str">
        <f t="shared" si="408"/>
        <v/>
      </c>
      <c r="AT535" s="220"/>
      <c r="AU535" s="220">
        <f t="shared" si="397"/>
        <v>0</v>
      </c>
      <c r="AV535" s="220">
        <f t="shared" si="398"/>
        <v>-10</v>
      </c>
      <c r="AW535" s="221"/>
      <c r="AX535" s="219">
        <v>45101.0</v>
      </c>
      <c r="AY535" s="220" t="str">
        <f t="shared" si="409"/>
        <v/>
      </c>
      <c r="AZ535" s="220"/>
      <c r="BA535" s="220">
        <f t="shared" si="399"/>
        <v>0</v>
      </c>
      <c r="BB535" s="220">
        <f t="shared" si="400"/>
        <v>-10</v>
      </c>
    </row>
    <row r="536" ht="14.25" customHeight="1">
      <c r="A536" s="218"/>
      <c r="B536" s="219">
        <v>45102.0</v>
      </c>
      <c r="C536" s="220" t="str">
        <f t="shared" si="401"/>
        <v/>
      </c>
      <c r="D536" s="220"/>
      <c r="E536" s="220">
        <f t="shared" si="383"/>
        <v>0</v>
      </c>
      <c r="F536" s="220">
        <f t="shared" si="384"/>
        <v>-10</v>
      </c>
      <c r="G536" s="221"/>
      <c r="H536" s="219">
        <v>45102.0</v>
      </c>
      <c r="I536" s="220" t="str">
        <f t="shared" si="402"/>
        <v/>
      </c>
      <c r="J536" s="220"/>
      <c r="K536" s="220">
        <f t="shared" si="385"/>
        <v>0</v>
      </c>
      <c r="L536" s="220">
        <f t="shared" si="386"/>
        <v>-10</v>
      </c>
      <c r="M536" s="221"/>
      <c r="N536" s="219">
        <v>45102.0</v>
      </c>
      <c r="O536" s="220" t="str">
        <f t="shared" si="403"/>
        <v/>
      </c>
      <c r="P536" s="220"/>
      <c r="Q536" s="220">
        <f t="shared" si="387"/>
        <v>0</v>
      </c>
      <c r="R536" s="220">
        <f t="shared" si="388"/>
        <v>-10</v>
      </c>
      <c r="S536" s="221"/>
      <c r="T536" s="219">
        <v>45102.0</v>
      </c>
      <c r="U536" s="220" t="str">
        <f t="shared" si="404"/>
        <v/>
      </c>
      <c r="V536" s="220"/>
      <c r="W536" s="220">
        <f t="shared" si="389"/>
        <v>0</v>
      </c>
      <c r="X536" s="220">
        <f t="shared" si="390"/>
        <v>-10</v>
      </c>
      <c r="Y536" s="221"/>
      <c r="Z536" s="219">
        <v>45102.0</v>
      </c>
      <c r="AA536" s="220" t="str">
        <f t="shared" si="405"/>
        <v/>
      </c>
      <c r="AB536" s="220"/>
      <c r="AC536" s="220">
        <f t="shared" si="391"/>
        <v>0</v>
      </c>
      <c r="AD536" s="220">
        <f t="shared" si="392"/>
        <v>-10</v>
      </c>
      <c r="AE536" s="221"/>
      <c r="AF536" s="219">
        <v>45102.0</v>
      </c>
      <c r="AG536" s="220" t="str">
        <f t="shared" si="406"/>
        <v/>
      </c>
      <c r="AH536" s="220"/>
      <c r="AI536" s="220">
        <f t="shared" si="393"/>
        <v>0</v>
      </c>
      <c r="AJ536" s="220">
        <f t="shared" si="394"/>
        <v>-10</v>
      </c>
      <c r="AK536" s="221"/>
      <c r="AL536" s="219">
        <v>45102.0</v>
      </c>
      <c r="AM536" s="220" t="str">
        <f t="shared" si="407"/>
        <v/>
      </c>
      <c r="AN536" s="220"/>
      <c r="AO536" s="220">
        <f t="shared" si="395"/>
        <v>0</v>
      </c>
      <c r="AP536" s="220">
        <f t="shared" si="396"/>
        <v>-10</v>
      </c>
      <c r="AQ536" s="221"/>
      <c r="AR536" s="219">
        <v>45102.0</v>
      </c>
      <c r="AS536" s="220" t="str">
        <f t="shared" si="408"/>
        <v/>
      </c>
      <c r="AT536" s="220"/>
      <c r="AU536" s="220">
        <f t="shared" si="397"/>
        <v>0</v>
      </c>
      <c r="AV536" s="220">
        <f t="shared" si="398"/>
        <v>-10</v>
      </c>
      <c r="AW536" s="221"/>
      <c r="AX536" s="219">
        <v>45102.0</v>
      </c>
      <c r="AY536" s="220" t="str">
        <f t="shared" si="409"/>
        <v/>
      </c>
      <c r="AZ536" s="220"/>
      <c r="BA536" s="220">
        <f t="shared" si="399"/>
        <v>0</v>
      </c>
      <c r="BB536" s="220">
        <f t="shared" si="400"/>
        <v>-10</v>
      </c>
    </row>
    <row r="537" ht="14.25" customHeight="1">
      <c r="A537" s="218"/>
      <c r="B537" s="219">
        <v>45103.0</v>
      </c>
      <c r="C537" s="220" t="str">
        <f t="shared" si="401"/>
        <v/>
      </c>
      <c r="D537" s="220"/>
      <c r="E537" s="220">
        <f t="shared" si="383"/>
        <v>0</v>
      </c>
      <c r="F537" s="220">
        <f t="shared" si="384"/>
        <v>-10</v>
      </c>
      <c r="H537" s="219">
        <v>45103.0</v>
      </c>
      <c r="I537" s="220" t="str">
        <f t="shared" si="402"/>
        <v/>
      </c>
      <c r="J537" s="220"/>
      <c r="K537" s="220">
        <f t="shared" si="385"/>
        <v>0</v>
      </c>
      <c r="L537" s="220">
        <f t="shared" si="386"/>
        <v>-10</v>
      </c>
      <c r="N537" s="219">
        <v>45103.0</v>
      </c>
      <c r="O537" s="220" t="str">
        <f t="shared" si="403"/>
        <v/>
      </c>
      <c r="P537" s="220"/>
      <c r="Q537" s="220">
        <f t="shared" si="387"/>
        <v>0</v>
      </c>
      <c r="R537" s="220">
        <f t="shared" si="388"/>
        <v>-10</v>
      </c>
      <c r="T537" s="219">
        <v>45103.0</v>
      </c>
      <c r="U537" s="220" t="str">
        <f t="shared" si="404"/>
        <v/>
      </c>
      <c r="V537" s="220"/>
      <c r="W537" s="220">
        <f t="shared" si="389"/>
        <v>0</v>
      </c>
      <c r="X537" s="220">
        <f t="shared" si="390"/>
        <v>-10</v>
      </c>
      <c r="Z537" s="219">
        <v>45103.0</v>
      </c>
      <c r="AA537" s="220" t="str">
        <f t="shared" si="405"/>
        <v/>
      </c>
      <c r="AB537" s="220"/>
      <c r="AC537" s="220">
        <f t="shared" si="391"/>
        <v>0</v>
      </c>
      <c r="AD537" s="220">
        <f t="shared" si="392"/>
        <v>-10</v>
      </c>
      <c r="AF537" s="219">
        <v>45103.0</v>
      </c>
      <c r="AG537" s="220" t="str">
        <f t="shared" si="406"/>
        <v/>
      </c>
      <c r="AH537" s="220"/>
      <c r="AI537" s="220">
        <f t="shared" si="393"/>
        <v>0</v>
      </c>
      <c r="AJ537" s="220">
        <f t="shared" si="394"/>
        <v>-10</v>
      </c>
      <c r="AL537" s="219">
        <v>45103.0</v>
      </c>
      <c r="AM537" s="220" t="str">
        <f t="shared" si="407"/>
        <v/>
      </c>
      <c r="AN537" s="220"/>
      <c r="AO537" s="220">
        <f t="shared" si="395"/>
        <v>0</v>
      </c>
      <c r="AP537" s="220">
        <f t="shared" si="396"/>
        <v>-10</v>
      </c>
      <c r="AR537" s="219">
        <v>45103.0</v>
      </c>
      <c r="AS537" s="220" t="str">
        <f t="shared" si="408"/>
        <v/>
      </c>
      <c r="AT537" s="220"/>
      <c r="AU537" s="220">
        <f t="shared" si="397"/>
        <v>0</v>
      </c>
      <c r="AV537" s="220">
        <f t="shared" si="398"/>
        <v>-10</v>
      </c>
      <c r="AX537" s="219">
        <v>45103.0</v>
      </c>
      <c r="AY537" s="220" t="str">
        <f t="shared" si="409"/>
        <v/>
      </c>
      <c r="AZ537" s="220"/>
      <c r="BA537" s="220">
        <f t="shared" si="399"/>
        <v>0</v>
      </c>
      <c r="BB537" s="220">
        <f t="shared" si="400"/>
        <v>-10</v>
      </c>
    </row>
    <row r="538" ht="14.25" customHeight="1">
      <c r="A538" s="218"/>
      <c r="B538" s="219">
        <v>45104.0</v>
      </c>
      <c r="C538" s="220" t="str">
        <f t="shared" si="401"/>
        <v/>
      </c>
      <c r="D538" s="220"/>
      <c r="E538" s="220">
        <f t="shared" si="383"/>
        <v>0</v>
      </c>
      <c r="F538" s="220">
        <f t="shared" si="384"/>
        <v>-10</v>
      </c>
      <c r="H538" s="219">
        <v>45104.0</v>
      </c>
      <c r="I538" s="220" t="str">
        <f t="shared" si="402"/>
        <v/>
      </c>
      <c r="J538" s="220"/>
      <c r="K538" s="220">
        <f t="shared" si="385"/>
        <v>0</v>
      </c>
      <c r="L538" s="220">
        <f t="shared" si="386"/>
        <v>-10</v>
      </c>
      <c r="N538" s="219">
        <v>45104.0</v>
      </c>
      <c r="O538" s="220" t="str">
        <f t="shared" si="403"/>
        <v/>
      </c>
      <c r="P538" s="220"/>
      <c r="Q538" s="220">
        <f t="shared" si="387"/>
        <v>0</v>
      </c>
      <c r="R538" s="220">
        <f t="shared" si="388"/>
        <v>-10</v>
      </c>
      <c r="T538" s="219">
        <v>45104.0</v>
      </c>
      <c r="U538" s="220" t="str">
        <f t="shared" si="404"/>
        <v/>
      </c>
      <c r="V538" s="220"/>
      <c r="W538" s="220">
        <f t="shared" si="389"/>
        <v>0</v>
      </c>
      <c r="X538" s="220">
        <f t="shared" si="390"/>
        <v>-10</v>
      </c>
      <c r="Z538" s="219">
        <v>45104.0</v>
      </c>
      <c r="AA538" s="220" t="str">
        <f t="shared" si="405"/>
        <v/>
      </c>
      <c r="AB538" s="220"/>
      <c r="AC538" s="220">
        <f t="shared" si="391"/>
        <v>0</v>
      </c>
      <c r="AD538" s="220">
        <f t="shared" si="392"/>
        <v>-10</v>
      </c>
      <c r="AF538" s="219">
        <v>45104.0</v>
      </c>
      <c r="AG538" s="220" t="str">
        <f t="shared" si="406"/>
        <v/>
      </c>
      <c r="AH538" s="220"/>
      <c r="AI538" s="220">
        <f t="shared" si="393"/>
        <v>0</v>
      </c>
      <c r="AJ538" s="220">
        <f t="shared" si="394"/>
        <v>-10</v>
      </c>
      <c r="AL538" s="219">
        <v>45104.0</v>
      </c>
      <c r="AM538" s="220" t="str">
        <f t="shared" si="407"/>
        <v/>
      </c>
      <c r="AN538" s="220"/>
      <c r="AO538" s="220">
        <f t="shared" si="395"/>
        <v>0</v>
      </c>
      <c r="AP538" s="220">
        <f t="shared" si="396"/>
        <v>-10</v>
      </c>
      <c r="AR538" s="219">
        <v>45104.0</v>
      </c>
      <c r="AS538" s="220" t="str">
        <f t="shared" si="408"/>
        <v/>
      </c>
      <c r="AT538" s="220"/>
      <c r="AU538" s="220">
        <f t="shared" si="397"/>
        <v>0</v>
      </c>
      <c r="AV538" s="220">
        <f t="shared" si="398"/>
        <v>-10</v>
      </c>
      <c r="AX538" s="219">
        <v>45104.0</v>
      </c>
      <c r="AY538" s="220" t="str">
        <f t="shared" si="409"/>
        <v/>
      </c>
      <c r="AZ538" s="220"/>
      <c r="BA538" s="220">
        <f t="shared" si="399"/>
        <v>0</v>
      </c>
      <c r="BB538" s="220">
        <f t="shared" si="400"/>
        <v>-10</v>
      </c>
    </row>
    <row r="539" ht="14.25" customHeight="1">
      <c r="A539" s="218"/>
      <c r="B539" s="219">
        <v>45105.0</v>
      </c>
      <c r="C539" s="220" t="str">
        <f t="shared" si="401"/>
        <v/>
      </c>
      <c r="D539" s="220"/>
      <c r="E539" s="220">
        <f t="shared" si="383"/>
        <v>0</v>
      </c>
      <c r="F539" s="220">
        <f t="shared" si="384"/>
        <v>-10</v>
      </c>
      <c r="H539" s="219">
        <v>45105.0</v>
      </c>
      <c r="I539" s="220" t="str">
        <f t="shared" si="402"/>
        <v/>
      </c>
      <c r="J539" s="220"/>
      <c r="K539" s="220">
        <f t="shared" si="385"/>
        <v>0</v>
      </c>
      <c r="L539" s="220">
        <f t="shared" si="386"/>
        <v>-10</v>
      </c>
      <c r="N539" s="219">
        <v>45105.0</v>
      </c>
      <c r="O539" s="220" t="str">
        <f t="shared" si="403"/>
        <v/>
      </c>
      <c r="P539" s="220"/>
      <c r="Q539" s="220">
        <f t="shared" si="387"/>
        <v>0</v>
      </c>
      <c r="R539" s="220">
        <f t="shared" si="388"/>
        <v>-10</v>
      </c>
      <c r="T539" s="219">
        <v>45105.0</v>
      </c>
      <c r="U539" s="220" t="str">
        <f t="shared" si="404"/>
        <v/>
      </c>
      <c r="V539" s="220"/>
      <c r="W539" s="220">
        <f t="shared" si="389"/>
        <v>0</v>
      </c>
      <c r="X539" s="220">
        <f t="shared" si="390"/>
        <v>-10</v>
      </c>
      <c r="Z539" s="219">
        <v>45105.0</v>
      </c>
      <c r="AA539" s="220" t="str">
        <f t="shared" si="405"/>
        <v/>
      </c>
      <c r="AB539" s="220"/>
      <c r="AC539" s="220">
        <f t="shared" si="391"/>
        <v>0</v>
      </c>
      <c r="AD539" s="220">
        <f t="shared" si="392"/>
        <v>-10</v>
      </c>
      <c r="AF539" s="219">
        <v>45105.0</v>
      </c>
      <c r="AG539" s="220" t="str">
        <f t="shared" si="406"/>
        <v/>
      </c>
      <c r="AH539" s="220"/>
      <c r="AI539" s="220">
        <f t="shared" si="393"/>
        <v>0</v>
      </c>
      <c r="AJ539" s="220">
        <f t="shared" si="394"/>
        <v>-10</v>
      </c>
      <c r="AL539" s="219">
        <v>45105.0</v>
      </c>
      <c r="AM539" s="220" t="str">
        <f t="shared" si="407"/>
        <v/>
      </c>
      <c r="AN539" s="220"/>
      <c r="AO539" s="220">
        <f t="shared" si="395"/>
        <v>0</v>
      </c>
      <c r="AP539" s="220">
        <f t="shared" si="396"/>
        <v>-10</v>
      </c>
      <c r="AR539" s="219">
        <v>45105.0</v>
      </c>
      <c r="AS539" s="220" t="str">
        <f t="shared" si="408"/>
        <v/>
      </c>
      <c r="AT539" s="220"/>
      <c r="AU539" s="220">
        <f t="shared" si="397"/>
        <v>0</v>
      </c>
      <c r="AV539" s="220">
        <f t="shared" si="398"/>
        <v>-10</v>
      </c>
      <c r="AX539" s="219">
        <v>45105.0</v>
      </c>
      <c r="AY539" s="220" t="str">
        <f t="shared" si="409"/>
        <v/>
      </c>
      <c r="AZ539" s="220"/>
      <c r="BA539" s="220">
        <f t="shared" si="399"/>
        <v>0</v>
      </c>
      <c r="BB539" s="220">
        <f t="shared" si="400"/>
        <v>-10</v>
      </c>
    </row>
    <row r="540" ht="14.25" customHeight="1">
      <c r="A540" s="218"/>
      <c r="B540" s="219">
        <v>45106.0</v>
      </c>
      <c r="C540" s="220" t="str">
        <f t="shared" si="401"/>
        <v/>
      </c>
      <c r="D540" s="220"/>
      <c r="E540" s="220">
        <f t="shared" si="383"/>
        <v>0</v>
      </c>
      <c r="F540" s="220">
        <f t="shared" si="384"/>
        <v>-10</v>
      </c>
      <c r="H540" s="219">
        <v>45106.0</v>
      </c>
      <c r="I540" s="220" t="str">
        <f t="shared" si="402"/>
        <v/>
      </c>
      <c r="J540" s="220"/>
      <c r="K540" s="220">
        <f t="shared" si="385"/>
        <v>0</v>
      </c>
      <c r="L540" s="220">
        <f t="shared" si="386"/>
        <v>-10</v>
      </c>
      <c r="N540" s="219">
        <v>45106.0</v>
      </c>
      <c r="O540" s="220" t="str">
        <f t="shared" si="403"/>
        <v/>
      </c>
      <c r="P540" s="220"/>
      <c r="Q540" s="220">
        <f t="shared" si="387"/>
        <v>0</v>
      </c>
      <c r="R540" s="220">
        <f t="shared" si="388"/>
        <v>-10</v>
      </c>
      <c r="T540" s="219">
        <v>45106.0</v>
      </c>
      <c r="U540" s="220" t="str">
        <f t="shared" si="404"/>
        <v/>
      </c>
      <c r="V540" s="220"/>
      <c r="W540" s="220">
        <f t="shared" si="389"/>
        <v>0</v>
      </c>
      <c r="X540" s="220">
        <f t="shared" si="390"/>
        <v>-10</v>
      </c>
      <c r="Z540" s="219">
        <v>45106.0</v>
      </c>
      <c r="AA540" s="220" t="str">
        <f t="shared" si="405"/>
        <v/>
      </c>
      <c r="AB540" s="220"/>
      <c r="AC540" s="220">
        <f t="shared" si="391"/>
        <v>0</v>
      </c>
      <c r="AD540" s="220">
        <f t="shared" si="392"/>
        <v>-10</v>
      </c>
      <c r="AF540" s="219">
        <v>45106.0</v>
      </c>
      <c r="AG540" s="220" t="str">
        <f t="shared" si="406"/>
        <v/>
      </c>
      <c r="AH540" s="220"/>
      <c r="AI540" s="220">
        <f t="shared" si="393"/>
        <v>0</v>
      </c>
      <c r="AJ540" s="220">
        <f t="shared" si="394"/>
        <v>-10</v>
      </c>
      <c r="AL540" s="219">
        <v>45106.0</v>
      </c>
      <c r="AM540" s="220" t="str">
        <f t="shared" si="407"/>
        <v/>
      </c>
      <c r="AN540" s="220"/>
      <c r="AO540" s="220">
        <f t="shared" si="395"/>
        <v>0</v>
      </c>
      <c r="AP540" s="220">
        <f t="shared" si="396"/>
        <v>-10</v>
      </c>
      <c r="AR540" s="219">
        <v>45106.0</v>
      </c>
      <c r="AS540" s="220" t="str">
        <f t="shared" si="408"/>
        <v/>
      </c>
      <c r="AT540" s="220"/>
      <c r="AU540" s="220">
        <f t="shared" si="397"/>
        <v>0</v>
      </c>
      <c r="AV540" s="220">
        <f t="shared" si="398"/>
        <v>-10</v>
      </c>
      <c r="AX540" s="219">
        <v>45106.0</v>
      </c>
      <c r="AY540" s="220" t="str">
        <f t="shared" si="409"/>
        <v/>
      </c>
      <c r="AZ540" s="220"/>
      <c r="BA540" s="220">
        <f t="shared" si="399"/>
        <v>0</v>
      </c>
      <c r="BB540" s="220">
        <f t="shared" si="400"/>
        <v>-10</v>
      </c>
    </row>
    <row r="541" ht="14.25" customHeight="1">
      <c r="A541" s="218"/>
      <c r="B541" s="219">
        <v>45107.0</v>
      </c>
      <c r="C541" s="220" t="str">
        <f t="shared" si="401"/>
        <v/>
      </c>
      <c r="D541" s="220"/>
      <c r="E541" s="220">
        <f t="shared" si="383"/>
        <v>0</v>
      </c>
      <c r="F541" s="220">
        <f t="shared" si="384"/>
        <v>-10</v>
      </c>
      <c r="H541" s="219">
        <v>45107.0</v>
      </c>
      <c r="I541" s="220" t="str">
        <f t="shared" si="402"/>
        <v/>
      </c>
      <c r="J541" s="220"/>
      <c r="K541" s="220">
        <f t="shared" si="385"/>
        <v>0</v>
      </c>
      <c r="L541" s="220">
        <f t="shared" si="386"/>
        <v>-10</v>
      </c>
      <c r="N541" s="219">
        <v>45107.0</v>
      </c>
      <c r="O541" s="220" t="str">
        <f t="shared" si="403"/>
        <v/>
      </c>
      <c r="P541" s="220"/>
      <c r="Q541" s="220">
        <f t="shared" si="387"/>
        <v>0</v>
      </c>
      <c r="R541" s="220">
        <f t="shared" si="388"/>
        <v>-10</v>
      </c>
      <c r="T541" s="219">
        <v>45107.0</v>
      </c>
      <c r="U541" s="220" t="str">
        <f t="shared" si="404"/>
        <v/>
      </c>
      <c r="V541" s="220"/>
      <c r="W541" s="220">
        <f t="shared" si="389"/>
        <v>0</v>
      </c>
      <c r="X541" s="220">
        <f t="shared" si="390"/>
        <v>-10</v>
      </c>
      <c r="Z541" s="219">
        <v>45107.0</v>
      </c>
      <c r="AA541" s="220" t="str">
        <f t="shared" si="405"/>
        <v/>
      </c>
      <c r="AB541" s="220"/>
      <c r="AC541" s="220">
        <f t="shared" si="391"/>
        <v>0</v>
      </c>
      <c r="AD541" s="220">
        <f t="shared" si="392"/>
        <v>-10</v>
      </c>
      <c r="AF541" s="219">
        <v>45107.0</v>
      </c>
      <c r="AG541" s="220" t="str">
        <f t="shared" si="406"/>
        <v/>
      </c>
      <c r="AH541" s="220"/>
      <c r="AI541" s="220">
        <f t="shared" si="393"/>
        <v>0</v>
      </c>
      <c r="AJ541" s="220">
        <f t="shared" si="394"/>
        <v>-10</v>
      </c>
      <c r="AL541" s="219">
        <v>45107.0</v>
      </c>
      <c r="AM541" s="220" t="str">
        <f t="shared" si="407"/>
        <v/>
      </c>
      <c r="AN541" s="220"/>
      <c r="AO541" s="220">
        <f t="shared" si="395"/>
        <v>0</v>
      </c>
      <c r="AP541" s="220">
        <f t="shared" si="396"/>
        <v>-10</v>
      </c>
      <c r="AR541" s="219">
        <v>45107.0</v>
      </c>
      <c r="AS541" s="220" t="str">
        <f t="shared" si="408"/>
        <v/>
      </c>
      <c r="AT541" s="220"/>
      <c r="AU541" s="220">
        <f t="shared" si="397"/>
        <v>0</v>
      </c>
      <c r="AV541" s="220">
        <f t="shared" si="398"/>
        <v>-10</v>
      </c>
      <c r="AX541" s="219">
        <v>45107.0</v>
      </c>
      <c r="AY541" s="220" t="str">
        <f t="shared" si="409"/>
        <v/>
      </c>
      <c r="AZ541" s="220"/>
      <c r="BA541" s="220">
        <f t="shared" si="399"/>
        <v>0</v>
      </c>
      <c r="BB541" s="220">
        <f t="shared" si="400"/>
        <v>-10</v>
      </c>
    </row>
    <row r="542" ht="14.25" customHeight="1">
      <c r="A542" s="218"/>
      <c r="B542" s="229"/>
      <c r="C542" s="220" t="str">
        <f t="shared" si="401"/>
        <v/>
      </c>
      <c r="D542" s="220"/>
      <c r="E542" s="220">
        <f t="shared" si="383"/>
        <v>0</v>
      </c>
      <c r="F542" s="220">
        <f t="shared" si="384"/>
        <v>-10</v>
      </c>
      <c r="H542" s="229"/>
      <c r="I542" s="220" t="str">
        <f t="shared" si="402"/>
        <v/>
      </c>
      <c r="J542" s="220"/>
      <c r="K542" s="220">
        <f t="shared" si="385"/>
        <v>0</v>
      </c>
      <c r="L542" s="220">
        <f t="shared" si="386"/>
        <v>-10</v>
      </c>
      <c r="N542" s="229"/>
      <c r="O542" s="220" t="str">
        <f t="shared" si="403"/>
        <v/>
      </c>
      <c r="P542" s="220"/>
      <c r="Q542" s="220">
        <f t="shared" si="387"/>
        <v>0</v>
      </c>
      <c r="R542" s="220">
        <f t="shared" si="388"/>
        <v>-10</v>
      </c>
      <c r="T542" s="229"/>
      <c r="U542" s="220" t="str">
        <f t="shared" si="404"/>
        <v/>
      </c>
      <c r="V542" s="220"/>
      <c r="W542" s="220">
        <f t="shared" si="389"/>
        <v>0</v>
      </c>
      <c r="X542" s="220">
        <f t="shared" si="390"/>
        <v>-10</v>
      </c>
      <c r="Z542" s="229"/>
      <c r="AA542" s="220" t="str">
        <f t="shared" si="405"/>
        <v/>
      </c>
      <c r="AB542" s="220"/>
      <c r="AC542" s="220">
        <f t="shared" si="391"/>
        <v>0</v>
      </c>
      <c r="AD542" s="220">
        <f t="shared" si="392"/>
        <v>-10</v>
      </c>
      <c r="AF542" s="229"/>
      <c r="AG542" s="220" t="str">
        <f t="shared" si="406"/>
        <v/>
      </c>
      <c r="AH542" s="220"/>
      <c r="AI542" s="220">
        <f t="shared" si="393"/>
        <v>0</v>
      </c>
      <c r="AJ542" s="220">
        <f t="shared" si="394"/>
        <v>-10</v>
      </c>
      <c r="AL542" s="229"/>
      <c r="AM542" s="220" t="str">
        <f t="shared" si="407"/>
        <v/>
      </c>
      <c r="AN542" s="220"/>
      <c r="AO542" s="220">
        <f t="shared" si="395"/>
        <v>0</v>
      </c>
      <c r="AP542" s="220">
        <f t="shared" si="396"/>
        <v>-10</v>
      </c>
      <c r="AR542" s="229"/>
      <c r="AS542" s="220" t="str">
        <f t="shared" si="408"/>
        <v/>
      </c>
      <c r="AT542" s="220"/>
      <c r="AU542" s="220">
        <f t="shared" si="397"/>
        <v>0</v>
      </c>
      <c r="AV542" s="220">
        <f t="shared" si="398"/>
        <v>-10</v>
      </c>
      <c r="AX542" s="229"/>
      <c r="AY542" s="220" t="str">
        <f t="shared" si="409"/>
        <v/>
      </c>
      <c r="AZ542" s="220"/>
      <c r="BA542" s="220">
        <f t="shared" si="399"/>
        <v>0</v>
      </c>
      <c r="BB542" s="220">
        <f t="shared" si="400"/>
        <v>-10</v>
      </c>
    </row>
    <row r="543" ht="14.25" customHeight="1">
      <c r="A543" s="222"/>
      <c r="B543" s="216"/>
      <c r="C543" s="223" t="s">
        <v>221</v>
      </c>
      <c r="D543" s="223"/>
      <c r="E543" s="216">
        <f>SUM(E512:E542)</f>
        <v>0</v>
      </c>
      <c r="F543" s="216">
        <f t="shared" si="384"/>
        <v>-10</v>
      </c>
      <c r="H543" s="216"/>
      <c r="I543" s="223" t="s">
        <v>221</v>
      </c>
      <c r="J543" s="223"/>
      <c r="K543" s="216">
        <f>SUM(K512:K542)</f>
        <v>0</v>
      </c>
      <c r="L543" s="216">
        <f t="shared" si="386"/>
        <v>-10</v>
      </c>
      <c r="N543" s="216"/>
      <c r="O543" s="223" t="s">
        <v>221</v>
      </c>
      <c r="P543" s="223"/>
      <c r="Q543" s="216">
        <f>SUM(Q512:Q542)</f>
        <v>0</v>
      </c>
      <c r="R543" s="216">
        <f t="shared" si="388"/>
        <v>-10</v>
      </c>
      <c r="T543" s="216"/>
      <c r="U543" s="223" t="s">
        <v>221</v>
      </c>
      <c r="V543" s="223"/>
      <c r="W543" s="216">
        <f>SUM(W512:W542)</f>
        <v>0</v>
      </c>
      <c r="X543" s="216">
        <f t="shared" si="390"/>
        <v>-10</v>
      </c>
      <c r="Z543" s="216"/>
      <c r="AA543" s="223" t="s">
        <v>221</v>
      </c>
      <c r="AB543" s="223"/>
      <c r="AC543" s="216">
        <f>SUM(AC512:AC542)</f>
        <v>0</v>
      </c>
      <c r="AD543" s="216">
        <f t="shared" si="392"/>
        <v>-10</v>
      </c>
      <c r="AF543" s="216"/>
      <c r="AG543" s="223" t="s">
        <v>221</v>
      </c>
      <c r="AH543" s="223"/>
      <c r="AI543" s="216">
        <f>SUM(AI512:AI542)</f>
        <v>0</v>
      </c>
      <c r="AJ543" s="216">
        <f t="shared" si="394"/>
        <v>-10</v>
      </c>
      <c r="AL543" s="216"/>
      <c r="AM543" s="223" t="s">
        <v>221</v>
      </c>
      <c r="AN543" s="223"/>
      <c r="AO543" s="216">
        <f>SUM(AO512:AO542)</f>
        <v>0</v>
      </c>
      <c r="AP543" s="216">
        <f t="shared" si="396"/>
        <v>-10</v>
      </c>
      <c r="AR543" s="216"/>
      <c r="AS543" s="223" t="s">
        <v>221</v>
      </c>
      <c r="AT543" s="223"/>
      <c r="AU543" s="216">
        <f>SUM(AU512:AU542)</f>
        <v>0</v>
      </c>
      <c r="AV543" s="216">
        <f t="shared" si="398"/>
        <v>-10</v>
      </c>
      <c r="AX543" s="216"/>
      <c r="AY543" s="223" t="s">
        <v>221</v>
      </c>
      <c r="AZ543" s="223"/>
      <c r="BA543" s="216">
        <f>SUM(BA512:BA542)</f>
        <v>0</v>
      </c>
      <c r="BB543" s="216">
        <f t="shared" si="400"/>
        <v>-10</v>
      </c>
    </row>
    <row r="544" ht="14.25" customHeight="1"/>
    <row r="545" ht="14.25" customHeight="1"/>
    <row r="546" ht="14.25" customHeight="1"/>
    <row r="547" ht="18.0" customHeight="1">
      <c r="A547" s="215" t="s">
        <v>236</v>
      </c>
      <c r="B547" s="206" t="s">
        <v>18</v>
      </c>
      <c r="C547" s="207"/>
      <c r="D547" s="207"/>
      <c r="E547" s="207"/>
      <c r="F547" s="208"/>
      <c r="G547" s="209"/>
      <c r="H547" s="206" t="s">
        <v>20</v>
      </c>
      <c r="I547" s="207"/>
      <c r="J547" s="207"/>
      <c r="K547" s="207"/>
      <c r="L547" s="208"/>
      <c r="M547" s="209"/>
      <c r="N547" s="206" t="s">
        <v>142</v>
      </c>
      <c r="O547" s="207"/>
      <c r="P547" s="207"/>
      <c r="Q547" s="207"/>
      <c r="R547" s="208"/>
      <c r="S547" s="209"/>
      <c r="T547" s="206" t="s">
        <v>95</v>
      </c>
      <c r="U547" s="207"/>
      <c r="V547" s="207"/>
      <c r="W547" s="207"/>
      <c r="X547" s="208"/>
      <c r="Y547" s="209"/>
      <c r="Z547" s="206" t="s">
        <v>32</v>
      </c>
      <c r="AA547" s="207"/>
      <c r="AB547" s="207"/>
      <c r="AC547" s="207"/>
      <c r="AD547" s="208"/>
      <c r="AE547" s="209"/>
      <c r="AF547" s="206" t="s">
        <v>27</v>
      </c>
      <c r="AG547" s="207"/>
      <c r="AH547" s="207"/>
      <c r="AI547" s="207"/>
      <c r="AJ547" s="208"/>
      <c r="AK547" s="209"/>
      <c r="AL547" s="206" t="s">
        <v>34</v>
      </c>
      <c r="AM547" s="207"/>
      <c r="AN547" s="207"/>
      <c r="AO547" s="207"/>
      <c r="AP547" s="208"/>
      <c r="AQ547" s="209"/>
      <c r="AR547" s="206"/>
      <c r="AS547" s="207"/>
      <c r="AT547" s="207"/>
      <c r="AU547" s="207"/>
      <c r="AV547" s="208"/>
      <c r="AW547" s="209"/>
      <c r="AX547" s="206"/>
      <c r="AY547" s="207"/>
      <c r="AZ547" s="207"/>
      <c r="BA547" s="207"/>
      <c r="BB547" s="208"/>
    </row>
    <row r="548" ht="14.25" customHeight="1">
      <c r="A548" s="218"/>
      <c r="B548" s="210"/>
      <c r="F548" s="211"/>
      <c r="G548" s="209"/>
      <c r="H548" s="210"/>
      <c r="L548" s="211"/>
      <c r="M548" s="209"/>
      <c r="N548" s="210"/>
      <c r="R548" s="211"/>
      <c r="S548" s="209"/>
      <c r="T548" s="210"/>
      <c r="X548" s="211"/>
      <c r="Y548" s="209"/>
      <c r="Z548" s="210"/>
      <c r="AD548" s="211"/>
      <c r="AE548" s="209"/>
      <c r="AF548" s="210"/>
      <c r="AJ548" s="211"/>
      <c r="AK548" s="209"/>
      <c r="AL548" s="210"/>
      <c r="AP548" s="211"/>
      <c r="AQ548" s="209"/>
      <c r="AR548" s="210"/>
      <c r="AV548" s="211"/>
      <c r="AW548" s="209"/>
      <c r="AX548" s="210"/>
      <c r="BB548" s="211"/>
    </row>
    <row r="549" ht="14.25" customHeight="1">
      <c r="A549" s="218"/>
      <c r="B549" s="212"/>
      <c r="C549" s="213"/>
      <c r="D549" s="213"/>
      <c r="E549" s="213"/>
      <c r="F549" s="214"/>
      <c r="G549" s="209"/>
      <c r="H549" s="212"/>
      <c r="I549" s="213"/>
      <c r="J549" s="213"/>
      <c r="K549" s="213"/>
      <c r="L549" s="214"/>
      <c r="M549" s="209"/>
      <c r="N549" s="212"/>
      <c r="O549" s="213"/>
      <c r="P549" s="213"/>
      <c r="Q549" s="213"/>
      <c r="R549" s="214"/>
      <c r="S549" s="209"/>
      <c r="T549" s="212"/>
      <c r="U549" s="213"/>
      <c r="V549" s="213"/>
      <c r="W549" s="213"/>
      <c r="X549" s="214"/>
      <c r="Y549" s="209"/>
      <c r="Z549" s="212"/>
      <c r="AA549" s="213"/>
      <c r="AB549" s="213"/>
      <c r="AC549" s="213"/>
      <c r="AD549" s="214"/>
      <c r="AE549" s="209"/>
      <c r="AF549" s="212"/>
      <c r="AG549" s="213"/>
      <c r="AH549" s="213"/>
      <c r="AI549" s="213"/>
      <c r="AJ549" s="214"/>
      <c r="AK549" s="209"/>
      <c r="AL549" s="212"/>
      <c r="AM549" s="213"/>
      <c r="AN549" s="213"/>
      <c r="AO549" s="213"/>
      <c r="AP549" s="214"/>
      <c r="AQ549" s="209"/>
      <c r="AR549" s="212"/>
      <c r="AS549" s="213"/>
      <c r="AT549" s="213"/>
      <c r="AU549" s="213"/>
      <c r="AV549" s="214"/>
      <c r="AW549" s="209"/>
      <c r="AX549" s="212"/>
      <c r="AY549" s="213"/>
      <c r="AZ549" s="213"/>
      <c r="BA549" s="213"/>
      <c r="BB549" s="214"/>
    </row>
    <row r="550" ht="14.25" customHeight="1">
      <c r="A550" s="218"/>
      <c r="B550" s="216" t="s">
        <v>214</v>
      </c>
      <c r="C550" s="216" t="s">
        <v>215</v>
      </c>
      <c r="D550" s="216" t="s">
        <v>216</v>
      </c>
      <c r="E550" s="216" t="s">
        <v>217</v>
      </c>
      <c r="F550" s="216" t="s">
        <v>218</v>
      </c>
      <c r="H550" s="217" t="s">
        <v>214</v>
      </c>
      <c r="I550" s="216" t="s">
        <v>215</v>
      </c>
      <c r="J550" s="216" t="s">
        <v>216</v>
      </c>
      <c r="K550" s="216" t="s">
        <v>217</v>
      </c>
      <c r="L550" s="216" t="s">
        <v>218</v>
      </c>
      <c r="N550" s="216" t="s">
        <v>214</v>
      </c>
      <c r="O550" s="216" t="s">
        <v>215</v>
      </c>
      <c r="P550" s="216" t="s">
        <v>216</v>
      </c>
      <c r="Q550" s="216" t="s">
        <v>217</v>
      </c>
      <c r="R550" s="216" t="s">
        <v>218</v>
      </c>
      <c r="T550" s="216" t="s">
        <v>214</v>
      </c>
      <c r="U550" s="216" t="s">
        <v>215</v>
      </c>
      <c r="V550" s="216" t="s">
        <v>216</v>
      </c>
      <c r="W550" s="216" t="s">
        <v>217</v>
      </c>
      <c r="X550" s="216" t="s">
        <v>218</v>
      </c>
      <c r="Z550" s="216" t="s">
        <v>214</v>
      </c>
      <c r="AA550" s="216" t="s">
        <v>215</v>
      </c>
      <c r="AB550" s="216" t="s">
        <v>216</v>
      </c>
      <c r="AC550" s="216" t="s">
        <v>217</v>
      </c>
      <c r="AD550" s="216" t="s">
        <v>218</v>
      </c>
      <c r="AF550" s="216" t="s">
        <v>214</v>
      </c>
      <c r="AG550" s="216" t="s">
        <v>215</v>
      </c>
      <c r="AH550" s="216" t="s">
        <v>216</v>
      </c>
      <c r="AI550" s="216" t="s">
        <v>217</v>
      </c>
      <c r="AJ550" s="216" t="s">
        <v>218</v>
      </c>
      <c r="AL550" s="216" t="s">
        <v>214</v>
      </c>
      <c r="AM550" s="216" t="s">
        <v>215</v>
      </c>
      <c r="AN550" s="216" t="s">
        <v>216</v>
      </c>
      <c r="AO550" s="216" t="s">
        <v>217</v>
      </c>
      <c r="AP550" s="216" t="s">
        <v>218</v>
      </c>
      <c r="AR550" s="216" t="s">
        <v>214</v>
      </c>
      <c r="AS550" s="216" t="s">
        <v>215</v>
      </c>
      <c r="AT550" s="216" t="s">
        <v>216</v>
      </c>
      <c r="AU550" s="216" t="s">
        <v>217</v>
      </c>
      <c r="AV550" s="216" t="s">
        <v>218</v>
      </c>
      <c r="AX550" s="216" t="s">
        <v>214</v>
      </c>
      <c r="AY550" s="216" t="s">
        <v>215</v>
      </c>
      <c r="AZ550" s="216" t="s">
        <v>216</v>
      </c>
      <c r="BA550" s="216" t="s">
        <v>217</v>
      </c>
      <c r="BB550" s="216" t="s">
        <v>218</v>
      </c>
    </row>
    <row r="551" ht="14.25" customHeight="1">
      <c r="A551" s="218"/>
      <c r="B551" s="219">
        <v>45078.0</v>
      </c>
      <c r="C551" s="220"/>
      <c r="D551" s="220"/>
      <c r="E551" s="220">
        <f t="shared" ref="E551:E581" si="410">D551-C551</f>
        <v>0</v>
      </c>
      <c r="F551" s="220">
        <f t="shared" ref="F551:F582" si="411">E551-10</f>
        <v>-10</v>
      </c>
      <c r="H551" s="219">
        <v>45078.0</v>
      </c>
      <c r="I551" s="220"/>
      <c r="J551" s="220"/>
      <c r="K551" s="220">
        <f t="shared" ref="K551:K581" si="412">J551-I551</f>
        <v>0</v>
      </c>
      <c r="L551" s="220">
        <f t="shared" ref="L551:L582" si="413">K551-10</f>
        <v>-10</v>
      </c>
      <c r="N551" s="219">
        <v>45078.0</v>
      </c>
      <c r="O551" s="220"/>
      <c r="P551" s="220"/>
      <c r="Q551" s="220">
        <f t="shared" ref="Q551:Q581" si="414">P551-O551</f>
        <v>0</v>
      </c>
      <c r="R551" s="220">
        <f t="shared" ref="R551:R582" si="415">Q551-10</f>
        <v>-10</v>
      </c>
      <c r="T551" s="219">
        <v>45078.0</v>
      </c>
      <c r="U551" s="220"/>
      <c r="V551" s="220"/>
      <c r="W551" s="220">
        <f t="shared" ref="W551:W581" si="416">V551-U551</f>
        <v>0</v>
      </c>
      <c r="X551" s="220">
        <f t="shared" ref="X551:X582" si="417">W551-10</f>
        <v>-10</v>
      </c>
      <c r="Z551" s="219">
        <v>45078.0</v>
      </c>
      <c r="AA551" s="220"/>
      <c r="AB551" s="220"/>
      <c r="AC551" s="220">
        <f t="shared" ref="AC551:AC581" si="418">AB551-AA551</f>
        <v>0</v>
      </c>
      <c r="AD551" s="220">
        <f t="shared" ref="AD551:AD582" si="419">AC551-10</f>
        <v>-10</v>
      </c>
      <c r="AF551" s="219">
        <v>45078.0</v>
      </c>
      <c r="AG551" s="220"/>
      <c r="AH551" s="220"/>
      <c r="AI551" s="220">
        <f t="shared" ref="AI551:AI581" si="420">AH551-AG551</f>
        <v>0</v>
      </c>
      <c r="AJ551" s="220">
        <f t="shared" ref="AJ551:AJ582" si="421">AI551-10</f>
        <v>-10</v>
      </c>
      <c r="AL551" s="219">
        <v>45078.0</v>
      </c>
      <c r="AM551" s="220"/>
      <c r="AN551" s="220"/>
      <c r="AO551" s="220">
        <f t="shared" ref="AO551:AO581" si="422">AN551-AM551</f>
        <v>0</v>
      </c>
      <c r="AP551" s="220">
        <f t="shared" ref="AP551:AP582" si="423">AO551-10</f>
        <v>-10</v>
      </c>
      <c r="AR551" s="219">
        <v>45078.0</v>
      </c>
      <c r="AS551" s="220"/>
      <c r="AT551" s="220"/>
      <c r="AU551" s="220">
        <f t="shared" ref="AU551:AU581" si="424">AT551-AS551</f>
        <v>0</v>
      </c>
      <c r="AV551" s="220">
        <f t="shared" ref="AV551:AV582" si="425">AU551-10</f>
        <v>-10</v>
      </c>
      <c r="AX551" s="219">
        <v>45078.0</v>
      </c>
      <c r="AY551" s="220"/>
      <c r="AZ551" s="220"/>
      <c r="BA551" s="220">
        <f t="shared" ref="BA551:BA581" si="426">AZ551-AY551</f>
        <v>0</v>
      </c>
      <c r="BB551" s="220">
        <f t="shared" ref="BB551:BB582" si="427">BA551-10</f>
        <v>-10</v>
      </c>
    </row>
    <row r="552" ht="14.25" customHeight="1">
      <c r="A552" s="218"/>
      <c r="B552" s="219">
        <v>45079.0</v>
      </c>
      <c r="C552" s="220" t="str">
        <f t="shared" ref="C552:C581" si="428">D551</f>
        <v/>
      </c>
      <c r="D552" s="220"/>
      <c r="E552" s="220">
        <f t="shared" si="410"/>
        <v>0</v>
      </c>
      <c r="F552" s="220">
        <f t="shared" si="411"/>
        <v>-10</v>
      </c>
      <c r="H552" s="219">
        <v>45079.0</v>
      </c>
      <c r="I552" s="220" t="str">
        <f t="shared" ref="I552:I581" si="429">J551</f>
        <v/>
      </c>
      <c r="J552" s="220"/>
      <c r="K552" s="220">
        <f t="shared" si="412"/>
        <v>0</v>
      </c>
      <c r="L552" s="220">
        <f t="shared" si="413"/>
        <v>-10</v>
      </c>
      <c r="N552" s="219">
        <v>45079.0</v>
      </c>
      <c r="O552" s="220" t="str">
        <f t="shared" ref="O552:O581" si="430">P551</f>
        <v/>
      </c>
      <c r="P552" s="220"/>
      <c r="Q552" s="220">
        <f t="shared" si="414"/>
        <v>0</v>
      </c>
      <c r="R552" s="220">
        <f t="shared" si="415"/>
        <v>-10</v>
      </c>
      <c r="T552" s="219">
        <v>45079.0</v>
      </c>
      <c r="U552" s="220" t="str">
        <f t="shared" ref="U552:U581" si="431">V551</f>
        <v/>
      </c>
      <c r="V552" s="220"/>
      <c r="W552" s="220">
        <f t="shared" si="416"/>
        <v>0</v>
      </c>
      <c r="X552" s="220">
        <f t="shared" si="417"/>
        <v>-10</v>
      </c>
      <c r="Z552" s="219">
        <v>45079.0</v>
      </c>
      <c r="AA552" s="220" t="str">
        <f t="shared" ref="AA552:AA581" si="432">AB551</f>
        <v/>
      </c>
      <c r="AB552" s="220"/>
      <c r="AC552" s="220">
        <f t="shared" si="418"/>
        <v>0</v>
      </c>
      <c r="AD552" s="220">
        <f t="shared" si="419"/>
        <v>-10</v>
      </c>
      <c r="AF552" s="219">
        <v>45079.0</v>
      </c>
      <c r="AG552" s="220" t="str">
        <f t="shared" ref="AG552:AG581" si="433">AH551</f>
        <v/>
      </c>
      <c r="AH552" s="220"/>
      <c r="AI552" s="220">
        <f t="shared" si="420"/>
        <v>0</v>
      </c>
      <c r="AJ552" s="220">
        <f t="shared" si="421"/>
        <v>-10</v>
      </c>
      <c r="AL552" s="219">
        <v>45079.0</v>
      </c>
      <c r="AM552" s="220" t="str">
        <f t="shared" ref="AM552:AM581" si="434">AN551</f>
        <v/>
      </c>
      <c r="AN552" s="220"/>
      <c r="AO552" s="220">
        <f t="shared" si="422"/>
        <v>0</v>
      </c>
      <c r="AP552" s="220">
        <f t="shared" si="423"/>
        <v>-10</v>
      </c>
      <c r="AR552" s="219">
        <v>45079.0</v>
      </c>
      <c r="AS552" s="220" t="str">
        <f t="shared" ref="AS552:AS581" si="435">AT551</f>
        <v/>
      </c>
      <c r="AT552" s="220"/>
      <c r="AU552" s="220">
        <f t="shared" si="424"/>
        <v>0</v>
      </c>
      <c r="AV552" s="220">
        <f t="shared" si="425"/>
        <v>-10</v>
      </c>
      <c r="AX552" s="219">
        <v>45079.0</v>
      </c>
      <c r="AY552" s="220" t="str">
        <f t="shared" ref="AY552:AY581" si="436">AZ551</f>
        <v/>
      </c>
      <c r="AZ552" s="220"/>
      <c r="BA552" s="220">
        <f t="shared" si="426"/>
        <v>0</v>
      </c>
      <c r="BB552" s="220">
        <f t="shared" si="427"/>
        <v>-10</v>
      </c>
    </row>
    <row r="553" ht="14.25" customHeight="1">
      <c r="A553" s="218"/>
      <c r="B553" s="219">
        <v>45080.0</v>
      </c>
      <c r="C553" s="220" t="str">
        <f t="shared" si="428"/>
        <v/>
      </c>
      <c r="D553" s="220"/>
      <c r="E553" s="220">
        <f t="shared" si="410"/>
        <v>0</v>
      </c>
      <c r="F553" s="220">
        <f t="shared" si="411"/>
        <v>-10</v>
      </c>
      <c r="G553" s="221"/>
      <c r="H553" s="219">
        <v>45080.0</v>
      </c>
      <c r="I553" s="220" t="str">
        <f t="shared" si="429"/>
        <v/>
      </c>
      <c r="J553" s="220"/>
      <c r="K553" s="220">
        <f t="shared" si="412"/>
        <v>0</v>
      </c>
      <c r="L553" s="220">
        <f t="shared" si="413"/>
        <v>-10</v>
      </c>
      <c r="M553" s="221"/>
      <c r="N553" s="219">
        <v>45080.0</v>
      </c>
      <c r="O553" s="220" t="str">
        <f t="shared" si="430"/>
        <v/>
      </c>
      <c r="P553" s="220"/>
      <c r="Q553" s="220">
        <f t="shared" si="414"/>
        <v>0</v>
      </c>
      <c r="R553" s="220">
        <f t="shared" si="415"/>
        <v>-10</v>
      </c>
      <c r="S553" s="221"/>
      <c r="T553" s="219">
        <v>45080.0</v>
      </c>
      <c r="U553" s="220" t="str">
        <f t="shared" si="431"/>
        <v/>
      </c>
      <c r="V553" s="220"/>
      <c r="W553" s="220">
        <f t="shared" si="416"/>
        <v>0</v>
      </c>
      <c r="X553" s="220">
        <f t="shared" si="417"/>
        <v>-10</v>
      </c>
      <c r="Y553" s="221"/>
      <c r="Z553" s="219">
        <v>45080.0</v>
      </c>
      <c r="AA553" s="220" t="str">
        <f t="shared" si="432"/>
        <v/>
      </c>
      <c r="AB553" s="220"/>
      <c r="AC553" s="220">
        <f t="shared" si="418"/>
        <v>0</v>
      </c>
      <c r="AD553" s="220">
        <f t="shared" si="419"/>
        <v>-10</v>
      </c>
      <c r="AE553" s="221"/>
      <c r="AF553" s="219">
        <v>45080.0</v>
      </c>
      <c r="AG553" s="220" t="str">
        <f t="shared" si="433"/>
        <v/>
      </c>
      <c r="AH553" s="220"/>
      <c r="AI553" s="220">
        <f t="shared" si="420"/>
        <v>0</v>
      </c>
      <c r="AJ553" s="220">
        <f t="shared" si="421"/>
        <v>-10</v>
      </c>
      <c r="AK553" s="221"/>
      <c r="AL553" s="219">
        <v>45080.0</v>
      </c>
      <c r="AM553" s="220" t="str">
        <f t="shared" si="434"/>
        <v/>
      </c>
      <c r="AN553" s="220"/>
      <c r="AO553" s="220">
        <f t="shared" si="422"/>
        <v>0</v>
      </c>
      <c r="AP553" s="220">
        <f t="shared" si="423"/>
        <v>-10</v>
      </c>
      <c r="AQ553" s="221"/>
      <c r="AR553" s="219">
        <v>45080.0</v>
      </c>
      <c r="AS553" s="220" t="str">
        <f t="shared" si="435"/>
        <v/>
      </c>
      <c r="AT553" s="220"/>
      <c r="AU553" s="220">
        <f t="shared" si="424"/>
        <v>0</v>
      </c>
      <c r="AV553" s="220">
        <f t="shared" si="425"/>
        <v>-10</v>
      </c>
      <c r="AW553" s="221"/>
      <c r="AX553" s="219">
        <v>45080.0</v>
      </c>
      <c r="AY553" s="220" t="str">
        <f t="shared" si="436"/>
        <v/>
      </c>
      <c r="AZ553" s="220"/>
      <c r="BA553" s="220">
        <f t="shared" si="426"/>
        <v>0</v>
      </c>
      <c r="BB553" s="220">
        <f t="shared" si="427"/>
        <v>-10</v>
      </c>
    </row>
    <row r="554" ht="14.25" customHeight="1">
      <c r="A554" s="218"/>
      <c r="B554" s="219">
        <v>45081.0</v>
      </c>
      <c r="C554" s="220" t="str">
        <f t="shared" si="428"/>
        <v/>
      </c>
      <c r="D554" s="220"/>
      <c r="E554" s="220">
        <f t="shared" si="410"/>
        <v>0</v>
      </c>
      <c r="F554" s="220">
        <f t="shared" si="411"/>
        <v>-10</v>
      </c>
      <c r="G554" s="221"/>
      <c r="H554" s="219">
        <v>45081.0</v>
      </c>
      <c r="I554" s="220" t="str">
        <f t="shared" si="429"/>
        <v/>
      </c>
      <c r="J554" s="220"/>
      <c r="K554" s="220">
        <f t="shared" si="412"/>
        <v>0</v>
      </c>
      <c r="L554" s="220">
        <f t="shared" si="413"/>
        <v>-10</v>
      </c>
      <c r="M554" s="221"/>
      <c r="N554" s="219">
        <v>45081.0</v>
      </c>
      <c r="O554" s="220" t="str">
        <f t="shared" si="430"/>
        <v/>
      </c>
      <c r="P554" s="220"/>
      <c r="Q554" s="220">
        <f t="shared" si="414"/>
        <v>0</v>
      </c>
      <c r="R554" s="220">
        <f t="shared" si="415"/>
        <v>-10</v>
      </c>
      <c r="S554" s="221"/>
      <c r="T554" s="219">
        <v>45081.0</v>
      </c>
      <c r="U554" s="220" t="str">
        <f t="shared" si="431"/>
        <v/>
      </c>
      <c r="V554" s="220"/>
      <c r="W554" s="220">
        <f t="shared" si="416"/>
        <v>0</v>
      </c>
      <c r="X554" s="220">
        <f t="shared" si="417"/>
        <v>-10</v>
      </c>
      <c r="Y554" s="221"/>
      <c r="Z554" s="219">
        <v>45081.0</v>
      </c>
      <c r="AA554" s="220" t="str">
        <f t="shared" si="432"/>
        <v/>
      </c>
      <c r="AB554" s="220"/>
      <c r="AC554" s="220">
        <f t="shared" si="418"/>
        <v>0</v>
      </c>
      <c r="AD554" s="220">
        <f t="shared" si="419"/>
        <v>-10</v>
      </c>
      <c r="AE554" s="221"/>
      <c r="AF554" s="219">
        <v>45081.0</v>
      </c>
      <c r="AG554" s="220" t="str">
        <f t="shared" si="433"/>
        <v/>
      </c>
      <c r="AH554" s="220"/>
      <c r="AI554" s="220">
        <f t="shared" si="420"/>
        <v>0</v>
      </c>
      <c r="AJ554" s="220">
        <f t="shared" si="421"/>
        <v>-10</v>
      </c>
      <c r="AK554" s="221"/>
      <c r="AL554" s="219">
        <v>45081.0</v>
      </c>
      <c r="AM554" s="220" t="str">
        <f t="shared" si="434"/>
        <v/>
      </c>
      <c r="AN554" s="220"/>
      <c r="AO554" s="220">
        <f t="shared" si="422"/>
        <v>0</v>
      </c>
      <c r="AP554" s="220">
        <f t="shared" si="423"/>
        <v>-10</v>
      </c>
      <c r="AQ554" s="221"/>
      <c r="AR554" s="219">
        <v>45081.0</v>
      </c>
      <c r="AS554" s="220" t="str">
        <f t="shared" si="435"/>
        <v/>
      </c>
      <c r="AT554" s="220"/>
      <c r="AU554" s="220">
        <f t="shared" si="424"/>
        <v>0</v>
      </c>
      <c r="AV554" s="220">
        <f t="shared" si="425"/>
        <v>-10</v>
      </c>
      <c r="AW554" s="221"/>
      <c r="AX554" s="219">
        <v>45081.0</v>
      </c>
      <c r="AY554" s="220" t="str">
        <f t="shared" si="436"/>
        <v/>
      </c>
      <c r="AZ554" s="220"/>
      <c r="BA554" s="220">
        <f t="shared" si="426"/>
        <v>0</v>
      </c>
      <c r="BB554" s="220">
        <f t="shared" si="427"/>
        <v>-10</v>
      </c>
    </row>
    <row r="555" ht="14.25" customHeight="1">
      <c r="A555" s="218"/>
      <c r="B555" s="219">
        <v>45082.0</v>
      </c>
      <c r="C555" s="220" t="str">
        <f t="shared" si="428"/>
        <v/>
      </c>
      <c r="D555" s="220"/>
      <c r="E555" s="220">
        <f t="shared" si="410"/>
        <v>0</v>
      </c>
      <c r="F555" s="220">
        <f t="shared" si="411"/>
        <v>-10</v>
      </c>
      <c r="H555" s="219">
        <v>45082.0</v>
      </c>
      <c r="I555" s="220" t="str">
        <f t="shared" si="429"/>
        <v/>
      </c>
      <c r="J555" s="220"/>
      <c r="K555" s="220">
        <f t="shared" si="412"/>
        <v>0</v>
      </c>
      <c r="L555" s="220">
        <f t="shared" si="413"/>
        <v>-10</v>
      </c>
      <c r="N555" s="219">
        <v>45082.0</v>
      </c>
      <c r="O555" s="220" t="str">
        <f t="shared" si="430"/>
        <v/>
      </c>
      <c r="P555" s="220"/>
      <c r="Q555" s="220">
        <f t="shared" si="414"/>
        <v>0</v>
      </c>
      <c r="R555" s="220">
        <f t="shared" si="415"/>
        <v>-10</v>
      </c>
      <c r="T555" s="219">
        <v>45082.0</v>
      </c>
      <c r="U555" s="220" t="str">
        <f t="shared" si="431"/>
        <v/>
      </c>
      <c r="V555" s="220"/>
      <c r="W555" s="220">
        <f t="shared" si="416"/>
        <v>0</v>
      </c>
      <c r="X555" s="220">
        <f t="shared" si="417"/>
        <v>-10</v>
      </c>
      <c r="Z555" s="219">
        <v>45082.0</v>
      </c>
      <c r="AA555" s="220" t="str">
        <f t="shared" si="432"/>
        <v/>
      </c>
      <c r="AB555" s="220"/>
      <c r="AC555" s="220">
        <f t="shared" si="418"/>
        <v>0</v>
      </c>
      <c r="AD555" s="220">
        <f t="shared" si="419"/>
        <v>-10</v>
      </c>
      <c r="AF555" s="219">
        <v>45082.0</v>
      </c>
      <c r="AG555" s="220" t="str">
        <f t="shared" si="433"/>
        <v/>
      </c>
      <c r="AH555" s="220"/>
      <c r="AI555" s="220">
        <f t="shared" si="420"/>
        <v>0</v>
      </c>
      <c r="AJ555" s="220">
        <f t="shared" si="421"/>
        <v>-10</v>
      </c>
      <c r="AL555" s="219">
        <v>45082.0</v>
      </c>
      <c r="AM555" s="220" t="str">
        <f t="shared" si="434"/>
        <v/>
      </c>
      <c r="AN555" s="220"/>
      <c r="AO555" s="220">
        <f t="shared" si="422"/>
        <v>0</v>
      </c>
      <c r="AP555" s="220">
        <f t="shared" si="423"/>
        <v>-10</v>
      </c>
      <c r="AR555" s="219">
        <v>45082.0</v>
      </c>
      <c r="AS555" s="220" t="str">
        <f t="shared" si="435"/>
        <v/>
      </c>
      <c r="AT555" s="220"/>
      <c r="AU555" s="220">
        <f t="shared" si="424"/>
        <v>0</v>
      </c>
      <c r="AV555" s="220">
        <f t="shared" si="425"/>
        <v>-10</v>
      </c>
      <c r="AX555" s="219">
        <v>45082.0</v>
      </c>
      <c r="AY555" s="220" t="str">
        <f t="shared" si="436"/>
        <v/>
      </c>
      <c r="AZ555" s="220"/>
      <c r="BA555" s="220">
        <f t="shared" si="426"/>
        <v>0</v>
      </c>
      <c r="BB555" s="220">
        <f t="shared" si="427"/>
        <v>-10</v>
      </c>
    </row>
    <row r="556" ht="14.25" customHeight="1">
      <c r="A556" s="218"/>
      <c r="B556" s="219">
        <v>45083.0</v>
      </c>
      <c r="C556" s="220" t="str">
        <f t="shared" si="428"/>
        <v/>
      </c>
      <c r="D556" s="220"/>
      <c r="E556" s="220">
        <f t="shared" si="410"/>
        <v>0</v>
      </c>
      <c r="F556" s="220">
        <f t="shared" si="411"/>
        <v>-10</v>
      </c>
      <c r="H556" s="219">
        <v>45083.0</v>
      </c>
      <c r="I556" s="220" t="str">
        <f t="shared" si="429"/>
        <v/>
      </c>
      <c r="J556" s="220"/>
      <c r="K556" s="220">
        <f t="shared" si="412"/>
        <v>0</v>
      </c>
      <c r="L556" s="220">
        <f t="shared" si="413"/>
        <v>-10</v>
      </c>
      <c r="N556" s="219">
        <v>45083.0</v>
      </c>
      <c r="O556" s="220" t="str">
        <f t="shared" si="430"/>
        <v/>
      </c>
      <c r="P556" s="220"/>
      <c r="Q556" s="220">
        <f t="shared" si="414"/>
        <v>0</v>
      </c>
      <c r="R556" s="220">
        <f t="shared" si="415"/>
        <v>-10</v>
      </c>
      <c r="T556" s="219">
        <v>45083.0</v>
      </c>
      <c r="U556" s="220" t="str">
        <f t="shared" si="431"/>
        <v/>
      </c>
      <c r="V556" s="220"/>
      <c r="W556" s="220">
        <f t="shared" si="416"/>
        <v>0</v>
      </c>
      <c r="X556" s="220">
        <f t="shared" si="417"/>
        <v>-10</v>
      </c>
      <c r="Z556" s="219">
        <v>45083.0</v>
      </c>
      <c r="AA556" s="220" t="str">
        <f t="shared" si="432"/>
        <v/>
      </c>
      <c r="AB556" s="220"/>
      <c r="AC556" s="220">
        <f t="shared" si="418"/>
        <v>0</v>
      </c>
      <c r="AD556" s="220">
        <f t="shared" si="419"/>
        <v>-10</v>
      </c>
      <c r="AF556" s="219">
        <v>45083.0</v>
      </c>
      <c r="AG556" s="220" t="str">
        <f t="shared" si="433"/>
        <v/>
      </c>
      <c r="AH556" s="220"/>
      <c r="AI556" s="220">
        <f t="shared" si="420"/>
        <v>0</v>
      </c>
      <c r="AJ556" s="220">
        <f t="shared" si="421"/>
        <v>-10</v>
      </c>
      <c r="AL556" s="219">
        <v>45083.0</v>
      </c>
      <c r="AM556" s="220" t="str">
        <f t="shared" si="434"/>
        <v/>
      </c>
      <c r="AN556" s="220"/>
      <c r="AO556" s="220">
        <f t="shared" si="422"/>
        <v>0</v>
      </c>
      <c r="AP556" s="220">
        <f t="shared" si="423"/>
        <v>-10</v>
      </c>
      <c r="AR556" s="219">
        <v>45083.0</v>
      </c>
      <c r="AS556" s="220" t="str">
        <f t="shared" si="435"/>
        <v/>
      </c>
      <c r="AT556" s="220"/>
      <c r="AU556" s="220">
        <f t="shared" si="424"/>
        <v>0</v>
      </c>
      <c r="AV556" s="220">
        <f t="shared" si="425"/>
        <v>-10</v>
      </c>
      <c r="AX556" s="219">
        <v>45083.0</v>
      </c>
      <c r="AY556" s="220" t="str">
        <f t="shared" si="436"/>
        <v/>
      </c>
      <c r="AZ556" s="220"/>
      <c r="BA556" s="220">
        <f t="shared" si="426"/>
        <v>0</v>
      </c>
      <c r="BB556" s="220">
        <f t="shared" si="427"/>
        <v>-10</v>
      </c>
    </row>
    <row r="557" ht="14.25" customHeight="1">
      <c r="A557" s="218"/>
      <c r="B557" s="219">
        <v>45084.0</v>
      </c>
      <c r="C557" s="220" t="str">
        <f t="shared" si="428"/>
        <v/>
      </c>
      <c r="D557" s="220"/>
      <c r="E557" s="220">
        <f t="shared" si="410"/>
        <v>0</v>
      </c>
      <c r="F557" s="220">
        <f t="shared" si="411"/>
        <v>-10</v>
      </c>
      <c r="H557" s="219">
        <v>45084.0</v>
      </c>
      <c r="I557" s="220" t="str">
        <f t="shared" si="429"/>
        <v/>
      </c>
      <c r="J557" s="220"/>
      <c r="K557" s="220">
        <f t="shared" si="412"/>
        <v>0</v>
      </c>
      <c r="L557" s="220">
        <f t="shared" si="413"/>
        <v>-10</v>
      </c>
      <c r="N557" s="219">
        <v>45084.0</v>
      </c>
      <c r="O557" s="220" t="str">
        <f t="shared" si="430"/>
        <v/>
      </c>
      <c r="P557" s="220"/>
      <c r="Q557" s="220">
        <f t="shared" si="414"/>
        <v>0</v>
      </c>
      <c r="R557" s="220">
        <f t="shared" si="415"/>
        <v>-10</v>
      </c>
      <c r="T557" s="219">
        <v>45084.0</v>
      </c>
      <c r="U557" s="220" t="str">
        <f t="shared" si="431"/>
        <v/>
      </c>
      <c r="V557" s="220"/>
      <c r="W557" s="220">
        <f t="shared" si="416"/>
        <v>0</v>
      </c>
      <c r="X557" s="220">
        <f t="shared" si="417"/>
        <v>-10</v>
      </c>
      <c r="Z557" s="219">
        <v>45084.0</v>
      </c>
      <c r="AA557" s="220" t="str">
        <f t="shared" si="432"/>
        <v/>
      </c>
      <c r="AB557" s="220"/>
      <c r="AC557" s="220">
        <f t="shared" si="418"/>
        <v>0</v>
      </c>
      <c r="AD557" s="220">
        <f t="shared" si="419"/>
        <v>-10</v>
      </c>
      <c r="AF557" s="219">
        <v>45084.0</v>
      </c>
      <c r="AG557" s="220" t="str">
        <f t="shared" si="433"/>
        <v/>
      </c>
      <c r="AH557" s="220"/>
      <c r="AI557" s="220">
        <f t="shared" si="420"/>
        <v>0</v>
      </c>
      <c r="AJ557" s="220">
        <f t="shared" si="421"/>
        <v>-10</v>
      </c>
      <c r="AL557" s="219">
        <v>45084.0</v>
      </c>
      <c r="AM557" s="220" t="str">
        <f t="shared" si="434"/>
        <v/>
      </c>
      <c r="AN557" s="220"/>
      <c r="AO557" s="220">
        <f t="shared" si="422"/>
        <v>0</v>
      </c>
      <c r="AP557" s="220">
        <f t="shared" si="423"/>
        <v>-10</v>
      </c>
      <c r="AR557" s="219">
        <v>45084.0</v>
      </c>
      <c r="AS557" s="220" t="str">
        <f t="shared" si="435"/>
        <v/>
      </c>
      <c r="AT557" s="220"/>
      <c r="AU557" s="220">
        <f t="shared" si="424"/>
        <v>0</v>
      </c>
      <c r="AV557" s="220">
        <f t="shared" si="425"/>
        <v>-10</v>
      </c>
      <c r="AX557" s="219">
        <v>45084.0</v>
      </c>
      <c r="AY557" s="220" t="str">
        <f t="shared" si="436"/>
        <v/>
      </c>
      <c r="AZ557" s="220"/>
      <c r="BA557" s="220">
        <f t="shared" si="426"/>
        <v>0</v>
      </c>
      <c r="BB557" s="220">
        <f t="shared" si="427"/>
        <v>-10</v>
      </c>
    </row>
    <row r="558" ht="14.25" customHeight="1">
      <c r="A558" s="218"/>
      <c r="B558" s="219">
        <v>45085.0</v>
      </c>
      <c r="C558" s="220" t="str">
        <f t="shared" si="428"/>
        <v/>
      </c>
      <c r="D558" s="220"/>
      <c r="E558" s="220">
        <f t="shared" si="410"/>
        <v>0</v>
      </c>
      <c r="F558" s="220">
        <f t="shared" si="411"/>
        <v>-10</v>
      </c>
      <c r="H558" s="219">
        <v>45085.0</v>
      </c>
      <c r="I558" s="220" t="str">
        <f t="shared" si="429"/>
        <v/>
      </c>
      <c r="J558" s="220"/>
      <c r="K558" s="220">
        <f t="shared" si="412"/>
        <v>0</v>
      </c>
      <c r="L558" s="220">
        <f t="shared" si="413"/>
        <v>-10</v>
      </c>
      <c r="N558" s="219">
        <v>45085.0</v>
      </c>
      <c r="O558" s="220" t="str">
        <f t="shared" si="430"/>
        <v/>
      </c>
      <c r="P558" s="220"/>
      <c r="Q558" s="220">
        <f t="shared" si="414"/>
        <v>0</v>
      </c>
      <c r="R558" s="220">
        <f t="shared" si="415"/>
        <v>-10</v>
      </c>
      <c r="T558" s="219">
        <v>45085.0</v>
      </c>
      <c r="U558" s="220" t="str">
        <f t="shared" si="431"/>
        <v/>
      </c>
      <c r="V558" s="220"/>
      <c r="W558" s="220">
        <f t="shared" si="416"/>
        <v>0</v>
      </c>
      <c r="X558" s="220">
        <f t="shared" si="417"/>
        <v>-10</v>
      </c>
      <c r="Z558" s="219">
        <v>45085.0</v>
      </c>
      <c r="AA558" s="220" t="str">
        <f t="shared" si="432"/>
        <v/>
      </c>
      <c r="AB558" s="220"/>
      <c r="AC558" s="220">
        <f t="shared" si="418"/>
        <v>0</v>
      </c>
      <c r="AD558" s="220">
        <f t="shared" si="419"/>
        <v>-10</v>
      </c>
      <c r="AF558" s="219">
        <v>45085.0</v>
      </c>
      <c r="AG558" s="220" t="str">
        <f t="shared" si="433"/>
        <v/>
      </c>
      <c r="AH558" s="220"/>
      <c r="AI558" s="220">
        <f t="shared" si="420"/>
        <v>0</v>
      </c>
      <c r="AJ558" s="220">
        <f t="shared" si="421"/>
        <v>-10</v>
      </c>
      <c r="AL558" s="219">
        <v>45085.0</v>
      </c>
      <c r="AM558" s="220" t="str">
        <f t="shared" si="434"/>
        <v/>
      </c>
      <c r="AN558" s="220"/>
      <c r="AO558" s="220">
        <f t="shared" si="422"/>
        <v>0</v>
      </c>
      <c r="AP558" s="220">
        <f t="shared" si="423"/>
        <v>-10</v>
      </c>
      <c r="AR558" s="219">
        <v>45085.0</v>
      </c>
      <c r="AS558" s="220" t="str">
        <f t="shared" si="435"/>
        <v/>
      </c>
      <c r="AT558" s="220"/>
      <c r="AU558" s="220">
        <f t="shared" si="424"/>
        <v>0</v>
      </c>
      <c r="AV558" s="220">
        <f t="shared" si="425"/>
        <v>-10</v>
      </c>
      <c r="AX558" s="219">
        <v>45085.0</v>
      </c>
      <c r="AY558" s="220" t="str">
        <f t="shared" si="436"/>
        <v/>
      </c>
      <c r="AZ558" s="220"/>
      <c r="BA558" s="220">
        <f t="shared" si="426"/>
        <v>0</v>
      </c>
      <c r="BB558" s="220">
        <f t="shared" si="427"/>
        <v>-10</v>
      </c>
    </row>
    <row r="559" ht="14.25" customHeight="1">
      <c r="A559" s="218"/>
      <c r="B559" s="219">
        <v>45086.0</v>
      </c>
      <c r="C559" s="220" t="str">
        <f t="shared" si="428"/>
        <v/>
      </c>
      <c r="D559" s="220"/>
      <c r="E559" s="220">
        <f t="shared" si="410"/>
        <v>0</v>
      </c>
      <c r="F559" s="220">
        <f t="shared" si="411"/>
        <v>-10</v>
      </c>
      <c r="H559" s="219">
        <v>45086.0</v>
      </c>
      <c r="I559" s="220" t="str">
        <f t="shared" si="429"/>
        <v/>
      </c>
      <c r="J559" s="220"/>
      <c r="K559" s="220">
        <f t="shared" si="412"/>
        <v>0</v>
      </c>
      <c r="L559" s="220">
        <f t="shared" si="413"/>
        <v>-10</v>
      </c>
      <c r="N559" s="219">
        <v>45086.0</v>
      </c>
      <c r="O559" s="220" t="str">
        <f t="shared" si="430"/>
        <v/>
      </c>
      <c r="P559" s="220"/>
      <c r="Q559" s="220">
        <f t="shared" si="414"/>
        <v>0</v>
      </c>
      <c r="R559" s="220">
        <f t="shared" si="415"/>
        <v>-10</v>
      </c>
      <c r="T559" s="219">
        <v>45086.0</v>
      </c>
      <c r="U559" s="220" t="str">
        <f t="shared" si="431"/>
        <v/>
      </c>
      <c r="V559" s="220"/>
      <c r="W559" s="220">
        <f t="shared" si="416"/>
        <v>0</v>
      </c>
      <c r="X559" s="220">
        <f t="shared" si="417"/>
        <v>-10</v>
      </c>
      <c r="Z559" s="219">
        <v>45086.0</v>
      </c>
      <c r="AA559" s="220" t="str">
        <f t="shared" si="432"/>
        <v/>
      </c>
      <c r="AB559" s="220"/>
      <c r="AC559" s="220">
        <f t="shared" si="418"/>
        <v>0</v>
      </c>
      <c r="AD559" s="220">
        <f t="shared" si="419"/>
        <v>-10</v>
      </c>
      <c r="AF559" s="219">
        <v>45086.0</v>
      </c>
      <c r="AG559" s="220" t="str">
        <f t="shared" si="433"/>
        <v/>
      </c>
      <c r="AH559" s="220"/>
      <c r="AI559" s="220">
        <f t="shared" si="420"/>
        <v>0</v>
      </c>
      <c r="AJ559" s="220">
        <f t="shared" si="421"/>
        <v>-10</v>
      </c>
      <c r="AL559" s="219">
        <v>45086.0</v>
      </c>
      <c r="AM559" s="220" t="str">
        <f t="shared" si="434"/>
        <v/>
      </c>
      <c r="AN559" s="220"/>
      <c r="AO559" s="220">
        <f t="shared" si="422"/>
        <v>0</v>
      </c>
      <c r="AP559" s="220">
        <f t="shared" si="423"/>
        <v>-10</v>
      </c>
      <c r="AR559" s="219">
        <v>45086.0</v>
      </c>
      <c r="AS559" s="220" t="str">
        <f t="shared" si="435"/>
        <v/>
      </c>
      <c r="AT559" s="220"/>
      <c r="AU559" s="220">
        <f t="shared" si="424"/>
        <v>0</v>
      </c>
      <c r="AV559" s="220">
        <f t="shared" si="425"/>
        <v>-10</v>
      </c>
      <c r="AX559" s="219">
        <v>45086.0</v>
      </c>
      <c r="AY559" s="220" t="str">
        <f t="shared" si="436"/>
        <v/>
      </c>
      <c r="AZ559" s="220"/>
      <c r="BA559" s="220">
        <f t="shared" si="426"/>
        <v>0</v>
      </c>
      <c r="BB559" s="220">
        <f t="shared" si="427"/>
        <v>-10</v>
      </c>
    </row>
    <row r="560" ht="14.25" customHeight="1">
      <c r="A560" s="218"/>
      <c r="B560" s="219">
        <v>45087.0</v>
      </c>
      <c r="C560" s="220" t="str">
        <f t="shared" si="428"/>
        <v/>
      </c>
      <c r="D560" s="220"/>
      <c r="E560" s="220">
        <f t="shared" si="410"/>
        <v>0</v>
      </c>
      <c r="F560" s="220">
        <f t="shared" si="411"/>
        <v>-10</v>
      </c>
      <c r="G560" s="221"/>
      <c r="H560" s="219">
        <v>45087.0</v>
      </c>
      <c r="I560" s="220" t="str">
        <f t="shared" si="429"/>
        <v/>
      </c>
      <c r="J560" s="220"/>
      <c r="K560" s="220">
        <f t="shared" si="412"/>
        <v>0</v>
      </c>
      <c r="L560" s="220">
        <f t="shared" si="413"/>
        <v>-10</v>
      </c>
      <c r="M560" s="221"/>
      <c r="N560" s="219">
        <v>45087.0</v>
      </c>
      <c r="O560" s="220" t="str">
        <f t="shared" si="430"/>
        <v/>
      </c>
      <c r="P560" s="220"/>
      <c r="Q560" s="220">
        <f t="shared" si="414"/>
        <v>0</v>
      </c>
      <c r="R560" s="220">
        <f t="shared" si="415"/>
        <v>-10</v>
      </c>
      <c r="S560" s="221"/>
      <c r="T560" s="219">
        <v>45087.0</v>
      </c>
      <c r="U560" s="220" t="str">
        <f t="shared" si="431"/>
        <v/>
      </c>
      <c r="V560" s="220"/>
      <c r="W560" s="220">
        <f t="shared" si="416"/>
        <v>0</v>
      </c>
      <c r="X560" s="220">
        <f t="shared" si="417"/>
        <v>-10</v>
      </c>
      <c r="Y560" s="221"/>
      <c r="Z560" s="219">
        <v>45087.0</v>
      </c>
      <c r="AA560" s="220" t="str">
        <f t="shared" si="432"/>
        <v/>
      </c>
      <c r="AB560" s="220"/>
      <c r="AC560" s="220">
        <f t="shared" si="418"/>
        <v>0</v>
      </c>
      <c r="AD560" s="220">
        <f t="shared" si="419"/>
        <v>-10</v>
      </c>
      <c r="AE560" s="221"/>
      <c r="AF560" s="219">
        <v>45087.0</v>
      </c>
      <c r="AG560" s="220" t="str">
        <f t="shared" si="433"/>
        <v/>
      </c>
      <c r="AH560" s="220"/>
      <c r="AI560" s="220">
        <f t="shared" si="420"/>
        <v>0</v>
      </c>
      <c r="AJ560" s="220">
        <f t="shared" si="421"/>
        <v>-10</v>
      </c>
      <c r="AK560" s="221"/>
      <c r="AL560" s="219">
        <v>45087.0</v>
      </c>
      <c r="AM560" s="220" t="str">
        <f t="shared" si="434"/>
        <v/>
      </c>
      <c r="AN560" s="220"/>
      <c r="AO560" s="220">
        <f t="shared" si="422"/>
        <v>0</v>
      </c>
      <c r="AP560" s="220">
        <f t="shared" si="423"/>
        <v>-10</v>
      </c>
      <c r="AQ560" s="221"/>
      <c r="AR560" s="219">
        <v>45087.0</v>
      </c>
      <c r="AS560" s="220" t="str">
        <f t="shared" si="435"/>
        <v/>
      </c>
      <c r="AT560" s="220"/>
      <c r="AU560" s="220">
        <f t="shared" si="424"/>
        <v>0</v>
      </c>
      <c r="AV560" s="220">
        <f t="shared" si="425"/>
        <v>-10</v>
      </c>
      <c r="AW560" s="221"/>
      <c r="AX560" s="219">
        <v>45087.0</v>
      </c>
      <c r="AY560" s="220" t="str">
        <f t="shared" si="436"/>
        <v/>
      </c>
      <c r="AZ560" s="220"/>
      <c r="BA560" s="220">
        <f t="shared" si="426"/>
        <v>0</v>
      </c>
      <c r="BB560" s="220">
        <f t="shared" si="427"/>
        <v>-10</v>
      </c>
    </row>
    <row r="561" ht="14.25" customHeight="1">
      <c r="A561" s="218"/>
      <c r="B561" s="219">
        <v>45088.0</v>
      </c>
      <c r="C561" s="220" t="str">
        <f t="shared" si="428"/>
        <v/>
      </c>
      <c r="D561" s="220"/>
      <c r="E561" s="220">
        <f t="shared" si="410"/>
        <v>0</v>
      </c>
      <c r="F561" s="220">
        <f t="shared" si="411"/>
        <v>-10</v>
      </c>
      <c r="G561" s="221"/>
      <c r="H561" s="219">
        <v>45088.0</v>
      </c>
      <c r="I561" s="220" t="str">
        <f t="shared" si="429"/>
        <v/>
      </c>
      <c r="J561" s="220"/>
      <c r="K561" s="220">
        <f t="shared" si="412"/>
        <v>0</v>
      </c>
      <c r="L561" s="220">
        <f t="shared" si="413"/>
        <v>-10</v>
      </c>
      <c r="M561" s="221"/>
      <c r="N561" s="219">
        <v>45088.0</v>
      </c>
      <c r="O561" s="220" t="str">
        <f t="shared" si="430"/>
        <v/>
      </c>
      <c r="P561" s="220"/>
      <c r="Q561" s="220">
        <f t="shared" si="414"/>
        <v>0</v>
      </c>
      <c r="R561" s="220">
        <f t="shared" si="415"/>
        <v>-10</v>
      </c>
      <c r="S561" s="221"/>
      <c r="T561" s="219">
        <v>45088.0</v>
      </c>
      <c r="U561" s="220" t="str">
        <f t="shared" si="431"/>
        <v/>
      </c>
      <c r="V561" s="220"/>
      <c r="W561" s="220">
        <f t="shared" si="416"/>
        <v>0</v>
      </c>
      <c r="X561" s="220">
        <f t="shared" si="417"/>
        <v>-10</v>
      </c>
      <c r="Y561" s="221"/>
      <c r="Z561" s="219">
        <v>45088.0</v>
      </c>
      <c r="AA561" s="220" t="str">
        <f t="shared" si="432"/>
        <v/>
      </c>
      <c r="AB561" s="220"/>
      <c r="AC561" s="220">
        <f t="shared" si="418"/>
        <v>0</v>
      </c>
      <c r="AD561" s="220">
        <f t="shared" si="419"/>
        <v>-10</v>
      </c>
      <c r="AE561" s="221"/>
      <c r="AF561" s="219">
        <v>45088.0</v>
      </c>
      <c r="AG561" s="220" t="str">
        <f t="shared" si="433"/>
        <v/>
      </c>
      <c r="AH561" s="220"/>
      <c r="AI561" s="220">
        <f t="shared" si="420"/>
        <v>0</v>
      </c>
      <c r="AJ561" s="220">
        <f t="shared" si="421"/>
        <v>-10</v>
      </c>
      <c r="AK561" s="221"/>
      <c r="AL561" s="219">
        <v>45088.0</v>
      </c>
      <c r="AM561" s="220" t="str">
        <f t="shared" si="434"/>
        <v/>
      </c>
      <c r="AN561" s="220"/>
      <c r="AO561" s="220">
        <f t="shared" si="422"/>
        <v>0</v>
      </c>
      <c r="AP561" s="220">
        <f t="shared" si="423"/>
        <v>-10</v>
      </c>
      <c r="AQ561" s="221"/>
      <c r="AR561" s="219">
        <v>45088.0</v>
      </c>
      <c r="AS561" s="220" t="str">
        <f t="shared" si="435"/>
        <v/>
      </c>
      <c r="AT561" s="220"/>
      <c r="AU561" s="220">
        <f t="shared" si="424"/>
        <v>0</v>
      </c>
      <c r="AV561" s="220">
        <f t="shared" si="425"/>
        <v>-10</v>
      </c>
      <c r="AW561" s="221"/>
      <c r="AX561" s="219">
        <v>45088.0</v>
      </c>
      <c r="AY561" s="220" t="str">
        <f t="shared" si="436"/>
        <v/>
      </c>
      <c r="AZ561" s="220"/>
      <c r="BA561" s="220">
        <f t="shared" si="426"/>
        <v>0</v>
      </c>
      <c r="BB561" s="220">
        <f t="shared" si="427"/>
        <v>-10</v>
      </c>
    </row>
    <row r="562" ht="14.25" customHeight="1">
      <c r="A562" s="218"/>
      <c r="B562" s="219">
        <v>45089.0</v>
      </c>
      <c r="C562" s="220" t="str">
        <f t="shared" si="428"/>
        <v/>
      </c>
      <c r="D562" s="220"/>
      <c r="E562" s="220">
        <f t="shared" si="410"/>
        <v>0</v>
      </c>
      <c r="F562" s="220">
        <f t="shared" si="411"/>
        <v>-10</v>
      </c>
      <c r="H562" s="219">
        <v>45089.0</v>
      </c>
      <c r="I562" s="220" t="str">
        <f t="shared" si="429"/>
        <v/>
      </c>
      <c r="J562" s="220"/>
      <c r="K562" s="220">
        <f t="shared" si="412"/>
        <v>0</v>
      </c>
      <c r="L562" s="220">
        <f t="shared" si="413"/>
        <v>-10</v>
      </c>
      <c r="N562" s="219">
        <v>45089.0</v>
      </c>
      <c r="O562" s="220" t="str">
        <f t="shared" si="430"/>
        <v/>
      </c>
      <c r="P562" s="220"/>
      <c r="Q562" s="220">
        <f t="shared" si="414"/>
        <v>0</v>
      </c>
      <c r="R562" s="220">
        <f t="shared" si="415"/>
        <v>-10</v>
      </c>
      <c r="T562" s="219">
        <v>45089.0</v>
      </c>
      <c r="U562" s="220" t="str">
        <f t="shared" si="431"/>
        <v/>
      </c>
      <c r="V562" s="220"/>
      <c r="W562" s="220">
        <f t="shared" si="416"/>
        <v>0</v>
      </c>
      <c r="X562" s="220">
        <f t="shared" si="417"/>
        <v>-10</v>
      </c>
      <c r="Z562" s="219">
        <v>45089.0</v>
      </c>
      <c r="AA562" s="220" t="str">
        <f t="shared" si="432"/>
        <v/>
      </c>
      <c r="AB562" s="220"/>
      <c r="AC562" s="220">
        <f t="shared" si="418"/>
        <v>0</v>
      </c>
      <c r="AD562" s="220">
        <f t="shared" si="419"/>
        <v>-10</v>
      </c>
      <c r="AF562" s="219">
        <v>45089.0</v>
      </c>
      <c r="AG562" s="220" t="str">
        <f t="shared" si="433"/>
        <v/>
      </c>
      <c r="AH562" s="220"/>
      <c r="AI562" s="220">
        <f t="shared" si="420"/>
        <v>0</v>
      </c>
      <c r="AJ562" s="220">
        <f t="shared" si="421"/>
        <v>-10</v>
      </c>
      <c r="AL562" s="219">
        <v>45089.0</v>
      </c>
      <c r="AM562" s="220" t="str">
        <f t="shared" si="434"/>
        <v/>
      </c>
      <c r="AN562" s="220"/>
      <c r="AO562" s="220">
        <f t="shared" si="422"/>
        <v>0</v>
      </c>
      <c r="AP562" s="220">
        <f t="shared" si="423"/>
        <v>-10</v>
      </c>
      <c r="AR562" s="219">
        <v>45089.0</v>
      </c>
      <c r="AS562" s="220" t="str">
        <f t="shared" si="435"/>
        <v/>
      </c>
      <c r="AT562" s="220"/>
      <c r="AU562" s="220">
        <f t="shared" si="424"/>
        <v>0</v>
      </c>
      <c r="AV562" s="220">
        <f t="shared" si="425"/>
        <v>-10</v>
      </c>
      <c r="AX562" s="219">
        <v>45089.0</v>
      </c>
      <c r="AY562" s="220" t="str">
        <f t="shared" si="436"/>
        <v/>
      </c>
      <c r="AZ562" s="220"/>
      <c r="BA562" s="220">
        <f t="shared" si="426"/>
        <v>0</v>
      </c>
      <c r="BB562" s="220">
        <f t="shared" si="427"/>
        <v>-10</v>
      </c>
    </row>
    <row r="563" ht="14.25" customHeight="1">
      <c r="A563" s="218"/>
      <c r="B563" s="219">
        <v>45090.0</v>
      </c>
      <c r="C563" s="220" t="str">
        <f t="shared" si="428"/>
        <v/>
      </c>
      <c r="D563" s="220"/>
      <c r="E563" s="220">
        <f t="shared" si="410"/>
        <v>0</v>
      </c>
      <c r="F563" s="220">
        <f t="shared" si="411"/>
        <v>-10</v>
      </c>
      <c r="H563" s="219">
        <v>45090.0</v>
      </c>
      <c r="I563" s="220" t="str">
        <f t="shared" si="429"/>
        <v/>
      </c>
      <c r="J563" s="220"/>
      <c r="K563" s="220">
        <f t="shared" si="412"/>
        <v>0</v>
      </c>
      <c r="L563" s="220">
        <f t="shared" si="413"/>
        <v>-10</v>
      </c>
      <c r="N563" s="219">
        <v>45090.0</v>
      </c>
      <c r="O563" s="220" t="str">
        <f t="shared" si="430"/>
        <v/>
      </c>
      <c r="P563" s="220"/>
      <c r="Q563" s="220">
        <f t="shared" si="414"/>
        <v>0</v>
      </c>
      <c r="R563" s="220">
        <f t="shared" si="415"/>
        <v>-10</v>
      </c>
      <c r="T563" s="219">
        <v>45090.0</v>
      </c>
      <c r="U563" s="220" t="str">
        <f t="shared" si="431"/>
        <v/>
      </c>
      <c r="V563" s="220"/>
      <c r="W563" s="220">
        <f t="shared" si="416"/>
        <v>0</v>
      </c>
      <c r="X563" s="220">
        <f t="shared" si="417"/>
        <v>-10</v>
      </c>
      <c r="Z563" s="219">
        <v>45090.0</v>
      </c>
      <c r="AA563" s="220" t="str">
        <f t="shared" si="432"/>
        <v/>
      </c>
      <c r="AB563" s="220"/>
      <c r="AC563" s="220">
        <f t="shared" si="418"/>
        <v>0</v>
      </c>
      <c r="AD563" s="220">
        <f t="shared" si="419"/>
        <v>-10</v>
      </c>
      <c r="AF563" s="219">
        <v>45090.0</v>
      </c>
      <c r="AG563" s="220" t="str">
        <f t="shared" si="433"/>
        <v/>
      </c>
      <c r="AH563" s="220"/>
      <c r="AI563" s="220">
        <f t="shared" si="420"/>
        <v>0</v>
      </c>
      <c r="AJ563" s="220">
        <f t="shared" si="421"/>
        <v>-10</v>
      </c>
      <c r="AL563" s="219">
        <v>45090.0</v>
      </c>
      <c r="AM563" s="220" t="str">
        <f t="shared" si="434"/>
        <v/>
      </c>
      <c r="AN563" s="220"/>
      <c r="AO563" s="220">
        <f t="shared" si="422"/>
        <v>0</v>
      </c>
      <c r="AP563" s="220">
        <f t="shared" si="423"/>
        <v>-10</v>
      </c>
      <c r="AR563" s="219">
        <v>45090.0</v>
      </c>
      <c r="AS563" s="220" t="str">
        <f t="shared" si="435"/>
        <v/>
      </c>
      <c r="AT563" s="220"/>
      <c r="AU563" s="220">
        <f t="shared" si="424"/>
        <v>0</v>
      </c>
      <c r="AV563" s="220">
        <f t="shared" si="425"/>
        <v>-10</v>
      </c>
      <c r="AX563" s="219">
        <v>45090.0</v>
      </c>
      <c r="AY563" s="220" t="str">
        <f t="shared" si="436"/>
        <v/>
      </c>
      <c r="AZ563" s="220"/>
      <c r="BA563" s="220">
        <f t="shared" si="426"/>
        <v>0</v>
      </c>
      <c r="BB563" s="220">
        <f t="shared" si="427"/>
        <v>-10</v>
      </c>
    </row>
    <row r="564" ht="14.25" customHeight="1">
      <c r="A564" s="218"/>
      <c r="B564" s="219">
        <v>45091.0</v>
      </c>
      <c r="C564" s="220" t="str">
        <f t="shared" si="428"/>
        <v/>
      </c>
      <c r="D564" s="220"/>
      <c r="E564" s="220">
        <f t="shared" si="410"/>
        <v>0</v>
      </c>
      <c r="F564" s="220">
        <f t="shared" si="411"/>
        <v>-10</v>
      </c>
      <c r="H564" s="219">
        <v>45091.0</v>
      </c>
      <c r="I564" s="220" t="str">
        <f t="shared" si="429"/>
        <v/>
      </c>
      <c r="J564" s="220"/>
      <c r="K564" s="220">
        <f t="shared" si="412"/>
        <v>0</v>
      </c>
      <c r="L564" s="220">
        <f t="shared" si="413"/>
        <v>-10</v>
      </c>
      <c r="N564" s="219">
        <v>45091.0</v>
      </c>
      <c r="O564" s="220" t="str">
        <f t="shared" si="430"/>
        <v/>
      </c>
      <c r="P564" s="220"/>
      <c r="Q564" s="220">
        <f t="shared" si="414"/>
        <v>0</v>
      </c>
      <c r="R564" s="220">
        <f t="shared" si="415"/>
        <v>-10</v>
      </c>
      <c r="T564" s="219">
        <v>45091.0</v>
      </c>
      <c r="U564" s="220" t="str">
        <f t="shared" si="431"/>
        <v/>
      </c>
      <c r="V564" s="220"/>
      <c r="W564" s="220">
        <f t="shared" si="416"/>
        <v>0</v>
      </c>
      <c r="X564" s="220">
        <f t="shared" si="417"/>
        <v>-10</v>
      </c>
      <c r="Z564" s="219">
        <v>45091.0</v>
      </c>
      <c r="AA564" s="220" t="str">
        <f t="shared" si="432"/>
        <v/>
      </c>
      <c r="AB564" s="220"/>
      <c r="AC564" s="220">
        <f t="shared" si="418"/>
        <v>0</v>
      </c>
      <c r="AD564" s="220">
        <f t="shared" si="419"/>
        <v>-10</v>
      </c>
      <c r="AF564" s="219">
        <v>45091.0</v>
      </c>
      <c r="AG564" s="220" t="str">
        <f t="shared" si="433"/>
        <v/>
      </c>
      <c r="AH564" s="220"/>
      <c r="AI564" s="220">
        <f t="shared" si="420"/>
        <v>0</v>
      </c>
      <c r="AJ564" s="220">
        <f t="shared" si="421"/>
        <v>-10</v>
      </c>
      <c r="AL564" s="219">
        <v>45091.0</v>
      </c>
      <c r="AM564" s="220" t="str">
        <f t="shared" si="434"/>
        <v/>
      </c>
      <c r="AN564" s="220"/>
      <c r="AO564" s="220">
        <f t="shared" si="422"/>
        <v>0</v>
      </c>
      <c r="AP564" s="220">
        <f t="shared" si="423"/>
        <v>-10</v>
      </c>
      <c r="AR564" s="219">
        <v>45091.0</v>
      </c>
      <c r="AS564" s="220" t="str">
        <f t="shared" si="435"/>
        <v/>
      </c>
      <c r="AT564" s="220"/>
      <c r="AU564" s="220">
        <f t="shared" si="424"/>
        <v>0</v>
      </c>
      <c r="AV564" s="220">
        <f t="shared" si="425"/>
        <v>-10</v>
      </c>
      <c r="AX564" s="219">
        <v>45091.0</v>
      </c>
      <c r="AY564" s="220" t="str">
        <f t="shared" si="436"/>
        <v/>
      </c>
      <c r="AZ564" s="220"/>
      <c r="BA564" s="220">
        <f t="shared" si="426"/>
        <v>0</v>
      </c>
      <c r="BB564" s="220">
        <f t="shared" si="427"/>
        <v>-10</v>
      </c>
    </row>
    <row r="565" ht="14.25" customHeight="1">
      <c r="A565" s="218"/>
      <c r="B565" s="219">
        <v>45092.0</v>
      </c>
      <c r="C565" s="220" t="str">
        <f t="shared" si="428"/>
        <v/>
      </c>
      <c r="D565" s="220"/>
      <c r="E565" s="220">
        <f t="shared" si="410"/>
        <v>0</v>
      </c>
      <c r="F565" s="220">
        <f t="shared" si="411"/>
        <v>-10</v>
      </c>
      <c r="H565" s="219">
        <v>45092.0</v>
      </c>
      <c r="I565" s="220" t="str">
        <f t="shared" si="429"/>
        <v/>
      </c>
      <c r="J565" s="220"/>
      <c r="K565" s="220">
        <f t="shared" si="412"/>
        <v>0</v>
      </c>
      <c r="L565" s="220">
        <f t="shared" si="413"/>
        <v>-10</v>
      </c>
      <c r="N565" s="219">
        <v>45092.0</v>
      </c>
      <c r="O565" s="220" t="str">
        <f t="shared" si="430"/>
        <v/>
      </c>
      <c r="P565" s="220"/>
      <c r="Q565" s="220">
        <f t="shared" si="414"/>
        <v>0</v>
      </c>
      <c r="R565" s="220">
        <f t="shared" si="415"/>
        <v>-10</v>
      </c>
      <c r="T565" s="219">
        <v>45092.0</v>
      </c>
      <c r="U565" s="220" t="str">
        <f t="shared" si="431"/>
        <v/>
      </c>
      <c r="V565" s="220"/>
      <c r="W565" s="220">
        <f t="shared" si="416"/>
        <v>0</v>
      </c>
      <c r="X565" s="220">
        <f t="shared" si="417"/>
        <v>-10</v>
      </c>
      <c r="Z565" s="219">
        <v>45092.0</v>
      </c>
      <c r="AA565" s="220" t="str">
        <f t="shared" si="432"/>
        <v/>
      </c>
      <c r="AB565" s="220"/>
      <c r="AC565" s="220">
        <f t="shared" si="418"/>
        <v>0</v>
      </c>
      <c r="AD565" s="220">
        <f t="shared" si="419"/>
        <v>-10</v>
      </c>
      <c r="AF565" s="219">
        <v>45092.0</v>
      </c>
      <c r="AG565" s="220" t="str">
        <f t="shared" si="433"/>
        <v/>
      </c>
      <c r="AH565" s="220"/>
      <c r="AI565" s="220">
        <f t="shared" si="420"/>
        <v>0</v>
      </c>
      <c r="AJ565" s="220">
        <f t="shared" si="421"/>
        <v>-10</v>
      </c>
      <c r="AL565" s="219">
        <v>45092.0</v>
      </c>
      <c r="AM565" s="220" t="str">
        <f t="shared" si="434"/>
        <v/>
      </c>
      <c r="AN565" s="220"/>
      <c r="AO565" s="220">
        <f t="shared" si="422"/>
        <v>0</v>
      </c>
      <c r="AP565" s="220">
        <f t="shared" si="423"/>
        <v>-10</v>
      </c>
      <c r="AR565" s="219">
        <v>45092.0</v>
      </c>
      <c r="AS565" s="220" t="str">
        <f t="shared" si="435"/>
        <v/>
      </c>
      <c r="AT565" s="220"/>
      <c r="AU565" s="220">
        <f t="shared" si="424"/>
        <v>0</v>
      </c>
      <c r="AV565" s="220">
        <f t="shared" si="425"/>
        <v>-10</v>
      </c>
      <c r="AX565" s="219">
        <v>45092.0</v>
      </c>
      <c r="AY565" s="220" t="str">
        <f t="shared" si="436"/>
        <v/>
      </c>
      <c r="AZ565" s="220"/>
      <c r="BA565" s="220">
        <f t="shared" si="426"/>
        <v>0</v>
      </c>
      <c r="BB565" s="220">
        <f t="shared" si="427"/>
        <v>-10</v>
      </c>
    </row>
    <row r="566" ht="14.25" customHeight="1">
      <c r="A566" s="218"/>
      <c r="B566" s="219">
        <v>45093.0</v>
      </c>
      <c r="C566" s="220" t="str">
        <f t="shared" si="428"/>
        <v/>
      </c>
      <c r="D566" s="220"/>
      <c r="E566" s="220">
        <f t="shared" si="410"/>
        <v>0</v>
      </c>
      <c r="F566" s="220">
        <f t="shared" si="411"/>
        <v>-10</v>
      </c>
      <c r="H566" s="219">
        <v>45093.0</v>
      </c>
      <c r="I566" s="220" t="str">
        <f t="shared" si="429"/>
        <v/>
      </c>
      <c r="J566" s="220"/>
      <c r="K566" s="220">
        <f t="shared" si="412"/>
        <v>0</v>
      </c>
      <c r="L566" s="220">
        <f t="shared" si="413"/>
        <v>-10</v>
      </c>
      <c r="N566" s="219">
        <v>45093.0</v>
      </c>
      <c r="O566" s="220" t="str">
        <f t="shared" si="430"/>
        <v/>
      </c>
      <c r="P566" s="220"/>
      <c r="Q566" s="220">
        <f t="shared" si="414"/>
        <v>0</v>
      </c>
      <c r="R566" s="220">
        <f t="shared" si="415"/>
        <v>-10</v>
      </c>
      <c r="T566" s="219">
        <v>45093.0</v>
      </c>
      <c r="U566" s="220" t="str">
        <f t="shared" si="431"/>
        <v/>
      </c>
      <c r="V566" s="220"/>
      <c r="W566" s="220">
        <f t="shared" si="416"/>
        <v>0</v>
      </c>
      <c r="X566" s="220">
        <f t="shared" si="417"/>
        <v>-10</v>
      </c>
      <c r="Z566" s="219">
        <v>45093.0</v>
      </c>
      <c r="AA566" s="220" t="str">
        <f t="shared" si="432"/>
        <v/>
      </c>
      <c r="AB566" s="220"/>
      <c r="AC566" s="220">
        <f t="shared" si="418"/>
        <v>0</v>
      </c>
      <c r="AD566" s="220">
        <f t="shared" si="419"/>
        <v>-10</v>
      </c>
      <c r="AF566" s="219">
        <v>45093.0</v>
      </c>
      <c r="AG566" s="220" t="str">
        <f t="shared" si="433"/>
        <v/>
      </c>
      <c r="AH566" s="220"/>
      <c r="AI566" s="220">
        <f t="shared" si="420"/>
        <v>0</v>
      </c>
      <c r="AJ566" s="220">
        <f t="shared" si="421"/>
        <v>-10</v>
      </c>
      <c r="AL566" s="219">
        <v>45093.0</v>
      </c>
      <c r="AM566" s="220" t="str">
        <f t="shared" si="434"/>
        <v/>
      </c>
      <c r="AN566" s="220"/>
      <c r="AO566" s="220">
        <f t="shared" si="422"/>
        <v>0</v>
      </c>
      <c r="AP566" s="220">
        <f t="shared" si="423"/>
        <v>-10</v>
      </c>
      <c r="AR566" s="219">
        <v>45093.0</v>
      </c>
      <c r="AS566" s="220" t="str">
        <f t="shared" si="435"/>
        <v/>
      </c>
      <c r="AT566" s="220"/>
      <c r="AU566" s="220">
        <f t="shared" si="424"/>
        <v>0</v>
      </c>
      <c r="AV566" s="220">
        <f t="shared" si="425"/>
        <v>-10</v>
      </c>
      <c r="AX566" s="219">
        <v>45093.0</v>
      </c>
      <c r="AY566" s="220" t="str">
        <f t="shared" si="436"/>
        <v/>
      </c>
      <c r="AZ566" s="220"/>
      <c r="BA566" s="220">
        <f t="shared" si="426"/>
        <v>0</v>
      </c>
      <c r="BB566" s="220">
        <f t="shared" si="427"/>
        <v>-10</v>
      </c>
    </row>
    <row r="567" ht="14.25" customHeight="1">
      <c r="A567" s="218"/>
      <c r="B567" s="219">
        <v>45094.0</v>
      </c>
      <c r="C567" s="220" t="str">
        <f t="shared" si="428"/>
        <v/>
      </c>
      <c r="D567" s="220"/>
      <c r="E567" s="220">
        <f t="shared" si="410"/>
        <v>0</v>
      </c>
      <c r="F567" s="220">
        <f t="shared" si="411"/>
        <v>-10</v>
      </c>
      <c r="G567" s="221"/>
      <c r="H567" s="219">
        <v>45094.0</v>
      </c>
      <c r="I567" s="220" t="str">
        <f t="shared" si="429"/>
        <v/>
      </c>
      <c r="J567" s="220"/>
      <c r="K567" s="220">
        <f t="shared" si="412"/>
        <v>0</v>
      </c>
      <c r="L567" s="220">
        <f t="shared" si="413"/>
        <v>-10</v>
      </c>
      <c r="M567" s="221"/>
      <c r="N567" s="219">
        <v>45094.0</v>
      </c>
      <c r="O567" s="220" t="str">
        <f t="shared" si="430"/>
        <v/>
      </c>
      <c r="P567" s="220"/>
      <c r="Q567" s="220">
        <f t="shared" si="414"/>
        <v>0</v>
      </c>
      <c r="R567" s="220">
        <f t="shared" si="415"/>
        <v>-10</v>
      </c>
      <c r="S567" s="221"/>
      <c r="T567" s="219">
        <v>45094.0</v>
      </c>
      <c r="U567" s="220" t="str">
        <f t="shared" si="431"/>
        <v/>
      </c>
      <c r="V567" s="220"/>
      <c r="W567" s="220">
        <f t="shared" si="416"/>
        <v>0</v>
      </c>
      <c r="X567" s="220">
        <f t="shared" si="417"/>
        <v>-10</v>
      </c>
      <c r="Y567" s="221"/>
      <c r="Z567" s="219">
        <v>45094.0</v>
      </c>
      <c r="AA567" s="220" t="str">
        <f t="shared" si="432"/>
        <v/>
      </c>
      <c r="AB567" s="220"/>
      <c r="AC567" s="220">
        <f t="shared" si="418"/>
        <v>0</v>
      </c>
      <c r="AD567" s="220">
        <f t="shared" si="419"/>
        <v>-10</v>
      </c>
      <c r="AE567" s="221"/>
      <c r="AF567" s="219">
        <v>45094.0</v>
      </c>
      <c r="AG567" s="220" t="str">
        <f t="shared" si="433"/>
        <v/>
      </c>
      <c r="AH567" s="220"/>
      <c r="AI567" s="220">
        <f t="shared" si="420"/>
        <v>0</v>
      </c>
      <c r="AJ567" s="220">
        <f t="shared" si="421"/>
        <v>-10</v>
      </c>
      <c r="AK567" s="221"/>
      <c r="AL567" s="219">
        <v>45094.0</v>
      </c>
      <c r="AM567" s="220" t="str">
        <f t="shared" si="434"/>
        <v/>
      </c>
      <c r="AN567" s="220"/>
      <c r="AO567" s="220">
        <f t="shared" si="422"/>
        <v>0</v>
      </c>
      <c r="AP567" s="220">
        <f t="shared" si="423"/>
        <v>-10</v>
      </c>
      <c r="AQ567" s="221"/>
      <c r="AR567" s="219">
        <v>45094.0</v>
      </c>
      <c r="AS567" s="220" t="str">
        <f t="shared" si="435"/>
        <v/>
      </c>
      <c r="AT567" s="220"/>
      <c r="AU567" s="220">
        <f t="shared" si="424"/>
        <v>0</v>
      </c>
      <c r="AV567" s="220">
        <f t="shared" si="425"/>
        <v>-10</v>
      </c>
      <c r="AW567" s="221"/>
      <c r="AX567" s="219">
        <v>45094.0</v>
      </c>
      <c r="AY567" s="220" t="str">
        <f t="shared" si="436"/>
        <v/>
      </c>
      <c r="AZ567" s="220"/>
      <c r="BA567" s="220">
        <f t="shared" si="426"/>
        <v>0</v>
      </c>
      <c r="BB567" s="220">
        <f t="shared" si="427"/>
        <v>-10</v>
      </c>
    </row>
    <row r="568" ht="14.25" customHeight="1">
      <c r="A568" s="218"/>
      <c r="B568" s="219">
        <v>45095.0</v>
      </c>
      <c r="C568" s="220" t="str">
        <f t="shared" si="428"/>
        <v/>
      </c>
      <c r="D568" s="220"/>
      <c r="E568" s="220">
        <f t="shared" si="410"/>
        <v>0</v>
      </c>
      <c r="F568" s="220">
        <f t="shared" si="411"/>
        <v>-10</v>
      </c>
      <c r="G568" s="221"/>
      <c r="H568" s="219">
        <v>45095.0</v>
      </c>
      <c r="I568" s="220" t="str">
        <f t="shared" si="429"/>
        <v/>
      </c>
      <c r="J568" s="220"/>
      <c r="K568" s="220">
        <f t="shared" si="412"/>
        <v>0</v>
      </c>
      <c r="L568" s="220">
        <f t="shared" si="413"/>
        <v>-10</v>
      </c>
      <c r="M568" s="221"/>
      <c r="N568" s="219">
        <v>45095.0</v>
      </c>
      <c r="O568" s="220" t="str">
        <f t="shared" si="430"/>
        <v/>
      </c>
      <c r="P568" s="220"/>
      <c r="Q568" s="220">
        <f t="shared" si="414"/>
        <v>0</v>
      </c>
      <c r="R568" s="220">
        <f t="shared" si="415"/>
        <v>-10</v>
      </c>
      <c r="S568" s="221"/>
      <c r="T568" s="219">
        <v>45095.0</v>
      </c>
      <c r="U568" s="220" t="str">
        <f t="shared" si="431"/>
        <v/>
      </c>
      <c r="V568" s="220"/>
      <c r="W568" s="220">
        <f t="shared" si="416"/>
        <v>0</v>
      </c>
      <c r="X568" s="220">
        <f t="shared" si="417"/>
        <v>-10</v>
      </c>
      <c r="Y568" s="221"/>
      <c r="Z568" s="219">
        <v>45095.0</v>
      </c>
      <c r="AA568" s="220" t="str">
        <f t="shared" si="432"/>
        <v/>
      </c>
      <c r="AB568" s="220"/>
      <c r="AC568" s="220">
        <f t="shared" si="418"/>
        <v>0</v>
      </c>
      <c r="AD568" s="220">
        <f t="shared" si="419"/>
        <v>-10</v>
      </c>
      <c r="AE568" s="221"/>
      <c r="AF568" s="219">
        <v>45095.0</v>
      </c>
      <c r="AG568" s="220" t="str">
        <f t="shared" si="433"/>
        <v/>
      </c>
      <c r="AH568" s="220"/>
      <c r="AI568" s="220">
        <f t="shared" si="420"/>
        <v>0</v>
      </c>
      <c r="AJ568" s="220">
        <f t="shared" si="421"/>
        <v>-10</v>
      </c>
      <c r="AK568" s="221"/>
      <c r="AL568" s="219">
        <v>45095.0</v>
      </c>
      <c r="AM568" s="220" t="str">
        <f t="shared" si="434"/>
        <v/>
      </c>
      <c r="AN568" s="220"/>
      <c r="AO568" s="220">
        <f t="shared" si="422"/>
        <v>0</v>
      </c>
      <c r="AP568" s="220">
        <f t="shared" si="423"/>
        <v>-10</v>
      </c>
      <c r="AQ568" s="221"/>
      <c r="AR568" s="219">
        <v>45095.0</v>
      </c>
      <c r="AS568" s="220" t="str">
        <f t="shared" si="435"/>
        <v/>
      </c>
      <c r="AT568" s="220"/>
      <c r="AU568" s="220">
        <f t="shared" si="424"/>
        <v>0</v>
      </c>
      <c r="AV568" s="220">
        <f t="shared" si="425"/>
        <v>-10</v>
      </c>
      <c r="AW568" s="221"/>
      <c r="AX568" s="219">
        <v>45095.0</v>
      </c>
      <c r="AY568" s="220" t="str">
        <f t="shared" si="436"/>
        <v/>
      </c>
      <c r="AZ568" s="220"/>
      <c r="BA568" s="220">
        <f t="shared" si="426"/>
        <v>0</v>
      </c>
      <c r="BB568" s="220">
        <f t="shared" si="427"/>
        <v>-10</v>
      </c>
    </row>
    <row r="569" ht="14.25" customHeight="1">
      <c r="A569" s="218"/>
      <c r="B569" s="219">
        <v>45096.0</v>
      </c>
      <c r="C569" s="220" t="str">
        <f t="shared" si="428"/>
        <v/>
      </c>
      <c r="D569" s="220"/>
      <c r="E569" s="220">
        <f t="shared" si="410"/>
        <v>0</v>
      </c>
      <c r="F569" s="220">
        <f t="shared" si="411"/>
        <v>-10</v>
      </c>
      <c r="H569" s="219">
        <v>45096.0</v>
      </c>
      <c r="I569" s="220" t="str">
        <f t="shared" si="429"/>
        <v/>
      </c>
      <c r="J569" s="220"/>
      <c r="K569" s="220">
        <f t="shared" si="412"/>
        <v>0</v>
      </c>
      <c r="L569" s="220">
        <f t="shared" si="413"/>
        <v>-10</v>
      </c>
      <c r="N569" s="219">
        <v>45096.0</v>
      </c>
      <c r="O569" s="220" t="str">
        <f t="shared" si="430"/>
        <v/>
      </c>
      <c r="P569" s="220"/>
      <c r="Q569" s="220">
        <f t="shared" si="414"/>
        <v>0</v>
      </c>
      <c r="R569" s="220">
        <f t="shared" si="415"/>
        <v>-10</v>
      </c>
      <c r="T569" s="219">
        <v>45096.0</v>
      </c>
      <c r="U569" s="220" t="str">
        <f t="shared" si="431"/>
        <v/>
      </c>
      <c r="V569" s="220"/>
      <c r="W569" s="220">
        <f t="shared" si="416"/>
        <v>0</v>
      </c>
      <c r="X569" s="220">
        <f t="shared" si="417"/>
        <v>-10</v>
      </c>
      <c r="Z569" s="219">
        <v>45096.0</v>
      </c>
      <c r="AA569" s="220" t="str">
        <f t="shared" si="432"/>
        <v/>
      </c>
      <c r="AB569" s="220"/>
      <c r="AC569" s="220">
        <f t="shared" si="418"/>
        <v>0</v>
      </c>
      <c r="AD569" s="220">
        <f t="shared" si="419"/>
        <v>-10</v>
      </c>
      <c r="AF569" s="219">
        <v>45096.0</v>
      </c>
      <c r="AG569" s="220" t="str">
        <f t="shared" si="433"/>
        <v/>
      </c>
      <c r="AH569" s="220"/>
      <c r="AI569" s="220">
        <f t="shared" si="420"/>
        <v>0</v>
      </c>
      <c r="AJ569" s="220">
        <f t="shared" si="421"/>
        <v>-10</v>
      </c>
      <c r="AL569" s="219">
        <v>45096.0</v>
      </c>
      <c r="AM569" s="220" t="str">
        <f t="shared" si="434"/>
        <v/>
      </c>
      <c r="AN569" s="220"/>
      <c r="AO569" s="220">
        <f t="shared" si="422"/>
        <v>0</v>
      </c>
      <c r="AP569" s="220">
        <f t="shared" si="423"/>
        <v>-10</v>
      </c>
      <c r="AR569" s="219">
        <v>45096.0</v>
      </c>
      <c r="AS569" s="220" t="str">
        <f t="shared" si="435"/>
        <v/>
      </c>
      <c r="AT569" s="220"/>
      <c r="AU569" s="220">
        <f t="shared" si="424"/>
        <v>0</v>
      </c>
      <c r="AV569" s="220">
        <f t="shared" si="425"/>
        <v>-10</v>
      </c>
      <c r="AX569" s="219">
        <v>45096.0</v>
      </c>
      <c r="AY569" s="220" t="str">
        <f t="shared" si="436"/>
        <v/>
      </c>
      <c r="AZ569" s="220"/>
      <c r="BA569" s="220">
        <f t="shared" si="426"/>
        <v>0</v>
      </c>
      <c r="BB569" s="220">
        <f t="shared" si="427"/>
        <v>-10</v>
      </c>
    </row>
    <row r="570" ht="14.25" customHeight="1">
      <c r="A570" s="218"/>
      <c r="B570" s="219">
        <v>45097.0</v>
      </c>
      <c r="C570" s="220" t="str">
        <f t="shared" si="428"/>
        <v/>
      </c>
      <c r="D570" s="220"/>
      <c r="E570" s="220">
        <f t="shared" si="410"/>
        <v>0</v>
      </c>
      <c r="F570" s="220">
        <f t="shared" si="411"/>
        <v>-10</v>
      </c>
      <c r="H570" s="219">
        <v>45097.0</v>
      </c>
      <c r="I570" s="220" t="str">
        <f t="shared" si="429"/>
        <v/>
      </c>
      <c r="J570" s="220"/>
      <c r="K570" s="220">
        <f t="shared" si="412"/>
        <v>0</v>
      </c>
      <c r="L570" s="220">
        <f t="shared" si="413"/>
        <v>-10</v>
      </c>
      <c r="N570" s="219">
        <v>45097.0</v>
      </c>
      <c r="O570" s="220" t="str">
        <f t="shared" si="430"/>
        <v/>
      </c>
      <c r="P570" s="220"/>
      <c r="Q570" s="220">
        <f t="shared" si="414"/>
        <v>0</v>
      </c>
      <c r="R570" s="220">
        <f t="shared" si="415"/>
        <v>-10</v>
      </c>
      <c r="T570" s="219">
        <v>45097.0</v>
      </c>
      <c r="U570" s="220" t="str">
        <f t="shared" si="431"/>
        <v/>
      </c>
      <c r="V570" s="220"/>
      <c r="W570" s="220">
        <f t="shared" si="416"/>
        <v>0</v>
      </c>
      <c r="X570" s="220">
        <f t="shared" si="417"/>
        <v>-10</v>
      </c>
      <c r="Z570" s="219">
        <v>45097.0</v>
      </c>
      <c r="AA570" s="220" t="str">
        <f t="shared" si="432"/>
        <v/>
      </c>
      <c r="AB570" s="220"/>
      <c r="AC570" s="220">
        <f t="shared" si="418"/>
        <v>0</v>
      </c>
      <c r="AD570" s="220">
        <f t="shared" si="419"/>
        <v>-10</v>
      </c>
      <c r="AF570" s="219">
        <v>45097.0</v>
      </c>
      <c r="AG570" s="220" t="str">
        <f t="shared" si="433"/>
        <v/>
      </c>
      <c r="AH570" s="220"/>
      <c r="AI570" s="220">
        <f t="shared" si="420"/>
        <v>0</v>
      </c>
      <c r="AJ570" s="220">
        <f t="shared" si="421"/>
        <v>-10</v>
      </c>
      <c r="AL570" s="219">
        <v>45097.0</v>
      </c>
      <c r="AM570" s="220" t="str">
        <f t="shared" si="434"/>
        <v/>
      </c>
      <c r="AN570" s="220"/>
      <c r="AO570" s="220">
        <f t="shared" si="422"/>
        <v>0</v>
      </c>
      <c r="AP570" s="220">
        <f t="shared" si="423"/>
        <v>-10</v>
      </c>
      <c r="AR570" s="219">
        <v>45097.0</v>
      </c>
      <c r="AS570" s="220" t="str">
        <f t="shared" si="435"/>
        <v/>
      </c>
      <c r="AT570" s="220"/>
      <c r="AU570" s="220">
        <f t="shared" si="424"/>
        <v>0</v>
      </c>
      <c r="AV570" s="220">
        <f t="shared" si="425"/>
        <v>-10</v>
      </c>
      <c r="AX570" s="219">
        <v>45097.0</v>
      </c>
      <c r="AY570" s="220" t="str">
        <f t="shared" si="436"/>
        <v/>
      </c>
      <c r="AZ570" s="220"/>
      <c r="BA570" s="220">
        <f t="shared" si="426"/>
        <v>0</v>
      </c>
      <c r="BB570" s="220">
        <f t="shared" si="427"/>
        <v>-10</v>
      </c>
    </row>
    <row r="571" ht="14.25" customHeight="1">
      <c r="A571" s="218"/>
      <c r="B571" s="219">
        <v>45098.0</v>
      </c>
      <c r="C571" s="220" t="str">
        <f t="shared" si="428"/>
        <v/>
      </c>
      <c r="D571" s="220"/>
      <c r="E571" s="220">
        <f t="shared" si="410"/>
        <v>0</v>
      </c>
      <c r="F571" s="220">
        <f t="shared" si="411"/>
        <v>-10</v>
      </c>
      <c r="H571" s="219">
        <v>45098.0</v>
      </c>
      <c r="I571" s="220" t="str">
        <f t="shared" si="429"/>
        <v/>
      </c>
      <c r="J571" s="220"/>
      <c r="K571" s="220">
        <f t="shared" si="412"/>
        <v>0</v>
      </c>
      <c r="L571" s="220">
        <f t="shared" si="413"/>
        <v>-10</v>
      </c>
      <c r="N571" s="219">
        <v>45098.0</v>
      </c>
      <c r="O571" s="220" t="str">
        <f t="shared" si="430"/>
        <v/>
      </c>
      <c r="P571" s="220"/>
      <c r="Q571" s="220">
        <f t="shared" si="414"/>
        <v>0</v>
      </c>
      <c r="R571" s="220">
        <f t="shared" si="415"/>
        <v>-10</v>
      </c>
      <c r="T571" s="219">
        <v>45098.0</v>
      </c>
      <c r="U571" s="220" t="str">
        <f t="shared" si="431"/>
        <v/>
      </c>
      <c r="V571" s="220"/>
      <c r="W571" s="220">
        <f t="shared" si="416"/>
        <v>0</v>
      </c>
      <c r="X571" s="220">
        <f t="shared" si="417"/>
        <v>-10</v>
      </c>
      <c r="Z571" s="219">
        <v>45098.0</v>
      </c>
      <c r="AA571" s="220" t="str">
        <f t="shared" si="432"/>
        <v/>
      </c>
      <c r="AB571" s="220"/>
      <c r="AC571" s="220">
        <f t="shared" si="418"/>
        <v>0</v>
      </c>
      <c r="AD571" s="220">
        <f t="shared" si="419"/>
        <v>-10</v>
      </c>
      <c r="AF571" s="219">
        <v>45098.0</v>
      </c>
      <c r="AG571" s="220" t="str">
        <f t="shared" si="433"/>
        <v/>
      </c>
      <c r="AH571" s="220"/>
      <c r="AI571" s="220">
        <f t="shared" si="420"/>
        <v>0</v>
      </c>
      <c r="AJ571" s="220">
        <f t="shared" si="421"/>
        <v>-10</v>
      </c>
      <c r="AL571" s="219">
        <v>45098.0</v>
      </c>
      <c r="AM571" s="220" t="str">
        <f t="shared" si="434"/>
        <v/>
      </c>
      <c r="AN571" s="220"/>
      <c r="AO571" s="220">
        <f t="shared" si="422"/>
        <v>0</v>
      </c>
      <c r="AP571" s="220">
        <f t="shared" si="423"/>
        <v>-10</v>
      </c>
      <c r="AR571" s="219">
        <v>45098.0</v>
      </c>
      <c r="AS571" s="220" t="str">
        <f t="shared" si="435"/>
        <v/>
      </c>
      <c r="AT571" s="220"/>
      <c r="AU571" s="220">
        <f t="shared" si="424"/>
        <v>0</v>
      </c>
      <c r="AV571" s="220">
        <f t="shared" si="425"/>
        <v>-10</v>
      </c>
      <c r="AX571" s="219">
        <v>45098.0</v>
      </c>
      <c r="AY571" s="220" t="str">
        <f t="shared" si="436"/>
        <v/>
      </c>
      <c r="AZ571" s="220"/>
      <c r="BA571" s="220">
        <f t="shared" si="426"/>
        <v>0</v>
      </c>
      <c r="BB571" s="220">
        <f t="shared" si="427"/>
        <v>-10</v>
      </c>
    </row>
    <row r="572" ht="14.25" customHeight="1">
      <c r="A572" s="218"/>
      <c r="B572" s="219">
        <v>45099.0</v>
      </c>
      <c r="C572" s="220" t="str">
        <f t="shared" si="428"/>
        <v/>
      </c>
      <c r="D572" s="220"/>
      <c r="E572" s="220">
        <f t="shared" si="410"/>
        <v>0</v>
      </c>
      <c r="F572" s="220">
        <f t="shared" si="411"/>
        <v>-10</v>
      </c>
      <c r="H572" s="219">
        <v>45099.0</v>
      </c>
      <c r="I572" s="220" t="str">
        <f t="shared" si="429"/>
        <v/>
      </c>
      <c r="J572" s="220"/>
      <c r="K572" s="220">
        <f t="shared" si="412"/>
        <v>0</v>
      </c>
      <c r="L572" s="220">
        <f t="shared" si="413"/>
        <v>-10</v>
      </c>
      <c r="N572" s="219">
        <v>45099.0</v>
      </c>
      <c r="O572" s="220" t="str">
        <f t="shared" si="430"/>
        <v/>
      </c>
      <c r="P572" s="220"/>
      <c r="Q572" s="220">
        <f t="shared" si="414"/>
        <v>0</v>
      </c>
      <c r="R572" s="220">
        <f t="shared" si="415"/>
        <v>-10</v>
      </c>
      <c r="T572" s="219">
        <v>45099.0</v>
      </c>
      <c r="U572" s="220" t="str">
        <f t="shared" si="431"/>
        <v/>
      </c>
      <c r="V572" s="220"/>
      <c r="W572" s="220">
        <f t="shared" si="416"/>
        <v>0</v>
      </c>
      <c r="X572" s="220">
        <f t="shared" si="417"/>
        <v>-10</v>
      </c>
      <c r="Z572" s="219">
        <v>45099.0</v>
      </c>
      <c r="AA572" s="220" t="str">
        <f t="shared" si="432"/>
        <v/>
      </c>
      <c r="AB572" s="220"/>
      <c r="AC572" s="220">
        <f t="shared" si="418"/>
        <v>0</v>
      </c>
      <c r="AD572" s="220">
        <f t="shared" si="419"/>
        <v>-10</v>
      </c>
      <c r="AF572" s="219">
        <v>45099.0</v>
      </c>
      <c r="AG572" s="220" t="str">
        <f t="shared" si="433"/>
        <v/>
      </c>
      <c r="AH572" s="220"/>
      <c r="AI572" s="220">
        <f t="shared" si="420"/>
        <v>0</v>
      </c>
      <c r="AJ572" s="220">
        <f t="shared" si="421"/>
        <v>-10</v>
      </c>
      <c r="AL572" s="219">
        <v>45099.0</v>
      </c>
      <c r="AM572" s="220" t="str">
        <f t="shared" si="434"/>
        <v/>
      </c>
      <c r="AN572" s="220"/>
      <c r="AO572" s="220">
        <f t="shared" si="422"/>
        <v>0</v>
      </c>
      <c r="AP572" s="220">
        <f t="shared" si="423"/>
        <v>-10</v>
      </c>
      <c r="AR572" s="219">
        <v>45099.0</v>
      </c>
      <c r="AS572" s="220" t="str">
        <f t="shared" si="435"/>
        <v/>
      </c>
      <c r="AT572" s="220"/>
      <c r="AU572" s="220">
        <f t="shared" si="424"/>
        <v>0</v>
      </c>
      <c r="AV572" s="220">
        <f t="shared" si="425"/>
        <v>-10</v>
      </c>
      <c r="AX572" s="219">
        <v>45099.0</v>
      </c>
      <c r="AY572" s="220" t="str">
        <f t="shared" si="436"/>
        <v/>
      </c>
      <c r="AZ572" s="220"/>
      <c r="BA572" s="220">
        <f t="shared" si="426"/>
        <v>0</v>
      </c>
      <c r="BB572" s="220">
        <f t="shared" si="427"/>
        <v>-10</v>
      </c>
    </row>
    <row r="573" ht="14.25" customHeight="1">
      <c r="A573" s="218"/>
      <c r="B573" s="219">
        <v>45100.0</v>
      </c>
      <c r="C573" s="220" t="str">
        <f t="shared" si="428"/>
        <v/>
      </c>
      <c r="D573" s="220"/>
      <c r="E573" s="220">
        <f t="shared" si="410"/>
        <v>0</v>
      </c>
      <c r="F573" s="220">
        <f t="shared" si="411"/>
        <v>-10</v>
      </c>
      <c r="H573" s="219">
        <v>45100.0</v>
      </c>
      <c r="I573" s="220" t="str">
        <f t="shared" si="429"/>
        <v/>
      </c>
      <c r="J573" s="220"/>
      <c r="K573" s="220">
        <f t="shared" si="412"/>
        <v>0</v>
      </c>
      <c r="L573" s="220">
        <f t="shared" si="413"/>
        <v>-10</v>
      </c>
      <c r="N573" s="219">
        <v>45100.0</v>
      </c>
      <c r="O573" s="220" t="str">
        <f t="shared" si="430"/>
        <v/>
      </c>
      <c r="P573" s="220"/>
      <c r="Q573" s="220">
        <f t="shared" si="414"/>
        <v>0</v>
      </c>
      <c r="R573" s="220">
        <f t="shared" si="415"/>
        <v>-10</v>
      </c>
      <c r="T573" s="219">
        <v>45100.0</v>
      </c>
      <c r="U573" s="220" t="str">
        <f t="shared" si="431"/>
        <v/>
      </c>
      <c r="V573" s="220"/>
      <c r="W573" s="220">
        <f t="shared" si="416"/>
        <v>0</v>
      </c>
      <c r="X573" s="220">
        <f t="shared" si="417"/>
        <v>-10</v>
      </c>
      <c r="Z573" s="219">
        <v>45100.0</v>
      </c>
      <c r="AA573" s="220" t="str">
        <f t="shared" si="432"/>
        <v/>
      </c>
      <c r="AB573" s="220"/>
      <c r="AC573" s="220">
        <f t="shared" si="418"/>
        <v>0</v>
      </c>
      <c r="AD573" s="220">
        <f t="shared" si="419"/>
        <v>-10</v>
      </c>
      <c r="AF573" s="219">
        <v>45100.0</v>
      </c>
      <c r="AG573" s="220" t="str">
        <f t="shared" si="433"/>
        <v/>
      </c>
      <c r="AH573" s="220"/>
      <c r="AI573" s="220">
        <f t="shared" si="420"/>
        <v>0</v>
      </c>
      <c r="AJ573" s="220">
        <f t="shared" si="421"/>
        <v>-10</v>
      </c>
      <c r="AL573" s="219">
        <v>45100.0</v>
      </c>
      <c r="AM573" s="220" t="str">
        <f t="shared" si="434"/>
        <v/>
      </c>
      <c r="AN573" s="220"/>
      <c r="AO573" s="220">
        <f t="shared" si="422"/>
        <v>0</v>
      </c>
      <c r="AP573" s="220">
        <f t="shared" si="423"/>
        <v>-10</v>
      </c>
      <c r="AR573" s="219">
        <v>45100.0</v>
      </c>
      <c r="AS573" s="220" t="str">
        <f t="shared" si="435"/>
        <v/>
      </c>
      <c r="AT573" s="220"/>
      <c r="AU573" s="220">
        <f t="shared" si="424"/>
        <v>0</v>
      </c>
      <c r="AV573" s="220">
        <f t="shared" si="425"/>
        <v>-10</v>
      </c>
      <c r="AX573" s="219">
        <v>45100.0</v>
      </c>
      <c r="AY573" s="220" t="str">
        <f t="shared" si="436"/>
        <v/>
      </c>
      <c r="AZ573" s="220"/>
      <c r="BA573" s="220">
        <f t="shared" si="426"/>
        <v>0</v>
      </c>
      <c r="BB573" s="220">
        <f t="shared" si="427"/>
        <v>-10</v>
      </c>
    </row>
    <row r="574" ht="14.25" customHeight="1">
      <c r="A574" s="218"/>
      <c r="B574" s="219">
        <v>45101.0</v>
      </c>
      <c r="C574" s="220" t="str">
        <f t="shared" si="428"/>
        <v/>
      </c>
      <c r="D574" s="220"/>
      <c r="E574" s="220">
        <f t="shared" si="410"/>
        <v>0</v>
      </c>
      <c r="F574" s="220">
        <f t="shared" si="411"/>
        <v>-10</v>
      </c>
      <c r="G574" s="221"/>
      <c r="H574" s="219">
        <v>45101.0</v>
      </c>
      <c r="I574" s="220" t="str">
        <f t="shared" si="429"/>
        <v/>
      </c>
      <c r="J574" s="220"/>
      <c r="K574" s="220">
        <f t="shared" si="412"/>
        <v>0</v>
      </c>
      <c r="L574" s="220">
        <f t="shared" si="413"/>
        <v>-10</v>
      </c>
      <c r="M574" s="221"/>
      <c r="N574" s="219">
        <v>45101.0</v>
      </c>
      <c r="O574" s="220" t="str">
        <f t="shared" si="430"/>
        <v/>
      </c>
      <c r="P574" s="220"/>
      <c r="Q574" s="220">
        <f t="shared" si="414"/>
        <v>0</v>
      </c>
      <c r="R574" s="220">
        <f t="shared" si="415"/>
        <v>-10</v>
      </c>
      <c r="S574" s="221"/>
      <c r="T574" s="219">
        <v>45101.0</v>
      </c>
      <c r="U574" s="220" t="str">
        <f t="shared" si="431"/>
        <v/>
      </c>
      <c r="V574" s="220"/>
      <c r="W574" s="220">
        <f t="shared" si="416"/>
        <v>0</v>
      </c>
      <c r="X574" s="220">
        <f t="shared" si="417"/>
        <v>-10</v>
      </c>
      <c r="Y574" s="221"/>
      <c r="Z574" s="219">
        <v>45101.0</v>
      </c>
      <c r="AA574" s="220" t="str">
        <f t="shared" si="432"/>
        <v/>
      </c>
      <c r="AB574" s="220"/>
      <c r="AC574" s="220">
        <f t="shared" si="418"/>
        <v>0</v>
      </c>
      <c r="AD574" s="220">
        <f t="shared" si="419"/>
        <v>-10</v>
      </c>
      <c r="AE574" s="221"/>
      <c r="AF574" s="219">
        <v>45101.0</v>
      </c>
      <c r="AG574" s="220" t="str">
        <f t="shared" si="433"/>
        <v/>
      </c>
      <c r="AH574" s="220"/>
      <c r="AI574" s="220">
        <f t="shared" si="420"/>
        <v>0</v>
      </c>
      <c r="AJ574" s="220">
        <f t="shared" si="421"/>
        <v>-10</v>
      </c>
      <c r="AK574" s="221"/>
      <c r="AL574" s="219">
        <v>45101.0</v>
      </c>
      <c r="AM574" s="220" t="str">
        <f t="shared" si="434"/>
        <v/>
      </c>
      <c r="AN574" s="220"/>
      <c r="AO574" s="220">
        <f t="shared" si="422"/>
        <v>0</v>
      </c>
      <c r="AP574" s="220">
        <f t="shared" si="423"/>
        <v>-10</v>
      </c>
      <c r="AQ574" s="221"/>
      <c r="AR574" s="219">
        <v>45101.0</v>
      </c>
      <c r="AS574" s="220" t="str">
        <f t="shared" si="435"/>
        <v/>
      </c>
      <c r="AT574" s="220"/>
      <c r="AU574" s="220">
        <f t="shared" si="424"/>
        <v>0</v>
      </c>
      <c r="AV574" s="220">
        <f t="shared" si="425"/>
        <v>-10</v>
      </c>
      <c r="AW574" s="221"/>
      <c r="AX574" s="219">
        <v>45101.0</v>
      </c>
      <c r="AY574" s="220" t="str">
        <f t="shared" si="436"/>
        <v/>
      </c>
      <c r="AZ574" s="220"/>
      <c r="BA574" s="220">
        <f t="shared" si="426"/>
        <v>0</v>
      </c>
      <c r="BB574" s="220">
        <f t="shared" si="427"/>
        <v>-10</v>
      </c>
    </row>
    <row r="575" ht="14.25" customHeight="1">
      <c r="A575" s="218"/>
      <c r="B575" s="219">
        <v>45102.0</v>
      </c>
      <c r="C575" s="220" t="str">
        <f t="shared" si="428"/>
        <v/>
      </c>
      <c r="D575" s="220"/>
      <c r="E575" s="220">
        <f t="shared" si="410"/>
        <v>0</v>
      </c>
      <c r="F575" s="220">
        <f t="shared" si="411"/>
        <v>-10</v>
      </c>
      <c r="G575" s="221"/>
      <c r="H575" s="219">
        <v>45102.0</v>
      </c>
      <c r="I575" s="220" t="str">
        <f t="shared" si="429"/>
        <v/>
      </c>
      <c r="J575" s="220"/>
      <c r="K575" s="220">
        <f t="shared" si="412"/>
        <v>0</v>
      </c>
      <c r="L575" s="220">
        <f t="shared" si="413"/>
        <v>-10</v>
      </c>
      <c r="M575" s="221"/>
      <c r="N575" s="219">
        <v>45102.0</v>
      </c>
      <c r="O575" s="220" t="str">
        <f t="shared" si="430"/>
        <v/>
      </c>
      <c r="P575" s="220"/>
      <c r="Q575" s="220">
        <f t="shared" si="414"/>
        <v>0</v>
      </c>
      <c r="R575" s="220">
        <f t="shared" si="415"/>
        <v>-10</v>
      </c>
      <c r="S575" s="221"/>
      <c r="T575" s="219">
        <v>45102.0</v>
      </c>
      <c r="U575" s="220" t="str">
        <f t="shared" si="431"/>
        <v/>
      </c>
      <c r="V575" s="220"/>
      <c r="W575" s="220">
        <f t="shared" si="416"/>
        <v>0</v>
      </c>
      <c r="X575" s="220">
        <f t="shared" si="417"/>
        <v>-10</v>
      </c>
      <c r="Y575" s="221"/>
      <c r="Z575" s="219">
        <v>45102.0</v>
      </c>
      <c r="AA575" s="220" t="str">
        <f t="shared" si="432"/>
        <v/>
      </c>
      <c r="AB575" s="220"/>
      <c r="AC575" s="220">
        <f t="shared" si="418"/>
        <v>0</v>
      </c>
      <c r="AD575" s="220">
        <f t="shared" si="419"/>
        <v>-10</v>
      </c>
      <c r="AE575" s="221"/>
      <c r="AF575" s="219">
        <v>45102.0</v>
      </c>
      <c r="AG575" s="220" t="str">
        <f t="shared" si="433"/>
        <v/>
      </c>
      <c r="AH575" s="220"/>
      <c r="AI575" s="220">
        <f t="shared" si="420"/>
        <v>0</v>
      </c>
      <c r="AJ575" s="220">
        <f t="shared" si="421"/>
        <v>-10</v>
      </c>
      <c r="AK575" s="221"/>
      <c r="AL575" s="219">
        <v>45102.0</v>
      </c>
      <c r="AM575" s="220" t="str">
        <f t="shared" si="434"/>
        <v/>
      </c>
      <c r="AN575" s="220"/>
      <c r="AO575" s="220">
        <f t="shared" si="422"/>
        <v>0</v>
      </c>
      <c r="AP575" s="220">
        <f t="shared" si="423"/>
        <v>-10</v>
      </c>
      <c r="AQ575" s="221"/>
      <c r="AR575" s="219">
        <v>45102.0</v>
      </c>
      <c r="AS575" s="220" t="str">
        <f t="shared" si="435"/>
        <v/>
      </c>
      <c r="AT575" s="220"/>
      <c r="AU575" s="220">
        <f t="shared" si="424"/>
        <v>0</v>
      </c>
      <c r="AV575" s="220">
        <f t="shared" si="425"/>
        <v>-10</v>
      </c>
      <c r="AW575" s="221"/>
      <c r="AX575" s="219">
        <v>45102.0</v>
      </c>
      <c r="AY575" s="220" t="str">
        <f t="shared" si="436"/>
        <v/>
      </c>
      <c r="AZ575" s="220"/>
      <c r="BA575" s="220">
        <f t="shared" si="426"/>
        <v>0</v>
      </c>
      <c r="BB575" s="220">
        <f t="shared" si="427"/>
        <v>-10</v>
      </c>
    </row>
    <row r="576" ht="14.25" customHeight="1">
      <c r="A576" s="218"/>
      <c r="B576" s="219">
        <v>45103.0</v>
      </c>
      <c r="C576" s="220" t="str">
        <f t="shared" si="428"/>
        <v/>
      </c>
      <c r="D576" s="220"/>
      <c r="E576" s="220">
        <f t="shared" si="410"/>
        <v>0</v>
      </c>
      <c r="F576" s="220">
        <f t="shared" si="411"/>
        <v>-10</v>
      </c>
      <c r="H576" s="219">
        <v>45103.0</v>
      </c>
      <c r="I576" s="220" t="str">
        <f t="shared" si="429"/>
        <v/>
      </c>
      <c r="J576" s="220"/>
      <c r="K576" s="220">
        <f t="shared" si="412"/>
        <v>0</v>
      </c>
      <c r="L576" s="220">
        <f t="shared" si="413"/>
        <v>-10</v>
      </c>
      <c r="N576" s="219">
        <v>45103.0</v>
      </c>
      <c r="O576" s="220" t="str">
        <f t="shared" si="430"/>
        <v/>
      </c>
      <c r="P576" s="220"/>
      <c r="Q576" s="220">
        <f t="shared" si="414"/>
        <v>0</v>
      </c>
      <c r="R576" s="220">
        <f t="shared" si="415"/>
        <v>-10</v>
      </c>
      <c r="T576" s="219">
        <v>45103.0</v>
      </c>
      <c r="U576" s="220" t="str">
        <f t="shared" si="431"/>
        <v/>
      </c>
      <c r="V576" s="220"/>
      <c r="W576" s="220">
        <f t="shared" si="416"/>
        <v>0</v>
      </c>
      <c r="X576" s="220">
        <f t="shared" si="417"/>
        <v>-10</v>
      </c>
      <c r="Z576" s="219">
        <v>45103.0</v>
      </c>
      <c r="AA576" s="220" t="str">
        <f t="shared" si="432"/>
        <v/>
      </c>
      <c r="AB576" s="220"/>
      <c r="AC576" s="220">
        <f t="shared" si="418"/>
        <v>0</v>
      </c>
      <c r="AD576" s="220">
        <f t="shared" si="419"/>
        <v>-10</v>
      </c>
      <c r="AF576" s="219">
        <v>45103.0</v>
      </c>
      <c r="AG576" s="220" t="str">
        <f t="shared" si="433"/>
        <v/>
      </c>
      <c r="AH576" s="220"/>
      <c r="AI576" s="220">
        <f t="shared" si="420"/>
        <v>0</v>
      </c>
      <c r="AJ576" s="220">
        <f t="shared" si="421"/>
        <v>-10</v>
      </c>
      <c r="AL576" s="219">
        <v>45103.0</v>
      </c>
      <c r="AM576" s="220" t="str">
        <f t="shared" si="434"/>
        <v/>
      </c>
      <c r="AN576" s="220"/>
      <c r="AO576" s="220">
        <f t="shared" si="422"/>
        <v>0</v>
      </c>
      <c r="AP576" s="220">
        <f t="shared" si="423"/>
        <v>-10</v>
      </c>
      <c r="AR576" s="219">
        <v>45103.0</v>
      </c>
      <c r="AS576" s="220" t="str">
        <f t="shared" si="435"/>
        <v/>
      </c>
      <c r="AT576" s="220"/>
      <c r="AU576" s="220">
        <f t="shared" si="424"/>
        <v>0</v>
      </c>
      <c r="AV576" s="220">
        <f t="shared" si="425"/>
        <v>-10</v>
      </c>
      <c r="AX576" s="219">
        <v>45103.0</v>
      </c>
      <c r="AY576" s="220" t="str">
        <f t="shared" si="436"/>
        <v/>
      </c>
      <c r="AZ576" s="220"/>
      <c r="BA576" s="220">
        <f t="shared" si="426"/>
        <v>0</v>
      </c>
      <c r="BB576" s="220">
        <f t="shared" si="427"/>
        <v>-10</v>
      </c>
    </row>
    <row r="577" ht="14.25" customHeight="1">
      <c r="A577" s="218"/>
      <c r="B577" s="219">
        <v>45104.0</v>
      </c>
      <c r="C577" s="220" t="str">
        <f t="shared" si="428"/>
        <v/>
      </c>
      <c r="D577" s="220"/>
      <c r="E577" s="220">
        <f t="shared" si="410"/>
        <v>0</v>
      </c>
      <c r="F577" s="220">
        <f t="shared" si="411"/>
        <v>-10</v>
      </c>
      <c r="H577" s="219">
        <v>45104.0</v>
      </c>
      <c r="I577" s="220" t="str">
        <f t="shared" si="429"/>
        <v/>
      </c>
      <c r="J577" s="220"/>
      <c r="K577" s="220">
        <f t="shared" si="412"/>
        <v>0</v>
      </c>
      <c r="L577" s="220">
        <f t="shared" si="413"/>
        <v>-10</v>
      </c>
      <c r="N577" s="219">
        <v>45104.0</v>
      </c>
      <c r="O577" s="220" t="str">
        <f t="shared" si="430"/>
        <v/>
      </c>
      <c r="P577" s="220"/>
      <c r="Q577" s="220">
        <f t="shared" si="414"/>
        <v>0</v>
      </c>
      <c r="R577" s="220">
        <f t="shared" si="415"/>
        <v>-10</v>
      </c>
      <c r="T577" s="219">
        <v>45104.0</v>
      </c>
      <c r="U577" s="220" t="str">
        <f t="shared" si="431"/>
        <v/>
      </c>
      <c r="V577" s="220"/>
      <c r="W577" s="220">
        <f t="shared" si="416"/>
        <v>0</v>
      </c>
      <c r="X577" s="220">
        <f t="shared" si="417"/>
        <v>-10</v>
      </c>
      <c r="Z577" s="219">
        <v>45104.0</v>
      </c>
      <c r="AA577" s="220" t="str">
        <f t="shared" si="432"/>
        <v/>
      </c>
      <c r="AB577" s="220"/>
      <c r="AC577" s="220">
        <f t="shared" si="418"/>
        <v>0</v>
      </c>
      <c r="AD577" s="220">
        <f t="shared" si="419"/>
        <v>-10</v>
      </c>
      <c r="AF577" s="219">
        <v>45104.0</v>
      </c>
      <c r="AG577" s="220" t="str">
        <f t="shared" si="433"/>
        <v/>
      </c>
      <c r="AH577" s="220"/>
      <c r="AI577" s="220">
        <f t="shared" si="420"/>
        <v>0</v>
      </c>
      <c r="AJ577" s="220">
        <f t="shared" si="421"/>
        <v>-10</v>
      </c>
      <c r="AL577" s="219">
        <v>45104.0</v>
      </c>
      <c r="AM577" s="220" t="str">
        <f t="shared" si="434"/>
        <v/>
      </c>
      <c r="AN577" s="220"/>
      <c r="AO577" s="220">
        <f t="shared" si="422"/>
        <v>0</v>
      </c>
      <c r="AP577" s="220">
        <f t="shared" si="423"/>
        <v>-10</v>
      </c>
      <c r="AR577" s="219">
        <v>45104.0</v>
      </c>
      <c r="AS577" s="220" t="str">
        <f t="shared" si="435"/>
        <v/>
      </c>
      <c r="AT577" s="220"/>
      <c r="AU577" s="220">
        <f t="shared" si="424"/>
        <v>0</v>
      </c>
      <c r="AV577" s="220">
        <f t="shared" si="425"/>
        <v>-10</v>
      </c>
      <c r="AX577" s="219">
        <v>45104.0</v>
      </c>
      <c r="AY577" s="220" t="str">
        <f t="shared" si="436"/>
        <v/>
      </c>
      <c r="AZ577" s="220"/>
      <c r="BA577" s="220">
        <f t="shared" si="426"/>
        <v>0</v>
      </c>
      <c r="BB577" s="220">
        <f t="shared" si="427"/>
        <v>-10</v>
      </c>
    </row>
    <row r="578" ht="14.25" customHeight="1">
      <c r="A578" s="218"/>
      <c r="B578" s="219">
        <v>45105.0</v>
      </c>
      <c r="C578" s="220" t="str">
        <f t="shared" si="428"/>
        <v/>
      </c>
      <c r="D578" s="220"/>
      <c r="E578" s="220">
        <f t="shared" si="410"/>
        <v>0</v>
      </c>
      <c r="F578" s="220">
        <f t="shared" si="411"/>
        <v>-10</v>
      </c>
      <c r="H578" s="219">
        <v>45105.0</v>
      </c>
      <c r="I578" s="220" t="str">
        <f t="shared" si="429"/>
        <v/>
      </c>
      <c r="J578" s="220"/>
      <c r="K578" s="220">
        <f t="shared" si="412"/>
        <v>0</v>
      </c>
      <c r="L578" s="220">
        <f t="shared" si="413"/>
        <v>-10</v>
      </c>
      <c r="N578" s="219">
        <v>45105.0</v>
      </c>
      <c r="O578" s="220" t="str">
        <f t="shared" si="430"/>
        <v/>
      </c>
      <c r="P578" s="220"/>
      <c r="Q578" s="220">
        <f t="shared" si="414"/>
        <v>0</v>
      </c>
      <c r="R578" s="220">
        <f t="shared" si="415"/>
        <v>-10</v>
      </c>
      <c r="T578" s="219">
        <v>45105.0</v>
      </c>
      <c r="U578" s="220" t="str">
        <f t="shared" si="431"/>
        <v/>
      </c>
      <c r="V578" s="220"/>
      <c r="W578" s="220">
        <f t="shared" si="416"/>
        <v>0</v>
      </c>
      <c r="X578" s="220">
        <f t="shared" si="417"/>
        <v>-10</v>
      </c>
      <c r="Z578" s="219">
        <v>45105.0</v>
      </c>
      <c r="AA578" s="220" t="str">
        <f t="shared" si="432"/>
        <v/>
      </c>
      <c r="AB578" s="220"/>
      <c r="AC578" s="220">
        <f t="shared" si="418"/>
        <v>0</v>
      </c>
      <c r="AD578" s="220">
        <f t="shared" si="419"/>
        <v>-10</v>
      </c>
      <c r="AF578" s="219">
        <v>45105.0</v>
      </c>
      <c r="AG578" s="220" t="str">
        <f t="shared" si="433"/>
        <v/>
      </c>
      <c r="AH578" s="220"/>
      <c r="AI578" s="220">
        <f t="shared" si="420"/>
        <v>0</v>
      </c>
      <c r="AJ578" s="220">
        <f t="shared" si="421"/>
        <v>-10</v>
      </c>
      <c r="AL578" s="219">
        <v>45105.0</v>
      </c>
      <c r="AM578" s="220" t="str">
        <f t="shared" si="434"/>
        <v/>
      </c>
      <c r="AN578" s="220"/>
      <c r="AO578" s="220">
        <f t="shared" si="422"/>
        <v>0</v>
      </c>
      <c r="AP578" s="220">
        <f t="shared" si="423"/>
        <v>-10</v>
      </c>
      <c r="AR578" s="219">
        <v>45105.0</v>
      </c>
      <c r="AS578" s="220" t="str">
        <f t="shared" si="435"/>
        <v/>
      </c>
      <c r="AT578" s="220"/>
      <c r="AU578" s="220">
        <f t="shared" si="424"/>
        <v>0</v>
      </c>
      <c r="AV578" s="220">
        <f t="shared" si="425"/>
        <v>-10</v>
      </c>
      <c r="AX578" s="219">
        <v>45105.0</v>
      </c>
      <c r="AY578" s="220" t="str">
        <f t="shared" si="436"/>
        <v/>
      </c>
      <c r="AZ578" s="220"/>
      <c r="BA578" s="220">
        <f t="shared" si="426"/>
        <v>0</v>
      </c>
      <c r="BB578" s="220">
        <f t="shared" si="427"/>
        <v>-10</v>
      </c>
    </row>
    <row r="579" ht="14.25" customHeight="1">
      <c r="A579" s="218"/>
      <c r="B579" s="219">
        <v>45106.0</v>
      </c>
      <c r="C579" s="220" t="str">
        <f t="shared" si="428"/>
        <v/>
      </c>
      <c r="D579" s="220"/>
      <c r="E579" s="220">
        <f t="shared" si="410"/>
        <v>0</v>
      </c>
      <c r="F579" s="220">
        <f t="shared" si="411"/>
        <v>-10</v>
      </c>
      <c r="H579" s="219">
        <v>45106.0</v>
      </c>
      <c r="I579" s="220" t="str">
        <f t="shared" si="429"/>
        <v/>
      </c>
      <c r="J579" s="220"/>
      <c r="K579" s="220">
        <f t="shared" si="412"/>
        <v>0</v>
      </c>
      <c r="L579" s="220">
        <f t="shared" si="413"/>
        <v>-10</v>
      </c>
      <c r="N579" s="219">
        <v>45106.0</v>
      </c>
      <c r="O579" s="220" t="str">
        <f t="shared" si="430"/>
        <v/>
      </c>
      <c r="P579" s="220"/>
      <c r="Q579" s="220">
        <f t="shared" si="414"/>
        <v>0</v>
      </c>
      <c r="R579" s="220">
        <f t="shared" si="415"/>
        <v>-10</v>
      </c>
      <c r="T579" s="219">
        <v>45106.0</v>
      </c>
      <c r="U579" s="220" t="str">
        <f t="shared" si="431"/>
        <v/>
      </c>
      <c r="V579" s="220"/>
      <c r="W579" s="220">
        <f t="shared" si="416"/>
        <v>0</v>
      </c>
      <c r="X579" s="220">
        <f t="shared" si="417"/>
        <v>-10</v>
      </c>
      <c r="Z579" s="219">
        <v>45106.0</v>
      </c>
      <c r="AA579" s="220" t="str">
        <f t="shared" si="432"/>
        <v/>
      </c>
      <c r="AB579" s="220"/>
      <c r="AC579" s="220">
        <f t="shared" si="418"/>
        <v>0</v>
      </c>
      <c r="AD579" s="220">
        <f t="shared" si="419"/>
        <v>-10</v>
      </c>
      <c r="AF579" s="219">
        <v>45106.0</v>
      </c>
      <c r="AG579" s="220" t="str">
        <f t="shared" si="433"/>
        <v/>
      </c>
      <c r="AH579" s="220"/>
      <c r="AI579" s="220">
        <f t="shared" si="420"/>
        <v>0</v>
      </c>
      <c r="AJ579" s="220">
        <f t="shared" si="421"/>
        <v>-10</v>
      </c>
      <c r="AL579" s="219">
        <v>45106.0</v>
      </c>
      <c r="AM579" s="220" t="str">
        <f t="shared" si="434"/>
        <v/>
      </c>
      <c r="AN579" s="220"/>
      <c r="AO579" s="220">
        <f t="shared" si="422"/>
        <v>0</v>
      </c>
      <c r="AP579" s="220">
        <f t="shared" si="423"/>
        <v>-10</v>
      </c>
      <c r="AR579" s="219">
        <v>45106.0</v>
      </c>
      <c r="AS579" s="220" t="str">
        <f t="shared" si="435"/>
        <v/>
      </c>
      <c r="AT579" s="220"/>
      <c r="AU579" s="220">
        <f t="shared" si="424"/>
        <v>0</v>
      </c>
      <c r="AV579" s="220">
        <f t="shared" si="425"/>
        <v>-10</v>
      </c>
      <c r="AX579" s="219">
        <v>45106.0</v>
      </c>
      <c r="AY579" s="220" t="str">
        <f t="shared" si="436"/>
        <v/>
      </c>
      <c r="AZ579" s="220"/>
      <c r="BA579" s="220">
        <f t="shared" si="426"/>
        <v>0</v>
      </c>
      <c r="BB579" s="220">
        <f t="shared" si="427"/>
        <v>-10</v>
      </c>
    </row>
    <row r="580" ht="14.25" customHeight="1">
      <c r="A580" s="218"/>
      <c r="B580" s="219">
        <v>45107.0</v>
      </c>
      <c r="C580" s="220" t="str">
        <f t="shared" si="428"/>
        <v/>
      </c>
      <c r="D580" s="220"/>
      <c r="E580" s="220">
        <f t="shared" si="410"/>
        <v>0</v>
      </c>
      <c r="F580" s="220">
        <f t="shared" si="411"/>
        <v>-10</v>
      </c>
      <c r="H580" s="219">
        <v>45107.0</v>
      </c>
      <c r="I580" s="220" t="str">
        <f t="shared" si="429"/>
        <v/>
      </c>
      <c r="J580" s="220"/>
      <c r="K580" s="220">
        <f t="shared" si="412"/>
        <v>0</v>
      </c>
      <c r="L580" s="220">
        <f t="shared" si="413"/>
        <v>-10</v>
      </c>
      <c r="N580" s="219">
        <v>45107.0</v>
      </c>
      <c r="O580" s="220" t="str">
        <f t="shared" si="430"/>
        <v/>
      </c>
      <c r="P580" s="220"/>
      <c r="Q580" s="220">
        <f t="shared" si="414"/>
        <v>0</v>
      </c>
      <c r="R580" s="220">
        <f t="shared" si="415"/>
        <v>-10</v>
      </c>
      <c r="T580" s="219">
        <v>45107.0</v>
      </c>
      <c r="U580" s="220" t="str">
        <f t="shared" si="431"/>
        <v/>
      </c>
      <c r="V580" s="220"/>
      <c r="W580" s="220">
        <f t="shared" si="416"/>
        <v>0</v>
      </c>
      <c r="X580" s="220">
        <f t="shared" si="417"/>
        <v>-10</v>
      </c>
      <c r="Z580" s="219">
        <v>45107.0</v>
      </c>
      <c r="AA580" s="220" t="str">
        <f t="shared" si="432"/>
        <v/>
      </c>
      <c r="AB580" s="220"/>
      <c r="AC580" s="220">
        <f t="shared" si="418"/>
        <v>0</v>
      </c>
      <c r="AD580" s="220">
        <f t="shared" si="419"/>
        <v>-10</v>
      </c>
      <c r="AF580" s="219">
        <v>45107.0</v>
      </c>
      <c r="AG580" s="220" t="str">
        <f t="shared" si="433"/>
        <v/>
      </c>
      <c r="AH580" s="220"/>
      <c r="AI580" s="220">
        <f t="shared" si="420"/>
        <v>0</v>
      </c>
      <c r="AJ580" s="220">
        <f t="shared" si="421"/>
        <v>-10</v>
      </c>
      <c r="AL580" s="219">
        <v>45107.0</v>
      </c>
      <c r="AM580" s="220" t="str">
        <f t="shared" si="434"/>
        <v/>
      </c>
      <c r="AN580" s="220"/>
      <c r="AO580" s="220">
        <f t="shared" si="422"/>
        <v>0</v>
      </c>
      <c r="AP580" s="220">
        <f t="shared" si="423"/>
        <v>-10</v>
      </c>
      <c r="AR580" s="219">
        <v>45107.0</v>
      </c>
      <c r="AS580" s="220" t="str">
        <f t="shared" si="435"/>
        <v/>
      </c>
      <c r="AT580" s="220"/>
      <c r="AU580" s="220">
        <f t="shared" si="424"/>
        <v>0</v>
      </c>
      <c r="AV580" s="220">
        <f t="shared" si="425"/>
        <v>-10</v>
      </c>
      <c r="AX580" s="219">
        <v>45107.0</v>
      </c>
      <c r="AY580" s="220" t="str">
        <f t="shared" si="436"/>
        <v/>
      </c>
      <c r="AZ580" s="220"/>
      <c r="BA580" s="220">
        <f t="shared" si="426"/>
        <v>0</v>
      </c>
      <c r="BB580" s="220">
        <f t="shared" si="427"/>
        <v>-10</v>
      </c>
    </row>
    <row r="581" ht="14.25" customHeight="1">
      <c r="A581" s="218"/>
      <c r="B581" s="229"/>
      <c r="C581" s="220" t="str">
        <f t="shared" si="428"/>
        <v/>
      </c>
      <c r="D581" s="220"/>
      <c r="E581" s="220">
        <f t="shared" si="410"/>
        <v>0</v>
      </c>
      <c r="F581" s="220">
        <f t="shared" si="411"/>
        <v>-10</v>
      </c>
      <c r="H581" s="229"/>
      <c r="I581" s="220" t="str">
        <f t="shared" si="429"/>
        <v/>
      </c>
      <c r="J581" s="220"/>
      <c r="K581" s="220">
        <f t="shared" si="412"/>
        <v>0</v>
      </c>
      <c r="L581" s="220">
        <f t="shared" si="413"/>
        <v>-10</v>
      </c>
      <c r="N581" s="229"/>
      <c r="O581" s="220" t="str">
        <f t="shared" si="430"/>
        <v/>
      </c>
      <c r="P581" s="220"/>
      <c r="Q581" s="220">
        <f t="shared" si="414"/>
        <v>0</v>
      </c>
      <c r="R581" s="220">
        <f t="shared" si="415"/>
        <v>-10</v>
      </c>
      <c r="T581" s="229"/>
      <c r="U581" s="220" t="str">
        <f t="shared" si="431"/>
        <v/>
      </c>
      <c r="V581" s="220"/>
      <c r="W581" s="220">
        <f t="shared" si="416"/>
        <v>0</v>
      </c>
      <c r="X581" s="220">
        <f t="shared" si="417"/>
        <v>-10</v>
      </c>
      <c r="Z581" s="229"/>
      <c r="AA581" s="220" t="str">
        <f t="shared" si="432"/>
        <v/>
      </c>
      <c r="AB581" s="220"/>
      <c r="AC581" s="220">
        <f t="shared" si="418"/>
        <v>0</v>
      </c>
      <c r="AD581" s="220">
        <f t="shared" si="419"/>
        <v>-10</v>
      </c>
      <c r="AF581" s="229"/>
      <c r="AG581" s="220" t="str">
        <f t="shared" si="433"/>
        <v/>
      </c>
      <c r="AH581" s="220"/>
      <c r="AI581" s="220">
        <f t="shared" si="420"/>
        <v>0</v>
      </c>
      <c r="AJ581" s="220">
        <f t="shared" si="421"/>
        <v>-10</v>
      </c>
      <c r="AL581" s="229"/>
      <c r="AM581" s="220" t="str">
        <f t="shared" si="434"/>
        <v/>
      </c>
      <c r="AN581" s="220"/>
      <c r="AO581" s="220">
        <f t="shared" si="422"/>
        <v>0</v>
      </c>
      <c r="AP581" s="220">
        <f t="shared" si="423"/>
        <v>-10</v>
      </c>
      <c r="AR581" s="229"/>
      <c r="AS581" s="220" t="str">
        <f t="shared" si="435"/>
        <v/>
      </c>
      <c r="AT581" s="220"/>
      <c r="AU581" s="220">
        <f t="shared" si="424"/>
        <v>0</v>
      </c>
      <c r="AV581" s="220">
        <f t="shared" si="425"/>
        <v>-10</v>
      </c>
      <c r="AX581" s="229"/>
      <c r="AY581" s="220" t="str">
        <f t="shared" si="436"/>
        <v/>
      </c>
      <c r="AZ581" s="220"/>
      <c r="BA581" s="220">
        <f t="shared" si="426"/>
        <v>0</v>
      </c>
      <c r="BB581" s="220">
        <f t="shared" si="427"/>
        <v>-10</v>
      </c>
    </row>
    <row r="582" ht="14.25" customHeight="1">
      <c r="A582" s="222"/>
      <c r="B582" s="216"/>
      <c r="C582" s="223" t="s">
        <v>221</v>
      </c>
      <c r="D582" s="223"/>
      <c r="E582" s="216">
        <f>SUM(E551:E581)</f>
        <v>0</v>
      </c>
      <c r="F582" s="216">
        <f t="shared" si="411"/>
        <v>-10</v>
      </c>
      <c r="H582" s="216"/>
      <c r="I582" s="223" t="s">
        <v>221</v>
      </c>
      <c r="J582" s="223"/>
      <c r="K582" s="216">
        <f>SUM(K551:K581)</f>
        <v>0</v>
      </c>
      <c r="L582" s="216">
        <f t="shared" si="413"/>
        <v>-10</v>
      </c>
      <c r="N582" s="216"/>
      <c r="O582" s="223" t="s">
        <v>221</v>
      </c>
      <c r="P582" s="223"/>
      <c r="Q582" s="216">
        <f>SUM(Q551:Q581)</f>
        <v>0</v>
      </c>
      <c r="R582" s="216">
        <f t="shared" si="415"/>
        <v>-10</v>
      </c>
      <c r="T582" s="216"/>
      <c r="U582" s="223" t="s">
        <v>221</v>
      </c>
      <c r="V582" s="223"/>
      <c r="W582" s="216">
        <f>SUM(W551:W581)</f>
        <v>0</v>
      </c>
      <c r="X582" s="216">
        <f t="shared" si="417"/>
        <v>-10</v>
      </c>
      <c r="Z582" s="216"/>
      <c r="AA582" s="223" t="s">
        <v>221</v>
      </c>
      <c r="AB582" s="223"/>
      <c r="AC582" s="216">
        <f>SUM(AC551:AC581)</f>
        <v>0</v>
      </c>
      <c r="AD582" s="216">
        <f t="shared" si="419"/>
        <v>-10</v>
      </c>
      <c r="AF582" s="216"/>
      <c r="AG582" s="223" t="s">
        <v>221</v>
      </c>
      <c r="AH582" s="223"/>
      <c r="AI582" s="216">
        <f>SUM(AI551:AI581)</f>
        <v>0</v>
      </c>
      <c r="AJ582" s="216">
        <f t="shared" si="421"/>
        <v>-10</v>
      </c>
      <c r="AL582" s="216"/>
      <c r="AM582" s="223" t="s">
        <v>221</v>
      </c>
      <c r="AN582" s="223"/>
      <c r="AO582" s="216">
        <f>SUM(AO551:AO581)</f>
        <v>0</v>
      </c>
      <c r="AP582" s="216">
        <f t="shared" si="423"/>
        <v>-10</v>
      </c>
      <c r="AR582" s="216"/>
      <c r="AS582" s="223" t="s">
        <v>221</v>
      </c>
      <c r="AT582" s="223"/>
      <c r="AU582" s="216">
        <f>SUM(AU551:AU581)</f>
        <v>0</v>
      </c>
      <c r="AV582" s="216">
        <f t="shared" si="425"/>
        <v>-10</v>
      </c>
      <c r="AX582" s="216"/>
      <c r="AY582" s="223" t="s">
        <v>221</v>
      </c>
      <c r="AZ582" s="223"/>
      <c r="BA582" s="216">
        <f>SUM(BA551:BA581)</f>
        <v>0</v>
      </c>
      <c r="BB582" s="216">
        <f t="shared" si="427"/>
        <v>-10</v>
      </c>
    </row>
    <row r="583" ht="14.25" customHeight="1"/>
    <row r="584" ht="14.25" customHeight="1"/>
    <row r="585" ht="14.25" customHeight="1"/>
    <row r="586" ht="18.0" customHeight="1">
      <c r="A586" s="215" t="s">
        <v>237</v>
      </c>
      <c r="B586" s="206" t="s">
        <v>18</v>
      </c>
      <c r="C586" s="207"/>
      <c r="D586" s="207"/>
      <c r="E586" s="207"/>
      <c r="F586" s="208"/>
      <c r="G586" s="209"/>
      <c r="H586" s="206" t="s">
        <v>20</v>
      </c>
      <c r="I586" s="207"/>
      <c r="J586" s="207"/>
      <c r="K586" s="207"/>
      <c r="L586" s="208"/>
      <c r="M586" s="209"/>
      <c r="N586" s="206" t="s">
        <v>142</v>
      </c>
      <c r="O586" s="207"/>
      <c r="P586" s="207"/>
      <c r="Q586" s="207"/>
      <c r="R586" s="208"/>
      <c r="S586" s="209"/>
      <c r="T586" s="206" t="s">
        <v>95</v>
      </c>
      <c r="U586" s="207"/>
      <c r="V586" s="207"/>
      <c r="W586" s="207"/>
      <c r="X586" s="208"/>
      <c r="Y586" s="209"/>
      <c r="Z586" s="206" t="s">
        <v>32</v>
      </c>
      <c r="AA586" s="207"/>
      <c r="AB586" s="207"/>
      <c r="AC586" s="207"/>
      <c r="AD586" s="208"/>
      <c r="AE586" s="209"/>
      <c r="AF586" s="206" t="s">
        <v>27</v>
      </c>
      <c r="AG586" s="207"/>
      <c r="AH586" s="207"/>
      <c r="AI586" s="207"/>
      <c r="AJ586" s="208"/>
      <c r="AK586" s="209"/>
      <c r="AL586" s="206" t="s">
        <v>34</v>
      </c>
      <c r="AM586" s="207"/>
      <c r="AN586" s="207"/>
      <c r="AO586" s="207"/>
      <c r="AP586" s="208"/>
      <c r="AQ586" s="209"/>
      <c r="AR586" s="206"/>
      <c r="AS586" s="207"/>
      <c r="AT586" s="207"/>
      <c r="AU586" s="207"/>
      <c r="AV586" s="208"/>
      <c r="AW586" s="209"/>
      <c r="AX586" s="206"/>
      <c r="AY586" s="207"/>
      <c r="AZ586" s="207"/>
      <c r="BA586" s="207"/>
      <c r="BB586" s="208"/>
    </row>
    <row r="587" ht="14.25" customHeight="1">
      <c r="A587" s="218"/>
      <c r="B587" s="210"/>
      <c r="F587" s="211"/>
      <c r="G587" s="209"/>
      <c r="H587" s="210"/>
      <c r="L587" s="211"/>
      <c r="M587" s="209"/>
      <c r="N587" s="210"/>
      <c r="R587" s="211"/>
      <c r="S587" s="209"/>
      <c r="T587" s="210"/>
      <c r="X587" s="211"/>
      <c r="Y587" s="209"/>
      <c r="Z587" s="210"/>
      <c r="AD587" s="211"/>
      <c r="AE587" s="209"/>
      <c r="AF587" s="210"/>
      <c r="AJ587" s="211"/>
      <c r="AK587" s="209"/>
      <c r="AL587" s="210"/>
      <c r="AP587" s="211"/>
      <c r="AQ587" s="209"/>
      <c r="AR587" s="210"/>
      <c r="AV587" s="211"/>
      <c r="AW587" s="209"/>
      <c r="AX587" s="210"/>
      <c r="BB587" s="211"/>
    </row>
    <row r="588" ht="14.25" customHeight="1">
      <c r="A588" s="218"/>
      <c r="B588" s="212"/>
      <c r="C588" s="213"/>
      <c r="D588" s="213"/>
      <c r="E588" s="213"/>
      <c r="F588" s="214"/>
      <c r="G588" s="209"/>
      <c r="H588" s="212"/>
      <c r="I588" s="213"/>
      <c r="J588" s="213"/>
      <c r="K588" s="213"/>
      <c r="L588" s="214"/>
      <c r="M588" s="209"/>
      <c r="N588" s="212"/>
      <c r="O588" s="213"/>
      <c r="P588" s="213"/>
      <c r="Q588" s="213"/>
      <c r="R588" s="214"/>
      <c r="S588" s="209"/>
      <c r="T588" s="212"/>
      <c r="U588" s="213"/>
      <c r="V588" s="213"/>
      <c r="W588" s="213"/>
      <c r="X588" s="214"/>
      <c r="Y588" s="209"/>
      <c r="Z588" s="212"/>
      <c r="AA588" s="213"/>
      <c r="AB588" s="213"/>
      <c r="AC588" s="213"/>
      <c r="AD588" s="214"/>
      <c r="AE588" s="209"/>
      <c r="AF588" s="212"/>
      <c r="AG588" s="213"/>
      <c r="AH588" s="213"/>
      <c r="AI588" s="213"/>
      <c r="AJ588" s="214"/>
      <c r="AK588" s="209"/>
      <c r="AL588" s="212"/>
      <c r="AM588" s="213"/>
      <c r="AN588" s="213"/>
      <c r="AO588" s="213"/>
      <c r="AP588" s="214"/>
      <c r="AQ588" s="209"/>
      <c r="AR588" s="212"/>
      <c r="AS588" s="213"/>
      <c r="AT588" s="213"/>
      <c r="AU588" s="213"/>
      <c r="AV588" s="214"/>
      <c r="AW588" s="209"/>
      <c r="AX588" s="212"/>
      <c r="AY588" s="213"/>
      <c r="AZ588" s="213"/>
      <c r="BA588" s="213"/>
      <c r="BB588" s="214"/>
    </row>
    <row r="589" ht="14.25" customHeight="1">
      <c r="A589" s="218"/>
      <c r="B589" s="216" t="s">
        <v>214</v>
      </c>
      <c r="C589" s="216" t="s">
        <v>215</v>
      </c>
      <c r="D589" s="216" t="s">
        <v>216</v>
      </c>
      <c r="E589" s="216" t="s">
        <v>217</v>
      </c>
      <c r="F589" s="216" t="s">
        <v>218</v>
      </c>
      <c r="H589" s="217" t="s">
        <v>214</v>
      </c>
      <c r="I589" s="216" t="s">
        <v>215</v>
      </c>
      <c r="J589" s="216" t="s">
        <v>216</v>
      </c>
      <c r="K589" s="216" t="s">
        <v>217</v>
      </c>
      <c r="L589" s="216" t="s">
        <v>218</v>
      </c>
      <c r="N589" s="216" t="s">
        <v>214</v>
      </c>
      <c r="O589" s="216" t="s">
        <v>215</v>
      </c>
      <c r="P589" s="216" t="s">
        <v>216</v>
      </c>
      <c r="Q589" s="216" t="s">
        <v>217</v>
      </c>
      <c r="R589" s="216" t="s">
        <v>218</v>
      </c>
      <c r="T589" s="216" t="s">
        <v>214</v>
      </c>
      <c r="U589" s="216" t="s">
        <v>215</v>
      </c>
      <c r="V589" s="216" t="s">
        <v>216</v>
      </c>
      <c r="W589" s="216" t="s">
        <v>217</v>
      </c>
      <c r="X589" s="216" t="s">
        <v>218</v>
      </c>
      <c r="Z589" s="216" t="s">
        <v>214</v>
      </c>
      <c r="AA589" s="216" t="s">
        <v>215</v>
      </c>
      <c r="AB589" s="216" t="s">
        <v>216</v>
      </c>
      <c r="AC589" s="216" t="s">
        <v>217</v>
      </c>
      <c r="AD589" s="216" t="s">
        <v>218</v>
      </c>
      <c r="AF589" s="216" t="s">
        <v>214</v>
      </c>
      <c r="AG589" s="216" t="s">
        <v>215</v>
      </c>
      <c r="AH589" s="216" t="s">
        <v>216</v>
      </c>
      <c r="AI589" s="216" t="s">
        <v>217</v>
      </c>
      <c r="AJ589" s="216" t="s">
        <v>218</v>
      </c>
      <c r="AL589" s="216" t="s">
        <v>214</v>
      </c>
      <c r="AM589" s="216" t="s">
        <v>215</v>
      </c>
      <c r="AN589" s="216" t="s">
        <v>216</v>
      </c>
      <c r="AO589" s="216" t="s">
        <v>217</v>
      </c>
      <c r="AP589" s="216" t="s">
        <v>218</v>
      </c>
      <c r="AR589" s="216" t="s">
        <v>214</v>
      </c>
      <c r="AS589" s="216" t="s">
        <v>215</v>
      </c>
      <c r="AT589" s="216" t="s">
        <v>216</v>
      </c>
      <c r="AU589" s="216" t="s">
        <v>217</v>
      </c>
      <c r="AV589" s="216" t="s">
        <v>218</v>
      </c>
      <c r="AX589" s="216" t="s">
        <v>214</v>
      </c>
      <c r="AY589" s="216" t="s">
        <v>215</v>
      </c>
      <c r="AZ589" s="216" t="s">
        <v>216</v>
      </c>
      <c r="BA589" s="216" t="s">
        <v>217</v>
      </c>
      <c r="BB589" s="216" t="s">
        <v>218</v>
      </c>
    </row>
    <row r="590" ht="14.25" customHeight="1">
      <c r="A590" s="218"/>
      <c r="B590" s="219">
        <v>45078.0</v>
      </c>
      <c r="C590" s="220"/>
      <c r="D590" s="220"/>
      <c r="E590" s="220">
        <f t="shared" ref="E590:E620" si="437">D590-C590</f>
        <v>0</v>
      </c>
      <c r="F590" s="220">
        <f t="shared" ref="F590:F621" si="438">E590-10</f>
        <v>-10</v>
      </c>
      <c r="H590" s="219">
        <v>45078.0</v>
      </c>
      <c r="I590" s="220"/>
      <c r="J590" s="220"/>
      <c r="K590" s="220">
        <f t="shared" ref="K590:K620" si="439">J590-I590</f>
        <v>0</v>
      </c>
      <c r="L590" s="220">
        <f t="shared" ref="L590:L621" si="440">K590-10</f>
        <v>-10</v>
      </c>
      <c r="N590" s="219">
        <v>45078.0</v>
      </c>
      <c r="O590" s="220"/>
      <c r="P590" s="220"/>
      <c r="Q590" s="220">
        <f t="shared" ref="Q590:Q620" si="441">P590-O590</f>
        <v>0</v>
      </c>
      <c r="R590" s="220">
        <f t="shared" ref="R590:R621" si="442">Q590-10</f>
        <v>-10</v>
      </c>
      <c r="T590" s="219">
        <v>45078.0</v>
      </c>
      <c r="U590" s="220"/>
      <c r="V590" s="220"/>
      <c r="W590" s="220">
        <f t="shared" ref="W590:W620" si="443">V590-U590</f>
        <v>0</v>
      </c>
      <c r="X590" s="220">
        <f t="shared" ref="X590:X621" si="444">W590-10</f>
        <v>-10</v>
      </c>
      <c r="Z590" s="219">
        <v>45078.0</v>
      </c>
      <c r="AA590" s="220"/>
      <c r="AB590" s="220"/>
      <c r="AC590" s="220">
        <f t="shared" ref="AC590:AC620" si="445">AB590-AA590</f>
        <v>0</v>
      </c>
      <c r="AD590" s="220">
        <f t="shared" ref="AD590:AD621" si="446">AC590-10</f>
        <v>-10</v>
      </c>
      <c r="AF590" s="219">
        <v>45078.0</v>
      </c>
      <c r="AG590" s="220"/>
      <c r="AH590" s="220"/>
      <c r="AI590" s="220">
        <f t="shared" ref="AI590:AI620" si="447">AH590-AG590</f>
        <v>0</v>
      </c>
      <c r="AJ590" s="220">
        <f t="shared" ref="AJ590:AJ621" si="448">AI590-10</f>
        <v>-10</v>
      </c>
      <c r="AL590" s="219">
        <v>45078.0</v>
      </c>
      <c r="AM590" s="220"/>
      <c r="AN590" s="220"/>
      <c r="AO590" s="220">
        <f t="shared" ref="AO590:AO620" si="449">AN590-AM590</f>
        <v>0</v>
      </c>
      <c r="AP590" s="220">
        <f t="shared" ref="AP590:AP621" si="450">AO590-10</f>
        <v>-10</v>
      </c>
      <c r="AR590" s="219">
        <v>45078.0</v>
      </c>
      <c r="AS590" s="220"/>
      <c r="AT590" s="220"/>
      <c r="AU590" s="220">
        <f t="shared" ref="AU590:AU620" si="451">AT590-AS590</f>
        <v>0</v>
      </c>
      <c r="AV590" s="220">
        <f t="shared" ref="AV590:AV621" si="452">AU590-10</f>
        <v>-10</v>
      </c>
      <c r="AX590" s="219">
        <v>45078.0</v>
      </c>
      <c r="AY590" s="220"/>
      <c r="AZ590" s="220"/>
      <c r="BA590" s="220">
        <f t="shared" ref="BA590:BA620" si="453">AZ590-AY590</f>
        <v>0</v>
      </c>
      <c r="BB590" s="220">
        <f t="shared" ref="BB590:BB621" si="454">BA590-10</f>
        <v>-10</v>
      </c>
    </row>
    <row r="591" ht="14.25" customHeight="1">
      <c r="A591" s="218"/>
      <c r="B591" s="219">
        <v>45079.0</v>
      </c>
      <c r="C591" s="220" t="str">
        <f t="shared" ref="C591:C620" si="455">D590</f>
        <v/>
      </c>
      <c r="D591" s="220"/>
      <c r="E591" s="220">
        <f t="shared" si="437"/>
        <v>0</v>
      </c>
      <c r="F591" s="220">
        <f t="shared" si="438"/>
        <v>-10</v>
      </c>
      <c r="H591" s="219">
        <v>45079.0</v>
      </c>
      <c r="I591" s="220" t="str">
        <f t="shared" ref="I591:I620" si="456">J590</f>
        <v/>
      </c>
      <c r="J591" s="220"/>
      <c r="K591" s="220">
        <f t="shared" si="439"/>
        <v>0</v>
      </c>
      <c r="L591" s="220">
        <f t="shared" si="440"/>
        <v>-10</v>
      </c>
      <c r="N591" s="219">
        <v>45079.0</v>
      </c>
      <c r="O591" s="220" t="str">
        <f t="shared" ref="O591:O620" si="457">P590</f>
        <v/>
      </c>
      <c r="P591" s="220"/>
      <c r="Q591" s="220">
        <f t="shared" si="441"/>
        <v>0</v>
      </c>
      <c r="R591" s="220">
        <f t="shared" si="442"/>
        <v>-10</v>
      </c>
      <c r="T591" s="219">
        <v>45079.0</v>
      </c>
      <c r="U591" s="220" t="str">
        <f t="shared" ref="U591:U620" si="458">V590</f>
        <v/>
      </c>
      <c r="V591" s="220"/>
      <c r="W591" s="220">
        <f t="shared" si="443"/>
        <v>0</v>
      </c>
      <c r="X591" s="220">
        <f t="shared" si="444"/>
        <v>-10</v>
      </c>
      <c r="Z591" s="219">
        <v>45079.0</v>
      </c>
      <c r="AA591" s="220" t="str">
        <f t="shared" ref="AA591:AA620" si="459">AB590</f>
        <v/>
      </c>
      <c r="AB591" s="220"/>
      <c r="AC591" s="220">
        <f t="shared" si="445"/>
        <v>0</v>
      </c>
      <c r="AD591" s="220">
        <f t="shared" si="446"/>
        <v>-10</v>
      </c>
      <c r="AF591" s="219">
        <v>45079.0</v>
      </c>
      <c r="AG591" s="220" t="str">
        <f t="shared" ref="AG591:AG620" si="460">AH590</f>
        <v/>
      </c>
      <c r="AH591" s="220"/>
      <c r="AI591" s="220">
        <f t="shared" si="447"/>
        <v>0</v>
      </c>
      <c r="AJ591" s="220">
        <f t="shared" si="448"/>
        <v>-10</v>
      </c>
      <c r="AL591" s="219">
        <v>45079.0</v>
      </c>
      <c r="AM591" s="220" t="str">
        <f t="shared" ref="AM591:AM620" si="461">AN590</f>
        <v/>
      </c>
      <c r="AN591" s="220"/>
      <c r="AO591" s="220">
        <f t="shared" si="449"/>
        <v>0</v>
      </c>
      <c r="AP591" s="220">
        <f t="shared" si="450"/>
        <v>-10</v>
      </c>
      <c r="AR591" s="219">
        <v>45079.0</v>
      </c>
      <c r="AS591" s="220" t="str">
        <f t="shared" ref="AS591:AS620" si="462">AT590</f>
        <v/>
      </c>
      <c r="AT591" s="220"/>
      <c r="AU591" s="220">
        <f t="shared" si="451"/>
        <v>0</v>
      </c>
      <c r="AV591" s="220">
        <f t="shared" si="452"/>
        <v>-10</v>
      </c>
      <c r="AX591" s="219">
        <v>45079.0</v>
      </c>
      <c r="AY591" s="220" t="str">
        <f t="shared" ref="AY591:AY620" si="463">AZ590</f>
        <v/>
      </c>
      <c r="AZ591" s="220"/>
      <c r="BA591" s="220">
        <f t="shared" si="453"/>
        <v>0</v>
      </c>
      <c r="BB591" s="220">
        <f t="shared" si="454"/>
        <v>-10</v>
      </c>
    </row>
    <row r="592" ht="14.25" customHeight="1">
      <c r="A592" s="218"/>
      <c r="B592" s="219">
        <v>45080.0</v>
      </c>
      <c r="C592" s="220" t="str">
        <f t="shared" si="455"/>
        <v/>
      </c>
      <c r="D592" s="220"/>
      <c r="E592" s="220">
        <f t="shared" si="437"/>
        <v>0</v>
      </c>
      <c r="F592" s="220">
        <f t="shared" si="438"/>
        <v>-10</v>
      </c>
      <c r="G592" s="221"/>
      <c r="H592" s="219">
        <v>45080.0</v>
      </c>
      <c r="I592" s="220" t="str">
        <f t="shared" si="456"/>
        <v/>
      </c>
      <c r="J592" s="220"/>
      <c r="K592" s="220">
        <f t="shared" si="439"/>
        <v>0</v>
      </c>
      <c r="L592" s="220">
        <f t="shared" si="440"/>
        <v>-10</v>
      </c>
      <c r="M592" s="221"/>
      <c r="N592" s="219">
        <v>45080.0</v>
      </c>
      <c r="O592" s="220" t="str">
        <f t="shared" si="457"/>
        <v/>
      </c>
      <c r="P592" s="220"/>
      <c r="Q592" s="220">
        <f t="shared" si="441"/>
        <v>0</v>
      </c>
      <c r="R592" s="220">
        <f t="shared" si="442"/>
        <v>-10</v>
      </c>
      <c r="S592" s="221"/>
      <c r="T592" s="219">
        <v>45080.0</v>
      </c>
      <c r="U592" s="220" t="str">
        <f t="shared" si="458"/>
        <v/>
      </c>
      <c r="V592" s="220"/>
      <c r="W592" s="220">
        <f t="shared" si="443"/>
        <v>0</v>
      </c>
      <c r="X592" s="220">
        <f t="shared" si="444"/>
        <v>-10</v>
      </c>
      <c r="Y592" s="221"/>
      <c r="Z592" s="219">
        <v>45080.0</v>
      </c>
      <c r="AA592" s="220" t="str">
        <f t="shared" si="459"/>
        <v/>
      </c>
      <c r="AB592" s="220"/>
      <c r="AC592" s="220">
        <f t="shared" si="445"/>
        <v>0</v>
      </c>
      <c r="AD592" s="220">
        <f t="shared" si="446"/>
        <v>-10</v>
      </c>
      <c r="AE592" s="221"/>
      <c r="AF592" s="219">
        <v>45080.0</v>
      </c>
      <c r="AG592" s="220" t="str">
        <f t="shared" si="460"/>
        <v/>
      </c>
      <c r="AH592" s="220"/>
      <c r="AI592" s="220">
        <f t="shared" si="447"/>
        <v>0</v>
      </c>
      <c r="AJ592" s="220">
        <f t="shared" si="448"/>
        <v>-10</v>
      </c>
      <c r="AK592" s="221"/>
      <c r="AL592" s="219">
        <v>45080.0</v>
      </c>
      <c r="AM592" s="220" t="str">
        <f t="shared" si="461"/>
        <v/>
      </c>
      <c r="AN592" s="220"/>
      <c r="AO592" s="220">
        <f t="shared" si="449"/>
        <v>0</v>
      </c>
      <c r="AP592" s="220">
        <f t="shared" si="450"/>
        <v>-10</v>
      </c>
      <c r="AQ592" s="221"/>
      <c r="AR592" s="219">
        <v>45080.0</v>
      </c>
      <c r="AS592" s="220" t="str">
        <f t="shared" si="462"/>
        <v/>
      </c>
      <c r="AT592" s="220"/>
      <c r="AU592" s="220">
        <f t="shared" si="451"/>
        <v>0</v>
      </c>
      <c r="AV592" s="220">
        <f t="shared" si="452"/>
        <v>-10</v>
      </c>
      <c r="AW592" s="221"/>
      <c r="AX592" s="219">
        <v>45080.0</v>
      </c>
      <c r="AY592" s="220" t="str">
        <f t="shared" si="463"/>
        <v/>
      </c>
      <c r="AZ592" s="220"/>
      <c r="BA592" s="220">
        <f t="shared" si="453"/>
        <v>0</v>
      </c>
      <c r="BB592" s="220">
        <f t="shared" si="454"/>
        <v>-10</v>
      </c>
    </row>
    <row r="593" ht="14.25" customHeight="1">
      <c r="A593" s="218"/>
      <c r="B593" s="219">
        <v>45081.0</v>
      </c>
      <c r="C593" s="220" t="str">
        <f t="shared" si="455"/>
        <v/>
      </c>
      <c r="D593" s="220"/>
      <c r="E593" s="220">
        <f t="shared" si="437"/>
        <v>0</v>
      </c>
      <c r="F593" s="220">
        <f t="shared" si="438"/>
        <v>-10</v>
      </c>
      <c r="G593" s="221"/>
      <c r="H593" s="219">
        <v>45081.0</v>
      </c>
      <c r="I593" s="220" t="str">
        <f t="shared" si="456"/>
        <v/>
      </c>
      <c r="J593" s="220"/>
      <c r="K593" s="220">
        <f t="shared" si="439"/>
        <v>0</v>
      </c>
      <c r="L593" s="220">
        <f t="shared" si="440"/>
        <v>-10</v>
      </c>
      <c r="M593" s="221"/>
      <c r="N593" s="219">
        <v>45081.0</v>
      </c>
      <c r="O593" s="220" t="str">
        <f t="shared" si="457"/>
        <v/>
      </c>
      <c r="P593" s="220"/>
      <c r="Q593" s="220">
        <f t="shared" si="441"/>
        <v>0</v>
      </c>
      <c r="R593" s="220">
        <f t="shared" si="442"/>
        <v>-10</v>
      </c>
      <c r="S593" s="221"/>
      <c r="T593" s="219">
        <v>45081.0</v>
      </c>
      <c r="U593" s="220" t="str">
        <f t="shared" si="458"/>
        <v/>
      </c>
      <c r="V593" s="220"/>
      <c r="W593" s="220">
        <f t="shared" si="443"/>
        <v>0</v>
      </c>
      <c r="X593" s="220">
        <f t="shared" si="444"/>
        <v>-10</v>
      </c>
      <c r="Y593" s="221"/>
      <c r="Z593" s="219">
        <v>45081.0</v>
      </c>
      <c r="AA593" s="220" t="str">
        <f t="shared" si="459"/>
        <v/>
      </c>
      <c r="AB593" s="220"/>
      <c r="AC593" s="220">
        <f t="shared" si="445"/>
        <v>0</v>
      </c>
      <c r="AD593" s="220">
        <f t="shared" si="446"/>
        <v>-10</v>
      </c>
      <c r="AE593" s="221"/>
      <c r="AF593" s="219">
        <v>45081.0</v>
      </c>
      <c r="AG593" s="220" t="str">
        <f t="shared" si="460"/>
        <v/>
      </c>
      <c r="AH593" s="220"/>
      <c r="AI593" s="220">
        <f t="shared" si="447"/>
        <v>0</v>
      </c>
      <c r="AJ593" s="220">
        <f t="shared" si="448"/>
        <v>-10</v>
      </c>
      <c r="AK593" s="221"/>
      <c r="AL593" s="219">
        <v>45081.0</v>
      </c>
      <c r="AM593" s="220" t="str">
        <f t="shared" si="461"/>
        <v/>
      </c>
      <c r="AN593" s="220"/>
      <c r="AO593" s="220">
        <f t="shared" si="449"/>
        <v>0</v>
      </c>
      <c r="AP593" s="220">
        <f t="shared" si="450"/>
        <v>-10</v>
      </c>
      <c r="AQ593" s="221"/>
      <c r="AR593" s="219">
        <v>45081.0</v>
      </c>
      <c r="AS593" s="220" t="str">
        <f t="shared" si="462"/>
        <v/>
      </c>
      <c r="AT593" s="220"/>
      <c r="AU593" s="220">
        <f t="shared" si="451"/>
        <v>0</v>
      </c>
      <c r="AV593" s="220">
        <f t="shared" si="452"/>
        <v>-10</v>
      </c>
      <c r="AW593" s="221"/>
      <c r="AX593" s="219">
        <v>45081.0</v>
      </c>
      <c r="AY593" s="220" t="str">
        <f t="shared" si="463"/>
        <v/>
      </c>
      <c r="AZ593" s="220"/>
      <c r="BA593" s="220">
        <f t="shared" si="453"/>
        <v>0</v>
      </c>
      <c r="BB593" s="220">
        <f t="shared" si="454"/>
        <v>-10</v>
      </c>
    </row>
    <row r="594" ht="14.25" customHeight="1">
      <c r="A594" s="218"/>
      <c r="B594" s="219">
        <v>45082.0</v>
      </c>
      <c r="C594" s="220" t="str">
        <f t="shared" si="455"/>
        <v/>
      </c>
      <c r="D594" s="220"/>
      <c r="E594" s="220">
        <f t="shared" si="437"/>
        <v>0</v>
      </c>
      <c r="F594" s="220">
        <f t="shared" si="438"/>
        <v>-10</v>
      </c>
      <c r="H594" s="219">
        <v>45082.0</v>
      </c>
      <c r="I594" s="220" t="str">
        <f t="shared" si="456"/>
        <v/>
      </c>
      <c r="J594" s="220"/>
      <c r="K594" s="220">
        <f t="shared" si="439"/>
        <v>0</v>
      </c>
      <c r="L594" s="220">
        <f t="shared" si="440"/>
        <v>-10</v>
      </c>
      <c r="N594" s="219">
        <v>45082.0</v>
      </c>
      <c r="O594" s="220" t="str">
        <f t="shared" si="457"/>
        <v/>
      </c>
      <c r="P594" s="220"/>
      <c r="Q594" s="220">
        <f t="shared" si="441"/>
        <v>0</v>
      </c>
      <c r="R594" s="220">
        <f t="shared" si="442"/>
        <v>-10</v>
      </c>
      <c r="T594" s="219">
        <v>45082.0</v>
      </c>
      <c r="U594" s="220" t="str">
        <f t="shared" si="458"/>
        <v/>
      </c>
      <c r="V594" s="220"/>
      <c r="W594" s="220">
        <f t="shared" si="443"/>
        <v>0</v>
      </c>
      <c r="X594" s="220">
        <f t="shared" si="444"/>
        <v>-10</v>
      </c>
      <c r="Z594" s="219">
        <v>45082.0</v>
      </c>
      <c r="AA594" s="220" t="str">
        <f t="shared" si="459"/>
        <v/>
      </c>
      <c r="AB594" s="220"/>
      <c r="AC594" s="220">
        <f t="shared" si="445"/>
        <v>0</v>
      </c>
      <c r="AD594" s="220">
        <f t="shared" si="446"/>
        <v>-10</v>
      </c>
      <c r="AF594" s="219">
        <v>45082.0</v>
      </c>
      <c r="AG594" s="220" t="str">
        <f t="shared" si="460"/>
        <v/>
      </c>
      <c r="AH594" s="220"/>
      <c r="AI594" s="220">
        <f t="shared" si="447"/>
        <v>0</v>
      </c>
      <c r="AJ594" s="220">
        <f t="shared" si="448"/>
        <v>-10</v>
      </c>
      <c r="AL594" s="219">
        <v>45082.0</v>
      </c>
      <c r="AM594" s="220" t="str">
        <f t="shared" si="461"/>
        <v/>
      </c>
      <c r="AN594" s="220"/>
      <c r="AO594" s="220">
        <f t="shared" si="449"/>
        <v>0</v>
      </c>
      <c r="AP594" s="220">
        <f t="shared" si="450"/>
        <v>-10</v>
      </c>
      <c r="AR594" s="219">
        <v>45082.0</v>
      </c>
      <c r="AS594" s="220" t="str">
        <f t="shared" si="462"/>
        <v/>
      </c>
      <c r="AT594" s="220"/>
      <c r="AU594" s="220">
        <f t="shared" si="451"/>
        <v>0</v>
      </c>
      <c r="AV594" s="220">
        <f t="shared" si="452"/>
        <v>-10</v>
      </c>
      <c r="AX594" s="219">
        <v>45082.0</v>
      </c>
      <c r="AY594" s="220" t="str">
        <f t="shared" si="463"/>
        <v/>
      </c>
      <c r="AZ594" s="220"/>
      <c r="BA594" s="220">
        <f t="shared" si="453"/>
        <v>0</v>
      </c>
      <c r="BB594" s="220">
        <f t="shared" si="454"/>
        <v>-10</v>
      </c>
    </row>
    <row r="595" ht="14.25" customHeight="1">
      <c r="A595" s="218"/>
      <c r="B595" s="219">
        <v>45083.0</v>
      </c>
      <c r="C595" s="220" t="str">
        <f t="shared" si="455"/>
        <v/>
      </c>
      <c r="D595" s="220"/>
      <c r="E595" s="220">
        <f t="shared" si="437"/>
        <v>0</v>
      </c>
      <c r="F595" s="220">
        <f t="shared" si="438"/>
        <v>-10</v>
      </c>
      <c r="H595" s="219">
        <v>45083.0</v>
      </c>
      <c r="I595" s="220" t="str">
        <f t="shared" si="456"/>
        <v/>
      </c>
      <c r="J595" s="220"/>
      <c r="K595" s="220">
        <f t="shared" si="439"/>
        <v>0</v>
      </c>
      <c r="L595" s="220">
        <f t="shared" si="440"/>
        <v>-10</v>
      </c>
      <c r="N595" s="219">
        <v>45083.0</v>
      </c>
      <c r="O595" s="220" t="str">
        <f t="shared" si="457"/>
        <v/>
      </c>
      <c r="P595" s="220"/>
      <c r="Q595" s="220">
        <f t="shared" si="441"/>
        <v>0</v>
      </c>
      <c r="R595" s="220">
        <f t="shared" si="442"/>
        <v>-10</v>
      </c>
      <c r="T595" s="219">
        <v>45083.0</v>
      </c>
      <c r="U595" s="220" t="str">
        <f t="shared" si="458"/>
        <v/>
      </c>
      <c r="V595" s="220"/>
      <c r="W595" s="220">
        <f t="shared" si="443"/>
        <v>0</v>
      </c>
      <c r="X595" s="220">
        <f t="shared" si="444"/>
        <v>-10</v>
      </c>
      <c r="Z595" s="219">
        <v>45083.0</v>
      </c>
      <c r="AA595" s="220" t="str">
        <f t="shared" si="459"/>
        <v/>
      </c>
      <c r="AB595" s="220"/>
      <c r="AC595" s="220">
        <f t="shared" si="445"/>
        <v>0</v>
      </c>
      <c r="AD595" s="220">
        <f t="shared" si="446"/>
        <v>-10</v>
      </c>
      <c r="AF595" s="219">
        <v>45083.0</v>
      </c>
      <c r="AG595" s="220" t="str">
        <f t="shared" si="460"/>
        <v/>
      </c>
      <c r="AH595" s="220"/>
      <c r="AI595" s="220">
        <f t="shared" si="447"/>
        <v>0</v>
      </c>
      <c r="AJ595" s="220">
        <f t="shared" si="448"/>
        <v>-10</v>
      </c>
      <c r="AL595" s="219">
        <v>45083.0</v>
      </c>
      <c r="AM595" s="220" t="str">
        <f t="shared" si="461"/>
        <v/>
      </c>
      <c r="AN595" s="220"/>
      <c r="AO595" s="220">
        <f t="shared" si="449"/>
        <v>0</v>
      </c>
      <c r="AP595" s="220">
        <f t="shared" si="450"/>
        <v>-10</v>
      </c>
      <c r="AR595" s="219">
        <v>45083.0</v>
      </c>
      <c r="AS595" s="220" t="str">
        <f t="shared" si="462"/>
        <v/>
      </c>
      <c r="AT595" s="220"/>
      <c r="AU595" s="220">
        <f t="shared" si="451"/>
        <v>0</v>
      </c>
      <c r="AV595" s="220">
        <f t="shared" si="452"/>
        <v>-10</v>
      </c>
      <c r="AX595" s="219">
        <v>45083.0</v>
      </c>
      <c r="AY595" s="220" t="str">
        <f t="shared" si="463"/>
        <v/>
      </c>
      <c r="AZ595" s="220"/>
      <c r="BA595" s="220">
        <f t="shared" si="453"/>
        <v>0</v>
      </c>
      <c r="BB595" s="220">
        <f t="shared" si="454"/>
        <v>-10</v>
      </c>
    </row>
    <row r="596" ht="14.25" customHeight="1">
      <c r="A596" s="218"/>
      <c r="B596" s="219">
        <v>45084.0</v>
      </c>
      <c r="C596" s="220" t="str">
        <f t="shared" si="455"/>
        <v/>
      </c>
      <c r="D596" s="220"/>
      <c r="E596" s="220">
        <f t="shared" si="437"/>
        <v>0</v>
      </c>
      <c r="F596" s="220">
        <f t="shared" si="438"/>
        <v>-10</v>
      </c>
      <c r="H596" s="219">
        <v>45084.0</v>
      </c>
      <c r="I596" s="220" t="str">
        <f t="shared" si="456"/>
        <v/>
      </c>
      <c r="J596" s="220"/>
      <c r="K596" s="220">
        <f t="shared" si="439"/>
        <v>0</v>
      </c>
      <c r="L596" s="220">
        <f t="shared" si="440"/>
        <v>-10</v>
      </c>
      <c r="N596" s="219">
        <v>45084.0</v>
      </c>
      <c r="O596" s="220" t="str">
        <f t="shared" si="457"/>
        <v/>
      </c>
      <c r="P596" s="220"/>
      <c r="Q596" s="220">
        <f t="shared" si="441"/>
        <v>0</v>
      </c>
      <c r="R596" s="220">
        <f t="shared" si="442"/>
        <v>-10</v>
      </c>
      <c r="T596" s="219">
        <v>45084.0</v>
      </c>
      <c r="U596" s="220" t="str">
        <f t="shared" si="458"/>
        <v/>
      </c>
      <c r="V596" s="220"/>
      <c r="W596" s="220">
        <f t="shared" si="443"/>
        <v>0</v>
      </c>
      <c r="X596" s="220">
        <f t="shared" si="444"/>
        <v>-10</v>
      </c>
      <c r="Z596" s="219">
        <v>45084.0</v>
      </c>
      <c r="AA596" s="220" t="str">
        <f t="shared" si="459"/>
        <v/>
      </c>
      <c r="AB596" s="220"/>
      <c r="AC596" s="220">
        <f t="shared" si="445"/>
        <v>0</v>
      </c>
      <c r="AD596" s="220">
        <f t="shared" si="446"/>
        <v>-10</v>
      </c>
      <c r="AF596" s="219">
        <v>45084.0</v>
      </c>
      <c r="AG596" s="220" t="str">
        <f t="shared" si="460"/>
        <v/>
      </c>
      <c r="AH596" s="220"/>
      <c r="AI596" s="220">
        <f t="shared" si="447"/>
        <v>0</v>
      </c>
      <c r="AJ596" s="220">
        <f t="shared" si="448"/>
        <v>-10</v>
      </c>
      <c r="AL596" s="219">
        <v>45084.0</v>
      </c>
      <c r="AM596" s="220" t="str">
        <f t="shared" si="461"/>
        <v/>
      </c>
      <c r="AN596" s="220"/>
      <c r="AO596" s="220">
        <f t="shared" si="449"/>
        <v>0</v>
      </c>
      <c r="AP596" s="220">
        <f t="shared" si="450"/>
        <v>-10</v>
      </c>
      <c r="AR596" s="219">
        <v>45084.0</v>
      </c>
      <c r="AS596" s="220" t="str">
        <f t="shared" si="462"/>
        <v/>
      </c>
      <c r="AT596" s="220"/>
      <c r="AU596" s="220">
        <f t="shared" si="451"/>
        <v>0</v>
      </c>
      <c r="AV596" s="220">
        <f t="shared" si="452"/>
        <v>-10</v>
      </c>
      <c r="AX596" s="219">
        <v>45084.0</v>
      </c>
      <c r="AY596" s="220" t="str">
        <f t="shared" si="463"/>
        <v/>
      </c>
      <c r="AZ596" s="220"/>
      <c r="BA596" s="220">
        <f t="shared" si="453"/>
        <v>0</v>
      </c>
      <c r="BB596" s="220">
        <f t="shared" si="454"/>
        <v>-10</v>
      </c>
    </row>
    <row r="597" ht="14.25" customHeight="1">
      <c r="A597" s="218"/>
      <c r="B597" s="219">
        <v>45085.0</v>
      </c>
      <c r="C597" s="220" t="str">
        <f t="shared" si="455"/>
        <v/>
      </c>
      <c r="D597" s="220"/>
      <c r="E597" s="220">
        <f t="shared" si="437"/>
        <v>0</v>
      </c>
      <c r="F597" s="220">
        <f t="shared" si="438"/>
        <v>-10</v>
      </c>
      <c r="H597" s="219">
        <v>45085.0</v>
      </c>
      <c r="I597" s="220" t="str">
        <f t="shared" si="456"/>
        <v/>
      </c>
      <c r="J597" s="220"/>
      <c r="K597" s="220">
        <f t="shared" si="439"/>
        <v>0</v>
      </c>
      <c r="L597" s="220">
        <f t="shared" si="440"/>
        <v>-10</v>
      </c>
      <c r="N597" s="219">
        <v>45085.0</v>
      </c>
      <c r="O597" s="220" t="str">
        <f t="shared" si="457"/>
        <v/>
      </c>
      <c r="P597" s="220"/>
      <c r="Q597" s="220">
        <f t="shared" si="441"/>
        <v>0</v>
      </c>
      <c r="R597" s="220">
        <f t="shared" si="442"/>
        <v>-10</v>
      </c>
      <c r="T597" s="219">
        <v>45085.0</v>
      </c>
      <c r="U597" s="220" t="str">
        <f t="shared" si="458"/>
        <v/>
      </c>
      <c r="V597" s="220"/>
      <c r="W597" s="220">
        <f t="shared" si="443"/>
        <v>0</v>
      </c>
      <c r="X597" s="220">
        <f t="shared" si="444"/>
        <v>-10</v>
      </c>
      <c r="Z597" s="219">
        <v>45085.0</v>
      </c>
      <c r="AA597" s="220" t="str">
        <f t="shared" si="459"/>
        <v/>
      </c>
      <c r="AB597" s="220"/>
      <c r="AC597" s="220">
        <f t="shared" si="445"/>
        <v>0</v>
      </c>
      <c r="AD597" s="220">
        <f t="shared" si="446"/>
        <v>-10</v>
      </c>
      <c r="AF597" s="219">
        <v>45085.0</v>
      </c>
      <c r="AG597" s="220" t="str">
        <f t="shared" si="460"/>
        <v/>
      </c>
      <c r="AH597" s="220"/>
      <c r="AI597" s="220">
        <f t="shared" si="447"/>
        <v>0</v>
      </c>
      <c r="AJ597" s="220">
        <f t="shared" si="448"/>
        <v>-10</v>
      </c>
      <c r="AL597" s="219">
        <v>45085.0</v>
      </c>
      <c r="AM597" s="220" t="str">
        <f t="shared" si="461"/>
        <v/>
      </c>
      <c r="AN597" s="220"/>
      <c r="AO597" s="220">
        <f t="shared" si="449"/>
        <v>0</v>
      </c>
      <c r="AP597" s="220">
        <f t="shared" si="450"/>
        <v>-10</v>
      </c>
      <c r="AR597" s="219">
        <v>45085.0</v>
      </c>
      <c r="AS597" s="220" t="str">
        <f t="shared" si="462"/>
        <v/>
      </c>
      <c r="AT597" s="220"/>
      <c r="AU597" s="220">
        <f t="shared" si="451"/>
        <v>0</v>
      </c>
      <c r="AV597" s="220">
        <f t="shared" si="452"/>
        <v>-10</v>
      </c>
      <c r="AX597" s="219">
        <v>45085.0</v>
      </c>
      <c r="AY597" s="220" t="str">
        <f t="shared" si="463"/>
        <v/>
      </c>
      <c r="AZ597" s="220"/>
      <c r="BA597" s="220">
        <f t="shared" si="453"/>
        <v>0</v>
      </c>
      <c r="BB597" s="220">
        <f t="shared" si="454"/>
        <v>-10</v>
      </c>
    </row>
    <row r="598" ht="14.25" customHeight="1">
      <c r="A598" s="218"/>
      <c r="B598" s="219">
        <v>45086.0</v>
      </c>
      <c r="C598" s="220" t="str">
        <f t="shared" si="455"/>
        <v/>
      </c>
      <c r="D598" s="220"/>
      <c r="E598" s="220">
        <f t="shared" si="437"/>
        <v>0</v>
      </c>
      <c r="F598" s="220">
        <f t="shared" si="438"/>
        <v>-10</v>
      </c>
      <c r="H598" s="219">
        <v>45086.0</v>
      </c>
      <c r="I598" s="220" t="str">
        <f t="shared" si="456"/>
        <v/>
      </c>
      <c r="J598" s="220"/>
      <c r="K598" s="220">
        <f t="shared" si="439"/>
        <v>0</v>
      </c>
      <c r="L598" s="220">
        <f t="shared" si="440"/>
        <v>-10</v>
      </c>
      <c r="N598" s="219">
        <v>45086.0</v>
      </c>
      <c r="O598" s="220" t="str">
        <f t="shared" si="457"/>
        <v/>
      </c>
      <c r="P598" s="220"/>
      <c r="Q598" s="220">
        <f t="shared" si="441"/>
        <v>0</v>
      </c>
      <c r="R598" s="220">
        <f t="shared" si="442"/>
        <v>-10</v>
      </c>
      <c r="T598" s="219">
        <v>45086.0</v>
      </c>
      <c r="U598" s="220" t="str">
        <f t="shared" si="458"/>
        <v/>
      </c>
      <c r="V598" s="220"/>
      <c r="W598" s="220">
        <f t="shared" si="443"/>
        <v>0</v>
      </c>
      <c r="X598" s="220">
        <f t="shared" si="444"/>
        <v>-10</v>
      </c>
      <c r="Z598" s="219">
        <v>45086.0</v>
      </c>
      <c r="AA598" s="220" t="str">
        <f t="shared" si="459"/>
        <v/>
      </c>
      <c r="AB598" s="220"/>
      <c r="AC598" s="220">
        <f t="shared" si="445"/>
        <v>0</v>
      </c>
      <c r="AD598" s="220">
        <f t="shared" si="446"/>
        <v>-10</v>
      </c>
      <c r="AF598" s="219">
        <v>45086.0</v>
      </c>
      <c r="AG598" s="220" t="str">
        <f t="shared" si="460"/>
        <v/>
      </c>
      <c r="AH598" s="220"/>
      <c r="AI598" s="220">
        <f t="shared" si="447"/>
        <v>0</v>
      </c>
      <c r="AJ598" s="220">
        <f t="shared" si="448"/>
        <v>-10</v>
      </c>
      <c r="AL598" s="219">
        <v>45086.0</v>
      </c>
      <c r="AM598" s="220" t="str">
        <f t="shared" si="461"/>
        <v/>
      </c>
      <c r="AN598" s="220"/>
      <c r="AO598" s="220">
        <f t="shared" si="449"/>
        <v>0</v>
      </c>
      <c r="AP598" s="220">
        <f t="shared" si="450"/>
        <v>-10</v>
      </c>
      <c r="AR598" s="219">
        <v>45086.0</v>
      </c>
      <c r="AS598" s="220" t="str">
        <f t="shared" si="462"/>
        <v/>
      </c>
      <c r="AT598" s="220"/>
      <c r="AU598" s="220">
        <f t="shared" si="451"/>
        <v>0</v>
      </c>
      <c r="AV598" s="220">
        <f t="shared" si="452"/>
        <v>-10</v>
      </c>
      <c r="AX598" s="219">
        <v>45086.0</v>
      </c>
      <c r="AY598" s="220" t="str">
        <f t="shared" si="463"/>
        <v/>
      </c>
      <c r="AZ598" s="220"/>
      <c r="BA598" s="220">
        <f t="shared" si="453"/>
        <v>0</v>
      </c>
      <c r="BB598" s="220">
        <f t="shared" si="454"/>
        <v>-10</v>
      </c>
    </row>
    <row r="599" ht="14.25" customHeight="1">
      <c r="A599" s="218"/>
      <c r="B599" s="219">
        <v>45087.0</v>
      </c>
      <c r="C599" s="220" t="str">
        <f t="shared" si="455"/>
        <v/>
      </c>
      <c r="D599" s="220"/>
      <c r="E599" s="220">
        <f t="shared" si="437"/>
        <v>0</v>
      </c>
      <c r="F599" s="220">
        <f t="shared" si="438"/>
        <v>-10</v>
      </c>
      <c r="G599" s="221"/>
      <c r="H599" s="219">
        <v>45087.0</v>
      </c>
      <c r="I599" s="220" t="str">
        <f t="shared" si="456"/>
        <v/>
      </c>
      <c r="J599" s="220"/>
      <c r="K599" s="220">
        <f t="shared" si="439"/>
        <v>0</v>
      </c>
      <c r="L599" s="220">
        <f t="shared" si="440"/>
        <v>-10</v>
      </c>
      <c r="M599" s="221"/>
      <c r="N599" s="219">
        <v>45087.0</v>
      </c>
      <c r="O599" s="220" t="str">
        <f t="shared" si="457"/>
        <v/>
      </c>
      <c r="P599" s="220"/>
      <c r="Q599" s="220">
        <f t="shared" si="441"/>
        <v>0</v>
      </c>
      <c r="R599" s="220">
        <f t="shared" si="442"/>
        <v>-10</v>
      </c>
      <c r="S599" s="221"/>
      <c r="T599" s="219">
        <v>45087.0</v>
      </c>
      <c r="U599" s="220" t="str">
        <f t="shared" si="458"/>
        <v/>
      </c>
      <c r="V599" s="220"/>
      <c r="W599" s="220">
        <f t="shared" si="443"/>
        <v>0</v>
      </c>
      <c r="X599" s="220">
        <f t="shared" si="444"/>
        <v>-10</v>
      </c>
      <c r="Y599" s="221"/>
      <c r="Z599" s="219">
        <v>45087.0</v>
      </c>
      <c r="AA599" s="220" t="str">
        <f t="shared" si="459"/>
        <v/>
      </c>
      <c r="AB599" s="220"/>
      <c r="AC599" s="220">
        <f t="shared" si="445"/>
        <v>0</v>
      </c>
      <c r="AD599" s="220">
        <f t="shared" si="446"/>
        <v>-10</v>
      </c>
      <c r="AE599" s="221"/>
      <c r="AF599" s="219">
        <v>45087.0</v>
      </c>
      <c r="AG599" s="220" t="str">
        <f t="shared" si="460"/>
        <v/>
      </c>
      <c r="AH599" s="220"/>
      <c r="AI599" s="220">
        <f t="shared" si="447"/>
        <v>0</v>
      </c>
      <c r="AJ599" s="220">
        <f t="shared" si="448"/>
        <v>-10</v>
      </c>
      <c r="AK599" s="221"/>
      <c r="AL599" s="219">
        <v>45087.0</v>
      </c>
      <c r="AM599" s="220" t="str">
        <f t="shared" si="461"/>
        <v/>
      </c>
      <c r="AN599" s="220"/>
      <c r="AO599" s="220">
        <f t="shared" si="449"/>
        <v>0</v>
      </c>
      <c r="AP599" s="220">
        <f t="shared" si="450"/>
        <v>-10</v>
      </c>
      <c r="AQ599" s="221"/>
      <c r="AR599" s="219">
        <v>45087.0</v>
      </c>
      <c r="AS599" s="220" t="str">
        <f t="shared" si="462"/>
        <v/>
      </c>
      <c r="AT599" s="220"/>
      <c r="AU599" s="220">
        <f t="shared" si="451"/>
        <v>0</v>
      </c>
      <c r="AV599" s="220">
        <f t="shared" si="452"/>
        <v>-10</v>
      </c>
      <c r="AW599" s="221"/>
      <c r="AX599" s="219">
        <v>45087.0</v>
      </c>
      <c r="AY599" s="220" t="str">
        <f t="shared" si="463"/>
        <v/>
      </c>
      <c r="AZ599" s="220"/>
      <c r="BA599" s="220">
        <f t="shared" si="453"/>
        <v>0</v>
      </c>
      <c r="BB599" s="220">
        <f t="shared" si="454"/>
        <v>-10</v>
      </c>
    </row>
    <row r="600" ht="14.25" customHeight="1">
      <c r="A600" s="218"/>
      <c r="B600" s="219">
        <v>45088.0</v>
      </c>
      <c r="C600" s="220" t="str">
        <f t="shared" si="455"/>
        <v/>
      </c>
      <c r="D600" s="220"/>
      <c r="E600" s="220">
        <f t="shared" si="437"/>
        <v>0</v>
      </c>
      <c r="F600" s="220">
        <f t="shared" si="438"/>
        <v>-10</v>
      </c>
      <c r="G600" s="221"/>
      <c r="H600" s="219">
        <v>45088.0</v>
      </c>
      <c r="I600" s="220" t="str">
        <f t="shared" si="456"/>
        <v/>
      </c>
      <c r="J600" s="220"/>
      <c r="K600" s="220">
        <f t="shared" si="439"/>
        <v>0</v>
      </c>
      <c r="L600" s="220">
        <f t="shared" si="440"/>
        <v>-10</v>
      </c>
      <c r="M600" s="221"/>
      <c r="N600" s="219">
        <v>45088.0</v>
      </c>
      <c r="O600" s="220" t="str">
        <f t="shared" si="457"/>
        <v/>
      </c>
      <c r="P600" s="220"/>
      <c r="Q600" s="220">
        <f t="shared" si="441"/>
        <v>0</v>
      </c>
      <c r="R600" s="220">
        <f t="shared" si="442"/>
        <v>-10</v>
      </c>
      <c r="S600" s="221"/>
      <c r="T600" s="219">
        <v>45088.0</v>
      </c>
      <c r="U600" s="220" t="str">
        <f t="shared" si="458"/>
        <v/>
      </c>
      <c r="V600" s="220"/>
      <c r="W600" s="220">
        <f t="shared" si="443"/>
        <v>0</v>
      </c>
      <c r="X600" s="220">
        <f t="shared" si="444"/>
        <v>-10</v>
      </c>
      <c r="Y600" s="221"/>
      <c r="Z600" s="219">
        <v>45088.0</v>
      </c>
      <c r="AA600" s="220" t="str">
        <f t="shared" si="459"/>
        <v/>
      </c>
      <c r="AB600" s="220"/>
      <c r="AC600" s="220">
        <f t="shared" si="445"/>
        <v>0</v>
      </c>
      <c r="AD600" s="220">
        <f t="shared" si="446"/>
        <v>-10</v>
      </c>
      <c r="AE600" s="221"/>
      <c r="AF600" s="219">
        <v>45088.0</v>
      </c>
      <c r="AG600" s="220" t="str">
        <f t="shared" si="460"/>
        <v/>
      </c>
      <c r="AH600" s="220"/>
      <c r="AI600" s="220">
        <f t="shared" si="447"/>
        <v>0</v>
      </c>
      <c r="AJ600" s="220">
        <f t="shared" si="448"/>
        <v>-10</v>
      </c>
      <c r="AK600" s="221"/>
      <c r="AL600" s="219">
        <v>45088.0</v>
      </c>
      <c r="AM600" s="220" t="str">
        <f t="shared" si="461"/>
        <v/>
      </c>
      <c r="AN600" s="220"/>
      <c r="AO600" s="220">
        <f t="shared" si="449"/>
        <v>0</v>
      </c>
      <c r="AP600" s="220">
        <f t="shared" si="450"/>
        <v>-10</v>
      </c>
      <c r="AQ600" s="221"/>
      <c r="AR600" s="219">
        <v>45088.0</v>
      </c>
      <c r="AS600" s="220" t="str">
        <f t="shared" si="462"/>
        <v/>
      </c>
      <c r="AT600" s="220"/>
      <c r="AU600" s="220">
        <f t="shared" si="451"/>
        <v>0</v>
      </c>
      <c r="AV600" s="220">
        <f t="shared" si="452"/>
        <v>-10</v>
      </c>
      <c r="AW600" s="221"/>
      <c r="AX600" s="219">
        <v>45088.0</v>
      </c>
      <c r="AY600" s="220" t="str">
        <f t="shared" si="463"/>
        <v/>
      </c>
      <c r="AZ600" s="220"/>
      <c r="BA600" s="220">
        <f t="shared" si="453"/>
        <v>0</v>
      </c>
      <c r="BB600" s="220">
        <f t="shared" si="454"/>
        <v>-10</v>
      </c>
    </row>
    <row r="601" ht="14.25" customHeight="1">
      <c r="A601" s="218"/>
      <c r="B601" s="219">
        <v>45089.0</v>
      </c>
      <c r="C601" s="220" t="str">
        <f t="shared" si="455"/>
        <v/>
      </c>
      <c r="D601" s="220"/>
      <c r="E601" s="220">
        <f t="shared" si="437"/>
        <v>0</v>
      </c>
      <c r="F601" s="220">
        <f t="shared" si="438"/>
        <v>-10</v>
      </c>
      <c r="H601" s="219">
        <v>45089.0</v>
      </c>
      <c r="I601" s="220" t="str">
        <f t="shared" si="456"/>
        <v/>
      </c>
      <c r="J601" s="220"/>
      <c r="K601" s="220">
        <f t="shared" si="439"/>
        <v>0</v>
      </c>
      <c r="L601" s="220">
        <f t="shared" si="440"/>
        <v>-10</v>
      </c>
      <c r="N601" s="219">
        <v>45089.0</v>
      </c>
      <c r="O601" s="220" t="str">
        <f t="shared" si="457"/>
        <v/>
      </c>
      <c r="P601" s="220"/>
      <c r="Q601" s="220">
        <f t="shared" si="441"/>
        <v>0</v>
      </c>
      <c r="R601" s="220">
        <f t="shared" si="442"/>
        <v>-10</v>
      </c>
      <c r="T601" s="219">
        <v>45089.0</v>
      </c>
      <c r="U601" s="220" t="str">
        <f t="shared" si="458"/>
        <v/>
      </c>
      <c r="V601" s="220"/>
      <c r="W601" s="220">
        <f t="shared" si="443"/>
        <v>0</v>
      </c>
      <c r="X601" s="220">
        <f t="shared" si="444"/>
        <v>-10</v>
      </c>
      <c r="Z601" s="219">
        <v>45089.0</v>
      </c>
      <c r="AA601" s="220" t="str">
        <f t="shared" si="459"/>
        <v/>
      </c>
      <c r="AB601" s="220"/>
      <c r="AC601" s="220">
        <f t="shared" si="445"/>
        <v>0</v>
      </c>
      <c r="AD601" s="220">
        <f t="shared" si="446"/>
        <v>-10</v>
      </c>
      <c r="AF601" s="219">
        <v>45089.0</v>
      </c>
      <c r="AG601" s="220" t="str">
        <f t="shared" si="460"/>
        <v/>
      </c>
      <c r="AH601" s="220"/>
      <c r="AI601" s="220">
        <f t="shared" si="447"/>
        <v>0</v>
      </c>
      <c r="AJ601" s="220">
        <f t="shared" si="448"/>
        <v>-10</v>
      </c>
      <c r="AL601" s="219">
        <v>45089.0</v>
      </c>
      <c r="AM601" s="220" t="str">
        <f t="shared" si="461"/>
        <v/>
      </c>
      <c r="AN601" s="220"/>
      <c r="AO601" s="220">
        <f t="shared" si="449"/>
        <v>0</v>
      </c>
      <c r="AP601" s="220">
        <f t="shared" si="450"/>
        <v>-10</v>
      </c>
      <c r="AR601" s="219">
        <v>45089.0</v>
      </c>
      <c r="AS601" s="220" t="str">
        <f t="shared" si="462"/>
        <v/>
      </c>
      <c r="AT601" s="220"/>
      <c r="AU601" s="220">
        <f t="shared" si="451"/>
        <v>0</v>
      </c>
      <c r="AV601" s="220">
        <f t="shared" si="452"/>
        <v>-10</v>
      </c>
      <c r="AX601" s="219">
        <v>45089.0</v>
      </c>
      <c r="AY601" s="220" t="str">
        <f t="shared" si="463"/>
        <v/>
      </c>
      <c r="AZ601" s="220"/>
      <c r="BA601" s="220">
        <f t="shared" si="453"/>
        <v>0</v>
      </c>
      <c r="BB601" s="220">
        <f t="shared" si="454"/>
        <v>-10</v>
      </c>
    </row>
    <row r="602" ht="14.25" customHeight="1">
      <c r="A602" s="218"/>
      <c r="B602" s="219">
        <v>45090.0</v>
      </c>
      <c r="C602" s="220" t="str">
        <f t="shared" si="455"/>
        <v/>
      </c>
      <c r="D602" s="220"/>
      <c r="E602" s="220">
        <f t="shared" si="437"/>
        <v>0</v>
      </c>
      <c r="F602" s="220">
        <f t="shared" si="438"/>
        <v>-10</v>
      </c>
      <c r="H602" s="219">
        <v>45090.0</v>
      </c>
      <c r="I602" s="220" t="str">
        <f t="shared" si="456"/>
        <v/>
      </c>
      <c r="J602" s="220"/>
      <c r="K602" s="220">
        <f t="shared" si="439"/>
        <v>0</v>
      </c>
      <c r="L602" s="220">
        <f t="shared" si="440"/>
        <v>-10</v>
      </c>
      <c r="N602" s="219">
        <v>45090.0</v>
      </c>
      <c r="O602" s="220" t="str">
        <f t="shared" si="457"/>
        <v/>
      </c>
      <c r="P602" s="220"/>
      <c r="Q602" s="220">
        <f t="shared" si="441"/>
        <v>0</v>
      </c>
      <c r="R602" s="220">
        <f t="shared" si="442"/>
        <v>-10</v>
      </c>
      <c r="T602" s="219">
        <v>45090.0</v>
      </c>
      <c r="U602" s="220" t="str">
        <f t="shared" si="458"/>
        <v/>
      </c>
      <c r="V602" s="220"/>
      <c r="W602" s="220">
        <f t="shared" si="443"/>
        <v>0</v>
      </c>
      <c r="X602" s="220">
        <f t="shared" si="444"/>
        <v>-10</v>
      </c>
      <c r="Z602" s="219">
        <v>45090.0</v>
      </c>
      <c r="AA602" s="220" t="str">
        <f t="shared" si="459"/>
        <v/>
      </c>
      <c r="AB602" s="220"/>
      <c r="AC602" s="220">
        <f t="shared" si="445"/>
        <v>0</v>
      </c>
      <c r="AD602" s="220">
        <f t="shared" si="446"/>
        <v>-10</v>
      </c>
      <c r="AF602" s="219">
        <v>45090.0</v>
      </c>
      <c r="AG602" s="220" t="str">
        <f t="shared" si="460"/>
        <v/>
      </c>
      <c r="AH602" s="220"/>
      <c r="AI602" s="220">
        <f t="shared" si="447"/>
        <v>0</v>
      </c>
      <c r="AJ602" s="220">
        <f t="shared" si="448"/>
        <v>-10</v>
      </c>
      <c r="AL602" s="219">
        <v>45090.0</v>
      </c>
      <c r="AM602" s="220" t="str">
        <f t="shared" si="461"/>
        <v/>
      </c>
      <c r="AN602" s="220"/>
      <c r="AO602" s="220">
        <f t="shared" si="449"/>
        <v>0</v>
      </c>
      <c r="AP602" s="220">
        <f t="shared" si="450"/>
        <v>-10</v>
      </c>
      <c r="AR602" s="219">
        <v>45090.0</v>
      </c>
      <c r="AS602" s="220" t="str">
        <f t="shared" si="462"/>
        <v/>
      </c>
      <c r="AT602" s="220"/>
      <c r="AU602" s="220">
        <f t="shared" si="451"/>
        <v>0</v>
      </c>
      <c r="AV602" s="220">
        <f t="shared" si="452"/>
        <v>-10</v>
      </c>
      <c r="AX602" s="219">
        <v>45090.0</v>
      </c>
      <c r="AY602" s="220" t="str">
        <f t="shared" si="463"/>
        <v/>
      </c>
      <c r="AZ602" s="220"/>
      <c r="BA602" s="220">
        <f t="shared" si="453"/>
        <v>0</v>
      </c>
      <c r="BB602" s="220">
        <f t="shared" si="454"/>
        <v>-10</v>
      </c>
    </row>
    <row r="603" ht="14.25" customHeight="1">
      <c r="A603" s="218"/>
      <c r="B603" s="219">
        <v>45091.0</v>
      </c>
      <c r="C603" s="220" t="str">
        <f t="shared" si="455"/>
        <v/>
      </c>
      <c r="D603" s="220"/>
      <c r="E603" s="220">
        <f t="shared" si="437"/>
        <v>0</v>
      </c>
      <c r="F603" s="220">
        <f t="shared" si="438"/>
        <v>-10</v>
      </c>
      <c r="H603" s="219">
        <v>45091.0</v>
      </c>
      <c r="I603" s="220" t="str">
        <f t="shared" si="456"/>
        <v/>
      </c>
      <c r="J603" s="220"/>
      <c r="K603" s="220">
        <f t="shared" si="439"/>
        <v>0</v>
      </c>
      <c r="L603" s="220">
        <f t="shared" si="440"/>
        <v>-10</v>
      </c>
      <c r="N603" s="219">
        <v>45091.0</v>
      </c>
      <c r="O603" s="220" t="str">
        <f t="shared" si="457"/>
        <v/>
      </c>
      <c r="P603" s="220"/>
      <c r="Q603" s="220">
        <f t="shared" si="441"/>
        <v>0</v>
      </c>
      <c r="R603" s="220">
        <f t="shared" si="442"/>
        <v>-10</v>
      </c>
      <c r="T603" s="219">
        <v>45091.0</v>
      </c>
      <c r="U603" s="220" t="str">
        <f t="shared" si="458"/>
        <v/>
      </c>
      <c r="V603" s="220"/>
      <c r="W603" s="220">
        <f t="shared" si="443"/>
        <v>0</v>
      </c>
      <c r="X603" s="220">
        <f t="shared" si="444"/>
        <v>-10</v>
      </c>
      <c r="Z603" s="219">
        <v>45091.0</v>
      </c>
      <c r="AA603" s="220" t="str">
        <f t="shared" si="459"/>
        <v/>
      </c>
      <c r="AB603" s="220"/>
      <c r="AC603" s="220">
        <f t="shared" si="445"/>
        <v>0</v>
      </c>
      <c r="AD603" s="220">
        <f t="shared" si="446"/>
        <v>-10</v>
      </c>
      <c r="AF603" s="219">
        <v>45091.0</v>
      </c>
      <c r="AG603" s="220" t="str">
        <f t="shared" si="460"/>
        <v/>
      </c>
      <c r="AH603" s="220"/>
      <c r="AI603" s="220">
        <f t="shared" si="447"/>
        <v>0</v>
      </c>
      <c r="AJ603" s="220">
        <f t="shared" si="448"/>
        <v>-10</v>
      </c>
      <c r="AL603" s="219">
        <v>45091.0</v>
      </c>
      <c r="AM603" s="220" t="str">
        <f t="shared" si="461"/>
        <v/>
      </c>
      <c r="AN603" s="220"/>
      <c r="AO603" s="220">
        <f t="shared" si="449"/>
        <v>0</v>
      </c>
      <c r="AP603" s="220">
        <f t="shared" si="450"/>
        <v>-10</v>
      </c>
      <c r="AR603" s="219">
        <v>45091.0</v>
      </c>
      <c r="AS603" s="220" t="str">
        <f t="shared" si="462"/>
        <v/>
      </c>
      <c r="AT603" s="220"/>
      <c r="AU603" s="220">
        <f t="shared" si="451"/>
        <v>0</v>
      </c>
      <c r="AV603" s="220">
        <f t="shared" si="452"/>
        <v>-10</v>
      </c>
      <c r="AX603" s="219">
        <v>45091.0</v>
      </c>
      <c r="AY603" s="220" t="str">
        <f t="shared" si="463"/>
        <v/>
      </c>
      <c r="AZ603" s="220"/>
      <c r="BA603" s="220">
        <f t="shared" si="453"/>
        <v>0</v>
      </c>
      <c r="BB603" s="220">
        <f t="shared" si="454"/>
        <v>-10</v>
      </c>
    </row>
    <row r="604" ht="14.25" customHeight="1">
      <c r="A604" s="218"/>
      <c r="B604" s="219">
        <v>45092.0</v>
      </c>
      <c r="C604" s="220" t="str">
        <f t="shared" si="455"/>
        <v/>
      </c>
      <c r="D604" s="220"/>
      <c r="E604" s="220">
        <f t="shared" si="437"/>
        <v>0</v>
      </c>
      <c r="F604" s="220">
        <f t="shared" si="438"/>
        <v>-10</v>
      </c>
      <c r="H604" s="219">
        <v>45092.0</v>
      </c>
      <c r="I604" s="220" t="str">
        <f t="shared" si="456"/>
        <v/>
      </c>
      <c r="J604" s="220"/>
      <c r="K604" s="220">
        <f t="shared" si="439"/>
        <v>0</v>
      </c>
      <c r="L604" s="220">
        <f t="shared" si="440"/>
        <v>-10</v>
      </c>
      <c r="N604" s="219">
        <v>45092.0</v>
      </c>
      <c r="O604" s="220" t="str">
        <f t="shared" si="457"/>
        <v/>
      </c>
      <c r="P604" s="220"/>
      <c r="Q604" s="220">
        <f t="shared" si="441"/>
        <v>0</v>
      </c>
      <c r="R604" s="220">
        <f t="shared" si="442"/>
        <v>-10</v>
      </c>
      <c r="T604" s="219">
        <v>45092.0</v>
      </c>
      <c r="U604" s="220" t="str">
        <f t="shared" si="458"/>
        <v/>
      </c>
      <c r="V604" s="220"/>
      <c r="W604" s="220">
        <f t="shared" si="443"/>
        <v>0</v>
      </c>
      <c r="X604" s="220">
        <f t="shared" si="444"/>
        <v>-10</v>
      </c>
      <c r="Z604" s="219">
        <v>45092.0</v>
      </c>
      <c r="AA604" s="220" t="str">
        <f t="shared" si="459"/>
        <v/>
      </c>
      <c r="AB604" s="220"/>
      <c r="AC604" s="220">
        <f t="shared" si="445"/>
        <v>0</v>
      </c>
      <c r="AD604" s="220">
        <f t="shared" si="446"/>
        <v>-10</v>
      </c>
      <c r="AF604" s="219">
        <v>45092.0</v>
      </c>
      <c r="AG604" s="220" t="str">
        <f t="shared" si="460"/>
        <v/>
      </c>
      <c r="AH604" s="220"/>
      <c r="AI604" s="220">
        <f t="shared" si="447"/>
        <v>0</v>
      </c>
      <c r="AJ604" s="220">
        <f t="shared" si="448"/>
        <v>-10</v>
      </c>
      <c r="AL604" s="219">
        <v>45092.0</v>
      </c>
      <c r="AM604" s="220" t="str">
        <f t="shared" si="461"/>
        <v/>
      </c>
      <c r="AN604" s="220"/>
      <c r="AO604" s="220">
        <f t="shared" si="449"/>
        <v>0</v>
      </c>
      <c r="AP604" s="220">
        <f t="shared" si="450"/>
        <v>-10</v>
      </c>
      <c r="AR604" s="219">
        <v>45092.0</v>
      </c>
      <c r="AS604" s="220" t="str">
        <f t="shared" si="462"/>
        <v/>
      </c>
      <c r="AT604" s="220"/>
      <c r="AU604" s="220">
        <f t="shared" si="451"/>
        <v>0</v>
      </c>
      <c r="AV604" s="220">
        <f t="shared" si="452"/>
        <v>-10</v>
      </c>
      <c r="AX604" s="219">
        <v>45092.0</v>
      </c>
      <c r="AY604" s="220" t="str">
        <f t="shared" si="463"/>
        <v/>
      </c>
      <c r="AZ604" s="220"/>
      <c r="BA604" s="220">
        <f t="shared" si="453"/>
        <v>0</v>
      </c>
      <c r="BB604" s="220">
        <f t="shared" si="454"/>
        <v>-10</v>
      </c>
    </row>
    <row r="605" ht="14.25" customHeight="1">
      <c r="A605" s="218"/>
      <c r="B605" s="219">
        <v>45093.0</v>
      </c>
      <c r="C605" s="220" t="str">
        <f t="shared" si="455"/>
        <v/>
      </c>
      <c r="D605" s="220"/>
      <c r="E605" s="220">
        <f t="shared" si="437"/>
        <v>0</v>
      </c>
      <c r="F605" s="220">
        <f t="shared" si="438"/>
        <v>-10</v>
      </c>
      <c r="H605" s="219">
        <v>45093.0</v>
      </c>
      <c r="I605" s="220" t="str">
        <f t="shared" si="456"/>
        <v/>
      </c>
      <c r="J605" s="220"/>
      <c r="K605" s="220">
        <f t="shared" si="439"/>
        <v>0</v>
      </c>
      <c r="L605" s="220">
        <f t="shared" si="440"/>
        <v>-10</v>
      </c>
      <c r="N605" s="219">
        <v>45093.0</v>
      </c>
      <c r="O605" s="220" t="str">
        <f t="shared" si="457"/>
        <v/>
      </c>
      <c r="P605" s="220"/>
      <c r="Q605" s="220">
        <f t="shared" si="441"/>
        <v>0</v>
      </c>
      <c r="R605" s="220">
        <f t="shared" si="442"/>
        <v>-10</v>
      </c>
      <c r="T605" s="219">
        <v>45093.0</v>
      </c>
      <c r="U605" s="220" t="str">
        <f t="shared" si="458"/>
        <v/>
      </c>
      <c r="V605" s="220"/>
      <c r="W605" s="220">
        <f t="shared" si="443"/>
        <v>0</v>
      </c>
      <c r="X605" s="220">
        <f t="shared" si="444"/>
        <v>-10</v>
      </c>
      <c r="Z605" s="219">
        <v>45093.0</v>
      </c>
      <c r="AA605" s="220" t="str">
        <f t="shared" si="459"/>
        <v/>
      </c>
      <c r="AB605" s="220"/>
      <c r="AC605" s="220">
        <f t="shared" si="445"/>
        <v>0</v>
      </c>
      <c r="AD605" s="220">
        <f t="shared" si="446"/>
        <v>-10</v>
      </c>
      <c r="AF605" s="219">
        <v>45093.0</v>
      </c>
      <c r="AG605" s="220" t="str">
        <f t="shared" si="460"/>
        <v/>
      </c>
      <c r="AH605" s="220"/>
      <c r="AI605" s="220">
        <f t="shared" si="447"/>
        <v>0</v>
      </c>
      <c r="AJ605" s="220">
        <f t="shared" si="448"/>
        <v>-10</v>
      </c>
      <c r="AL605" s="219">
        <v>45093.0</v>
      </c>
      <c r="AM605" s="220" t="str">
        <f t="shared" si="461"/>
        <v/>
      </c>
      <c r="AN605" s="220"/>
      <c r="AO605" s="220">
        <f t="shared" si="449"/>
        <v>0</v>
      </c>
      <c r="AP605" s="220">
        <f t="shared" si="450"/>
        <v>-10</v>
      </c>
      <c r="AR605" s="219">
        <v>45093.0</v>
      </c>
      <c r="AS605" s="220" t="str">
        <f t="shared" si="462"/>
        <v/>
      </c>
      <c r="AT605" s="220"/>
      <c r="AU605" s="220">
        <f t="shared" si="451"/>
        <v>0</v>
      </c>
      <c r="AV605" s="220">
        <f t="shared" si="452"/>
        <v>-10</v>
      </c>
      <c r="AX605" s="219">
        <v>45093.0</v>
      </c>
      <c r="AY605" s="220" t="str">
        <f t="shared" si="463"/>
        <v/>
      </c>
      <c r="AZ605" s="220"/>
      <c r="BA605" s="220">
        <f t="shared" si="453"/>
        <v>0</v>
      </c>
      <c r="BB605" s="220">
        <f t="shared" si="454"/>
        <v>-10</v>
      </c>
    </row>
    <row r="606" ht="14.25" customHeight="1">
      <c r="A606" s="218"/>
      <c r="B606" s="219">
        <v>45094.0</v>
      </c>
      <c r="C606" s="220" t="str">
        <f t="shared" si="455"/>
        <v/>
      </c>
      <c r="D606" s="220"/>
      <c r="E606" s="220">
        <f t="shared" si="437"/>
        <v>0</v>
      </c>
      <c r="F606" s="220">
        <f t="shared" si="438"/>
        <v>-10</v>
      </c>
      <c r="G606" s="221"/>
      <c r="H606" s="219">
        <v>45094.0</v>
      </c>
      <c r="I606" s="220" t="str">
        <f t="shared" si="456"/>
        <v/>
      </c>
      <c r="J606" s="220"/>
      <c r="K606" s="220">
        <f t="shared" si="439"/>
        <v>0</v>
      </c>
      <c r="L606" s="220">
        <f t="shared" si="440"/>
        <v>-10</v>
      </c>
      <c r="M606" s="221"/>
      <c r="N606" s="219">
        <v>45094.0</v>
      </c>
      <c r="O606" s="220" t="str">
        <f t="shared" si="457"/>
        <v/>
      </c>
      <c r="P606" s="220"/>
      <c r="Q606" s="220">
        <f t="shared" si="441"/>
        <v>0</v>
      </c>
      <c r="R606" s="220">
        <f t="shared" si="442"/>
        <v>-10</v>
      </c>
      <c r="S606" s="221"/>
      <c r="T606" s="219">
        <v>45094.0</v>
      </c>
      <c r="U606" s="220" t="str">
        <f t="shared" si="458"/>
        <v/>
      </c>
      <c r="V606" s="220"/>
      <c r="W606" s="220">
        <f t="shared" si="443"/>
        <v>0</v>
      </c>
      <c r="X606" s="220">
        <f t="shared" si="444"/>
        <v>-10</v>
      </c>
      <c r="Y606" s="221"/>
      <c r="Z606" s="219">
        <v>45094.0</v>
      </c>
      <c r="AA606" s="220" t="str">
        <f t="shared" si="459"/>
        <v/>
      </c>
      <c r="AB606" s="220"/>
      <c r="AC606" s="220">
        <f t="shared" si="445"/>
        <v>0</v>
      </c>
      <c r="AD606" s="220">
        <f t="shared" si="446"/>
        <v>-10</v>
      </c>
      <c r="AE606" s="221"/>
      <c r="AF606" s="219">
        <v>45094.0</v>
      </c>
      <c r="AG606" s="220" t="str">
        <f t="shared" si="460"/>
        <v/>
      </c>
      <c r="AH606" s="220"/>
      <c r="AI606" s="220">
        <f t="shared" si="447"/>
        <v>0</v>
      </c>
      <c r="AJ606" s="220">
        <f t="shared" si="448"/>
        <v>-10</v>
      </c>
      <c r="AK606" s="221"/>
      <c r="AL606" s="219">
        <v>45094.0</v>
      </c>
      <c r="AM606" s="220" t="str">
        <f t="shared" si="461"/>
        <v/>
      </c>
      <c r="AN606" s="220"/>
      <c r="AO606" s="220">
        <f t="shared" si="449"/>
        <v>0</v>
      </c>
      <c r="AP606" s="220">
        <f t="shared" si="450"/>
        <v>-10</v>
      </c>
      <c r="AQ606" s="221"/>
      <c r="AR606" s="219">
        <v>45094.0</v>
      </c>
      <c r="AS606" s="220" t="str">
        <f t="shared" si="462"/>
        <v/>
      </c>
      <c r="AT606" s="220"/>
      <c r="AU606" s="220">
        <f t="shared" si="451"/>
        <v>0</v>
      </c>
      <c r="AV606" s="220">
        <f t="shared" si="452"/>
        <v>-10</v>
      </c>
      <c r="AW606" s="221"/>
      <c r="AX606" s="219">
        <v>45094.0</v>
      </c>
      <c r="AY606" s="220" t="str">
        <f t="shared" si="463"/>
        <v/>
      </c>
      <c r="AZ606" s="220"/>
      <c r="BA606" s="220">
        <f t="shared" si="453"/>
        <v>0</v>
      </c>
      <c r="BB606" s="220">
        <f t="shared" si="454"/>
        <v>-10</v>
      </c>
    </row>
    <row r="607" ht="14.25" customHeight="1">
      <c r="A607" s="218"/>
      <c r="B607" s="219">
        <v>45095.0</v>
      </c>
      <c r="C607" s="220" t="str">
        <f t="shared" si="455"/>
        <v/>
      </c>
      <c r="D607" s="220"/>
      <c r="E607" s="220">
        <f t="shared" si="437"/>
        <v>0</v>
      </c>
      <c r="F607" s="220">
        <f t="shared" si="438"/>
        <v>-10</v>
      </c>
      <c r="G607" s="221"/>
      <c r="H607" s="219">
        <v>45095.0</v>
      </c>
      <c r="I607" s="220" t="str">
        <f t="shared" si="456"/>
        <v/>
      </c>
      <c r="J607" s="220"/>
      <c r="K607" s="220">
        <f t="shared" si="439"/>
        <v>0</v>
      </c>
      <c r="L607" s="220">
        <f t="shared" si="440"/>
        <v>-10</v>
      </c>
      <c r="M607" s="221"/>
      <c r="N607" s="219">
        <v>45095.0</v>
      </c>
      <c r="O607" s="220" t="str">
        <f t="shared" si="457"/>
        <v/>
      </c>
      <c r="P607" s="220"/>
      <c r="Q607" s="220">
        <f t="shared" si="441"/>
        <v>0</v>
      </c>
      <c r="R607" s="220">
        <f t="shared" si="442"/>
        <v>-10</v>
      </c>
      <c r="S607" s="221"/>
      <c r="T607" s="219">
        <v>45095.0</v>
      </c>
      <c r="U607" s="220" t="str">
        <f t="shared" si="458"/>
        <v/>
      </c>
      <c r="V607" s="220"/>
      <c r="W607" s="220">
        <f t="shared" si="443"/>
        <v>0</v>
      </c>
      <c r="X607" s="220">
        <f t="shared" si="444"/>
        <v>-10</v>
      </c>
      <c r="Y607" s="221"/>
      <c r="Z607" s="219">
        <v>45095.0</v>
      </c>
      <c r="AA607" s="220" t="str">
        <f t="shared" si="459"/>
        <v/>
      </c>
      <c r="AB607" s="220"/>
      <c r="AC607" s="220">
        <f t="shared" si="445"/>
        <v>0</v>
      </c>
      <c r="AD607" s="220">
        <f t="shared" si="446"/>
        <v>-10</v>
      </c>
      <c r="AE607" s="221"/>
      <c r="AF607" s="219">
        <v>45095.0</v>
      </c>
      <c r="AG607" s="220" t="str">
        <f t="shared" si="460"/>
        <v/>
      </c>
      <c r="AH607" s="220"/>
      <c r="AI607" s="220">
        <f t="shared" si="447"/>
        <v>0</v>
      </c>
      <c r="AJ607" s="220">
        <f t="shared" si="448"/>
        <v>-10</v>
      </c>
      <c r="AK607" s="221"/>
      <c r="AL607" s="219">
        <v>45095.0</v>
      </c>
      <c r="AM607" s="220" t="str">
        <f t="shared" si="461"/>
        <v/>
      </c>
      <c r="AN607" s="220"/>
      <c r="AO607" s="220">
        <f t="shared" si="449"/>
        <v>0</v>
      </c>
      <c r="AP607" s="220">
        <f t="shared" si="450"/>
        <v>-10</v>
      </c>
      <c r="AQ607" s="221"/>
      <c r="AR607" s="219">
        <v>45095.0</v>
      </c>
      <c r="AS607" s="220" t="str">
        <f t="shared" si="462"/>
        <v/>
      </c>
      <c r="AT607" s="220"/>
      <c r="AU607" s="220">
        <f t="shared" si="451"/>
        <v>0</v>
      </c>
      <c r="AV607" s="220">
        <f t="shared" si="452"/>
        <v>-10</v>
      </c>
      <c r="AW607" s="221"/>
      <c r="AX607" s="219">
        <v>45095.0</v>
      </c>
      <c r="AY607" s="220" t="str">
        <f t="shared" si="463"/>
        <v/>
      </c>
      <c r="AZ607" s="220"/>
      <c r="BA607" s="220">
        <f t="shared" si="453"/>
        <v>0</v>
      </c>
      <c r="BB607" s="220">
        <f t="shared" si="454"/>
        <v>-10</v>
      </c>
    </row>
    <row r="608" ht="14.25" customHeight="1">
      <c r="A608" s="218"/>
      <c r="B608" s="219">
        <v>45096.0</v>
      </c>
      <c r="C608" s="220" t="str">
        <f t="shared" si="455"/>
        <v/>
      </c>
      <c r="D608" s="220"/>
      <c r="E608" s="220">
        <f t="shared" si="437"/>
        <v>0</v>
      </c>
      <c r="F608" s="220">
        <f t="shared" si="438"/>
        <v>-10</v>
      </c>
      <c r="H608" s="219">
        <v>45096.0</v>
      </c>
      <c r="I608" s="220" t="str">
        <f t="shared" si="456"/>
        <v/>
      </c>
      <c r="J608" s="220"/>
      <c r="K608" s="220">
        <f t="shared" si="439"/>
        <v>0</v>
      </c>
      <c r="L608" s="220">
        <f t="shared" si="440"/>
        <v>-10</v>
      </c>
      <c r="N608" s="219">
        <v>45096.0</v>
      </c>
      <c r="O608" s="220" t="str">
        <f t="shared" si="457"/>
        <v/>
      </c>
      <c r="P608" s="220"/>
      <c r="Q608" s="220">
        <f t="shared" si="441"/>
        <v>0</v>
      </c>
      <c r="R608" s="220">
        <f t="shared" si="442"/>
        <v>-10</v>
      </c>
      <c r="T608" s="219">
        <v>45096.0</v>
      </c>
      <c r="U608" s="220" t="str">
        <f t="shared" si="458"/>
        <v/>
      </c>
      <c r="V608" s="220"/>
      <c r="W608" s="220">
        <f t="shared" si="443"/>
        <v>0</v>
      </c>
      <c r="X608" s="220">
        <f t="shared" si="444"/>
        <v>-10</v>
      </c>
      <c r="Z608" s="219">
        <v>45096.0</v>
      </c>
      <c r="AA608" s="220" t="str">
        <f t="shared" si="459"/>
        <v/>
      </c>
      <c r="AB608" s="220"/>
      <c r="AC608" s="220">
        <f t="shared" si="445"/>
        <v>0</v>
      </c>
      <c r="AD608" s="220">
        <f t="shared" si="446"/>
        <v>-10</v>
      </c>
      <c r="AF608" s="219">
        <v>45096.0</v>
      </c>
      <c r="AG608" s="220" t="str">
        <f t="shared" si="460"/>
        <v/>
      </c>
      <c r="AH608" s="220"/>
      <c r="AI608" s="220">
        <f t="shared" si="447"/>
        <v>0</v>
      </c>
      <c r="AJ608" s="220">
        <f t="shared" si="448"/>
        <v>-10</v>
      </c>
      <c r="AL608" s="219">
        <v>45096.0</v>
      </c>
      <c r="AM608" s="220" t="str">
        <f t="shared" si="461"/>
        <v/>
      </c>
      <c r="AN608" s="220"/>
      <c r="AO608" s="220">
        <f t="shared" si="449"/>
        <v>0</v>
      </c>
      <c r="AP608" s="220">
        <f t="shared" si="450"/>
        <v>-10</v>
      </c>
      <c r="AR608" s="219">
        <v>45096.0</v>
      </c>
      <c r="AS608" s="220" t="str">
        <f t="shared" si="462"/>
        <v/>
      </c>
      <c r="AT608" s="220"/>
      <c r="AU608" s="220">
        <f t="shared" si="451"/>
        <v>0</v>
      </c>
      <c r="AV608" s="220">
        <f t="shared" si="452"/>
        <v>-10</v>
      </c>
      <c r="AX608" s="219">
        <v>45096.0</v>
      </c>
      <c r="AY608" s="220" t="str">
        <f t="shared" si="463"/>
        <v/>
      </c>
      <c r="AZ608" s="220"/>
      <c r="BA608" s="220">
        <f t="shared" si="453"/>
        <v>0</v>
      </c>
      <c r="BB608" s="220">
        <f t="shared" si="454"/>
        <v>-10</v>
      </c>
    </row>
    <row r="609" ht="14.25" customHeight="1">
      <c r="A609" s="218"/>
      <c r="B609" s="219">
        <v>45097.0</v>
      </c>
      <c r="C609" s="220" t="str">
        <f t="shared" si="455"/>
        <v/>
      </c>
      <c r="D609" s="220"/>
      <c r="E609" s="220">
        <f t="shared" si="437"/>
        <v>0</v>
      </c>
      <c r="F609" s="220">
        <f t="shared" si="438"/>
        <v>-10</v>
      </c>
      <c r="H609" s="219">
        <v>45097.0</v>
      </c>
      <c r="I609" s="220" t="str">
        <f t="shared" si="456"/>
        <v/>
      </c>
      <c r="J609" s="220"/>
      <c r="K609" s="220">
        <f t="shared" si="439"/>
        <v>0</v>
      </c>
      <c r="L609" s="220">
        <f t="shared" si="440"/>
        <v>-10</v>
      </c>
      <c r="N609" s="219">
        <v>45097.0</v>
      </c>
      <c r="O609" s="220" t="str">
        <f t="shared" si="457"/>
        <v/>
      </c>
      <c r="P609" s="220"/>
      <c r="Q609" s="220">
        <f t="shared" si="441"/>
        <v>0</v>
      </c>
      <c r="R609" s="220">
        <f t="shared" si="442"/>
        <v>-10</v>
      </c>
      <c r="T609" s="219">
        <v>45097.0</v>
      </c>
      <c r="U609" s="220" t="str">
        <f t="shared" si="458"/>
        <v/>
      </c>
      <c r="V609" s="220"/>
      <c r="W609" s="220">
        <f t="shared" si="443"/>
        <v>0</v>
      </c>
      <c r="X609" s="220">
        <f t="shared" si="444"/>
        <v>-10</v>
      </c>
      <c r="Z609" s="219">
        <v>45097.0</v>
      </c>
      <c r="AA609" s="220" t="str">
        <f t="shared" si="459"/>
        <v/>
      </c>
      <c r="AB609" s="220"/>
      <c r="AC609" s="220">
        <f t="shared" si="445"/>
        <v>0</v>
      </c>
      <c r="AD609" s="220">
        <f t="shared" si="446"/>
        <v>-10</v>
      </c>
      <c r="AF609" s="219">
        <v>45097.0</v>
      </c>
      <c r="AG609" s="220" t="str">
        <f t="shared" si="460"/>
        <v/>
      </c>
      <c r="AH609" s="220"/>
      <c r="AI609" s="220">
        <f t="shared" si="447"/>
        <v>0</v>
      </c>
      <c r="AJ609" s="220">
        <f t="shared" si="448"/>
        <v>-10</v>
      </c>
      <c r="AL609" s="219">
        <v>45097.0</v>
      </c>
      <c r="AM609" s="220" t="str">
        <f t="shared" si="461"/>
        <v/>
      </c>
      <c r="AN609" s="220"/>
      <c r="AO609" s="220">
        <f t="shared" si="449"/>
        <v>0</v>
      </c>
      <c r="AP609" s="220">
        <f t="shared" si="450"/>
        <v>-10</v>
      </c>
      <c r="AR609" s="219">
        <v>45097.0</v>
      </c>
      <c r="AS609" s="220" t="str">
        <f t="shared" si="462"/>
        <v/>
      </c>
      <c r="AT609" s="220"/>
      <c r="AU609" s="220">
        <f t="shared" si="451"/>
        <v>0</v>
      </c>
      <c r="AV609" s="220">
        <f t="shared" si="452"/>
        <v>-10</v>
      </c>
      <c r="AX609" s="219">
        <v>45097.0</v>
      </c>
      <c r="AY609" s="220" t="str">
        <f t="shared" si="463"/>
        <v/>
      </c>
      <c r="AZ609" s="220"/>
      <c r="BA609" s="220">
        <f t="shared" si="453"/>
        <v>0</v>
      </c>
      <c r="BB609" s="220">
        <f t="shared" si="454"/>
        <v>-10</v>
      </c>
    </row>
    <row r="610" ht="14.25" customHeight="1">
      <c r="A610" s="218"/>
      <c r="B610" s="219">
        <v>45098.0</v>
      </c>
      <c r="C610" s="220" t="str">
        <f t="shared" si="455"/>
        <v/>
      </c>
      <c r="D610" s="220"/>
      <c r="E610" s="220">
        <f t="shared" si="437"/>
        <v>0</v>
      </c>
      <c r="F610" s="220">
        <f t="shared" si="438"/>
        <v>-10</v>
      </c>
      <c r="H610" s="219">
        <v>45098.0</v>
      </c>
      <c r="I610" s="220" t="str">
        <f t="shared" si="456"/>
        <v/>
      </c>
      <c r="J610" s="220"/>
      <c r="K610" s="220">
        <f t="shared" si="439"/>
        <v>0</v>
      </c>
      <c r="L610" s="220">
        <f t="shared" si="440"/>
        <v>-10</v>
      </c>
      <c r="N610" s="219">
        <v>45098.0</v>
      </c>
      <c r="O610" s="220" t="str">
        <f t="shared" si="457"/>
        <v/>
      </c>
      <c r="P610" s="220"/>
      <c r="Q610" s="220">
        <f t="shared" si="441"/>
        <v>0</v>
      </c>
      <c r="R610" s="220">
        <f t="shared" si="442"/>
        <v>-10</v>
      </c>
      <c r="T610" s="219">
        <v>45098.0</v>
      </c>
      <c r="U610" s="220" t="str">
        <f t="shared" si="458"/>
        <v/>
      </c>
      <c r="V610" s="220"/>
      <c r="W610" s="220">
        <f t="shared" si="443"/>
        <v>0</v>
      </c>
      <c r="X610" s="220">
        <f t="shared" si="444"/>
        <v>-10</v>
      </c>
      <c r="Z610" s="219">
        <v>45098.0</v>
      </c>
      <c r="AA610" s="220" t="str">
        <f t="shared" si="459"/>
        <v/>
      </c>
      <c r="AB610" s="220"/>
      <c r="AC610" s="220">
        <f t="shared" si="445"/>
        <v>0</v>
      </c>
      <c r="AD610" s="220">
        <f t="shared" si="446"/>
        <v>-10</v>
      </c>
      <c r="AF610" s="219">
        <v>45098.0</v>
      </c>
      <c r="AG610" s="220" t="str">
        <f t="shared" si="460"/>
        <v/>
      </c>
      <c r="AH610" s="220"/>
      <c r="AI610" s="220">
        <f t="shared" si="447"/>
        <v>0</v>
      </c>
      <c r="AJ610" s="220">
        <f t="shared" si="448"/>
        <v>-10</v>
      </c>
      <c r="AL610" s="219">
        <v>45098.0</v>
      </c>
      <c r="AM610" s="220" t="str">
        <f t="shared" si="461"/>
        <v/>
      </c>
      <c r="AN610" s="220"/>
      <c r="AO610" s="220">
        <f t="shared" si="449"/>
        <v>0</v>
      </c>
      <c r="AP610" s="220">
        <f t="shared" si="450"/>
        <v>-10</v>
      </c>
      <c r="AR610" s="219">
        <v>45098.0</v>
      </c>
      <c r="AS610" s="220" t="str">
        <f t="shared" si="462"/>
        <v/>
      </c>
      <c r="AT610" s="220"/>
      <c r="AU610" s="220">
        <f t="shared" si="451"/>
        <v>0</v>
      </c>
      <c r="AV610" s="220">
        <f t="shared" si="452"/>
        <v>-10</v>
      </c>
      <c r="AX610" s="219">
        <v>45098.0</v>
      </c>
      <c r="AY610" s="220" t="str">
        <f t="shared" si="463"/>
        <v/>
      </c>
      <c r="AZ610" s="220"/>
      <c r="BA610" s="220">
        <f t="shared" si="453"/>
        <v>0</v>
      </c>
      <c r="BB610" s="220">
        <f t="shared" si="454"/>
        <v>-10</v>
      </c>
    </row>
    <row r="611" ht="14.25" customHeight="1">
      <c r="A611" s="218"/>
      <c r="B611" s="219">
        <v>45099.0</v>
      </c>
      <c r="C611" s="220" t="str">
        <f t="shared" si="455"/>
        <v/>
      </c>
      <c r="D611" s="220"/>
      <c r="E611" s="220">
        <f t="shared" si="437"/>
        <v>0</v>
      </c>
      <c r="F611" s="220">
        <f t="shared" si="438"/>
        <v>-10</v>
      </c>
      <c r="H611" s="219">
        <v>45099.0</v>
      </c>
      <c r="I611" s="220" t="str">
        <f t="shared" si="456"/>
        <v/>
      </c>
      <c r="J611" s="220"/>
      <c r="K611" s="220">
        <f t="shared" si="439"/>
        <v>0</v>
      </c>
      <c r="L611" s="220">
        <f t="shared" si="440"/>
        <v>-10</v>
      </c>
      <c r="N611" s="219">
        <v>45099.0</v>
      </c>
      <c r="O611" s="220" t="str">
        <f t="shared" si="457"/>
        <v/>
      </c>
      <c r="P611" s="220"/>
      <c r="Q611" s="220">
        <f t="shared" si="441"/>
        <v>0</v>
      </c>
      <c r="R611" s="220">
        <f t="shared" si="442"/>
        <v>-10</v>
      </c>
      <c r="T611" s="219">
        <v>45099.0</v>
      </c>
      <c r="U611" s="220" t="str">
        <f t="shared" si="458"/>
        <v/>
      </c>
      <c r="V611" s="220"/>
      <c r="W611" s="220">
        <f t="shared" si="443"/>
        <v>0</v>
      </c>
      <c r="X611" s="220">
        <f t="shared" si="444"/>
        <v>-10</v>
      </c>
      <c r="Z611" s="219">
        <v>45099.0</v>
      </c>
      <c r="AA611" s="220" t="str">
        <f t="shared" si="459"/>
        <v/>
      </c>
      <c r="AB611" s="220"/>
      <c r="AC611" s="220">
        <f t="shared" si="445"/>
        <v>0</v>
      </c>
      <c r="AD611" s="220">
        <f t="shared" si="446"/>
        <v>-10</v>
      </c>
      <c r="AF611" s="219">
        <v>45099.0</v>
      </c>
      <c r="AG611" s="220" t="str">
        <f t="shared" si="460"/>
        <v/>
      </c>
      <c r="AH611" s="220"/>
      <c r="AI611" s="220">
        <f t="shared" si="447"/>
        <v>0</v>
      </c>
      <c r="AJ611" s="220">
        <f t="shared" si="448"/>
        <v>-10</v>
      </c>
      <c r="AL611" s="219">
        <v>45099.0</v>
      </c>
      <c r="AM611" s="220" t="str">
        <f t="shared" si="461"/>
        <v/>
      </c>
      <c r="AN611" s="220"/>
      <c r="AO611" s="220">
        <f t="shared" si="449"/>
        <v>0</v>
      </c>
      <c r="AP611" s="220">
        <f t="shared" si="450"/>
        <v>-10</v>
      </c>
      <c r="AR611" s="219">
        <v>45099.0</v>
      </c>
      <c r="AS611" s="220" t="str">
        <f t="shared" si="462"/>
        <v/>
      </c>
      <c r="AT611" s="220"/>
      <c r="AU611" s="220">
        <f t="shared" si="451"/>
        <v>0</v>
      </c>
      <c r="AV611" s="220">
        <f t="shared" si="452"/>
        <v>-10</v>
      </c>
      <c r="AX611" s="219">
        <v>45099.0</v>
      </c>
      <c r="AY611" s="220" t="str">
        <f t="shared" si="463"/>
        <v/>
      </c>
      <c r="AZ611" s="220"/>
      <c r="BA611" s="220">
        <f t="shared" si="453"/>
        <v>0</v>
      </c>
      <c r="BB611" s="220">
        <f t="shared" si="454"/>
        <v>-10</v>
      </c>
    </row>
    <row r="612" ht="14.25" customHeight="1">
      <c r="A612" s="218"/>
      <c r="B612" s="219">
        <v>45100.0</v>
      </c>
      <c r="C612" s="220" t="str">
        <f t="shared" si="455"/>
        <v/>
      </c>
      <c r="D612" s="220"/>
      <c r="E612" s="220">
        <f t="shared" si="437"/>
        <v>0</v>
      </c>
      <c r="F612" s="220">
        <f t="shared" si="438"/>
        <v>-10</v>
      </c>
      <c r="H612" s="219">
        <v>45100.0</v>
      </c>
      <c r="I612" s="220" t="str">
        <f t="shared" si="456"/>
        <v/>
      </c>
      <c r="J612" s="220"/>
      <c r="K612" s="220">
        <f t="shared" si="439"/>
        <v>0</v>
      </c>
      <c r="L612" s="220">
        <f t="shared" si="440"/>
        <v>-10</v>
      </c>
      <c r="N612" s="219">
        <v>45100.0</v>
      </c>
      <c r="O612" s="220" t="str">
        <f t="shared" si="457"/>
        <v/>
      </c>
      <c r="P612" s="220"/>
      <c r="Q612" s="220">
        <f t="shared" si="441"/>
        <v>0</v>
      </c>
      <c r="R612" s="220">
        <f t="shared" si="442"/>
        <v>-10</v>
      </c>
      <c r="T612" s="219">
        <v>45100.0</v>
      </c>
      <c r="U612" s="220" t="str">
        <f t="shared" si="458"/>
        <v/>
      </c>
      <c r="V612" s="220"/>
      <c r="W612" s="220">
        <f t="shared" si="443"/>
        <v>0</v>
      </c>
      <c r="X612" s="220">
        <f t="shared" si="444"/>
        <v>-10</v>
      </c>
      <c r="Z612" s="219">
        <v>45100.0</v>
      </c>
      <c r="AA612" s="220" t="str">
        <f t="shared" si="459"/>
        <v/>
      </c>
      <c r="AB612" s="220"/>
      <c r="AC612" s="220">
        <f t="shared" si="445"/>
        <v>0</v>
      </c>
      <c r="AD612" s="220">
        <f t="shared" si="446"/>
        <v>-10</v>
      </c>
      <c r="AF612" s="219">
        <v>45100.0</v>
      </c>
      <c r="AG612" s="220" t="str">
        <f t="shared" si="460"/>
        <v/>
      </c>
      <c r="AH612" s="220"/>
      <c r="AI612" s="220">
        <f t="shared" si="447"/>
        <v>0</v>
      </c>
      <c r="AJ612" s="220">
        <f t="shared" si="448"/>
        <v>-10</v>
      </c>
      <c r="AL612" s="219">
        <v>45100.0</v>
      </c>
      <c r="AM612" s="220" t="str">
        <f t="shared" si="461"/>
        <v/>
      </c>
      <c r="AN612" s="220"/>
      <c r="AO612" s="220">
        <f t="shared" si="449"/>
        <v>0</v>
      </c>
      <c r="AP612" s="220">
        <f t="shared" si="450"/>
        <v>-10</v>
      </c>
      <c r="AR612" s="219">
        <v>45100.0</v>
      </c>
      <c r="AS612" s="220" t="str">
        <f t="shared" si="462"/>
        <v/>
      </c>
      <c r="AT612" s="220"/>
      <c r="AU612" s="220">
        <f t="shared" si="451"/>
        <v>0</v>
      </c>
      <c r="AV612" s="220">
        <f t="shared" si="452"/>
        <v>-10</v>
      </c>
      <c r="AX612" s="219">
        <v>45100.0</v>
      </c>
      <c r="AY612" s="220" t="str">
        <f t="shared" si="463"/>
        <v/>
      </c>
      <c r="AZ612" s="220"/>
      <c r="BA612" s="220">
        <f t="shared" si="453"/>
        <v>0</v>
      </c>
      <c r="BB612" s="220">
        <f t="shared" si="454"/>
        <v>-10</v>
      </c>
    </row>
    <row r="613" ht="14.25" customHeight="1">
      <c r="A613" s="218"/>
      <c r="B613" s="219">
        <v>45101.0</v>
      </c>
      <c r="C613" s="220" t="str">
        <f t="shared" si="455"/>
        <v/>
      </c>
      <c r="D613" s="220"/>
      <c r="E613" s="220">
        <f t="shared" si="437"/>
        <v>0</v>
      </c>
      <c r="F613" s="220">
        <f t="shared" si="438"/>
        <v>-10</v>
      </c>
      <c r="G613" s="221"/>
      <c r="H613" s="219">
        <v>45101.0</v>
      </c>
      <c r="I613" s="220" t="str">
        <f t="shared" si="456"/>
        <v/>
      </c>
      <c r="J613" s="220"/>
      <c r="K613" s="220">
        <f t="shared" si="439"/>
        <v>0</v>
      </c>
      <c r="L613" s="220">
        <f t="shared" si="440"/>
        <v>-10</v>
      </c>
      <c r="M613" s="221"/>
      <c r="N613" s="219">
        <v>45101.0</v>
      </c>
      <c r="O613" s="220" t="str">
        <f t="shared" si="457"/>
        <v/>
      </c>
      <c r="P613" s="220"/>
      <c r="Q613" s="220">
        <f t="shared" si="441"/>
        <v>0</v>
      </c>
      <c r="R613" s="220">
        <f t="shared" si="442"/>
        <v>-10</v>
      </c>
      <c r="S613" s="221"/>
      <c r="T613" s="219">
        <v>45101.0</v>
      </c>
      <c r="U613" s="220" t="str">
        <f t="shared" si="458"/>
        <v/>
      </c>
      <c r="V613" s="220"/>
      <c r="W613" s="220">
        <f t="shared" si="443"/>
        <v>0</v>
      </c>
      <c r="X613" s="220">
        <f t="shared" si="444"/>
        <v>-10</v>
      </c>
      <c r="Y613" s="221"/>
      <c r="Z613" s="219">
        <v>45101.0</v>
      </c>
      <c r="AA613" s="220" t="str">
        <f t="shared" si="459"/>
        <v/>
      </c>
      <c r="AB613" s="220"/>
      <c r="AC613" s="220">
        <f t="shared" si="445"/>
        <v>0</v>
      </c>
      <c r="AD613" s="220">
        <f t="shared" si="446"/>
        <v>-10</v>
      </c>
      <c r="AE613" s="221"/>
      <c r="AF613" s="219">
        <v>45101.0</v>
      </c>
      <c r="AG613" s="220" t="str">
        <f t="shared" si="460"/>
        <v/>
      </c>
      <c r="AH613" s="220"/>
      <c r="AI613" s="220">
        <f t="shared" si="447"/>
        <v>0</v>
      </c>
      <c r="AJ613" s="220">
        <f t="shared" si="448"/>
        <v>-10</v>
      </c>
      <c r="AK613" s="221"/>
      <c r="AL613" s="219">
        <v>45101.0</v>
      </c>
      <c r="AM613" s="220" t="str">
        <f t="shared" si="461"/>
        <v/>
      </c>
      <c r="AN613" s="220"/>
      <c r="AO613" s="220">
        <f t="shared" si="449"/>
        <v>0</v>
      </c>
      <c r="AP613" s="220">
        <f t="shared" si="450"/>
        <v>-10</v>
      </c>
      <c r="AQ613" s="221"/>
      <c r="AR613" s="219">
        <v>45101.0</v>
      </c>
      <c r="AS613" s="220" t="str">
        <f t="shared" si="462"/>
        <v/>
      </c>
      <c r="AT613" s="220"/>
      <c r="AU613" s="220">
        <f t="shared" si="451"/>
        <v>0</v>
      </c>
      <c r="AV613" s="220">
        <f t="shared" si="452"/>
        <v>-10</v>
      </c>
      <c r="AW613" s="221"/>
      <c r="AX613" s="219">
        <v>45101.0</v>
      </c>
      <c r="AY613" s="220" t="str">
        <f t="shared" si="463"/>
        <v/>
      </c>
      <c r="AZ613" s="220"/>
      <c r="BA613" s="220">
        <f t="shared" si="453"/>
        <v>0</v>
      </c>
      <c r="BB613" s="220">
        <f t="shared" si="454"/>
        <v>-10</v>
      </c>
    </row>
    <row r="614" ht="14.25" customHeight="1">
      <c r="A614" s="218"/>
      <c r="B614" s="219">
        <v>45102.0</v>
      </c>
      <c r="C614" s="220" t="str">
        <f t="shared" si="455"/>
        <v/>
      </c>
      <c r="D614" s="220"/>
      <c r="E614" s="220">
        <f t="shared" si="437"/>
        <v>0</v>
      </c>
      <c r="F614" s="220">
        <f t="shared" si="438"/>
        <v>-10</v>
      </c>
      <c r="G614" s="221"/>
      <c r="H614" s="219">
        <v>45102.0</v>
      </c>
      <c r="I614" s="220" t="str">
        <f t="shared" si="456"/>
        <v/>
      </c>
      <c r="J614" s="220"/>
      <c r="K614" s="220">
        <f t="shared" si="439"/>
        <v>0</v>
      </c>
      <c r="L614" s="220">
        <f t="shared" si="440"/>
        <v>-10</v>
      </c>
      <c r="M614" s="221"/>
      <c r="N614" s="219">
        <v>45102.0</v>
      </c>
      <c r="O614" s="220" t="str">
        <f t="shared" si="457"/>
        <v/>
      </c>
      <c r="P614" s="220"/>
      <c r="Q614" s="220">
        <f t="shared" si="441"/>
        <v>0</v>
      </c>
      <c r="R614" s="220">
        <f t="shared" si="442"/>
        <v>-10</v>
      </c>
      <c r="S614" s="221"/>
      <c r="T614" s="219">
        <v>45102.0</v>
      </c>
      <c r="U614" s="220" t="str">
        <f t="shared" si="458"/>
        <v/>
      </c>
      <c r="V614" s="220"/>
      <c r="W614" s="220">
        <f t="shared" si="443"/>
        <v>0</v>
      </c>
      <c r="X614" s="220">
        <f t="shared" si="444"/>
        <v>-10</v>
      </c>
      <c r="Y614" s="221"/>
      <c r="Z614" s="219">
        <v>45102.0</v>
      </c>
      <c r="AA614" s="220" t="str">
        <f t="shared" si="459"/>
        <v/>
      </c>
      <c r="AB614" s="220"/>
      <c r="AC614" s="220">
        <f t="shared" si="445"/>
        <v>0</v>
      </c>
      <c r="AD614" s="220">
        <f t="shared" si="446"/>
        <v>-10</v>
      </c>
      <c r="AE614" s="221"/>
      <c r="AF614" s="219">
        <v>45102.0</v>
      </c>
      <c r="AG614" s="220" t="str">
        <f t="shared" si="460"/>
        <v/>
      </c>
      <c r="AH614" s="220"/>
      <c r="AI614" s="220">
        <f t="shared" si="447"/>
        <v>0</v>
      </c>
      <c r="AJ614" s="220">
        <f t="shared" si="448"/>
        <v>-10</v>
      </c>
      <c r="AK614" s="221"/>
      <c r="AL614" s="219">
        <v>45102.0</v>
      </c>
      <c r="AM614" s="220" t="str">
        <f t="shared" si="461"/>
        <v/>
      </c>
      <c r="AN614" s="220"/>
      <c r="AO614" s="220">
        <f t="shared" si="449"/>
        <v>0</v>
      </c>
      <c r="AP614" s="220">
        <f t="shared" si="450"/>
        <v>-10</v>
      </c>
      <c r="AQ614" s="221"/>
      <c r="AR614" s="219">
        <v>45102.0</v>
      </c>
      <c r="AS614" s="220" t="str">
        <f t="shared" si="462"/>
        <v/>
      </c>
      <c r="AT614" s="220"/>
      <c r="AU614" s="220">
        <f t="shared" si="451"/>
        <v>0</v>
      </c>
      <c r="AV614" s="220">
        <f t="shared" si="452"/>
        <v>-10</v>
      </c>
      <c r="AW614" s="221"/>
      <c r="AX614" s="219">
        <v>45102.0</v>
      </c>
      <c r="AY614" s="220" t="str">
        <f t="shared" si="463"/>
        <v/>
      </c>
      <c r="AZ614" s="220"/>
      <c r="BA614" s="220">
        <f t="shared" si="453"/>
        <v>0</v>
      </c>
      <c r="BB614" s="220">
        <f t="shared" si="454"/>
        <v>-10</v>
      </c>
    </row>
    <row r="615" ht="14.25" customHeight="1">
      <c r="A615" s="218"/>
      <c r="B615" s="219">
        <v>45103.0</v>
      </c>
      <c r="C615" s="220" t="str">
        <f t="shared" si="455"/>
        <v/>
      </c>
      <c r="D615" s="220"/>
      <c r="E615" s="220">
        <f t="shared" si="437"/>
        <v>0</v>
      </c>
      <c r="F615" s="220">
        <f t="shared" si="438"/>
        <v>-10</v>
      </c>
      <c r="H615" s="219">
        <v>45103.0</v>
      </c>
      <c r="I615" s="220" t="str">
        <f t="shared" si="456"/>
        <v/>
      </c>
      <c r="J615" s="220"/>
      <c r="K615" s="220">
        <f t="shared" si="439"/>
        <v>0</v>
      </c>
      <c r="L615" s="220">
        <f t="shared" si="440"/>
        <v>-10</v>
      </c>
      <c r="N615" s="219">
        <v>45103.0</v>
      </c>
      <c r="O615" s="220" t="str">
        <f t="shared" si="457"/>
        <v/>
      </c>
      <c r="P615" s="220"/>
      <c r="Q615" s="220">
        <f t="shared" si="441"/>
        <v>0</v>
      </c>
      <c r="R615" s="220">
        <f t="shared" si="442"/>
        <v>-10</v>
      </c>
      <c r="T615" s="219">
        <v>45103.0</v>
      </c>
      <c r="U615" s="220" t="str">
        <f t="shared" si="458"/>
        <v/>
      </c>
      <c r="V615" s="220"/>
      <c r="W615" s="220">
        <f t="shared" si="443"/>
        <v>0</v>
      </c>
      <c r="X615" s="220">
        <f t="shared" si="444"/>
        <v>-10</v>
      </c>
      <c r="Z615" s="219">
        <v>45103.0</v>
      </c>
      <c r="AA615" s="220" t="str">
        <f t="shared" si="459"/>
        <v/>
      </c>
      <c r="AB615" s="220"/>
      <c r="AC615" s="220">
        <f t="shared" si="445"/>
        <v>0</v>
      </c>
      <c r="AD615" s="220">
        <f t="shared" si="446"/>
        <v>-10</v>
      </c>
      <c r="AF615" s="219">
        <v>45103.0</v>
      </c>
      <c r="AG615" s="220" t="str">
        <f t="shared" si="460"/>
        <v/>
      </c>
      <c r="AH615" s="220"/>
      <c r="AI615" s="220">
        <f t="shared" si="447"/>
        <v>0</v>
      </c>
      <c r="AJ615" s="220">
        <f t="shared" si="448"/>
        <v>-10</v>
      </c>
      <c r="AL615" s="219">
        <v>45103.0</v>
      </c>
      <c r="AM615" s="220" t="str">
        <f t="shared" si="461"/>
        <v/>
      </c>
      <c r="AN615" s="220"/>
      <c r="AO615" s="220">
        <f t="shared" si="449"/>
        <v>0</v>
      </c>
      <c r="AP615" s="220">
        <f t="shared" si="450"/>
        <v>-10</v>
      </c>
      <c r="AR615" s="219">
        <v>45103.0</v>
      </c>
      <c r="AS615" s="220" t="str">
        <f t="shared" si="462"/>
        <v/>
      </c>
      <c r="AT615" s="220"/>
      <c r="AU615" s="220">
        <f t="shared" si="451"/>
        <v>0</v>
      </c>
      <c r="AV615" s="220">
        <f t="shared" si="452"/>
        <v>-10</v>
      </c>
      <c r="AX615" s="219">
        <v>45103.0</v>
      </c>
      <c r="AY615" s="220" t="str">
        <f t="shared" si="463"/>
        <v/>
      </c>
      <c r="AZ615" s="220"/>
      <c r="BA615" s="220">
        <f t="shared" si="453"/>
        <v>0</v>
      </c>
      <c r="BB615" s="220">
        <f t="shared" si="454"/>
        <v>-10</v>
      </c>
    </row>
    <row r="616" ht="14.25" customHeight="1">
      <c r="A616" s="218"/>
      <c r="B616" s="219">
        <v>45104.0</v>
      </c>
      <c r="C616" s="220" t="str">
        <f t="shared" si="455"/>
        <v/>
      </c>
      <c r="D616" s="220"/>
      <c r="E616" s="220">
        <f t="shared" si="437"/>
        <v>0</v>
      </c>
      <c r="F616" s="220">
        <f t="shared" si="438"/>
        <v>-10</v>
      </c>
      <c r="H616" s="219">
        <v>45104.0</v>
      </c>
      <c r="I616" s="220" t="str">
        <f t="shared" si="456"/>
        <v/>
      </c>
      <c r="J616" s="220"/>
      <c r="K616" s="220">
        <f t="shared" si="439"/>
        <v>0</v>
      </c>
      <c r="L616" s="220">
        <f t="shared" si="440"/>
        <v>-10</v>
      </c>
      <c r="N616" s="219">
        <v>45104.0</v>
      </c>
      <c r="O616" s="220" t="str">
        <f t="shared" si="457"/>
        <v/>
      </c>
      <c r="P616" s="220"/>
      <c r="Q616" s="220">
        <f t="shared" si="441"/>
        <v>0</v>
      </c>
      <c r="R616" s="220">
        <f t="shared" si="442"/>
        <v>-10</v>
      </c>
      <c r="T616" s="219">
        <v>45104.0</v>
      </c>
      <c r="U616" s="220" t="str">
        <f t="shared" si="458"/>
        <v/>
      </c>
      <c r="V616" s="220"/>
      <c r="W616" s="220">
        <f t="shared" si="443"/>
        <v>0</v>
      </c>
      <c r="X616" s="220">
        <f t="shared" si="444"/>
        <v>-10</v>
      </c>
      <c r="Z616" s="219">
        <v>45104.0</v>
      </c>
      <c r="AA616" s="220" t="str">
        <f t="shared" si="459"/>
        <v/>
      </c>
      <c r="AB616" s="220"/>
      <c r="AC616" s="220">
        <f t="shared" si="445"/>
        <v>0</v>
      </c>
      <c r="AD616" s="220">
        <f t="shared" si="446"/>
        <v>-10</v>
      </c>
      <c r="AF616" s="219">
        <v>45104.0</v>
      </c>
      <c r="AG616" s="220" t="str">
        <f t="shared" si="460"/>
        <v/>
      </c>
      <c r="AH616" s="220"/>
      <c r="AI616" s="220">
        <f t="shared" si="447"/>
        <v>0</v>
      </c>
      <c r="AJ616" s="220">
        <f t="shared" si="448"/>
        <v>-10</v>
      </c>
      <c r="AL616" s="219">
        <v>45104.0</v>
      </c>
      <c r="AM616" s="220" t="str">
        <f t="shared" si="461"/>
        <v/>
      </c>
      <c r="AN616" s="220"/>
      <c r="AO616" s="220">
        <f t="shared" si="449"/>
        <v>0</v>
      </c>
      <c r="AP616" s="220">
        <f t="shared" si="450"/>
        <v>-10</v>
      </c>
      <c r="AR616" s="219">
        <v>45104.0</v>
      </c>
      <c r="AS616" s="220" t="str">
        <f t="shared" si="462"/>
        <v/>
      </c>
      <c r="AT616" s="220"/>
      <c r="AU616" s="220">
        <f t="shared" si="451"/>
        <v>0</v>
      </c>
      <c r="AV616" s="220">
        <f t="shared" si="452"/>
        <v>-10</v>
      </c>
      <c r="AX616" s="219">
        <v>45104.0</v>
      </c>
      <c r="AY616" s="220" t="str">
        <f t="shared" si="463"/>
        <v/>
      </c>
      <c r="AZ616" s="220"/>
      <c r="BA616" s="220">
        <f t="shared" si="453"/>
        <v>0</v>
      </c>
      <c r="BB616" s="220">
        <f t="shared" si="454"/>
        <v>-10</v>
      </c>
    </row>
    <row r="617" ht="14.25" customHeight="1">
      <c r="A617" s="218"/>
      <c r="B617" s="219">
        <v>45105.0</v>
      </c>
      <c r="C617" s="220" t="str">
        <f t="shared" si="455"/>
        <v/>
      </c>
      <c r="D617" s="220"/>
      <c r="E617" s="220">
        <f t="shared" si="437"/>
        <v>0</v>
      </c>
      <c r="F617" s="220">
        <f t="shared" si="438"/>
        <v>-10</v>
      </c>
      <c r="H617" s="219">
        <v>45105.0</v>
      </c>
      <c r="I617" s="220" t="str">
        <f t="shared" si="456"/>
        <v/>
      </c>
      <c r="J617" s="220"/>
      <c r="K617" s="220">
        <f t="shared" si="439"/>
        <v>0</v>
      </c>
      <c r="L617" s="220">
        <f t="shared" si="440"/>
        <v>-10</v>
      </c>
      <c r="N617" s="219">
        <v>45105.0</v>
      </c>
      <c r="O617" s="220" t="str">
        <f t="shared" si="457"/>
        <v/>
      </c>
      <c r="P617" s="220"/>
      <c r="Q617" s="220">
        <f t="shared" si="441"/>
        <v>0</v>
      </c>
      <c r="R617" s="220">
        <f t="shared" si="442"/>
        <v>-10</v>
      </c>
      <c r="T617" s="219">
        <v>45105.0</v>
      </c>
      <c r="U617" s="220" t="str">
        <f t="shared" si="458"/>
        <v/>
      </c>
      <c r="V617" s="220"/>
      <c r="W617" s="220">
        <f t="shared" si="443"/>
        <v>0</v>
      </c>
      <c r="X617" s="220">
        <f t="shared" si="444"/>
        <v>-10</v>
      </c>
      <c r="Z617" s="219">
        <v>45105.0</v>
      </c>
      <c r="AA617" s="220" t="str">
        <f t="shared" si="459"/>
        <v/>
      </c>
      <c r="AB617" s="220"/>
      <c r="AC617" s="220">
        <f t="shared" si="445"/>
        <v>0</v>
      </c>
      <c r="AD617" s="220">
        <f t="shared" si="446"/>
        <v>-10</v>
      </c>
      <c r="AF617" s="219">
        <v>45105.0</v>
      </c>
      <c r="AG617" s="220" t="str">
        <f t="shared" si="460"/>
        <v/>
      </c>
      <c r="AH617" s="220"/>
      <c r="AI617" s="220">
        <f t="shared" si="447"/>
        <v>0</v>
      </c>
      <c r="AJ617" s="220">
        <f t="shared" si="448"/>
        <v>-10</v>
      </c>
      <c r="AL617" s="219">
        <v>45105.0</v>
      </c>
      <c r="AM617" s="220" t="str">
        <f t="shared" si="461"/>
        <v/>
      </c>
      <c r="AN617" s="220"/>
      <c r="AO617" s="220">
        <f t="shared" si="449"/>
        <v>0</v>
      </c>
      <c r="AP617" s="220">
        <f t="shared" si="450"/>
        <v>-10</v>
      </c>
      <c r="AR617" s="219">
        <v>45105.0</v>
      </c>
      <c r="AS617" s="220" t="str">
        <f t="shared" si="462"/>
        <v/>
      </c>
      <c r="AT617" s="220"/>
      <c r="AU617" s="220">
        <f t="shared" si="451"/>
        <v>0</v>
      </c>
      <c r="AV617" s="220">
        <f t="shared" si="452"/>
        <v>-10</v>
      </c>
      <c r="AX617" s="219">
        <v>45105.0</v>
      </c>
      <c r="AY617" s="220" t="str">
        <f t="shared" si="463"/>
        <v/>
      </c>
      <c r="AZ617" s="220"/>
      <c r="BA617" s="220">
        <f t="shared" si="453"/>
        <v>0</v>
      </c>
      <c r="BB617" s="220">
        <f t="shared" si="454"/>
        <v>-10</v>
      </c>
    </row>
    <row r="618" ht="14.25" customHeight="1">
      <c r="A618" s="218"/>
      <c r="B618" s="219">
        <v>45106.0</v>
      </c>
      <c r="C618" s="220" t="str">
        <f t="shared" si="455"/>
        <v/>
      </c>
      <c r="D618" s="220"/>
      <c r="E618" s="220">
        <f t="shared" si="437"/>
        <v>0</v>
      </c>
      <c r="F618" s="220">
        <f t="shared" si="438"/>
        <v>-10</v>
      </c>
      <c r="H618" s="219">
        <v>45106.0</v>
      </c>
      <c r="I618" s="220" t="str">
        <f t="shared" si="456"/>
        <v/>
      </c>
      <c r="J618" s="220"/>
      <c r="K618" s="220">
        <f t="shared" si="439"/>
        <v>0</v>
      </c>
      <c r="L618" s="220">
        <f t="shared" si="440"/>
        <v>-10</v>
      </c>
      <c r="N618" s="219">
        <v>45106.0</v>
      </c>
      <c r="O618" s="220" t="str">
        <f t="shared" si="457"/>
        <v/>
      </c>
      <c r="P618" s="220"/>
      <c r="Q618" s="220">
        <f t="shared" si="441"/>
        <v>0</v>
      </c>
      <c r="R618" s="220">
        <f t="shared" si="442"/>
        <v>-10</v>
      </c>
      <c r="T618" s="219">
        <v>45106.0</v>
      </c>
      <c r="U618" s="220" t="str">
        <f t="shared" si="458"/>
        <v/>
      </c>
      <c r="V618" s="220"/>
      <c r="W618" s="220">
        <f t="shared" si="443"/>
        <v>0</v>
      </c>
      <c r="X618" s="220">
        <f t="shared" si="444"/>
        <v>-10</v>
      </c>
      <c r="Z618" s="219">
        <v>45106.0</v>
      </c>
      <c r="AA618" s="220" t="str">
        <f t="shared" si="459"/>
        <v/>
      </c>
      <c r="AB618" s="220"/>
      <c r="AC618" s="220">
        <f t="shared" si="445"/>
        <v>0</v>
      </c>
      <c r="AD618" s="220">
        <f t="shared" si="446"/>
        <v>-10</v>
      </c>
      <c r="AF618" s="219">
        <v>45106.0</v>
      </c>
      <c r="AG618" s="220" t="str">
        <f t="shared" si="460"/>
        <v/>
      </c>
      <c r="AH618" s="220"/>
      <c r="AI618" s="220">
        <f t="shared" si="447"/>
        <v>0</v>
      </c>
      <c r="AJ618" s="220">
        <f t="shared" si="448"/>
        <v>-10</v>
      </c>
      <c r="AL618" s="219">
        <v>45106.0</v>
      </c>
      <c r="AM618" s="220" t="str">
        <f t="shared" si="461"/>
        <v/>
      </c>
      <c r="AN618" s="220"/>
      <c r="AO618" s="220">
        <f t="shared" si="449"/>
        <v>0</v>
      </c>
      <c r="AP618" s="220">
        <f t="shared" si="450"/>
        <v>-10</v>
      </c>
      <c r="AR618" s="219">
        <v>45106.0</v>
      </c>
      <c r="AS618" s="220" t="str">
        <f t="shared" si="462"/>
        <v/>
      </c>
      <c r="AT618" s="220"/>
      <c r="AU618" s="220">
        <f t="shared" si="451"/>
        <v>0</v>
      </c>
      <c r="AV618" s="220">
        <f t="shared" si="452"/>
        <v>-10</v>
      </c>
      <c r="AX618" s="219">
        <v>45106.0</v>
      </c>
      <c r="AY618" s="220" t="str">
        <f t="shared" si="463"/>
        <v/>
      </c>
      <c r="AZ618" s="220"/>
      <c r="BA618" s="220">
        <f t="shared" si="453"/>
        <v>0</v>
      </c>
      <c r="BB618" s="220">
        <f t="shared" si="454"/>
        <v>-10</v>
      </c>
    </row>
    <row r="619" ht="14.25" customHeight="1">
      <c r="A619" s="218"/>
      <c r="B619" s="219">
        <v>45107.0</v>
      </c>
      <c r="C619" s="220" t="str">
        <f t="shared" si="455"/>
        <v/>
      </c>
      <c r="D619" s="220"/>
      <c r="E619" s="220">
        <f t="shared" si="437"/>
        <v>0</v>
      </c>
      <c r="F619" s="220">
        <f t="shared" si="438"/>
        <v>-10</v>
      </c>
      <c r="H619" s="219">
        <v>45107.0</v>
      </c>
      <c r="I619" s="220" t="str">
        <f t="shared" si="456"/>
        <v/>
      </c>
      <c r="J619" s="220"/>
      <c r="K619" s="220">
        <f t="shared" si="439"/>
        <v>0</v>
      </c>
      <c r="L619" s="220">
        <f t="shared" si="440"/>
        <v>-10</v>
      </c>
      <c r="N619" s="219">
        <v>45107.0</v>
      </c>
      <c r="O619" s="220" t="str">
        <f t="shared" si="457"/>
        <v/>
      </c>
      <c r="P619" s="220"/>
      <c r="Q619" s="220">
        <f t="shared" si="441"/>
        <v>0</v>
      </c>
      <c r="R619" s="220">
        <f t="shared" si="442"/>
        <v>-10</v>
      </c>
      <c r="T619" s="219">
        <v>45107.0</v>
      </c>
      <c r="U619" s="220" t="str">
        <f t="shared" si="458"/>
        <v/>
      </c>
      <c r="V619" s="220"/>
      <c r="W619" s="220">
        <f t="shared" si="443"/>
        <v>0</v>
      </c>
      <c r="X619" s="220">
        <f t="shared" si="444"/>
        <v>-10</v>
      </c>
      <c r="Z619" s="219">
        <v>45107.0</v>
      </c>
      <c r="AA619" s="220" t="str">
        <f t="shared" si="459"/>
        <v/>
      </c>
      <c r="AB619" s="220"/>
      <c r="AC619" s="220">
        <f t="shared" si="445"/>
        <v>0</v>
      </c>
      <c r="AD619" s="220">
        <f t="shared" si="446"/>
        <v>-10</v>
      </c>
      <c r="AF619" s="219">
        <v>45107.0</v>
      </c>
      <c r="AG619" s="220" t="str">
        <f t="shared" si="460"/>
        <v/>
      </c>
      <c r="AH619" s="220"/>
      <c r="AI619" s="220">
        <f t="shared" si="447"/>
        <v>0</v>
      </c>
      <c r="AJ619" s="220">
        <f t="shared" si="448"/>
        <v>-10</v>
      </c>
      <c r="AL619" s="219">
        <v>45107.0</v>
      </c>
      <c r="AM619" s="220" t="str">
        <f t="shared" si="461"/>
        <v/>
      </c>
      <c r="AN619" s="220"/>
      <c r="AO619" s="220">
        <f t="shared" si="449"/>
        <v>0</v>
      </c>
      <c r="AP619" s="220">
        <f t="shared" si="450"/>
        <v>-10</v>
      </c>
      <c r="AR619" s="219">
        <v>45107.0</v>
      </c>
      <c r="AS619" s="220" t="str">
        <f t="shared" si="462"/>
        <v/>
      </c>
      <c r="AT619" s="220"/>
      <c r="AU619" s="220">
        <f t="shared" si="451"/>
        <v>0</v>
      </c>
      <c r="AV619" s="220">
        <f t="shared" si="452"/>
        <v>-10</v>
      </c>
      <c r="AX619" s="219">
        <v>45107.0</v>
      </c>
      <c r="AY619" s="220" t="str">
        <f t="shared" si="463"/>
        <v/>
      </c>
      <c r="AZ619" s="220"/>
      <c r="BA619" s="220">
        <f t="shared" si="453"/>
        <v>0</v>
      </c>
      <c r="BB619" s="220">
        <f t="shared" si="454"/>
        <v>-10</v>
      </c>
    </row>
    <row r="620" ht="14.25" customHeight="1">
      <c r="A620" s="218"/>
      <c r="B620" s="229"/>
      <c r="C620" s="220" t="str">
        <f t="shared" si="455"/>
        <v/>
      </c>
      <c r="D620" s="220"/>
      <c r="E620" s="220">
        <f t="shared" si="437"/>
        <v>0</v>
      </c>
      <c r="F620" s="220">
        <f t="shared" si="438"/>
        <v>-10</v>
      </c>
      <c r="H620" s="229"/>
      <c r="I620" s="220" t="str">
        <f t="shared" si="456"/>
        <v/>
      </c>
      <c r="J620" s="220"/>
      <c r="K620" s="220">
        <f t="shared" si="439"/>
        <v>0</v>
      </c>
      <c r="L620" s="220">
        <f t="shared" si="440"/>
        <v>-10</v>
      </c>
      <c r="N620" s="229"/>
      <c r="O620" s="220" t="str">
        <f t="shared" si="457"/>
        <v/>
      </c>
      <c r="P620" s="220"/>
      <c r="Q620" s="220">
        <f t="shared" si="441"/>
        <v>0</v>
      </c>
      <c r="R620" s="220">
        <f t="shared" si="442"/>
        <v>-10</v>
      </c>
      <c r="T620" s="229"/>
      <c r="U620" s="220" t="str">
        <f t="shared" si="458"/>
        <v/>
      </c>
      <c r="V620" s="220"/>
      <c r="W620" s="220">
        <f t="shared" si="443"/>
        <v>0</v>
      </c>
      <c r="X620" s="220">
        <f t="shared" si="444"/>
        <v>-10</v>
      </c>
      <c r="Z620" s="229"/>
      <c r="AA620" s="220" t="str">
        <f t="shared" si="459"/>
        <v/>
      </c>
      <c r="AB620" s="220"/>
      <c r="AC620" s="220">
        <f t="shared" si="445"/>
        <v>0</v>
      </c>
      <c r="AD620" s="220">
        <f t="shared" si="446"/>
        <v>-10</v>
      </c>
      <c r="AF620" s="229"/>
      <c r="AG620" s="220" t="str">
        <f t="shared" si="460"/>
        <v/>
      </c>
      <c r="AH620" s="220"/>
      <c r="AI620" s="220">
        <f t="shared" si="447"/>
        <v>0</v>
      </c>
      <c r="AJ620" s="220">
        <f t="shared" si="448"/>
        <v>-10</v>
      </c>
      <c r="AL620" s="229"/>
      <c r="AM620" s="220" t="str">
        <f t="shared" si="461"/>
        <v/>
      </c>
      <c r="AN620" s="220"/>
      <c r="AO620" s="220">
        <f t="shared" si="449"/>
        <v>0</v>
      </c>
      <c r="AP620" s="220">
        <f t="shared" si="450"/>
        <v>-10</v>
      </c>
      <c r="AR620" s="229"/>
      <c r="AS620" s="220" t="str">
        <f t="shared" si="462"/>
        <v/>
      </c>
      <c r="AT620" s="220"/>
      <c r="AU620" s="220">
        <f t="shared" si="451"/>
        <v>0</v>
      </c>
      <c r="AV620" s="220">
        <f t="shared" si="452"/>
        <v>-10</v>
      </c>
      <c r="AX620" s="229"/>
      <c r="AY620" s="220" t="str">
        <f t="shared" si="463"/>
        <v/>
      </c>
      <c r="AZ620" s="220"/>
      <c r="BA620" s="220">
        <f t="shared" si="453"/>
        <v>0</v>
      </c>
      <c r="BB620" s="220">
        <f t="shared" si="454"/>
        <v>-10</v>
      </c>
    </row>
    <row r="621" ht="14.25" customHeight="1">
      <c r="A621" s="222"/>
      <c r="B621" s="216"/>
      <c r="C621" s="223" t="s">
        <v>221</v>
      </c>
      <c r="D621" s="223"/>
      <c r="E621" s="216">
        <f>SUM(E590:E620)</f>
        <v>0</v>
      </c>
      <c r="F621" s="216">
        <f t="shared" si="438"/>
        <v>-10</v>
      </c>
      <c r="H621" s="216"/>
      <c r="I621" s="223" t="s">
        <v>221</v>
      </c>
      <c r="J621" s="223"/>
      <c r="K621" s="216">
        <f>SUM(K590:K620)</f>
        <v>0</v>
      </c>
      <c r="L621" s="216">
        <f t="shared" si="440"/>
        <v>-10</v>
      </c>
      <c r="N621" s="216"/>
      <c r="O621" s="223" t="s">
        <v>221</v>
      </c>
      <c r="P621" s="223"/>
      <c r="Q621" s="216">
        <f>SUM(Q590:Q620)</f>
        <v>0</v>
      </c>
      <c r="R621" s="216">
        <f t="shared" si="442"/>
        <v>-10</v>
      </c>
      <c r="T621" s="216"/>
      <c r="U621" s="223" t="s">
        <v>221</v>
      </c>
      <c r="V621" s="223"/>
      <c r="W621" s="216">
        <f>SUM(W590:W620)</f>
        <v>0</v>
      </c>
      <c r="X621" s="216">
        <f t="shared" si="444"/>
        <v>-10</v>
      </c>
      <c r="Z621" s="216"/>
      <c r="AA621" s="223" t="s">
        <v>221</v>
      </c>
      <c r="AB621" s="223"/>
      <c r="AC621" s="216">
        <f>SUM(AC590:AC620)</f>
        <v>0</v>
      </c>
      <c r="AD621" s="216">
        <f t="shared" si="446"/>
        <v>-10</v>
      </c>
      <c r="AF621" s="216"/>
      <c r="AG621" s="223" t="s">
        <v>221</v>
      </c>
      <c r="AH621" s="223"/>
      <c r="AI621" s="216">
        <f>SUM(AI590:AI620)</f>
        <v>0</v>
      </c>
      <c r="AJ621" s="216">
        <f t="shared" si="448"/>
        <v>-10</v>
      </c>
      <c r="AL621" s="216"/>
      <c r="AM621" s="223" t="s">
        <v>221</v>
      </c>
      <c r="AN621" s="223"/>
      <c r="AO621" s="216">
        <f>SUM(AO590:AO620)</f>
        <v>0</v>
      </c>
      <c r="AP621" s="216">
        <f t="shared" si="450"/>
        <v>-10</v>
      </c>
      <c r="AR621" s="216"/>
      <c r="AS621" s="223" t="s">
        <v>221</v>
      </c>
      <c r="AT621" s="223"/>
      <c r="AU621" s="216">
        <f>SUM(AU590:AU620)</f>
        <v>0</v>
      </c>
      <c r="AV621" s="216">
        <f t="shared" si="452"/>
        <v>-10</v>
      </c>
      <c r="AX621" s="216"/>
      <c r="AY621" s="223" t="s">
        <v>221</v>
      </c>
      <c r="AZ621" s="223"/>
      <c r="BA621" s="216">
        <f>SUM(BA590:BA620)</f>
        <v>0</v>
      </c>
      <c r="BB621" s="216">
        <f t="shared" si="454"/>
        <v>-10</v>
      </c>
    </row>
  </sheetData>
  <mergeCells count="162">
    <mergeCell ref="A1:BB1"/>
    <mergeCell ref="B2:F4"/>
    <mergeCell ref="H2:L4"/>
    <mergeCell ref="N2:R4"/>
    <mergeCell ref="T2:X4"/>
    <mergeCell ref="Z2:AD4"/>
    <mergeCell ref="AF2:AJ4"/>
    <mergeCell ref="AX2:BB4"/>
    <mergeCell ref="T41:X43"/>
    <mergeCell ref="Z41:AD43"/>
    <mergeCell ref="T79:X81"/>
    <mergeCell ref="Z79:AD81"/>
    <mergeCell ref="AF79:AJ81"/>
    <mergeCell ref="AL79:AP81"/>
    <mergeCell ref="AR79:AV81"/>
    <mergeCell ref="AX79:BB81"/>
    <mergeCell ref="AF41:AJ43"/>
    <mergeCell ref="AL41:AP43"/>
    <mergeCell ref="AX41:BB43"/>
    <mergeCell ref="AL2:AP4"/>
    <mergeCell ref="AR2:AV4"/>
    <mergeCell ref="A5:A37"/>
    <mergeCell ref="B41:F43"/>
    <mergeCell ref="H41:L43"/>
    <mergeCell ref="N41:R43"/>
    <mergeCell ref="AR41:AV43"/>
    <mergeCell ref="AX118:BB120"/>
    <mergeCell ref="A155:BB155"/>
    <mergeCell ref="T157:X159"/>
    <mergeCell ref="Z157:AD159"/>
    <mergeCell ref="AF157:AJ159"/>
    <mergeCell ref="AL157:AP159"/>
    <mergeCell ref="AR157:AV159"/>
    <mergeCell ref="AX157:BB159"/>
    <mergeCell ref="H118:L120"/>
    <mergeCell ref="N118:R120"/>
    <mergeCell ref="T118:X120"/>
    <mergeCell ref="Z118:AD120"/>
    <mergeCell ref="AF118:AJ120"/>
    <mergeCell ref="AL118:AP120"/>
    <mergeCell ref="AR118:AV120"/>
    <mergeCell ref="A157:A192"/>
    <mergeCell ref="B157:F159"/>
    <mergeCell ref="T196:X198"/>
    <mergeCell ref="Z196:AD198"/>
    <mergeCell ref="AF196:AJ198"/>
    <mergeCell ref="AL196:AP198"/>
    <mergeCell ref="AR196:AV198"/>
    <mergeCell ref="AX196:BB198"/>
    <mergeCell ref="A235:A270"/>
    <mergeCell ref="A274:A309"/>
    <mergeCell ref="B274:F276"/>
    <mergeCell ref="H274:L276"/>
    <mergeCell ref="N274:R276"/>
    <mergeCell ref="T274:X276"/>
    <mergeCell ref="Z274:AD276"/>
    <mergeCell ref="A313:A348"/>
    <mergeCell ref="B313:F315"/>
    <mergeCell ref="A352:A387"/>
    <mergeCell ref="B352:F354"/>
    <mergeCell ref="H352:L354"/>
    <mergeCell ref="N352:R354"/>
    <mergeCell ref="T352:X354"/>
    <mergeCell ref="AL391:AP393"/>
    <mergeCell ref="AR391:AV393"/>
    <mergeCell ref="AX391:BB393"/>
    <mergeCell ref="A391:A426"/>
    <mergeCell ref="B391:F393"/>
    <mergeCell ref="H391:L393"/>
    <mergeCell ref="N391:R393"/>
    <mergeCell ref="T391:X393"/>
    <mergeCell ref="Z391:AD393"/>
    <mergeCell ref="AF391:AJ393"/>
    <mergeCell ref="AL430:AP432"/>
    <mergeCell ref="AR430:AV432"/>
    <mergeCell ref="AX430:BB432"/>
    <mergeCell ref="A430:A465"/>
    <mergeCell ref="B430:F432"/>
    <mergeCell ref="H430:L432"/>
    <mergeCell ref="N430:R432"/>
    <mergeCell ref="T430:X432"/>
    <mergeCell ref="Z430:AD432"/>
    <mergeCell ref="AF430:AJ432"/>
    <mergeCell ref="AL469:AP471"/>
    <mergeCell ref="AR469:AV471"/>
    <mergeCell ref="AX469:BB471"/>
    <mergeCell ref="A469:A504"/>
    <mergeCell ref="B469:F471"/>
    <mergeCell ref="H469:L471"/>
    <mergeCell ref="N469:R471"/>
    <mergeCell ref="T469:X471"/>
    <mergeCell ref="Z469:AD471"/>
    <mergeCell ref="AF469:AJ471"/>
    <mergeCell ref="AL508:AP510"/>
    <mergeCell ref="AR508:AV510"/>
    <mergeCell ref="AX508:BB510"/>
    <mergeCell ref="A508:A543"/>
    <mergeCell ref="B508:F510"/>
    <mergeCell ref="H508:L510"/>
    <mergeCell ref="N508:R510"/>
    <mergeCell ref="T508:X510"/>
    <mergeCell ref="Z508:AD510"/>
    <mergeCell ref="AF508:AJ510"/>
    <mergeCell ref="AL547:AP549"/>
    <mergeCell ref="AR547:AV549"/>
    <mergeCell ref="AX547:BB549"/>
    <mergeCell ref="A547:A582"/>
    <mergeCell ref="B547:F549"/>
    <mergeCell ref="H547:L549"/>
    <mergeCell ref="N547:R549"/>
    <mergeCell ref="T547:X549"/>
    <mergeCell ref="Z547:AD549"/>
    <mergeCell ref="AF547:AJ549"/>
    <mergeCell ref="A41:A76"/>
    <mergeCell ref="A79:A114"/>
    <mergeCell ref="B79:F81"/>
    <mergeCell ref="H79:L81"/>
    <mergeCell ref="N79:R81"/>
    <mergeCell ref="A118:A153"/>
    <mergeCell ref="B118:F120"/>
    <mergeCell ref="B235:F237"/>
    <mergeCell ref="H235:L237"/>
    <mergeCell ref="T235:X237"/>
    <mergeCell ref="Z235:AD237"/>
    <mergeCell ref="AF235:AJ237"/>
    <mergeCell ref="AL235:AP237"/>
    <mergeCell ref="AR235:AV237"/>
    <mergeCell ref="AX235:BB237"/>
    <mergeCell ref="H157:L159"/>
    <mergeCell ref="N157:R159"/>
    <mergeCell ref="A196:A231"/>
    <mergeCell ref="B196:F198"/>
    <mergeCell ref="H196:L198"/>
    <mergeCell ref="N196:R198"/>
    <mergeCell ref="N235:R237"/>
    <mergeCell ref="AF274:AJ276"/>
    <mergeCell ref="AL274:AP276"/>
    <mergeCell ref="AR274:AV276"/>
    <mergeCell ref="AX274:BB276"/>
    <mergeCell ref="H313:L315"/>
    <mergeCell ref="N313:R315"/>
    <mergeCell ref="T313:X315"/>
    <mergeCell ref="Z313:AD315"/>
    <mergeCell ref="AF313:AJ315"/>
    <mergeCell ref="AL313:AP315"/>
    <mergeCell ref="AR313:AV315"/>
    <mergeCell ref="AX313:BB315"/>
    <mergeCell ref="Z352:AD354"/>
    <mergeCell ref="AF352:AJ354"/>
    <mergeCell ref="AL352:AP354"/>
    <mergeCell ref="AR352:AV354"/>
    <mergeCell ref="AX352:BB354"/>
    <mergeCell ref="AL586:AP588"/>
    <mergeCell ref="AR586:AV588"/>
    <mergeCell ref="AX586:BB588"/>
    <mergeCell ref="A586:A621"/>
    <mergeCell ref="B586:F588"/>
    <mergeCell ref="H586:L588"/>
    <mergeCell ref="N586:R588"/>
    <mergeCell ref="T586:X588"/>
    <mergeCell ref="Z586:AD588"/>
    <mergeCell ref="AF586:AJ588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1.71"/>
    <col customWidth="1" min="3" max="3" width="14.86"/>
    <col customWidth="1" min="4" max="4" width="11.86"/>
    <col customWidth="1" min="5" max="5" width="11.57"/>
    <col customWidth="1" min="6" max="6" width="18.43"/>
    <col customWidth="1" min="7" max="7" width="9.29"/>
    <col customWidth="1" min="8" max="8" width="18.0"/>
    <col customWidth="1" min="9" max="10" width="10.43"/>
    <col customWidth="1" min="11" max="11" width="15.57"/>
    <col customWidth="1" min="12" max="12" width="11.43"/>
    <col customWidth="1" min="13" max="26" width="8.71"/>
  </cols>
  <sheetData>
    <row r="1" ht="14.25" customHeight="1"/>
    <row r="2" ht="14.25" customHeight="1"/>
    <row r="3" ht="14.25" customHeight="1">
      <c r="B3" s="230">
        <v>44713.0</v>
      </c>
      <c r="C3" s="231"/>
      <c r="E3" s="216" t="s">
        <v>238</v>
      </c>
      <c r="F3" s="216">
        <v>1819.0</v>
      </c>
      <c r="H3" s="165" t="s">
        <v>239</v>
      </c>
      <c r="I3" s="165" t="s">
        <v>240</v>
      </c>
      <c r="J3" s="165" t="s">
        <v>241</v>
      </c>
      <c r="K3" s="165" t="s">
        <v>242</v>
      </c>
      <c r="L3" s="165" t="s">
        <v>243</v>
      </c>
    </row>
    <row r="4" ht="14.25" customHeight="1">
      <c r="B4" s="216" t="s">
        <v>244</v>
      </c>
      <c r="C4" s="232">
        <v>2000.0</v>
      </c>
      <c r="E4" s="216" t="s">
        <v>245</v>
      </c>
      <c r="F4" s="216">
        <v>2039.0</v>
      </c>
      <c r="I4" s="233">
        <v>44716.0</v>
      </c>
      <c r="L4" s="165">
        <f t="shared" ref="L4:L7" si="1">K4-J4</f>
        <v>0</v>
      </c>
    </row>
    <row r="5" ht="14.25" customHeight="1">
      <c r="B5" s="216" t="s">
        <v>246</v>
      </c>
      <c r="C5" s="232">
        <f>F6*F5</f>
        <v>3300</v>
      </c>
      <c r="E5" s="216" t="s">
        <v>247</v>
      </c>
      <c r="F5" s="216">
        <f>F4-F3</f>
        <v>220</v>
      </c>
      <c r="I5" s="233">
        <v>44723.0</v>
      </c>
      <c r="L5" s="165">
        <f t="shared" si="1"/>
        <v>0</v>
      </c>
    </row>
    <row r="6" ht="14.25" customHeight="1">
      <c r="B6" s="216" t="s">
        <v>248</v>
      </c>
      <c r="C6" s="232">
        <f>F7*F8</f>
        <v>0</v>
      </c>
      <c r="E6" s="216" t="s">
        <v>249</v>
      </c>
      <c r="F6" s="232">
        <v>15.0</v>
      </c>
      <c r="I6" s="233">
        <v>44730.0</v>
      </c>
      <c r="J6" s="165">
        <v>1929.5</v>
      </c>
      <c r="K6" s="165">
        <v>1939.1</v>
      </c>
      <c r="L6" s="165">
        <f t="shared" si="1"/>
        <v>9.6</v>
      </c>
    </row>
    <row r="7" ht="14.25" customHeight="1">
      <c r="B7" s="216" t="s">
        <v>250</v>
      </c>
      <c r="C7" s="232">
        <f>F9*100</f>
        <v>200</v>
      </c>
      <c r="E7" s="216" t="s">
        <v>251</v>
      </c>
      <c r="F7" s="216"/>
      <c r="I7" s="233">
        <v>44737.0</v>
      </c>
      <c r="J7" s="165">
        <v>1988.3</v>
      </c>
      <c r="K7" s="165">
        <v>1999.0</v>
      </c>
      <c r="L7" s="165">
        <f t="shared" si="1"/>
        <v>10.7</v>
      </c>
    </row>
    <row r="8" ht="14.25" customHeight="1">
      <c r="B8" s="216" t="s">
        <v>252</v>
      </c>
      <c r="C8" s="232">
        <v>1000.0</v>
      </c>
      <c r="E8" s="216" t="s">
        <v>249</v>
      </c>
      <c r="F8" s="232">
        <v>10.0</v>
      </c>
    </row>
    <row r="9" ht="14.25" customHeight="1">
      <c r="B9" s="216" t="s">
        <v>253</v>
      </c>
      <c r="C9" s="232">
        <f>C4+C5+C6+C7-C8</f>
        <v>4500</v>
      </c>
      <c r="E9" s="216" t="s">
        <v>250</v>
      </c>
      <c r="F9" s="216">
        <v>2.0</v>
      </c>
    </row>
    <row r="10" ht="14.25" customHeight="1"/>
    <row r="11" ht="14.25" customHeight="1"/>
    <row r="12" ht="14.25" customHeight="1"/>
    <row r="13" ht="14.25" customHeight="1">
      <c r="A13" s="234" t="s">
        <v>254</v>
      </c>
      <c r="B13" s="235"/>
      <c r="C13" s="235"/>
      <c r="D13" s="235"/>
      <c r="E13" s="235"/>
      <c r="F13" s="231"/>
      <c r="G13" s="216"/>
      <c r="H13" s="216" t="s">
        <v>214</v>
      </c>
      <c r="I13" s="216" t="s">
        <v>255</v>
      </c>
      <c r="J13" s="216" t="s">
        <v>256</v>
      </c>
      <c r="K13" s="216" t="s">
        <v>243</v>
      </c>
      <c r="L13" s="216" t="s">
        <v>218</v>
      </c>
    </row>
    <row r="14" ht="14.25" customHeight="1">
      <c r="A14" s="216"/>
      <c r="B14" s="230">
        <v>44743.0</v>
      </c>
      <c r="C14" s="231"/>
      <c r="D14" s="216"/>
      <c r="E14" s="216" t="s">
        <v>238</v>
      </c>
      <c r="F14" s="216">
        <v>2039.0</v>
      </c>
      <c r="G14" s="216"/>
      <c r="H14" s="216"/>
      <c r="I14" s="216">
        <v>2039.0</v>
      </c>
      <c r="J14" s="216">
        <v>2048.1</v>
      </c>
      <c r="K14" s="216">
        <f t="shared" ref="K14:K40" si="2">J14-I14</f>
        <v>9.1</v>
      </c>
      <c r="L14" s="216">
        <f t="shared" ref="L14:L41" si="3">K14-10</f>
        <v>-0.9</v>
      </c>
    </row>
    <row r="15" ht="14.25" customHeight="1">
      <c r="A15" s="216"/>
      <c r="B15" s="216" t="s">
        <v>244</v>
      </c>
      <c r="C15" s="232">
        <v>2000.0</v>
      </c>
      <c r="D15" s="216"/>
      <c r="E15" s="216" t="s">
        <v>245</v>
      </c>
      <c r="F15" s="216">
        <v>2270.0</v>
      </c>
      <c r="G15" s="216"/>
      <c r="H15" s="216"/>
      <c r="I15" s="216">
        <f t="shared" ref="I15:I40" si="4">J14</f>
        <v>2048.1</v>
      </c>
      <c r="J15" s="216">
        <v>2053.3</v>
      </c>
      <c r="K15" s="216">
        <f t="shared" si="2"/>
        <v>5.2</v>
      </c>
      <c r="L15" s="216">
        <f t="shared" si="3"/>
        <v>-4.8</v>
      </c>
    </row>
    <row r="16" ht="14.25" customHeight="1">
      <c r="A16" s="216"/>
      <c r="B16" s="216" t="s">
        <v>246</v>
      </c>
      <c r="C16" s="232">
        <f>F17*F16</f>
        <v>3465</v>
      </c>
      <c r="D16" s="216"/>
      <c r="E16" s="216" t="s">
        <v>247</v>
      </c>
      <c r="F16" s="216">
        <f>F15-F14</f>
        <v>231</v>
      </c>
      <c r="G16" s="216"/>
      <c r="H16" s="216"/>
      <c r="I16" s="216">
        <f t="shared" si="4"/>
        <v>2053.3</v>
      </c>
      <c r="J16" s="216">
        <v>2063.3</v>
      </c>
      <c r="K16" s="216">
        <f t="shared" si="2"/>
        <v>10</v>
      </c>
      <c r="L16" s="216">
        <f t="shared" si="3"/>
        <v>0</v>
      </c>
    </row>
    <row r="17" ht="14.25" customHeight="1">
      <c r="A17" s="216"/>
      <c r="B17" s="216" t="s">
        <v>248</v>
      </c>
      <c r="C17" s="232">
        <f>F18*F19</f>
        <v>20</v>
      </c>
      <c r="D17" s="216"/>
      <c r="E17" s="216" t="s">
        <v>249</v>
      </c>
      <c r="F17" s="232">
        <v>15.0</v>
      </c>
      <c r="G17" s="216"/>
      <c r="H17" s="216"/>
      <c r="I17" s="216">
        <f t="shared" si="4"/>
        <v>2063.3</v>
      </c>
      <c r="J17" s="216">
        <v>2069.0</v>
      </c>
      <c r="K17" s="216">
        <f t="shared" si="2"/>
        <v>5.7</v>
      </c>
      <c r="L17" s="216">
        <f t="shared" si="3"/>
        <v>-4.3</v>
      </c>
    </row>
    <row r="18" ht="14.25" customHeight="1">
      <c r="A18" s="216"/>
      <c r="B18" s="216" t="s">
        <v>250</v>
      </c>
      <c r="C18" s="232">
        <f>F20*100</f>
        <v>0</v>
      </c>
      <c r="D18" s="216"/>
      <c r="E18" s="216" t="s">
        <v>251</v>
      </c>
      <c r="F18" s="216">
        <v>2.0</v>
      </c>
      <c r="G18" s="216"/>
      <c r="H18" s="216"/>
      <c r="I18" s="216">
        <f t="shared" si="4"/>
        <v>2069</v>
      </c>
      <c r="J18" s="216">
        <v>2079.0</v>
      </c>
      <c r="K18" s="216">
        <f t="shared" si="2"/>
        <v>10</v>
      </c>
      <c r="L18" s="216">
        <f t="shared" si="3"/>
        <v>0</v>
      </c>
    </row>
    <row r="19" ht="14.25" customHeight="1">
      <c r="A19" s="216"/>
      <c r="B19" s="216" t="s">
        <v>252</v>
      </c>
      <c r="C19" s="232">
        <v>1075.0</v>
      </c>
      <c r="D19" s="216"/>
      <c r="E19" s="216" t="s">
        <v>249</v>
      </c>
      <c r="F19" s="232">
        <v>10.0</v>
      </c>
      <c r="G19" s="216"/>
      <c r="H19" s="216"/>
      <c r="I19" s="216">
        <f t="shared" si="4"/>
        <v>2079</v>
      </c>
      <c r="J19" s="216">
        <v>2089.0</v>
      </c>
      <c r="K19" s="216">
        <f t="shared" si="2"/>
        <v>10</v>
      </c>
      <c r="L19" s="216">
        <f t="shared" si="3"/>
        <v>0</v>
      </c>
    </row>
    <row r="20" ht="14.25" customHeight="1">
      <c r="A20" s="216"/>
      <c r="B20" s="216" t="s">
        <v>253</v>
      </c>
      <c r="C20" s="232">
        <f>C15+C16+C17+C18-C19</f>
        <v>4410</v>
      </c>
      <c r="D20" s="216"/>
      <c r="E20" s="216" t="s">
        <v>250</v>
      </c>
      <c r="F20" s="216">
        <v>0.0</v>
      </c>
      <c r="G20" s="216"/>
      <c r="H20" s="216"/>
      <c r="I20" s="216">
        <f t="shared" si="4"/>
        <v>2089</v>
      </c>
      <c r="J20" s="216">
        <v>2099.0</v>
      </c>
      <c r="K20" s="216">
        <f t="shared" si="2"/>
        <v>10</v>
      </c>
      <c r="L20" s="216">
        <f t="shared" si="3"/>
        <v>0</v>
      </c>
    </row>
    <row r="21" ht="14.25" customHeight="1">
      <c r="A21" s="216"/>
      <c r="B21" s="216"/>
      <c r="C21" s="216"/>
      <c r="D21" s="216"/>
      <c r="E21" s="216"/>
      <c r="F21" s="216"/>
      <c r="G21" s="216"/>
      <c r="H21" s="216"/>
      <c r="I21" s="216">
        <f t="shared" si="4"/>
        <v>2099</v>
      </c>
      <c r="J21" s="216">
        <v>2104.0</v>
      </c>
      <c r="K21" s="216">
        <f t="shared" si="2"/>
        <v>5</v>
      </c>
      <c r="L21" s="216">
        <f t="shared" si="3"/>
        <v>-5</v>
      </c>
    </row>
    <row r="22" ht="14.25" customHeight="1">
      <c r="A22" s="216"/>
      <c r="B22" s="216"/>
      <c r="C22" s="216"/>
      <c r="D22" s="216"/>
      <c r="E22" s="216"/>
      <c r="F22" s="216"/>
      <c r="G22" s="216"/>
      <c r="H22" s="216"/>
      <c r="I22" s="216">
        <f t="shared" si="4"/>
        <v>2104</v>
      </c>
      <c r="J22" s="216">
        <v>2114.0</v>
      </c>
      <c r="K22" s="216">
        <f t="shared" si="2"/>
        <v>10</v>
      </c>
      <c r="L22" s="216">
        <f t="shared" si="3"/>
        <v>0</v>
      </c>
    </row>
    <row r="23" ht="14.25" customHeight="1">
      <c r="A23" s="216"/>
      <c r="B23" s="216"/>
      <c r="C23" s="216"/>
      <c r="D23" s="216"/>
      <c r="E23" s="216"/>
      <c r="F23" s="216"/>
      <c r="G23" s="216"/>
      <c r="H23" s="216"/>
      <c r="I23" s="216">
        <f t="shared" si="4"/>
        <v>2114</v>
      </c>
      <c r="J23" s="216">
        <v>2125.0</v>
      </c>
      <c r="K23" s="216">
        <f t="shared" si="2"/>
        <v>11</v>
      </c>
      <c r="L23" s="216">
        <f t="shared" si="3"/>
        <v>1</v>
      </c>
    </row>
    <row r="24" ht="14.25" customHeight="1">
      <c r="A24" s="216"/>
      <c r="B24" s="216"/>
      <c r="C24" s="216"/>
      <c r="D24" s="216"/>
      <c r="E24" s="216"/>
      <c r="F24" s="216"/>
      <c r="G24" s="216"/>
      <c r="H24" s="216"/>
      <c r="I24" s="216">
        <f t="shared" si="4"/>
        <v>2125</v>
      </c>
      <c r="J24" s="216">
        <v>2135.0</v>
      </c>
      <c r="K24" s="216">
        <f t="shared" si="2"/>
        <v>10</v>
      </c>
      <c r="L24" s="216">
        <f t="shared" si="3"/>
        <v>0</v>
      </c>
    </row>
    <row r="25" ht="14.25" customHeight="1">
      <c r="A25" s="216"/>
      <c r="B25" s="216"/>
      <c r="C25" s="216"/>
      <c r="D25" s="216"/>
      <c r="E25" s="216"/>
      <c r="F25" s="216"/>
      <c r="G25" s="216"/>
      <c r="H25" s="216"/>
      <c r="I25" s="216">
        <f t="shared" si="4"/>
        <v>2135</v>
      </c>
      <c r="J25" s="216">
        <v>2145.0</v>
      </c>
      <c r="K25" s="216">
        <f t="shared" si="2"/>
        <v>10</v>
      </c>
      <c r="L25" s="216">
        <f t="shared" si="3"/>
        <v>0</v>
      </c>
    </row>
    <row r="26" ht="14.25" customHeight="1">
      <c r="A26" s="216"/>
      <c r="B26" s="216"/>
      <c r="C26" s="216"/>
      <c r="D26" s="216"/>
      <c r="E26" s="216"/>
      <c r="F26" s="216"/>
      <c r="G26" s="216"/>
      <c r="H26" s="216"/>
      <c r="I26" s="216">
        <f t="shared" si="4"/>
        <v>2145</v>
      </c>
      <c r="J26" s="216">
        <v>2155.0</v>
      </c>
      <c r="K26" s="216">
        <f t="shared" si="2"/>
        <v>10</v>
      </c>
      <c r="L26" s="216">
        <f t="shared" si="3"/>
        <v>0</v>
      </c>
    </row>
    <row r="27" ht="14.25" customHeight="1">
      <c r="A27" s="216"/>
      <c r="B27" s="216"/>
      <c r="C27" s="216"/>
      <c r="D27" s="216"/>
      <c r="E27" s="216"/>
      <c r="F27" s="216"/>
      <c r="G27" s="216"/>
      <c r="H27" s="216"/>
      <c r="I27" s="216">
        <f t="shared" si="4"/>
        <v>2155</v>
      </c>
      <c r="J27" s="216">
        <v>2160.0</v>
      </c>
      <c r="K27" s="216">
        <f t="shared" si="2"/>
        <v>5</v>
      </c>
      <c r="L27" s="216">
        <f t="shared" si="3"/>
        <v>-5</v>
      </c>
    </row>
    <row r="28" ht="14.25" customHeight="1">
      <c r="A28" s="216"/>
      <c r="B28" s="216"/>
      <c r="C28" s="216"/>
      <c r="D28" s="216"/>
      <c r="E28" s="216"/>
      <c r="F28" s="216"/>
      <c r="G28" s="216"/>
      <c r="H28" s="216"/>
      <c r="I28" s="216">
        <f t="shared" si="4"/>
        <v>2160</v>
      </c>
      <c r="J28" s="216">
        <v>2169.0</v>
      </c>
      <c r="K28" s="216">
        <f t="shared" si="2"/>
        <v>9</v>
      </c>
      <c r="L28" s="216">
        <f t="shared" si="3"/>
        <v>-1</v>
      </c>
    </row>
    <row r="29" ht="14.25" customHeight="1">
      <c r="A29" s="216"/>
      <c r="B29" s="216"/>
      <c r="C29" s="216"/>
      <c r="D29" s="216"/>
      <c r="E29" s="216"/>
      <c r="F29" s="216"/>
      <c r="G29" s="216"/>
      <c r="H29" s="216"/>
      <c r="I29" s="216">
        <f t="shared" si="4"/>
        <v>2169</v>
      </c>
      <c r="J29" s="216">
        <v>2179.0</v>
      </c>
      <c r="K29" s="216">
        <f t="shared" si="2"/>
        <v>10</v>
      </c>
      <c r="L29" s="216">
        <f t="shared" si="3"/>
        <v>0</v>
      </c>
    </row>
    <row r="30" ht="14.25" customHeight="1">
      <c r="A30" s="216"/>
      <c r="B30" s="216"/>
      <c r="C30" s="216"/>
      <c r="D30" s="216"/>
      <c r="E30" s="216"/>
      <c r="F30" s="216"/>
      <c r="G30" s="216"/>
      <c r="H30" s="216"/>
      <c r="I30" s="216">
        <f t="shared" si="4"/>
        <v>2179</v>
      </c>
      <c r="J30" s="216">
        <v>2189.0</v>
      </c>
      <c r="K30" s="216">
        <f t="shared" si="2"/>
        <v>10</v>
      </c>
      <c r="L30" s="216">
        <f t="shared" si="3"/>
        <v>0</v>
      </c>
    </row>
    <row r="31" ht="14.25" customHeight="1">
      <c r="A31" s="216"/>
      <c r="B31" s="216"/>
      <c r="C31" s="216"/>
      <c r="D31" s="216"/>
      <c r="E31" s="216"/>
      <c r="F31" s="216"/>
      <c r="G31" s="216"/>
      <c r="H31" s="216"/>
      <c r="I31" s="216">
        <f t="shared" si="4"/>
        <v>2189</v>
      </c>
      <c r="J31" s="216">
        <v>2199.0</v>
      </c>
      <c r="K31" s="216">
        <f t="shared" si="2"/>
        <v>10</v>
      </c>
      <c r="L31" s="216">
        <f t="shared" si="3"/>
        <v>0</v>
      </c>
    </row>
    <row r="32" ht="14.25" customHeight="1">
      <c r="A32" s="216"/>
      <c r="B32" s="216"/>
      <c r="C32" s="216"/>
      <c r="D32" s="216"/>
      <c r="E32" s="216"/>
      <c r="F32" s="216"/>
      <c r="G32" s="216"/>
      <c r="H32" s="216"/>
      <c r="I32" s="216">
        <f t="shared" si="4"/>
        <v>2199</v>
      </c>
      <c r="J32" s="216">
        <v>2209.0</v>
      </c>
      <c r="K32" s="216">
        <f t="shared" si="2"/>
        <v>10</v>
      </c>
      <c r="L32" s="216">
        <f t="shared" si="3"/>
        <v>0</v>
      </c>
    </row>
    <row r="33" ht="14.25" customHeight="1">
      <c r="A33" s="216"/>
      <c r="B33" s="216"/>
      <c r="C33" s="216"/>
      <c r="D33" s="216"/>
      <c r="E33" s="216"/>
      <c r="F33" s="216"/>
      <c r="G33" s="216"/>
      <c r="H33" s="216"/>
      <c r="I33" s="216">
        <f t="shared" si="4"/>
        <v>2209</v>
      </c>
      <c r="J33" s="216">
        <v>2214.0</v>
      </c>
      <c r="K33" s="216">
        <f t="shared" si="2"/>
        <v>5</v>
      </c>
      <c r="L33" s="216">
        <f t="shared" si="3"/>
        <v>-5</v>
      </c>
    </row>
    <row r="34" ht="14.25" customHeight="1">
      <c r="A34" s="216"/>
      <c r="B34" s="216"/>
      <c r="C34" s="216"/>
      <c r="D34" s="216"/>
      <c r="E34" s="216"/>
      <c r="F34" s="216"/>
      <c r="G34" s="216"/>
      <c r="H34" s="216"/>
      <c r="I34" s="216">
        <f t="shared" si="4"/>
        <v>2214</v>
      </c>
      <c r="J34" s="216">
        <v>2224.0</v>
      </c>
      <c r="K34" s="216">
        <f t="shared" si="2"/>
        <v>10</v>
      </c>
      <c r="L34" s="216">
        <f t="shared" si="3"/>
        <v>0</v>
      </c>
    </row>
    <row r="35" ht="14.25" customHeight="1">
      <c r="A35" s="216"/>
      <c r="B35" s="216"/>
      <c r="C35" s="216"/>
      <c r="D35" s="216"/>
      <c r="E35" s="216"/>
      <c r="F35" s="216"/>
      <c r="G35" s="216"/>
      <c r="H35" s="216"/>
      <c r="I35" s="216">
        <f t="shared" si="4"/>
        <v>2224</v>
      </c>
      <c r="J35" s="216">
        <v>2234.0</v>
      </c>
      <c r="K35" s="216">
        <f t="shared" si="2"/>
        <v>10</v>
      </c>
      <c r="L35" s="216">
        <f t="shared" si="3"/>
        <v>0</v>
      </c>
    </row>
    <row r="36" ht="14.25" customHeight="1">
      <c r="A36" s="216"/>
      <c r="B36" s="216"/>
      <c r="C36" s="216"/>
      <c r="D36" s="216"/>
      <c r="E36" s="216"/>
      <c r="F36" s="216"/>
      <c r="G36" s="216"/>
      <c r="H36" s="216"/>
      <c r="I36" s="216">
        <f t="shared" si="4"/>
        <v>2234</v>
      </c>
      <c r="J36" s="216">
        <v>2245.0</v>
      </c>
      <c r="K36" s="216">
        <f t="shared" si="2"/>
        <v>11</v>
      </c>
      <c r="L36" s="216">
        <f t="shared" si="3"/>
        <v>1</v>
      </c>
    </row>
    <row r="37" ht="14.25" customHeight="1">
      <c r="A37" s="216"/>
      <c r="B37" s="216"/>
      <c r="C37" s="216"/>
      <c r="D37" s="216"/>
      <c r="E37" s="216"/>
      <c r="F37" s="216"/>
      <c r="G37" s="216"/>
      <c r="H37" s="216"/>
      <c r="I37" s="216">
        <f t="shared" si="4"/>
        <v>2245</v>
      </c>
      <c r="J37" s="216">
        <v>2255.0</v>
      </c>
      <c r="K37" s="216">
        <f t="shared" si="2"/>
        <v>10</v>
      </c>
      <c r="L37" s="216">
        <f t="shared" si="3"/>
        <v>0</v>
      </c>
    </row>
    <row r="38" ht="14.25" customHeight="1">
      <c r="A38" s="216"/>
      <c r="B38" s="216"/>
      <c r="C38" s="216"/>
      <c r="D38" s="216"/>
      <c r="E38" s="216"/>
      <c r="F38" s="216"/>
      <c r="G38" s="216"/>
      <c r="H38" s="216"/>
      <c r="I38" s="216">
        <f t="shared" si="4"/>
        <v>2255</v>
      </c>
      <c r="J38" s="216">
        <v>2265.0</v>
      </c>
      <c r="K38" s="216">
        <f t="shared" si="2"/>
        <v>10</v>
      </c>
      <c r="L38" s="216">
        <f t="shared" si="3"/>
        <v>0</v>
      </c>
    </row>
    <row r="39" ht="14.25" customHeight="1">
      <c r="A39" s="216"/>
      <c r="B39" s="216"/>
      <c r="C39" s="216"/>
      <c r="D39" s="216"/>
      <c r="E39" s="216"/>
      <c r="F39" s="216"/>
      <c r="G39" s="216"/>
      <c r="H39" s="216"/>
      <c r="I39" s="216">
        <f t="shared" si="4"/>
        <v>2265</v>
      </c>
      <c r="J39" s="216">
        <v>2270.0</v>
      </c>
      <c r="K39" s="216">
        <f t="shared" si="2"/>
        <v>5</v>
      </c>
      <c r="L39" s="216">
        <f t="shared" si="3"/>
        <v>-5</v>
      </c>
    </row>
    <row r="40" ht="14.25" customHeight="1">
      <c r="A40" s="216"/>
      <c r="B40" s="216"/>
      <c r="C40" s="216"/>
      <c r="D40" s="216"/>
      <c r="E40" s="216"/>
      <c r="F40" s="216"/>
      <c r="G40" s="216"/>
      <c r="H40" s="216"/>
      <c r="I40" s="216">
        <f t="shared" si="4"/>
        <v>2270</v>
      </c>
      <c r="J40" s="216">
        <v>2270.0</v>
      </c>
      <c r="K40" s="216">
        <f t="shared" si="2"/>
        <v>0</v>
      </c>
      <c r="L40" s="216">
        <f t="shared" si="3"/>
        <v>-10</v>
      </c>
    </row>
    <row r="41" ht="14.25" customHeight="1">
      <c r="A41" s="216"/>
      <c r="B41" s="216"/>
      <c r="C41" s="216"/>
      <c r="D41" s="216"/>
      <c r="E41" s="216"/>
      <c r="F41" s="216"/>
      <c r="G41" s="216"/>
      <c r="H41" s="216"/>
      <c r="I41" s="234" t="s">
        <v>221</v>
      </c>
      <c r="J41" s="231"/>
      <c r="K41" s="216">
        <f>SUM(K14:K40)</f>
        <v>231</v>
      </c>
      <c r="L41" s="216">
        <f t="shared" si="3"/>
        <v>221</v>
      </c>
    </row>
    <row r="42" ht="14.25" customHeight="1"/>
    <row r="43" ht="14.25" customHeight="1">
      <c r="C43" s="236">
        <v>44774.0</v>
      </c>
      <c r="D43" s="231"/>
      <c r="E43" s="216"/>
      <c r="F43" s="216" t="s">
        <v>238</v>
      </c>
      <c r="G43" s="216">
        <v>2270.0</v>
      </c>
      <c r="I43" s="216" t="s">
        <v>255</v>
      </c>
      <c r="J43" s="216" t="s">
        <v>256</v>
      </c>
      <c r="K43" s="216" t="s">
        <v>243</v>
      </c>
      <c r="L43" s="216" t="s">
        <v>218</v>
      </c>
    </row>
    <row r="44" ht="14.25" customHeight="1">
      <c r="C44" s="216" t="s">
        <v>244</v>
      </c>
      <c r="D44" s="232">
        <v>2000.0</v>
      </c>
      <c r="E44" s="216"/>
      <c r="F44" s="216" t="s">
        <v>245</v>
      </c>
      <c r="G44" s="216">
        <v>2515.0</v>
      </c>
      <c r="I44" s="216">
        <v>2270.0</v>
      </c>
      <c r="J44" s="216">
        <v>2277.0</v>
      </c>
      <c r="K44" s="216">
        <f t="shared" ref="K44:K70" si="5">J44-I44</f>
        <v>7</v>
      </c>
      <c r="L44" s="216">
        <f t="shared" ref="L44:L71" si="6">K44-10</f>
        <v>-3</v>
      </c>
    </row>
    <row r="45" ht="14.25" customHeight="1">
      <c r="C45" s="216" t="s">
        <v>246</v>
      </c>
      <c r="D45" s="232">
        <f>G46*G45</f>
        <v>3675</v>
      </c>
      <c r="E45" s="216"/>
      <c r="F45" s="216" t="s">
        <v>247</v>
      </c>
      <c r="G45" s="216">
        <f>G44-G43</f>
        <v>245</v>
      </c>
      <c r="I45" s="216">
        <f t="shared" ref="I45:I69" si="7">J44</f>
        <v>2277</v>
      </c>
      <c r="J45" s="216">
        <v>2287.0</v>
      </c>
      <c r="K45" s="216">
        <f t="shared" si="5"/>
        <v>10</v>
      </c>
      <c r="L45" s="216">
        <f t="shared" si="6"/>
        <v>0</v>
      </c>
    </row>
    <row r="46" ht="14.25" customHeight="1">
      <c r="C46" s="216" t="s">
        <v>248</v>
      </c>
      <c r="D46" s="232">
        <f>G47*G48</f>
        <v>80</v>
      </c>
      <c r="E46" s="216"/>
      <c r="F46" s="216" t="s">
        <v>249</v>
      </c>
      <c r="G46" s="232">
        <v>15.0</v>
      </c>
      <c r="I46" s="216">
        <f t="shared" si="7"/>
        <v>2287</v>
      </c>
      <c r="J46" s="216">
        <v>2296.0</v>
      </c>
      <c r="K46" s="216">
        <f t="shared" si="5"/>
        <v>9</v>
      </c>
      <c r="L46" s="216">
        <f t="shared" si="6"/>
        <v>-1</v>
      </c>
    </row>
    <row r="47" ht="14.25" customHeight="1">
      <c r="C47" s="216" t="s">
        <v>250</v>
      </c>
      <c r="D47" s="232">
        <f>G49*100</f>
        <v>300</v>
      </c>
      <c r="E47" s="216"/>
      <c r="F47" s="216" t="s">
        <v>251</v>
      </c>
      <c r="G47" s="216">
        <v>8.0</v>
      </c>
      <c r="I47" s="216">
        <f t="shared" si="7"/>
        <v>2296</v>
      </c>
      <c r="J47" s="216">
        <v>2306.0</v>
      </c>
      <c r="K47" s="216">
        <f t="shared" si="5"/>
        <v>10</v>
      </c>
      <c r="L47" s="216">
        <f t="shared" si="6"/>
        <v>0</v>
      </c>
    </row>
    <row r="48" ht="14.25" customHeight="1">
      <c r="C48" s="216" t="s">
        <v>252</v>
      </c>
      <c r="D48" s="232">
        <v>1000.0</v>
      </c>
      <c r="E48" s="216"/>
      <c r="F48" s="216" t="s">
        <v>249</v>
      </c>
      <c r="G48" s="232">
        <v>10.0</v>
      </c>
      <c r="I48" s="216">
        <f t="shared" si="7"/>
        <v>2306</v>
      </c>
      <c r="J48" s="216">
        <v>2316.0</v>
      </c>
      <c r="K48" s="216">
        <f t="shared" si="5"/>
        <v>10</v>
      </c>
      <c r="L48" s="216">
        <f t="shared" si="6"/>
        <v>0</v>
      </c>
    </row>
    <row r="49" ht="14.25" customHeight="1">
      <c r="C49" s="216" t="s">
        <v>253</v>
      </c>
      <c r="D49" s="232">
        <f>D44+D45+D46+D47-D48</f>
        <v>5055</v>
      </c>
      <c r="E49" s="216"/>
      <c r="F49" s="216" t="s">
        <v>250</v>
      </c>
      <c r="G49" s="216">
        <v>3.0</v>
      </c>
      <c r="I49" s="216">
        <f t="shared" si="7"/>
        <v>2316</v>
      </c>
      <c r="J49" s="216">
        <v>2326.0</v>
      </c>
      <c r="K49" s="216">
        <f t="shared" si="5"/>
        <v>10</v>
      </c>
      <c r="L49" s="216">
        <f t="shared" si="6"/>
        <v>0</v>
      </c>
    </row>
    <row r="50" ht="14.25" customHeight="1">
      <c r="I50" s="216">
        <f t="shared" si="7"/>
        <v>2326</v>
      </c>
      <c r="J50" s="216">
        <v>2333.0</v>
      </c>
      <c r="K50" s="216">
        <f t="shared" si="5"/>
        <v>7</v>
      </c>
      <c r="L50" s="216">
        <f t="shared" si="6"/>
        <v>-3</v>
      </c>
    </row>
    <row r="51" ht="14.25" customHeight="1">
      <c r="I51" s="216">
        <f t="shared" si="7"/>
        <v>2333</v>
      </c>
      <c r="J51" s="216">
        <v>2343.0</v>
      </c>
      <c r="K51" s="216">
        <f t="shared" si="5"/>
        <v>10</v>
      </c>
      <c r="L51" s="216">
        <f t="shared" si="6"/>
        <v>0</v>
      </c>
    </row>
    <row r="52" ht="14.25" customHeight="1">
      <c r="I52" s="216">
        <f t="shared" si="7"/>
        <v>2343</v>
      </c>
      <c r="J52" s="216">
        <v>2353.0</v>
      </c>
      <c r="K52" s="216">
        <f t="shared" si="5"/>
        <v>10</v>
      </c>
      <c r="L52" s="216">
        <f t="shared" si="6"/>
        <v>0</v>
      </c>
    </row>
    <row r="53" ht="14.25" customHeight="1">
      <c r="I53" s="216">
        <f t="shared" si="7"/>
        <v>2353</v>
      </c>
      <c r="J53" s="216">
        <v>2363.0</v>
      </c>
      <c r="K53" s="216">
        <f t="shared" si="5"/>
        <v>10</v>
      </c>
      <c r="L53" s="216">
        <f t="shared" si="6"/>
        <v>0</v>
      </c>
    </row>
    <row r="54" ht="14.25" customHeight="1">
      <c r="I54" s="237">
        <f t="shared" si="7"/>
        <v>2363</v>
      </c>
      <c r="J54" s="237">
        <v>2373.0</v>
      </c>
      <c r="K54" s="216">
        <f t="shared" si="5"/>
        <v>10</v>
      </c>
      <c r="L54" s="216">
        <f t="shared" si="6"/>
        <v>0</v>
      </c>
    </row>
    <row r="55" ht="14.25" customHeight="1">
      <c r="I55" s="216">
        <f t="shared" si="7"/>
        <v>2373</v>
      </c>
      <c r="J55" s="216">
        <v>2384.0</v>
      </c>
      <c r="K55" s="216">
        <f t="shared" si="5"/>
        <v>11</v>
      </c>
      <c r="L55" s="216">
        <f t="shared" si="6"/>
        <v>1</v>
      </c>
    </row>
    <row r="56" ht="14.25" customHeight="1">
      <c r="I56" s="216">
        <f t="shared" si="7"/>
        <v>2384</v>
      </c>
      <c r="J56" s="216">
        <v>2395.0</v>
      </c>
      <c r="K56" s="216">
        <f t="shared" si="5"/>
        <v>11</v>
      </c>
      <c r="L56" s="216">
        <f t="shared" si="6"/>
        <v>1</v>
      </c>
    </row>
    <row r="57" ht="14.25" customHeight="1">
      <c r="I57" s="216">
        <f t="shared" si="7"/>
        <v>2395</v>
      </c>
      <c r="J57" s="216">
        <v>2399.0</v>
      </c>
      <c r="K57" s="216">
        <f t="shared" si="5"/>
        <v>4</v>
      </c>
      <c r="L57" s="216">
        <f t="shared" si="6"/>
        <v>-6</v>
      </c>
    </row>
    <row r="58" ht="14.25" customHeight="1">
      <c r="I58" s="216">
        <f t="shared" si="7"/>
        <v>2399</v>
      </c>
      <c r="J58" s="216">
        <v>2410.0</v>
      </c>
      <c r="K58" s="216">
        <f t="shared" si="5"/>
        <v>11</v>
      </c>
      <c r="L58" s="216">
        <f t="shared" si="6"/>
        <v>1</v>
      </c>
    </row>
    <row r="59" ht="14.25" customHeight="1">
      <c r="I59" s="216">
        <f t="shared" si="7"/>
        <v>2410</v>
      </c>
      <c r="J59" s="216">
        <v>2421.0</v>
      </c>
      <c r="K59" s="216">
        <f t="shared" si="5"/>
        <v>11</v>
      </c>
      <c r="L59" s="216">
        <f t="shared" si="6"/>
        <v>1</v>
      </c>
    </row>
    <row r="60" ht="14.25" customHeight="1">
      <c r="I60" s="237">
        <f t="shared" si="7"/>
        <v>2421</v>
      </c>
      <c r="J60" s="237">
        <v>2431.0</v>
      </c>
      <c r="K60" s="216">
        <f t="shared" si="5"/>
        <v>10</v>
      </c>
      <c r="L60" s="216">
        <f t="shared" si="6"/>
        <v>0</v>
      </c>
    </row>
    <row r="61" ht="14.25" customHeight="1">
      <c r="I61" s="216">
        <f t="shared" si="7"/>
        <v>2431</v>
      </c>
      <c r="J61" s="216">
        <v>2442.0</v>
      </c>
      <c r="K61" s="216">
        <f t="shared" si="5"/>
        <v>11</v>
      </c>
      <c r="L61" s="216">
        <f t="shared" si="6"/>
        <v>1</v>
      </c>
    </row>
    <row r="62" ht="14.25" customHeight="1">
      <c r="I62" s="216">
        <f t="shared" si="7"/>
        <v>2442</v>
      </c>
      <c r="J62" s="216">
        <v>2453.0</v>
      </c>
      <c r="K62" s="216">
        <f t="shared" si="5"/>
        <v>11</v>
      </c>
      <c r="L62" s="216">
        <f t="shared" si="6"/>
        <v>1</v>
      </c>
    </row>
    <row r="63" ht="14.25" customHeight="1">
      <c r="I63" s="216">
        <f t="shared" si="7"/>
        <v>2453</v>
      </c>
      <c r="J63" s="216">
        <v>2458.0</v>
      </c>
      <c r="K63" s="216">
        <f t="shared" si="5"/>
        <v>5</v>
      </c>
      <c r="L63" s="216">
        <f t="shared" si="6"/>
        <v>-5</v>
      </c>
    </row>
    <row r="64" ht="14.25" customHeight="1">
      <c r="I64" s="216">
        <f t="shared" si="7"/>
        <v>2458</v>
      </c>
      <c r="J64" s="216">
        <v>2469.0</v>
      </c>
      <c r="K64" s="216">
        <f t="shared" si="5"/>
        <v>11</v>
      </c>
      <c r="L64" s="216">
        <f t="shared" si="6"/>
        <v>1</v>
      </c>
    </row>
    <row r="65" ht="14.25" customHeight="1">
      <c r="I65" s="216">
        <f t="shared" si="7"/>
        <v>2469</v>
      </c>
      <c r="J65" s="216">
        <v>2480.0</v>
      </c>
      <c r="K65" s="216">
        <f t="shared" si="5"/>
        <v>11</v>
      </c>
      <c r="L65" s="216">
        <f t="shared" si="6"/>
        <v>1</v>
      </c>
    </row>
    <row r="66" ht="14.25" customHeight="1">
      <c r="I66" s="237">
        <f t="shared" si="7"/>
        <v>2480</v>
      </c>
      <c r="J66" s="237">
        <v>2490.0</v>
      </c>
      <c r="K66" s="216">
        <f t="shared" si="5"/>
        <v>10</v>
      </c>
      <c r="L66" s="216">
        <f t="shared" si="6"/>
        <v>0</v>
      </c>
    </row>
    <row r="67" ht="14.25" customHeight="1">
      <c r="I67" s="216">
        <f t="shared" si="7"/>
        <v>2490</v>
      </c>
      <c r="J67" s="216">
        <v>2500.0</v>
      </c>
      <c r="K67" s="216">
        <f t="shared" si="5"/>
        <v>10</v>
      </c>
      <c r="L67" s="216">
        <f t="shared" si="6"/>
        <v>0</v>
      </c>
    </row>
    <row r="68" ht="14.25" customHeight="1">
      <c r="I68" s="216">
        <f t="shared" si="7"/>
        <v>2500</v>
      </c>
      <c r="J68" s="216">
        <v>2510.0</v>
      </c>
      <c r="K68" s="216">
        <f t="shared" si="5"/>
        <v>10</v>
      </c>
      <c r="L68" s="216">
        <f t="shared" si="6"/>
        <v>0</v>
      </c>
    </row>
    <row r="69" ht="14.25" customHeight="1">
      <c r="I69" s="216">
        <f t="shared" si="7"/>
        <v>2510</v>
      </c>
      <c r="J69" s="216">
        <v>2515.0</v>
      </c>
      <c r="K69" s="216">
        <f t="shared" si="5"/>
        <v>5</v>
      </c>
      <c r="L69" s="216">
        <f t="shared" si="6"/>
        <v>-5</v>
      </c>
    </row>
    <row r="70" ht="14.25" customHeight="1">
      <c r="I70" s="216">
        <v>0.0</v>
      </c>
      <c r="J70" s="216"/>
      <c r="K70" s="216">
        <f t="shared" si="5"/>
        <v>0</v>
      </c>
      <c r="L70" s="216">
        <f t="shared" si="6"/>
        <v>-10</v>
      </c>
    </row>
    <row r="71" ht="14.25" customHeight="1">
      <c r="I71" s="234" t="s">
        <v>221</v>
      </c>
      <c r="J71" s="231"/>
      <c r="K71" s="216">
        <f>SUM(K44:K70)</f>
        <v>245</v>
      </c>
      <c r="L71" s="216">
        <f t="shared" si="6"/>
        <v>235</v>
      </c>
    </row>
    <row r="72" ht="14.25" customHeight="1">
      <c r="A72" s="238"/>
      <c r="B72" s="238"/>
      <c r="C72" s="238"/>
      <c r="D72" s="238"/>
      <c r="E72" s="238"/>
      <c r="F72" s="239" t="s">
        <v>257</v>
      </c>
      <c r="G72" s="240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</row>
    <row r="73" ht="14.25" customHeight="1">
      <c r="C73" s="236">
        <v>44774.0</v>
      </c>
      <c r="D73" s="231"/>
      <c r="E73" s="216"/>
      <c r="F73" s="216" t="s">
        <v>238</v>
      </c>
      <c r="G73" s="216">
        <v>2515.0</v>
      </c>
      <c r="I73" s="216" t="s">
        <v>255</v>
      </c>
      <c r="J73" s="216" t="s">
        <v>256</v>
      </c>
      <c r="K73" s="216" t="s">
        <v>243</v>
      </c>
      <c r="L73" s="216" t="s">
        <v>218</v>
      </c>
    </row>
    <row r="74" ht="14.25" customHeight="1">
      <c r="C74" s="216" t="s">
        <v>244</v>
      </c>
      <c r="D74" s="232">
        <v>2000.0</v>
      </c>
      <c r="E74" s="216"/>
      <c r="F74" s="216" t="s">
        <v>245</v>
      </c>
      <c r="G74" s="216">
        <v>2572.6</v>
      </c>
      <c r="I74" s="216">
        <v>2515.0</v>
      </c>
      <c r="J74" s="216">
        <v>2520.0</v>
      </c>
      <c r="K74" s="216">
        <f t="shared" ref="K74:K100" si="8">J74-I74</f>
        <v>5</v>
      </c>
      <c r="L74" s="216">
        <f t="shared" ref="L74:L101" si="9">K74-10</f>
        <v>-5</v>
      </c>
    </row>
    <row r="75" ht="14.25" customHeight="1">
      <c r="C75" s="216" t="s">
        <v>246</v>
      </c>
      <c r="D75" s="232">
        <f>G76*G75+ (G83*G84)</f>
        <v>3097.5</v>
      </c>
      <c r="E75" s="216"/>
      <c r="F75" s="216" t="s">
        <v>247</v>
      </c>
      <c r="G75" s="216">
        <f>G74-G73</f>
        <v>57.6</v>
      </c>
      <c r="I75" s="216">
        <f t="shared" ref="I75:I80" si="10">J74</f>
        <v>2520</v>
      </c>
      <c r="J75" s="216">
        <v>2526.0</v>
      </c>
      <c r="K75" s="216">
        <f t="shared" si="8"/>
        <v>6</v>
      </c>
      <c r="L75" s="216">
        <f t="shared" si="9"/>
        <v>-4</v>
      </c>
    </row>
    <row r="76" ht="14.25" customHeight="1">
      <c r="C76" s="216" t="s">
        <v>248</v>
      </c>
      <c r="D76" s="232">
        <f>G77*G78</f>
        <v>41</v>
      </c>
      <c r="E76" s="216"/>
      <c r="F76" s="216" t="s">
        <v>249</v>
      </c>
      <c r="G76" s="232">
        <v>15.0</v>
      </c>
      <c r="I76" s="237">
        <f t="shared" si="10"/>
        <v>2526</v>
      </c>
      <c r="J76" s="237">
        <v>2532.0</v>
      </c>
      <c r="K76" s="237">
        <f t="shared" si="8"/>
        <v>6</v>
      </c>
      <c r="L76" s="237">
        <f t="shared" si="9"/>
        <v>-4</v>
      </c>
    </row>
    <row r="77" ht="14.25" customHeight="1">
      <c r="C77" s="216" t="s">
        <v>250</v>
      </c>
      <c r="D77" s="232">
        <f>G79*100</f>
        <v>200</v>
      </c>
      <c r="E77" s="216"/>
      <c r="F77" s="216" t="s">
        <v>251</v>
      </c>
      <c r="G77" s="216">
        <v>4.1</v>
      </c>
      <c r="I77" s="216">
        <f t="shared" si="10"/>
        <v>2532</v>
      </c>
      <c r="J77" s="216">
        <v>2542.0</v>
      </c>
      <c r="K77" s="216">
        <f t="shared" si="8"/>
        <v>10</v>
      </c>
      <c r="L77" s="216">
        <f t="shared" si="9"/>
        <v>0</v>
      </c>
    </row>
    <row r="78" ht="14.25" customHeight="1">
      <c r="C78" s="216" t="s">
        <v>252</v>
      </c>
      <c r="D78" s="232">
        <v>1000.0</v>
      </c>
      <c r="E78" s="216"/>
      <c r="F78" s="216" t="s">
        <v>249</v>
      </c>
      <c r="G78" s="232">
        <v>10.0</v>
      </c>
      <c r="I78" s="216">
        <f t="shared" si="10"/>
        <v>2542</v>
      </c>
      <c r="J78" s="216">
        <v>2552.0</v>
      </c>
      <c r="K78" s="216">
        <f t="shared" si="8"/>
        <v>10</v>
      </c>
      <c r="L78" s="216">
        <f t="shared" si="9"/>
        <v>0</v>
      </c>
    </row>
    <row r="79" ht="14.25" customHeight="1">
      <c r="C79" s="216" t="s">
        <v>253</v>
      </c>
      <c r="D79" s="232">
        <f>D74+D75+D76+D77-D78</f>
        <v>4338.5</v>
      </c>
      <c r="E79" s="216"/>
      <c r="F79" s="216" t="s">
        <v>250</v>
      </c>
      <c r="G79" s="216">
        <v>2.0</v>
      </c>
      <c r="I79" s="216">
        <f t="shared" si="10"/>
        <v>2552</v>
      </c>
      <c r="J79" s="216">
        <v>2562.0</v>
      </c>
      <c r="K79" s="216">
        <f t="shared" si="8"/>
        <v>10</v>
      </c>
      <c r="L79" s="216">
        <f t="shared" si="9"/>
        <v>0</v>
      </c>
    </row>
    <row r="80" ht="14.25" customHeight="1">
      <c r="F80" s="241" t="s">
        <v>258</v>
      </c>
      <c r="G80" s="235"/>
      <c r="I80" s="216">
        <f t="shared" si="10"/>
        <v>2562</v>
      </c>
      <c r="J80" s="216">
        <v>2572.6</v>
      </c>
      <c r="K80" s="216">
        <f t="shared" si="8"/>
        <v>10.6</v>
      </c>
      <c r="L80" s="216">
        <f t="shared" si="9"/>
        <v>0.6</v>
      </c>
    </row>
    <row r="81" ht="14.25" customHeight="1">
      <c r="F81" s="216" t="s">
        <v>238</v>
      </c>
      <c r="G81" s="216">
        <v>4.1</v>
      </c>
      <c r="I81" s="216">
        <v>4.1</v>
      </c>
      <c r="J81" s="216">
        <v>10.0</v>
      </c>
      <c r="K81" s="216">
        <f t="shared" si="8"/>
        <v>5.9</v>
      </c>
      <c r="L81" s="216">
        <f t="shared" si="9"/>
        <v>-4.1</v>
      </c>
    </row>
    <row r="82" ht="14.25" customHeight="1">
      <c r="F82" s="216" t="s">
        <v>245</v>
      </c>
      <c r="G82" s="216">
        <v>153.0</v>
      </c>
      <c r="I82" s="216">
        <f t="shared" ref="I82:I97" si="11">J81</f>
        <v>10</v>
      </c>
      <c r="J82" s="216">
        <v>19.0</v>
      </c>
      <c r="K82" s="216">
        <f t="shared" si="8"/>
        <v>9</v>
      </c>
      <c r="L82" s="216">
        <f t="shared" si="9"/>
        <v>-1</v>
      </c>
    </row>
    <row r="83" ht="14.25" customHeight="1">
      <c r="F83" s="216" t="s">
        <v>247</v>
      </c>
      <c r="G83" s="216">
        <f>G82-G81</f>
        <v>148.9</v>
      </c>
      <c r="I83" s="216">
        <f t="shared" si="11"/>
        <v>19</v>
      </c>
      <c r="J83" s="216">
        <v>29.0</v>
      </c>
      <c r="K83" s="216">
        <f t="shared" si="8"/>
        <v>10</v>
      </c>
      <c r="L83" s="216">
        <f t="shared" si="9"/>
        <v>0</v>
      </c>
    </row>
    <row r="84" ht="14.25" customHeight="1">
      <c r="F84" s="216" t="s">
        <v>249</v>
      </c>
      <c r="G84" s="232">
        <v>15.0</v>
      </c>
      <c r="I84" s="216">
        <f t="shared" si="11"/>
        <v>29</v>
      </c>
      <c r="J84" s="220">
        <v>34.0</v>
      </c>
      <c r="K84" s="216">
        <f t="shared" si="8"/>
        <v>5</v>
      </c>
      <c r="L84" s="216">
        <f t="shared" si="9"/>
        <v>-5</v>
      </c>
    </row>
    <row r="85" ht="14.25" customHeight="1">
      <c r="F85" s="216" t="s">
        <v>251</v>
      </c>
      <c r="G85" s="216"/>
      <c r="I85" s="216">
        <f t="shared" si="11"/>
        <v>34</v>
      </c>
      <c r="J85" s="216">
        <v>41.5</v>
      </c>
      <c r="K85" s="216">
        <f t="shared" si="8"/>
        <v>7.5</v>
      </c>
      <c r="L85" s="216">
        <f t="shared" si="9"/>
        <v>-2.5</v>
      </c>
    </row>
    <row r="86" ht="14.25" customHeight="1">
      <c r="F86" s="216" t="s">
        <v>249</v>
      </c>
      <c r="G86" s="232">
        <v>10.0</v>
      </c>
      <c r="I86" s="237">
        <f t="shared" si="11"/>
        <v>41.5</v>
      </c>
      <c r="J86" s="237">
        <v>52.0</v>
      </c>
      <c r="K86" s="237">
        <f t="shared" si="8"/>
        <v>10.5</v>
      </c>
      <c r="L86" s="237">
        <f t="shared" si="9"/>
        <v>0.5</v>
      </c>
    </row>
    <row r="87" ht="14.25" customHeight="1">
      <c r="F87" s="216" t="s">
        <v>250</v>
      </c>
      <c r="G87" s="216"/>
      <c r="I87" s="216">
        <f t="shared" si="11"/>
        <v>52</v>
      </c>
      <c r="J87" s="216">
        <v>62.0</v>
      </c>
      <c r="K87" s="216">
        <f t="shared" si="8"/>
        <v>10</v>
      </c>
      <c r="L87" s="216">
        <f t="shared" si="9"/>
        <v>0</v>
      </c>
    </row>
    <row r="88" ht="14.25" customHeight="1">
      <c r="I88" s="216">
        <f t="shared" si="11"/>
        <v>62</v>
      </c>
      <c r="J88" s="216">
        <v>72.0</v>
      </c>
      <c r="K88" s="216">
        <f t="shared" si="8"/>
        <v>10</v>
      </c>
      <c r="L88" s="216">
        <f t="shared" si="9"/>
        <v>0</v>
      </c>
    </row>
    <row r="89" ht="14.25" customHeight="1">
      <c r="I89" s="216">
        <f t="shared" si="11"/>
        <v>72</v>
      </c>
      <c r="J89" s="216">
        <v>81.0</v>
      </c>
      <c r="K89" s="216">
        <f t="shared" si="8"/>
        <v>9</v>
      </c>
      <c r="L89" s="216">
        <f t="shared" si="9"/>
        <v>-1</v>
      </c>
    </row>
    <row r="90" ht="14.25" customHeight="1">
      <c r="I90" s="216">
        <f t="shared" si="11"/>
        <v>81</v>
      </c>
      <c r="J90" s="220">
        <v>88.0</v>
      </c>
      <c r="K90" s="216">
        <f t="shared" si="8"/>
        <v>7</v>
      </c>
      <c r="L90" s="216">
        <f t="shared" si="9"/>
        <v>-3</v>
      </c>
    </row>
    <row r="91" ht="14.25" customHeight="1">
      <c r="I91" s="216">
        <f t="shared" si="11"/>
        <v>88</v>
      </c>
      <c r="J91" s="220">
        <v>95.0</v>
      </c>
      <c r="K91" s="216">
        <f t="shared" si="8"/>
        <v>7</v>
      </c>
      <c r="L91" s="216">
        <f t="shared" si="9"/>
        <v>-3</v>
      </c>
    </row>
    <row r="92" ht="14.25" customHeight="1">
      <c r="I92" s="237">
        <f t="shared" si="11"/>
        <v>95</v>
      </c>
      <c r="J92" s="237">
        <v>102.0</v>
      </c>
      <c r="K92" s="237">
        <f t="shared" si="8"/>
        <v>7</v>
      </c>
      <c r="L92" s="237">
        <f t="shared" si="9"/>
        <v>-3</v>
      </c>
      <c r="M92" s="238"/>
    </row>
    <row r="93" ht="14.25" customHeight="1">
      <c r="I93" s="216">
        <f t="shared" si="11"/>
        <v>102</v>
      </c>
      <c r="J93" s="220">
        <v>112.0</v>
      </c>
      <c r="K93" s="216">
        <f t="shared" si="8"/>
        <v>10</v>
      </c>
      <c r="L93" s="216">
        <f t="shared" si="9"/>
        <v>0</v>
      </c>
    </row>
    <row r="94" ht="14.25" customHeight="1">
      <c r="I94" s="216">
        <f t="shared" si="11"/>
        <v>112</v>
      </c>
      <c r="J94" s="220">
        <v>124.0</v>
      </c>
      <c r="K94" s="216">
        <f t="shared" si="8"/>
        <v>12</v>
      </c>
      <c r="L94" s="216">
        <f t="shared" si="9"/>
        <v>2</v>
      </c>
    </row>
    <row r="95" ht="14.25" customHeight="1">
      <c r="I95" s="216">
        <f t="shared" si="11"/>
        <v>124</v>
      </c>
      <c r="J95" s="220">
        <v>133.0</v>
      </c>
      <c r="K95" s="216">
        <f t="shared" si="8"/>
        <v>9</v>
      </c>
      <c r="L95" s="216">
        <f t="shared" si="9"/>
        <v>-1</v>
      </c>
    </row>
    <row r="96" ht="14.25" customHeight="1">
      <c r="I96" s="216">
        <f t="shared" si="11"/>
        <v>133</v>
      </c>
      <c r="J96" s="220">
        <v>142.0</v>
      </c>
      <c r="K96" s="216">
        <f t="shared" si="8"/>
        <v>9</v>
      </c>
      <c r="L96" s="216">
        <f t="shared" si="9"/>
        <v>-1</v>
      </c>
    </row>
    <row r="97" ht="14.25" customHeight="1">
      <c r="I97" s="216">
        <f t="shared" si="11"/>
        <v>142</v>
      </c>
      <c r="J97" s="216">
        <v>153.0</v>
      </c>
      <c r="K97" s="216">
        <f t="shared" si="8"/>
        <v>11</v>
      </c>
      <c r="L97" s="216">
        <f t="shared" si="9"/>
        <v>1</v>
      </c>
    </row>
    <row r="98" ht="14.25" customHeight="1">
      <c r="I98" s="216"/>
      <c r="J98" s="216"/>
      <c r="K98" s="216">
        <f t="shared" si="8"/>
        <v>0</v>
      </c>
      <c r="L98" s="216">
        <f t="shared" si="9"/>
        <v>-10</v>
      </c>
    </row>
    <row r="99" ht="14.25" customHeight="1">
      <c r="I99" s="216" t="str">
        <f>J98</f>
        <v/>
      </c>
      <c r="J99" s="216"/>
      <c r="K99" s="216">
        <f t="shared" si="8"/>
        <v>0</v>
      </c>
      <c r="L99" s="216">
        <f t="shared" si="9"/>
        <v>-10</v>
      </c>
    </row>
    <row r="100" ht="14.25" customHeight="1">
      <c r="I100" s="216">
        <v>0.0</v>
      </c>
      <c r="J100" s="216"/>
      <c r="K100" s="216">
        <f t="shared" si="8"/>
        <v>0</v>
      </c>
      <c r="L100" s="216">
        <f t="shared" si="9"/>
        <v>-10</v>
      </c>
    </row>
    <row r="101" ht="14.25" customHeight="1">
      <c r="I101" s="234" t="s">
        <v>221</v>
      </c>
      <c r="J101" s="231"/>
      <c r="K101" s="216">
        <f>SUM(K74:K100)</f>
        <v>206.5</v>
      </c>
      <c r="L101" s="216">
        <f t="shared" si="9"/>
        <v>196.5</v>
      </c>
    </row>
    <row r="102" ht="15.75" customHeight="1">
      <c r="A102" s="238"/>
      <c r="B102" s="238"/>
      <c r="C102" s="238"/>
      <c r="D102" s="238"/>
      <c r="E102" s="238"/>
      <c r="F102" s="239"/>
      <c r="G102" s="240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</row>
    <row r="103" ht="14.25" customHeight="1">
      <c r="C103" s="236">
        <v>44774.0</v>
      </c>
      <c r="D103" s="231"/>
      <c r="E103" s="216"/>
      <c r="F103" s="216" t="s">
        <v>238</v>
      </c>
      <c r="G103" s="216">
        <v>153.0</v>
      </c>
      <c r="I103" s="216" t="s">
        <v>255</v>
      </c>
      <c r="J103" s="216" t="s">
        <v>256</v>
      </c>
      <c r="K103" s="216" t="s">
        <v>243</v>
      </c>
      <c r="L103" s="216" t="s">
        <v>218</v>
      </c>
    </row>
    <row r="104" ht="14.25" customHeight="1">
      <c r="C104" s="216" t="s">
        <v>244</v>
      </c>
      <c r="D104" s="232">
        <v>2000.0</v>
      </c>
      <c r="E104" s="216"/>
      <c r="F104" s="216" t="s">
        <v>245</v>
      </c>
      <c r="G104" s="216">
        <v>361.0</v>
      </c>
      <c r="I104" s="216">
        <v>153.0</v>
      </c>
      <c r="J104" s="216">
        <v>157.0</v>
      </c>
      <c r="K104" s="216">
        <f t="shared" ref="K104:K130" si="12">J104-I104</f>
        <v>4</v>
      </c>
      <c r="L104" s="216">
        <f t="shared" ref="L104:L131" si="13">K104-10</f>
        <v>-6</v>
      </c>
    </row>
    <row r="105" ht="14.25" customHeight="1">
      <c r="C105" s="216" t="s">
        <v>246</v>
      </c>
      <c r="D105" s="232">
        <f>G106*G105+ (G113*G114)</f>
        <v>3744</v>
      </c>
      <c r="E105" s="216"/>
      <c r="F105" s="216" t="s">
        <v>247</v>
      </c>
      <c r="G105" s="216">
        <f>G104-G103</f>
        <v>208</v>
      </c>
      <c r="I105" s="216">
        <f t="shared" ref="I105:I126" si="14">J104</f>
        <v>157</v>
      </c>
      <c r="J105" s="220">
        <v>168.0</v>
      </c>
      <c r="K105" s="220">
        <f t="shared" si="12"/>
        <v>11</v>
      </c>
      <c r="L105" s="220">
        <f t="shared" si="13"/>
        <v>1</v>
      </c>
    </row>
    <row r="106" ht="14.25" customHeight="1">
      <c r="C106" s="216" t="s">
        <v>248</v>
      </c>
      <c r="D106" s="232">
        <f>G107*G108</f>
        <v>80</v>
      </c>
      <c r="E106" s="216"/>
      <c r="F106" s="216" t="s">
        <v>249</v>
      </c>
      <c r="G106" s="232">
        <v>18.0</v>
      </c>
      <c r="I106" s="216">
        <f t="shared" si="14"/>
        <v>168</v>
      </c>
      <c r="J106" s="220">
        <v>176.0</v>
      </c>
      <c r="K106" s="220">
        <f t="shared" si="12"/>
        <v>8</v>
      </c>
      <c r="L106" s="220">
        <f t="shared" si="13"/>
        <v>-2</v>
      </c>
    </row>
    <row r="107" ht="14.25" customHeight="1">
      <c r="C107" s="216" t="s">
        <v>250</v>
      </c>
      <c r="D107" s="232">
        <f>G109*100</f>
        <v>200</v>
      </c>
      <c r="E107" s="216"/>
      <c r="F107" s="216" t="s">
        <v>251</v>
      </c>
      <c r="G107" s="216">
        <v>8.0</v>
      </c>
      <c r="I107" s="216">
        <f t="shared" si="14"/>
        <v>176</v>
      </c>
      <c r="J107" s="216">
        <v>185.0</v>
      </c>
      <c r="K107" s="216">
        <f t="shared" si="12"/>
        <v>9</v>
      </c>
      <c r="L107" s="216">
        <f t="shared" si="13"/>
        <v>-1</v>
      </c>
    </row>
    <row r="108" ht="14.25" customHeight="1">
      <c r="C108" s="216" t="s">
        <v>252</v>
      </c>
      <c r="D108" s="232">
        <v>1131.4</v>
      </c>
      <c r="E108" s="216"/>
      <c r="F108" s="216" t="s">
        <v>249</v>
      </c>
      <c r="G108" s="232">
        <v>10.0</v>
      </c>
      <c r="I108" s="216">
        <f t="shared" si="14"/>
        <v>185</v>
      </c>
      <c r="J108" s="216">
        <v>194.0</v>
      </c>
      <c r="K108" s="216">
        <f t="shared" si="12"/>
        <v>9</v>
      </c>
      <c r="L108" s="216">
        <f t="shared" si="13"/>
        <v>-1</v>
      </c>
    </row>
    <row r="109" ht="14.25" customHeight="1">
      <c r="C109" s="216" t="s">
        <v>253</v>
      </c>
      <c r="D109" s="232">
        <f>D104+D105+D106+D107-D108</f>
        <v>4892.6</v>
      </c>
      <c r="E109" s="216"/>
      <c r="F109" s="216" t="s">
        <v>250</v>
      </c>
      <c r="G109" s="216">
        <v>2.0</v>
      </c>
      <c r="I109" s="237">
        <f t="shared" si="14"/>
        <v>194</v>
      </c>
      <c r="J109" s="237">
        <v>204.0</v>
      </c>
      <c r="K109" s="237">
        <f t="shared" si="12"/>
        <v>10</v>
      </c>
      <c r="L109" s="237">
        <f t="shared" si="13"/>
        <v>0</v>
      </c>
    </row>
    <row r="110" ht="14.25" customHeight="1">
      <c r="F110" s="242"/>
      <c r="G110" s="242"/>
      <c r="I110" s="216">
        <f t="shared" si="14"/>
        <v>204</v>
      </c>
      <c r="J110" s="216">
        <v>214.0</v>
      </c>
      <c r="K110" s="216">
        <f t="shared" si="12"/>
        <v>10</v>
      </c>
      <c r="L110" s="216">
        <f t="shared" si="13"/>
        <v>0</v>
      </c>
    </row>
    <row r="111" ht="14.25" customHeight="1">
      <c r="I111" s="216">
        <f t="shared" si="14"/>
        <v>214</v>
      </c>
      <c r="J111" s="216">
        <v>225.0</v>
      </c>
      <c r="K111" s="216">
        <f t="shared" si="12"/>
        <v>11</v>
      </c>
      <c r="L111" s="216">
        <f t="shared" si="13"/>
        <v>1</v>
      </c>
    </row>
    <row r="112" ht="14.25" customHeight="1">
      <c r="I112" s="216">
        <f t="shared" si="14"/>
        <v>225</v>
      </c>
      <c r="J112" s="216">
        <v>236.0</v>
      </c>
      <c r="K112" s="216">
        <f t="shared" si="12"/>
        <v>11</v>
      </c>
      <c r="L112" s="216">
        <f t="shared" si="13"/>
        <v>1</v>
      </c>
    </row>
    <row r="113" ht="14.25" customHeight="1">
      <c r="I113" s="216">
        <f t="shared" si="14"/>
        <v>236</v>
      </c>
      <c r="J113" s="216">
        <v>246.0</v>
      </c>
      <c r="K113" s="216">
        <f t="shared" si="12"/>
        <v>10</v>
      </c>
      <c r="L113" s="216">
        <f t="shared" si="13"/>
        <v>0</v>
      </c>
    </row>
    <row r="114" ht="14.25" customHeight="1">
      <c r="G114" s="243"/>
      <c r="I114" s="237">
        <f t="shared" si="14"/>
        <v>246</v>
      </c>
      <c r="J114" s="237">
        <v>257.0</v>
      </c>
      <c r="K114" s="237">
        <f t="shared" si="12"/>
        <v>11</v>
      </c>
      <c r="L114" s="237">
        <f t="shared" si="13"/>
        <v>1</v>
      </c>
    </row>
    <row r="115" ht="14.25" customHeight="1">
      <c r="I115" s="216">
        <f t="shared" si="14"/>
        <v>257</v>
      </c>
      <c r="J115" s="216">
        <v>268.3</v>
      </c>
      <c r="K115" s="216">
        <f t="shared" si="12"/>
        <v>11.3</v>
      </c>
      <c r="L115" s="216">
        <f t="shared" si="13"/>
        <v>1.3</v>
      </c>
    </row>
    <row r="116" ht="14.25" customHeight="1">
      <c r="G116" s="243"/>
      <c r="I116" s="216">
        <f t="shared" si="14"/>
        <v>268.3</v>
      </c>
      <c r="J116" s="220">
        <v>277.0</v>
      </c>
      <c r="K116" s="220">
        <f t="shared" si="12"/>
        <v>8.7</v>
      </c>
      <c r="L116" s="220">
        <f t="shared" si="13"/>
        <v>-1.3</v>
      </c>
      <c r="M116" s="221"/>
    </row>
    <row r="117" ht="14.25" customHeight="1">
      <c r="I117" s="216">
        <f t="shared" si="14"/>
        <v>277</v>
      </c>
      <c r="J117" s="220">
        <v>288.0</v>
      </c>
      <c r="K117" s="220">
        <f t="shared" si="12"/>
        <v>11</v>
      </c>
      <c r="L117" s="220">
        <f t="shared" si="13"/>
        <v>1</v>
      </c>
      <c r="M117" s="221"/>
    </row>
    <row r="118" ht="14.25" customHeight="1">
      <c r="I118" s="216">
        <f t="shared" si="14"/>
        <v>288</v>
      </c>
      <c r="J118" s="220">
        <v>294.0</v>
      </c>
      <c r="K118" s="220">
        <f t="shared" si="12"/>
        <v>6</v>
      </c>
      <c r="L118" s="220">
        <f t="shared" si="13"/>
        <v>-4</v>
      </c>
      <c r="M118" s="221"/>
    </row>
    <row r="119" ht="14.25" customHeight="1">
      <c r="I119" s="237">
        <f t="shared" si="14"/>
        <v>294</v>
      </c>
      <c r="J119" s="237">
        <v>300.9</v>
      </c>
      <c r="K119" s="237">
        <f t="shared" si="12"/>
        <v>6.9</v>
      </c>
      <c r="L119" s="237">
        <f t="shared" si="13"/>
        <v>-3.1</v>
      </c>
      <c r="M119" s="221"/>
    </row>
    <row r="120" ht="14.25" customHeight="1">
      <c r="I120" s="216">
        <f t="shared" si="14"/>
        <v>300.9</v>
      </c>
      <c r="J120" s="220">
        <v>308.0</v>
      </c>
      <c r="K120" s="220">
        <f t="shared" si="12"/>
        <v>7.1</v>
      </c>
      <c r="L120" s="220">
        <f t="shared" si="13"/>
        <v>-2.9</v>
      </c>
      <c r="M120" s="221"/>
    </row>
    <row r="121" ht="14.25" customHeight="1">
      <c r="I121" s="216">
        <f t="shared" si="14"/>
        <v>308</v>
      </c>
      <c r="J121" s="220">
        <v>318.0</v>
      </c>
      <c r="K121" s="220">
        <f t="shared" si="12"/>
        <v>10</v>
      </c>
      <c r="L121" s="220">
        <f t="shared" si="13"/>
        <v>0</v>
      </c>
      <c r="M121" s="221"/>
    </row>
    <row r="122" ht="14.25" customHeight="1">
      <c r="I122" s="216">
        <f t="shared" si="14"/>
        <v>318</v>
      </c>
      <c r="J122" s="220">
        <v>329.0</v>
      </c>
      <c r="K122" s="220">
        <f t="shared" si="12"/>
        <v>11</v>
      </c>
      <c r="L122" s="220">
        <f t="shared" si="13"/>
        <v>1</v>
      </c>
      <c r="M122" s="221"/>
    </row>
    <row r="123" ht="14.25" customHeight="1">
      <c r="I123" s="216">
        <f t="shared" si="14"/>
        <v>329</v>
      </c>
      <c r="J123" s="220">
        <v>341.0</v>
      </c>
      <c r="K123" s="220">
        <f t="shared" si="12"/>
        <v>12</v>
      </c>
      <c r="L123" s="220">
        <f t="shared" si="13"/>
        <v>2</v>
      </c>
      <c r="M123" s="221"/>
    </row>
    <row r="124" ht="14.25" customHeight="1">
      <c r="I124" s="216">
        <f t="shared" si="14"/>
        <v>341</v>
      </c>
      <c r="J124" s="220">
        <v>350.0</v>
      </c>
      <c r="K124" s="220">
        <f t="shared" si="12"/>
        <v>9</v>
      </c>
      <c r="L124" s="220">
        <f t="shared" si="13"/>
        <v>-1</v>
      </c>
      <c r="M124" s="221"/>
    </row>
    <row r="125" ht="14.25" customHeight="1">
      <c r="I125" s="237">
        <f t="shared" si="14"/>
        <v>350</v>
      </c>
      <c r="J125" s="237">
        <v>353.0</v>
      </c>
      <c r="K125" s="237">
        <f t="shared" si="12"/>
        <v>3</v>
      </c>
      <c r="L125" s="237">
        <f t="shared" si="13"/>
        <v>-7</v>
      </c>
      <c r="M125" s="221"/>
    </row>
    <row r="126" ht="14.25" customHeight="1">
      <c r="I126" s="216">
        <f t="shared" si="14"/>
        <v>353</v>
      </c>
      <c r="J126" s="220">
        <v>361.0</v>
      </c>
      <c r="K126" s="216">
        <f t="shared" si="12"/>
        <v>8</v>
      </c>
      <c r="L126" s="216">
        <f t="shared" si="13"/>
        <v>-2</v>
      </c>
    </row>
    <row r="127" ht="14.25" customHeight="1">
      <c r="I127" s="216"/>
      <c r="J127" s="216"/>
      <c r="K127" s="216">
        <f t="shared" si="12"/>
        <v>0</v>
      </c>
      <c r="L127" s="216">
        <f t="shared" si="13"/>
        <v>-10</v>
      </c>
    </row>
    <row r="128" ht="14.25" customHeight="1">
      <c r="I128" s="216" t="str">
        <f t="shared" ref="I128:I130" si="15">J127</f>
        <v/>
      </c>
      <c r="J128" s="216"/>
      <c r="K128" s="216">
        <f t="shared" si="12"/>
        <v>0</v>
      </c>
      <c r="L128" s="216">
        <f t="shared" si="13"/>
        <v>-10</v>
      </c>
    </row>
    <row r="129" ht="14.25" customHeight="1">
      <c r="I129" s="216" t="str">
        <f t="shared" si="15"/>
        <v/>
      </c>
      <c r="J129" s="216"/>
      <c r="K129" s="216">
        <f t="shared" si="12"/>
        <v>0</v>
      </c>
      <c r="L129" s="216">
        <f t="shared" si="13"/>
        <v>-10</v>
      </c>
    </row>
    <row r="130" ht="14.25" customHeight="1">
      <c r="I130" s="216" t="str">
        <f t="shared" si="15"/>
        <v/>
      </c>
      <c r="J130" s="216"/>
      <c r="K130" s="216">
        <f t="shared" si="12"/>
        <v>0</v>
      </c>
      <c r="L130" s="216">
        <f t="shared" si="13"/>
        <v>-10</v>
      </c>
    </row>
    <row r="131" ht="14.25" customHeight="1">
      <c r="I131" s="234" t="s">
        <v>221</v>
      </c>
      <c r="J131" s="231"/>
      <c r="K131" s="216">
        <f>SUM(K104:K130)</f>
        <v>208</v>
      </c>
      <c r="L131" s="216">
        <f t="shared" si="13"/>
        <v>198</v>
      </c>
    </row>
    <row r="132" ht="14.25" customHeight="1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</row>
    <row r="133" ht="14.25" customHeight="1"/>
    <row r="134" ht="14.25" customHeight="1">
      <c r="C134" s="244" t="s">
        <v>259</v>
      </c>
      <c r="D134" s="231"/>
      <c r="E134" s="216"/>
      <c r="F134" s="216" t="s">
        <v>238</v>
      </c>
      <c r="G134" s="216">
        <v>361.0</v>
      </c>
      <c r="I134" s="216" t="s">
        <v>255</v>
      </c>
      <c r="J134" s="216" t="s">
        <v>256</v>
      </c>
      <c r="K134" s="216" t="s">
        <v>243</v>
      </c>
      <c r="L134" s="216" t="s">
        <v>218</v>
      </c>
    </row>
    <row r="135" ht="14.25" customHeight="1">
      <c r="C135" s="216" t="s">
        <v>244</v>
      </c>
      <c r="D135" s="232">
        <v>2000.0</v>
      </c>
      <c r="E135" s="216"/>
      <c r="F135" s="216" t="s">
        <v>245</v>
      </c>
      <c r="G135" s="216">
        <v>587.0</v>
      </c>
      <c r="I135" s="216">
        <v>361.0</v>
      </c>
      <c r="J135" s="216">
        <v>370.0</v>
      </c>
      <c r="K135" s="216">
        <f t="shared" ref="K135:K161" si="16">J135-I135</f>
        <v>9</v>
      </c>
      <c r="L135" s="216">
        <f t="shared" ref="L135:L162" si="17">K135-10</f>
        <v>-1</v>
      </c>
    </row>
    <row r="136" ht="14.25" customHeight="1">
      <c r="C136" s="216" t="s">
        <v>246</v>
      </c>
      <c r="D136" s="232">
        <f>G136*G137</f>
        <v>4068</v>
      </c>
      <c r="E136" s="216"/>
      <c r="F136" s="216" t="s">
        <v>247</v>
      </c>
      <c r="G136" s="216">
        <f>G135-G134</f>
        <v>226</v>
      </c>
      <c r="I136" s="237">
        <f t="shared" ref="I136:I159" si="18">J135</f>
        <v>370</v>
      </c>
      <c r="J136" s="237">
        <v>380.0</v>
      </c>
      <c r="K136" s="237">
        <f t="shared" si="16"/>
        <v>10</v>
      </c>
      <c r="L136" s="237">
        <f t="shared" si="17"/>
        <v>0</v>
      </c>
    </row>
    <row r="137" ht="14.25" customHeight="1">
      <c r="C137" s="216" t="s">
        <v>248</v>
      </c>
      <c r="D137" s="232">
        <f>G138*G139</f>
        <v>47</v>
      </c>
      <c r="E137" s="216"/>
      <c r="F137" s="216" t="s">
        <v>249</v>
      </c>
      <c r="G137" s="232">
        <v>18.0</v>
      </c>
      <c r="I137" s="216">
        <f t="shared" si="18"/>
        <v>380</v>
      </c>
      <c r="J137" s="220">
        <v>387.0</v>
      </c>
      <c r="K137" s="220">
        <f t="shared" si="16"/>
        <v>7</v>
      </c>
      <c r="L137" s="220">
        <f t="shared" si="17"/>
        <v>-3</v>
      </c>
    </row>
    <row r="138" ht="14.25" customHeight="1">
      <c r="C138" s="216" t="s">
        <v>250</v>
      </c>
      <c r="D138" s="232">
        <f>G140*100</f>
        <v>400</v>
      </c>
      <c r="E138" s="216"/>
      <c r="F138" s="216" t="s">
        <v>251</v>
      </c>
      <c r="G138" s="216">
        <v>4.7</v>
      </c>
      <c r="I138" s="216">
        <f t="shared" si="18"/>
        <v>387</v>
      </c>
      <c r="J138" s="220">
        <v>394.0</v>
      </c>
      <c r="K138" s="220">
        <f t="shared" si="16"/>
        <v>7</v>
      </c>
      <c r="L138" s="220">
        <f t="shared" si="17"/>
        <v>-3</v>
      </c>
    </row>
    <row r="139" ht="14.25" customHeight="1">
      <c r="C139" s="216" t="s">
        <v>252</v>
      </c>
      <c r="D139" s="232">
        <v>1000.0</v>
      </c>
      <c r="E139" s="216"/>
      <c r="F139" s="216" t="s">
        <v>249</v>
      </c>
      <c r="G139" s="232">
        <v>10.0</v>
      </c>
      <c r="I139" s="237">
        <f t="shared" si="18"/>
        <v>394</v>
      </c>
      <c r="J139" s="237">
        <v>397.0</v>
      </c>
      <c r="K139" s="237">
        <f t="shared" si="16"/>
        <v>3</v>
      </c>
      <c r="L139" s="237">
        <f t="shared" si="17"/>
        <v>-7</v>
      </c>
    </row>
    <row r="140" ht="14.25" customHeight="1">
      <c r="C140" s="216" t="s">
        <v>253</v>
      </c>
      <c r="D140" s="232">
        <f>D135+D136+D137+D138-D139</f>
        <v>5515</v>
      </c>
      <c r="E140" s="216"/>
      <c r="F140" s="216" t="s">
        <v>250</v>
      </c>
      <c r="G140" s="216">
        <v>4.0</v>
      </c>
      <c r="I140" s="216">
        <f t="shared" si="18"/>
        <v>397</v>
      </c>
      <c r="J140" s="220">
        <v>403.0</v>
      </c>
      <c r="K140" s="220">
        <f t="shared" si="16"/>
        <v>6</v>
      </c>
      <c r="L140" s="220">
        <f t="shared" si="17"/>
        <v>-4</v>
      </c>
    </row>
    <row r="141" ht="14.25" customHeight="1">
      <c r="F141" s="242"/>
      <c r="G141" s="242"/>
      <c r="I141" s="216">
        <f t="shared" si="18"/>
        <v>403</v>
      </c>
      <c r="J141" s="220">
        <v>413.0</v>
      </c>
      <c r="K141" s="220">
        <f t="shared" si="16"/>
        <v>10</v>
      </c>
      <c r="L141" s="220">
        <f t="shared" si="17"/>
        <v>0</v>
      </c>
    </row>
    <row r="142" ht="14.25" customHeight="1">
      <c r="I142" s="216">
        <f t="shared" si="18"/>
        <v>413</v>
      </c>
      <c r="J142" s="220">
        <v>423.0</v>
      </c>
      <c r="K142" s="220">
        <f t="shared" si="16"/>
        <v>10</v>
      </c>
      <c r="L142" s="220">
        <f t="shared" si="17"/>
        <v>0</v>
      </c>
    </row>
    <row r="143" ht="14.25" customHeight="1">
      <c r="I143" s="216">
        <f t="shared" si="18"/>
        <v>423</v>
      </c>
      <c r="J143" s="220">
        <v>433.0</v>
      </c>
      <c r="K143" s="220">
        <f t="shared" si="16"/>
        <v>10</v>
      </c>
      <c r="L143" s="220">
        <f t="shared" si="17"/>
        <v>0</v>
      </c>
    </row>
    <row r="144" ht="14.25" customHeight="1">
      <c r="I144" s="216">
        <f t="shared" si="18"/>
        <v>433</v>
      </c>
      <c r="J144" s="220">
        <v>443.0</v>
      </c>
      <c r="K144" s="220">
        <f t="shared" si="16"/>
        <v>10</v>
      </c>
      <c r="L144" s="220">
        <f t="shared" si="17"/>
        <v>0</v>
      </c>
    </row>
    <row r="145" ht="14.25" customHeight="1">
      <c r="G145" s="243"/>
      <c r="I145" s="237">
        <f t="shared" si="18"/>
        <v>443</v>
      </c>
      <c r="J145" s="237">
        <v>451.0</v>
      </c>
      <c r="K145" s="237">
        <f t="shared" si="16"/>
        <v>8</v>
      </c>
      <c r="L145" s="237">
        <f t="shared" si="17"/>
        <v>-2</v>
      </c>
    </row>
    <row r="146" ht="14.25" customHeight="1">
      <c r="I146" s="216">
        <f t="shared" si="18"/>
        <v>451</v>
      </c>
      <c r="J146" s="220">
        <v>461.0</v>
      </c>
      <c r="K146" s="220">
        <f t="shared" si="16"/>
        <v>10</v>
      </c>
      <c r="L146" s="220">
        <f t="shared" si="17"/>
        <v>0</v>
      </c>
    </row>
    <row r="147" ht="14.25" customHeight="1">
      <c r="G147" s="243"/>
      <c r="I147" s="216">
        <f t="shared" si="18"/>
        <v>461</v>
      </c>
      <c r="J147" s="220">
        <v>471.0</v>
      </c>
      <c r="K147" s="220">
        <f t="shared" si="16"/>
        <v>10</v>
      </c>
      <c r="L147" s="220">
        <f t="shared" si="17"/>
        <v>0</v>
      </c>
    </row>
    <row r="148" ht="14.25" customHeight="1">
      <c r="I148" s="216">
        <f t="shared" si="18"/>
        <v>471</v>
      </c>
      <c r="J148" s="220">
        <v>481.0</v>
      </c>
      <c r="K148" s="220">
        <f t="shared" si="16"/>
        <v>10</v>
      </c>
      <c r="L148" s="220">
        <f t="shared" si="17"/>
        <v>0</v>
      </c>
    </row>
    <row r="149" ht="14.25" customHeight="1">
      <c r="I149" s="216">
        <f t="shared" si="18"/>
        <v>481</v>
      </c>
      <c r="J149" s="220">
        <v>491.0</v>
      </c>
      <c r="K149" s="220">
        <f t="shared" si="16"/>
        <v>10</v>
      </c>
      <c r="L149" s="220">
        <f t="shared" si="17"/>
        <v>0</v>
      </c>
    </row>
    <row r="150" ht="14.25" customHeight="1">
      <c r="I150" s="216">
        <f t="shared" si="18"/>
        <v>491</v>
      </c>
      <c r="J150" s="220">
        <v>502.0</v>
      </c>
      <c r="K150" s="220">
        <f t="shared" si="16"/>
        <v>11</v>
      </c>
      <c r="L150" s="220">
        <f t="shared" si="17"/>
        <v>1</v>
      </c>
    </row>
    <row r="151" ht="14.25" customHeight="1">
      <c r="I151" s="237">
        <f t="shared" si="18"/>
        <v>502</v>
      </c>
      <c r="J151" s="237">
        <v>512.0</v>
      </c>
      <c r="K151" s="237">
        <f t="shared" si="16"/>
        <v>10</v>
      </c>
      <c r="L151" s="237">
        <f t="shared" si="17"/>
        <v>0</v>
      </c>
    </row>
    <row r="152" ht="14.25" customHeight="1">
      <c r="I152" s="216">
        <f t="shared" si="18"/>
        <v>512</v>
      </c>
      <c r="J152" s="220">
        <v>520.0</v>
      </c>
      <c r="K152" s="220">
        <f t="shared" si="16"/>
        <v>8</v>
      </c>
      <c r="L152" s="220">
        <f t="shared" si="17"/>
        <v>-2</v>
      </c>
    </row>
    <row r="153" ht="14.25" customHeight="1">
      <c r="I153" s="216">
        <f t="shared" si="18"/>
        <v>520</v>
      </c>
      <c r="J153" s="220">
        <v>524.0</v>
      </c>
      <c r="K153" s="220">
        <f t="shared" si="16"/>
        <v>4</v>
      </c>
      <c r="L153" s="220">
        <f t="shared" si="17"/>
        <v>-6</v>
      </c>
    </row>
    <row r="154" ht="14.25" customHeight="1">
      <c r="I154" s="216">
        <f t="shared" si="18"/>
        <v>524</v>
      </c>
      <c r="J154" s="220">
        <v>534.0</v>
      </c>
      <c r="K154" s="220">
        <f t="shared" si="16"/>
        <v>10</v>
      </c>
      <c r="L154" s="220">
        <f t="shared" si="17"/>
        <v>0</v>
      </c>
    </row>
    <row r="155" ht="14.25" customHeight="1">
      <c r="I155" s="216">
        <f t="shared" si="18"/>
        <v>534</v>
      </c>
      <c r="J155" s="220">
        <v>544.0</v>
      </c>
      <c r="K155" s="220">
        <f t="shared" si="16"/>
        <v>10</v>
      </c>
      <c r="L155" s="220">
        <f t="shared" si="17"/>
        <v>0</v>
      </c>
    </row>
    <row r="156" ht="14.25" customHeight="1">
      <c r="I156" s="237">
        <f t="shared" si="18"/>
        <v>544</v>
      </c>
      <c r="J156" s="237">
        <v>555.0</v>
      </c>
      <c r="K156" s="237">
        <f t="shared" si="16"/>
        <v>11</v>
      </c>
      <c r="L156" s="237">
        <f t="shared" si="17"/>
        <v>1</v>
      </c>
    </row>
    <row r="157" ht="14.25" customHeight="1">
      <c r="I157" s="216">
        <f t="shared" si="18"/>
        <v>555</v>
      </c>
      <c r="J157" s="220">
        <v>564.3</v>
      </c>
      <c r="K157" s="220">
        <f t="shared" si="16"/>
        <v>9.3</v>
      </c>
      <c r="L157" s="220">
        <f t="shared" si="17"/>
        <v>-0.7</v>
      </c>
    </row>
    <row r="158" ht="14.25" customHeight="1">
      <c r="I158" s="216">
        <f t="shared" si="18"/>
        <v>564.3</v>
      </c>
      <c r="J158" s="220">
        <v>575.3</v>
      </c>
      <c r="K158" s="220">
        <f t="shared" si="16"/>
        <v>11</v>
      </c>
      <c r="L158" s="220">
        <f t="shared" si="17"/>
        <v>1</v>
      </c>
    </row>
    <row r="159" ht="14.25" customHeight="1">
      <c r="I159" s="216">
        <f t="shared" si="18"/>
        <v>575.3</v>
      </c>
      <c r="J159" s="220">
        <v>587.0</v>
      </c>
      <c r="K159" s="220">
        <f t="shared" si="16"/>
        <v>11.7</v>
      </c>
      <c r="L159" s="220">
        <f t="shared" si="17"/>
        <v>1.7</v>
      </c>
    </row>
    <row r="160" ht="14.25" customHeight="1">
      <c r="I160" s="216"/>
      <c r="J160" s="220"/>
      <c r="K160" s="220">
        <f t="shared" si="16"/>
        <v>0</v>
      </c>
      <c r="L160" s="220">
        <f t="shared" si="17"/>
        <v>-10</v>
      </c>
    </row>
    <row r="161" ht="14.25" customHeight="1">
      <c r="I161" s="216" t="str">
        <f>J160</f>
        <v/>
      </c>
      <c r="J161" s="216"/>
      <c r="K161" s="216">
        <f t="shared" si="16"/>
        <v>0</v>
      </c>
      <c r="L161" s="216">
        <f t="shared" si="17"/>
        <v>-10</v>
      </c>
    </row>
    <row r="162" ht="14.25" customHeight="1">
      <c r="I162" s="234" t="s">
        <v>221</v>
      </c>
      <c r="J162" s="231"/>
      <c r="K162" s="216">
        <f>SUM(K135:K161)</f>
        <v>226</v>
      </c>
      <c r="L162" s="216">
        <f t="shared" si="17"/>
        <v>216</v>
      </c>
    </row>
    <row r="163" ht="14.25" customHeight="1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</row>
    <row r="164" ht="14.25" customHeight="1"/>
    <row r="165" ht="14.25" customHeight="1">
      <c r="C165" s="244" t="s">
        <v>260</v>
      </c>
      <c r="D165" s="231"/>
      <c r="E165" s="216"/>
      <c r="F165" s="216" t="s">
        <v>238</v>
      </c>
      <c r="G165" s="216">
        <v>587.0</v>
      </c>
      <c r="I165" s="216" t="s">
        <v>255</v>
      </c>
      <c r="J165" s="216" t="s">
        <v>256</v>
      </c>
      <c r="K165" s="216" t="s">
        <v>243</v>
      </c>
      <c r="L165" s="216" t="s">
        <v>218</v>
      </c>
    </row>
    <row r="166" ht="14.25" customHeight="1">
      <c r="C166" s="216" t="s">
        <v>244</v>
      </c>
      <c r="D166" s="232">
        <v>2000.0</v>
      </c>
      <c r="E166" s="216"/>
      <c r="F166" s="216" t="s">
        <v>245</v>
      </c>
      <c r="G166" s="216">
        <v>702.0</v>
      </c>
      <c r="I166" s="216">
        <v>587.0</v>
      </c>
      <c r="J166" s="216">
        <v>595.0</v>
      </c>
      <c r="K166" s="216">
        <f t="shared" ref="K166:K192" si="19">J166-I166</f>
        <v>8</v>
      </c>
      <c r="L166" s="216">
        <f t="shared" ref="L166:L193" si="20">K166-10</f>
        <v>-2</v>
      </c>
    </row>
    <row r="167" ht="14.25" customHeight="1">
      <c r="C167" s="216" t="s">
        <v>246</v>
      </c>
      <c r="D167" s="232">
        <f>G167*G168</f>
        <v>2070</v>
      </c>
      <c r="E167" s="216"/>
      <c r="F167" s="216" t="s">
        <v>247</v>
      </c>
      <c r="G167" s="216">
        <f>G166-G165</f>
        <v>115</v>
      </c>
      <c r="I167" s="220">
        <f t="shared" ref="I167:I180" si="21">J166</f>
        <v>595</v>
      </c>
      <c r="J167" s="220">
        <v>601.0</v>
      </c>
      <c r="K167" s="220">
        <f t="shared" si="19"/>
        <v>6</v>
      </c>
      <c r="L167" s="220">
        <f t="shared" si="20"/>
        <v>-4</v>
      </c>
    </row>
    <row r="168" ht="14.25" customHeight="1">
      <c r="C168" s="216" t="s">
        <v>248</v>
      </c>
      <c r="D168" s="232">
        <f>G169*G170</f>
        <v>0</v>
      </c>
      <c r="E168" s="216"/>
      <c r="F168" s="216" t="s">
        <v>249</v>
      </c>
      <c r="G168" s="232">
        <v>18.0</v>
      </c>
      <c r="I168" s="220">
        <f t="shared" si="21"/>
        <v>601</v>
      </c>
      <c r="J168" s="220">
        <v>606.0</v>
      </c>
      <c r="K168" s="220">
        <f t="shared" si="19"/>
        <v>5</v>
      </c>
      <c r="L168" s="220">
        <f t="shared" si="20"/>
        <v>-5</v>
      </c>
    </row>
    <row r="169" ht="14.25" customHeight="1">
      <c r="C169" s="216" t="s">
        <v>250</v>
      </c>
      <c r="D169" s="232">
        <f>G171*100</f>
        <v>0</v>
      </c>
      <c r="E169" s="216"/>
      <c r="F169" s="216" t="s">
        <v>251</v>
      </c>
      <c r="G169" s="216"/>
      <c r="I169" s="220">
        <f t="shared" si="21"/>
        <v>606</v>
      </c>
      <c r="J169" s="220">
        <v>616.0</v>
      </c>
      <c r="K169" s="220">
        <f t="shared" si="19"/>
        <v>10</v>
      </c>
      <c r="L169" s="220">
        <f t="shared" si="20"/>
        <v>0</v>
      </c>
    </row>
    <row r="170" ht="14.25" customHeight="1">
      <c r="C170" s="216" t="s">
        <v>252</v>
      </c>
      <c r="D170" s="232">
        <v>1000.0</v>
      </c>
      <c r="E170" s="216"/>
      <c r="F170" s="216" t="s">
        <v>249</v>
      </c>
      <c r="G170" s="232">
        <v>10.0</v>
      </c>
      <c r="I170" s="220">
        <f t="shared" si="21"/>
        <v>616</v>
      </c>
      <c r="J170" s="220">
        <v>623.0</v>
      </c>
      <c r="K170" s="220">
        <f t="shared" si="19"/>
        <v>7</v>
      </c>
      <c r="L170" s="220">
        <f t="shared" si="20"/>
        <v>-3</v>
      </c>
    </row>
    <row r="171" ht="14.25" customHeight="1">
      <c r="C171" s="216" t="s">
        <v>253</v>
      </c>
      <c r="D171" s="232">
        <f>D166+D167+D168+D169-D170</f>
        <v>3070</v>
      </c>
      <c r="E171" s="216"/>
      <c r="F171" s="216" t="s">
        <v>250</v>
      </c>
      <c r="G171" s="216"/>
      <c r="I171" s="220">
        <f t="shared" si="21"/>
        <v>623</v>
      </c>
      <c r="J171" s="220">
        <v>632.0</v>
      </c>
      <c r="K171" s="220">
        <f t="shared" si="19"/>
        <v>9</v>
      </c>
      <c r="L171" s="220">
        <f t="shared" si="20"/>
        <v>-1</v>
      </c>
    </row>
    <row r="172" ht="14.25" customHeight="1">
      <c r="F172" s="242"/>
      <c r="G172" s="242"/>
      <c r="I172" s="220">
        <f t="shared" si="21"/>
        <v>632</v>
      </c>
      <c r="J172" s="220">
        <v>642.0</v>
      </c>
      <c r="K172" s="220">
        <f t="shared" si="19"/>
        <v>10</v>
      </c>
      <c r="L172" s="220">
        <f t="shared" si="20"/>
        <v>0</v>
      </c>
    </row>
    <row r="173" ht="14.25" customHeight="1">
      <c r="I173" s="220">
        <f t="shared" si="21"/>
        <v>642</v>
      </c>
      <c r="J173" s="220">
        <v>646.0</v>
      </c>
      <c r="K173" s="220">
        <f t="shared" si="19"/>
        <v>4</v>
      </c>
      <c r="L173" s="220">
        <f t="shared" si="20"/>
        <v>-6</v>
      </c>
    </row>
    <row r="174" ht="14.25" customHeight="1">
      <c r="I174" s="220">
        <f t="shared" si="21"/>
        <v>646</v>
      </c>
      <c r="J174" s="220">
        <v>653.0</v>
      </c>
      <c r="K174" s="220">
        <f t="shared" si="19"/>
        <v>7</v>
      </c>
      <c r="L174" s="220">
        <f t="shared" si="20"/>
        <v>-3</v>
      </c>
    </row>
    <row r="175" ht="14.25" customHeight="1">
      <c r="I175" s="220">
        <f t="shared" si="21"/>
        <v>653</v>
      </c>
      <c r="J175" s="220">
        <v>662.0</v>
      </c>
      <c r="K175" s="220">
        <f t="shared" si="19"/>
        <v>9</v>
      </c>
      <c r="L175" s="220">
        <f t="shared" si="20"/>
        <v>-1</v>
      </c>
    </row>
    <row r="176" ht="14.25" customHeight="1">
      <c r="G176" s="243"/>
      <c r="I176" s="220">
        <f t="shared" si="21"/>
        <v>662</v>
      </c>
      <c r="J176" s="220">
        <v>671.0</v>
      </c>
      <c r="K176" s="220">
        <f t="shared" si="19"/>
        <v>9</v>
      </c>
      <c r="L176" s="220">
        <f t="shared" si="20"/>
        <v>-1</v>
      </c>
    </row>
    <row r="177" ht="14.25" customHeight="1">
      <c r="I177" s="220">
        <f t="shared" si="21"/>
        <v>671</v>
      </c>
      <c r="J177" s="220">
        <v>679.0</v>
      </c>
      <c r="K177" s="220">
        <f t="shared" si="19"/>
        <v>8</v>
      </c>
      <c r="L177" s="220">
        <f t="shared" si="20"/>
        <v>-2</v>
      </c>
    </row>
    <row r="178" ht="14.25" customHeight="1">
      <c r="G178" s="243"/>
      <c r="I178" s="220">
        <f t="shared" si="21"/>
        <v>679</v>
      </c>
      <c r="J178" s="220">
        <v>688.0</v>
      </c>
      <c r="K178" s="220">
        <f t="shared" si="19"/>
        <v>9</v>
      </c>
      <c r="L178" s="220">
        <f t="shared" si="20"/>
        <v>-1</v>
      </c>
    </row>
    <row r="179" ht="14.25" customHeight="1">
      <c r="I179" s="220">
        <f t="shared" si="21"/>
        <v>688</v>
      </c>
      <c r="J179" s="220">
        <v>694.0</v>
      </c>
      <c r="K179" s="220">
        <f t="shared" si="19"/>
        <v>6</v>
      </c>
      <c r="L179" s="220">
        <f t="shared" si="20"/>
        <v>-4</v>
      </c>
    </row>
    <row r="180" ht="14.25" customHeight="1">
      <c r="I180" s="220">
        <f t="shared" si="21"/>
        <v>694</v>
      </c>
      <c r="J180" s="220">
        <v>702.0</v>
      </c>
      <c r="K180" s="220">
        <f t="shared" si="19"/>
        <v>8</v>
      </c>
      <c r="L180" s="220">
        <f t="shared" si="20"/>
        <v>-2</v>
      </c>
    </row>
    <row r="181" ht="14.25" customHeight="1">
      <c r="I181" s="220"/>
      <c r="J181" s="220"/>
      <c r="K181" s="220">
        <f t="shared" si="19"/>
        <v>0</v>
      </c>
      <c r="L181" s="220">
        <f t="shared" si="20"/>
        <v>-10</v>
      </c>
    </row>
    <row r="182" ht="14.25" customHeight="1">
      <c r="I182" s="220" t="str">
        <f t="shared" ref="I182:I192" si="22">J181</f>
        <v/>
      </c>
      <c r="J182" s="220"/>
      <c r="K182" s="220">
        <f t="shared" si="19"/>
        <v>0</v>
      </c>
      <c r="L182" s="220">
        <f t="shared" si="20"/>
        <v>-10</v>
      </c>
    </row>
    <row r="183" ht="14.25" customHeight="1">
      <c r="I183" s="220" t="str">
        <f t="shared" si="22"/>
        <v/>
      </c>
      <c r="J183" s="220"/>
      <c r="K183" s="220">
        <f t="shared" si="19"/>
        <v>0</v>
      </c>
      <c r="L183" s="220">
        <f t="shared" si="20"/>
        <v>-10</v>
      </c>
    </row>
    <row r="184" ht="14.25" customHeight="1">
      <c r="I184" s="220" t="str">
        <f t="shared" si="22"/>
        <v/>
      </c>
      <c r="J184" s="220"/>
      <c r="K184" s="220">
        <f t="shared" si="19"/>
        <v>0</v>
      </c>
      <c r="L184" s="220">
        <f t="shared" si="20"/>
        <v>-10</v>
      </c>
    </row>
    <row r="185" ht="14.25" customHeight="1">
      <c r="I185" s="220" t="str">
        <f t="shared" si="22"/>
        <v/>
      </c>
      <c r="J185" s="220"/>
      <c r="K185" s="220">
        <f t="shared" si="19"/>
        <v>0</v>
      </c>
      <c r="L185" s="220">
        <f t="shared" si="20"/>
        <v>-10</v>
      </c>
    </row>
    <row r="186" ht="14.25" customHeight="1">
      <c r="I186" s="220" t="str">
        <f t="shared" si="22"/>
        <v/>
      </c>
      <c r="J186" s="220"/>
      <c r="K186" s="220">
        <f t="shared" si="19"/>
        <v>0</v>
      </c>
      <c r="L186" s="220">
        <f t="shared" si="20"/>
        <v>-10</v>
      </c>
    </row>
    <row r="187" ht="14.25" customHeight="1">
      <c r="I187" s="220" t="str">
        <f t="shared" si="22"/>
        <v/>
      </c>
      <c r="J187" s="220"/>
      <c r="K187" s="220">
        <f t="shared" si="19"/>
        <v>0</v>
      </c>
      <c r="L187" s="220">
        <f t="shared" si="20"/>
        <v>-10</v>
      </c>
    </row>
    <row r="188" ht="14.25" customHeight="1">
      <c r="I188" s="220" t="str">
        <f t="shared" si="22"/>
        <v/>
      </c>
      <c r="J188" s="220"/>
      <c r="K188" s="220">
        <f t="shared" si="19"/>
        <v>0</v>
      </c>
      <c r="L188" s="220">
        <f t="shared" si="20"/>
        <v>-10</v>
      </c>
    </row>
    <row r="189" ht="14.25" customHeight="1">
      <c r="I189" s="220" t="str">
        <f t="shared" si="22"/>
        <v/>
      </c>
      <c r="J189" s="220"/>
      <c r="K189" s="220">
        <f t="shared" si="19"/>
        <v>0</v>
      </c>
      <c r="L189" s="220">
        <f t="shared" si="20"/>
        <v>-10</v>
      </c>
    </row>
    <row r="190" ht="14.25" customHeight="1">
      <c r="I190" s="220" t="str">
        <f t="shared" si="22"/>
        <v/>
      </c>
      <c r="J190" s="220"/>
      <c r="K190" s="220">
        <f t="shared" si="19"/>
        <v>0</v>
      </c>
      <c r="L190" s="220">
        <f t="shared" si="20"/>
        <v>-10</v>
      </c>
    </row>
    <row r="191" ht="14.25" customHeight="1">
      <c r="I191" s="220" t="str">
        <f t="shared" si="22"/>
        <v/>
      </c>
      <c r="J191" s="220"/>
      <c r="K191" s="220">
        <f t="shared" si="19"/>
        <v>0</v>
      </c>
      <c r="L191" s="220">
        <f t="shared" si="20"/>
        <v>-10</v>
      </c>
    </row>
    <row r="192" ht="14.25" customHeight="1">
      <c r="I192" s="220" t="str">
        <f t="shared" si="22"/>
        <v/>
      </c>
      <c r="J192" s="220"/>
      <c r="K192" s="220">
        <f t="shared" si="19"/>
        <v>0</v>
      </c>
      <c r="L192" s="220">
        <f t="shared" si="20"/>
        <v>-10</v>
      </c>
    </row>
    <row r="193" ht="14.25" customHeight="1">
      <c r="I193" s="234" t="s">
        <v>221</v>
      </c>
      <c r="J193" s="231"/>
      <c r="K193" s="216">
        <f>SUM(K166:K192)</f>
        <v>115</v>
      </c>
      <c r="L193" s="216">
        <f t="shared" si="20"/>
        <v>105</v>
      </c>
    </row>
    <row r="194" ht="14.25" customHeight="1"/>
    <row r="195" ht="14.2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</row>
    <row r="196" ht="14.25" customHeight="1"/>
    <row r="197" ht="14.25" customHeight="1">
      <c r="C197" s="244" t="s">
        <v>261</v>
      </c>
      <c r="D197" s="231"/>
      <c r="E197" s="216"/>
      <c r="F197" s="216" t="s">
        <v>238</v>
      </c>
      <c r="G197" s="216">
        <v>702.0</v>
      </c>
      <c r="I197" s="216" t="s">
        <v>255</v>
      </c>
      <c r="J197" s="216" t="s">
        <v>256</v>
      </c>
      <c r="K197" s="216" t="s">
        <v>243</v>
      </c>
      <c r="L197" s="216" t="s">
        <v>218</v>
      </c>
    </row>
    <row r="198" ht="14.25" customHeight="1">
      <c r="C198" s="216" t="s">
        <v>244</v>
      </c>
      <c r="D198" s="232">
        <v>2000.0</v>
      </c>
      <c r="E198" s="216"/>
      <c r="F198" s="216" t="s">
        <v>245</v>
      </c>
      <c r="G198" s="216">
        <v>817.0</v>
      </c>
      <c r="I198" s="216">
        <v>702.0</v>
      </c>
      <c r="J198" s="216">
        <v>710.0</v>
      </c>
      <c r="K198" s="216">
        <f t="shared" ref="K198:K224" si="23">J198-I198</f>
        <v>8</v>
      </c>
      <c r="L198" s="216">
        <f t="shared" ref="L198:L225" si="24">K198-10</f>
        <v>-2</v>
      </c>
    </row>
    <row r="199" ht="14.25" customHeight="1">
      <c r="C199" s="216" t="s">
        <v>246</v>
      </c>
      <c r="D199" s="232">
        <f>G199*G200</f>
        <v>2124</v>
      </c>
      <c r="E199" s="216"/>
      <c r="F199" s="216" t="s">
        <v>247</v>
      </c>
      <c r="G199" s="216">
        <v>118.0</v>
      </c>
      <c r="I199" s="220">
        <f t="shared" ref="I199:I213" si="25">J198</f>
        <v>710</v>
      </c>
      <c r="J199" s="220">
        <v>719.0</v>
      </c>
      <c r="K199" s="220">
        <f t="shared" si="23"/>
        <v>9</v>
      </c>
      <c r="L199" s="220">
        <f t="shared" si="24"/>
        <v>-1</v>
      </c>
    </row>
    <row r="200" ht="14.25" customHeight="1">
      <c r="C200" s="216" t="s">
        <v>248</v>
      </c>
      <c r="D200" s="232">
        <f>G201*G202</f>
        <v>0</v>
      </c>
      <c r="E200" s="216"/>
      <c r="F200" s="216" t="s">
        <v>249</v>
      </c>
      <c r="G200" s="232">
        <v>18.0</v>
      </c>
      <c r="I200" s="220">
        <f t="shared" si="25"/>
        <v>719</v>
      </c>
      <c r="J200" s="220">
        <v>722.0</v>
      </c>
      <c r="K200" s="220">
        <f t="shared" si="23"/>
        <v>3</v>
      </c>
      <c r="L200" s="220">
        <f t="shared" si="24"/>
        <v>-7</v>
      </c>
    </row>
    <row r="201" ht="14.25" customHeight="1">
      <c r="C201" s="216" t="s">
        <v>250</v>
      </c>
      <c r="D201" s="232">
        <f>G203*100</f>
        <v>100</v>
      </c>
      <c r="E201" s="216"/>
      <c r="F201" s="216" t="s">
        <v>251</v>
      </c>
      <c r="G201" s="216"/>
      <c r="I201" s="220">
        <f t="shared" si="25"/>
        <v>722</v>
      </c>
      <c r="J201" s="220">
        <v>728.0</v>
      </c>
      <c r="K201" s="220">
        <f t="shared" si="23"/>
        <v>6</v>
      </c>
      <c r="L201" s="220">
        <f t="shared" si="24"/>
        <v>-4</v>
      </c>
    </row>
    <row r="202" ht="14.25" customHeight="1">
      <c r="C202" s="216" t="s">
        <v>252</v>
      </c>
      <c r="D202" s="232">
        <v>1000.0</v>
      </c>
      <c r="E202" s="216"/>
      <c r="F202" s="216" t="s">
        <v>249</v>
      </c>
      <c r="G202" s="232">
        <v>10.0</v>
      </c>
      <c r="I202" s="220">
        <f t="shared" si="25"/>
        <v>728</v>
      </c>
      <c r="J202" s="220">
        <v>735.0</v>
      </c>
      <c r="K202" s="220">
        <f t="shared" si="23"/>
        <v>7</v>
      </c>
      <c r="L202" s="220">
        <f t="shared" si="24"/>
        <v>-3</v>
      </c>
    </row>
    <row r="203" ht="14.25" customHeight="1">
      <c r="C203" s="216" t="s">
        <v>253</v>
      </c>
      <c r="D203" s="232">
        <f>D198+D199+D200+D201-D202</f>
        <v>3224</v>
      </c>
      <c r="E203" s="216"/>
      <c r="F203" s="216" t="s">
        <v>250</v>
      </c>
      <c r="G203" s="216">
        <v>1.0</v>
      </c>
      <c r="I203" s="220">
        <f t="shared" si="25"/>
        <v>735</v>
      </c>
      <c r="J203" s="220">
        <v>743.0</v>
      </c>
      <c r="K203" s="220">
        <f t="shared" si="23"/>
        <v>8</v>
      </c>
      <c r="L203" s="220">
        <f t="shared" si="24"/>
        <v>-2</v>
      </c>
    </row>
    <row r="204" ht="14.25" customHeight="1">
      <c r="F204" s="242"/>
      <c r="G204" s="242"/>
      <c r="I204" s="220">
        <f t="shared" si="25"/>
        <v>743</v>
      </c>
      <c r="J204" s="220">
        <v>750.0</v>
      </c>
      <c r="K204" s="220">
        <f t="shared" si="23"/>
        <v>7</v>
      </c>
      <c r="L204" s="220">
        <f t="shared" si="24"/>
        <v>-3</v>
      </c>
    </row>
    <row r="205" ht="14.25" customHeight="1">
      <c r="I205" s="220">
        <f t="shared" si="25"/>
        <v>750</v>
      </c>
      <c r="J205" s="220">
        <v>757.0</v>
      </c>
      <c r="K205" s="220">
        <f t="shared" si="23"/>
        <v>7</v>
      </c>
      <c r="L205" s="220">
        <f t="shared" si="24"/>
        <v>-3</v>
      </c>
    </row>
    <row r="206" ht="14.25" customHeight="1">
      <c r="I206" s="220">
        <f t="shared" si="25"/>
        <v>757</v>
      </c>
      <c r="J206" s="220">
        <v>764.0</v>
      </c>
      <c r="K206" s="220">
        <f t="shared" si="23"/>
        <v>7</v>
      </c>
      <c r="L206" s="220">
        <f t="shared" si="24"/>
        <v>-3</v>
      </c>
    </row>
    <row r="207" ht="14.25" customHeight="1">
      <c r="I207" s="220">
        <f t="shared" si="25"/>
        <v>764</v>
      </c>
      <c r="J207" s="220">
        <v>773.0</v>
      </c>
      <c r="K207" s="220">
        <f t="shared" si="23"/>
        <v>9</v>
      </c>
      <c r="L207" s="220">
        <f t="shared" si="24"/>
        <v>-1</v>
      </c>
    </row>
    <row r="208" ht="14.25" customHeight="1">
      <c r="G208" s="243"/>
      <c r="I208" s="220">
        <f t="shared" si="25"/>
        <v>773</v>
      </c>
      <c r="J208" s="220">
        <v>783.0</v>
      </c>
      <c r="K208" s="220">
        <f t="shared" si="23"/>
        <v>10</v>
      </c>
      <c r="L208" s="220">
        <f t="shared" si="24"/>
        <v>0</v>
      </c>
    </row>
    <row r="209" ht="14.25" customHeight="1">
      <c r="I209" s="220">
        <f t="shared" si="25"/>
        <v>783</v>
      </c>
      <c r="J209" s="220">
        <v>787.0</v>
      </c>
      <c r="K209" s="220">
        <f t="shared" si="23"/>
        <v>4</v>
      </c>
      <c r="L209" s="220">
        <f t="shared" si="24"/>
        <v>-6</v>
      </c>
    </row>
    <row r="210" ht="14.25" customHeight="1">
      <c r="G210" s="243"/>
      <c r="I210" s="220">
        <f t="shared" si="25"/>
        <v>787</v>
      </c>
      <c r="J210" s="220">
        <v>795.0</v>
      </c>
      <c r="K210" s="220">
        <f t="shared" si="23"/>
        <v>8</v>
      </c>
      <c r="L210" s="220">
        <f t="shared" si="24"/>
        <v>-2</v>
      </c>
    </row>
    <row r="211" ht="14.25" customHeight="1">
      <c r="I211" s="220">
        <f t="shared" si="25"/>
        <v>795</v>
      </c>
      <c r="J211" s="220">
        <v>805.0</v>
      </c>
      <c r="K211" s="220">
        <f t="shared" si="23"/>
        <v>10</v>
      </c>
      <c r="L211" s="220">
        <f t="shared" si="24"/>
        <v>0</v>
      </c>
    </row>
    <row r="212" ht="14.25" customHeight="1">
      <c r="I212" s="220">
        <f t="shared" si="25"/>
        <v>805</v>
      </c>
      <c r="J212" s="220">
        <v>813.0</v>
      </c>
      <c r="K212" s="220">
        <f t="shared" si="23"/>
        <v>8</v>
      </c>
      <c r="L212" s="220">
        <f t="shared" si="24"/>
        <v>-2</v>
      </c>
    </row>
    <row r="213" ht="14.25" customHeight="1">
      <c r="I213" s="220">
        <f t="shared" si="25"/>
        <v>813</v>
      </c>
      <c r="J213" s="220">
        <v>817.0</v>
      </c>
      <c r="K213" s="220">
        <f t="shared" si="23"/>
        <v>4</v>
      </c>
      <c r="L213" s="220">
        <f t="shared" si="24"/>
        <v>-6</v>
      </c>
    </row>
    <row r="214" ht="14.25" customHeight="1">
      <c r="I214" s="220"/>
      <c r="J214" s="220"/>
      <c r="K214" s="220">
        <f t="shared" si="23"/>
        <v>0</v>
      </c>
      <c r="L214" s="220">
        <f t="shared" si="24"/>
        <v>-10</v>
      </c>
    </row>
    <row r="215" ht="14.25" customHeight="1">
      <c r="I215" s="220" t="str">
        <f t="shared" ref="I215:I224" si="26">J214</f>
        <v/>
      </c>
      <c r="J215" s="220"/>
      <c r="K215" s="220">
        <f t="shared" si="23"/>
        <v>0</v>
      </c>
      <c r="L215" s="220">
        <f t="shared" si="24"/>
        <v>-10</v>
      </c>
    </row>
    <row r="216" ht="14.25" customHeight="1">
      <c r="I216" s="220" t="str">
        <f t="shared" si="26"/>
        <v/>
      </c>
      <c r="J216" s="220"/>
      <c r="K216" s="220">
        <f t="shared" si="23"/>
        <v>0</v>
      </c>
      <c r="L216" s="220">
        <f t="shared" si="24"/>
        <v>-10</v>
      </c>
    </row>
    <row r="217" ht="14.25" customHeight="1">
      <c r="I217" s="220" t="str">
        <f t="shared" si="26"/>
        <v/>
      </c>
      <c r="J217" s="220"/>
      <c r="K217" s="220">
        <f t="shared" si="23"/>
        <v>0</v>
      </c>
      <c r="L217" s="220">
        <f t="shared" si="24"/>
        <v>-10</v>
      </c>
    </row>
    <row r="218" ht="14.25" customHeight="1">
      <c r="I218" s="220" t="str">
        <f t="shared" si="26"/>
        <v/>
      </c>
      <c r="J218" s="220"/>
      <c r="K218" s="220">
        <f t="shared" si="23"/>
        <v>0</v>
      </c>
      <c r="L218" s="220">
        <f t="shared" si="24"/>
        <v>-10</v>
      </c>
    </row>
    <row r="219" ht="14.25" customHeight="1">
      <c r="I219" s="220" t="str">
        <f t="shared" si="26"/>
        <v/>
      </c>
      <c r="J219" s="220"/>
      <c r="K219" s="220">
        <f t="shared" si="23"/>
        <v>0</v>
      </c>
      <c r="L219" s="220">
        <f t="shared" si="24"/>
        <v>-10</v>
      </c>
    </row>
    <row r="220" ht="14.25" customHeight="1">
      <c r="I220" s="220" t="str">
        <f t="shared" si="26"/>
        <v/>
      </c>
      <c r="J220" s="220"/>
      <c r="K220" s="220">
        <f t="shared" si="23"/>
        <v>0</v>
      </c>
      <c r="L220" s="220">
        <f t="shared" si="24"/>
        <v>-10</v>
      </c>
    </row>
    <row r="221" ht="14.25" customHeight="1">
      <c r="I221" s="220" t="str">
        <f t="shared" si="26"/>
        <v/>
      </c>
      <c r="J221" s="220"/>
      <c r="K221" s="220">
        <f t="shared" si="23"/>
        <v>0</v>
      </c>
      <c r="L221" s="220">
        <f t="shared" si="24"/>
        <v>-10</v>
      </c>
    </row>
    <row r="222" ht="14.25" customHeight="1">
      <c r="I222" s="220" t="str">
        <f t="shared" si="26"/>
        <v/>
      </c>
      <c r="J222" s="220"/>
      <c r="K222" s="220">
        <f t="shared" si="23"/>
        <v>0</v>
      </c>
      <c r="L222" s="220">
        <f t="shared" si="24"/>
        <v>-10</v>
      </c>
    </row>
    <row r="223" ht="14.25" customHeight="1">
      <c r="I223" s="220" t="str">
        <f t="shared" si="26"/>
        <v/>
      </c>
      <c r="J223" s="220"/>
      <c r="K223" s="220">
        <f t="shared" si="23"/>
        <v>0</v>
      </c>
      <c r="L223" s="220">
        <f t="shared" si="24"/>
        <v>-10</v>
      </c>
    </row>
    <row r="224" ht="14.25" customHeight="1">
      <c r="I224" s="220" t="str">
        <f t="shared" si="26"/>
        <v/>
      </c>
      <c r="J224" s="220"/>
      <c r="K224" s="220">
        <f t="shared" si="23"/>
        <v>0</v>
      </c>
      <c r="L224" s="220">
        <f t="shared" si="24"/>
        <v>-10</v>
      </c>
    </row>
    <row r="225" ht="14.25" customHeight="1">
      <c r="I225" s="234" t="s">
        <v>221</v>
      </c>
      <c r="J225" s="231"/>
      <c r="K225" s="216">
        <f>SUM(K198:K224)</f>
        <v>115</v>
      </c>
      <c r="L225" s="216">
        <f t="shared" si="24"/>
        <v>105</v>
      </c>
    </row>
    <row r="226" ht="14.25" customHeight="1"/>
    <row r="227" ht="14.25" customHeight="1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 ht="14.25" customHeight="1"/>
    <row r="229" ht="14.25" customHeight="1">
      <c r="C229" s="244" t="s">
        <v>262</v>
      </c>
      <c r="D229" s="231"/>
      <c r="E229" s="216"/>
      <c r="F229" s="216" t="s">
        <v>238</v>
      </c>
      <c r="G229" s="216">
        <v>817.0</v>
      </c>
      <c r="I229" s="216" t="s">
        <v>255</v>
      </c>
      <c r="J229" s="216" t="s">
        <v>256</v>
      </c>
      <c r="K229" s="216" t="s">
        <v>243</v>
      </c>
      <c r="L229" s="216" t="s">
        <v>218</v>
      </c>
    </row>
    <row r="230" ht="14.25" customHeight="1">
      <c r="C230" s="216" t="s">
        <v>244</v>
      </c>
      <c r="D230" s="232">
        <v>2000.0</v>
      </c>
      <c r="E230" s="216"/>
      <c r="F230" s="216" t="s">
        <v>245</v>
      </c>
      <c r="G230" s="216">
        <v>964.0</v>
      </c>
      <c r="I230" s="216"/>
      <c r="J230" s="216"/>
      <c r="K230" s="216">
        <f t="shared" ref="K230:K256" si="27">J230-I230</f>
        <v>0</v>
      </c>
      <c r="L230" s="216">
        <f t="shared" ref="L230:L257" si="28">K230-10</f>
        <v>-10</v>
      </c>
    </row>
    <row r="231" ht="14.25" customHeight="1">
      <c r="C231" s="216" t="s">
        <v>246</v>
      </c>
      <c r="D231" s="232">
        <f>G231*G232</f>
        <v>2646</v>
      </c>
      <c r="E231" s="216"/>
      <c r="F231" s="216" t="s">
        <v>247</v>
      </c>
      <c r="G231" s="216">
        <f>G230-G229</f>
        <v>147</v>
      </c>
      <c r="I231" s="220"/>
      <c r="J231" s="220"/>
      <c r="K231" s="220">
        <f t="shared" si="27"/>
        <v>0</v>
      </c>
      <c r="L231" s="220">
        <f t="shared" si="28"/>
        <v>-10</v>
      </c>
    </row>
    <row r="232" ht="14.25" customHeight="1">
      <c r="C232" s="216" t="s">
        <v>248</v>
      </c>
      <c r="D232" s="232">
        <f>G233*G234</f>
        <v>0</v>
      </c>
      <c r="E232" s="216"/>
      <c r="F232" s="216" t="s">
        <v>249</v>
      </c>
      <c r="G232" s="232">
        <v>18.0</v>
      </c>
      <c r="I232" s="220"/>
      <c r="J232" s="220"/>
      <c r="K232" s="220">
        <f t="shared" si="27"/>
        <v>0</v>
      </c>
      <c r="L232" s="220">
        <f t="shared" si="28"/>
        <v>-10</v>
      </c>
    </row>
    <row r="233" ht="14.25" customHeight="1">
      <c r="C233" s="216" t="s">
        <v>250</v>
      </c>
      <c r="D233" s="232">
        <f>G235*100</f>
        <v>400</v>
      </c>
      <c r="E233" s="216"/>
      <c r="F233" s="216" t="s">
        <v>251</v>
      </c>
      <c r="G233" s="216"/>
      <c r="I233" s="220"/>
      <c r="J233" s="220"/>
      <c r="K233" s="220">
        <f t="shared" si="27"/>
        <v>0</v>
      </c>
      <c r="L233" s="220">
        <f t="shared" si="28"/>
        <v>-10</v>
      </c>
    </row>
    <row r="234" ht="14.25" customHeight="1">
      <c r="C234" s="216" t="s">
        <v>252</v>
      </c>
      <c r="D234" s="232">
        <v>1000.0</v>
      </c>
      <c r="E234" s="216"/>
      <c r="F234" s="216" t="s">
        <v>249</v>
      </c>
      <c r="G234" s="232">
        <v>10.0</v>
      </c>
      <c r="I234" s="220"/>
      <c r="J234" s="220"/>
      <c r="K234" s="220">
        <f t="shared" si="27"/>
        <v>0</v>
      </c>
      <c r="L234" s="220">
        <f t="shared" si="28"/>
        <v>-10</v>
      </c>
    </row>
    <row r="235" ht="14.25" customHeight="1">
      <c r="C235" s="216" t="s">
        <v>253</v>
      </c>
      <c r="D235" s="232">
        <f>D230+D231+D232+D233-D234</f>
        <v>4046</v>
      </c>
      <c r="E235" s="216"/>
      <c r="F235" s="216" t="s">
        <v>250</v>
      </c>
      <c r="G235" s="216">
        <v>4.0</v>
      </c>
      <c r="I235" s="220"/>
      <c r="J235" s="220"/>
      <c r="K235" s="220">
        <f t="shared" si="27"/>
        <v>0</v>
      </c>
      <c r="L235" s="220">
        <f t="shared" si="28"/>
        <v>-10</v>
      </c>
    </row>
    <row r="236" ht="14.25" customHeight="1">
      <c r="F236" s="242"/>
      <c r="G236" s="242"/>
      <c r="I236" s="220"/>
      <c r="J236" s="220"/>
      <c r="K236" s="220">
        <f t="shared" si="27"/>
        <v>0</v>
      </c>
      <c r="L236" s="220">
        <f t="shared" si="28"/>
        <v>-10</v>
      </c>
    </row>
    <row r="237" ht="14.25" customHeight="1">
      <c r="I237" s="220"/>
      <c r="J237" s="220"/>
      <c r="K237" s="220">
        <f t="shared" si="27"/>
        <v>0</v>
      </c>
      <c r="L237" s="220">
        <f t="shared" si="28"/>
        <v>-10</v>
      </c>
    </row>
    <row r="238" ht="14.25" customHeight="1">
      <c r="I238" s="220"/>
      <c r="J238" s="220"/>
      <c r="K238" s="220">
        <f t="shared" si="27"/>
        <v>0</v>
      </c>
      <c r="L238" s="220">
        <f t="shared" si="28"/>
        <v>-10</v>
      </c>
    </row>
    <row r="239" ht="14.25" customHeight="1">
      <c r="I239" s="220"/>
      <c r="J239" s="220"/>
      <c r="K239" s="220">
        <f t="shared" si="27"/>
        <v>0</v>
      </c>
      <c r="L239" s="220">
        <f t="shared" si="28"/>
        <v>-10</v>
      </c>
    </row>
    <row r="240" ht="14.25" customHeight="1">
      <c r="G240" s="243"/>
      <c r="I240" s="220"/>
      <c r="J240" s="220"/>
      <c r="K240" s="220">
        <f t="shared" si="27"/>
        <v>0</v>
      </c>
      <c r="L240" s="220">
        <f t="shared" si="28"/>
        <v>-10</v>
      </c>
    </row>
    <row r="241" ht="14.25" customHeight="1">
      <c r="I241" s="220"/>
      <c r="J241" s="220"/>
      <c r="K241" s="220">
        <f t="shared" si="27"/>
        <v>0</v>
      </c>
      <c r="L241" s="220">
        <f t="shared" si="28"/>
        <v>-10</v>
      </c>
    </row>
    <row r="242" ht="14.25" customHeight="1">
      <c r="G242" s="243"/>
      <c r="I242" s="220"/>
      <c r="J242" s="220"/>
      <c r="K242" s="220">
        <f t="shared" si="27"/>
        <v>0</v>
      </c>
      <c r="L242" s="220">
        <f t="shared" si="28"/>
        <v>-10</v>
      </c>
    </row>
    <row r="243" ht="14.25" customHeight="1">
      <c r="I243" s="220"/>
      <c r="J243" s="220"/>
      <c r="K243" s="220">
        <f t="shared" si="27"/>
        <v>0</v>
      </c>
      <c r="L243" s="220">
        <f t="shared" si="28"/>
        <v>-10</v>
      </c>
    </row>
    <row r="244" ht="14.25" customHeight="1">
      <c r="I244" s="220"/>
      <c r="J244" s="220"/>
      <c r="K244" s="220">
        <f t="shared" si="27"/>
        <v>0</v>
      </c>
      <c r="L244" s="220">
        <f t="shared" si="28"/>
        <v>-10</v>
      </c>
    </row>
    <row r="245" ht="14.25" customHeight="1">
      <c r="I245" s="220"/>
      <c r="J245" s="220"/>
      <c r="K245" s="220">
        <f t="shared" si="27"/>
        <v>0</v>
      </c>
      <c r="L245" s="220">
        <f t="shared" si="28"/>
        <v>-10</v>
      </c>
    </row>
    <row r="246" ht="14.25" customHeight="1">
      <c r="I246" s="220"/>
      <c r="J246" s="220"/>
      <c r="K246" s="220">
        <f t="shared" si="27"/>
        <v>0</v>
      </c>
      <c r="L246" s="220">
        <f t="shared" si="28"/>
        <v>-10</v>
      </c>
    </row>
    <row r="247" ht="14.25" customHeight="1">
      <c r="I247" s="220" t="str">
        <f t="shared" ref="I247:I256" si="29">J246</f>
        <v/>
      </c>
      <c r="J247" s="220"/>
      <c r="K247" s="220">
        <f t="shared" si="27"/>
        <v>0</v>
      </c>
      <c r="L247" s="220">
        <f t="shared" si="28"/>
        <v>-10</v>
      </c>
    </row>
    <row r="248" ht="14.25" customHeight="1">
      <c r="I248" s="220" t="str">
        <f t="shared" si="29"/>
        <v/>
      </c>
      <c r="J248" s="220"/>
      <c r="K248" s="220">
        <f t="shared" si="27"/>
        <v>0</v>
      </c>
      <c r="L248" s="220">
        <f t="shared" si="28"/>
        <v>-10</v>
      </c>
    </row>
    <row r="249" ht="14.25" customHeight="1">
      <c r="I249" s="220" t="str">
        <f t="shared" si="29"/>
        <v/>
      </c>
      <c r="J249" s="220"/>
      <c r="K249" s="220">
        <f t="shared" si="27"/>
        <v>0</v>
      </c>
      <c r="L249" s="220">
        <f t="shared" si="28"/>
        <v>-10</v>
      </c>
    </row>
    <row r="250" ht="14.25" customHeight="1">
      <c r="I250" s="220" t="str">
        <f t="shared" si="29"/>
        <v/>
      </c>
      <c r="J250" s="220"/>
      <c r="K250" s="220">
        <f t="shared" si="27"/>
        <v>0</v>
      </c>
      <c r="L250" s="220">
        <f t="shared" si="28"/>
        <v>-10</v>
      </c>
    </row>
    <row r="251" ht="14.25" customHeight="1">
      <c r="I251" s="220" t="str">
        <f t="shared" si="29"/>
        <v/>
      </c>
      <c r="J251" s="220"/>
      <c r="K251" s="220">
        <f t="shared" si="27"/>
        <v>0</v>
      </c>
      <c r="L251" s="220">
        <f t="shared" si="28"/>
        <v>-10</v>
      </c>
    </row>
    <row r="252" ht="14.25" customHeight="1">
      <c r="I252" s="220" t="str">
        <f t="shared" si="29"/>
        <v/>
      </c>
      <c r="J252" s="220"/>
      <c r="K252" s="220">
        <f t="shared" si="27"/>
        <v>0</v>
      </c>
      <c r="L252" s="220">
        <f t="shared" si="28"/>
        <v>-10</v>
      </c>
    </row>
    <row r="253" ht="14.25" customHeight="1">
      <c r="I253" s="220" t="str">
        <f t="shared" si="29"/>
        <v/>
      </c>
      <c r="J253" s="220"/>
      <c r="K253" s="220">
        <f t="shared" si="27"/>
        <v>0</v>
      </c>
      <c r="L253" s="220">
        <f t="shared" si="28"/>
        <v>-10</v>
      </c>
    </row>
    <row r="254" ht="14.25" customHeight="1">
      <c r="I254" s="220" t="str">
        <f t="shared" si="29"/>
        <v/>
      </c>
      <c r="J254" s="220"/>
      <c r="K254" s="220">
        <f t="shared" si="27"/>
        <v>0</v>
      </c>
      <c r="L254" s="220">
        <f t="shared" si="28"/>
        <v>-10</v>
      </c>
    </row>
    <row r="255" ht="14.25" customHeight="1">
      <c r="I255" s="220" t="str">
        <f t="shared" si="29"/>
        <v/>
      </c>
      <c r="J255" s="220"/>
      <c r="K255" s="220">
        <f t="shared" si="27"/>
        <v>0</v>
      </c>
      <c r="L255" s="220">
        <f t="shared" si="28"/>
        <v>-10</v>
      </c>
    </row>
    <row r="256" ht="14.25" customHeight="1">
      <c r="I256" s="220" t="str">
        <f t="shared" si="29"/>
        <v/>
      </c>
      <c r="J256" s="220"/>
      <c r="K256" s="220">
        <f t="shared" si="27"/>
        <v>0</v>
      </c>
      <c r="L256" s="220">
        <f t="shared" si="28"/>
        <v>-10</v>
      </c>
    </row>
    <row r="257" ht="14.25" customHeight="1">
      <c r="I257" s="234" t="s">
        <v>221</v>
      </c>
      <c r="J257" s="231"/>
      <c r="K257" s="216">
        <f>SUM(K230:K256)</f>
        <v>0</v>
      </c>
      <c r="L257" s="216">
        <f t="shared" si="28"/>
        <v>-10</v>
      </c>
    </row>
    <row r="258" ht="14.25" customHeight="1"/>
    <row r="259" ht="14.25" customHeight="1"/>
    <row r="260" ht="14.25" customHeight="1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</row>
    <row r="261" ht="14.25" customHeight="1"/>
    <row r="262" ht="14.25" customHeight="1">
      <c r="C262" s="244" t="s">
        <v>263</v>
      </c>
      <c r="D262" s="245"/>
      <c r="F262" s="216" t="s">
        <v>238</v>
      </c>
      <c r="G262" s="216">
        <v>964.0</v>
      </c>
      <c r="I262" s="216" t="s">
        <v>255</v>
      </c>
      <c r="J262" s="216" t="s">
        <v>256</v>
      </c>
      <c r="K262" s="216" t="s">
        <v>243</v>
      </c>
      <c r="L262" s="216" t="s">
        <v>218</v>
      </c>
    </row>
    <row r="263" ht="14.25" customHeight="1">
      <c r="C263" s="216" t="s">
        <v>244</v>
      </c>
      <c r="D263" s="232">
        <v>700.0</v>
      </c>
      <c r="F263" s="216" t="s">
        <v>245</v>
      </c>
      <c r="G263" s="216">
        <v>1120.0</v>
      </c>
      <c r="I263" s="216">
        <v>964.0</v>
      </c>
      <c r="J263" s="216">
        <v>970.0</v>
      </c>
      <c r="K263" s="216">
        <f t="shared" ref="K263:K289" si="30">J263-I263</f>
        <v>6</v>
      </c>
      <c r="L263" s="216">
        <f t="shared" ref="L263:L290" si="31">K263-10</f>
        <v>-4</v>
      </c>
    </row>
    <row r="264" ht="14.25" customHeight="1">
      <c r="C264" s="216" t="s">
        <v>246</v>
      </c>
      <c r="D264" s="232">
        <f>G264*G265</f>
        <v>2808</v>
      </c>
      <c r="F264" s="216" t="s">
        <v>247</v>
      </c>
      <c r="G264" s="216">
        <v>156.0</v>
      </c>
      <c r="I264" s="220">
        <f t="shared" ref="I264:I285" si="32">J263</f>
        <v>970</v>
      </c>
      <c r="J264" s="220">
        <v>979.0</v>
      </c>
      <c r="K264" s="220">
        <f t="shared" si="30"/>
        <v>9</v>
      </c>
      <c r="L264" s="220">
        <f t="shared" si="31"/>
        <v>-1</v>
      </c>
    </row>
    <row r="265" ht="14.25" customHeight="1">
      <c r="C265" s="216" t="s">
        <v>248</v>
      </c>
      <c r="D265" s="232">
        <f>G266*G267</f>
        <v>0</v>
      </c>
      <c r="F265" s="216" t="s">
        <v>249</v>
      </c>
      <c r="G265" s="232">
        <v>18.0</v>
      </c>
      <c r="I265" s="220">
        <f t="shared" si="32"/>
        <v>979</v>
      </c>
      <c r="J265" s="220">
        <v>982.7</v>
      </c>
      <c r="K265" s="220">
        <f t="shared" si="30"/>
        <v>3.7</v>
      </c>
      <c r="L265" s="220">
        <f t="shared" si="31"/>
        <v>-6.3</v>
      </c>
    </row>
    <row r="266" ht="14.25" customHeight="1">
      <c r="C266" s="216" t="s">
        <v>250</v>
      </c>
      <c r="D266" s="232">
        <f>G268*100</f>
        <v>500</v>
      </c>
      <c r="F266" s="216" t="s">
        <v>251</v>
      </c>
      <c r="G266" s="216"/>
      <c r="I266" s="220">
        <f t="shared" si="32"/>
        <v>982.7</v>
      </c>
      <c r="J266" s="220">
        <v>987.0</v>
      </c>
      <c r="K266" s="220">
        <f t="shared" si="30"/>
        <v>4.3</v>
      </c>
      <c r="L266" s="220">
        <f t="shared" si="31"/>
        <v>-5.7</v>
      </c>
    </row>
    <row r="267" ht="14.25" customHeight="1">
      <c r="C267" s="216" t="s">
        <v>252</v>
      </c>
      <c r="D267" s="232"/>
      <c r="F267" s="216" t="s">
        <v>249</v>
      </c>
      <c r="G267" s="232">
        <v>10.0</v>
      </c>
      <c r="I267" s="220">
        <f t="shared" si="32"/>
        <v>987</v>
      </c>
      <c r="J267" s="220">
        <v>995.0</v>
      </c>
      <c r="K267" s="220">
        <f t="shared" si="30"/>
        <v>8</v>
      </c>
      <c r="L267" s="220">
        <f t="shared" si="31"/>
        <v>-2</v>
      </c>
    </row>
    <row r="268" ht="14.25" customHeight="1">
      <c r="C268" s="216" t="s">
        <v>253</v>
      </c>
      <c r="D268" s="232">
        <f>D263+D264+D265+D266-D267</f>
        <v>4008</v>
      </c>
      <c r="F268" s="216" t="s">
        <v>250</v>
      </c>
      <c r="G268" s="216">
        <v>5.0</v>
      </c>
      <c r="I268" s="237">
        <f t="shared" si="32"/>
        <v>995</v>
      </c>
      <c r="J268" s="237">
        <v>1001.0</v>
      </c>
      <c r="K268" s="237">
        <f t="shared" si="30"/>
        <v>6</v>
      </c>
      <c r="L268" s="237">
        <f t="shared" si="31"/>
        <v>-4</v>
      </c>
    </row>
    <row r="269" ht="14.25" customHeight="1">
      <c r="C269" s="246" t="s">
        <v>264</v>
      </c>
      <c r="D269" s="247">
        <v>44986.0</v>
      </c>
      <c r="F269" s="242"/>
      <c r="G269" s="242"/>
      <c r="I269" s="220">
        <f t="shared" si="32"/>
        <v>1001</v>
      </c>
      <c r="J269" s="220">
        <v>1007.0</v>
      </c>
      <c r="K269" s="220">
        <f t="shared" si="30"/>
        <v>6</v>
      </c>
      <c r="L269" s="220">
        <f t="shared" si="31"/>
        <v>-4</v>
      </c>
    </row>
    <row r="270" ht="14.25" customHeight="1">
      <c r="D270" s="12"/>
      <c r="I270" s="220">
        <f t="shared" si="32"/>
        <v>1007</v>
      </c>
      <c r="J270" s="220">
        <v>1012.0</v>
      </c>
      <c r="K270" s="220">
        <f t="shared" si="30"/>
        <v>5</v>
      </c>
      <c r="L270" s="220">
        <f t="shared" si="31"/>
        <v>-5</v>
      </c>
    </row>
    <row r="271" ht="14.25" customHeight="1">
      <c r="I271" s="220">
        <f t="shared" si="32"/>
        <v>1012</v>
      </c>
      <c r="J271" s="220">
        <v>1020.0</v>
      </c>
      <c r="K271" s="220">
        <f t="shared" si="30"/>
        <v>8</v>
      </c>
      <c r="L271" s="220">
        <f t="shared" si="31"/>
        <v>-2</v>
      </c>
    </row>
    <row r="272" ht="14.25" customHeight="1">
      <c r="D272" s="243"/>
      <c r="I272" s="220">
        <f t="shared" si="32"/>
        <v>1020</v>
      </c>
      <c r="J272" s="220">
        <v>1028.0</v>
      </c>
      <c r="K272" s="220">
        <f t="shared" si="30"/>
        <v>8</v>
      </c>
      <c r="L272" s="220">
        <f t="shared" si="31"/>
        <v>-2</v>
      </c>
    </row>
    <row r="273" ht="14.25" customHeight="1">
      <c r="G273" s="243"/>
      <c r="I273" s="237">
        <f t="shared" si="32"/>
        <v>1028</v>
      </c>
      <c r="J273" s="237">
        <v>1030.0</v>
      </c>
      <c r="K273" s="237">
        <f t="shared" si="30"/>
        <v>2</v>
      </c>
      <c r="L273" s="237">
        <f t="shared" si="31"/>
        <v>-8</v>
      </c>
    </row>
    <row r="274" ht="14.25" customHeight="1">
      <c r="I274" s="220">
        <f t="shared" si="32"/>
        <v>1030</v>
      </c>
      <c r="J274" s="220">
        <v>1034.0</v>
      </c>
      <c r="K274" s="220">
        <f t="shared" si="30"/>
        <v>4</v>
      </c>
      <c r="L274" s="220">
        <f t="shared" si="31"/>
        <v>-6</v>
      </c>
    </row>
    <row r="275" ht="14.25" customHeight="1">
      <c r="G275" s="243"/>
      <c r="I275" s="220">
        <f t="shared" si="32"/>
        <v>1034</v>
      </c>
      <c r="J275" s="220">
        <v>1041.0</v>
      </c>
      <c r="K275" s="220">
        <f t="shared" si="30"/>
        <v>7</v>
      </c>
      <c r="L275" s="220">
        <f t="shared" si="31"/>
        <v>-3</v>
      </c>
    </row>
    <row r="276" ht="14.25" customHeight="1">
      <c r="I276" s="220">
        <f t="shared" si="32"/>
        <v>1041</v>
      </c>
      <c r="J276" s="220">
        <v>1048.0</v>
      </c>
      <c r="K276" s="220">
        <f t="shared" si="30"/>
        <v>7</v>
      </c>
      <c r="L276" s="220">
        <f t="shared" si="31"/>
        <v>-3</v>
      </c>
    </row>
    <row r="277" ht="14.25" customHeight="1">
      <c r="I277" s="220">
        <f t="shared" si="32"/>
        <v>1048</v>
      </c>
      <c r="J277" s="220">
        <v>1049.7</v>
      </c>
      <c r="K277" s="220">
        <f t="shared" si="30"/>
        <v>1.7</v>
      </c>
      <c r="L277" s="220">
        <f t="shared" si="31"/>
        <v>-8.3</v>
      </c>
    </row>
    <row r="278" ht="14.25" customHeight="1">
      <c r="I278" s="220">
        <f t="shared" si="32"/>
        <v>1049.7</v>
      </c>
      <c r="J278" s="220">
        <v>1059.0</v>
      </c>
      <c r="K278" s="220">
        <f t="shared" si="30"/>
        <v>9.3</v>
      </c>
      <c r="L278" s="220">
        <f t="shared" si="31"/>
        <v>-0.7</v>
      </c>
    </row>
    <row r="279" ht="14.25" customHeight="1">
      <c r="I279" s="237">
        <f t="shared" si="32"/>
        <v>1059</v>
      </c>
      <c r="J279" s="237">
        <v>1069.0</v>
      </c>
      <c r="K279" s="237">
        <f t="shared" si="30"/>
        <v>10</v>
      </c>
      <c r="L279" s="237">
        <f t="shared" si="31"/>
        <v>0</v>
      </c>
    </row>
    <row r="280" ht="14.25" customHeight="1">
      <c r="I280" s="248">
        <f t="shared" si="32"/>
        <v>1069</v>
      </c>
      <c r="J280" s="248">
        <v>1078.0</v>
      </c>
      <c r="K280" s="248">
        <f t="shared" si="30"/>
        <v>9</v>
      </c>
      <c r="L280" s="248">
        <f t="shared" si="31"/>
        <v>-1</v>
      </c>
    </row>
    <row r="281" ht="14.25" customHeight="1">
      <c r="I281" s="220">
        <f t="shared" si="32"/>
        <v>1078</v>
      </c>
      <c r="J281" s="220">
        <v>1086.0</v>
      </c>
      <c r="K281" s="220">
        <f t="shared" si="30"/>
        <v>8</v>
      </c>
      <c r="L281" s="220">
        <f t="shared" si="31"/>
        <v>-2</v>
      </c>
    </row>
    <row r="282" ht="14.25" customHeight="1">
      <c r="I282" s="220">
        <f t="shared" si="32"/>
        <v>1086</v>
      </c>
      <c r="J282" s="220">
        <v>1095.0</v>
      </c>
      <c r="K282" s="220">
        <f t="shared" si="30"/>
        <v>9</v>
      </c>
      <c r="L282" s="220">
        <f t="shared" si="31"/>
        <v>-1</v>
      </c>
    </row>
    <row r="283" ht="14.25" customHeight="1">
      <c r="I283" s="220">
        <f t="shared" si="32"/>
        <v>1095</v>
      </c>
      <c r="J283" s="220">
        <v>1100.0</v>
      </c>
      <c r="K283" s="220">
        <f t="shared" si="30"/>
        <v>5</v>
      </c>
      <c r="L283" s="220">
        <f t="shared" si="31"/>
        <v>-5</v>
      </c>
    </row>
    <row r="284" ht="14.25" customHeight="1">
      <c r="I284" s="220">
        <f t="shared" si="32"/>
        <v>1100</v>
      </c>
      <c r="J284" s="220">
        <v>1107.0</v>
      </c>
      <c r="K284" s="220">
        <f t="shared" si="30"/>
        <v>7</v>
      </c>
      <c r="L284" s="220">
        <f t="shared" si="31"/>
        <v>-3</v>
      </c>
    </row>
    <row r="285" ht="14.25" customHeight="1">
      <c r="I285" s="220">
        <f t="shared" si="32"/>
        <v>1107</v>
      </c>
      <c r="J285" s="220">
        <v>1120.0</v>
      </c>
      <c r="K285" s="220">
        <f t="shared" si="30"/>
        <v>13</v>
      </c>
      <c r="L285" s="220">
        <f t="shared" si="31"/>
        <v>3</v>
      </c>
    </row>
    <row r="286" ht="14.25" customHeight="1">
      <c r="I286" s="220"/>
      <c r="J286" s="220"/>
      <c r="K286" s="220">
        <f t="shared" si="30"/>
        <v>0</v>
      </c>
      <c r="L286" s="220">
        <f t="shared" si="31"/>
        <v>-10</v>
      </c>
    </row>
    <row r="287" ht="14.25" customHeight="1">
      <c r="I287" s="220" t="str">
        <f t="shared" ref="I287:I289" si="33">J286</f>
        <v/>
      </c>
      <c r="J287" s="220"/>
      <c r="K287" s="220">
        <f t="shared" si="30"/>
        <v>0</v>
      </c>
      <c r="L287" s="220">
        <f t="shared" si="31"/>
        <v>-10</v>
      </c>
    </row>
    <row r="288" ht="14.25" customHeight="1">
      <c r="I288" s="220" t="str">
        <f t="shared" si="33"/>
        <v/>
      </c>
      <c r="J288" s="220"/>
      <c r="K288" s="220">
        <f t="shared" si="30"/>
        <v>0</v>
      </c>
      <c r="L288" s="220">
        <f t="shared" si="31"/>
        <v>-10</v>
      </c>
    </row>
    <row r="289" ht="14.25" customHeight="1">
      <c r="I289" s="220" t="str">
        <f t="shared" si="33"/>
        <v/>
      </c>
      <c r="J289" s="220"/>
      <c r="K289" s="220">
        <f t="shared" si="30"/>
        <v>0</v>
      </c>
      <c r="L289" s="220">
        <f t="shared" si="31"/>
        <v>-10</v>
      </c>
    </row>
    <row r="290" ht="14.25" customHeight="1">
      <c r="I290" s="234" t="s">
        <v>221</v>
      </c>
      <c r="J290" s="231"/>
      <c r="K290" s="216">
        <f>SUM(K263:K289)</f>
        <v>156</v>
      </c>
      <c r="L290" s="216">
        <f t="shared" si="31"/>
        <v>146</v>
      </c>
    </row>
    <row r="291" ht="15.75" customHeight="1"/>
    <row r="292" ht="14.25" customHeight="1">
      <c r="A292" s="249" t="s">
        <v>230</v>
      </c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1"/>
      <c r="S292" s="252"/>
      <c r="T292" s="252"/>
      <c r="U292" s="252"/>
      <c r="V292" s="252"/>
      <c r="W292" s="252"/>
      <c r="X292" s="252"/>
      <c r="Y292" s="252"/>
      <c r="Z292" s="252"/>
    </row>
    <row r="293" ht="14.25" customHeight="1"/>
    <row r="294" ht="14.25" customHeight="1">
      <c r="B294" s="216" t="s">
        <v>214</v>
      </c>
      <c r="C294" s="216" t="s">
        <v>215</v>
      </c>
      <c r="D294" s="216" t="s">
        <v>216</v>
      </c>
      <c r="E294" s="216" t="s">
        <v>217</v>
      </c>
      <c r="F294" s="216" t="s">
        <v>218</v>
      </c>
      <c r="H294" s="216" t="s">
        <v>238</v>
      </c>
      <c r="I294" s="216">
        <v>1120.0</v>
      </c>
      <c r="K294" s="253" t="s">
        <v>265</v>
      </c>
      <c r="L294" s="231"/>
    </row>
    <row r="295" ht="14.25" customHeight="1">
      <c r="B295" s="254">
        <v>45017.0</v>
      </c>
      <c r="C295" s="255"/>
      <c r="D295" s="255"/>
      <c r="E295" s="255">
        <f t="shared" ref="E295:E325" si="34">D295-C295</f>
        <v>0</v>
      </c>
      <c r="F295" s="255">
        <f t="shared" ref="F295:F326" si="35">E295-10</f>
        <v>-10</v>
      </c>
      <c r="H295" s="216" t="s">
        <v>245</v>
      </c>
      <c r="I295" s="216">
        <v>1262.0</v>
      </c>
      <c r="K295" s="216" t="s">
        <v>244</v>
      </c>
      <c r="L295" s="232">
        <v>2000.0</v>
      </c>
    </row>
    <row r="296" ht="14.25" customHeight="1">
      <c r="B296" s="254">
        <v>45018.0</v>
      </c>
      <c r="C296" s="255">
        <v>1120.0</v>
      </c>
      <c r="D296" s="255">
        <v>1125.0</v>
      </c>
      <c r="E296" s="255">
        <f t="shared" si="34"/>
        <v>5</v>
      </c>
      <c r="F296" s="255">
        <f t="shared" si="35"/>
        <v>-5</v>
      </c>
      <c r="H296" s="216" t="s">
        <v>247</v>
      </c>
      <c r="I296" s="216">
        <f>I295-I294</f>
        <v>142</v>
      </c>
      <c r="K296" s="216" t="s">
        <v>266</v>
      </c>
      <c r="L296" s="232">
        <v>1000.0</v>
      </c>
    </row>
    <row r="297" ht="14.25" customHeight="1">
      <c r="B297" s="229">
        <v>45019.0</v>
      </c>
      <c r="C297" s="220">
        <f t="shared" ref="C297:C300" si="36">D296</f>
        <v>1125</v>
      </c>
      <c r="D297" s="220">
        <v>1132.0</v>
      </c>
      <c r="E297" s="220">
        <f t="shared" si="34"/>
        <v>7</v>
      </c>
      <c r="F297" s="220">
        <f t="shared" si="35"/>
        <v>-3</v>
      </c>
      <c r="H297" s="216" t="s">
        <v>249</v>
      </c>
      <c r="I297" s="232">
        <v>18.0</v>
      </c>
      <c r="K297" s="216" t="s">
        <v>246</v>
      </c>
      <c r="L297" s="232">
        <f t="shared" ref="L297:L298" si="37">I297*I296</f>
        <v>2556</v>
      </c>
    </row>
    <row r="298" ht="14.25" customHeight="1">
      <c r="B298" s="229">
        <v>45020.0</v>
      </c>
      <c r="C298" s="220">
        <f t="shared" si="36"/>
        <v>1132</v>
      </c>
      <c r="D298" s="220">
        <v>1140.0</v>
      </c>
      <c r="E298" s="220">
        <f t="shared" si="34"/>
        <v>8</v>
      </c>
      <c r="F298" s="220">
        <f t="shared" si="35"/>
        <v>-2</v>
      </c>
      <c r="H298" s="216" t="s">
        <v>251</v>
      </c>
      <c r="I298" s="216">
        <v>1.0</v>
      </c>
      <c r="K298" s="216" t="s">
        <v>248</v>
      </c>
      <c r="L298" s="232">
        <f t="shared" si="37"/>
        <v>18</v>
      </c>
    </row>
    <row r="299" ht="14.25" customHeight="1">
      <c r="B299" s="229">
        <v>45021.0</v>
      </c>
      <c r="C299" s="220">
        <f t="shared" si="36"/>
        <v>1140</v>
      </c>
      <c r="D299" s="220">
        <v>1150.0</v>
      </c>
      <c r="E299" s="220">
        <f t="shared" si="34"/>
        <v>10</v>
      </c>
      <c r="F299" s="220">
        <f t="shared" si="35"/>
        <v>0</v>
      </c>
      <c r="H299" s="216" t="s">
        <v>249</v>
      </c>
      <c r="I299" s="232">
        <v>10.0</v>
      </c>
      <c r="K299" s="216" t="s">
        <v>267</v>
      </c>
      <c r="L299" s="232">
        <f>I300*100</f>
        <v>800</v>
      </c>
    </row>
    <row r="300" ht="14.25" customHeight="1">
      <c r="B300" s="229">
        <v>45022.0</v>
      </c>
      <c r="C300" s="220">
        <f t="shared" si="36"/>
        <v>1150</v>
      </c>
      <c r="D300" s="220">
        <v>1159.0</v>
      </c>
      <c r="E300" s="220">
        <f t="shared" si="34"/>
        <v>9</v>
      </c>
      <c r="F300" s="220">
        <f t="shared" si="35"/>
        <v>-1</v>
      </c>
      <c r="H300" s="216" t="s">
        <v>267</v>
      </c>
      <c r="I300" s="216">
        <v>8.0</v>
      </c>
      <c r="K300" s="216" t="s">
        <v>252</v>
      </c>
      <c r="L300" s="232"/>
    </row>
    <row r="301" ht="14.25" customHeight="1">
      <c r="B301" s="229">
        <v>45023.0</v>
      </c>
      <c r="C301" s="220"/>
      <c r="D301" s="220"/>
      <c r="E301" s="220">
        <f t="shared" si="34"/>
        <v>0</v>
      </c>
      <c r="F301" s="220">
        <f t="shared" si="35"/>
        <v>-10</v>
      </c>
      <c r="K301" s="216" t="s">
        <v>268</v>
      </c>
      <c r="L301" s="232">
        <f>L295+L297+L298+L299-L296-L300</f>
        <v>4374</v>
      </c>
    </row>
    <row r="302" ht="14.25" customHeight="1">
      <c r="B302" s="254">
        <v>45024.0</v>
      </c>
      <c r="C302" s="255" t="str">
        <f t="shared" ref="C302:C303" si="38">D301</f>
        <v/>
      </c>
      <c r="D302" s="255"/>
      <c r="E302" s="255">
        <f t="shared" si="34"/>
        <v>0</v>
      </c>
      <c r="F302" s="255">
        <f t="shared" si="35"/>
        <v>-10</v>
      </c>
      <c r="K302" s="216" t="s">
        <v>269</v>
      </c>
      <c r="L302" s="229"/>
    </row>
    <row r="303" ht="14.25" customHeight="1">
      <c r="B303" s="254">
        <v>45025.0</v>
      </c>
      <c r="C303" s="255" t="str">
        <f t="shared" si="38"/>
        <v/>
      </c>
      <c r="D303" s="255"/>
      <c r="E303" s="255">
        <f t="shared" si="34"/>
        <v>0</v>
      </c>
      <c r="F303" s="255">
        <f t="shared" si="35"/>
        <v>-10</v>
      </c>
    </row>
    <row r="304" ht="14.25" customHeight="1">
      <c r="B304" s="229">
        <v>45026.0</v>
      </c>
      <c r="C304" s="220">
        <v>1159.0</v>
      </c>
      <c r="D304" s="220">
        <v>1160.0</v>
      </c>
      <c r="E304" s="220">
        <f t="shared" si="34"/>
        <v>1</v>
      </c>
      <c r="F304" s="220">
        <f t="shared" si="35"/>
        <v>-9</v>
      </c>
    </row>
    <row r="305" ht="14.25" customHeight="1">
      <c r="B305" s="229">
        <v>45027.0</v>
      </c>
      <c r="C305" s="220">
        <f t="shared" ref="C305:C312" si="39">D304</f>
        <v>1160</v>
      </c>
      <c r="D305" s="220">
        <v>1168.0</v>
      </c>
      <c r="E305" s="220">
        <f t="shared" si="34"/>
        <v>8</v>
      </c>
      <c r="F305" s="220">
        <f t="shared" si="35"/>
        <v>-2</v>
      </c>
    </row>
    <row r="306" ht="14.25" customHeight="1">
      <c r="B306" s="229">
        <v>45028.0</v>
      </c>
      <c r="C306" s="220">
        <f t="shared" si="39"/>
        <v>1168</v>
      </c>
      <c r="D306" s="220">
        <v>1175.0</v>
      </c>
      <c r="E306" s="220">
        <f t="shared" si="34"/>
        <v>7</v>
      </c>
      <c r="F306" s="220">
        <f t="shared" si="35"/>
        <v>-3</v>
      </c>
    </row>
    <row r="307" ht="14.25" customHeight="1">
      <c r="B307" s="229">
        <v>45029.0</v>
      </c>
      <c r="C307" s="220">
        <f t="shared" si="39"/>
        <v>1175</v>
      </c>
      <c r="D307" s="220">
        <v>1176.0</v>
      </c>
      <c r="E307" s="220">
        <f t="shared" si="34"/>
        <v>1</v>
      </c>
      <c r="F307" s="220">
        <f t="shared" si="35"/>
        <v>-9</v>
      </c>
    </row>
    <row r="308" ht="14.25" customHeight="1">
      <c r="B308" s="229">
        <v>45030.0</v>
      </c>
      <c r="C308" s="220">
        <f t="shared" si="39"/>
        <v>1176</v>
      </c>
      <c r="D308" s="220">
        <v>1180.0</v>
      </c>
      <c r="E308" s="220">
        <f t="shared" si="34"/>
        <v>4</v>
      </c>
      <c r="F308" s="220">
        <f t="shared" si="35"/>
        <v>-6</v>
      </c>
    </row>
    <row r="309" ht="14.25" customHeight="1">
      <c r="B309" s="254">
        <v>45031.0</v>
      </c>
      <c r="C309" s="255">
        <f t="shared" si="39"/>
        <v>1180</v>
      </c>
      <c r="D309" s="255">
        <v>1182.0</v>
      </c>
      <c r="E309" s="255">
        <f t="shared" si="34"/>
        <v>2</v>
      </c>
      <c r="F309" s="255">
        <f t="shared" si="35"/>
        <v>-8</v>
      </c>
    </row>
    <row r="310" ht="14.25" customHeight="1">
      <c r="B310" s="254">
        <v>45032.0</v>
      </c>
      <c r="C310" s="255">
        <f t="shared" si="39"/>
        <v>1182</v>
      </c>
      <c r="D310" s="255">
        <v>1190.0</v>
      </c>
      <c r="E310" s="255">
        <f t="shared" si="34"/>
        <v>8</v>
      </c>
      <c r="F310" s="255">
        <f t="shared" si="35"/>
        <v>-2</v>
      </c>
    </row>
    <row r="311" ht="14.25" customHeight="1">
      <c r="B311" s="229">
        <v>45033.0</v>
      </c>
      <c r="C311" s="220">
        <f t="shared" si="39"/>
        <v>1190</v>
      </c>
      <c r="D311" s="220">
        <v>1195.0</v>
      </c>
      <c r="E311" s="220">
        <f t="shared" si="34"/>
        <v>5</v>
      </c>
      <c r="F311" s="220">
        <f t="shared" si="35"/>
        <v>-5</v>
      </c>
    </row>
    <row r="312" ht="14.25" customHeight="1">
      <c r="B312" s="229">
        <v>45034.0</v>
      </c>
      <c r="C312" s="220">
        <f t="shared" si="39"/>
        <v>1195</v>
      </c>
      <c r="D312" s="220">
        <v>1199.0</v>
      </c>
      <c r="E312" s="220">
        <f t="shared" si="34"/>
        <v>4</v>
      </c>
      <c r="F312" s="220">
        <f t="shared" si="35"/>
        <v>-6</v>
      </c>
    </row>
    <row r="313" ht="14.25" customHeight="1">
      <c r="B313" s="229">
        <v>45035.0</v>
      </c>
      <c r="C313" s="220"/>
      <c r="D313" s="220"/>
      <c r="E313" s="220">
        <f t="shared" si="34"/>
        <v>0</v>
      </c>
      <c r="F313" s="220">
        <f t="shared" si="35"/>
        <v>-10</v>
      </c>
    </row>
    <row r="314" ht="14.25" customHeight="1">
      <c r="B314" s="229">
        <v>45036.0</v>
      </c>
      <c r="C314" s="220">
        <v>1199.0</v>
      </c>
      <c r="D314" s="220">
        <v>1202.0</v>
      </c>
      <c r="E314" s="220">
        <f t="shared" si="34"/>
        <v>3</v>
      </c>
      <c r="F314" s="220">
        <f t="shared" si="35"/>
        <v>-7</v>
      </c>
    </row>
    <row r="315" ht="14.25" customHeight="1">
      <c r="B315" s="254">
        <v>45037.0</v>
      </c>
      <c r="C315" s="255">
        <f t="shared" ref="C315:C316" si="40">D314</f>
        <v>1202</v>
      </c>
      <c r="D315" s="255">
        <v>1212.0</v>
      </c>
      <c r="E315" s="255">
        <f t="shared" si="34"/>
        <v>10</v>
      </c>
      <c r="F315" s="255">
        <f t="shared" si="35"/>
        <v>0</v>
      </c>
    </row>
    <row r="316" ht="14.25" customHeight="1">
      <c r="B316" s="254">
        <v>45038.0</v>
      </c>
      <c r="C316" s="255">
        <f t="shared" si="40"/>
        <v>1212</v>
      </c>
      <c r="D316" s="255">
        <v>1217.0</v>
      </c>
      <c r="E316" s="255">
        <f t="shared" si="34"/>
        <v>5</v>
      </c>
      <c r="F316" s="255">
        <f t="shared" si="35"/>
        <v>-5</v>
      </c>
    </row>
    <row r="317" ht="14.25" customHeight="1">
      <c r="B317" s="254">
        <v>45039.0</v>
      </c>
      <c r="C317" s="255"/>
      <c r="D317" s="255"/>
      <c r="E317" s="255">
        <f t="shared" si="34"/>
        <v>0</v>
      </c>
      <c r="F317" s="255">
        <f t="shared" si="35"/>
        <v>-10</v>
      </c>
    </row>
    <row r="318" ht="14.25" customHeight="1">
      <c r="B318" s="229">
        <v>45040.0</v>
      </c>
      <c r="C318" s="220">
        <v>1217.0</v>
      </c>
      <c r="D318" s="220">
        <v>1223.0</v>
      </c>
      <c r="E318" s="216">
        <f t="shared" si="34"/>
        <v>6</v>
      </c>
      <c r="F318" s="216">
        <f t="shared" si="35"/>
        <v>-4</v>
      </c>
    </row>
    <row r="319" ht="14.25" customHeight="1">
      <c r="B319" s="229">
        <v>45041.0</v>
      </c>
      <c r="C319" s="220">
        <f t="shared" ref="C319:C323" si="41">D318</f>
        <v>1223</v>
      </c>
      <c r="D319" s="220">
        <v>1227.0</v>
      </c>
      <c r="E319" s="216">
        <f t="shared" si="34"/>
        <v>4</v>
      </c>
      <c r="F319" s="216">
        <f t="shared" si="35"/>
        <v>-6</v>
      </c>
    </row>
    <row r="320" ht="15.0" customHeight="1">
      <c r="B320" s="229">
        <v>45042.0</v>
      </c>
      <c r="C320" s="220">
        <f t="shared" si="41"/>
        <v>1227</v>
      </c>
      <c r="D320" s="220">
        <v>1235.8</v>
      </c>
      <c r="E320" s="216">
        <f t="shared" si="34"/>
        <v>8.8</v>
      </c>
      <c r="F320" s="216">
        <f t="shared" si="35"/>
        <v>-1.2</v>
      </c>
    </row>
    <row r="321" ht="15.0" customHeight="1">
      <c r="B321" s="229">
        <v>45043.0</v>
      </c>
      <c r="C321" s="220">
        <f t="shared" si="41"/>
        <v>1235.8</v>
      </c>
      <c r="D321" s="220">
        <v>1242.0</v>
      </c>
      <c r="E321" s="216">
        <f t="shared" si="34"/>
        <v>6.2</v>
      </c>
      <c r="F321" s="216">
        <f t="shared" si="35"/>
        <v>-3.8</v>
      </c>
    </row>
    <row r="322" ht="15.0" customHeight="1">
      <c r="B322" s="229">
        <v>45044.0</v>
      </c>
      <c r="C322" s="220">
        <f t="shared" si="41"/>
        <v>1242</v>
      </c>
      <c r="D322" s="220">
        <v>1251.0</v>
      </c>
      <c r="E322" s="216">
        <f t="shared" si="34"/>
        <v>9</v>
      </c>
      <c r="F322" s="216">
        <f t="shared" si="35"/>
        <v>-1</v>
      </c>
    </row>
    <row r="323" ht="15.0" customHeight="1">
      <c r="B323" s="254">
        <v>45045.0</v>
      </c>
      <c r="C323" s="255">
        <f t="shared" si="41"/>
        <v>1251</v>
      </c>
      <c r="D323" s="255">
        <v>1262.0</v>
      </c>
      <c r="E323" s="255">
        <f t="shared" si="34"/>
        <v>11</v>
      </c>
      <c r="F323" s="255">
        <f t="shared" si="35"/>
        <v>1</v>
      </c>
    </row>
    <row r="324" ht="15.0" customHeight="1">
      <c r="B324" s="254">
        <v>45046.0</v>
      </c>
      <c r="C324" s="255"/>
      <c r="D324" s="255"/>
      <c r="E324" s="255">
        <f t="shared" si="34"/>
        <v>0</v>
      </c>
      <c r="F324" s="255">
        <f t="shared" si="35"/>
        <v>-10</v>
      </c>
    </row>
    <row r="325" ht="15.0" customHeight="1">
      <c r="B325" s="229"/>
      <c r="C325" s="220" t="str">
        <f>D324</f>
        <v/>
      </c>
      <c r="D325" s="220"/>
      <c r="E325" s="216">
        <f t="shared" si="34"/>
        <v>0</v>
      </c>
      <c r="F325" s="216">
        <f t="shared" si="35"/>
        <v>-10</v>
      </c>
    </row>
    <row r="326" ht="14.25" customHeight="1">
      <c r="B326" s="216"/>
      <c r="C326" s="223" t="s">
        <v>221</v>
      </c>
      <c r="D326" s="223"/>
      <c r="E326" s="216">
        <f>SUM(E295:E325)</f>
        <v>142</v>
      </c>
      <c r="F326" s="216">
        <f t="shared" si="35"/>
        <v>132</v>
      </c>
    </row>
    <row r="327" ht="14.25" customHeight="1">
      <c r="E327" s="256"/>
    </row>
    <row r="328" ht="14.25" customHeight="1">
      <c r="A328" s="249" t="s">
        <v>231</v>
      </c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1"/>
      <c r="S328" s="252"/>
      <c r="T328" s="252"/>
      <c r="U328" s="252"/>
      <c r="V328" s="252"/>
      <c r="W328" s="252"/>
      <c r="X328" s="252"/>
      <c r="Y328" s="252"/>
      <c r="Z328" s="252"/>
    </row>
    <row r="329" ht="14.25" customHeight="1"/>
    <row r="330" ht="14.25" customHeight="1">
      <c r="B330" s="216" t="s">
        <v>214</v>
      </c>
      <c r="C330" s="216" t="s">
        <v>215</v>
      </c>
      <c r="D330" s="216" t="s">
        <v>216</v>
      </c>
      <c r="E330" s="216" t="s">
        <v>217</v>
      </c>
      <c r="F330" s="216" t="s">
        <v>218</v>
      </c>
      <c r="H330" s="216" t="s">
        <v>238</v>
      </c>
      <c r="I330" s="216">
        <v>1262.0</v>
      </c>
      <c r="K330" s="253" t="s">
        <v>270</v>
      </c>
      <c r="L330" s="231"/>
    </row>
    <row r="331" ht="14.25" customHeight="1">
      <c r="B331" s="219">
        <v>45047.0</v>
      </c>
      <c r="C331" s="220">
        <v>1262.0</v>
      </c>
      <c r="D331" s="220">
        <v>1266.0</v>
      </c>
      <c r="E331" s="220">
        <f t="shared" ref="E331:E361" si="42">D331-C331</f>
        <v>4</v>
      </c>
      <c r="F331" s="220">
        <f t="shared" ref="F331:F362" si="43">E331-10</f>
        <v>-6</v>
      </c>
      <c r="H331" s="216" t="s">
        <v>245</v>
      </c>
      <c r="I331" s="216"/>
      <c r="K331" s="216" t="s">
        <v>244</v>
      </c>
      <c r="L331" s="232">
        <v>2000.0</v>
      </c>
    </row>
    <row r="332" ht="14.25" customHeight="1">
      <c r="B332" s="219">
        <v>45048.0</v>
      </c>
      <c r="C332" s="220">
        <f t="shared" ref="C332:C335" si="44">D331</f>
        <v>1266</v>
      </c>
      <c r="D332" s="220">
        <v>1272.0</v>
      </c>
      <c r="E332" s="220">
        <f t="shared" si="42"/>
        <v>6</v>
      </c>
      <c r="F332" s="220">
        <f t="shared" si="43"/>
        <v>-4</v>
      </c>
      <c r="H332" s="216" t="s">
        <v>247</v>
      </c>
      <c r="I332" s="216">
        <v>210.0</v>
      </c>
      <c r="K332" s="216" t="s">
        <v>266</v>
      </c>
      <c r="L332" s="232">
        <v>1300.0</v>
      </c>
    </row>
    <row r="333" ht="14.25" customHeight="1">
      <c r="B333" s="219">
        <v>45049.0</v>
      </c>
      <c r="C333" s="220">
        <f t="shared" si="44"/>
        <v>1272</v>
      </c>
      <c r="D333" s="220">
        <v>1280.0</v>
      </c>
      <c r="E333" s="220">
        <f t="shared" si="42"/>
        <v>8</v>
      </c>
      <c r="F333" s="220">
        <f t="shared" si="43"/>
        <v>-2</v>
      </c>
      <c r="H333" s="216" t="s">
        <v>249</v>
      </c>
      <c r="I333" s="232">
        <v>18.0</v>
      </c>
      <c r="K333" s="216" t="s">
        <v>246</v>
      </c>
      <c r="L333" s="232">
        <f>I332*I333</f>
        <v>3780</v>
      </c>
    </row>
    <row r="334" ht="14.25" customHeight="1">
      <c r="B334" s="219">
        <v>45050.0</v>
      </c>
      <c r="C334" s="220">
        <f t="shared" si="44"/>
        <v>1280</v>
      </c>
      <c r="D334" s="220">
        <v>1283.0</v>
      </c>
      <c r="E334" s="220">
        <f t="shared" si="42"/>
        <v>3</v>
      </c>
      <c r="F334" s="220">
        <f t="shared" si="43"/>
        <v>-7</v>
      </c>
      <c r="H334" s="216" t="s">
        <v>251</v>
      </c>
      <c r="I334" s="216">
        <v>11.0</v>
      </c>
      <c r="K334" s="216" t="s">
        <v>248</v>
      </c>
      <c r="L334" s="232">
        <f>I334*I335</f>
        <v>110</v>
      </c>
    </row>
    <row r="335" ht="14.25" customHeight="1">
      <c r="B335" s="219">
        <v>45051.0</v>
      </c>
      <c r="C335" s="220">
        <f t="shared" si="44"/>
        <v>1283</v>
      </c>
      <c r="D335" s="220">
        <v>1288.0</v>
      </c>
      <c r="E335" s="220">
        <f t="shared" si="42"/>
        <v>5</v>
      </c>
      <c r="F335" s="220">
        <f t="shared" si="43"/>
        <v>-5</v>
      </c>
      <c r="H335" s="216" t="s">
        <v>249</v>
      </c>
      <c r="I335" s="232">
        <v>10.0</v>
      </c>
      <c r="K335" s="216" t="s">
        <v>250</v>
      </c>
      <c r="L335" s="232">
        <f>I336*100</f>
        <v>500</v>
      </c>
    </row>
    <row r="336" ht="14.25" customHeight="1">
      <c r="B336" s="254">
        <v>45052.0</v>
      </c>
      <c r="C336" s="255"/>
      <c r="D336" s="255"/>
      <c r="E336" s="255">
        <f t="shared" si="42"/>
        <v>0</v>
      </c>
      <c r="F336" s="255">
        <f t="shared" si="43"/>
        <v>-10</v>
      </c>
      <c r="H336" s="216" t="s">
        <v>267</v>
      </c>
      <c r="I336" s="216">
        <v>5.0</v>
      </c>
      <c r="K336" s="216" t="s">
        <v>252</v>
      </c>
      <c r="L336" s="232"/>
    </row>
    <row r="337" ht="14.25" customHeight="1">
      <c r="B337" s="254">
        <v>45053.0</v>
      </c>
      <c r="C337" s="255" t="str">
        <f>D336</f>
        <v/>
      </c>
      <c r="D337" s="255"/>
      <c r="E337" s="255">
        <f t="shared" si="42"/>
        <v>0</v>
      </c>
      <c r="F337" s="255">
        <f t="shared" si="43"/>
        <v>-10</v>
      </c>
      <c r="K337" s="216" t="s">
        <v>268</v>
      </c>
      <c r="L337" s="232">
        <f>L331+L333+L334+L335-L332-L336</f>
        <v>5090</v>
      </c>
    </row>
    <row r="338" ht="14.25" customHeight="1">
      <c r="B338" s="219">
        <v>45054.0</v>
      </c>
      <c r="C338" s="220">
        <v>1288.0</v>
      </c>
      <c r="D338" s="220">
        <v>1295.0</v>
      </c>
      <c r="E338" s="220">
        <f t="shared" si="42"/>
        <v>7</v>
      </c>
      <c r="F338" s="220">
        <f t="shared" si="43"/>
        <v>-3</v>
      </c>
      <c r="K338" s="216" t="s">
        <v>269</v>
      </c>
      <c r="L338" s="229">
        <v>45077.0</v>
      </c>
    </row>
    <row r="339" ht="14.25" customHeight="1">
      <c r="B339" s="219">
        <v>45055.0</v>
      </c>
      <c r="C339" s="220">
        <f t="shared" ref="C339:C343" si="45">D338</f>
        <v>1295</v>
      </c>
      <c r="D339" s="220">
        <v>1305.0</v>
      </c>
      <c r="E339" s="220">
        <f t="shared" si="42"/>
        <v>10</v>
      </c>
      <c r="F339" s="220">
        <f t="shared" si="43"/>
        <v>0</v>
      </c>
    </row>
    <row r="340" ht="14.25" customHeight="1">
      <c r="B340" s="219">
        <v>45056.0</v>
      </c>
      <c r="C340" s="220">
        <f t="shared" si="45"/>
        <v>1305</v>
      </c>
      <c r="D340" s="220">
        <v>1315.0</v>
      </c>
      <c r="E340" s="220">
        <f t="shared" si="42"/>
        <v>10</v>
      </c>
      <c r="F340" s="220">
        <f t="shared" si="43"/>
        <v>0</v>
      </c>
    </row>
    <row r="341" ht="14.25" customHeight="1">
      <c r="B341" s="219">
        <v>45057.0</v>
      </c>
      <c r="C341" s="220">
        <f t="shared" si="45"/>
        <v>1315</v>
      </c>
      <c r="D341" s="220">
        <v>1326.0</v>
      </c>
      <c r="E341" s="220">
        <f t="shared" si="42"/>
        <v>11</v>
      </c>
      <c r="F341" s="220">
        <f t="shared" si="43"/>
        <v>1</v>
      </c>
    </row>
    <row r="342" ht="14.25" customHeight="1">
      <c r="B342" s="219">
        <v>45058.0</v>
      </c>
      <c r="C342" s="220">
        <f t="shared" si="45"/>
        <v>1326</v>
      </c>
      <c r="D342" s="220">
        <v>1329.0</v>
      </c>
      <c r="E342" s="220">
        <f t="shared" si="42"/>
        <v>3</v>
      </c>
      <c r="F342" s="220">
        <f t="shared" si="43"/>
        <v>-7</v>
      </c>
    </row>
    <row r="343" ht="14.25" customHeight="1">
      <c r="B343" s="254">
        <v>45059.0</v>
      </c>
      <c r="C343" s="255">
        <f t="shared" si="45"/>
        <v>1329</v>
      </c>
      <c r="D343" s="255">
        <v>1338.0</v>
      </c>
      <c r="E343" s="255">
        <f t="shared" si="42"/>
        <v>9</v>
      </c>
      <c r="F343" s="255">
        <f t="shared" si="43"/>
        <v>-1</v>
      </c>
    </row>
    <row r="344" ht="14.25" customHeight="1">
      <c r="B344" s="254">
        <v>45060.0</v>
      </c>
      <c r="C344" s="255"/>
      <c r="D344" s="255"/>
      <c r="E344" s="255">
        <f t="shared" si="42"/>
        <v>0</v>
      </c>
      <c r="F344" s="255">
        <f t="shared" si="43"/>
        <v>-10</v>
      </c>
    </row>
    <row r="345" ht="14.25" customHeight="1">
      <c r="B345" s="219">
        <v>45061.0</v>
      </c>
      <c r="C345" s="220">
        <v>1338.0</v>
      </c>
      <c r="D345" s="220">
        <v>1343.5</v>
      </c>
      <c r="E345" s="220">
        <f t="shared" si="42"/>
        <v>5.5</v>
      </c>
      <c r="F345" s="220">
        <f t="shared" si="43"/>
        <v>-4.5</v>
      </c>
    </row>
    <row r="346" ht="14.25" customHeight="1">
      <c r="B346" s="219">
        <v>45062.0</v>
      </c>
      <c r="C346" s="220">
        <f t="shared" ref="C346:C350" si="46">D345</f>
        <v>1343.5</v>
      </c>
      <c r="D346" s="220">
        <v>1352.0</v>
      </c>
      <c r="E346" s="220">
        <f t="shared" si="42"/>
        <v>8.5</v>
      </c>
      <c r="F346" s="220">
        <f t="shared" si="43"/>
        <v>-1.5</v>
      </c>
    </row>
    <row r="347" ht="14.25" customHeight="1">
      <c r="B347" s="219">
        <v>45063.0</v>
      </c>
      <c r="C347" s="220">
        <f t="shared" si="46"/>
        <v>1352</v>
      </c>
      <c r="D347" s="220">
        <v>1360.0</v>
      </c>
      <c r="E347" s="220">
        <f t="shared" si="42"/>
        <v>8</v>
      </c>
      <c r="F347" s="220">
        <f t="shared" si="43"/>
        <v>-2</v>
      </c>
    </row>
    <row r="348" ht="14.25" customHeight="1">
      <c r="B348" s="219">
        <v>45064.0</v>
      </c>
      <c r="C348" s="220">
        <f t="shared" si="46"/>
        <v>1360</v>
      </c>
      <c r="D348" s="220">
        <v>1367.0</v>
      </c>
      <c r="E348" s="220">
        <f t="shared" si="42"/>
        <v>7</v>
      </c>
      <c r="F348" s="220">
        <f t="shared" si="43"/>
        <v>-3</v>
      </c>
    </row>
    <row r="349" ht="14.25" customHeight="1">
      <c r="B349" s="219">
        <v>45065.0</v>
      </c>
      <c r="C349" s="220">
        <f t="shared" si="46"/>
        <v>1367</v>
      </c>
      <c r="D349" s="220">
        <v>1375.0</v>
      </c>
      <c r="E349" s="220">
        <f t="shared" si="42"/>
        <v>8</v>
      </c>
      <c r="F349" s="220">
        <f t="shared" si="43"/>
        <v>-2</v>
      </c>
    </row>
    <row r="350" ht="14.25" customHeight="1">
      <c r="B350" s="254">
        <v>45066.0</v>
      </c>
      <c r="C350" s="255">
        <f t="shared" si="46"/>
        <v>1375</v>
      </c>
      <c r="D350" s="255">
        <v>1380.0</v>
      </c>
      <c r="E350" s="255">
        <f t="shared" si="42"/>
        <v>5</v>
      </c>
      <c r="F350" s="255">
        <f t="shared" si="43"/>
        <v>-5</v>
      </c>
    </row>
    <row r="351" ht="14.25" customHeight="1">
      <c r="B351" s="254">
        <v>45067.0</v>
      </c>
      <c r="C351" s="255"/>
      <c r="D351" s="255"/>
      <c r="E351" s="255">
        <f t="shared" si="42"/>
        <v>0</v>
      </c>
      <c r="F351" s="255">
        <f t="shared" si="43"/>
        <v>-10</v>
      </c>
    </row>
    <row r="352" ht="14.25" customHeight="1">
      <c r="B352" s="219">
        <v>45068.0</v>
      </c>
      <c r="C352" s="220">
        <v>1380.0</v>
      </c>
      <c r="D352" s="220">
        <v>1391.0</v>
      </c>
      <c r="E352" s="220">
        <f t="shared" si="42"/>
        <v>11</v>
      </c>
      <c r="F352" s="220">
        <f t="shared" si="43"/>
        <v>1</v>
      </c>
    </row>
    <row r="353" ht="14.25" customHeight="1">
      <c r="B353" s="219">
        <v>45069.0</v>
      </c>
      <c r="C353" s="220">
        <f t="shared" ref="C353:C357" si="47">D352</f>
        <v>1391</v>
      </c>
      <c r="D353" s="220">
        <v>1402.0</v>
      </c>
      <c r="E353" s="220">
        <f t="shared" si="42"/>
        <v>11</v>
      </c>
      <c r="F353" s="220">
        <f t="shared" si="43"/>
        <v>1</v>
      </c>
    </row>
    <row r="354" ht="14.25" customHeight="1">
      <c r="B354" s="219">
        <v>45070.0</v>
      </c>
      <c r="C354" s="220">
        <f t="shared" si="47"/>
        <v>1402</v>
      </c>
      <c r="D354" s="220">
        <v>1413.0</v>
      </c>
      <c r="E354" s="220">
        <f t="shared" si="42"/>
        <v>11</v>
      </c>
      <c r="F354" s="220">
        <f t="shared" si="43"/>
        <v>1</v>
      </c>
    </row>
    <row r="355" ht="14.25" customHeight="1">
      <c r="B355" s="219">
        <v>45071.0</v>
      </c>
      <c r="C355" s="220">
        <f t="shared" si="47"/>
        <v>1413</v>
      </c>
      <c r="D355" s="220">
        <v>1425.0</v>
      </c>
      <c r="E355" s="220">
        <f t="shared" si="42"/>
        <v>12</v>
      </c>
      <c r="F355" s="220">
        <f t="shared" si="43"/>
        <v>2</v>
      </c>
    </row>
    <row r="356" ht="14.25" customHeight="1">
      <c r="B356" s="219">
        <v>45072.0</v>
      </c>
      <c r="C356" s="220">
        <f t="shared" si="47"/>
        <v>1425</v>
      </c>
      <c r="D356" s="220">
        <v>1437.0</v>
      </c>
      <c r="E356" s="220">
        <f t="shared" si="42"/>
        <v>12</v>
      </c>
      <c r="F356" s="220">
        <f t="shared" si="43"/>
        <v>2</v>
      </c>
    </row>
    <row r="357" ht="14.25" customHeight="1">
      <c r="B357" s="254">
        <v>45073.0</v>
      </c>
      <c r="C357" s="255">
        <f t="shared" si="47"/>
        <v>1437</v>
      </c>
      <c r="D357" s="255">
        <v>1444.0</v>
      </c>
      <c r="E357" s="255">
        <f t="shared" si="42"/>
        <v>7</v>
      </c>
      <c r="F357" s="255">
        <f t="shared" si="43"/>
        <v>-3</v>
      </c>
    </row>
    <row r="358" ht="14.25" customHeight="1">
      <c r="B358" s="254">
        <v>45074.0</v>
      </c>
      <c r="C358" s="255"/>
      <c r="D358" s="255"/>
      <c r="E358" s="255">
        <f t="shared" si="42"/>
        <v>0</v>
      </c>
      <c r="F358" s="255">
        <f t="shared" si="43"/>
        <v>-10</v>
      </c>
    </row>
    <row r="359" ht="14.25" customHeight="1">
      <c r="B359" s="219">
        <v>45075.0</v>
      </c>
      <c r="C359" s="220">
        <v>1444.0</v>
      </c>
      <c r="D359" s="220">
        <v>1449.0</v>
      </c>
      <c r="E359" s="220">
        <f t="shared" si="42"/>
        <v>5</v>
      </c>
      <c r="F359" s="220">
        <f t="shared" si="43"/>
        <v>-5</v>
      </c>
    </row>
    <row r="360" ht="14.25" customHeight="1">
      <c r="B360" s="219">
        <v>45076.0</v>
      </c>
      <c r="C360" s="220">
        <f>D359</f>
        <v>1449</v>
      </c>
      <c r="D360" s="220">
        <v>1460.0</v>
      </c>
      <c r="E360" s="220">
        <f t="shared" si="42"/>
        <v>11</v>
      </c>
      <c r="F360" s="220">
        <f t="shared" si="43"/>
        <v>1</v>
      </c>
    </row>
    <row r="361" ht="14.25" customHeight="1">
      <c r="B361" s="219">
        <v>45077.0</v>
      </c>
      <c r="C361" s="220"/>
      <c r="D361" s="220"/>
      <c r="E361" s="220">
        <f t="shared" si="42"/>
        <v>0</v>
      </c>
      <c r="F361" s="220">
        <f t="shared" si="43"/>
        <v>-10</v>
      </c>
    </row>
    <row r="362" ht="14.25" customHeight="1">
      <c r="B362" s="216"/>
      <c r="C362" s="223" t="s">
        <v>221</v>
      </c>
      <c r="D362" s="223"/>
      <c r="E362" s="216">
        <f>SUM(E331:E361)</f>
        <v>198</v>
      </c>
      <c r="F362" s="216">
        <f t="shared" si="43"/>
        <v>188</v>
      </c>
    </row>
    <row r="363" ht="13.5" customHeight="1"/>
    <row r="364" ht="14.25" customHeight="1">
      <c r="A364" s="249" t="s">
        <v>271</v>
      </c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1"/>
      <c r="S364" s="252"/>
      <c r="T364" s="252"/>
      <c r="U364" s="252"/>
      <c r="V364" s="252"/>
      <c r="W364" s="252"/>
      <c r="X364" s="252"/>
      <c r="Y364" s="252"/>
      <c r="Z364" s="252"/>
    </row>
    <row r="365" ht="14.25" customHeight="1"/>
    <row r="366" ht="14.25" customHeight="1">
      <c r="B366" s="216" t="s">
        <v>214</v>
      </c>
      <c r="C366" s="216" t="s">
        <v>215</v>
      </c>
      <c r="D366" s="216" t="s">
        <v>216</v>
      </c>
      <c r="E366" s="216" t="s">
        <v>217</v>
      </c>
      <c r="F366" s="216" t="s">
        <v>218</v>
      </c>
      <c r="H366" s="216" t="s">
        <v>238</v>
      </c>
      <c r="I366" s="216">
        <v>1472.0</v>
      </c>
      <c r="K366" s="253" t="s">
        <v>272</v>
      </c>
      <c r="L366" s="231"/>
    </row>
    <row r="367" ht="14.25" customHeight="1">
      <c r="B367" s="219">
        <v>45078.0</v>
      </c>
      <c r="C367" s="220">
        <v>1472.0</v>
      </c>
      <c r="D367" s="220">
        <v>1482.0</v>
      </c>
      <c r="E367" s="220">
        <f t="shared" ref="E367:E397" si="48">D367-C367</f>
        <v>10</v>
      </c>
      <c r="F367" s="220">
        <f t="shared" ref="F367:F398" si="49">E367-10</f>
        <v>0</v>
      </c>
      <c r="H367" s="216" t="s">
        <v>245</v>
      </c>
      <c r="I367" s="216">
        <v>1672.0</v>
      </c>
      <c r="K367" s="216" t="s">
        <v>244</v>
      </c>
      <c r="L367" s="232">
        <v>2000.0</v>
      </c>
    </row>
    <row r="368" ht="14.25" customHeight="1">
      <c r="B368" s="219">
        <v>45079.0</v>
      </c>
      <c r="C368" s="220">
        <f>D367</f>
        <v>1482</v>
      </c>
      <c r="D368" s="220">
        <v>1490.0</v>
      </c>
      <c r="E368" s="220">
        <f t="shared" si="48"/>
        <v>8</v>
      </c>
      <c r="F368" s="220">
        <f t="shared" si="49"/>
        <v>-2</v>
      </c>
      <c r="H368" s="216" t="s">
        <v>247</v>
      </c>
      <c r="I368" s="216">
        <v>200.0</v>
      </c>
      <c r="K368" s="216" t="s">
        <v>266</v>
      </c>
      <c r="L368" s="232">
        <v>1000.0</v>
      </c>
    </row>
    <row r="369" ht="14.25" customHeight="1">
      <c r="B369" s="254">
        <v>45080.0</v>
      </c>
      <c r="C369" s="255"/>
      <c r="D369" s="255"/>
      <c r="E369" s="255">
        <f t="shared" si="48"/>
        <v>0</v>
      </c>
      <c r="F369" s="255">
        <f t="shared" si="49"/>
        <v>-10</v>
      </c>
      <c r="H369" s="216" t="s">
        <v>249</v>
      </c>
      <c r="I369" s="232">
        <v>18.0</v>
      </c>
      <c r="K369" s="216" t="s">
        <v>246</v>
      </c>
      <c r="L369" s="232">
        <f>I368*I369</f>
        <v>3600</v>
      </c>
    </row>
    <row r="370" ht="14.25" customHeight="1">
      <c r="B370" s="254">
        <v>45081.0</v>
      </c>
      <c r="C370" s="255" t="str">
        <f>D369</f>
        <v/>
      </c>
      <c r="D370" s="255"/>
      <c r="E370" s="255">
        <f t="shared" si="48"/>
        <v>0</v>
      </c>
      <c r="F370" s="255">
        <f t="shared" si="49"/>
        <v>-10</v>
      </c>
      <c r="H370" s="216" t="s">
        <v>251</v>
      </c>
      <c r="I370" s="216">
        <v>8.04</v>
      </c>
      <c r="K370" s="216" t="s">
        <v>248</v>
      </c>
      <c r="L370" s="232">
        <f>I370*I371</f>
        <v>80.4</v>
      </c>
    </row>
    <row r="371" ht="14.25" customHeight="1">
      <c r="B371" s="219">
        <v>45082.0</v>
      </c>
      <c r="C371" s="220">
        <v>1490.0</v>
      </c>
      <c r="D371" s="220">
        <v>1502.0</v>
      </c>
      <c r="E371" s="220">
        <f t="shared" si="48"/>
        <v>12</v>
      </c>
      <c r="F371" s="220">
        <f t="shared" si="49"/>
        <v>2</v>
      </c>
      <c r="H371" s="216" t="s">
        <v>249</v>
      </c>
      <c r="I371" s="232">
        <v>10.0</v>
      </c>
      <c r="K371" s="216" t="s">
        <v>250</v>
      </c>
      <c r="L371" s="232">
        <f>I372*100</f>
        <v>600</v>
      </c>
    </row>
    <row r="372" ht="14.25" customHeight="1">
      <c r="B372" s="219">
        <v>45083.0</v>
      </c>
      <c r="C372" s="220">
        <f t="shared" ref="C372:C375" si="50">D371</f>
        <v>1502</v>
      </c>
      <c r="D372" s="220">
        <v>1513.0</v>
      </c>
      <c r="E372" s="220">
        <f t="shared" si="48"/>
        <v>11</v>
      </c>
      <c r="F372" s="220">
        <f t="shared" si="49"/>
        <v>1</v>
      </c>
      <c r="H372" s="216" t="s">
        <v>267</v>
      </c>
      <c r="I372" s="216">
        <v>6.0</v>
      </c>
      <c r="K372" s="216" t="s">
        <v>252</v>
      </c>
      <c r="L372" s="232"/>
    </row>
    <row r="373" ht="14.25" customHeight="1">
      <c r="B373" s="219">
        <v>45084.0</v>
      </c>
      <c r="C373" s="220">
        <f t="shared" si="50"/>
        <v>1513</v>
      </c>
      <c r="D373" s="220">
        <v>1523.0</v>
      </c>
      <c r="E373" s="220">
        <f t="shared" si="48"/>
        <v>10</v>
      </c>
      <c r="F373" s="220">
        <f t="shared" si="49"/>
        <v>0</v>
      </c>
      <c r="K373" s="216" t="s">
        <v>268</v>
      </c>
      <c r="L373" s="232">
        <f>L367+L369+L370+L371-L368-L372</f>
        <v>5280.4</v>
      </c>
    </row>
    <row r="374" ht="14.25" customHeight="1">
      <c r="B374" s="254">
        <v>45085.0</v>
      </c>
      <c r="C374" s="255">
        <f t="shared" si="50"/>
        <v>1523</v>
      </c>
      <c r="D374" s="255">
        <v>1528.0</v>
      </c>
      <c r="E374" s="255">
        <f t="shared" si="48"/>
        <v>5</v>
      </c>
      <c r="F374" s="255">
        <f t="shared" si="49"/>
        <v>-5</v>
      </c>
      <c r="K374" s="216" t="s">
        <v>269</v>
      </c>
      <c r="L374" s="229">
        <v>45108.0</v>
      </c>
      <c r="M374" s="165" t="s">
        <v>33</v>
      </c>
    </row>
    <row r="375" ht="14.25" customHeight="1">
      <c r="B375" s="219">
        <v>45086.0</v>
      </c>
      <c r="C375" s="220">
        <f t="shared" si="50"/>
        <v>1528</v>
      </c>
      <c r="D375" s="220">
        <v>1532.0</v>
      </c>
      <c r="E375" s="220">
        <f t="shared" si="48"/>
        <v>4</v>
      </c>
      <c r="F375" s="220">
        <f t="shared" si="49"/>
        <v>-6</v>
      </c>
    </row>
    <row r="376" ht="14.25" customHeight="1">
      <c r="B376" s="254">
        <v>45087.0</v>
      </c>
      <c r="C376" s="255"/>
      <c r="D376" s="255"/>
      <c r="E376" s="255">
        <f t="shared" si="48"/>
        <v>0</v>
      </c>
      <c r="F376" s="255">
        <f t="shared" si="49"/>
        <v>-10</v>
      </c>
      <c r="K376" s="165" t="s">
        <v>273</v>
      </c>
    </row>
    <row r="377" ht="14.25" customHeight="1">
      <c r="B377" s="254">
        <v>45088.0</v>
      </c>
      <c r="C377" s="255" t="str">
        <f>D376</f>
        <v/>
      </c>
      <c r="D377" s="255"/>
      <c r="E377" s="255">
        <f t="shared" si="48"/>
        <v>0</v>
      </c>
      <c r="F377" s="255">
        <f t="shared" si="49"/>
        <v>-10</v>
      </c>
    </row>
    <row r="378" ht="14.25" customHeight="1">
      <c r="B378" s="219">
        <v>45089.0</v>
      </c>
      <c r="C378" s="220">
        <v>1532.0</v>
      </c>
      <c r="D378" s="220">
        <v>1543.0</v>
      </c>
      <c r="E378" s="220">
        <f t="shared" si="48"/>
        <v>11</v>
      </c>
      <c r="F378" s="220">
        <f t="shared" si="49"/>
        <v>1</v>
      </c>
    </row>
    <row r="379" ht="14.25" customHeight="1">
      <c r="B379" s="219">
        <v>45090.0</v>
      </c>
      <c r="C379" s="220">
        <f t="shared" ref="C379:C390" si="51">D378</f>
        <v>1543</v>
      </c>
      <c r="D379" s="220">
        <v>1547.0</v>
      </c>
      <c r="E379" s="220">
        <f t="shared" si="48"/>
        <v>4</v>
      </c>
      <c r="F379" s="220">
        <f t="shared" si="49"/>
        <v>-6</v>
      </c>
    </row>
    <row r="380" ht="14.25" customHeight="1">
      <c r="B380" s="219">
        <v>45091.0</v>
      </c>
      <c r="C380" s="220">
        <f t="shared" si="51"/>
        <v>1547</v>
      </c>
      <c r="D380" s="220">
        <v>1555.0</v>
      </c>
      <c r="E380" s="220">
        <f t="shared" si="48"/>
        <v>8</v>
      </c>
      <c r="F380" s="220">
        <f t="shared" si="49"/>
        <v>-2</v>
      </c>
    </row>
    <row r="381" ht="14.25" customHeight="1">
      <c r="B381" s="219">
        <v>45092.0</v>
      </c>
      <c r="C381" s="220">
        <f t="shared" si="51"/>
        <v>1555</v>
      </c>
      <c r="D381" s="220">
        <v>1560.0</v>
      </c>
      <c r="E381" s="220">
        <f t="shared" si="48"/>
        <v>5</v>
      </c>
      <c r="F381" s="220">
        <f t="shared" si="49"/>
        <v>-5</v>
      </c>
    </row>
    <row r="382" ht="14.25" customHeight="1">
      <c r="B382" s="219">
        <v>45093.0</v>
      </c>
      <c r="C382" s="220">
        <f t="shared" si="51"/>
        <v>1560</v>
      </c>
      <c r="D382" s="220">
        <v>1572.0</v>
      </c>
      <c r="E382" s="220">
        <f t="shared" si="48"/>
        <v>12</v>
      </c>
      <c r="F382" s="220">
        <f t="shared" si="49"/>
        <v>2</v>
      </c>
    </row>
    <row r="383" ht="14.25" customHeight="1">
      <c r="B383" s="254">
        <v>45094.0</v>
      </c>
      <c r="C383" s="255">
        <f t="shared" si="51"/>
        <v>1572</v>
      </c>
      <c r="D383" s="255">
        <v>1584.0</v>
      </c>
      <c r="E383" s="255">
        <f t="shared" si="48"/>
        <v>12</v>
      </c>
      <c r="F383" s="255">
        <f t="shared" si="49"/>
        <v>2</v>
      </c>
    </row>
    <row r="384" ht="14.25" customHeight="1">
      <c r="B384" s="254">
        <v>45095.0</v>
      </c>
      <c r="C384" s="255">
        <f t="shared" si="51"/>
        <v>1584</v>
      </c>
      <c r="D384" s="255">
        <v>1593.0</v>
      </c>
      <c r="E384" s="255">
        <f t="shared" si="48"/>
        <v>9</v>
      </c>
      <c r="F384" s="255">
        <f t="shared" si="49"/>
        <v>-1</v>
      </c>
    </row>
    <row r="385" ht="14.25" customHeight="1">
      <c r="B385" s="219">
        <v>45096.0</v>
      </c>
      <c r="C385" s="220">
        <f t="shared" si="51"/>
        <v>1593</v>
      </c>
      <c r="D385" s="220">
        <v>1603.0</v>
      </c>
      <c r="E385" s="220">
        <f t="shared" si="48"/>
        <v>10</v>
      </c>
      <c r="F385" s="220">
        <f t="shared" si="49"/>
        <v>0</v>
      </c>
    </row>
    <row r="386" ht="14.25" customHeight="1">
      <c r="B386" s="219">
        <v>45097.0</v>
      </c>
      <c r="C386" s="220">
        <f t="shared" si="51"/>
        <v>1603</v>
      </c>
      <c r="D386" s="220">
        <v>1610.0</v>
      </c>
      <c r="E386" s="220">
        <f t="shared" si="48"/>
        <v>7</v>
      </c>
      <c r="F386" s="220">
        <f t="shared" si="49"/>
        <v>-3</v>
      </c>
    </row>
    <row r="387" ht="14.25" customHeight="1">
      <c r="B387" s="219">
        <v>45098.0</v>
      </c>
      <c r="C387" s="220">
        <f t="shared" si="51"/>
        <v>1610</v>
      </c>
      <c r="D387" s="220">
        <v>1616.0</v>
      </c>
      <c r="E387" s="220">
        <f t="shared" si="48"/>
        <v>6</v>
      </c>
      <c r="F387" s="220">
        <f t="shared" si="49"/>
        <v>-4</v>
      </c>
    </row>
    <row r="388" ht="14.25" customHeight="1">
      <c r="B388" s="219">
        <v>45099.0</v>
      </c>
      <c r="C388" s="220">
        <f t="shared" si="51"/>
        <v>1616</v>
      </c>
      <c r="D388" s="220">
        <v>1621.0</v>
      </c>
      <c r="E388" s="220">
        <f t="shared" si="48"/>
        <v>5</v>
      </c>
      <c r="F388" s="220">
        <f t="shared" si="49"/>
        <v>-5</v>
      </c>
    </row>
    <row r="389" ht="14.25" customHeight="1">
      <c r="B389" s="219">
        <v>45100.0</v>
      </c>
      <c r="C389" s="220">
        <f t="shared" si="51"/>
        <v>1621</v>
      </c>
      <c r="D389" s="220">
        <v>1628.0</v>
      </c>
      <c r="E389" s="220">
        <f t="shared" si="48"/>
        <v>7</v>
      </c>
      <c r="F389" s="220">
        <f t="shared" si="49"/>
        <v>-3</v>
      </c>
    </row>
    <row r="390" ht="14.25" customHeight="1">
      <c r="B390" s="254">
        <v>45101.0</v>
      </c>
      <c r="C390" s="255">
        <f t="shared" si="51"/>
        <v>1628</v>
      </c>
      <c r="D390" s="255">
        <v>1632.0</v>
      </c>
      <c r="E390" s="255">
        <f t="shared" si="48"/>
        <v>4</v>
      </c>
      <c r="F390" s="255">
        <f t="shared" si="49"/>
        <v>-6</v>
      </c>
    </row>
    <row r="391" ht="14.25" customHeight="1">
      <c r="B391" s="254">
        <v>45102.0</v>
      </c>
      <c r="C391" s="255"/>
      <c r="D391" s="255"/>
      <c r="E391" s="255">
        <f t="shared" si="48"/>
        <v>0</v>
      </c>
      <c r="F391" s="255">
        <f t="shared" si="49"/>
        <v>-10</v>
      </c>
    </row>
    <row r="392" ht="14.25" customHeight="1">
      <c r="B392" s="219">
        <v>45103.0</v>
      </c>
      <c r="C392" s="220">
        <v>1632.0</v>
      </c>
      <c r="D392" s="220">
        <v>1638.0</v>
      </c>
      <c r="E392" s="220">
        <f t="shared" si="48"/>
        <v>6</v>
      </c>
      <c r="F392" s="220">
        <f t="shared" si="49"/>
        <v>-4</v>
      </c>
    </row>
    <row r="393" ht="14.25" customHeight="1">
      <c r="B393" s="219">
        <v>45104.0</v>
      </c>
      <c r="C393" s="220">
        <f t="shared" ref="C393:C396" si="52">D392</f>
        <v>1638</v>
      </c>
      <c r="D393" s="220">
        <v>1646.0</v>
      </c>
      <c r="E393" s="220">
        <f t="shared" si="48"/>
        <v>8</v>
      </c>
      <c r="F393" s="220">
        <f t="shared" si="49"/>
        <v>-2</v>
      </c>
    </row>
    <row r="394" ht="14.25" customHeight="1">
      <c r="B394" s="219">
        <v>45105.0</v>
      </c>
      <c r="C394" s="220">
        <f t="shared" si="52"/>
        <v>1646</v>
      </c>
      <c r="D394" s="220">
        <v>1653.0</v>
      </c>
      <c r="E394" s="220">
        <f t="shared" si="48"/>
        <v>7</v>
      </c>
      <c r="F394" s="220">
        <f t="shared" si="49"/>
        <v>-3</v>
      </c>
    </row>
    <row r="395" ht="14.25" customHeight="1">
      <c r="B395" s="219">
        <v>45106.0</v>
      </c>
      <c r="C395" s="220">
        <f t="shared" si="52"/>
        <v>1653</v>
      </c>
      <c r="D395" s="220">
        <v>1663.4</v>
      </c>
      <c r="E395" s="220">
        <f t="shared" si="48"/>
        <v>10.4</v>
      </c>
      <c r="F395" s="220">
        <f t="shared" si="49"/>
        <v>0.4</v>
      </c>
    </row>
    <row r="396" ht="14.25" customHeight="1">
      <c r="B396" s="219">
        <v>45107.0</v>
      </c>
      <c r="C396" s="220">
        <f t="shared" si="52"/>
        <v>1663.4</v>
      </c>
      <c r="D396" s="220">
        <v>1672.0</v>
      </c>
      <c r="E396" s="220">
        <f t="shared" si="48"/>
        <v>8.6</v>
      </c>
      <c r="F396" s="220">
        <f t="shared" si="49"/>
        <v>-1.4</v>
      </c>
    </row>
    <row r="397" ht="14.25" customHeight="1">
      <c r="B397" s="229"/>
      <c r="C397" s="220"/>
      <c r="D397" s="220"/>
      <c r="E397" s="220">
        <f t="shared" si="48"/>
        <v>0</v>
      </c>
      <c r="F397" s="220">
        <f t="shared" si="49"/>
        <v>-10</v>
      </c>
    </row>
    <row r="398" ht="14.25" customHeight="1">
      <c r="B398" s="216"/>
      <c r="C398" s="223"/>
      <c r="D398" s="223"/>
      <c r="E398" s="216">
        <f>SUM(E367:E397)</f>
        <v>200</v>
      </c>
      <c r="F398" s="216">
        <f t="shared" si="49"/>
        <v>190</v>
      </c>
    </row>
    <row r="399" ht="14.25" customHeight="1"/>
    <row r="400" ht="14.25" customHeight="1">
      <c r="A400" s="249" t="s">
        <v>274</v>
      </c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1"/>
      <c r="S400" s="252"/>
      <c r="T400" s="252"/>
      <c r="U400" s="252"/>
      <c r="V400" s="252"/>
      <c r="W400" s="252"/>
      <c r="X400" s="252"/>
      <c r="Y400" s="252"/>
      <c r="Z400" s="252"/>
    </row>
    <row r="401" ht="14.25" customHeight="1"/>
    <row r="402" ht="14.25" customHeight="1">
      <c r="B402" s="216" t="s">
        <v>214</v>
      </c>
      <c r="C402" s="216" t="s">
        <v>215</v>
      </c>
      <c r="D402" s="216" t="s">
        <v>216</v>
      </c>
      <c r="E402" s="216" t="s">
        <v>217</v>
      </c>
      <c r="F402" s="216" t="s">
        <v>218</v>
      </c>
      <c r="H402" s="216" t="s">
        <v>238</v>
      </c>
      <c r="I402" s="216">
        <v>1672.0</v>
      </c>
      <c r="K402" s="253" t="s">
        <v>274</v>
      </c>
      <c r="L402" s="231"/>
    </row>
    <row r="403" ht="14.25" customHeight="1">
      <c r="B403" s="257">
        <v>45108.0</v>
      </c>
      <c r="C403" s="258">
        <v>1672.0</v>
      </c>
      <c r="D403" s="258">
        <v>1676.0</v>
      </c>
      <c r="E403" s="258">
        <f t="shared" ref="E403:E433" si="53">D403-C403</f>
        <v>4</v>
      </c>
      <c r="F403" s="258">
        <f t="shared" ref="F403:F434" si="54">E403-10</f>
        <v>-6</v>
      </c>
      <c r="H403" s="216" t="s">
        <v>245</v>
      </c>
      <c r="I403" s="216">
        <v>1864.0</v>
      </c>
      <c r="K403" s="216" t="s">
        <v>244</v>
      </c>
      <c r="L403" s="232">
        <v>2000.0</v>
      </c>
    </row>
    <row r="404" ht="14.25" customHeight="1">
      <c r="B404" s="257">
        <v>45109.0</v>
      </c>
      <c r="C404" s="220"/>
      <c r="D404" s="220"/>
      <c r="E404" s="220">
        <f t="shared" si="53"/>
        <v>0</v>
      </c>
      <c r="F404" s="220">
        <f t="shared" si="54"/>
        <v>-10</v>
      </c>
      <c r="H404" s="216" t="s">
        <v>247</v>
      </c>
      <c r="I404" s="216">
        <v>192.0</v>
      </c>
      <c r="K404" s="216" t="s">
        <v>266</v>
      </c>
      <c r="L404" s="232">
        <v>1500.0</v>
      </c>
    </row>
    <row r="405" ht="14.25" customHeight="1">
      <c r="B405" s="257">
        <v>45110.0</v>
      </c>
      <c r="C405" s="220">
        <v>1676.0</v>
      </c>
      <c r="D405" s="220">
        <v>1685.0</v>
      </c>
      <c r="E405" s="220">
        <f t="shared" si="53"/>
        <v>9</v>
      </c>
      <c r="F405" s="220">
        <f t="shared" si="54"/>
        <v>-1</v>
      </c>
      <c r="H405" s="216" t="s">
        <v>249</v>
      </c>
      <c r="I405" s="232">
        <v>18.0</v>
      </c>
      <c r="K405" s="216" t="s">
        <v>246</v>
      </c>
      <c r="L405" s="232">
        <f>I404*I405</f>
        <v>3456</v>
      </c>
    </row>
    <row r="406" ht="14.25" customHeight="1">
      <c r="B406" s="257">
        <v>45111.0</v>
      </c>
      <c r="C406" s="220">
        <f t="shared" ref="C406:C410" si="55">D405</f>
        <v>1685</v>
      </c>
      <c r="D406" s="220">
        <v>1695.0</v>
      </c>
      <c r="E406" s="220">
        <f t="shared" si="53"/>
        <v>10</v>
      </c>
      <c r="F406" s="220">
        <f t="shared" si="54"/>
        <v>0</v>
      </c>
      <c r="H406" s="216" t="s">
        <v>251</v>
      </c>
      <c r="I406" s="216">
        <v>3.0</v>
      </c>
      <c r="K406" s="216" t="s">
        <v>248</v>
      </c>
      <c r="L406" s="232">
        <f>I406*I407</f>
        <v>30</v>
      </c>
    </row>
    <row r="407" ht="14.25" customHeight="1">
      <c r="B407" s="257">
        <v>45112.0</v>
      </c>
      <c r="C407" s="220">
        <f t="shared" si="55"/>
        <v>1695</v>
      </c>
      <c r="D407" s="220">
        <v>1705.0</v>
      </c>
      <c r="E407" s="220">
        <f t="shared" si="53"/>
        <v>10</v>
      </c>
      <c r="F407" s="220">
        <f t="shared" si="54"/>
        <v>0</v>
      </c>
      <c r="H407" s="216" t="s">
        <v>249</v>
      </c>
      <c r="I407" s="232">
        <v>10.0</v>
      </c>
      <c r="K407" s="216" t="s">
        <v>250</v>
      </c>
      <c r="L407" s="232">
        <f>I408*100</f>
        <v>500</v>
      </c>
    </row>
    <row r="408" ht="14.25" customHeight="1">
      <c r="B408" s="257">
        <v>45113.0</v>
      </c>
      <c r="C408" s="220">
        <f t="shared" si="55"/>
        <v>1705</v>
      </c>
      <c r="D408" s="220">
        <v>1714.0</v>
      </c>
      <c r="E408" s="220">
        <f t="shared" si="53"/>
        <v>9</v>
      </c>
      <c r="F408" s="220">
        <f t="shared" si="54"/>
        <v>-1</v>
      </c>
      <c r="H408" s="216" t="s">
        <v>267</v>
      </c>
      <c r="I408" s="216">
        <v>5.0</v>
      </c>
      <c r="K408" s="216" t="s">
        <v>252</v>
      </c>
      <c r="L408" s="232"/>
    </row>
    <row r="409" ht="14.25" customHeight="1">
      <c r="B409" s="257">
        <v>45114.0</v>
      </c>
      <c r="C409" s="220">
        <f t="shared" si="55"/>
        <v>1714</v>
      </c>
      <c r="D409" s="220">
        <v>1723.0</v>
      </c>
      <c r="E409" s="220">
        <f t="shared" si="53"/>
        <v>9</v>
      </c>
      <c r="F409" s="220">
        <f t="shared" si="54"/>
        <v>-1</v>
      </c>
      <c r="K409" s="216" t="s">
        <v>268</v>
      </c>
      <c r="L409" s="232">
        <f>L403+L405+L406+L407-L404-L408</f>
        <v>4486</v>
      </c>
    </row>
    <row r="410" ht="14.25" customHeight="1">
      <c r="B410" s="257">
        <v>45115.0</v>
      </c>
      <c r="C410" s="258">
        <f t="shared" si="55"/>
        <v>1723</v>
      </c>
      <c r="D410" s="258">
        <v>1729.0</v>
      </c>
      <c r="E410" s="258">
        <f t="shared" si="53"/>
        <v>6</v>
      </c>
      <c r="F410" s="258">
        <f t="shared" si="54"/>
        <v>-4</v>
      </c>
      <c r="K410" s="216" t="s">
        <v>269</v>
      </c>
      <c r="L410" s="229">
        <v>45140.0</v>
      </c>
    </row>
    <row r="411" ht="14.25" customHeight="1">
      <c r="B411" s="257">
        <v>45116.0</v>
      </c>
      <c r="C411" s="258"/>
      <c r="D411" s="258"/>
      <c r="E411" s="258">
        <f t="shared" si="53"/>
        <v>0</v>
      </c>
      <c r="F411" s="258">
        <f t="shared" si="54"/>
        <v>-10</v>
      </c>
    </row>
    <row r="412" ht="14.25" customHeight="1">
      <c r="B412" s="257">
        <v>45117.0</v>
      </c>
      <c r="C412" s="220">
        <v>1729.0</v>
      </c>
      <c r="D412" s="220">
        <v>1737.0</v>
      </c>
      <c r="E412" s="220">
        <f t="shared" si="53"/>
        <v>8</v>
      </c>
      <c r="F412" s="220">
        <f t="shared" si="54"/>
        <v>-2</v>
      </c>
    </row>
    <row r="413" ht="14.25" customHeight="1">
      <c r="B413" s="257">
        <v>45118.0</v>
      </c>
      <c r="C413" s="220"/>
      <c r="D413" s="220"/>
      <c r="E413" s="220">
        <f t="shared" si="53"/>
        <v>0</v>
      </c>
      <c r="F413" s="220">
        <f t="shared" si="54"/>
        <v>-10</v>
      </c>
    </row>
    <row r="414" ht="14.25" customHeight="1">
      <c r="B414" s="257">
        <v>45119.0</v>
      </c>
      <c r="C414" s="220">
        <v>1737.0</v>
      </c>
      <c r="D414" s="220">
        <v>1746.0</v>
      </c>
      <c r="E414" s="220">
        <f t="shared" si="53"/>
        <v>9</v>
      </c>
      <c r="F414" s="220">
        <f t="shared" si="54"/>
        <v>-1</v>
      </c>
    </row>
    <row r="415" ht="14.25" customHeight="1">
      <c r="B415" s="257">
        <v>45120.0</v>
      </c>
      <c r="C415" s="220">
        <f t="shared" ref="C415:C416" si="56">D414</f>
        <v>1746</v>
      </c>
      <c r="D415" s="220">
        <v>1752.0</v>
      </c>
      <c r="E415" s="220">
        <f t="shared" si="53"/>
        <v>6</v>
      </c>
      <c r="F415" s="220">
        <f t="shared" si="54"/>
        <v>-4</v>
      </c>
    </row>
    <row r="416" ht="14.25" customHeight="1">
      <c r="B416" s="257">
        <v>45121.0</v>
      </c>
      <c r="C416" s="220">
        <f t="shared" si="56"/>
        <v>1752</v>
      </c>
      <c r="D416" s="220">
        <v>1760.0</v>
      </c>
      <c r="E416" s="220">
        <f t="shared" si="53"/>
        <v>8</v>
      </c>
      <c r="F416" s="220">
        <f t="shared" si="54"/>
        <v>-2</v>
      </c>
    </row>
    <row r="417" ht="14.25" customHeight="1">
      <c r="B417" s="257">
        <v>45122.0</v>
      </c>
      <c r="C417" s="258"/>
      <c r="D417" s="258"/>
      <c r="E417" s="258">
        <f t="shared" si="53"/>
        <v>0</v>
      </c>
      <c r="F417" s="258">
        <f t="shared" si="54"/>
        <v>-10</v>
      </c>
    </row>
    <row r="418" ht="14.25" customHeight="1">
      <c r="B418" s="257">
        <v>45123.0</v>
      </c>
      <c r="C418" s="258" t="str">
        <f>D417</f>
        <v/>
      </c>
      <c r="D418" s="258"/>
      <c r="E418" s="258">
        <f t="shared" si="53"/>
        <v>0</v>
      </c>
      <c r="F418" s="258">
        <f t="shared" si="54"/>
        <v>-10</v>
      </c>
    </row>
    <row r="419" ht="14.25" customHeight="1">
      <c r="B419" s="257">
        <v>45124.0</v>
      </c>
      <c r="C419" s="220">
        <v>1760.0</v>
      </c>
      <c r="D419" s="220">
        <v>1771.0</v>
      </c>
      <c r="E419" s="220">
        <f t="shared" si="53"/>
        <v>11</v>
      </c>
      <c r="F419" s="220">
        <f t="shared" si="54"/>
        <v>1</v>
      </c>
    </row>
    <row r="420" ht="14.25" customHeight="1">
      <c r="B420" s="257">
        <v>45125.0</v>
      </c>
      <c r="C420" s="220">
        <f t="shared" ref="C420:C424" si="57">D419</f>
        <v>1771</v>
      </c>
      <c r="D420" s="220">
        <v>1778.0</v>
      </c>
      <c r="E420" s="220">
        <f t="shared" si="53"/>
        <v>7</v>
      </c>
      <c r="F420" s="220">
        <f t="shared" si="54"/>
        <v>-3</v>
      </c>
    </row>
    <row r="421" ht="14.25" customHeight="1">
      <c r="B421" s="257">
        <v>45126.0</v>
      </c>
      <c r="C421" s="220">
        <f t="shared" si="57"/>
        <v>1778</v>
      </c>
      <c r="D421" s="220">
        <v>1786.0</v>
      </c>
      <c r="E421" s="220">
        <f t="shared" si="53"/>
        <v>8</v>
      </c>
      <c r="F421" s="220">
        <f t="shared" si="54"/>
        <v>-2</v>
      </c>
    </row>
    <row r="422" ht="14.25" customHeight="1">
      <c r="B422" s="257">
        <v>45127.0</v>
      </c>
      <c r="C422" s="220">
        <f t="shared" si="57"/>
        <v>1786</v>
      </c>
      <c r="D422" s="220">
        <v>1795.0</v>
      </c>
      <c r="E422" s="220">
        <f t="shared" si="53"/>
        <v>9</v>
      </c>
      <c r="F422" s="220">
        <f t="shared" si="54"/>
        <v>-1</v>
      </c>
    </row>
    <row r="423" ht="14.25" customHeight="1">
      <c r="B423" s="257">
        <v>45128.0</v>
      </c>
      <c r="C423" s="220">
        <f t="shared" si="57"/>
        <v>1795</v>
      </c>
      <c r="D423" s="220">
        <v>1805.0</v>
      </c>
      <c r="E423" s="220">
        <f t="shared" si="53"/>
        <v>10</v>
      </c>
      <c r="F423" s="220">
        <f t="shared" si="54"/>
        <v>0</v>
      </c>
    </row>
    <row r="424" ht="14.25" customHeight="1">
      <c r="B424" s="257">
        <v>45129.0</v>
      </c>
      <c r="C424" s="258">
        <f t="shared" si="57"/>
        <v>1805</v>
      </c>
      <c r="D424" s="258">
        <v>1810.0</v>
      </c>
      <c r="E424" s="258">
        <f t="shared" si="53"/>
        <v>5</v>
      </c>
      <c r="F424" s="258">
        <f t="shared" si="54"/>
        <v>-5</v>
      </c>
    </row>
    <row r="425" ht="14.25" customHeight="1">
      <c r="B425" s="257">
        <v>45130.0</v>
      </c>
      <c r="C425" s="258"/>
      <c r="D425" s="258"/>
      <c r="E425" s="258">
        <f t="shared" si="53"/>
        <v>0</v>
      </c>
      <c r="F425" s="258">
        <f t="shared" si="54"/>
        <v>-10</v>
      </c>
    </row>
    <row r="426" ht="14.25" customHeight="1">
      <c r="B426" s="257">
        <v>45131.0</v>
      </c>
      <c r="C426" s="220">
        <v>1810.0</v>
      </c>
      <c r="D426" s="220">
        <v>1817.0</v>
      </c>
      <c r="E426" s="220">
        <f t="shared" si="53"/>
        <v>7</v>
      </c>
      <c r="F426" s="220">
        <f t="shared" si="54"/>
        <v>-3</v>
      </c>
    </row>
    <row r="427" ht="14.25" customHeight="1">
      <c r="B427" s="257">
        <v>45132.0</v>
      </c>
      <c r="C427" s="220">
        <f t="shared" ref="C427:C431" si="58">D426</f>
        <v>1817</v>
      </c>
      <c r="D427" s="220">
        <v>1828.0</v>
      </c>
      <c r="E427" s="220">
        <f t="shared" si="53"/>
        <v>11</v>
      </c>
      <c r="F427" s="220">
        <f t="shared" si="54"/>
        <v>1</v>
      </c>
    </row>
    <row r="428" ht="14.25" customHeight="1">
      <c r="B428" s="257">
        <v>45133.0</v>
      </c>
      <c r="C428" s="220">
        <f t="shared" si="58"/>
        <v>1828</v>
      </c>
      <c r="D428" s="220">
        <v>1838.0</v>
      </c>
      <c r="E428" s="220">
        <f t="shared" si="53"/>
        <v>10</v>
      </c>
      <c r="F428" s="220">
        <f t="shared" si="54"/>
        <v>0</v>
      </c>
    </row>
    <row r="429" ht="14.25" customHeight="1">
      <c r="B429" s="257">
        <v>45134.0</v>
      </c>
      <c r="C429" s="220">
        <f t="shared" si="58"/>
        <v>1838</v>
      </c>
      <c r="D429" s="220">
        <v>1849.0</v>
      </c>
      <c r="E429" s="220">
        <f t="shared" si="53"/>
        <v>11</v>
      </c>
      <c r="F429" s="220">
        <f t="shared" si="54"/>
        <v>1</v>
      </c>
    </row>
    <row r="430" ht="14.25" customHeight="1">
      <c r="B430" s="257">
        <v>45135.0</v>
      </c>
      <c r="C430" s="220">
        <f t="shared" si="58"/>
        <v>1849</v>
      </c>
      <c r="D430" s="220">
        <v>1859.0</v>
      </c>
      <c r="E430" s="220">
        <f t="shared" si="53"/>
        <v>10</v>
      </c>
      <c r="F430" s="220">
        <f t="shared" si="54"/>
        <v>0</v>
      </c>
    </row>
    <row r="431" ht="14.25" customHeight="1">
      <c r="B431" s="257">
        <v>45136.0</v>
      </c>
      <c r="C431" s="258">
        <f t="shared" si="58"/>
        <v>1859</v>
      </c>
      <c r="D431" s="258">
        <v>1862.0</v>
      </c>
      <c r="E431" s="258">
        <f t="shared" si="53"/>
        <v>3</v>
      </c>
      <c r="F431" s="258">
        <f t="shared" si="54"/>
        <v>-7</v>
      </c>
    </row>
    <row r="432" ht="14.25" customHeight="1">
      <c r="B432" s="257">
        <v>45137.0</v>
      </c>
      <c r="C432" s="258"/>
      <c r="D432" s="258"/>
      <c r="E432" s="258">
        <f t="shared" si="53"/>
        <v>0</v>
      </c>
      <c r="F432" s="258">
        <f t="shared" si="54"/>
        <v>-10</v>
      </c>
    </row>
    <row r="433" ht="14.25" customHeight="1">
      <c r="B433" s="219">
        <v>45138.0</v>
      </c>
      <c r="C433" s="220">
        <v>1862.0</v>
      </c>
      <c r="D433" s="220">
        <v>1864.0</v>
      </c>
      <c r="E433" s="220">
        <f t="shared" si="53"/>
        <v>2</v>
      </c>
      <c r="F433" s="220">
        <f t="shared" si="54"/>
        <v>-8</v>
      </c>
    </row>
    <row r="434" ht="14.25" customHeight="1">
      <c r="B434" s="216"/>
      <c r="C434" s="223" t="s">
        <v>221</v>
      </c>
      <c r="D434" s="223"/>
      <c r="E434" s="216">
        <f>SUM(E403:E433)</f>
        <v>192</v>
      </c>
      <c r="F434" s="216">
        <f t="shared" si="54"/>
        <v>182</v>
      </c>
    </row>
    <row r="435" ht="14.25" customHeight="1"/>
    <row r="436" ht="14.25" customHeight="1">
      <c r="A436" s="249" t="s">
        <v>234</v>
      </c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1"/>
      <c r="S436" s="252"/>
      <c r="T436" s="252"/>
      <c r="U436" s="252"/>
      <c r="V436" s="252"/>
      <c r="W436" s="252"/>
      <c r="X436" s="252"/>
      <c r="Y436" s="252"/>
      <c r="Z436" s="252"/>
    </row>
    <row r="437" ht="14.25" customHeight="1"/>
    <row r="438" ht="14.25" customHeight="1">
      <c r="B438" s="216" t="s">
        <v>214</v>
      </c>
      <c r="C438" s="216" t="s">
        <v>215</v>
      </c>
      <c r="D438" s="216" t="s">
        <v>216</v>
      </c>
      <c r="E438" s="216" t="s">
        <v>217</v>
      </c>
      <c r="F438" s="216" t="s">
        <v>218</v>
      </c>
      <c r="H438" s="216" t="s">
        <v>238</v>
      </c>
      <c r="I438" s="216">
        <v>1864.0</v>
      </c>
      <c r="K438" s="253" t="s">
        <v>234</v>
      </c>
      <c r="L438" s="231"/>
    </row>
    <row r="439" ht="14.25" customHeight="1">
      <c r="B439" s="219">
        <v>45139.0</v>
      </c>
      <c r="C439" s="220">
        <v>1864.0</v>
      </c>
      <c r="D439" s="220">
        <v>1869.0</v>
      </c>
      <c r="E439" s="220">
        <f t="shared" ref="E439:E469" si="59">D439-C439</f>
        <v>5</v>
      </c>
      <c r="F439" s="220">
        <f t="shared" ref="F439:F470" si="60">E439-10</f>
        <v>-5</v>
      </c>
      <c r="H439" s="216" t="s">
        <v>245</v>
      </c>
      <c r="I439" s="216">
        <v>2114.0</v>
      </c>
      <c r="K439" s="216" t="s">
        <v>244</v>
      </c>
      <c r="L439" s="232">
        <v>2000.0</v>
      </c>
    </row>
    <row r="440" ht="14.25" customHeight="1">
      <c r="B440" s="219">
        <v>45140.0</v>
      </c>
      <c r="C440" s="220">
        <f t="shared" ref="C440:C443" si="61">D439</f>
        <v>1869</v>
      </c>
      <c r="D440" s="220">
        <v>1880.0</v>
      </c>
      <c r="E440" s="220">
        <f t="shared" si="59"/>
        <v>11</v>
      </c>
      <c r="F440" s="220">
        <f t="shared" si="60"/>
        <v>1</v>
      </c>
      <c r="H440" s="216" t="s">
        <v>247</v>
      </c>
      <c r="I440" s="216">
        <v>250.0</v>
      </c>
      <c r="K440" s="216" t="s">
        <v>266</v>
      </c>
      <c r="L440" s="232">
        <v>1300.0</v>
      </c>
    </row>
    <row r="441" ht="14.25" customHeight="1">
      <c r="B441" s="219">
        <v>45141.0</v>
      </c>
      <c r="C441" s="220">
        <f t="shared" si="61"/>
        <v>1880</v>
      </c>
      <c r="D441" s="220">
        <v>1890.0</v>
      </c>
      <c r="E441" s="220">
        <f t="shared" si="59"/>
        <v>10</v>
      </c>
      <c r="F441" s="220">
        <f t="shared" si="60"/>
        <v>0</v>
      </c>
      <c r="H441" s="216" t="s">
        <v>249</v>
      </c>
      <c r="I441" s="232">
        <v>20.0</v>
      </c>
      <c r="K441" s="216" t="s">
        <v>246</v>
      </c>
      <c r="L441" s="232">
        <f>I440*I441</f>
        <v>5000</v>
      </c>
    </row>
    <row r="442" ht="14.25" customHeight="1">
      <c r="B442" s="219">
        <v>45142.0</v>
      </c>
      <c r="C442" s="220">
        <f t="shared" si="61"/>
        <v>1890</v>
      </c>
      <c r="D442" s="220">
        <v>1900.0</v>
      </c>
      <c r="E442" s="220">
        <f t="shared" si="59"/>
        <v>10</v>
      </c>
      <c r="F442" s="220">
        <f t="shared" si="60"/>
        <v>0</v>
      </c>
      <c r="H442" s="216" t="s">
        <v>251</v>
      </c>
      <c r="I442" s="216">
        <v>22.0</v>
      </c>
      <c r="K442" s="216" t="s">
        <v>248</v>
      </c>
      <c r="L442" s="232">
        <f>I442*I443</f>
        <v>440</v>
      </c>
    </row>
    <row r="443" ht="14.25" customHeight="1">
      <c r="B443" s="259">
        <v>45143.0</v>
      </c>
      <c r="C443" s="260">
        <f t="shared" si="61"/>
        <v>1900</v>
      </c>
      <c r="D443" s="260">
        <v>1905.0</v>
      </c>
      <c r="E443" s="260">
        <f t="shared" si="59"/>
        <v>5</v>
      </c>
      <c r="F443" s="260">
        <f t="shared" si="60"/>
        <v>-5</v>
      </c>
      <c r="H443" s="216" t="s">
        <v>249</v>
      </c>
      <c r="I443" s="232">
        <v>20.0</v>
      </c>
      <c r="K443" s="216" t="s">
        <v>250</v>
      </c>
      <c r="L443" s="232">
        <f>I444*100</f>
        <v>400</v>
      </c>
    </row>
    <row r="444" ht="14.25" customHeight="1">
      <c r="B444" s="259">
        <v>45144.0</v>
      </c>
      <c r="C444" s="260"/>
      <c r="D444" s="260"/>
      <c r="E444" s="260">
        <f t="shared" si="59"/>
        <v>0</v>
      </c>
      <c r="F444" s="260">
        <f t="shared" si="60"/>
        <v>-10</v>
      </c>
      <c r="H444" s="216" t="s">
        <v>267</v>
      </c>
      <c r="I444" s="216">
        <v>4.0</v>
      </c>
      <c r="K444" s="216" t="s">
        <v>252</v>
      </c>
      <c r="L444" s="232"/>
    </row>
    <row r="445" ht="14.25" customHeight="1">
      <c r="B445" s="219">
        <v>45145.0</v>
      </c>
      <c r="C445" s="220">
        <v>1905.0</v>
      </c>
      <c r="D445" s="220">
        <v>1916.0</v>
      </c>
      <c r="E445" s="220">
        <f t="shared" si="59"/>
        <v>11</v>
      </c>
      <c r="F445" s="220">
        <f t="shared" si="60"/>
        <v>1</v>
      </c>
      <c r="K445" s="216" t="s">
        <v>268</v>
      </c>
      <c r="L445" s="232">
        <f>L439+L441+L442+L443-L440-L444</f>
        <v>6540</v>
      </c>
    </row>
    <row r="446" ht="14.25" customHeight="1">
      <c r="B446" s="219">
        <v>45146.0</v>
      </c>
      <c r="C446" s="220">
        <f t="shared" ref="C446:C450" si="62">D445</f>
        <v>1916</v>
      </c>
      <c r="D446" s="220">
        <v>1923.0</v>
      </c>
      <c r="E446" s="220">
        <f t="shared" si="59"/>
        <v>7</v>
      </c>
      <c r="F446" s="220">
        <f t="shared" si="60"/>
        <v>-3</v>
      </c>
      <c r="K446" s="216" t="s">
        <v>269</v>
      </c>
      <c r="L446" s="229">
        <v>45171.0</v>
      </c>
    </row>
    <row r="447" ht="14.25" customHeight="1">
      <c r="B447" s="219">
        <v>45147.0</v>
      </c>
      <c r="C447" s="220">
        <f t="shared" si="62"/>
        <v>1923</v>
      </c>
      <c r="D447" s="220">
        <v>1933.0</v>
      </c>
      <c r="E447" s="220">
        <f t="shared" si="59"/>
        <v>10</v>
      </c>
      <c r="F447" s="220">
        <f t="shared" si="60"/>
        <v>0</v>
      </c>
      <c r="K447" s="246" t="s">
        <v>33</v>
      </c>
    </row>
    <row r="448" ht="14.25" customHeight="1">
      <c r="B448" s="219">
        <v>45148.0</v>
      </c>
      <c r="C448" s="220">
        <f t="shared" si="62"/>
        <v>1933</v>
      </c>
      <c r="D448" s="220">
        <v>1942.0</v>
      </c>
      <c r="E448" s="220">
        <f t="shared" si="59"/>
        <v>9</v>
      </c>
      <c r="F448" s="220">
        <f t="shared" si="60"/>
        <v>-1</v>
      </c>
    </row>
    <row r="449" ht="14.25" customHeight="1">
      <c r="B449" s="219">
        <v>45149.0</v>
      </c>
      <c r="C449" s="220">
        <f t="shared" si="62"/>
        <v>1942</v>
      </c>
      <c r="D449" s="220">
        <v>1947.0</v>
      </c>
      <c r="E449" s="220">
        <f t="shared" si="59"/>
        <v>5</v>
      </c>
      <c r="F449" s="220">
        <f t="shared" si="60"/>
        <v>-5</v>
      </c>
    </row>
    <row r="450" ht="14.25" customHeight="1">
      <c r="B450" s="259">
        <v>45150.0</v>
      </c>
      <c r="C450" s="260">
        <f t="shared" si="62"/>
        <v>1947</v>
      </c>
      <c r="D450" s="260">
        <v>1951.0</v>
      </c>
      <c r="E450" s="260">
        <f t="shared" si="59"/>
        <v>4</v>
      </c>
      <c r="F450" s="260">
        <f t="shared" si="60"/>
        <v>-6</v>
      </c>
    </row>
    <row r="451" ht="14.25" customHeight="1">
      <c r="B451" s="259">
        <v>45151.0</v>
      </c>
      <c r="C451" s="260"/>
      <c r="D451" s="260"/>
      <c r="E451" s="260">
        <f t="shared" si="59"/>
        <v>0</v>
      </c>
      <c r="F451" s="260">
        <f t="shared" si="60"/>
        <v>-10</v>
      </c>
    </row>
    <row r="452" ht="14.25" customHeight="1">
      <c r="B452" s="219">
        <v>45152.0</v>
      </c>
      <c r="C452" s="220">
        <v>1951.0</v>
      </c>
      <c r="D452" s="220">
        <v>1959.0</v>
      </c>
      <c r="E452" s="220">
        <f t="shared" si="59"/>
        <v>8</v>
      </c>
      <c r="F452" s="220">
        <f t="shared" si="60"/>
        <v>-2</v>
      </c>
    </row>
    <row r="453" ht="14.25" customHeight="1">
      <c r="B453" s="219">
        <v>45153.0</v>
      </c>
      <c r="C453" s="220">
        <f t="shared" ref="C453:C457" si="63">D452</f>
        <v>1959</v>
      </c>
      <c r="D453" s="220">
        <v>1970.0</v>
      </c>
      <c r="E453" s="220">
        <f t="shared" si="59"/>
        <v>11</v>
      </c>
      <c r="F453" s="220">
        <f t="shared" si="60"/>
        <v>1</v>
      </c>
    </row>
    <row r="454" ht="14.25" customHeight="1">
      <c r="B454" s="219">
        <v>45154.0</v>
      </c>
      <c r="C454" s="220">
        <f t="shared" si="63"/>
        <v>1970</v>
      </c>
      <c r="D454" s="220">
        <v>1981.0</v>
      </c>
      <c r="E454" s="220">
        <f t="shared" si="59"/>
        <v>11</v>
      </c>
      <c r="F454" s="220">
        <f t="shared" si="60"/>
        <v>1</v>
      </c>
    </row>
    <row r="455" ht="14.25" customHeight="1">
      <c r="B455" s="219">
        <v>45155.0</v>
      </c>
      <c r="C455" s="220">
        <f t="shared" si="63"/>
        <v>1981</v>
      </c>
      <c r="D455" s="220">
        <v>1993.0</v>
      </c>
      <c r="E455" s="220">
        <f t="shared" si="59"/>
        <v>12</v>
      </c>
      <c r="F455" s="220">
        <f t="shared" si="60"/>
        <v>2</v>
      </c>
    </row>
    <row r="456" ht="14.25" customHeight="1">
      <c r="B456" s="219">
        <v>45156.0</v>
      </c>
      <c r="C456" s="220">
        <f t="shared" si="63"/>
        <v>1993</v>
      </c>
      <c r="D456" s="220">
        <v>2002.0</v>
      </c>
      <c r="E456" s="220">
        <f t="shared" si="59"/>
        <v>9</v>
      </c>
      <c r="F456" s="220">
        <f t="shared" si="60"/>
        <v>-1</v>
      </c>
    </row>
    <row r="457" ht="14.25" customHeight="1">
      <c r="B457" s="259">
        <v>45157.0</v>
      </c>
      <c r="C457" s="260">
        <f t="shared" si="63"/>
        <v>2002</v>
      </c>
      <c r="D457" s="260">
        <v>2004.0</v>
      </c>
      <c r="E457" s="260">
        <f t="shared" si="59"/>
        <v>2</v>
      </c>
      <c r="F457" s="260">
        <f t="shared" si="60"/>
        <v>-8</v>
      </c>
    </row>
    <row r="458" ht="14.25" customHeight="1">
      <c r="B458" s="259">
        <v>45158.0</v>
      </c>
      <c r="C458" s="260"/>
      <c r="D458" s="260"/>
      <c r="E458" s="260">
        <f t="shared" si="59"/>
        <v>0</v>
      </c>
      <c r="F458" s="260">
        <f t="shared" si="60"/>
        <v>-10</v>
      </c>
    </row>
    <row r="459" ht="14.25" customHeight="1">
      <c r="B459" s="219">
        <v>45159.0</v>
      </c>
      <c r="C459" s="220">
        <v>2004.0</v>
      </c>
      <c r="D459" s="220">
        <v>2015.0</v>
      </c>
      <c r="E459" s="220">
        <f t="shared" si="59"/>
        <v>11</v>
      </c>
      <c r="F459" s="220">
        <f t="shared" si="60"/>
        <v>1</v>
      </c>
    </row>
    <row r="460" ht="14.25" customHeight="1">
      <c r="B460" s="219">
        <v>45160.0</v>
      </c>
      <c r="C460" s="220">
        <f t="shared" ref="C460:C464" si="64">D459</f>
        <v>2015</v>
      </c>
      <c r="D460" s="220">
        <v>2027.0</v>
      </c>
      <c r="E460" s="220">
        <f t="shared" si="59"/>
        <v>12</v>
      </c>
      <c r="F460" s="220">
        <f t="shared" si="60"/>
        <v>2</v>
      </c>
    </row>
    <row r="461" ht="14.25" customHeight="1">
      <c r="B461" s="219">
        <v>45161.0</v>
      </c>
      <c r="C461" s="220">
        <f t="shared" si="64"/>
        <v>2027</v>
      </c>
      <c r="D461" s="220">
        <v>2033.2</v>
      </c>
      <c r="E461" s="220">
        <f t="shared" si="59"/>
        <v>6.2</v>
      </c>
      <c r="F461" s="220">
        <f t="shared" si="60"/>
        <v>-3.8</v>
      </c>
    </row>
    <row r="462" ht="14.25" customHeight="1">
      <c r="B462" s="219">
        <v>45162.0</v>
      </c>
      <c r="C462" s="220">
        <f t="shared" si="64"/>
        <v>2033.2</v>
      </c>
      <c r="D462" s="220">
        <v>2046.2</v>
      </c>
      <c r="E462" s="220">
        <f t="shared" si="59"/>
        <v>13</v>
      </c>
      <c r="F462" s="220">
        <f t="shared" si="60"/>
        <v>3</v>
      </c>
    </row>
    <row r="463" ht="14.25" customHeight="1">
      <c r="B463" s="219">
        <v>45163.0</v>
      </c>
      <c r="C463" s="220">
        <f t="shared" si="64"/>
        <v>2046.2</v>
      </c>
      <c r="D463" s="220">
        <v>2058.2</v>
      </c>
      <c r="E463" s="220">
        <f t="shared" si="59"/>
        <v>12</v>
      </c>
      <c r="F463" s="220">
        <f t="shared" si="60"/>
        <v>2</v>
      </c>
    </row>
    <row r="464" ht="14.25" customHeight="1">
      <c r="B464" s="259">
        <v>45164.0</v>
      </c>
      <c r="C464" s="260">
        <f t="shared" si="64"/>
        <v>2058.2</v>
      </c>
      <c r="D464" s="260">
        <v>2066.0</v>
      </c>
      <c r="E464" s="260">
        <f t="shared" si="59"/>
        <v>7.8</v>
      </c>
      <c r="F464" s="260">
        <f t="shared" si="60"/>
        <v>-2.2</v>
      </c>
    </row>
    <row r="465" ht="14.25" customHeight="1">
      <c r="B465" s="259">
        <v>45165.0</v>
      </c>
      <c r="C465" s="260"/>
      <c r="D465" s="260"/>
      <c r="E465" s="260">
        <f t="shared" si="59"/>
        <v>0</v>
      </c>
      <c r="F465" s="260">
        <f t="shared" si="60"/>
        <v>-10</v>
      </c>
    </row>
    <row r="466" ht="14.25" customHeight="1">
      <c r="B466" s="219">
        <v>45166.0</v>
      </c>
      <c r="C466" s="220">
        <v>2066.0</v>
      </c>
      <c r="D466" s="220">
        <v>2077.0</v>
      </c>
      <c r="E466" s="220">
        <f t="shared" si="59"/>
        <v>11</v>
      </c>
      <c r="F466" s="220">
        <f t="shared" si="60"/>
        <v>1</v>
      </c>
    </row>
    <row r="467" ht="14.25" customHeight="1">
      <c r="B467" s="219">
        <v>45167.0</v>
      </c>
      <c r="C467" s="220">
        <f t="shared" ref="C467:C469" si="65">D466</f>
        <v>2077</v>
      </c>
      <c r="D467" s="220">
        <v>2090.0</v>
      </c>
      <c r="E467" s="220">
        <f t="shared" si="59"/>
        <v>13</v>
      </c>
      <c r="F467" s="220">
        <f t="shared" si="60"/>
        <v>3</v>
      </c>
    </row>
    <row r="468" ht="14.25" customHeight="1">
      <c r="B468" s="219">
        <v>45168.0</v>
      </c>
      <c r="C468" s="220">
        <f t="shared" si="65"/>
        <v>2090</v>
      </c>
      <c r="D468" s="220">
        <v>2102.0</v>
      </c>
      <c r="E468" s="220">
        <f t="shared" si="59"/>
        <v>12</v>
      </c>
      <c r="F468" s="220">
        <f t="shared" si="60"/>
        <v>2</v>
      </c>
    </row>
    <row r="469" ht="14.25" customHeight="1">
      <c r="B469" s="219">
        <v>45169.0</v>
      </c>
      <c r="C469" s="220">
        <f t="shared" si="65"/>
        <v>2102</v>
      </c>
      <c r="D469" s="220">
        <v>2114.0</v>
      </c>
      <c r="E469" s="220">
        <f t="shared" si="59"/>
        <v>12</v>
      </c>
      <c r="F469" s="220">
        <f t="shared" si="60"/>
        <v>2</v>
      </c>
    </row>
    <row r="470" ht="14.25" customHeight="1">
      <c r="B470" s="216"/>
      <c r="C470" s="223" t="s">
        <v>221</v>
      </c>
      <c r="D470" s="223"/>
      <c r="E470" s="216">
        <f>SUM(E439:E469)</f>
        <v>250</v>
      </c>
      <c r="F470" s="216">
        <f t="shared" si="60"/>
        <v>240</v>
      </c>
    </row>
    <row r="471" ht="14.25" customHeight="1"/>
    <row r="472" ht="14.25" customHeight="1">
      <c r="A472" s="249" t="s">
        <v>275</v>
      </c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1"/>
      <c r="S472" s="252"/>
      <c r="T472" s="252"/>
      <c r="U472" s="252"/>
      <c r="V472" s="252"/>
      <c r="W472" s="252"/>
      <c r="X472" s="252"/>
      <c r="Y472" s="252"/>
      <c r="Z472" s="252"/>
    </row>
    <row r="473" ht="14.25" customHeight="1"/>
    <row r="474" ht="14.25" customHeight="1">
      <c r="B474" s="216" t="s">
        <v>214</v>
      </c>
      <c r="C474" s="216" t="s">
        <v>215</v>
      </c>
      <c r="D474" s="216" t="s">
        <v>216</v>
      </c>
      <c r="E474" s="216" t="s">
        <v>217</v>
      </c>
      <c r="F474" s="216" t="s">
        <v>218</v>
      </c>
      <c r="H474" s="216" t="s">
        <v>238</v>
      </c>
      <c r="I474" s="216"/>
      <c r="K474" s="253" t="s">
        <v>275</v>
      </c>
      <c r="L474" s="231"/>
    </row>
    <row r="475" ht="14.25" customHeight="1">
      <c r="B475" s="219">
        <v>45078.0</v>
      </c>
      <c r="C475" s="220"/>
      <c r="D475" s="220"/>
      <c r="E475" s="220">
        <f t="shared" ref="E475:E505" si="66">D475-C475</f>
        <v>0</v>
      </c>
      <c r="F475" s="220">
        <f t="shared" ref="F475:F506" si="67">E475-10</f>
        <v>-10</v>
      </c>
      <c r="H475" s="216" t="s">
        <v>245</v>
      </c>
      <c r="I475" s="216"/>
      <c r="K475" s="216" t="s">
        <v>244</v>
      </c>
      <c r="L475" s="232">
        <v>2000.0</v>
      </c>
    </row>
    <row r="476" ht="14.25" customHeight="1">
      <c r="B476" s="219">
        <v>45079.0</v>
      </c>
      <c r="C476" s="220" t="str">
        <f t="shared" ref="C476:C505" si="68">D475</f>
        <v/>
      </c>
      <c r="D476" s="220"/>
      <c r="E476" s="220">
        <f t="shared" si="66"/>
        <v>0</v>
      </c>
      <c r="F476" s="220">
        <f t="shared" si="67"/>
        <v>-10</v>
      </c>
      <c r="H476" s="216" t="s">
        <v>247</v>
      </c>
      <c r="I476" s="216"/>
      <c r="K476" s="216" t="s">
        <v>266</v>
      </c>
      <c r="L476" s="232"/>
    </row>
    <row r="477" ht="14.25" customHeight="1">
      <c r="B477" s="254">
        <v>45080.0</v>
      </c>
      <c r="C477" s="255" t="str">
        <f t="shared" si="68"/>
        <v/>
      </c>
      <c r="D477" s="255"/>
      <c r="E477" s="255">
        <f t="shared" si="66"/>
        <v>0</v>
      </c>
      <c r="F477" s="255">
        <f t="shared" si="67"/>
        <v>-10</v>
      </c>
      <c r="H477" s="216" t="s">
        <v>249</v>
      </c>
      <c r="I477" s="232">
        <v>18.0</v>
      </c>
      <c r="K477" s="216" t="s">
        <v>246</v>
      </c>
      <c r="L477" s="232">
        <f>O477*O478</f>
        <v>0</v>
      </c>
    </row>
    <row r="478" ht="14.25" customHeight="1">
      <c r="B478" s="254">
        <v>45081.0</v>
      </c>
      <c r="C478" s="255" t="str">
        <f t="shared" si="68"/>
        <v/>
      </c>
      <c r="D478" s="255"/>
      <c r="E478" s="255">
        <f t="shared" si="66"/>
        <v>0</v>
      </c>
      <c r="F478" s="255">
        <f t="shared" si="67"/>
        <v>-10</v>
      </c>
      <c r="H478" s="216" t="s">
        <v>251</v>
      </c>
      <c r="I478" s="216"/>
      <c r="K478" s="216" t="s">
        <v>248</v>
      </c>
      <c r="L478" s="232">
        <f>O479*O480</f>
        <v>0</v>
      </c>
    </row>
    <row r="479" ht="14.25" customHeight="1">
      <c r="B479" s="219">
        <v>45082.0</v>
      </c>
      <c r="C479" s="220" t="str">
        <f t="shared" si="68"/>
        <v/>
      </c>
      <c r="D479" s="220"/>
      <c r="E479" s="220">
        <f t="shared" si="66"/>
        <v>0</v>
      </c>
      <c r="F479" s="220">
        <f t="shared" si="67"/>
        <v>-10</v>
      </c>
      <c r="H479" s="216" t="s">
        <v>249</v>
      </c>
      <c r="I479" s="232">
        <v>10.0</v>
      </c>
      <c r="K479" s="216" t="s">
        <v>250</v>
      </c>
      <c r="L479" s="232">
        <f>O481*100</f>
        <v>0</v>
      </c>
    </row>
    <row r="480" ht="14.25" customHeight="1">
      <c r="B480" s="219">
        <v>45083.0</v>
      </c>
      <c r="C480" s="220" t="str">
        <f t="shared" si="68"/>
        <v/>
      </c>
      <c r="D480" s="220"/>
      <c r="E480" s="220">
        <f t="shared" si="66"/>
        <v>0</v>
      </c>
      <c r="F480" s="220">
        <f t="shared" si="67"/>
        <v>-10</v>
      </c>
      <c r="H480" s="216" t="s">
        <v>267</v>
      </c>
      <c r="I480" s="216"/>
      <c r="K480" s="216" t="s">
        <v>252</v>
      </c>
      <c r="L480" s="232"/>
    </row>
    <row r="481" ht="14.25" customHeight="1">
      <c r="B481" s="219">
        <v>45084.0</v>
      </c>
      <c r="C481" s="220" t="str">
        <f t="shared" si="68"/>
        <v/>
      </c>
      <c r="D481" s="220"/>
      <c r="E481" s="220">
        <f t="shared" si="66"/>
        <v>0</v>
      </c>
      <c r="F481" s="220">
        <f t="shared" si="67"/>
        <v>-10</v>
      </c>
      <c r="K481" s="216" t="s">
        <v>268</v>
      </c>
      <c r="L481" s="232">
        <f>L475+L477+L478+L479-L476-L480</f>
        <v>2000</v>
      </c>
    </row>
    <row r="482" ht="14.25" customHeight="1">
      <c r="B482" s="219">
        <v>45085.0</v>
      </c>
      <c r="C482" s="220" t="str">
        <f t="shared" si="68"/>
        <v/>
      </c>
      <c r="D482" s="220"/>
      <c r="E482" s="220">
        <f t="shared" si="66"/>
        <v>0</v>
      </c>
      <c r="F482" s="220">
        <f t="shared" si="67"/>
        <v>-10</v>
      </c>
      <c r="K482" s="216" t="s">
        <v>269</v>
      </c>
      <c r="L482" s="229"/>
    </row>
    <row r="483" ht="14.25" customHeight="1">
      <c r="B483" s="219">
        <v>45086.0</v>
      </c>
      <c r="C483" s="220" t="str">
        <f t="shared" si="68"/>
        <v/>
      </c>
      <c r="D483" s="220"/>
      <c r="E483" s="220">
        <f t="shared" si="66"/>
        <v>0</v>
      </c>
      <c r="F483" s="220">
        <f t="shared" si="67"/>
        <v>-10</v>
      </c>
    </row>
    <row r="484" ht="14.25" customHeight="1">
      <c r="B484" s="254">
        <v>45087.0</v>
      </c>
      <c r="C484" s="255" t="str">
        <f t="shared" si="68"/>
        <v/>
      </c>
      <c r="D484" s="255"/>
      <c r="E484" s="255">
        <f t="shared" si="66"/>
        <v>0</v>
      </c>
      <c r="F484" s="255">
        <f t="shared" si="67"/>
        <v>-10</v>
      </c>
    </row>
    <row r="485" ht="14.25" customHeight="1">
      <c r="B485" s="254">
        <v>45088.0</v>
      </c>
      <c r="C485" s="255" t="str">
        <f t="shared" si="68"/>
        <v/>
      </c>
      <c r="D485" s="255"/>
      <c r="E485" s="255">
        <f t="shared" si="66"/>
        <v>0</v>
      </c>
      <c r="F485" s="255">
        <f t="shared" si="67"/>
        <v>-10</v>
      </c>
    </row>
    <row r="486" ht="14.25" customHeight="1">
      <c r="B486" s="219">
        <v>45089.0</v>
      </c>
      <c r="C486" s="220" t="str">
        <f t="shared" si="68"/>
        <v/>
      </c>
      <c r="D486" s="220"/>
      <c r="E486" s="220">
        <f t="shared" si="66"/>
        <v>0</v>
      </c>
      <c r="F486" s="220">
        <f t="shared" si="67"/>
        <v>-10</v>
      </c>
    </row>
    <row r="487" ht="14.25" customHeight="1">
      <c r="B487" s="219">
        <v>45090.0</v>
      </c>
      <c r="C487" s="220" t="str">
        <f t="shared" si="68"/>
        <v/>
      </c>
      <c r="D487" s="220"/>
      <c r="E487" s="220">
        <f t="shared" si="66"/>
        <v>0</v>
      </c>
      <c r="F487" s="220">
        <f t="shared" si="67"/>
        <v>-10</v>
      </c>
    </row>
    <row r="488" ht="14.25" customHeight="1">
      <c r="B488" s="219">
        <v>45091.0</v>
      </c>
      <c r="C488" s="220" t="str">
        <f t="shared" si="68"/>
        <v/>
      </c>
      <c r="D488" s="220"/>
      <c r="E488" s="220">
        <f t="shared" si="66"/>
        <v>0</v>
      </c>
      <c r="F488" s="220">
        <f t="shared" si="67"/>
        <v>-10</v>
      </c>
    </row>
    <row r="489" ht="14.25" customHeight="1">
      <c r="B489" s="219">
        <v>45092.0</v>
      </c>
      <c r="C489" s="220" t="str">
        <f t="shared" si="68"/>
        <v/>
      </c>
      <c r="D489" s="220"/>
      <c r="E489" s="220">
        <f t="shared" si="66"/>
        <v>0</v>
      </c>
      <c r="F489" s="220">
        <f t="shared" si="67"/>
        <v>-10</v>
      </c>
    </row>
    <row r="490" ht="14.25" customHeight="1">
      <c r="B490" s="219">
        <v>45093.0</v>
      </c>
      <c r="C490" s="220" t="str">
        <f t="shared" si="68"/>
        <v/>
      </c>
      <c r="D490" s="220"/>
      <c r="E490" s="220">
        <f t="shared" si="66"/>
        <v>0</v>
      </c>
      <c r="F490" s="220">
        <f t="shared" si="67"/>
        <v>-10</v>
      </c>
    </row>
    <row r="491" ht="14.25" customHeight="1">
      <c r="B491" s="254">
        <v>45094.0</v>
      </c>
      <c r="C491" s="255" t="str">
        <f t="shared" si="68"/>
        <v/>
      </c>
      <c r="D491" s="255"/>
      <c r="E491" s="255">
        <f t="shared" si="66"/>
        <v>0</v>
      </c>
      <c r="F491" s="255">
        <f t="shared" si="67"/>
        <v>-10</v>
      </c>
    </row>
    <row r="492" ht="14.25" customHeight="1">
      <c r="B492" s="254">
        <v>45095.0</v>
      </c>
      <c r="C492" s="255" t="str">
        <f t="shared" si="68"/>
        <v/>
      </c>
      <c r="D492" s="255"/>
      <c r="E492" s="255">
        <f t="shared" si="66"/>
        <v>0</v>
      </c>
      <c r="F492" s="255">
        <f t="shared" si="67"/>
        <v>-10</v>
      </c>
    </row>
    <row r="493" ht="14.25" customHeight="1">
      <c r="B493" s="219">
        <v>45096.0</v>
      </c>
      <c r="C493" s="220" t="str">
        <f t="shared" si="68"/>
        <v/>
      </c>
      <c r="D493" s="220"/>
      <c r="E493" s="220">
        <f t="shared" si="66"/>
        <v>0</v>
      </c>
      <c r="F493" s="220">
        <f t="shared" si="67"/>
        <v>-10</v>
      </c>
    </row>
    <row r="494" ht="14.25" customHeight="1">
      <c r="B494" s="219">
        <v>45097.0</v>
      </c>
      <c r="C494" s="220" t="str">
        <f t="shared" si="68"/>
        <v/>
      </c>
      <c r="D494" s="220"/>
      <c r="E494" s="220">
        <f t="shared" si="66"/>
        <v>0</v>
      </c>
      <c r="F494" s="220">
        <f t="shared" si="67"/>
        <v>-10</v>
      </c>
    </row>
    <row r="495" ht="14.25" customHeight="1">
      <c r="B495" s="219">
        <v>45098.0</v>
      </c>
      <c r="C495" s="220" t="str">
        <f t="shared" si="68"/>
        <v/>
      </c>
      <c r="D495" s="220"/>
      <c r="E495" s="220">
        <f t="shared" si="66"/>
        <v>0</v>
      </c>
      <c r="F495" s="220">
        <f t="shared" si="67"/>
        <v>-10</v>
      </c>
    </row>
    <row r="496" ht="14.25" customHeight="1">
      <c r="B496" s="219">
        <v>45099.0</v>
      </c>
      <c r="C496" s="220" t="str">
        <f t="shared" si="68"/>
        <v/>
      </c>
      <c r="D496" s="220"/>
      <c r="E496" s="220">
        <f t="shared" si="66"/>
        <v>0</v>
      </c>
      <c r="F496" s="220">
        <f t="shared" si="67"/>
        <v>-10</v>
      </c>
    </row>
    <row r="497" ht="14.25" customHeight="1">
      <c r="B497" s="219">
        <v>45100.0</v>
      </c>
      <c r="C497" s="220" t="str">
        <f t="shared" si="68"/>
        <v/>
      </c>
      <c r="D497" s="220"/>
      <c r="E497" s="220">
        <f t="shared" si="66"/>
        <v>0</v>
      </c>
      <c r="F497" s="220">
        <f t="shared" si="67"/>
        <v>-10</v>
      </c>
    </row>
    <row r="498" ht="14.25" customHeight="1">
      <c r="B498" s="254">
        <v>45101.0</v>
      </c>
      <c r="C498" s="255" t="str">
        <f t="shared" si="68"/>
        <v/>
      </c>
      <c r="D498" s="255"/>
      <c r="E498" s="255">
        <f t="shared" si="66"/>
        <v>0</v>
      </c>
      <c r="F498" s="255">
        <f t="shared" si="67"/>
        <v>-10</v>
      </c>
    </row>
    <row r="499" ht="14.25" customHeight="1">
      <c r="B499" s="254">
        <v>45102.0</v>
      </c>
      <c r="C499" s="255" t="str">
        <f t="shared" si="68"/>
        <v/>
      </c>
      <c r="D499" s="255"/>
      <c r="E499" s="255">
        <f t="shared" si="66"/>
        <v>0</v>
      </c>
      <c r="F499" s="255">
        <f t="shared" si="67"/>
        <v>-10</v>
      </c>
    </row>
    <row r="500" ht="14.25" customHeight="1">
      <c r="B500" s="219">
        <v>45103.0</v>
      </c>
      <c r="C500" s="220" t="str">
        <f t="shared" si="68"/>
        <v/>
      </c>
      <c r="D500" s="220"/>
      <c r="E500" s="220">
        <f t="shared" si="66"/>
        <v>0</v>
      </c>
      <c r="F500" s="220">
        <f t="shared" si="67"/>
        <v>-10</v>
      </c>
    </row>
    <row r="501" ht="14.25" customHeight="1">
      <c r="B501" s="219">
        <v>45104.0</v>
      </c>
      <c r="C501" s="220" t="str">
        <f t="shared" si="68"/>
        <v/>
      </c>
      <c r="D501" s="220"/>
      <c r="E501" s="220">
        <f t="shared" si="66"/>
        <v>0</v>
      </c>
      <c r="F501" s="220">
        <f t="shared" si="67"/>
        <v>-10</v>
      </c>
    </row>
    <row r="502" ht="14.25" customHeight="1">
      <c r="B502" s="219">
        <v>45105.0</v>
      </c>
      <c r="C502" s="220" t="str">
        <f t="shared" si="68"/>
        <v/>
      </c>
      <c r="D502" s="220"/>
      <c r="E502" s="220">
        <f t="shared" si="66"/>
        <v>0</v>
      </c>
      <c r="F502" s="220">
        <f t="shared" si="67"/>
        <v>-10</v>
      </c>
    </row>
    <row r="503" ht="14.25" customHeight="1">
      <c r="B503" s="219">
        <v>45106.0</v>
      </c>
      <c r="C503" s="220" t="str">
        <f t="shared" si="68"/>
        <v/>
      </c>
      <c r="D503" s="220"/>
      <c r="E503" s="220">
        <f t="shared" si="66"/>
        <v>0</v>
      </c>
      <c r="F503" s="220">
        <f t="shared" si="67"/>
        <v>-10</v>
      </c>
    </row>
    <row r="504" ht="14.25" customHeight="1">
      <c r="B504" s="219">
        <v>45107.0</v>
      </c>
      <c r="C504" s="220" t="str">
        <f t="shared" si="68"/>
        <v/>
      </c>
      <c r="D504" s="220"/>
      <c r="E504" s="220">
        <f t="shared" si="66"/>
        <v>0</v>
      </c>
      <c r="F504" s="220">
        <f t="shared" si="67"/>
        <v>-10</v>
      </c>
    </row>
    <row r="505" ht="14.25" customHeight="1">
      <c r="B505" s="229"/>
      <c r="C505" s="220" t="str">
        <f t="shared" si="68"/>
        <v/>
      </c>
      <c r="D505" s="220"/>
      <c r="E505" s="220">
        <f t="shared" si="66"/>
        <v>0</v>
      </c>
      <c r="F505" s="220">
        <f t="shared" si="67"/>
        <v>-10</v>
      </c>
    </row>
    <row r="506" ht="14.25" customHeight="1">
      <c r="B506" s="216"/>
      <c r="C506" s="223" t="s">
        <v>221</v>
      </c>
      <c r="D506" s="223"/>
      <c r="E506" s="216">
        <f>SUM(E475:E505)</f>
        <v>0</v>
      </c>
      <c r="F506" s="216">
        <f t="shared" si="67"/>
        <v>-10</v>
      </c>
    </row>
    <row r="507" ht="14.25" customHeight="1"/>
    <row r="508" ht="14.25" customHeight="1">
      <c r="A508" s="249" t="s">
        <v>235</v>
      </c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1"/>
      <c r="S508" s="252"/>
      <c r="T508" s="252"/>
      <c r="U508" s="252"/>
      <c r="V508" s="252"/>
      <c r="W508" s="252"/>
      <c r="X508" s="252"/>
      <c r="Y508" s="252"/>
      <c r="Z508" s="252"/>
    </row>
    <row r="509" ht="14.25" customHeight="1"/>
    <row r="510" ht="14.25" customHeight="1">
      <c r="B510" s="216" t="s">
        <v>214</v>
      </c>
      <c r="C510" s="216" t="s">
        <v>215</v>
      </c>
      <c r="D510" s="216" t="s">
        <v>216</v>
      </c>
      <c r="E510" s="216" t="s">
        <v>217</v>
      </c>
      <c r="F510" s="216" t="s">
        <v>218</v>
      </c>
      <c r="H510" s="216" t="s">
        <v>238</v>
      </c>
      <c r="I510" s="216"/>
      <c r="K510" s="253" t="s">
        <v>235</v>
      </c>
      <c r="L510" s="231"/>
    </row>
    <row r="511" ht="14.25" customHeight="1">
      <c r="B511" s="219">
        <v>45078.0</v>
      </c>
      <c r="C511" s="220"/>
      <c r="D511" s="220"/>
      <c r="E511" s="220">
        <f t="shared" ref="E511:E541" si="69">D511-C511</f>
        <v>0</v>
      </c>
      <c r="F511" s="220">
        <f t="shared" ref="F511:F542" si="70">E511-10</f>
        <v>-10</v>
      </c>
      <c r="H511" s="216" t="s">
        <v>245</v>
      </c>
      <c r="I511" s="216"/>
      <c r="K511" s="216" t="s">
        <v>244</v>
      </c>
      <c r="L511" s="232">
        <v>2000.0</v>
      </c>
    </row>
    <row r="512" ht="14.25" customHeight="1">
      <c r="B512" s="219">
        <v>45079.0</v>
      </c>
      <c r="C512" s="220" t="str">
        <f t="shared" ref="C512:C541" si="71">D511</f>
        <v/>
      </c>
      <c r="D512" s="220"/>
      <c r="E512" s="220">
        <f t="shared" si="69"/>
        <v>0</v>
      </c>
      <c r="F512" s="220">
        <f t="shared" si="70"/>
        <v>-10</v>
      </c>
      <c r="H512" s="216" t="s">
        <v>247</v>
      </c>
      <c r="I512" s="216"/>
      <c r="K512" s="216" t="s">
        <v>266</v>
      </c>
      <c r="L512" s="232"/>
    </row>
    <row r="513" ht="14.25" customHeight="1">
      <c r="B513" s="254">
        <v>45080.0</v>
      </c>
      <c r="C513" s="255" t="str">
        <f t="shared" si="71"/>
        <v/>
      </c>
      <c r="D513" s="255"/>
      <c r="E513" s="255">
        <f t="shared" si="69"/>
        <v>0</v>
      </c>
      <c r="F513" s="255">
        <f t="shared" si="70"/>
        <v>-10</v>
      </c>
      <c r="H513" s="216" t="s">
        <v>249</v>
      </c>
      <c r="I513" s="232">
        <v>18.0</v>
      </c>
      <c r="K513" s="216" t="s">
        <v>246</v>
      </c>
      <c r="L513" s="232">
        <f>O513*O514</f>
        <v>0</v>
      </c>
    </row>
    <row r="514" ht="14.25" customHeight="1">
      <c r="B514" s="254">
        <v>45081.0</v>
      </c>
      <c r="C514" s="255" t="str">
        <f t="shared" si="71"/>
        <v/>
      </c>
      <c r="D514" s="255"/>
      <c r="E514" s="255">
        <f t="shared" si="69"/>
        <v>0</v>
      </c>
      <c r="F514" s="255">
        <f t="shared" si="70"/>
        <v>-10</v>
      </c>
      <c r="H514" s="216" t="s">
        <v>251</v>
      </c>
      <c r="I514" s="216"/>
      <c r="K514" s="216" t="s">
        <v>248</v>
      </c>
      <c r="L514" s="232">
        <f>O515*O516</f>
        <v>0</v>
      </c>
    </row>
    <row r="515" ht="14.25" customHeight="1">
      <c r="B515" s="219">
        <v>45082.0</v>
      </c>
      <c r="C515" s="220" t="str">
        <f t="shared" si="71"/>
        <v/>
      </c>
      <c r="D515" s="220"/>
      <c r="E515" s="220">
        <f t="shared" si="69"/>
        <v>0</v>
      </c>
      <c r="F515" s="220">
        <f t="shared" si="70"/>
        <v>-10</v>
      </c>
      <c r="H515" s="216" t="s">
        <v>249</v>
      </c>
      <c r="I515" s="232">
        <v>10.0</v>
      </c>
      <c r="K515" s="216" t="s">
        <v>250</v>
      </c>
      <c r="L515" s="232">
        <f>O517*100</f>
        <v>0</v>
      </c>
    </row>
    <row r="516" ht="14.25" customHeight="1">
      <c r="B516" s="219">
        <v>45083.0</v>
      </c>
      <c r="C516" s="220" t="str">
        <f t="shared" si="71"/>
        <v/>
      </c>
      <c r="D516" s="220"/>
      <c r="E516" s="220">
        <f t="shared" si="69"/>
        <v>0</v>
      </c>
      <c r="F516" s="220">
        <f t="shared" si="70"/>
        <v>-10</v>
      </c>
      <c r="H516" s="216" t="s">
        <v>250</v>
      </c>
      <c r="I516" s="216"/>
      <c r="K516" s="216" t="s">
        <v>252</v>
      </c>
      <c r="L516" s="232"/>
    </row>
    <row r="517" ht="14.25" customHeight="1">
      <c r="B517" s="219">
        <v>45084.0</v>
      </c>
      <c r="C517" s="220" t="str">
        <f t="shared" si="71"/>
        <v/>
      </c>
      <c r="D517" s="220"/>
      <c r="E517" s="220">
        <f t="shared" si="69"/>
        <v>0</v>
      </c>
      <c r="F517" s="220">
        <f t="shared" si="70"/>
        <v>-10</v>
      </c>
      <c r="K517" s="216" t="s">
        <v>268</v>
      </c>
      <c r="L517" s="232">
        <f>L511+L513+L514+L515-L512-L516</f>
        <v>2000</v>
      </c>
    </row>
    <row r="518" ht="14.25" customHeight="1">
      <c r="B518" s="219">
        <v>45085.0</v>
      </c>
      <c r="C518" s="220" t="str">
        <f t="shared" si="71"/>
        <v/>
      </c>
      <c r="D518" s="220"/>
      <c r="E518" s="220">
        <f t="shared" si="69"/>
        <v>0</v>
      </c>
      <c r="F518" s="220">
        <f t="shared" si="70"/>
        <v>-10</v>
      </c>
      <c r="K518" s="216" t="s">
        <v>269</v>
      </c>
      <c r="L518" s="229"/>
    </row>
    <row r="519" ht="14.25" customHeight="1">
      <c r="B519" s="219">
        <v>45086.0</v>
      </c>
      <c r="C519" s="220" t="str">
        <f t="shared" si="71"/>
        <v/>
      </c>
      <c r="D519" s="220"/>
      <c r="E519" s="220">
        <f t="shared" si="69"/>
        <v>0</v>
      </c>
      <c r="F519" s="220">
        <f t="shared" si="70"/>
        <v>-10</v>
      </c>
    </row>
    <row r="520" ht="14.25" customHeight="1">
      <c r="B520" s="254">
        <v>45087.0</v>
      </c>
      <c r="C520" s="255" t="str">
        <f t="shared" si="71"/>
        <v/>
      </c>
      <c r="D520" s="255"/>
      <c r="E520" s="255">
        <f t="shared" si="69"/>
        <v>0</v>
      </c>
      <c r="F520" s="255">
        <f t="shared" si="70"/>
        <v>-10</v>
      </c>
    </row>
    <row r="521" ht="14.25" customHeight="1">
      <c r="B521" s="254">
        <v>45088.0</v>
      </c>
      <c r="C521" s="255" t="str">
        <f t="shared" si="71"/>
        <v/>
      </c>
      <c r="D521" s="255"/>
      <c r="E521" s="255">
        <f t="shared" si="69"/>
        <v>0</v>
      </c>
      <c r="F521" s="255">
        <f t="shared" si="70"/>
        <v>-10</v>
      </c>
    </row>
    <row r="522" ht="14.25" customHeight="1">
      <c r="B522" s="219">
        <v>45089.0</v>
      </c>
      <c r="C522" s="220" t="str">
        <f t="shared" si="71"/>
        <v/>
      </c>
      <c r="D522" s="220"/>
      <c r="E522" s="220">
        <f t="shared" si="69"/>
        <v>0</v>
      </c>
      <c r="F522" s="220">
        <f t="shared" si="70"/>
        <v>-10</v>
      </c>
    </row>
    <row r="523" ht="14.25" customHeight="1">
      <c r="B523" s="219">
        <v>45090.0</v>
      </c>
      <c r="C523" s="220" t="str">
        <f t="shared" si="71"/>
        <v/>
      </c>
      <c r="D523" s="220"/>
      <c r="E523" s="220">
        <f t="shared" si="69"/>
        <v>0</v>
      </c>
      <c r="F523" s="220">
        <f t="shared" si="70"/>
        <v>-10</v>
      </c>
    </row>
    <row r="524" ht="14.25" customHeight="1">
      <c r="B524" s="219">
        <v>45091.0</v>
      </c>
      <c r="C524" s="220" t="str">
        <f t="shared" si="71"/>
        <v/>
      </c>
      <c r="D524" s="220"/>
      <c r="E524" s="220">
        <f t="shared" si="69"/>
        <v>0</v>
      </c>
      <c r="F524" s="220">
        <f t="shared" si="70"/>
        <v>-10</v>
      </c>
    </row>
    <row r="525" ht="14.25" customHeight="1">
      <c r="B525" s="219">
        <v>45092.0</v>
      </c>
      <c r="C525" s="220" t="str">
        <f t="shared" si="71"/>
        <v/>
      </c>
      <c r="D525" s="220"/>
      <c r="E525" s="220">
        <f t="shared" si="69"/>
        <v>0</v>
      </c>
      <c r="F525" s="220">
        <f t="shared" si="70"/>
        <v>-10</v>
      </c>
    </row>
    <row r="526" ht="14.25" customHeight="1">
      <c r="B526" s="219">
        <v>45093.0</v>
      </c>
      <c r="C526" s="220" t="str">
        <f t="shared" si="71"/>
        <v/>
      </c>
      <c r="D526" s="220"/>
      <c r="E526" s="220">
        <f t="shared" si="69"/>
        <v>0</v>
      </c>
      <c r="F526" s="220">
        <f t="shared" si="70"/>
        <v>-10</v>
      </c>
    </row>
    <row r="527" ht="14.25" customHeight="1">
      <c r="B527" s="254">
        <v>45094.0</v>
      </c>
      <c r="C527" s="255" t="str">
        <f t="shared" si="71"/>
        <v/>
      </c>
      <c r="D527" s="255"/>
      <c r="E527" s="255">
        <f t="shared" si="69"/>
        <v>0</v>
      </c>
      <c r="F527" s="255">
        <f t="shared" si="70"/>
        <v>-10</v>
      </c>
    </row>
    <row r="528" ht="14.25" customHeight="1">
      <c r="B528" s="254">
        <v>45095.0</v>
      </c>
      <c r="C528" s="255" t="str">
        <f t="shared" si="71"/>
        <v/>
      </c>
      <c r="D528" s="255"/>
      <c r="E528" s="255">
        <f t="shared" si="69"/>
        <v>0</v>
      </c>
      <c r="F528" s="255">
        <f t="shared" si="70"/>
        <v>-10</v>
      </c>
    </row>
    <row r="529" ht="14.25" customHeight="1">
      <c r="B529" s="219">
        <v>45096.0</v>
      </c>
      <c r="C529" s="220" t="str">
        <f t="shared" si="71"/>
        <v/>
      </c>
      <c r="D529" s="220"/>
      <c r="E529" s="220">
        <f t="shared" si="69"/>
        <v>0</v>
      </c>
      <c r="F529" s="220">
        <f t="shared" si="70"/>
        <v>-10</v>
      </c>
    </row>
    <row r="530" ht="14.25" customHeight="1">
      <c r="B530" s="219">
        <v>45097.0</v>
      </c>
      <c r="C530" s="220" t="str">
        <f t="shared" si="71"/>
        <v/>
      </c>
      <c r="D530" s="220"/>
      <c r="E530" s="220">
        <f t="shared" si="69"/>
        <v>0</v>
      </c>
      <c r="F530" s="220">
        <f t="shared" si="70"/>
        <v>-10</v>
      </c>
    </row>
    <row r="531" ht="14.25" customHeight="1">
      <c r="B531" s="219">
        <v>45098.0</v>
      </c>
      <c r="C531" s="220" t="str">
        <f t="shared" si="71"/>
        <v/>
      </c>
      <c r="D531" s="220"/>
      <c r="E531" s="220">
        <f t="shared" si="69"/>
        <v>0</v>
      </c>
      <c r="F531" s="220">
        <f t="shared" si="70"/>
        <v>-10</v>
      </c>
    </row>
    <row r="532" ht="14.25" customHeight="1">
      <c r="B532" s="219">
        <v>45099.0</v>
      </c>
      <c r="C532" s="220" t="str">
        <f t="shared" si="71"/>
        <v/>
      </c>
      <c r="D532" s="220"/>
      <c r="E532" s="220">
        <f t="shared" si="69"/>
        <v>0</v>
      </c>
      <c r="F532" s="220">
        <f t="shared" si="70"/>
        <v>-10</v>
      </c>
    </row>
    <row r="533" ht="14.25" customHeight="1">
      <c r="B533" s="219">
        <v>45100.0</v>
      </c>
      <c r="C533" s="220" t="str">
        <f t="shared" si="71"/>
        <v/>
      </c>
      <c r="D533" s="220"/>
      <c r="E533" s="220">
        <f t="shared" si="69"/>
        <v>0</v>
      </c>
      <c r="F533" s="220">
        <f t="shared" si="70"/>
        <v>-10</v>
      </c>
    </row>
    <row r="534" ht="14.25" customHeight="1">
      <c r="B534" s="254">
        <v>45101.0</v>
      </c>
      <c r="C534" s="255" t="str">
        <f t="shared" si="71"/>
        <v/>
      </c>
      <c r="D534" s="255"/>
      <c r="E534" s="255">
        <f t="shared" si="69"/>
        <v>0</v>
      </c>
      <c r="F534" s="255">
        <f t="shared" si="70"/>
        <v>-10</v>
      </c>
    </row>
    <row r="535" ht="14.25" customHeight="1">
      <c r="B535" s="254">
        <v>45102.0</v>
      </c>
      <c r="C535" s="255" t="str">
        <f t="shared" si="71"/>
        <v/>
      </c>
      <c r="D535" s="255"/>
      <c r="E535" s="255">
        <f t="shared" si="69"/>
        <v>0</v>
      </c>
      <c r="F535" s="255">
        <f t="shared" si="70"/>
        <v>-10</v>
      </c>
    </row>
    <row r="536" ht="14.25" customHeight="1">
      <c r="B536" s="219">
        <v>45103.0</v>
      </c>
      <c r="C536" s="220" t="str">
        <f t="shared" si="71"/>
        <v/>
      </c>
      <c r="D536" s="220"/>
      <c r="E536" s="220">
        <f t="shared" si="69"/>
        <v>0</v>
      </c>
      <c r="F536" s="220">
        <f t="shared" si="70"/>
        <v>-10</v>
      </c>
    </row>
    <row r="537" ht="14.25" customHeight="1">
      <c r="B537" s="219">
        <v>45104.0</v>
      </c>
      <c r="C537" s="220" t="str">
        <f t="shared" si="71"/>
        <v/>
      </c>
      <c r="D537" s="220"/>
      <c r="E537" s="220">
        <f t="shared" si="69"/>
        <v>0</v>
      </c>
      <c r="F537" s="220">
        <f t="shared" si="70"/>
        <v>-10</v>
      </c>
    </row>
    <row r="538" ht="14.25" customHeight="1">
      <c r="B538" s="219">
        <v>45105.0</v>
      </c>
      <c r="C538" s="220" t="str">
        <f t="shared" si="71"/>
        <v/>
      </c>
      <c r="D538" s="220"/>
      <c r="E538" s="220">
        <f t="shared" si="69"/>
        <v>0</v>
      </c>
      <c r="F538" s="220">
        <f t="shared" si="70"/>
        <v>-10</v>
      </c>
    </row>
    <row r="539" ht="14.25" customHeight="1">
      <c r="B539" s="219">
        <v>45106.0</v>
      </c>
      <c r="C539" s="220" t="str">
        <f t="shared" si="71"/>
        <v/>
      </c>
      <c r="D539" s="220"/>
      <c r="E539" s="220">
        <f t="shared" si="69"/>
        <v>0</v>
      </c>
      <c r="F539" s="220">
        <f t="shared" si="70"/>
        <v>-10</v>
      </c>
    </row>
    <row r="540" ht="14.25" customHeight="1">
      <c r="B540" s="219">
        <v>45107.0</v>
      </c>
      <c r="C540" s="220" t="str">
        <f t="shared" si="71"/>
        <v/>
      </c>
      <c r="D540" s="220"/>
      <c r="E540" s="220">
        <f t="shared" si="69"/>
        <v>0</v>
      </c>
      <c r="F540" s="220">
        <f t="shared" si="70"/>
        <v>-10</v>
      </c>
    </row>
    <row r="541" ht="14.25" customHeight="1">
      <c r="B541" s="229"/>
      <c r="C541" s="220" t="str">
        <f t="shared" si="71"/>
        <v/>
      </c>
      <c r="D541" s="220"/>
      <c r="E541" s="220">
        <f t="shared" si="69"/>
        <v>0</v>
      </c>
      <c r="F541" s="220">
        <f t="shared" si="70"/>
        <v>-10</v>
      </c>
    </row>
    <row r="542" ht="14.25" customHeight="1">
      <c r="B542" s="216"/>
      <c r="C542" s="223" t="s">
        <v>221</v>
      </c>
      <c r="D542" s="223"/>
      <c r="E542" s="216">
        <f>SUM(E511:E541)</f>
        <v>0</v>
      </c>
      <c r="F542" s="216">
        <f t="shared" si="70"/>
        <v>-10</v>
      </c>
    </row>
    <row r="543" ht="14.25" customHeight="1"/>
    <row r="544" ht="14.25" customHeight="1">
      <c r="A544" s="249" t="s">
        <v>276</v>
      </c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1"/>
      <c r="S544" s="252"/>
      <c r="T544" s="252"/>
      <c r="U544" s="252"/>
      <c r="V544" s="252"/>
      <c r="W544" s="252"/>
      <c r="X544" s="252"/>
      <c r="Y544" s="252"/>
      <c r="Z544" s="252"/>
    </row>
    <row r="545" ht="14.25" customHeight="1"/>
    <row r="546" ht="14.25" customHeight="1">
      <c r="B546" s="216" t="s">
        <v>214</v>
      </c>
      <c r="C546" s="216" t="s">
        <v>215</v>
      </c>
      <c r="D546" s="216" t="s">
        <v>216</v>
      </c>
      <c r="E546" s="216" t="s">
        <v>217</v>
      </c>
      <c r="F546" s="216" t="s">
        <v>218</v>
      </c>
      <c r="H546" s="216" t="s">
        <v>238</v>
      </c>
      <c r="I546" s="216"/>
      <c r="K546" s="253" t="s">
        <v>236</v>
      </c>
      <c r="L546" s="231"/>
    </row>
    <row r="547" ht="14.25" customHeight="1">
      <c r="B547" s="219">
        <v>45078.0</v>
      </c>
      <c r="C547" s="220"/>
      <c r="D547" s="220"/>
      <c r="E547" s="220">
        <f t="shared" ref="E547:E577" si="72">D547-C547</f>
        <v>0</v>
      </c>
      <c r="F547" s="220">
        <f t="shared" ref="F547:F578" si="73">E547-10</f>
        <v>-10</v>
      </c>
      <c r="H547" s="216" t="s">
        <v>245</v>
      </c>
      <c r="I547" s="216"/>
      <c r="K547" s="216" t="s">
        <v>244</v>
      </c>
      <c r="L547" s="232">
        <v>2000.0</v>
      </c>
    </row>
    <row r="548" ht="14.25" customHeight="1">
      <c r="B548" s="219">
        <v>45079.0</v>
      </c>
      <c r="C548" s="220" t="str">
        <f t="shared" ref="C548:C577" si="74">D547</f>
        <v/>
      </c>
      <c r="D548" s="220"/>
      <c r="E548" s="220">
        <f t="shared" si="72"/>
        <v>0</v>
      </c>
      <c r="F548" s="220">
        <f t="shared" si="73"/>
        <v>-10</v>
      </c>
      <c r="H548" s="216" t="s">
        <v>247</v>
      </c>
      <c r="I548" s="216"/>
      <c r="K548" s="216" t="s">
        <v>266</v>
      </c>
      <c r="L548" s="232"/>
    </row>
    <row r="549" ht="14.25" customHeight="1">
      <c r="B549" s="254">
        <v>45080.0</v>
      </c>
      <c r="C549" s="255" t="str">
        <f t="shared" si="74"/>
        <v/>
      </c>
      <c r="D549" s="255"/>
      <c r="E549" s="255">
        <f t="shared" si="72"/>
        <v>0</v>
      </c>
      <c r="F549" s="255">
        <f t="shared" si="73"/>
        <v>-10</v>
      </c>
      <c r="H549" s="216" t="s">
        <v>249</v>
      </c>
      <c r="I549" s="232">
        <v>18.0</v>
      </c>
      <c r="K549" s="216" t="s">
        <v>246</v>
      </c>
      <c r="L549" s="232">
        <f>O549*O550</f>
        <v>0</v>
      </c>
    </row>
    <row r="550" ht="14.25" customHeight="1">
      <c r="B550" s="254">
        <v>45081.0</v>
      </c>
      <c r="C550" s="255" t="str">
        <f t="shared" si="74"/>
        <v/>
      </c>
      <c r="D550" s="255"/>
      <c r="E550" s="255">
        <f t="shared" si="72"/>
        <v>0</v>
      </c>
      <c r="F550" s="255">
        <f t="shared" si="73"/>
        <v>-10</v>
      </c>
      <c r="H550" s="216" t="s">
        <v>251</v>
      </c>
      <c r="I550" s="216"/>
      <c r="K550" s="216" t="s">
        <v>248</v>
      </c>
      <c r="L550" s="232">
        <f>O551*O552</f>
        <v>0</v>
      </c>
    </row>
    <row r="551" ht="14.25" customHeight="1">
      <c r="B551" s="219">
        <v>45082.0</v>
      </c>
      <c r="C551" s="220" t="str">
        <f t="shared" si="74"/>
        <v/>
      </c>
      <c r="D551" s="220"/>
      <c r="E551" s="220">
        <f t="shared" si="72"/>
        <v>0</v>
      </c>
      <c r="F551" s="220">
        <f t="shared" si="73"/>
        <v>-10</v>
      </c>
      <c r="H551" s="216" t="s">
        <v>249</v>
      </c>
      <c r="I551" s="232">
        <v>10.0</v>
      </c>
      <c r="K551" s="216" t="s">
        <v>250</v>
      </c>
      <c r="L551" s="232">
        <f>O553*100</f>
        <v>0</v>
      </c>
    </row>
    <row r="552" ht="14.25" customHeight="1">
      <c r="B552" s="219">
        <v>45083.0</v>
      </c>
      <c r="C552" s="220" t="str">
        <f t="shared" si="74"/>
        <v/>
      </c>
      <c r="D552" s="220"/>
      <c r="E552" s="220">
        <f t="shared" si="72"/>
        <v>0</v>
      </c>
      <c r="F552" s="220">
        <f t="shared" si="73"/>
        <v>-10</v>
      </c>
      <c r="H552" s="216" t="s">
        <v>250</v>
      </c>
      <c r="I552" s="216"/>
      <c r="K552" s="216" t="s">
        <v>252</v>
      </c>
      <c r="L552" s="232"/>
    </row>
    <row r="553" ht="14.25" customHeight="1">
      <c r="B553" s="219">
        <v>45084.0</v>
      </c>
      <c r="C553" s="220" t="str">
        <f t="shared" si="74"/>
        <v/>
      </c>
      <c r="D553" s="220"/>
      <c r="E553" s="220">
        <f t="shared" si="72"/>
        <v>0</v>
      </c>
      <c r="F553" s="220">
        <f t="shared" si="73"/>
        <v>-10</v>
      </c>
      <c r="K553" s="216" t="s">
        <v>268</v>
      </c>
      <c r="L553" s="232">
        <f>L547+L549+L550+L551-L548-L552</f>
        <v>2000</v>
      </c>
    </row>
    <row r="554" ht="14.25" customHeight="1">
      <c r="B554" s="219">
        <v>45085.0</v>
      </c>
      <c r="C554" s="220" t="str">
        <f t="shared" si="74"/>
        <v/>
      </c>
      <c r="D554" s="220"/>
      <c r="E554" s="220">
        <f t="shared" si="72"/>
        <v>0</v>
      </c>
      <c r="F554" s="220">
        <f t="shared" si="73"/>
        <v>-10</v>
      </c>
      <c r="K554" s="216" t="s">
        <v>269</v>
      </c>
      <c r="L554" s="229"/>
    </row>
    <row r="555" ht="14.25" customHeight="1">
      <c r="B555" s="219">
        <v>45086.0</v>
      </c>
      <c r="C555" s="220" t="str">
        <f t="shared" si="74"/>
        <v/>
      </c>
      <c r="D555" s="220"/>
      <c r="E555" s="220">
        <f t="shared" si="72"/>
        <v>0</v>
      </c>
      <c r="F555" s="220">
        <f t="shared" si="73"/>
        <v>-10</v>
      </c>
    </row>
    <row r="556" ht="14.25" customHeight="1">
      <c r="B556" s="254">
        <v>45087.0</v>
      </c>
      <c r="C556" s="255" t="str">
        <f t="shared" si="74"/>
        <v/>
      </c>
      <c r="D556" s="255"/>
      <c r="E556" s="255">
        <f t="shared" si="72"/>
        <v>0</v>
      </c>
      <c r="F556" s="255">
        <f t="shared" si="73"/>
        <v>-10</v>
      </c>
    </row>
    <row r="557" ht="14.25" customHeight="1">
      <c r="B557" s="254">
        <v>45088.0</v>
      </c>
      <c r="C557" s="255" t="str">
        <f t="shared" si="74"/>
        <v/>
      </c>
      <c r="D557" s="255"/>
      <c r="E557" s="255">
        <f t="shared" si="72"/>
        <v>0</v>
      </c>
      <c r="F557" s="255">
        <f t="shared" si="73"/>
        <v>-10</v>
      </c>
    </row>
    <row r="558" ht="14.25" customHeight="1">
      <c r="B558" s="219">
        <v>45089.0</v>
      </c>
      <c r="C558" s="220" t="str">
        <f t="shared" si="74"/>
        <v/>
      </c>
      <c r="D558" s="220"/>
      <c r="E558" s="220">
        <f t="shared" si="72"/>
        <v>0</v>
      </c>
      <c r="F558" s="220">
        <f t="shared" si="73"/>
        <v>-10</v>
      </c>
    </row>
    <row r="559" ht="14.25" customHeight="1">
      <c r="B559" s="219">
        <v>45090.0</v>
      </c>
      <c r="C559" s="220" t="str">
        <f t="shared" si="74"/>
        <v/>
      </c>
      <c r="D559" s="220"/>
      <c r="E559" s="220">
        <f t="shared" si="72"/>
        <v>0</v>
      </c>
      <c r="F559" s="220">
        <f t="shared" si="73"/>
        <v>-10</v>
      </c>
    </row>
    <row r="560" ht="14.25" customHeight="1">
      <c r="B560" s="219">
        <v>45091.0</v>
      </c>
      <c r="C560" s="220" t="str">
        <f t="shared" si="74"/>
        <v/>
      </c>
      <c r="D560" s="220"/>
      <c r="E560" s="220">
        <f t="shared" si="72"/>
        <v>0</v>
      </c>
      <c r="F560" s="220">
        <f t="shared" si="73"/>
        <v>-10</v>
      </c>
    </row>
    <row r="561" ht="14.25" customHeight="1">
      <c r="B561" s="219">
        <v>45092.0</v>
      </c>
      <c r="C561" s="220" t="str">
        <f t="shared" si="74"/>
        <v/>
      </c>
      <c r="D561" s="220"/>
      <c r="E561" s="220">
        <f t="shared" si="72"/>
        <v>0</v>
      </c>
      <c r="F561" s="220">
        <f t="shared" si="73"/>
        <v>-10</v>
      </c>
    </row>
    <row r="562" ht="14.25" customHeight="1">
      <c r="B562" s="219">
        <v>45093.0</v>
      </c>
      <c r="C562" s="220" t="str">
        <f t="shared" si="74"/>
        <v/>
      </c>
      <c r="D562" s="220"/>
      <c r="E562" s="220">
        <f t="shared" si="72"/>
        <v>0</v>
      </c>
      <c r="F562" s="220">
        <f t="shared" si="73"/>
        <v>-10</v>
      </c>
    </row>
    <row r="563" ht="14.25" customHeight="1">
      <c r="B563" s="254">
        <v>45094.0</v>
      </c>
      <c r="C563" s="255" t="str">
        <f t="shared" si="74"/>
        <v/>
      </c>
      <c r="D563" s="255"/>
      <c r="E563" s="255">
        <f t="shared" si="72"/>
        <v>0</v>
      </c>
      <c r="F563" s="255">
        <f t="shared" si="73"/>
        <v>-10</v>
      </c>
    </row>
    <row r="564" ht="14.25" customHeight="1">
      <c r="B564" s="254">
        <v>45095.0</v>
      </c>
      <c r="C564" s="255" t="str">
        <f t="shared" si="74"/>
        <v/>
      </c>
      <c r="D564" s="255"/>
      <c r="E564" s="255">
        <f t="shared" si="72"/>
        <v>0</v>
      </c>
      <c r="F564" s="255">
        <f t="shared" si="73"/>
        <v>-10</v>
      </c>
    </row>
    <row r="565" ht="14.25" customHeight="1">
      <c r="B565" s="219">
        <v>45096.0</v>
      </c>
      <c r="C565" s="220" t="str">
        <f t="shared" si="74"/>
        <v/>
      </c>
      <c r="D565" s="220"/>
      <c r="E565" s="220">
        <f t="shared" si="72"/>
        <v>0</v>
      </c>
      <c r="F565" s="220">
        <f t="shared" si="73"/>
        <v>-10</v>
      </c>
    </row>
    <row r="566" ht="14.25" customHeight="1">
      <c r="B566" s="219">
        <v>45097.0</v>
      </c>
      <c r="C566" s="220" t="str">
        <f t="shared" si="74"/>
        <v/>
      </c>
      <c r="D566" s="220"/>
      <c r="E566" s="220">
        <f t="shared" si="72"/>
        <v>0</v>
      </c>
      <c r="F566" s="220">
        <f t="shared" si="73"/>
        <v>-10</v>
      </c>
    </row>
    <row r="567" ht="14.25" customHeight="1">
      <c r="B567" s="219">
        <v>45098.0</v>
      </c>
      <c r="C567" s="220" t="str">
        <f t="shared" si="74"/>
        <v/>
      </c>
      <c r="D567" s="220"/>
      <c r="E567" s="220">
        <f t="shared" si="72"/>
        <v>0</v>
      </c>
      <c r="F567" s="220">
        <f t="shared" si="73"/>
        <v>-10</v>
      </c>
    </row>
    <row r="568" ht="14.25" customHeight="1">
      <c r="B568" s="219">
        <v>45099.0</v>
      </c>
      <c r="C568" s="220" t="str">
        <f t="shared" si="74"/>
        <v/>
      </c>
      <c r="D568" s="220"/>
      <c r="E568" s="220">
        <f t="shared" si="72"/>
        <v>0</v>
      </c>
      <c r="F568" s="220">
        <f t="shared" si="73"/>
        <v>-10</v>
      </c>
    </row>
    <row r="569" ht="14.25" customHeight="1">
      <c r="B569" s="219">
        <v>45100.0</v>
      </c>
      <c r="C569" s="220" t="str">
        <f t="shared" si="74"/>
        <v/>
      </c>
      <c r="D569" s="220"/>
      <c r="E569" s="220">
        <f t="shared" si="72"/>
        <v>0</v>
      </c>
      <c r="F569" s="220">
        <f t="shared" si="73"/>
        <v>-10</v>
      </c>
    </row>
    <row r="570" ht="14.25" customHeight="1">
      <c r="B570" s="254">
        <v>45101.0</v>
      </c>
      <c r="C570" s="255" t="str">
        <f t="shared" si="74"/>
        <v/>
      </c>
      <c r="D570" s="255"/>
      <c r="E570" s="255">
        <f t="shared" si="72"/>
        <v>0</v>
      </c>
      <c r="F570" s="255">
        <f t="shared" si="73"/>
        <v>-10</v>
      </c>
    </row>
    <row r="571" ht="14.25" customHeight="1">
      <c r="B571" s="254">
        <v>45102.0</v>
      </c>
      <c r="C571" s="255" t="str">
        <f t="shared" si="74"/>
        <v/>
      </c>
      <c r="D571" s="255"/>
      <c r="E571" s="255">
        <f t="shared" si="72"/>
        <v>0</v>
      </c>
      <c r="F571" s="255">
        <f t="shared" si="73"/>
        <v>-10</v>
      </c>
    </row>
    <row r="572" ht="14.25" customHeight="1">
      <c r="B572" s="219">
        <v>45103.0</v>
      </c>
      <c r="C572" s="220" t="str">
        <f t="shared" si="74"/>
        <v/>
      </c>
      <c r="D572" s="220"/>
      <c r="E572" s="220">
        <f t="shared" si="72"/>
        <v>0</v>
      </c>
      <c r="F572" s="220">
        <f t="shared" si="73"/>
        <v>-10</v>
      </c>
    </row>
    <row r="573" ht="14.25" customHeight="1">
      <c r="B573" s="219">
        <v>45104.0</v>
      </c>
      <c r="C573" s="220" t="str">
        <f t="shared" si="74"/>
        <v/>
      </c>
      <c r="D573" s="220"/>
      <c r="E573" s="220">
        <f t="shared" si="72"/>
        <v>0</v>
      </c>
      <c r="F573" s="220">
        <f t="shared" si="73"/>
        <v>-10</v>
      </c>
    </row>
    <row r="574" ht="14.25" customHeight="1">
      <c r="B574" s="219">
        <v>45105.0</v>
      </c>
      <c r="C574" s="220" t="str">
        <f t="shared" si="74"/>
        <v/>
      </c>
      <c r="D574" s="220"/>
      <c r="E574" s="220">
        <f t="shared" si="72"/>
        <v>0</v>
      </c>
      <c r="F574" s="220">
        <f t="shared" si="73"/>
        <v>-10</v>
      </c>
    </row>
    <row r="575" ht="14.25" customHeight="1">
      <c r="B575" s="219">
        <v>45106.0</v>
      </c>
      <c r="C575" s="220" t="str">
        <f t="shared" si="74"/>
        <v/>
      </c>
      <c r="D575" s="220"/>
      <c r="E575" s="220">
        <f t="shared" si="72"/>
        <v>0</v>
      </c>
      <c r="F575" s="220">
        <f t="shared" si="73"/>
        <v>-10</v>
      </c>
    </row>
    <row r="576" ht="14.25" customHeight="1">
      <c r="B576" s="219">
        <v>45107.0</v>
      </c>
      <c r="C576" s="220" t="str">
        <f t="shared" si="74"/>
        <v/>
      </c>
      <c r="D576" s="220"/>
      <c r="E576" s="220">
        <f t="shared" si="72"/>
        <v>0</v>
      </c>
      <c r="F576" s="220">
        <f t="shared" si="73"/>
        <v>-10</v>
      </c>
    </row>
    <row r="577" ht="14.25" customHeight="1">
      <c r="B577" s="229"/>
      <c r="C577" s="220" t="str">
        <f t="shared" si="74"/>
        <v/>
      </c>
      <c r="D577" s="220"/>
      <c r="E577" s="220">
        <f t="shared" si="72"/>
        <v>0</v>
      </c>
      <c r="F577" s="220">
        <f t="shared" si="73"/>
        <v>-10</v>
      </c>
    </row>
    <row r="578" ht="14.25" customHeight="1">
      <c r="B578" s="216"/>
      <c r="C578" s="223" t="s">
        <v>221</v>
      </c>
      <c r="D578" s="223"/>
      <c r="E578" s="216">
        <f>SUM(E547:E577)</f>
        <v>0</v>
      </c>
      <c r="F578" s="216">
        <f t="shared" si="73"/>
        <v>-10</v>
      </c>
    </row>
    <row r="579" ht="14.25" customHeight="1"/>
    <row r="580" ht="14.25" customHeight="1">
      <c r="A580" s="249" t="s">
        <v>226</v>
      </c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1"/>
      <c r="S580" s="252"/>
      <c r="T580" s="252"/>
      <c r="U580" s="252"/>
      <c r="V580" s="252"/>
      <c r="W580" s="252"/>
      <c r="X580" s="252"/>
      <c r="Y580" s="252"/>
      <c r="Z580" s="252"/>
    </row>
    <row r="581" ht="14.25" customHeight="1"/>
    <row r="582" ht="14.25" customHeight="1">
      <c r="B582" s="216" t="s">
        <v>214</v>
      </c>
      <c r="C582" s="216" t="s">
        <v>215</v>
      </c>
      <c r="D582" s="216" t="s">
        <v>216</v>
      </c>
      <c r="E582" s="216" t="s">
        <v>217</v>
      </c>
      <c r="F582" s="216" t="s">
        <v>218</v>
      </c>
      <c r="H582" s="216" t="s">
        <v>238</v>
      </c>
      <c r="I582" s="216"/>
      <c r="K582" s="253" t="s">
        <v>226</v>
      </c>
      <c r="L582" s="231"/>
    </row>
    <row r="583" ht="14.25" customHeight="1">
      <c r="B583" s="219">
        <v>45078.0</v>
      </c>
      <c r="C583" s="220"/>
      <c r="D583" s="220"/>
      <c r="E583" s="220">
        <f t="shared" ref="E583:E613" si="75">D583-C583</f>
        <v>0</v>
      </c>
      <c r="F583" s="220">
        <f t="shared" ref="F583:F614" si="76">E583-10</f>
        <v>-10</v>
      </c>
      <c r="H583" s="216" t="s">
        <v>245</v>
      </c>
      <c r="I583" s="216"/>
      <c r="K583" s="216" t="s">
        <v>244</v>
      </c>
      <c r="L583" s="232">
        <v>2000.0</v>
      </c>
    </row>
    <row r="584" ht="14.25" customHeight="1">
      <c r="B584" s="219">
        <v>45079.0</v>
      </c>
      <c r="C584" s="220" t="str">
        <f t="shared" ref="C584:C613" si="77">D583</f>
        <v/>
      </c>
      <c r="D584" s="220"/>
      <c r="E584" s="220">
        <f t="shared" si="75"/>
        <v>0</v>
      </c>
      <c r="F584" s="220">
        <f t="shared" si="76"/>
        <v>-10</v>
      </c>
      <c r="H584" s="216" t="s">
        <v>247</v>
      </c>
      <c r="I584" s="216"/>
      <c r="K584" s="216" t="s">
        <v>266</v>
      </c>
      <c r="L584" s="232"/>
    </row>
    <row r="585" ht="14.25" customHeight="1">
      <c r="B585" s="254">
        <v>45080.0</v>
      </c>
      <c r="C585" s="255" t="str">
        <f t="shared" si="77"/>
        <v/>
      </c>
      <c r="D585" s="255"/>
      <c r="E585" s="255">
        <f t="shared" si="75"/>
        <v>0</v>
      </c>
      <c r="F585" s="255">
        <f t="shared" si="76"/>
        <v>-10</v>
      </c>
      <c r="H585" s="216" t="s">
        <v>249</v>
      </c>
      <c r="I585" s="232">
        <v>18.0</v>
      </c>
      <c r="K585" s="216" t="s">
        <v>246</v>
      </c>
      <c r="L585" s="232">
        <f>O585*O586</f>
        <v>0</v>
      </c>
    </row>
    <row r="586" ht="14.25" customHeight="1">
      <c r="B586" s="254">
        <v>45081.0</v>
      </c>
      <c r="C586" s="255" t="str">
        <f t="shared" si="77"/>
        <v/>
      </c>
      <c r="D586" s="255"/>
      <c r="E586" s="255">
        <f t="shared" si="75"/>
        <v>0</v>
      </c>
      <c r="F586" s="255">
        <f t="shared" si="76"/>
        <v>-10</v>
      </c>
      <c r="H586" s="216" t="s">
        <v>251</v>
      </c>
      <c r="I586" s="216"/>
      <c r="K586" s="216" t="s">
        <v>248</v>
      </c>
      <c r="L586" s="232">
        <f>O587*O588</f>
        <v>0</v>
      </c>
    </row>
    <row r="587" ht="14.25" customHeight="1">
      <c r="B587" s="219">
        <v>45082.0</v>
      </c>
      <c r="C587" s="220" t="str">
        <f t="shared" si="77"/>
        <v/>
      </c>
      <c r="D587" s="220"/>
      <c r="E587" s="220">
        <f t="shared" si="75"/>
        <v>0</v>
      </c>
      <c r="F587" s="220">
        <f t="shared" si="76"/>
        <v>-10</v>
      </c>
      <c r="H587" s="216" t="s">
        <v>249</v>
      </c>
      <c r="I587" s="232">
        <v>10.0</v>
      </c>
      <c r="K587" s="216" t="s">
        <v>250</v>
      </c>
      <c r="L587" s="232">
        <f>O589*100</f>
        <v>0</v>
      </c>
    </row>
    <row r="588" ht="14.25" customHeight="1">
      <c r="B588" s="219">
        <v>45083.0</v>
      </c>
      <c r="C588" s="220" t="str">
        <f t="shared" si="77"/>
        <v/>
      </c>
      <c r="D588" s="220"/>
      <c r="E588" s="220">
        <f t="shared" si="75"/>
        <v>0</v>
      </c>
      <c r="F588" s="220">
        <f t="shared" si="76"/>
        <v>-10</v>
      </c>
      <c r="H588" s="216" t="s">
        <v>250</v>
      </c>
      <c r="I588" s="216"/>
      <c r="K588" s="216" t="s">
        <v>252</v>
      </c>
      <c r="L588" s="232"/>
    </row>
    <row r="589" ht="14.25" customHeight="1">
      <c r="B589" s="219">
        <v>45084.0</v>
      </c>
      <c r="C589" s="220" t="str">
        <f t="shared" si="77"/>
        <v/>
      </c>
      <c r="D589" s="220"/>
      <c r="E589" s="220">
        <f t="shared" si="75"/>
        <v>0</v>
      </c>
      <c r="F589" s="220">
        <f t="shared" si="76"/>
        <v>-10</v>
      </c>
      <c r="K589" s="216" t="s">
        <v>268</v>
      </c>
      <c r="L589" s="232">
        <f>L583+L585+L586+L587-L584-L588</f>
        <v>2000</v>
      </c>
    </row>
    <row r="590" ht="14.25" customHeight="1">
      <c r="B590" s="219">
        <v>45085.0</v>
      </c>
      <c r="C590" s="220" t="str">
        <f t="shared" si="77"/>
        <v/>
      </c>
      <c r="D590" s="220"/>
      <c r="E590" s="220">
        <f t="shared" si="75"/>
        <v>0</v>
      </c>
      <c r="F590" s="220">
        <f t="shared" si="76"/>
        <v>-10</v>
      </c>
      <c r="K590" s="216" t="s">
        <v>269</v>
      </c>
      <c r="L590" s="229"/>
    </row>
    <row r="591" ht="14.25" customHeight="1">
      <c r="B591" s="219">
        <v>45086.0</v>
      </c>
      <c r="C591" s="220" t="str">
        <f t="shared" si="77"/>
        <v/>
      </c>
      <c r="D591" s="220"/>
      <c r="E591" s="220">
        <f t="shared" si="75"/>
        <v>0</v>
      </c>
      <c r="F591" s="220">
        <f t="shared" si="76"/>
        <v>-10</v>
      </c>
    </row>
    <row r="592" ht="14.25" customHeight="1">
      <c r="B592" s="254">
        <v>45087.0</v>
      </c>
      <c r="C592" s="255" t="str">
        <f t="shared" si="77"/>
        <v/>
      </c>
      <c r="D592" s="255"/>
      <c r="E592" s="255">
        <f t="shared" si="75"/>
        <v>0</v>
      </c>
      <c r="F592" s="255">
        <f t="shared" si="76"/>
        <v>-10</v>
      </c>
    </row>
    <row r="593" ht="14.25" customHeight="1">
      <c r="B593" s="254">
        <v>45088.0</v>
      </c>
      <c r="C593" s="255" t="str">
        <f t="shared" si="77"/>
        <v/>
      </c>
      <c r="D593" s="255"/>
      <c r="E593" s="255">
        <f t="shared" si="75"/>
        <v>0</v>
      </c>
      <c r="F593" s="255">
        <f t="shared" si="76"/>
        <v>-10</v>
      </c>
    </row>
    <row r="594" ht="14.25" customHeight="1">
      <c r="B594" s="219">
        <v>45089.0</v>
      </c>
      <c r="C594" s="220" t="str">
        <f t="shared" si="77"/>
        <v/>
      </c>
      <c r="D594" s="220"/>
      <c r="E594" s="220">
        <f t="shared" si="75"/>
        <v>0</v>
      </c>
      <c r="F594" s="220">
        <f t="shared" si="76"/>
        <v>-10</v>
      </c>
    </row>
    <row r="595" ht="14.25" customHeight="1">
      <c r="B595" s="219">
        <v>45090.0</v>
      </c>
      <c r="C595" s="220" t="str">
        <f t="shared" si="77"/>
        <v/>
      </c>
      <c r="D595" s="220"/>
      <c r="E595" s="220">
        <f t="shared" si="75"/>
        <v>0</v>
      </c>
      <c r="F595" s="220">
        <f t="shared" si="76"/>
        <v>-10</v>
      </c>
    </row>
    <row r="596" ht="14.25" customHeight="1">
      <c r="B596" s="219">
        <v>45091.0</v>
      </c>
      <c r="C596" s="220" t="str">
        <f t="shared" si="77"/>
        <v/>
      </c>
      <c r="D596" s="220"/>
      <c r="E596" s="220">
        <f t="shared" si="75"/>
        <v>0</v>
      </c>
      <c r="F596" s="220">
        <f t="shared" si="76"/>
        <v>-10</v>
      </c>
    </row>
    <row r="597" ht="14.25" customHeight="1">
      <c r="B597" s="219">
        <v>45092.0</v>
      </c>
      <c r="C597" s="220" t="str">
        <f t="shared" si="77"/>
        <v/>
      </c>
      <c r="D597" s="220"/>
      <c r="E597" s="220">
        <f t="shared" si="75"/>
        <v>0</v>
      </c>
      <c r="F597" s="220">
        <f t="shared" si="76"/>
        <v>-10</v>
      </c>
    </row>
    <row r="598" ht="14.25" customHeight="1">
      <c r="B598" s="219">
        <v>45093.0</v>
      </c>
      <c r="C598" s="220" t="str">
        <f t="shared" si="77"/>
        <v/>
      </c>
      <c r="D598" s="220"/>
      <c r="E598" s="220">
        <f t="shared" si="75"/>
        <v>0</v>
      </c>
      <c r="F598" s="220">
        <f t="shared" si="76"/>
        <v>-10</v>
      </c>
    </row>
    <row r="599" ht="14.25" customHeight="1">
      <c r="B599" s="254">
        <v>45094.0</v>
      </c>
      <c r="C599" s="255" t="str">
        <f t="shared" si="77"/>
        <v/>
      </c>
      <c r="D599" s="255"/>
      <c r="E599" s="255">
        <f t="shared" si="75"/>
        <v>0</v>
      </c>
      <c r="F599" s="255">
        <f t="shared" si="76"/>
        <v>-10</v>
      </c>
    </row>
    <row r="600" ht="14.25" customHeight="1">
      <c r="B600" s="254">
        <v>45095.0</v>
      </c>
      <c r="C600" s="255" t="str">
        <f t="shared" si="77"/>
        <v/>
      </c>
      <c r="D600" s="255"/>
      <c r="E600" s="255">
        <f t="shared" si="75"/>
        <v>0</v>
      </c>
      <c r="F600" s="255">
        <f t="shared" si="76"/>
        <v>-10</v>
      </c>
    </row>
    <row r="601" ht="14.25" customHeight="1">
      <c r="B601" s="219">
        <v>45096.0</v>
      </c>
      <c r="C601" s="220" t="str">
        <f t="shared" si="77"/>
        <v/>
      </c>
      <c r="D601" s="220"/>
      <c r="E601" s="220">
        <f t="shared" si="75"/>
        <v>0</v>
      </c>
      <c r="F601" s="220">
        <f t="shared" si="76"/>
        <v>-10</v>
      </c>
    </row>
    <row r="602" ht="14.25" customHeight="1">
      <c r="B602" s="219">
        <v>45097.0</v>
      </c>
      <c r="C602" s="220" t="str">
        <f t="shared" si="77"/>
        <v/>
      </c>
      <c r="D602" s="220"/>
      <c r="E602" s="220">
        <f t="shared" si="75"/>
        <v>0</v>
      </c>
      <c r="F602" s="220">
        <f t="shared" si="76"/>
        <v>-10</v>
      </c>
    </row>
    <row r="603" ht="14.25" customHeight="1">
      <c r="B603" s="219">
        <v>45098.0</v>
      </c>
      <c r="C603" s="220" t="str">
        <f t="shared" si="77"/>
        <v/>
      </c>
      <c r="D603" s="220"/>
      <c r="E603" s="220">
        <f t="shared" si="75"/>
        <v>0</v>
      </c>
      <c r="F603" s="220">
        <f t="shared" si="76"/>
        <v>-10</v>
      </c>
    </row>
    <row r="604" ht="14.25" customHeight="1">
      <c r="B604" s="219">
        <v>45099.0</v>
      </c>
      <c r="C604" s="220" t="str">
        <f t="shared" si="77"/>
        <v/>
      </c>
      <c r="D604" s="220"/>
      <c r="E604" s="220">
        <f t="shared" si="75"/>
        <v>0</v>
      </c>
      <c r="F604" s="220">
        <f t="shared" si="76"/>
        <v>-10</v>
      </c>
    </row>
    <row r="605" ht="14.25" customHeight="1">
      <c r="B605" s="219">
        <v>45100.0</v>
      </c>
      <c r="C605" s="220" t="str">
        <f t="shared" si="77"/>
        <v/>
      </c>
      <c r="D605" s="220"/>
      <c r="E605" s="220">
        <f t="shared" si="75"/>
        <v>0</v>
      </c>
      <c r="F605" s="220">
        <f t="shared" si="76"/>
        <v>-10</v>
      </c>
    </row>
    <row r="606" ht="14.25" customHeight="1">
      <c r="B606" s="254">
        <v>45101.0</v>
      </c>
      <c r="C606" s="255" t="str">
        <f t="shared" si="77"/>
        <v/>
      </c>
      <c r="D606" s="255"/>
      <c r="E606" s="255">
        <f t="shared" si="75"/>
        <v>0</v>
      </c>
      <c r="F606" s="255">
        <f t="shared" si="76"/>
        <v>-10</v>
      </c>
    </row>
    <row r="607" ht="14.25" customHeight="1">
      <c r="B607" s="254">
        <v>45102.0</v>
      </c>
      <c r="C607" s="255" t="str">
        <f t="shared" si="77"/>
        <v/>
      </c>
      <c r="D607" s="255"/>
      <c r="E607" s="255">
        <f t="shared" si="75"/>
        <v>0</v>
      </c>
      <c r="F607" s="255">
        <f t="shared" si="76"/>
        <v>-10</v>
      </c>
    </row>
    <row r="608" ht="14.25" customHeight="1">
      <c r="B608" s="219">
        <v>45103.0</v>
      </c>
      <c r="C608" s="220" t="str">
        <f t="shared" si="77"/>
        <v/>
      </c>
      <c r="D608" s="220"/>
      <c r="E608" s="220">
        <f t="shared" si="75"/>
        <v>0</v>
      </c>
      <c r="F608" s="220">
        <f t="shared" si="76"/>
        <v>-10</v>
      </c>
    </row>
    <row r="609" ht="14.25" customHeight="1">
      <c r="B609" s="219">
        <v>45104.0</v>
      </c>
      <c r="C609" s="220" t="str">
        <f t="shared" si="77"/>
        <v/>
      </c>
      <c r="D609" s="220"/>
      <c r="E609" s="220">
        <f t="shared" si="75"/>
        <v>0</v>
      </c>
      <c r="F609" s="220">
        <f t="shared" si="76"/>
        <v>-10</v>
      </c>
    </row>
    <row r="610" ht="14.25" customHeight="1">
      <c r="B610" s="219">
        <v>45105.0</v>
      </c>
      <c r="C610" s="220" t="str">
        <f t="shared" si="77"/>
        <v/>
      </c>
      <c r="D610" s="220"/>
      <c r="E610" s="220">
        <f t="shared" si="75"/>
        <v>0</v>
      </c>
      <c r="F610" s="220">
        <f t="shared" si="76"/>
        <v>-10</v>
      </c>
    </row>
    <row r="611" ht="14.25" customHeight="1">
      <c r="B611" s="219">
        <v>45106.0</v>
      </c>
      <c r="C611" s="220" t="str">
        <f t="shared" si="77"/>
        <v/>
      </c>
      <c r="D611" s="220"/>
      <c r="E611" s="220">
        <f t="shared" si="75"/>
        <v>0</v>
      </c>
      <c r="F611" s="220">
        <f t="shared" si="76"/>
        <v>-10</v>
      </c>
    </row>
    <row r="612" ht="14.25" customHeight="1">
      <c r="B612" s="219">
        <v>45107.0</v>
      </c>
      <c r="C612" s="220" t="str">
        <f t="shared" si="77"/>
        <v/>
      </c>
      <c r="D612" s="220"/>
      <c r="E612" s="220">
        <f t="shared" si="75"/>
        <v>0</v>
      </c>
      <c r="F612" s="220">
        <f t="shared" si="76"/>
        <v>-10</v>
      </c>
    </row>
    <row r="613" ht="14.25" customHeight="1">
      <c r="B613" s="229"/>
      <c r="C613" s="220" t="str">
        <f t="shared" si="77"/>
        <v/>
      </c>
      <c r="D613" s="220"/>
      <c r="E613" s="220">
        <f t="shared" si="75"/>
        <v>0</v>
      </c>
      <c r="F613" s="220">
        <f t="shared" si="76"/>
        <v>-10</v>
      </c>
    </row>
    <row r="614" ht="14.25" customHeight="1">
      <c r="B614" s="216"/>
      <c r="C614" s="223" t="s">
        <v>221</v>
      </c>
      <c r="D614" s="223"/>
      <c r="E614" s="216">
        <f>SUM(E583:E613)</f>
        <v>0</v>
      </c>
      <c r="F614" s="216">
        <f t="shared" si="76"/>
        <v>-10</v>
      </c>
    </row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B3:C3"/>
    <mergeCell ref="A13:F13"/>
    <mergeCell ref="B14:C14"/>
    <mergeCell ref="I41:J41"/>
    <mergeCell ref="C43:D43"/>
    <mergeCell ref="I71:J71"/>
    <mergeCell ref="C73:D73"/>
    <mergeCell ref="F72:G72"/>
    <mergeCell ref="F80:G80"/>
    <mergeCell ref="I101:J101"/>
    <mergeCell ref="F102:G102"/>
    <mergeCell ref="C103:D103"/>
    <mergeCell ref="I131:J131"/>
    <mergeCell ref="C134:D134"/>
    <mergeCell ref="I162:J162"/>
    <mergeCell ref="C165:D165"/>
    <mergeCell ref="I193:J193"/>
    <mergeCell ref="C197:D197"/>
    <mergeCell ref="I225:J225"/>
    <mergeCell ref="C229:D229"/>
    <mergeCell ref="C262:D262"/>
    <mergeCell ref="I257:J257"/>
    <mergeCell ref="I290:J290"/>
    <mergeCell ref="A292:R292"/>
    <mergeCell ref="K294:L294"/>
    <mergeCell ref="A328:R328"/>
    <mergeCell ref="K330:L330"/>
    <mergeCell ref="A364:R364"/>
    <mergeCell ref="A508:R508"/>
    <mergeCell ref="K510:L510"/>
    <mergeCell ref="A544:R544"/>
    <mergeCell ref="K546:L546"/>
    <mergeCell ref="A580:R580"/>
    <mergeCell ref="K582:L582"/>
    <mergeCell ref="K366:L366"/>
    <mergeCell ref="A400:R400"/>
    <mergeCell ref="K402:L402"/>
    <mergeCell ref="A436:R436"/>
    <mergeCell ref="K438:L438"/>
    <mergeCell ref="A472:R472"/>
    <mergeCell ref="K474:L474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4.57"/>
    <col customWidth="1" min="3" max="3" width="11.14"/>
    <col customWidth="1" min="4" max="4" width="10.57"/>
    <col customWidth="1" min="5" max="7" width="8.71"/>
    <col customWidth="1" min="8" max="8" width="17.57"/>
    <col customWidth="1" min="9" max="9" width="10.71"/>
    <col customWidth="1" min="10" max="10" width="8.71"/>
    <col customWidth="1" min="11" max="11" width="15.29"/>
    <col customWidth="1" min="12" max="12" width="14.0"/>
    <col customWidth="1" min="13" max="26" width="8.71"/>
  </cols>
  <sheetData>
    <row r="1" ht="14.25" customHeight="1">
      <c r="A1" s="249" t="s">
        <v>277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1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4.25" customHeight="1"/>
    <row r="3" ht="14.25" customHeight="1">
      <c r="B3" s="216" t="s">
        <v>214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>
        <v>6581.2</v>
      </c>
      <c r="K3" s="253" t="s">
        <v>274</v>
      </c>
      <c r="L3" s="231"/>
    </row>
    <row r="4" ht="14.25" customHeight="1">
      <c r="B4" s="257">
        <v>45108.0</v>
      </c>
      <c r="C4" s="258"/>
      <c r="D4" s="258"/>
      <c r="E4" s="258">
        <f t="shared" ref="E4:E34" si="1">D4-C4</f>
        <v>0</v>
      </c>
      <c r="F4" s="258">
        <f t="shared" ref="F4:F35" si="2">E4-10</f>
        <v>-10</v>
      </c>
      <c r="H4" s="216" t="s">
        <v>245</v>
      </c>
      <c r="I4" s="216">
        <v>6770.4</v>
      </c>
      <c r="K4" s="216" t="s">
        <v>244</v>
      </c>
      <c r="L4" s="232">
        <v>1041.0</v>
      </c>
    </row>
    <row r="5" ht="14.25" customHeight="1">
      <c r="B5" s="257">
        <v>45109.0</v>
      </c>
      <c r="C5" s="220" t="str">
        <f t="shared" ref="C5:C15" si="3">D4</f>
        <v/>
      </c>
      <c r="D5" s="220"/>
      <c r="E5" s="220">
        <f t="shared" si="1"/>
        <v>0</v>
      </c>
      <c r="F5" s="220">
        <f t="shared" si="2"/>
        <v>-10</v>
      </c>
      <c r="H5" s="216" t="s">
        <v>247</v>
      </c>
      <c r="I5" s="216">
        <v>111.9</v>
      </c>
      <c r="K5" s="216" t="s">
        <v>266</v>
      </c>
      <c r="L5" s="232"/>
    </row>
    <row r="6" ht="14.25" customHeight="1">
      <c r="B6" s="257">
        <v>45110.0</v>
      </c>
      <c r="C6" s="220" t="str">
        <f t="shared" si="3"/>
        <v/>
      </c>
      <c r="D6" s="220"/>
      <c r="E6" s="220">
        <f t="shared" si="1"/>
        <v>0</v>
      </c>
      <c r="F6" s="220">
        <f t="shared" si="2"/>
        <v>-10</v>
      </c>
      <c r="H6" s="216" t="s">
        <v>249</v>
      </c>
      <c r="I6" s="232">
        <v>8.0</v>
      </c>
      <c r="K6" s="216" t="s">
        <v>246</v>
      </c>
      <c r="L6" s="232">
        <f>I5*I6</f>
        <v>895.2</v>
      </c>
    </row>
    <row r="7" ht="14.25" customHeight="1">
      <c r="B7" s="257">
        <v>45111.0</v>
      </c>
      <c r="C7" s="220" t="str">
        <f t="shared" si="3"/>
        <v/>
      </c>
      <c r="D7" s="220"/>
      <c r="E7" s="220">
        <f t="shared" si="1"/>
        <v>0</v>
      </c>
      <c r="F7" s="220">
        <f t="shared" si="2"/>
        <v>-10</v>
      </c>
      <c r="H7" s="216" t="s">
        <v>251</v>
      </c>
      <c r="I7" s="216">
        <v>1.3</v>
      </c>
      <c r="K7" s="216" t="s">
        <v>248</v>
      </c>
      <c r="L7" s="232">
        <f>I7*I8</f>
        <v>13</v>
      </c>
    </row>
    <row r="8" ht="14.25" customHeight="1">
      <c r="B8" s="257">
        <v>45112.0</v>
      </c>
      <c r="C8" s="220" t="str">
        <f t="shared" si="3"/>
        <v/>
      </c>
      <c r="D8" s="220"/>
      <c r="E8" s="220">
        <f t="shared" si="1"/>
        <v>0</v>
      </c>
      <c r="F8" s="220">
        <f t="shared" si="2"/>
        <v>-10</v>
      </c>
      <c r="H8" s="216" t="s">
        <v>249</v>
      </c>
      <c r="I8" s="232">
        <v>10.0</v>
      </c>
      <c r="K8" s="216" t="s">
        <v>250</v>
      </c>
      <c r="L8" s="232">
        <f>I9*100</f>
        <v>0</v>
      </c>
    </row>
    <row r="9" ht="14.25" customHeight="1">
      <c r="B9" s="257">
        <v>45113.0</v>
      </c>
      <c r="C9" s="220" t="str">
        <f t="shared" si="3"/>
        <v/>
      </c>
      <c r="D9" s="220"/>
      <c r="E9" s="220">
        <f t="shared" si="1"/>
        <v>0</v>
      </c>
      <c r="F9" s="220">
        <f t="shared" si="2"/>
        <v>-10</v>
      </c>
      <c r="H9" s="216" t="s">
        <v>267</v>
      </c>
      <c r="I9" s="216"/>
      <c r="K9" s="216" t="s">
        <v>252</v>
      </c>
      <c r="L9" s="232"/>
    </row>
    <row r="10" ht="14.25" customHeight="1">
      <c r="B10" s="257">
        <v>45114.0</v>
      </c>
      <c r="C10" s="220" t="str">
        <f t="shared" si="3"/>
        <v/>
      </c>
      <c r="D10" s="220"/>
      <c r="E10" s="220">
        <f t="shared" si="1"/>
        <v>0</v>
      </c>
      <c r="F10" s="220">
        <f t="shared" si="2"/>
        <v>-10</v>
      </c>
      <c r="K10" s="216" t="s">
        <v>268</v>
      </c>
      <c r="L10" s="232">
        <f>L4+L6+L7+L8-L5-L9</f>
        <v>1949.2</v>
      </c>
    </row>
    <row r="11" ht="14.25" customHeight="1">
      <c r="B11" s="257">
        <v>45115.0</v>
      </c>
      <c r="C11" s="258" t="str">
        <f t="shared" si="3"/>
        <v/>
      </c>
      <c r="D11" s="258"/>
      <c r="E11" s="258">
        <f t="shared" si="1"/>
        <v>0</v>
      </c>
      <c r="F11" s="258">
        <f t="shared" si="2"/>
        <v>-10</v>
      </c>
      <c r="K11" s="216" t="s">
        <v>269</v>
      </c>
      <c r="L11" s="229">
        <v>45141.0</v>
      </c>
    </row>
    <row r="12" ht="14.25" customHeight="1">
      <c r="B12" s="257">
        <v>45116.0</v>
      </c>
      <c r="C12" s="258" t="str">
        <f t="shared" si="3"/>
        <v/>
      </c>
      <c r="D12" s="258"/>
      <c r="E12" s="258">
        <f t="shared" si="1"/>
        <v>0</v>
      </c>
      <c r="F12" s="258">
        <f t="shared" si="2"/>
        <v>-10</v>
      </c>
      <c r="K12" s="247">
        <v>45141.0</v>
      </c>
    </row>
    <row r="13" ht="14.25" customHeight="1">
      <c r="B13" s="257">
        <v>45117.0</v>
      </c>
      <c r="C13" s="258" t="str">
        <f t="shared" si="3"/>
        <v/>
      </c>
      <c r="D13" s="220"/>
      <c r="E13" s="220">
        <f t="shared" si="1"/>
        <v>0</v>
      </c>
      <c r="F13" s="220">
        <f t="shared" si="2"/>
        <v>-10</v>
      </c>
    </row>
    <row r="14" ht="14.25" customHeight="1">
      <c r="B14" s="257">
        <v>45118.0</v>
      </c>
      <c r="C14" s="220" t="str">
        <f t="shared" si="3"/>
        <v/>
      </c>
      <c r="D14" s="220"/>
      <c r="E14" s="220">
        <f t="shared" si="1"/>
        <v>0</v>
      </c>
      <c r="F14" s="220">
        <f t="shared" si="2"/>
        <v>-10</v>
      </c>
    </row>
    <row r="15" ht="14.25" customHeight="1">
      <c r="B15" s="257">
        <v>45119.0</v>
      </c>
      <c r="C15" s="220" t="str">
        <f t="shared" si="3"/>
        <v/>
      </c>
      <c r="D15" s="220"/>
      <c r="E15" s="220">
        <f t="shared" si="1"/>
        <v>0</v>
      </c>
      <c r="F15" s="220">
        <f t="shared" si="2"/>
        <v>-10</v>
      </c>
    </row>
    <row r="16" ht="14.25" customHeight="1">
      <c r="B16" s="257">
        <v>45120.0</v>
      </c>
      <c r="C16" s="220">
        <v>6658.5</v>
      </c>
      <c r="D16" s="220">
        <v>6667.5</v>
      </c>
      <c r="E16" s="220">
        <f t="shared" si="1"/>
        <v>9</v>
      </c>
      <c r="F16" s="220">
        <f t="shared" si="2"/>
        <v>-1</v>
      </c>
    </row>
    <row r="17" ht="14.25" customHeight="1">
      <c r="B17" s="257">
        <v>45121.0</v>
      </c>
      <c r="C17" s="220"/>
      <c r="D17" s="220"/>
      <c r="E17" s="220">
        <f t="shared" si="1"/>
        <v>0</v>
      </c>
      <c r="F17" s="220">
        <f t="shared" si="2"/>
        <v>-10</v>
      </c>
    </row>
    <row r="18" ht="14.25" customHeight="1">
      <c r="B18" s="257">
        <v>45122.0</v>
      </c>
      <c r="C18" s="258"/>
      <c r="D18" s="258"/>
      <c r="E18" s="258">
        <f t="shared" si="1"/>
        <v>0</v>
      </c>
      <c r="F18" s="258">
        <f t="shared" si="2"/>
        <v>-10</v>
      </c>
    </row>
    <row r="19" ht="14.25" customHeight="1">
      <c r="B19" s="257">
        <v>45123.0</v>
      </c>
      <c r="C19" s="258" t="str">
        <f t="shared" ref="C19:C20" si="4">D18</f>
        <v/>
      </c>
      <c r="D19" s="258"/>
      <c r="E19" s="258">
        <f t="shared" si="1"/>
        <v>0</v>
      </c>
      <c r="F19" s="258">
        <f t="shared" si="2"/>
        <v>-10</v>
      </c>
    </row>
    <row r="20" ht="14.25" customHeight="1">
      <c r="B20" s="257">
        <v>45124.0</v>
      </c>
      <c r="C20" s="220" t="str">
        <f t="shared" si="4"/>
        <v/>
      </c>
      <c r="D20" s="220"/>
      <c r="E20" s="220">
        <f t="shared" si="1"/>
        <v>0</v>
      </c>
      <c r="F20" s="220">
        <f t="shared" si="2"/>
        <v>-10</v>
      </c>
    </row>
    <row r="21" ht="14.25" customHeight="1">
      <c r="B21" s="257">
        <v>45125.0</v>
      </c>
      <c r="C21" s="220">
        <v>6667.5</v>
      </c>
      <c r="D21" s="220">
        <v>6669.1</v>
      </c>
      <c r="E21" s="220">
        <f t="shared" si="1"/>
        <v>1.6</v>
      </c>
      <c r="F21" s="220">
        <f t="shared" si="2"/>
        <v>-8.4</v>
      </c>
    </row>
    <row r="22" ht="14.25" customHeight="1">
      <c r="B22" s="257">
        <v>45126.0</v>
      </c>
      <c r="C22" s="220">
        <f t="shared" ref="C22:C25" si="5">D21</f>
        <v>6669.1</v>
      </c>
      <c r="D22" s="220">
        <v>6679.8</v>
      </c>
      <c r="E22" s="220">
        <f t="shared" si="1"/>
        <v>10.7</v>
      </c>
      <c r="F22" s="220">
        <f t="shared" si="2"/>
        <v>0.7</v>
      </c>
    </row>
    <row r="23" ht="14.25" customHeight="1">
      <c r="B23" s="257">
        <v>45127.0</v>
      </c>
      <c r="C23" s="220">
        <f t="shared" si="5"/>
        <v>6679.8</v>
      </c>
      <c r="D23" s="220">
        <v>6690.4</v>
      </c>
      <c r="E23" s="220">
        <f t="shared" si="1"/>
        <v>10.6</v>
      </c>
      <c r="F23" s="220">
        <f t="shared" si="2"/>
        <v>0.6</v>
      </c>
    </row>
    <row r="24" ht="14.25" customHeight="1">
      <c r="B24" s="257">
        <v>45128.0</v>
      </c>
      <c r="C24" s="220">
        <f t="shared" si="5"/>
        <v>6690.4</v>
      </c>
      <c r="D24" s="220">
        <v>6699.2</v>
      </c>
      <c r="E24" s="220">
        <f t="shared" si="1"/>
        <v>8.8</v>
      </c>
      <c r="F24" s="220">
        <f t="shared" si="2"/>
        <v>-1.2</v>
      </c>
    </row>
    <row r="25" ht="14.25" customHeight="1">
      <c r="B25" s="257">
        <v>45129.0</v>
      </c>
      <c r="C25" s="258">
        <f t="shared" si="5"/>
        <v>6699.2</v>
      </c>
      <c r="D25" s="258">
        <v>6706.0</v>
      </c>
      <c r="E25" s="258">
        <f t="shared" si="1"/>
        <v>6.8</v>
      </c>
      <c r="F25" s="258">
        <f t="shared" si="2"/>
        <v>-3.2</v>
      </c>
    </row>
    <row r="26" ht="14.25" customHeight="1">
      <c r="B26" s="257">
        <v>45130.0</v>
      </c>
      <c r="C26" s="258"/>
      <c r="D26" s="258"/>
      <c r="E26" s="258">
        <f t="shared" si="1"/>
        <v>0</v>
      </c>
      <c r="F26" s="258">
        <f t="shared" si="2"/>
        <v>-10</v>
      </c>
    </row>
    <row r="27" ht="14.25" customHeight="1">
      <c r="B27" s="257">
        <v>45131.0</v>
      </c>
      <c r="C27" s="220">
        <v>6706.0</v>
      </c>
      <c r="D27" s="220">
        <v>6715.1</v>
      </c>
      <c r="E27" s="220">
        <f t="shared" si="1"/>
        <v>9.1</v>
      </c>
      <c r="F27" s="220">
        <f t="shared" si="2"/>
        <v>-0.9</v>
      </c>
    </row>
    <row r="28" ht="14.25" customHeight="1">
      <c r="B28" s="257">
        <v>45132.0</v>
      </c>
      <c r="C28" s="220">
        <f t="shared" ref="C28:C32" si="6">D27</f>
        <v>6715.1</v>
      </c>
      <c r="D28" s="220">
        <v>6724.9</v>
      </c>
      <c r="E28" s="220">
        <f t="shared" si="1"/>
        <v>9.8</v>
      </c>
      <c r="F28" s="220">
        <f t="shared" si="2"/>
        <v>-0.2</v>
      </c>
    </row>
    <row r="29" ht="14.25" customHeight="1">
      <c r="B29" s="257">
        <v>45133.0</v>
      </c>
      <c r="C29" s="220">
        <f t="shared" si="6"/>
        <v>6724.9</v>
      </c>
      <c r="D29" s="220">
        <v>6734.0</v>
      </c>
      <c r="E29" s="220">
        <f t="shared" si="1"/>
        <v>9.1</v>
      </c>
      <c r="F29" s="220">
        <f t="shared" si="2"/>
        <v>-0.9</v>
      </c>
    </row>
    <row r="30" ht="14.25" customHeight="1">
      <c r="B30" s="257">
        <v>45134.0</v>
      </c>
      <c r="C30" s="220">
        <f t="shared" si="6"/>
        <v>6734</v>
      </c>
      <c r="D30" s="220">
        <v>6742.7</v>
      </c>
      <c r="E30" s="220">
        <f t="shared" si="1"/>
        <v>8.7</v>
      </c>
      <c r="F30" s="220">
        <f t="shared" si="2"/>
        <v>-1.3</v>
      </c>
    </row>
    <row r="31" ht="14.25" customHeight="1">
      <c r="B31" s="257">
        <v>45135.0</v>
      </c>
      <c r="C31" s="220">
        <f t="shared" si="6"/>
        <v>6742.7</v>
      </c>
      <c r="D31" s="220">
        <v>6752.6</v>
      </c>
      <c r="E31" s="220">
        <f t="shared" si="1"/>
        <v>9.9</v>
      </c>
      <c r="F31" s="220">
        <f t="shared" si="2"/>
        <v>-0.1</v>
      </c>
    </row>
    <row r="32" ht="14.25" customHeight="1">
      <c r="B32" s="257">
        <v>45136.0</v>
      </c>
      <c r="C32" s="258">
        <f t="shared" si="6"/>
        <v>6752.6</v>
      </c>
      <c r="D32" s="258">
        <v>6761.2</v>
      </c>
      <c r="E32" s="258">
        <f t="shared" si="1"/>
        <v>8.6</v>
      </c>
      <c r="F32" s="258">
        <f t="shared" si="2"/>
        <v>-1.4</v>
      </c>
    </row>
    <row r="33" ht="14.25" customHeight="1">
      <c r="B33" s="257">
        <v>45137.0</v>
      </c>
      <c r="C33" s="258"/>
      <c r="D33" s="258"/>
      <c r="E33" s="258">
        <f t="shared" si="1"/>
        <v>0</v>
      </c>
      <c r="F33" s="258">
        <f t="shared" si="2"/>
        <v>-10</v>
      </c>
    </row>
    <row r="34" ht="14.25" customHeight="1">
      <c r="B34" s="219">
        <v>45138.0</v>
      </c>
      <c r="C34" s="220">
        <v>6761.2</v>
      </c>
      <c r="D34" s="220">
        <v>6770.4</v>
      </c>
      <c r="E34" s="220">
        <f t="shared" si="1"/>
        <v>9.2</v>
      </c>
      <c r="F34" s="220">
        <f t="shared" si="2"/>
        <v>-0.8</v>
      </c>
    </row>
    <row r="35" ht="14.25" customHeight="1">
      <c r="B35" s="216"/>
      <c r="C35" s="223" t="s">
        <v>221</v>
      </c>
      <c r="D35" s="223"/>
      <c r="E35" s="216">
        <f>D34-C16</f>
        <v>111.9</v>
      </c>
      <c r="F35" s="216">
        <f t="shared" si="2"/>
        <v>101.9</v>
      </c>
    </row>
    <row r="36" ht="14.25" customHeight="1"/>
    <row r="37" ht="14.25" customHeight="1">
      <c r="A37" s="249" t="s">
        <v>278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4.25" customHeight="1"/>
    <row r="39" ht="14.25" customHeight="1">
      <c r="B39" s="220" t="s">
        <v>214</v>
      </c>
      <c r="C39" s="220" t="s">
        <v>215</v>
      </c>
      <c r="D39" s="220" t="s">
        <v>216</v>
      </c>
      <c r="E39" s="220" t="s">
        <v>217</v>
      </c>
      <c r="F39" s="220" t="s">
        <v>218</v>
      </c>
      <c r="H39" s="216" t="s">
        <v>238</v>
      </c>
      <c r="I39" s="216"/>
      <c r="K39" s="253" t="s">
        <v>234</v>
      </c>
      <c r="L39" s="231"/>
    </row>
    <row r="40" ht="14.25" customHeight="1">
      <c r="B40" s="219">
        <v>45139.0</v>
      </c>
      <c r="C40" s="220">
        <v>6774.0</v>
      </c>
      <c r="D40" s="220">
        <v>6779.1</v>
      </c>
      <c r="E40" s="220">
        <f t="shared" ref="E40:E70" si="7">D40-C40</f>
        <v>5.1</v>
      </c>
      <c r="F40" s="220">
        <f t="shared" ref="F40:F71" si="8">E40-10</f>
        <v>-4.9</v>
      </c>
      <c r="H40" s="216" t="s">
        <v>245</v>
      </c>
      <c r="I40" s="216"/>
      <c r="K40" s="216" t="s">
        <v>244</v>
      </c>
      <c r="L40" s="232">
        <v>2000.0</v>
      </c>
    </row>
    <row r="41" ht="14.25" customHeight="1">
      <c r="B41" s="219">
        <v>45140.0</v>
      </c>
      <c r="C41" s="220">
        <f t="shared" ref="C41:C43" si="9">D40</f>
        <v>6779.1</v>
      </c>
      <c r="D41" s="220">
        <v>6786.0</v>
      </c>
      <c r="E41" s="220">
        <f t="shared" si="7"/>
        <v>6.9</v>
      </c>
      <c r="F41" s="220">
        <f t="shared" si="8"/>
        <v>-3.1</v>
      </c>
      <c r="H41" s="216" t="s">
        <v>247</v>
      </c>
      <c r="I41" s="216">
        <v>137.2</v>
      </c>
      <c r="K41" s="216" t="s">
        <v>266</v>
      </c>
      <c r="L41" s="232">
        <v>180.0</v>
      </c>
    </row>
    <row r="42" ht="14.25" customHeight="1">
      <c r="B42" s="219">
        <v>45141.0</v>
      </c>
      <c r="C42" s="220">
        <f t="shared" si="9"/>
        <v>6786</v>
      </c>
      <c r="D42" s="220">
        <v>6790.5</v>
      </c>
      <c r="E42" s="220">
        <f t="shared" si="7"/>
        <v>4.5</v>
      </c>
      <c r="F42" s="220">
        <f t="shared" si="8"/>
        <v>-5.5</v>
      </c>
      <c r="H42" s="216" t="s">
        <v>249</v>
      </c>
      <c r="I42" s="232">
        <v>18.0</v>
      </c>
      <c r="K42" s="216" t="s">
        <v>246</v>
      </c>
      <c r="L42" s="232">
        <f>I41*I42</f>
        <v>2469.6</v>
      </c>
    </row>
    <row r="43" ht="14.25" customHeight="1">
      <c r="B43" s="219">
        <v>45142.0</v>
      </c>
      <c r="C43" s="220">
        <f t="shared" si="9"/>
        <v>6790.5</v>
      </c>
      <c r="D43" s="220">
        <v>6797.3</v>
      </c>
      <c r="E43" s="220">
        <f t="shared" si="7"/>
        <v>6.8</v>
      </c>
      <c r="F43" s="220">
        <f t="shared" si="8"/>
        <v>-3.2</v>
      </c>
      <c r="H43" s="216" t="s">
        <v>251</v>
      </c>
      <c r="I43" s="216">
        <v>0.6</v>
      </c>
      <c r="K43" s="216" t="s">
        <v>248</v>
      </c>
      <c r="L43" s="232">
        <f>I43*I44</f>
        <v>6</v>
      </c>
    </row>
    <row r="44" ht="14.25" customHeight="1">
      <c r="B44" s="259">
        <v>45143.0</v>
      </c>
      <c r="C44" s="260"/>
      <c r="D44" s="260"/>
      <c r="E44" s="260">
        <f t="shared" si="7"/>
        <v>0</v>
      </c>
      <c r="F44" s="260">
        <f t="shared" si="8"/>
        <v>-10</v>
      </c>
      <c r="H44" s="216" t="s">
        <v>249</v>
      </c>
      <c r="I44" s="232">
        <v>10.0</v>
      </c>
      <c r="K44" s="216" t="s">
        <v>250</v>
      </c>
      <c r="L44" s="232">
        <f>I45*100</f>
        <v>0</v>
      </c>
    </row>
    <row r="45" ht="14.25" customHeight="1">
      <c r="B45" s="259">
        <v>45144.0</v>
      </c>
      <c r="C45" s="260" t="str">
        <f t="shared" ref="C45:C56" si="10">D44</f>
        <v/>
      </c>
      <c r="D45" s="260"/>
      <c r="E45" s="260">
        <f t="shared" si="7"/>
        <v>0</v>
      </c>
      <c r="F45" s="260">
        <f t="shared" si="8"/>
        <v>-10</v>
      </c>
      <c r="H45" s="216" t="s">
        <v>267</v>
      </c>
      <c r="I45" s="216"/>
      <c r="K45" s="216" t="s">
        <v>252</v>
      </c>
      <c r="L45" s="232"/>
    </row>
    <row r="46" ht="14.25" customHeight="1">
      <c r="B46" s="219">
        <v>45145.0</v>
      </c>
      <c r="C46" s="220" t="str">
        <f t="shared" si="10"/>
        <v/>
      </c>
      <c r="D46" s="220"/>
      <c r="E46" s="220">
        <f t="shared" si="7"/>
        <v>0</v>
      </c>
      <c r="F46" s="220">
        <f t="shared" si="8"/>
        <v>-10</v>
      </c>
      <c r="K46" s="216" t="s">
        <v>268</v>
      </c>
      <c r="L46" s="232">
        <f>L40+L42+L43+L44-L41-L45</f>
        <v>4295.6</v>
      </c>
    </row>
    <row r="47" ht="14.25" customHeight="1">
      <c r="B47" s="219">
        <v>45146.0</v>
      </c>
      <c r="C47" s="220" t="str">
        <f t="shared" si="10"/>
        <v/>
      </c>
      <c r="D47" s="220"/>
      <c r="E47" s="220">
        <f t="shared" si="7"/>
        <v>0</v>
      </c>
      <c r="F47" s="220">
        <f t="shared" si="8"/>
        <v>-10</v>
      </c>
      <c r="K47" s="216" t="s">
        <v>269</v>
      </c>
      <c r="L47" s="229"/>
    </row>
    <row r="48" ht="14.25" customHeight="1">
      <c r="B48" s="219">
        <v>45147.0</v>
      </c>
      <c r="C48" s="220" t="str">
        <f t="shared" si="10"/>
        <v/>
      </c>
      <c r="D48" s="220"/>
      <c r="E48" s="220">
        <f t="shared" si="7"/>
        <v>0</v>
      </c>
      <c r="F48" s="220">
        <f t="shared" si="8"/>
        <v>-10</v>
      </c>
    </row>
    <row r="49" ht="14.25" customHeight="1">
      <c r="B49" s="219">
        <v>45148.0</v>
      </c>
      <c r="C49" s="220" t="str">
        <f t="shared" si="10"/>
        <v/>
      </c>
      <c r="D49" s="220"/>
      <c r="E49" s="220">
        <f t="shared" si="7"/>
        <v>0</v>
      </c>
      <c r="F49" s="220">
        <f t="shared" si="8"/>
        <v>-10</v>
      </c>
    </row>
    <row r="50" ht="14.25" customHeight="1">
      <c r="B50" s="219">
        <v>45149.0</v>
      </c>
      <c r="C50" s="220" t="str">
        <f t="shared" si="10"/>
        <v/>
      </c>
      <c r="D50" s="220"/>
      <c r="E50" s="220">
        <f t="shared" si="7"/>
        <v>0</v>
      </c>
      <c r="F50" s="220">
        <f t="shared" si="8"/>
        <v>-10</v>
      </c>
    </row>
    <row r="51" ht="14.25" customHeight="1">
      <c r="B51" s="259">
        <v>45150.0</v>
      </c>
      <c r="C51" s="260" t="str">
        <f t="shared" si="10"/>
        <v/>
      </c>
      <c r="D51" s="260"/>
      <c r="E51" s="260">
        <f t="shared" si="7"/>
        <v>0</v>
      </c>
      <c r="F51" s="260">
        <f t="shared" si="8"/>
        <v>-10</v>
      </c>
    </row>
    <row r="52" ht="14.25" customHeight="1">
      <c r="B52" s="259">
        <v>45151.0</v>
      </c>
      <c r="C52" s="260" t="str">
        <f t="shared" si="10"/>
        <v/>
      </c>
      <c r="D52" s="260"/>
      <c r="E52" s="260">
        <f t="shared" si="7"/>
        <v>0</v>
      </c>
      <c r="F52" s="260">
        <f t="shared" si="8"/>
        <v>-10</v>
      </c>
    </row>
    <row r="53" ht="14.25" customHeight="1">
      <c r="B53" s="219">
        <v>45152.0</v>
      </c>
      <c r="C53" s="220" t="str">
        <f t="shared" si="10"/>
        <v/>
      </c>
      <c r="D53" s="220"/>
      <c r="E53" s="220">
        <f t="shared" si="7"/>
        <v>0</v>
      </c>
      <c r="F53" s="220">
        <f t="shared" si="8"/>
        <v>-10</v>
      </c>
    </row>
    <row r="54" ht="14.25" customHeight="1">
      <c r="B54" s="219">
        <v>45153.0</v>
      </c>
      <c r="C54" s="220" t="str">
        <f t="shared" si="10"/>
        <v/>
      </c>
      <c r="D54" s="220"/>
      <c r="E54" s="220">
        <f t="shared" si="7"/>
        <v>0</v>
      </c>
      <c r="F54" s="220">
        <f t="shared" si="8"/>
        <v>-10</v>
      </c>
    </row>
    <row r="55" ht="14.25" customHeight="1">
      <c r="B55" s="219">
        <v>45154.0</v>
      </c>
      <c r="C55" s="220" t="str">
        <f t="shared" si="10"/>
        <v/>
      </c>
      <c r="D55" s="220"/>
      <c r="E55" s="220">
        <f t="shared" si="7"/>
        <v>0</v>
      </c>
      <c r="F55" s="220">
        <f t="shared" si="8"/>
        <v>-10</v>
      </c>
    </row>
    <row r="56" ht="14.25" customHeight="1">
      <c r="B56" s="219">
        <v>45155.0</v>
      </c>
      <c r="C56" s="220" t="str">
        <f t="shared" si="10"/>
        <v/>
      </c>
      <c r="D56" s="220"/>
      <c r="E56" s="220">
        <f t="shared" si="7"/>
        <v>0</v>
      </c>
      <c r="F56" s="220">
        <f t="shared" si="8"/>
        <v>-10</v>
      </c>
    </row>
    <row r="57" ht="14.25" customHeight="1">
      <c r="B57" s="219">
        <v>45156.0</v>
      </c>
      <c r="C57" s="220">
        <v>6797.3</v>
      </c>
      <c r="D57" s="220">
        <v>6805.7</v>
      </c>
      <c r="E57" s="220">
        <f t="shared" si="7"/>
        <v>8.4</v>
      </c>
      <c r="F57" s="220">
        <f t="shared" si="8"/>
        <v>-1.6</v>
      </c>
    </row>
    <row r="58" ht="14.25" customHeight="1">
      <c r="B58" s="259">
        <v>45157.0</v>
      </c>
      <c r="C58" s="260">
        <f t="shared" ref="C58:C65" si="11">D57</f>
        <v>6805.7</v>
      </c>
      <c r="D58" s="260">
        <v>6813.5</v>
      </c>
      <c r="E58" s="260">
        <f t="shared" si="7"/>
        <v>7.8</v>
      </c>
      <c r="F58" s="260">
        <f t="shared" si="8"/>
        <v>-2.2</v>
      </c>
    </row>
    <row r="59" ht="14.25" customHeight="1">
      <c r="B59" s="259">
        <v>45158.0</v>
      </c>
      <c r="C59" s="260">
        <f t="shared" si="11"/>
        <v>6813.5</v>
      </c>
      <c r="D59" s="260">
        <v>6819.4</v>
      </c>
      <c r="E59" s="260">
        <f t="shared" si="7"/>
        <v>5.9</v>
      </c>
      <c r="F59" s="260">
        <f t="shared" si="8"/>
        <v>-4.1</v>
      </c>
      <c r="G59" s="165">
        <v>50.0</v>
      </c>
    </row>
    <row r="60" ht="14.25" customHeight="1">
      <c r="B60" s="219">
        <v>45159.0</v>
      </c>
      <c r="C60" s="220">
        <f t="shared" si="11"/>
        <v>6819.4</v>
      </c>
      <c r="D60" s="220">
        <v>6828.3</v>
      </c>
      <c r="E60" s="220">
        <f t="shared" si="7"/>
        <v>8.9</v>
      </c>
      <c r="F60" s="220">
        <f t="shared" si="8"/>
        <v>-1.1</v>
      </c>
    </row>
    <row r="61" ht="14.25" customHeight="1">
      <c r="B61" s="219">
        <v>45160.0</v>
      </c>
      <c r="C61" s="220">
        <f t="shared" si="11"/>
        <v>6828.3</v>
      </c>
      <c r="D61" s="220">
        <v>6838.2</v>
      </c>
      <c r="E61" s="220">
        <f t="shared" si="7"/>
        <v>9.9</v>
      </c>
      <c r="F61" s="220">
        <f t="shared" si="8"/>
        <v>-0.1</v>
      </c>
    </row>
    <row r="62" ht="14.25" customHeight="1">
      <c r="B62" s="219">
        <v>45161.0</v>
      </c>
      <c r="C62" s="220">
        <f t="shared" si="11"/>
        <v>6838.2</v>
      </c>
      <c r="D62" s="220">
        <v>6848.8</v>
      </c>
      <c r="E62" s="220">
        <f t="shared" si="7"/>
        <v>10.6</v>
      </c>
      <c r="F62" s="220">
        <f t="shared" si="8"/>
        <v>0.6</v>
      </c>
      <c r="H62" s="165" t="s">
        <v>279</v>
      </c>
    </row>
    <row r="63" ht="14.25" customHeight="1">
      <c r="B63" s="219">
        <v>45162.0</v>
      </c>
      <c r="C63" s="220">
        <f t="shared" si="11"/>
        <v>6848.8</v>
      </c>
      <c r="D63" s="220">
        <v>6858.6</v>
      </c>
      <c r="E63" s="220">
        <f t="shared" si="7"/>
        <v>9.8</v>
      </c>
      <c r="F63" s="220">
        <f t="shared" si="8"/>
        <v>-0.2</v>
      </c>
    </row>
    <row r="64" ht="14.25" customHeight="1">
      <c r="B64" s="219">
        <v>45163.0</v>
      </c>
      <c r="C64" s="220">
        <f t="shared" si="11"/>
        <v>6858.6</v>
      </c>
      <c r="D64" s="220">
        <v>6867.7</v>
      </c>
      <c r="E64" s="220">
        <f t="shared" si="7"/>
        <v>9.1</v>
      </c>
      <c r="F64" s="220">
        <f t="shared" si="8"/>
        <v>-0.9</v>
      </c>
    </row>
    <row r="65" ht="14.25" customHeight="1">
      <c r="B65" s="259">
        <v>45164.0</v>
      </c>
      <c r="C65" s="260">
        <f t="shared" si="11"/>
        <v>6867.7</v>
      </c>
      <c r="D65" s="260">
        <v>6873.7</v>
      </c>
      <c r="E65" s="260">
        <f t="shared" si="7"/>
        <v>6</v>
      </c>
      <c r="F65" s="260">
        <f t="shared" si="8"/>
        <v>-4</v>
      </c>
    </row>
    <row r="66" ht="14.25" customHeight="1">
      <c r="B66" s="259">
        <v>45165.0</v>
      </c>
      <c r="C66" s="260"/>
      <c r="D66" s="260"/>
      <c r="E66" s="260">
        <f t="shared" si="7"/>
        <v>0</v>
      </c>
      <c r="F66" s="260">
        <f t="shared" si="8"/>
        <v>-10</v>
      </c>
    </row>
    <row r="67" ht="14.25" customHeight="1">
      <c r="B67" s="219">
        <v>45166.0</v>
      </c>
      <c r="C67" s="220">
        <v>6873.7</v>
      </c>
      <c r="D67" s="220">
        <v>6883.2</v>
      </c>
      <c r="E67" s="220">
        <f t="shared" si="7"/>
        <v>9.5</v>
      </c>
      <c r="F67" s="220">
        <f t="shared" si="8"/>
        <v>-0.5</v>
      </c>
    </row>
    <row r="68" ht="14.25" customHeight="1">
      <c r="B68" s="219">
        <v>45167.0</v>
      </c>
      <c r="C68" s="220">
        <f t="shared" ref="C68:C70" si="12">D67</f>
        <v>6883.2</v>
      </c>
      <c r="D68" s="220">
        <v>6892.7</v>
      </c>
      <c r="E68" s="220">
        <f t="shared" si="7"/>
        <v>9.5</v>
      </c>
      <c r="F68" s="220">
        <f t="shared" si="8"/>
        <v>-0.5</v>
      </c>
    </row>
    <row r="69" ht="14.25" customHeight="1">
      <c r="B69" s="219">
        <v>45168.0</v>
      </c>
      <c r="C69" s="220">
        <f t="shared" si="12"/>
        <v>6892.7</v>
      </c>
      <c r="D69" s="220">
        <v>6901.4</v>
      </c>
      <c r="E69" s="220">
        <f t="shared" si="7"/>
        <v>8.7</v>
      </c>
      <c r="F69" s="220">
        <f t="shared" si="8"/>
        <v>-1.3</v>
      </c>
    </row>
    <row r="70" ht="14.25" customHeight="1">
      <c r="B70" s="219">
        <v>45169.0</v>
      </c>
      <c r="C70" s="220">
        <f t="shared" si="12"/>
        <v>6901.4</v>
      </c>
      <c r="D70" s="220">
        <v>6911.2</v>
      </c>
      <c r="E70" s="220">
        <f t="shared" si="7"/>
        <v>9.8</v>
      </c>
      <c r="F70" s="220">
        <f t="shared" si="8"/>
        <v>-0.2</v>
      </c>
    </row>
    <row r="71" ht="14.25" customHeight="1">
      <c r="B71" s="216"/>
      <c r="C71" s="223" t="s">
        <v>221</v>
      </c>
      <c r="D71" s="223"/>
      <c r="E71" s="216">
        <f>SUM(E40:E70)</f>
        <v>137.2</v>
      </c>
      <c r="F71" s="216">
        <f t="shared" si="8"/>
        <v>127.2</v>
      </c>
    </row>
    <row r="72" ht="14.25" customHeight="1"/>
    <row r="73" ht="14.25" customHeight="1">
      <c r="A73" s="249" t="s">
        <v>275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1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275</v>
      </c>
      <c r="L75" s="231"/>
    </row>
    <row r="76" ht="14.25" customHeight="1">
      <c r="B76" s="219">
        <v>45078.0</v>
      </c>
      <c r="C76" s="220"/>
      <c r="D76" s="220"/>
      <c r="E76" s="220">
        <f t="shared" ref="E76:E106" si="13">D76-C76</f>
        <v>0</v>
      </c>
      <c r="F76" s="220">
        <f t="shared" ref="F76:F107" si="14">E76-10</f>
        <v>-10</v>
      </c>
      <c r="H76" s="216" t="s">
        <v>245</v>
      </c>
      <c r="I76" s="216"/>
      <c r="K76" s="216" t="s">
        <v>244</v>
      </c>
      <c r="L76" s="232">
        <v>2000.0</v>
      </c>
    </row>
    <row r="77" ht="14.25" customHeight="1">
      <c r="B77" s="219">
        <v>45079.0</v>
      </c>
      <c r="C77" s="220" t="str">
        <f t="shared" ref="C77:C106" si="15">D76</f>
        <v/>
      </c>
      <c r="D77" s="220"/>
      <c r="E77" s="220">
        <f t="shared" si="13"/>
        <v>0</v>
      </c>
      <c r="F77" s="220">
        <f t="shared" si="14"/>
        <v>-10</v>
      </c>
      <c r="H77" s="216" t="s">
        <v>247</v>
      </c>
      <c r="I77" s="216"/>
      <c r="K77" s="216" t="s">
        <v>266</v>
      </c>
      <c r="L77" s="232"/>
    </row>
    <row r="78" ht="14.25" customHeight="1">
      <c r="B78" s="254">
        <v>45080.0</v>
      </c>
      <c r="C78" s="255" t="str">
        <f t="shared" si="15"/>
        <v/>
      </c>
      <c r="D78" s="255"/>
      <c r="E78" s="255">
        <f t="shared" si="13"/>
        <v>0</v>
      </c>
      <c r="F78" s="255">
        <f t="shared" si="14"/>
        <v>-10</v>
      </c>
      <c r="H78" s="216" t="s">
        <v>249</v>
      </c>
      <c r="I78" s="232">
        <v>18.0</v>
      </c>
      <c r="K78" s="216" t="s">
        <v>246</v>
      </c>
      <c r="L78" s="232">
        <f>O78*O79</f>
        <v>0</v>
      </c>
    </row>
    <row r="79" ht="14.25" customHeight="1">
      <c r="B79" s="254">
        <v>45081.0</v>
      </c>
      <c r="C79" s="255" t="str">
        <f t="shared" si="15"/>
        <v/>
      </c>
      <c r="D79" s="255"/>
      <c r="E79" s="255">
        <f t="shared" si="13"/>
        <v>0</v>
      </c>
      <c r="F79" s="255">
        <f t="shared" si="14"/>
        <v>-10</v>
      </c>
      <c r="H79" s="216" t="s">
        <v>251</v>
      </c>
      <c r="I79" s="216"/>
      <c r="K79" s="216" t="s">
        <v>248</v>
      </c>
      <c r="L79" s="232">
        <f>O80*O81</f>
        <v>0</v>
      </c>
    </row>
    <row r="80" ht="14.25" customHeight="1">
      <c r="B80" s="219">
        <v>45082.0</v>
      </c>
      <c r="C80" s="220" t="str">
        <f t="shared" si="15"/>
        <v/>
      </c>
      <c r="D80" s="220"/>
      <c r="E80" s="220">
        <f t="shared" si="13"/>
        <v>0</v>
      </c>
      <c r="F80" s="220">
        <f t="shared" si="14"/>
        <v>-10</v>
      </c>
      <c r="H80" s="216" t="s">
        <v>249</v>
      </c>
      <c r="I80" s="232">
        <v>10.0</v>
      </c>
      <c r="K80" s="216" t="s">
        <v>250</v>
      </c>
      <c r="L80" s="232">
        <f>O82*100</f>
        <v>0</v>
      </c>
    </row>
    <row r="81" ht="14.25" customHeight="1">
      <c r="B81" s="219">
        <v>45083.0</v>
      </c>
      <c r="C81" s="220" t="str">
        <f t="shared" si="15"/>
        <v/>
      </c>
      <c r="D81" s="220"/>
      <c r="E81" s="220">
        <f t="shared" si="13"/>
        <v>0</v>
      </c>
      <c r="F81" s="220">
        <f t="shared" si="14"/>
        <v>-10</v>
      </c>
      <c r="H81" s="216" t="s">
        <v>267</v>
      </c>
      <c r="I81" s="216"/>
      <c r="K81" s="216" t="s">
        <v>252</v>
      </c>
      <c r="L81" s="232"/>
    </row>
    <row r="82" ht="14.25" customHeight="1">
      <c r="B82" s="219">
        <v>45084.0</v>
      </c>
      <c r="C82" s="220" t="str">
        <f t="shared" si="15"/>
        <v/>
      </c>
      <c r="D82" s="220"/>
      <c r="E82" s="220">
        <f t="shared" si="13"/>
        <v>0</v>
      </c>
      <c r="F82" s="220">
        <f t="shared" si="14"/>
        <v>-10</v>
      </c>
      <c r="K82" s="216" t="s">
        <v>268</v>
      </c>
      <c r="L82" s="232">
        <f>L76+L78+L79+L80-L77-L81</f>
        <v>2000</v>
      </c>
    </row>
    <row r="83" ht="14.25" customHeight="1">
      <c r="B83" s="219">
        <v>45085.0</v>
      </c>
      <c r="C83" s="220" t="str">
        <f t="shared" si="15"/>
        <v/>
      </c>
      <c r="D83" s="220"/>
      <c r="E83" s="220">
        <f t="shared" si="13"/>
        <v>0</v>
      </c>
      <c r="F83" s="220">
        <f t="shared" si="14"/>
        <v>-10</v>
      </c>
      <c r="K83" s="216" t="s">
        <v>269</v>
      </c>
      <c r="L83" s="229"/>
    </row>
    <row r="84" ht="14.25" customHeight="1">
      <c r="B84" s="219">
        <v>45086.0</v>
      </c>
      <c r="C84" s="220" t="str">
        <f t="shared" si="15"/>
        <v/>
      </c>
      <c r="D84" s="220"/>
      <c r="E84" s="220">
        <f t="shared" si="13"/>
        <v>0</v>
      </c>
      <c r="F84" s="220">
        <f t="shared" si="14"/>
        <v>-10</v>
      </c>
    </row>
    <row r="85" ht="14.25" customHeight="1">
      <c r="B85" s="254">
        <v>45087.0</v>
      </c>
      <c r="C85" s="255" t="str">
        <f t="shared" si="15"/>
        <v/>
      </c>
      <c r="D85" s="255"/>
      <c r="E85" s="255">
        <f t="shared" si="13"/>
        <v>0</v>
      </c>
      <c r="F85" s="255">
        <f t="shared" si="14"/>
        <v>-10</v>
      </c>
    </row>
    <row r="86" ht="14.25" customHeight="1">
      <c r="B86" s="254">
        <v>45088.0</v>
      </c>
      <c r="C86" s="255" t="str">
        <f t="shared" si="15"/>
        <v/>
      </c>
      <c r="D86" s="255"/>
      <c r="E86" s="255">
        <f t="shared" si="13"/>
        <v>0</v>
      </c>
      <c r="F86" s="255">
        <f t="shared" si="14"/>
        <v>-10</v>
      </c>
    </row>
    <row r="87" ht="14.25" customHeight="1">
      <c r="B87" s="219">
        <v>45089.0</v>
      </c>
      <c r="C87" s="220" t="str">
        <f t="shared" si="15"/>
        <v/>
      </c>
      <c r="D87" s="220"/>
      <c r="E87" s="220">
        <f t="shared" si="13"/>
        <v>0</v>
      </c>
      <c r="F87" s="220">
        <f t="shared" si="14"/>
        <v>-10</v>
      </c>
    </row>
    <row r="88" ht="14.25" customHeight="1">
      <c r="B88" s="219">
        <v>45090.0</v>
      </c>
      <c r="C88" s="220" t="str">
        <f t="shared" si="15"/>
        <v/>
      </c>
      <c r="D88" s="220"/>
      <c r="E88" s="220">
        <f t="shared" si="13"/>
        <v>0</v>
      </c>
      <c r="F88" s="220">
        <f t="shared" si="14"/>
        <v>-10</v>
      </c>
    </row>
    <row r="89" ht="14.25" customHeight="1">
      <c r="B89" s="219">
        <v>45091.0</v>
      </c>
      <c r="C89" s="220" t="str">
        <f t="shared" si="15"/>
        <v/>
      </c>
      <c r="D89" s="220"/>
      <c r="E89" s="220">
        <f t="shared" si="13"/>
        <v>0</v>
      </c>
      <c r="F89" s="220">
        <f t="shared" si="14"/>
        <v>-10</v>
      </c>
    </row>
    <row r="90" ht="14.25" customHeight="1">
      <c r="B90" s="219">
        <v>45092.0</v>
      </c>
      <c r="C90" s="220" t="str">
        <f t="shared" si="15"/>
        <v/>
      </c>
      <c r="D90" s="220"/>
      <c r="E90" s="220">
        <f t="shared" si="13"/>
        <v>0</v>
      </c>
      <c r="F90" s="220">
        <f t="shared" si="14"/>
        <v>-10</v>
      </c>
    </row>
    <row r="91" ht="14.25" customHeight="1">
      <c r="B91" s="219">
        <v>45093.0</v>
      </c>
      <c r="C91" s="220" t="str">
        <f t="shared" si="15"/>
        <v/>
      </c>
      <c r="D91" s="220"/>
      <c r="E91" s="220">
        <f t="shared" si="13"/>
        <v>0</v>
      </c>
      <c r="F91" s="220">
        <f t="shared" si="14"/>
        <v>-10</v>
      </c>
    </row>
    <row r="92" ht="14.25" customHeight="1">
      <c r="B92" s="254">
        <v>45094.0</v>
      </c>
      <c r="C92" s="255" t="str">
        <f t="shared" si="15"/>
        <v/>
      </c>
      <c r="D92" s="255"/>
      <c r="E92" s="255">
        <f t="shared" si="13"/>
        <v>0</v>
      </c>
      <c r="F92" s="255">
        <f t="shared" si="14"/>
        <v>-10</v>
      </c>
    </row>
    <row r="93" ht="14.25" customHeight="1">
      <c r="B93" s="254">
        <v>45095.0</v>
      </c>
      <c r="C93" s="255" t="str">
        <f t="shared" si="15"/>
        <v/>
      </c>
      <c r="D93" s="255"/>
      <c r="E93" s="255">
        <f t="shared" si="13"/>
        <v>0</v>
      </c>
      <c r="F93" s="255">
        <f t="shared" si="14"/>
        <v>-10</v>
      </c>
    </row>
    <row r="94" ht="14.25" customHeight="1">
      <c r="B94" s="219">
        <v>45096.0</v>
      </c>
      <c r="C94" s="220" t="str">
        <f t="shared" si="15"/>
        <v/>
      </c>
      <c r="D94" s="220"/>
      <c r="E94" s="220">
        <f t="shared" si="13"/>
        <v>0</v>
      </c>
      <c r="F94" s="220">
        <f t="shared" si="14"/>
        <v>-10</v>
      </c>
    </row>
    <row r="95" ht="14.25" customHeight="1">
      <c r="B95" s="219">
        <v>45097.0</v>
      </c>
      <c r="C95" s="220" t="str">
        <f t="shared" si="15"/>
        <v/>
      </c>
      <c r="D95" s="220"/>
      <c r="E95" s="220">
        <f t="shared" si="13"/>
        <v>0</v>
      </c>
      <c r="F95" s="220">
        <f t="shared" si="14"/>
        <v>-10</v>
      </c>
    </row>
    <row r="96" ht="14.25" customHeight="1">
      <c r="B96" s="219">
        <v>45098.0</v>
      </c>
      <c r="C96" s="220" t="str">
        <f t="shared" si="15"/>
        <v/>
      </c>
      <c r="D96" s="220"/>
      <c r="E96" s="220">
        <f t="shared" si="13"/>
        <v>0</v>
      </c>
      <c r="F96" s="220">
        <f t="shared" si="14"/>
        <v>-10</v>
      </c>
    </row>
    <row r="97" ht="14.25" customHeight="1">
      <c r="B97" s="219">
        <v>45099.0</v>
      </c>
      <c r="C97" s="220" t="str">
        <f t="shared" si="15"/>
        <v/>
      </c>
      <c r="D97" s="220"/>
      <c r="E97" s="220">
        <f t="shared" si="13"/>
        <v>0</v>
      </c>
      <c r="F97" s="220">
        <f t="shared" si="14"/>
        <v>-10</v>
      </c>
    </row>
    <row r="98" ht="14.25" customHeight="1">
      <c r="B98" s="219">
        <v>45100.0</v>
      </c>
      <c r="C98" s="220" t="str">
        <f t="shared" si="15"/>
        <v/>
      </c>
      <c r="D98" s="220"/>
      <c r="E98" s="220">
        <f t="shared" si="13"/>
        <v>0</v>
      </c>
      <c r="F98" s="220">
        <f t="shared" si="14"/>
        <v>-10</v>
      </c>
    </row>
    <row r="99" ht="14.25" customHeight="1">
      <c r="B99" s="254">
        <v>45101.0</v>
      </c>
      <c r="C99" s="255" t="str">
        <f t="shared" si="15"/>
        <v/>
      </c>
      <c r="D99" s="255"/>
      <c r="E99" s="255">
        <f t="shared" si="13"/>
        <v>0</v>
      </c>
      <c r="F99" s="255">
        <f t="shared" si="14"/>
        <v>-10</v>
      </c>
    </row>
    <row r="100" ht="14.25" customHeight="1">
      <c r="B100" s="254">
        <v>45102.0</v>
      </c>
      <c r="C100" s="255" t="str">
        <f t="shared" si="15"/>
        <v/>
      </c>
      <c r="D100" s="255"/>
      <c r="E100" s="255">
        <f t="shared" si="13"/>
        <v>0</v>
      </c>
      <c r="F100" s="255">
        <f t="shared" si="14"/>
        <v>-10</v>
      </c>
    </row>
    <row r="101" ht="14.25" customHeight="1">
      <c r="B101" s="219">
        <v>45103.0</v>
      </c>
      <c r="C101" s="220" t="str">
        <f t="shared" si="15"/>
        <v/>
      </c>
      <c r="D101" s="220"/>
      <c r="E101" s="220">
        <f t="shared" si="13"/>
        <v>0</v>
      </c>
      <c r="F101" s="220">
        <f t="shared" si="14"/>
        <v>-10</v>
      </c>
    </row>
    <row r="102" ht="14.25" customHeight="1">
      <c r="B102" s="219">
        <v>45104.0</v>
      </c>
      <c r="C102" s="220" t="str">
        <f t="shared" si="15"/>
        <v/>
      </c>
      <c r="D102" s="220"/>
      <c r="E102" s="220">
        <f t="shared" si="13"/>
        <v>0</v>
      </c>
      <c r="F102" s="220">
        <f t="shared" si="14"/>
        <v>-10</v>
      </c>
    </row>
    <row r="103" ht="14.25" customHeight="1">
      <c r="B103" s="219">
        <v>45105.0</v>
      </c>
      <c r="C103" s="220" t="str">
        <f t="shared" si="15"/>
        <v/>
      </c>
      <c r="D103" s="220"/>
      <c r="E103" s="220">
        <f t="shared" si="13"/>
        <v>0</v>
      </c>
      <c r="F103" s="220">
        <f t="shared" si="14"/>
        <v>-10</v>
      </c>
    </row>
    <row r="104" ht="14.25" customHeight="1">
      <c r="B104" s="219">
        <v>45106.0</v>
      </c>
      <c r="C104" s="220" t="str">
        <f t="shared" si="15"/>
        <v/>
      </c>
      <c r="D104" s="220"/>
      <c r="E104" s="220">
        <f t="shared" si="13"/>
        <v>0</v>
      </c>
      <c r="F104" s="220">
        <f t="shared" si="14"/>
        <v>-10</v>
      </c>
    </row>
    <row r="105" ht="14.25" customHeight="1">
      <c r="B105" s="219">
        <v>45107.0</v>
      </c>
      <c r="C105" s="220" t="str">
        <f t="shared" si="15"/>
        <v/>
      </c>
      <c r="D105" s="220"/>
      <c r="E105" s="220">
        <f t="shared" si="13"/>
        <v>0</v>
      </c>
      <c r="F105" s="220">
        <f t="shared" si="14"/>
        <v>-10</v>
      </c>
    </row>
    <row r="106" ht="14.25" customHeight="1">
      <c r="B106" s="229"/>
      <c r="C106" s="220" t="str">
        <f t="shared" si="15"/>
        <v/>
      </c>
      <c r="D106" s="220"/>
      <c r="E106" s="220">
        <f t="shared" si="13"/>
        <v>0</v>
      </c>
      <c r="F106" s="220">
        <f t="shared" si="14"/>
        <v>-10</v>
      </c>
    </row>
    <row r="107" ht="14.25" customHeight="1">
      <c r="B107" s="216"/>
      <c r="C107" s="223" t="s">
        <v>221</v>
      </c>
      <c r="D107" s="223"/>
      <c r="E107" s="216">
        <f>SUM(E76:E106)</f>
        <v>0</v>
      </c>
      <c r="F107" s="216">
        <f t="shared" si="14"/>
        <v>-10</v>
      </c>
    </row>
    <row r="108" ht="14.25" customHeight="1"/>
    <row r="109" ht="14.25" customHeight="1">
      <c r="A109" s="249" t="s">
        <v>235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1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/>
      <c r="K111" s="253" t="s">
        <v>235</v>
      </c>
      <c r="L111" s="231"/>
    </row>
    <row r="112" ht="14.25" customHeight="1">
      <c r="B112" s="219">
        <v>45078.0</v>
      </c>
      <c r="C112" s="220"/>
      <c r="D112" s="220"/>
      <c r="E112" s="220">
        <f t="shared" ref="E112:E142" si="16">D112-C112</f>
        <v>0</v>
      </c>
      <c r="F112" s="220">
        <f t="shared" ref="F112:F143" si="17">E112-10</f>
        <v>-10</v>
      </c>
      <c r="H112" s="216" t="s">
        <v>245</v>
      </c>
      <c r="I112" s="216"/>
      <c r="K112" s="216" t="s">
        <v>244</v>
      </c>
      <c r="L112" s="232">
        <v>2000.0</v>
      </c>
    </row>
    <row r="113" ht="14.25" customHeight="1">
      <c r="B113" s="219">
        <v>45079.0</v>
      </c>
      <c r="C113" s="220" t="str">
        <f t="shared" ref="C113:C142" si="18">D112</f>
        <v/>
      </c>
      <c r="D113" s="220"/>
      <c r="E113" s="220">
        <f t="shared" si="16"/>
        <v>0</v>
      </c>
      <c r="F113" s="220">
        <f t="shared" si="17"/>
        <v>-10</v>
      </c>
      <c r="H113" s="216" t="s">
        <v>247</v>
      </c>
      <c r="I113" s="216"/>
      <c r="K113" s="216" t="s">
        <v>266</v>
      </c>
      <c r="L113" s="232"/>
    </row>
    <row r="114" ht="14.25" customHeight="1">
      <c r="B114" s="254">
        <v>45080.0</v>
      </c>
      <c r="C114" s="255" t="str">
        <f t="shared" si="18"/>
        <v/>
      </c>
      <c r="D114" s="255"/>
      <c r="E114" s="255">
        <f t="shared" si="16"/>
        <v>0</v>
      </c>
      <c r="F114" s="255">
        <f t="shared" si="17"/>
        <v>-10</v>
      </c>
      <c r="H114" s="216" t="s">
        <v>249</v>
      </c>
      <c r="I114" s="232">
        <v>18.0</v>
      </c>
      <c r="K114" s="216" t="s">
        <v>246</v>
      </c>
      <c r="L114" s="232">
        <f>O114*O115</f>
        <v>0</v>
      </c>
    </row>
    <row r="115" ht="14.25" customHeight="1">
      <c r="B115" s="254">
        <v>45081.0</v>
      </c>
      <c r="C115" s="255" t="str">
        <f t="shared" si="18"/>
        <v/>
      </c>
      <c r="D115" s="255"/>
      <c r="E115" s="255">
        <f t="shared" si="16"/>
        <v>0</v>
      </c>
      <c r="F115" s="255">
        <f t="shared" si="17"/>
        <v>-10</v>
      </c>
      <c r="H115" s="216" t="s">
        <v>251</v>
      </c>
      <c r="I115" s="216"/>
      <c r="K115" s="216" t="s">
        <v>248</v>
      </c>
      <c r="L115" s="232">
        <f>O116*O117</f>
        <v>0</v>
      </c>
    </row>
    <row r="116" ht="14.25" customHeight="1">
      <c r="B116" s="219">
        <v>45082.0</v>
      </c>
      <c r="C116" s="220" t="str">
        <f t="shared" si="18"/>
        <v/>
      </c>
      <c r="D116" s="220"/>
      <c r="E116" s="220">
        <f t="shared" si="16"/>
        <v>0</v>
      </c>
      <c r="F116" s="220">
        <f t="shared" si="17"/>
        <v>-10</v>
      </c>
      <c r="H116" s="216" t="s">
        <v>249</v>
      </c>
      <c r="I116" s="232">
        <v>10.0</v>
      </c>
      <c r="K116" s="216" t="s">
        <v>250</v>
      </c>
      <c r="L116" s="232">
        <f>O118*100</f>
        <v>0</v>
      </c>
    </row>
    <row r="117" ht="14.25" customHeight="1">
      <c r="B117" s="219">
        <v>45083.0</v>
      </c>
      <c r="C117" s="220" t="str">
        <f t="shared" si="18"/>
        <v/>
      </c>
      <c r="D117" s="220"/>
      <c r="E117" s="220">
        <f t="shared" si="16"/>
        <v>0</v>
      </c>
      <c r="F117" s="220">
        <f t="shared" si="17"/>
        <v>-10</v>
      </c>
      <c r="H117" s="216" t="s">
        <v>250</v>
      </c>
      <c r="I117" s="216"/>
      <c r="K117" s="216" t="s">
        <v>252</v>
      </c>
      <c r="L117" s="232"/>
    </row>
    <row r="118" ht="14.25" customHeight="1">
      <c r="B118" s="219">
        <v>45084.0</v>
      </c>
      <c r="C118" s="220" t="str">
        <f t="shared" si="18"/>
        <v/>
      </c>
      <c r="D118" s="220"/>
      <c r="E118" s="220">
        <f t="shared" si="16"/>
        <v>0</v>
      </c>
      <c r="F118" s="220">
        <f t="shared" si="17"/>
        <v>-10</v>
      </c>
      <c r="K118" s="216" t="s">
        <v>268</v>
      </c>
      <c r="L118" s="232">
        <f>L112+L114+L115+L116-L113-L117</f>
        <v>2000</v>
      </c>
    </row>
    <row r="119" ht="14.25" customHeight="1">
      <c r="B119" s="219">
        <v>45085.0</v>
      </c>
      <c r="C119" s="220" t="str">
        <f t="shared" si="18"/>
        <v/>
      </c>
      <c r="D119" s="220"/>
      <c r="E119" s="220">
        <f t="shared" si="16"/>
        <v>0</v>
      </c>
      <c r="F119" s="220">
        <f t="shared" si="17"/>
        <v>-10</v>
      </c>
      <c r="K119" s="216" t="s">
        <v>269</v>
      </c>
      <c r="L119" s="229"/>
    </row>
    <row r="120" ht="14.25" customHeight="1">
      <c r="B120" s="219">
        <v>45086.0</v>
      </c>
      <c r="C120" s="220" t="str">
        <f t="shared" si="18"/>
        <v/>
      </c>
      <c r="D120" s="220"/>
      <c r="E120" s="220">
        <f t="shared" si="16"/>
        <v>0</v>
      </c>
      <c r="F120" s="220">
        <f t="shared" si="17"/>
        <v>-10</v>
      </c>
    </row>
    <row r="121" ht="14.25" customHeight="1">
      <c r="B121" s="254">
        <v>45087.0</v>
      </c>
      <c r="C121" s="255" t="str">
        <f t="shared" si="18"/>
        <v/>
      </c>
      <c r="D121" s="255"/>
      <c r="E121" s="255">
        <f t="shared" si="16"/>
        <v>0</v>
      </c>
      <c r="F121" s="255">
        <f t="shared" si="17"/>
        <v>-10</v>
      </c>
    </row>
    <row r="122" ht="14.25" customHeight="1">
      <c r="B122" s="254">
        <v>45088.0</v>
      </c>
      <c r="C122" s="255" t="str">
        <f t="shared" si="18"/>
        <v/>
      </c>
      <c r="D122" s="255"/>
      <c r="E122" s="255">
        <f t="shared" si="16"/>
        <v>0</v>
      </c>
      <c r="F122" s="255">
        <f t="shared" si="17"/>
        <v>-10</v>
      </c>
    </row>
    <row r="123" ht="14.25" customHeight="1">
      <c r="B123" s="219">
        <v>45089.0</v>
      </c>
      <c r="C123" s="220" t="str">
        <f t="shared" si="18"/>
        <v/>
      </c>
      <c r="D123" s="220"/>
      <c r="E123" s="220">
        <f t="shared" si="16"/>
        <v>0</v>
      </c>
      <c r="F123" s="220">
        <f t="shared" si="17"/>
        <v>-10</v>
      </c>
    </row>
    <row r="124" ht="14.25" customHeight="1">
      <c r="B124" s="219">
        <v>45090.0</v>
      </c>
      <c r="C124" s="220" t="str">
        <f t="shared" si="18"/>
        <v/>
      </c>
      <c r="D124" s="220"/>
      <c r="E124" s="220">
        <f t="shared" si="16"/>
        <v>0</v>
      </c>
      <c r="F124" s="220">
        <f t="shared" si="17"/>
        <v>-10</v>
      </c>
    </row>
    <row r="125" ht="14.25" customHeight="1">
      <c r="B125" s="219">
        <v>45091.0</v>
      </c>
      <c r="C125" s="220" t="str">
        <f t="shared" si="18"/>
        <v/>
      </c>
      <c r="D125" s="220"/>
      <c r="E125" s="220">
        <f t="shared" si="16"/>
        <v>0</v>
      </c>
      <c r="F125" s="220">
        <f t="shared" si="17"/>
        <v>-10</v>
      </c>
    </row>
    <row r="126" ht="14.25" customHeight="1">
      <c r="B126" s="219">
        <v>45092.0</v>
      </c>
      <c r="C126" s="220" t="str">
        <f t="shared" si="18"/>
        <v/>
      </c>
      <c r="D126" s="220"/>
      <c r="E126" s="220">
        <f t="shared" si="16"/>
        <v>0</v>
      </c>
      <c r="F126" s="220">
        <f t="shared" si="17"/>
        <v>-10</v>
      </c>
    </row>
    <row r="127" ht="14.25" customHeight="1">
      <c r="B127" s="219">
        <v>45093.0</v>
      </c>
      <c r="C127" s="220" t="str">
        <f t="shared" si="18"/>
        <v/>
      </c>
      <c r="D127" s="220"/>
      <c r="E127" s="220">
        <f t="shared" si="16"/>
        <v>0</v>
      </c>
      <c r="F127" s="220">
        <f t="shared" si="17"/>
        <v>-10</v>
      </c>
    </row>
    <row r="128" ht="14.25" customHeight="1">
      <c r="B128" s="254">
        <v>45094.0</v>
      </c>
      <c r="C128" s="255" t="str">
        <f t="shared" si="18"/>
        <v/>
      </c>
      <c r="D128" s="255"/>
      <c r="E128" s="255">
        <f t="shared" si="16"/>
        <v>0</v>
      </c>
      <c r="F128" s="255">
        <f t="shared" si="17"/>
        <v>-10</v>
      </c>
    </row>
    <row r="129" ht="14.25" customHeight="1">
      <c r="B129" s="254">
        <v>45095.0</v>
      </c>
      <c r="C129" s="255" t="str">
        <f t="shared" si="18"/>
        <v/>
      </c>
      <c r="D129" s="255"/>
      <c r="E129" s="255">
        <f t="shared" si="16"/>
        <v>0</v>
      </c>
      <c r="F129" s="255">
        <f t="shared" si="17"/>
        <v>-10</v>
      </c>
    </row>
    <row r="130" ht="14.25" customHeight="1">
      <c r="B130" s="219">
        <v>45096.0</v>
      </c>
      <c r="C130" s="220" t="str">
        <f t="shared" si="18"/>
        <v/>
      </c>
      <c r="D130" s="220"/>
      <c r="E130" s="220">
        <f t="shared" si="16"/>
        <v>0</v>
      </c>
      <c r="F130" s="220">
        <f t="shared" si="17"/>
        <v>-10</v>
      </c>
    </row>
    <row r="131" ht="14.25" customHeight="1">
      <c r="B131" s="219">
        <v>45097.0</v>
      </c>
      <c r="C131" s="220" t="str">
        <f t="shared" si="18"/>
        <v/>
      </c>
      <c r="D131" s="220"/>
      <c r="E131" s="220">
        <f t="shared" si="16"/>
        <v>0</v>
      </c>
      <c r="F131" s="220">
        <f t="shared" si="17"/>
        <v>-10</v>
      </c>
    </row>
    <row r="132" ht="14.25" customHeight="1">
      <c r="B132" s="219">
        <v>45098.0</v>
      </c>
      <c r="C132" s="220" t="str">
        <f t="shared" si="18"/>
        <v/>
      </c>
      <c r="D132" s="220"/>
      <c r="E132" s="220">
        <f t="shared" si="16"/>
        <v>0</v>
      </c>
      <c r="F132" s="220">
        <f t="shared" si="17"/>
        <v>-10</v>
      </c>
    </row>
    <row r="133" ht="14.25" customHeight="1">
      <c r="B133" s="219">
        <v>45099.0</v>
      </c>
      <c r="C133" s="220" t="str">
        <f t="shared" si="18"/>
        <v/>
      </c>
      <c r="D133" s="220"/>
      <c r="E133" s="220">
        <f t="shared" si="16"/>
        <v>0</v>
      </c>
      <c r="F133" s="220">
        <f t="shared" si="17"/>
        <v>-10</v>
      </c>
    </row>
    <row r="134" ht="14.25" customHeight="1">
      <c r="B134" s="219">
        <v>45100.0</v>
      </c>
      <c r="C134" s="220" t="str">
        <f t="shared" si="18"/>
        <v/>
      </c>
      <c r="D134" s="220"/>
      <c r="E134" s="220">
        <f t="shared" si="16"/>
        <v>0</v>
      </c>
      <c r="F134" s="220">
        <f t="shared" si="17"/>
        <v>-10</v>
      </c>
    </row>
    <row r="135" ht="14.25" customHeight="1">
      <c r="B135" s="254">
        <v>45101.0</v>
      </c>
      <c r="C135" s="255" t="str">
        <f t="shared" si="18"/>
        <v/>
      </c>
      <c r="D135" s="255"/>
      <c r="E135" s="255">
        <f t="shared" si="16"/>
        <v>0</v>
      </c>
      <c r="F135" s="255">
        <f t="shared" si="17"/>
        <v>-10</v>
      </c>
    </row>
    <row r="136" ht="14.25" customHeight="1">
      <c r="B136" s="254">
        <v>45102.0</v>
      </c>
      <c r="C136" s="255" t="str">
        <f t="shared" si="18"/>
        <v/>
      </c>
      <c r="D136" s="255"/>
      <c r="E136" s="255">
        <f t="shared" si="16"/>
        <v>0</v>
      </c>
      <c r="F136" s="255">
        <f t="shared" si="17"/>
        <v>-10</v>
      </c>
    </row>
    <row r="137" ht="14.25" customHeight="1">
      <c r="B137" s="219">
        <v>45103.0</v>
      </c>
      <c r="C137" s="220" t="str">
        <f t="shared" si="18"/>
        <v/>
      </c>
      <c r="D137" s="220"/>
      <c r="E137" s="220">
        <f t="shared" si="16"/>
        <v>0</v>
      </c>
      <c r="F137" s="220">
        <f t="shared" si="17"/>
        <v>-10</v>
      </c>
    </row>
    <row r="138" ht="14.25" customHeight="1">
      <c r="B138" s="219">
        <v>45104.0</v>
      </c>
      <c r="C138" s="220" t="str">
        <f t="shared" si="18"/>
        <v/>
      </c>
      <c r="D138" s="220"/>
      <c r="E138" s="220">
        <f t="shared" si="16"/>
        <v>0</v>
      </c>
      <c r="F138" s="220">
        <f t="shared" si="17"/>
        <v>-10</v>
      </c>
    </row>
    <row r="139" ht="14.25" customHeight="1">
      <c r="B139" s="219">
        <v>45105.0</v>
      </c>
      <c r="C139" s="220" t="str">
        <f t="shared" si="18"/>
        <v/>
      </c>
      <c r="D139" s="220"/>
      <c r="E139" s="220">
        <f t="shared" si="16"/>
        <v>0</v>
      </c>
      <c r="F139" s="220">
        <f t="shared" si="17"/>
        <v>-10</v>
      </c>
    </row>
    <row r="140" ht="14.25" customHeight="1">
      <c r="B140" s="219">
        <v>45106.0</v>
      </c>
      <c r="C140" s="220" t="str">
        <f t="shared" si="18"/>
        <v/>
      </c>
      <c r="D140" s="220"/>
      <c r="E140" s="220">
        <f t="shared" si="16"/>
        <v>0</v>
      </c>
      <c r="F140" s="220">
        <f t="shared" si="17"/>
        <v>-10</v>
      </c>
    </row>
    <row r="141" ht="14.25" customHeight="1">
      <c r="B141" s="219">
        <v>45107.0</v>
      </c>
      <c r="C141" s="220" t="str">
        <f t="shared" si="18"/>
        <v/>
      </c>
      <c r="D141" s="220"/>
      <c r="E141" s="220">
        <f t="shared" si="16"/>
        <v>0</v>
      </c>
      <c r="F141" s="220">
        <f t="shared" si="17"/>
        <v>-10</v>
      </c>
    </row>
    <row r="142" ht="14.25" customHeight="1">
      <c r="B142" s="229"/>
      <c r="C142" s="220" t="str">
        <f t="shared" si="18"/>
        <v/>
      </c>
      <c r="D142" s="220"/>
      <c r="E142" s="220">
        <f t="shared" si="16"/>
        <v>0</v>
      </c>
      <c r="F142" s="220">
        <f t="shared" si="17"/>
        <v>-10</v>
      </c>
    </row>
    <row r="143" ht="14.25" customHeight="1">
      <c r="B143" s="216"/>
      <c r="C143" s="223" t="s">
        <v>221</v>
      </c>
      <c r="D143" s="223"/>
      <c r="E143" s="216">
        <f>SUM(E112:E142)</f>
        <v>0</v>
      </c>
      <c r="F143" s="216">
        <f t="shared" si="17"/>
        <v>-10</v>
      </c>
    </row>
    <row r="144" ht="14.25" customHeight="1"/>
    <row r="145" ht="14.25" customHeight="1">
      <c r="A145" s="249" t="s">
        <v>276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1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236</v>
      </c>
      <c r="L147" s="231"/>
    </row>
    <row r="148" ht="14.25" customHeight="1">
      <c r="B148" s="219">
        <v>45078.0</v>
      </c>
      <c r="C148" s="220"/>
      <c r="D148" s="220"/>
      <c r="E148" s="220">
        <f t="shared" ref="E148:E178" si="19">D148-C148</f>
        <v>0</v>
      </c>
      <c r="F148" s="220">
        <f t="shared" ref="F148:F179" si="20">E148-10</f>
        <v>-10</v>
      </c>
      <c r="H148" s="216" t="s">
        <v>245</v>
      </c>
      <c r="I148" s="216"/>
      <c r="K148" s="216" t="s">
        <v>244</v>
      </c>
      <c r="L148" s="232">
        <v>2000.0</v>
      </c>
    </row>
    <row r="149" ht="14.25" customHeight="1">
      <c r="B149" s="219">
        <v>45079.0</v>
      </c>
      <c r="C149" s="220" t="str">
        <f t="shared" ref="C149:C178" si="21">D148</f>
        <v/>
      </c>
      <c r="D149" s="220"/>
      <c r="E149" s="220">
        <f t="shared" si="19"/>
        <v>0</v>
      </c>
      <c r="F149" s="220">
        <f t="shared" si="20"/>
        <v>-10</v>
      </c>
      <c r="H149" s="216" t="s">
        <v>247</v>
      </c>
      <c r="I149" s="216"/>
      <c r="K149" s="216" t="s">
        <v>266</v>
      </c>
      <c r="L149" s="232"/>
    </row>
    <row r="150" ht="14.25" customHeight="1">
      <c r="B150" s="254">
        <v>45080.0</v>
      </c>
      <c r="C150" s="255" t="str">
        <f t="shared" si="21"/>
        <v/>
      </c>
      <c r="D150" s="255"/>
      <c r="E150" s="255">
        <f t="shared" si="19"/>
        <v>0</v>
      </c>
      <c r="F150" s="255">
        <f t="shared" si="20"/>
        <v>-10</v>
      </c>
      <c r="H150" s="216" t="s">
        <v>249</v>
      </c>
      <c r="I150" s="232">
        <v>18.0</v>
      </c>
      <c r="K150" s="216" t="s">
        <v>246</v>
      </c>
      <c r="L150" s="232">
        <f>O150*O151</f>
        <v>0</v>
      </c>
    </row>
    <row r="151" ht="14.25" customHeight="1">
      <c r="B151" s="254">
        <v>45081.0</v>
      </c>
      <c r="C151" s="255" t="str">
        <f t="shared" si="21"/>
        <v/>
      </c>
      <c r="D151" s="255"/>
      <c r="E151" s="255">
        <f t="shared" si="19"/>
        <v>0</v>
      </c>
      <c r="F151" s="255">
        <f t="shared" si="20"/>
        <v>-10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19">
        <v>45082.0</v>
      </c>
      <c r="C152" s="220" t="str">
        <f t="shared" si="21"/>
        <v/>
      </c>
      <c r="D152" s="220"/>
      <c r="E152" s="220">
        <f t="shared" si="19"/>
        <v>0</v>
      </c>
      <c r="F152" s="220">
        <f t="shared" si="20"/>
        <v>-10</v>
      </c>
      <c r="H152" s="216" t="s">
        <v>249</v>
      </c>
      <c r="I152" s="232">
        <v>10.0</v>
      </c>
      <c r="K152" s="216" t="s">
        <v>250</v>
      </c>
      <c r="L152" s="232">
        <f>O154*100</f>
        <v>0</v>
      </c>
    </row>
    <row r="153" ht="14.25" customHeight="1">
      <c r="B153" s="219">
        <v>45083.0</v>
      </c>
      <c r="C153" s="220" t="str">
        <f t="shared" si="21"/>
        <v/>
      </c>
      <c r="D153" s="220"/>
      <c r="E153" s="220">
        <f t="shared" si="19"/>
        <v>0</v>
      </c>
      <c r="F153" s="220">
        <f t="shared" si="20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45084.0</v>
      </c>
      <c r="C154" s="220" t="str">
        <f t="shared" si="21"/>
        <v/>
      </c>
      <c r="D154" s="220"/>
      <c r="E154" s="220">
        <f t="shared" si="19"/>
        <v>0</v>
      </c>
      <c r="F154" s="220">
        <f t="shared" si="20"/>
        <v>-10</v>
      </c>
      <c r="K154" s="216" t="s">
        <v>268</v>
      </c>
      <c r="L154" s="232">
        <f>L148+L150+L151+L152-L149-L153</f>
        <v>2000</v>
      </c>
    </row>
    <row r="155" ht="14.25" customHeight="1">
      <c r="B155" s="219">
        <v>45085.0</v>
      </c>
      <c r="C155" s="220" t="str">
        <f t="shared" si="21"/>
        <v/>
      </c>
      <c r="D155" s="220"/>
      <c r="E155" s="220">
        <f t="shared" si="19"/>
        <v>0</v>
      </c>
      <c r="F155" s="220">
        <f t="shared" si="20"/>
        <v>-10</v>
      </c>
      <c r="K155" s="216" t="s">
        <v>269</v>
      </c>
      <c r="L155" s="229"/>
    </row>
    <row r="156" ht="14.25" customHeight="1">
      <c r="B156" s="219">
        <v>45086.0</v>
      </c>
      <c r="C156" s="220" t="str">
        <f t="shared" si="21"/>
        <v/>
      </c>
      <c r="D156" s="220"/>
      <c r="E156" s="220">
        <f t="shared" si="19"/>
        <v>0</v>
      </c>
      <c r="F156" s="220">
        <f t="shared" si="20"/>
        <v>-10</v>
      </c>
    </row>
    <row r="157" ht="14.25" customHeight="1">
      <c r="B157" s="254">
        <v>45087.0</v>
      </c>
      <c r="C157" s="255" t="str">
        <f t="shared" si="21"/>
        <v/>
      </c>
      <c r="D157" s="255"/>
      <c r="E157" s="255">
        <f t="shared" si="19"/>
        <v>0</v>
      </c>
      <c r="F157" s="255">
        <f t="shared" si="20"/>
        <v>-10</v>
      </c>
    </row>
    <row r="158" ht="14.25" customHeight="1">
      <c r="B158" s="254">
        <v>45088.0</v>
      </c>
      <c r="C158" s="255" t="str">
        <f t="shared" si="21"/>
        <v/>
      </c>
      <c r="D158" s="255"/>
      <c r="E158" s="255">
        <f t="shared" si="19"/>
        <v>0</v>
      </c>
      <c r="F158" s="255">
        <f t="shared" si="20"/>
        <v>-10</v>
      </c>
    </row>
    <row r="159" ht="14.25" customHeight="1">
      <c r="B159" s="219">
        <v>45089.0</v>
      </c>
      <c r="C159" s="220" t="str">
        <f t="shared" si="21"/>
        <v/>
      </c>
      <c r="D159" s="220"/>
      <c r="E159" s="220">
        <f t="shared" si="19"/>
        <v>0</v>
      </c>
      <c r="F159" s="220">
        <f t="shared" si="20"/>
        <v>-10</v>
      </c>
    </row>
    <row r="160" ht="14.25" customHeight="1">
      <c r="B160" s="219">
        <v>45090.0</v>
      </c>
      <c r="C160" s="220" t="str">
        <f t="shared" si="21"/>
        <v/>
      </c>
      <c r="D160" s="220"/>
      <c r="E160" s="220">
        <f t="shared" si="19"/>
        <v>0</v>
      </c>
      <c r="F160" s="220">
        <f t="shared" si="20"/>
        <v>-10</v>
      </c>
    </row>
    <row r="161" ht="14.25" customHeight="1">
      <c r="B161" s="219">
        <v>45091.0</v>
      </c>
      <c r="C161" s="220" t="str">
        <f t="shared" si="21"/>
        <v/>
      </c>
      <c r="D161" s="220"/>
      <c r="E161" s="220">
        <f t="shared" si="19"/>
        <v>0</v>
      </c>
      <c r="F161" s="220">
        <f t="shared" si="20"/>
        <v>-10</v>
      </c>
    </row>
    <row r="162" ht="14.25" customHeight="1">
      <c r="B162" s="219">
        <v>45092.0</v>
      </c>
      <c r="C162" s="220" t="str">
        <f t="shared" si="21"/>
        <v/>
      </c>
      <c r="D162" s="220"/>
      <c r="E162" s="220">
        <f t="shared" si="19"/>
        <v>0</v>
      </c>
      <c r="F162" s="220">
        <f t="shared" si="20"/>
        <v>-10</v>
      </c>
    </row>
    <row r="163" ht="14.25" customHeight="1">
      <c r="B163" s="219">
        <v>45093.0</v>
      </c>
      <c r="C163" s="220" t="str">
        <f t="shared" si="21"/>
        <v/>
      </c>
      <c r="D163" s="220"/>
      <c r="E163" s="220">
        <f t="shared" si="19"/>
        <v>0</v>
      </c>
      <c r="F163" s="220">
        <f t="shared" si="20"/>
        <v>-10</v>
      </c>
    </row>
    <row r="164" ht="14.25" customHeight="1">
      <c r="B164" s="254">
        <v>45094.0</v>
      </c>
      <c r="C164" s="255" t="str">
        <f t="shared" si="21"/>
        <v/>
      </c>
      <c r="D164" s="255"/>
      <c r="E164" s="255">
        <f t="shared" si="19"/>
        <v>0</v>
      </c>
      <c r="F164" s="255">
        <f t="shared" si="20"/>
        <v>-10</v>
      </c>
    </row>
    <row r="165" ht="14.25" customHeight="1">
      <c r="B165" s="254">
        <v>45095.0</v>
      </c>
      <c r="C165" s="255" t="str">
        <f t="shared" si="21"/>
        <v/>
      </c>
      <c r="D165" s="255"/>
      <c r="E165" s="255">
        <f t="shared" si="19"/>
        <v>0</v>
      </c>
      <c r="F165" s="255">
        <f t="shared" si="20"/>
        <v>-10</v>
      </c>
    </row>
    <row r="166" ht="14.25" customHeight="1">
      <c r="B166" s="219">
        <v>45096.0</v>
      </c>
      <c r="C166" s="220" t="str">
        <f t="shared" si="21"/>
        <v/>
      </c>
      <c r="D166" s="220"/>
      <c r="E166" s="220">
        <f t="shared" si="19"/>
        <v>0</v>
      </c>
      <c r="F166" s="220">
        <f t="shared" si="20"/>
        <v>-10</v>
      </c>
    </row>
    <row r="167" ht="14.25" customHeight="1">
      <c r="B167" s="219">
        <v>45097.0</v>
      </c>
      <c r="C167" s="220" t="str">
        <f t="shared" si="21"/>
        <v/>
      </c>
      <c r="D167" s="220"/>
      <c r="E167" s="220">
        <f t="shared" si="19"/>
        <v>0</v>
      </c>
      <c r="F167" s="220">
        <f t="shared" si="20"/>
        <v>-10</v>
      </c>
    </row>
    <row r="168" ht="14.25" customHeight="1">
      <c r="B168" s="219">
        <v>45098.0</v>
      </c>
      <c r="C168" s="220" t="str">
        <f t="shared" si="21"/>
        <v/>
      </c>
      <c r="D168" s="220"/>
      <c r="E168" s="220">
        <f t="shared" si="19"/>
        <v>0</v>
      </c>
      <c r="F168" s="220">
        <f t="shared" si="20"/>
        <v>-10</v>
      </c>
    </row>
    <row r="169" ht="14.25" customHeight="1">
      <c r="B169" s="219">
        <v>45099.0</v>
      </c>
      <c r="C169" s="220" t="str">
        <f t="shared" si="21"/>
        <v/>
      </c>
      <c r="D169" s="220"/>
      <c r="E169" s="220">
        <f t="shared" si="19"/>
        <v>0</v>
      </c>
      <c r="F169" s="220">
        <f t="shared" si="20"/>
        <v>-10</v>
      </c>
    </row>
    <row r="170" ht="14.25" customHeight="1">
      <c r="B170" s="219">
        <v>45100.0</v>
      </c>
      <c r="C170" s="220" t="str">
        <f t="shared" si="21"/>
        <v/>
      </c>
      <c r="D170" s="220"/>
      <c r="E170" s="220">
        <f t="shared" si="19"/>
        <v>0</v>
      </c>
      <c r="F170" s="220">
        <f t="shared" si="20"/>
        <v>-10</v>
      </c>
    </row>
    <row r="171" ht="14.25" customHeight="1">
      <c r="B171" s="254">
        <v>45101.0</v>
      </c>
      <c r="C171" s="255" t="str">
        <f t="shared" si="21"/>
        <v/>
      </c>
      <c r="D171" s="255"/>
      <c r="E171" s="255">
        <f t="shared" si="19"/>
        <v>0</v>
      </c>
      <c r="F171" s="255">
        <f t="shared" si="20"/>
        <v>-10</v>
      </c>
    </row>
    <row r="172" ht="14.25" customHeight="1">
      <c r="B172" s="254">
        <v>45102.0</v>
      </c>
      <c r="C172" s="255" t="str">
        <f t="shared" si="21"/>
        <v/>
      </c>
      <c r="D172" s="255"/>
      <c r="E172" s="255">
        <f t="shared" si="19"/>
        <v>0</v>
      </c>
      <c r="F172" s="255">
        <f t="shared" si="20"/>
        <v>-10</v>
      </c>
    </row>
    <row r="173" ht="14.25" customHeight="1">
      <c r="B173" s="219">
        <v>45103.0</v>
      </c>
      <c r="C173" s="220" t="str">
        <f t="shared" si="21"/>
        <v/>
      </c>
      <c r="D173" s="220"/>
      <c r="E173" s="220">
        <f t="shared" si="19"/>
        <v>0</v>
      </c>
      <c r="F173" s="220">
        <f t="shared" si="20"/>
        <v>-10</v>
      </c>
    </row>
    <row r="174" ht="14.25" customHeight="1">
      <c r="B174" s="219">
        <v>45104.0</v>
      </c>
      <c r="C174" s="220" t="str">
        <f t="shared" si="21"/>
        <v/>
      </c>
      <c r="D174" s="220"/>
      <c r="E174" s="220">
        <f t="shared" si="19"/>
        <v>0</v>
      </c>
      <c r="F174" s="220">
        <f t="shared" si="20"/>
        <v>-10</v>
      </c>
    </row>
    <row r="175" ht="14.25" customHeight="1">
      <c r="B175" s="219">
        <v>45105.0</v>
      </c>
      <c r="C175" s="220" t="str">
        <f t="shared" si="21"/>
        <v/>
      </c>
      <c r="D175" s="220"/>
      <c r="E175" s="220">
        <f t="shared" si="19"/>
        <v>0</v>
      </c>
      <c r="F175" s="220">
        <f t="shared" si="20"/>
        <v>-10</v>
      </c>
    </row>
    <row r="176" ht="14.25" customHeight="1">
      <c r="B176" s="219">
        <v>45106.0</v>
      </c>
      <c r="C176" s="220" t="str">
        <f t="shared" si="21"/>
        <v/>
      </c>
      <c r="D176" s="220"/>
      <c r="E176" s="220">
        <f t="shared" si="19"/>
        <v>0</v>
      </c>
      <c r="F176" s="220">
        <f t="shared" si="20"/>
        <v>-10</v>
      </c>
    </row>
    <row r="177" ht="14.25" customHeight="1">
      <c r="B177" s="219">
        <v>45107.0</v>
      </c>
      <c r="C177" s="220" t="str">
        <f t="shared" si="21"/>
        <v/>
      </c>
      <c r="D177" s="220"/>
      <c r="E177" s="220">
        <f t="shared" si="19"/>
        <v>0</v>
      </c>
      <c r="F177" s="220">
        <f t="shared" si="20"/>
        <v>-10</v>
      </c>
    </row>
    <row r="178" ht="14.25" customHeight="1">
      <c r="B178" s="229"/>
      <c r="C178" s="220" t="str">
        <f t="shared" si="21"/>
        <v/>
      </c>
      <c r="D178" s="220"/>
      <c r="E178" s="220">
        <f t="shared" si="19"/>
        <v>0</v>
      </c>
      <c r="F178" s="220">
        <f t="shared" si="20"/>
        <v>-10</v>
      </c>
    </row>
    <row r="179" ht="14.25" customHeight="1">
      <c r="B179" s="216"/>
      <c r="C179" s="223" t="s">
        <v>221</v>
      </c>
      <c r="D179" s="223"/>
      <c r="E179" s="216">
        <f>SUM(E148:E178)</f>
        <v>0</v>
      </c>
      <c r="F179" s="216">
        <f t="shared" si="20"/>
        <v>-10</v>
      </c>
    </row>
    <row r="180" ht="14.25" customHeight="1"/>
    <row r="181" ht="14.25" customHeight="1">
      <c r="A181" s="249" t="s">
        <v>226</v>
      </c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1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4.25" customHeight="1"/>
    <row r="183" ht="14.25" customHeight="1">
      <c r="B183" s="216" t="s">
        <v>214</v>
      </c>
      <c r="C183" s="216" t="s">
        <v>215</v>
      </c>
      <c r="D183" s="216" t="s">
        <v>216</v>
      </c>
      <c r="E183" s="216" t="s">
        <v>217</v>
      </c>
      <c r="F183" s="216" t="s">
        <v>218</v>
      </c>
      <c r="H183" s="216" t="s">
        <v>238</v>
      </c>
      <c r="I183" s="216"/>
      <c r="K183" s="253" t="s">
        <v>226</v>
      </c>
      <c r="L183" s="231"/>
    </row>
    <row r="184" ht="14.25" customHeight="1">
      <c r="B184" s="219">
        <v>45078.0</v>
      </c>
      <c r="C184" s="220"/>
      <c r="D184" s="220"/>
      <c r="E184" s="220">
        <f t="shared" ref="E184:E214" si="22">D184-C184</f>
        <v>0</v>
      </c>
      <c r="F184" s="220">
        <f t="shared" ref="F184:F215" si="23">E184-10</f>
        <v>-10</v>
      </c>
      <c r="H184" s="216" t="s">
        <v>245</v>
      </c>
      <c r="I184" s="216"/>
      <c r="K184" s="216" t="s">
        <v>244</v>
      </c>
      <c r="L184" s="232">
        <v>2000.0</v>
      </c>
    </row>
    <row r="185" ht="14.25" customHeight="1">
      <c r="B185" s="219">
        <v>45079.0</v>
      </c>
      <c r="C185" s="220" t="str">
        <f t="shared" ref="C185:C214" si="24">D184</f>
        <v/>
      </c>
      <c r="D185" s="220"/>
      <c r="E185" s="220">
        <f t="shared" si="22"/>
        <v>0</v>
      </c>
      <c r="F185" s="220">
        <f t="shared" si="23"/>
        <v>-10</v>
      </c>
      <c r="H185" s="216" t="s">
        <v>247</v>
      </c>
      <c r="I185" s="216"/>
      <c r="K185" s="216" t="s">
        <v>266</v>
      </c>
      <c r="L185" s="232"/>
    </row>
    <row r="186" ht="14.25" customHeight="1">
      <c r="B186" s="254">
        <v>45080.0</v>
      </c>
      <c r="C186" s="255" t="str">
        <f t="shared" si="24"/>
        <v/>
      </c>
      <c r="D186" s="255"/>
      <c r="E186" s="255">
        <f t="shared" si="22"/>
        <v>0</v>
      </c>
      <c r="F186" s="255">
        <f t="shared" si="23"/>
        <v>-10</v>
      </c>
      <c r="H186" s="216" t="s">
        <v>249</v>
      </c>
      <c r="I186" s="232">
        <v>18.0</v>
      </c>
      <c r="K186" s="216" t="s">
        <v>246</v>
      </c>
      <c r="L186" s="232">
        <f>O186*O187</f>
        <v>0</v>
      </c>
    </row>
    <row r="187" ht="14.25" customHeight="1">
      <c r="B187" s="254">
        <v>45081.0</v>
      </c>
      <c r="C187" s="255" t="str">
        <f t="shared" si="24"/>
        <v/>
      </c>
      <c r="D187" s="255"/>
      <c r="E187" s="255">
        <f t="shared" si="22"/>
        <v>0</v>
      </c>
      <c r="F187" s="255">
        <f t="shared" si="23"/>
        <v>-10</v>
      </c>
      <c r="H187" s="216" t="s">
        <v>251</v>
      </c>
      <c r="I187" s="216"/>
      <c r="K187" s="216" t="s">
        <v>248</v>
      </c>
      <c r="L187" s="232">
        <f>O188*O189</f>
        <v>0</v>
      </c>
    </row>
    <row r="188" ht="14.25" customHeight="1">
      <c r="B188" s="219">
        <v>45082.0</v>
      </c>
      <c r="C188" s="220" t="str">
        <f t="shared" si="24"/>
        <v/>
      </c>
      <c r="D188" s="220"/>
      <c r="E188" s="220">
        <f t="shared" si="22"/>
        <v>0</v>
      </c>
      <c r="F188" s="220">
        <f t="shared" si="23"/>
        <v>-10</v>
      </c>
      <c r="H188" s="216" t="s">
        <v>249</v>
      </c>
      <c r="I188" s="232">
        <v>10.0</v>
      </c>
      <c r="K188" s="216" t="s">
        <v>250</v>
      </c>
      <c r="L188" s="232">
        <f>O190*100</f>
        <v>0</v>
      </c>
    </row>
    <row r="189" ht="14.25" customHeight="1">
      <c r="B189" s="219">
        <v>45083.0</v>
      </c>
      <c r="C189" s="220" t="str">
        <f t="shared" si="24"/>
        <v/>
      </c>
      <c r="D189" s="220"/>
      <c r="E189" s="220">
        <f t="shared" si="22"/>
        <v>0</v>
      </c>
      <c r="F189" s="220">
        <f t="shared" si="23"/>
        <v>-10</v>
      </c>
      <c r="H189" s="216" t="s">
        <v>250</v>
      </c>
      <c r="I189" s="216"/>
      <c r="K189" s="216" t="s">
        <v>252</v>
      </c>
      <c r="L189" s="232"/>
    </row>
    <row r="190" ht="14.25" customHeight="1">
      <c r="B190" s="219">
        <v>45084.0</v>
      </c>
      <c r="C190" s="220" t="str">
        <f t="shared" si="24"/>
        <v/>
      </c>
      <c r="D190" s="220"/>
      <c r="E190" s="220">
        <f t="shared" si="22"/>
        <v>0</v>
      </c>
      <c r="F190" s="220">
        <f t="shared" si="23"/>
        <v>-10</v>
      </c>
      <c r="K190" s="216" t="s">
        <v>268</v>
      </c>
      <c r="L190" s="232">
        <f>L184+L186+L187+L188-L185-L189</f>
        <v>2000</v>
      </c>
    </row>
    <row r="191" ht="14.25" customHeight="1">
      <c r="B191" s="219">
        <v>45085.0</v>
      </c>
      <c r="C191" s="220" t="str">
        <f t="shared" si="24"/>
        <v/>
      </c>
      <c r="D191" s="220"/>
      <c r="E191" s="220">
        <f t="shared" si="22"/>
        <v>0</v>
      </c>
      <c r="F191" s="220">
        <f t="shared" si="23"/>
        <v>-10</v>
      </c>
      <c r="K191" s="216" t="s">
        <v>269</v>
      </c>
      <c r="L191" s="229"/>
    </row>
    <row r="192" ht="14.25" customHeight="1">
      <c r="B192" s="219">
        <v>45086.0</v>
      </c>
      <c r="C192" s="220" t="str">
        <f t="shared" si="24"/>
        <v/>
      </c>
      <c r="D192" s="220"/>
      <c r="E192" s="220">
        <f t="shared" si="22"/>
        <v>0</v>
      </c>
      <c r="F192" s="220">
        <f t="shared" si="23"/>
        <v>-10</v>
      </c>
    </row>
    <row r="193" ht="14.25" customHeight="1">
      <c r="B193" s="254">
        <v>45087.0</v>
      </c>
      <c r="C193" s="255" t="str">
        <f t="shared" si="24"/>
        <v/>
      </c>
      <c r="D193" s="255"/>
      <c r="E193" s="255">
        <f t="shared" si="22"/>
        <v>0</v>
      </c>
      <c r="F193" s="255">
        <f t="shared" si="23"/>
        <v>-10</v>
      </c>
    </row>
    <row r="194" ht="14.25" customHeight="1">
      <c r="B194" s="254">
        <v>45088.0</v>
      </c>
      <c r="C194" s="255" t="str">
        <f t="shared" si="24"/>
        <v/>
      </c>
      <c r="D194" s="255"/>
      <c r="E194" s="255">
        <f t="shared" si="22"/>
        <v>0</v>
      </c>
      <c r="F194" s="255">
        <f t="shared" si="23"/>
        <v>-10</v>
      </c>
    </row>
    <row r="195" ht="14.25" customHeight="1">
      <c r="B195" s="219">
        <v>45089.0</v>
      </c>
      <c r="C195" s="220" t="str">
        <f t="shared" si="24"/>
        <v/>
      </c>
      <c r="D195" s="220"/>
      <c r="E195" s="220">
        <f t="shared" si="22"/>
        <v>0</v>
      </c>
      <c r="F195" s="220">
        <f t="shared" si="23"/>
        <v>-10</v>
      </c>
    </row>
    <row r="196" ht="14.25" customHeight="1">
      <c r="B196" s="219">
        <v>45090.0</v>
      </c>
      <c r="C196" s="220" t="str">
        <f t="shared" si="24"/>
        <v/>
      </c>
      <c r="D196" s="220"/>
      <c r="E196" s="220">
        <f t="shared" si="22"/>
        <v>0</v>
      </c>
      <c r="F196" s="220">
        <f t="shared" si="23"/>
        <v>-10</v>
      </c>
    </row>
    <row r="197" ht="14.25" customHeight="1">
      <c r="B197" s="219">
        <v>45091.0</v>
      </c>
      <c r="C197" s="220" t="str">
        <f t="shared" si="24"/>
        <v/>
      </c>
      <c r="D197" s="220"/>
      <c r="E197" s="220">
        <f t="shared" si="22"/>
        <v>0</v>
      </c>
      <c r="F197" s="220">
        <f t="shared" si="23"/>
        <v>-10</v>
      </c>
    </row>
    <row r="198" ht="14.25" customHeight="1">
      <c r="B198" s="219">
        <v>45092.0</v>
      </c>
      <c r="C198" s="220" t="str">
        <f t="shared" si="24"/>
        <v/>
      </c>
      <c r="D198" s="220"/>
      <c r="E198" s="220">
        <f t="shared" si="22"/>
        <v>0</v>
      </c>
      <c r="F198" s="220">
        <f t="shared" si="23"/>
        <v>-10</v>
      </c>
    </row>
    <row r="199" ht="14.25" customHeight="1">
      <c r="B199" s="219">
        <v>45093.0</v>
      </c>
      <c r="C199" s="220" t="str">
        <f t="shared" si="24"/>
        <v/>
      </c>
      <c r="D199" s="220"/>
      <c r="E199" s="220">
        <f t="shared" si="22"/>
        <v>0</v>
      </c>
      <c r="F199" s="220">
        <f t="shared" si="23"/>
        <v>-10</v>
      </c>
    </row>
    <row r="200" ht="14.25" customHeight="1">
      <c r="B200" s="254">
        <v>45094.0</v>
      </c>
      <c r="C200" s="255" t="str">
        <f t="shared" si="24"/>
        <v/>
      </c>
      <c r="D200" s="255"/>
      <c r="E200" s="255">
        <f t="shared" si="22"/>
        <v>0</v>
      </c>
      <c r="F200" s="255">
        <f t="shared" si="23"/>
        <v>-10</v>
      </c>
    </row>
    <row r="201" ht="14.25" customHeight="1">
      <c r="B201" s="254">
        <v>45095.0</v>
      </c>
      <c r="C201" s="255" t="str">
        <f t="shared" si="24"/>
        <v/>
      </c>
      <c r="D201" s="255"/>
      <c r="E201" s="255">
        <f t="shared" si="22"/>
        <v>0</v>
      </c>
      <c r="F201" s="255">
        <f t="shared" si="23"/>
        <v>-10</v>
      </c>
    </row>
    <row r="202" ht="14.25" customHeight="1">
      <c r="B202" s="219">
        <v>45096.0</v>
      </c>
      <c r="C202" s="220" t="str">
        <f t="shared" si="24"/>
        <v/>
      </c>
      <c r="D202" s="220"/>
      <c r="E202" s="220">
        <f t="shared" si="22"/>
        <v>0</v>
      </c>
      <c r="F202" s="220">
        <f t="shared" si="23"/>
        <v>-10</v>
      </c>
    </row>
    <row r="203" ht="14.25" customHeight="1">
      <c r="B203" s="219">
        <v>45097.0</v>
      </c>
      <c r="C203" s="220" t="str">
        <f t="shared" si="24"/>
        <v/>
      </c>
      <c r="D203" s="220"/>
      <c r="E203" s="220">
        <f t="shared" si="22"/>
        <v>0</v>
      </c>
      <c r="F203" s="220">
        <f t="shared" si="23"/>
        <v>-10</v>
      </c>
    </row>
    <row r="204" ht="14.25" customHeight="1">
      <c r="B204" s="219">
        <v>45098.0</v>
      </c>
      <c r="C204" s="220" t="str">
        <f t="shared" si="24"/>
        <v/>
      </c>
      <c r="D204" s="220"/>
      <c r="E204" s="220">
        <f t="shared" si="22"/>
        <v>0</v>
      </c>
      <c r="F204" s="220">
        <f t="shared" si="23"/>
        <v>-10</v>
      </c>
    </row>
    <row r="205" ht="14.25" customHeight="1">
      <c r="B205" s="219">
        <v>45099.0</v>
      </c>
      <c r="C205" s="220" t="str">
        <f t="shared" si="24"/>
        <v/>
      </c>
      <c r="D205" s="220"/>
      <c r="E205" s="220">
        <f t="shared" si="22"/>
        <v>0</v>
      </c>
      <c r="F205" s="220">
        <f t="shared" si="23"/>
        <v>-10</v>
      </c>
    </row>
    <row r="206" ht="14.25" customHeight="1">
      <c r="B206" s="219">
        <v>45100.0</v>
      </c>
      <c r="C206" s="220" t="str">
        <f t="shared" si="24"/>
        <v/>
      </c>
      <c r="D206" s="220"/>
      <c r="E206" s="220">
        <f t="shared" si="22"/>
        <v>0</v>
      </c>
      <c r="F206" s="220">
        <f t="shared" si="23"/>
        <v>-10</v>
      </c>
    </row>
    <row r="207" ht="14.25" customHeight="1">
      <c r="B207" s="254">
        <v>45101.0</v>
      </c>
      <c r="C207" s="255" t="str">
        <f t="shared" si="24"/>
        <v/>
      </c>
      <c r="D207" s="255"/>
      <c r="E207" s="255">
        <f t="shared" si="22"/>
        <v>0</v>
      </c>
      <c r="F207" s="255">
        <f t="shared" si="23"/>
        <v>-10</v>
      </c>
    </row>
    <row r="208" ht="14.25" customHeight="1">
      <c r="B208" s="254">
        <v>45102.0</v>
      </c>
      <c r="C208" s="255" t="str">
        <f t="shared" si="24"/>
        <v/>
      </c>
      <c r="D208" s="255"/>
      <c r="E208" s="255">
        <f t="shared" si="22"/>
        <v>0</v>
      </c>
      <c r="F208" s="255">
        <f t="shared" si="23"/>
        <v>-10</v>
      </c>
    </row>
    <row r="209" ht="14.25" customHeight="1">
      <c r="B209" s="219">
        <v>45103.0</v>
      </c>
      <c r="C209" s="220" t="str">
        <f t="shared" si="24"/>
        <v/>
      </c>
      <c r="D209" s="220"/>
      <c r="E209" s="220">
        <f t="shared" si="22"/>
        <v>0</v>
      </c>
      <c r="F209" s="220">
        <f t="shared" si="23"/>
        <v>-10</v>
      </c>
    </row>
    <row r="210" ht="14.25" customHeight="1">
      <c r="B210" s="219">
        <v>45104.0</v>
      </c>
      <c r="C210" s="220" t="str">
        <f t="shared" si="24"/>
        <v/>
      </c>
      <c r="D210" s="220"/>
      <c r="E210" s="220">
        <f t="shared" si="22"/>
        <v>0</v>
      </c>
      <c r="F210" s="220">
        <f t="shared" si="23"/>
        <v>-10</v>
      </c>
    </row>
    <row r="211" ht="14.25" customHeight="1">
      <c r="B211" s="219">
        <v>45105.0</v>
      </c>
      <c r="C211" s="220" t="str">
        <f t="shared" si="24"/>
        <v/>
      </c>
      <c r="D211" s="220"/>
      <c r="E211" s="220">
        <f t="shared" si="22"/>
        <v>0</v>
      </c>
      <c r="F211" s="220">
        <f t="shared" si="23"/>
        <v>-10</v>
      </c>
    </row>
    <row r="212" ht="14.25" customHeight="1">
      <c r="B212" s="219">
        <v>45106.0</v>
      </c>
      <c r="C212" s="220" t="str">
        <f t="shared" si="24"/>
        <v/>
      </c>
      <c r="D212" s="220"/>
      <c r="E212" s="220">
        <f t="shared" si="22"/>
        <v>0</v>
      </c>
      <c r="F212" s="220">
        <f t="shared" si="23"/>
        <v>-10</v>
      </c>
    </row>
    <row r="213" ht="14.25" customHeight="1">
      <c r="B213" s="219">
        <v>45107.0</v>
      </c>
      <c r="C213" s="220" t="str">
        <f t="shared" si="24"/>
        <v/>
      </c>
      <c r="D213" s="220"/>
      <c r="E213" s="220">
        <f t="shared" si="22"/>
        <v>0</v>
      </c>
      <c r="F213" s="220">
        <f t="shared" si="23"/>
        <v>-10</v>
      </c>
    </row>
    <row r="214" ht="14.25" customHeight="1">
      <c r="B214" s="229"/>
      <c r="C214" s="220" t="str">
        <f t="shared" si="24"/>
        <v/>
      </c>
      <c r="D214" s="220"/>
      <c r="E214" s="220">
        <f t="shared" si="22"/>
        <v>0</v>
      </c>
      <c r="F214" s="220">
        <f t="shared" si="23"/>
        <v>-10</v>
      </c>
    </row>
    <row r="215" ht="14.25" customHeight="1">
      <c r="B215" s="216"/>
      <c r="C215" s="223" t="s">
        <v>221</v>
      </c>
      <c r="D215" s="223"/>
      <c r="E215" s="216">
        <f>SUM(E184:E214)</f>
        <v>0</v>
      </c>
      <c r="F215" s="216">
        <f t="shared" si="23"/>
        <v>-10</v>
      </c>
    </row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K111:L111"/>
    <mergeCell ref="A145:L145"/>
    <mergeCell ref="K147:L147"/>
    <mergeCell ref="A181:L181"/>
    <mergeCell ref="K183:L183"/>
    <mergeCell ref="A1:L1"/>
    <mergeCell ref="K3:L3"/>
    <mergeCell ref="A37:L37"/>
    <mergeCell ref="K39:L39"/>
    <mergeCell ref="A73:L73"/>
    <mergeCell ref="K75:L75"/>
    <mergeCell ref="A109:L109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4.14"/>
    <col customWidth="1" min="3" max="3" width="11.71"/>
    <col customWidth="1" min="4" max="4" width="12.29"/>
    <col customWidth="1" min="5" max="5" width="9.29"/>
    <col customWidth="1" min="6" max="7" width="10.14"/>
    <col customWidth="1" min="8" max="8" width="17.71"/>
    <col customWidth="1" min="9" max="9" width="11.71"/>
    <col customWidth="1" min="10" max="10" width="5.57"/>
    <col customWidth="1" min="11" max="11" width="15.29"/>
    <col customWidth="1" min="12" max="12" width="15.86"/>
    <col customWidth="1" min="13" max="26" width="8.71"/>
  </cols>
  <sheetData>
    <row r="1" ht="14.25" customHeight="1">
      <c r="C1" s="244" t="s">
        <v>280</v>
      </c>
      <c r="D1" s="231"/>
      <c r="E1" s="216"/>
      <c r="F1" s="216" t="s">
        <v>238</v>
      </c>
      <c r="G1" s="216">
        <v>410.5</v>
      </c>
      <c r="I1" s="216" t="s">
        <v>255</v>
      </c>
      <c r="J1" s="216" t="s">
        <v>256</v>
      </c>
      <c r="K1" s="216" t="s">
        <v>243</v>
      </c>
      <c r="L1" s="216" t="s">
        <v>218</v>
      </c>
    </row>
    <row r="2" ht="14.25" customHeight="1">
      <c r="C2" s="216" t="s">
        <v>244</v>
      </c>
      <c r="D2" s="232">
        <v>2000.0</v>
      </c>
      <c r="E2" s="216"/>
      <c r="F2" s="216" t="s">
        <v>245</v>
      </c>
      <c r="G2" s="216">
        <v>637.0</v>
      </c>
      <c r="I2" s="220">
        <v>410.5</v>
      </c>
      <c r="J2" s="220">
        <v>419.5</v>
      </c>
      <c r="K2" s="220">
        <f t="shared" ref="K2:K28" si="1">J2-I2</f>
        <v>9</v>
      </c>
      <c r="L2" s="220">
        <f t="shared" ref="L2:L29" si="2">K2-10</f>
        <v>-1</v>
      </c>
    </row>
    <row r="3" ht="14.25" customHeight="1">
      <c r="C3" s="216" t="s">
        <v>246</v>
      </c>
      <c r="D3" s="232">
        <f>G4*G3+ (G11*G12)</f>
        <v>2265</v>
      </c>
      <c r="E3" s="216"/>
      <c r="F3" s="216" t="s">
        <v>247</v>
      </c>
      <c r="G3" s="216">
        <f>G2-G1</f>
        <v>226.5</v>
      </c>
      <c r="I3" s="220">
        <f t="shared" ref="I3:I28" si="3">J2</f>
        <v>419.5</v>
      </c>
      <c r="J3" s="220">
        <v>428.5</v>
      </c>
      <c r="K3" s="220">
        <f t="shared" si="1"/>
        <v>9</v>
      </c>
      <c r="L3" s="220">
        <f t="shared" si="2"/>
        <v>-1</v>
      </c>
    </row>
    <row r="4" ht="14.25" customHeight="1">
      <c r="C4" s="216" t="s">
        <v>248</v>
      </c>
      <c r="D4" s="232">
        <f>G5*G6</f>
        <v>50</v>
      </c>
      <c r="E4" s="216"/>
      <c r="F4" s="216" t="s">
        <v>249</v>
      </c>
      <c r="G4" s="232">
        <v>10.0</v>
      </c>
      <c r="I4" s="237">
        <f t="shared" si="3"/>
        <v>428.5</v>
      </c>
      <c r="J4" s="237">
        <v>437.5</v>
      </c>
      <c r="K4" s="237">
        <f t="shared" si="1"/>
        <v>9</v>
      </c>
      <c r="L4" s="237">
        <f t="shared" si="2"/>
        <v>-1</v>
      </c>
    </row>
    <row r="5" ht="14.25" customHeight="1">
      <c r="C5" s="216" t="s">
        <v>250</v>
      </c>
      <c r="D5" s="232">
        <f>G7*100</f>
        <v>400</v>
      </c>
      <c r="E5" s="216"/>
      <c r="F5" s="216" t="s">
        <v>251</v>
      </c>
      <c r="G5" s="216">
        <v>5.0</v>
      </c>
      <c r="I5" s="220">
        <f t="shared" si="3"/>
        <v>437.5</v>
      </c>
      <c r="J5" s="220">
        <v>447.5</v>
      </c>
      <c r="K5" s="220">
        <f t="shared" si="1"/>
        <v>10</v>
      </c>
      <c r="L5" s="220">
        <f t="shared" si="2"/>
        <v>0</v>
      </c>
    </row>
    <row r="6" ht="14.25" customHeight="1">
      <c r="C6" s="216" t="s">
        <v>252</v>
      </c>
      <c r="D6" s="232"/>
      <c r="E6" s="216"/>
      <c r="F6" s="216" t="s">
        <v>249</v>
      </c>
      <c r="G6" s="232">
        <v>10.0</v>
      </c>
      <c r="I6" s="220">
        <f t="shared" si="3"/>
        <v>447.5</v>
      </c>
      <c r="J6" s="220">
        <v>458.0</v>
      </c>
      <c r="K6" s="220">
        <f t="shared" si="1"/>
        <v>10.5</v>
      </c>
      <c r="L6" s="220">
        <f t="shared" si="2"/>
        <v>0.5</v>
      </c>
    </row>
    <row r="7" ht="14.25" customHeight="1">
      <c r="C7" s="216" t="s">
        <v>253</v>
      </c>
      <c r="D7" s="232">
        <v>4825.0</v>
      </c>
      <c r="E7" s="216"/>
      <c r="F7" s="216" t="s">
        <v>250</v>
      </c>
      <c r="G7" s="216">
        <v>4.0</v>
      </c>
      <c r="I7" s="237">
        <f t="shared" si="3"/>
        <v>458</v>
      </c>
      <c r="J7" s="237">
        <v>468.0</v>
      </c>
      <c r="K7" s="237">
        <f t="shared" si="1"/>
        <v>10</v>
      </c>
      <c r="L7" s="237">
        <f t="shared" si="2"/>
        <v>0</v>
      </c>
    </row>
    <row r="8" ht="14.25" customHeight="1">
      <c r="D8" s="165" t="s">
        <v>281</v>
      </c>
      <c r="F8" s="242"/>
      <c r="G8" s="242"/>
      <c r="I8" s="220">
        <f t="shared" si="3"/>
        <v>468</v>
      </c>
      <c r="J8" s="220">
        <v>478.0</v>
      </c>
      <c r="K8" s="220">
        <f t="shared" si="1"/>
        <v>10</v>
      </c>
      <c r="L8" s="220">
        <f t="shared" si="2"/>
        <v>0</v>
      </c>
    </row>
    <row r="9" ht="14.25" customHeight="1">
      <c r="I9" s="220">
        <f t="shared" si="3"/>
        <v>478</v>
      </c>
      <c r="J9" s="220">
        <v>487.0</v>
      </c>
      <c r="K9" s="220">
        <f t="shared" si="1"/>
        <v>9</v>
      </c>
      <c r="L9" s="220">
        <f t="shared" si="2"/>
        <v>-1</v>
      </c>
    </row>
    <row r="10" ht="14.25" customHeight="1">
      <c r="I10" s="220">
        <f t="shared" si="3"/>
        <v>487</v>
      </c>
      <c r="J10" s="220">
        <v>496.5</v>
      </c>
      <c r="K10" s="220">
        <f t="shared" si="1"/>
        <v>9.5</v>
      </c>
      <c r="L10" s="220">
        <f t="shared" si="2"/>
        <v>-0.5</v>
      </c>
    </row>
    <row r="11" ht="14.25" customHeight="1">
      <c r="D11" s="4"/>
      <c r="I11" s="220">
        <f t="shared" si="3"/>
        <v>496.5</v>
      </c>
      <c r="J11" s="220">
        <v>506.0</v>
      </c>
      <c r="K11" s="220">
        <f t="shared" si="1"/>
        <v>9.5</v>
      </c>
      <c r="L11" s="220">
        <f t="shared" si="2"/>
        <v>-0.5</v>
      </c>
    </row>
    <row r="12" ht="14.25" customHeight="1">
      <c r="D12" s="4"/>
      <c r="E12" s="4"/>
      <c r="F12" s="4"/>
      <c r="G12" s="243"/>
      <c r="I12" s="220">
        <f t="shared" si="3"/>
        <v>506</v>
      </c>
      <c r="J12" s="220">
        <v>511.0</v>
      </c>
      <c r="K12" s="220">
        <f t="shared" si="1"/>
        <v>5</v>
      </c>
      <c r="L12" s="220">
        <f t="shared" si="2"/>
        <v>-5</v>
      </c>
    </row>
    <row r="13" ht="14.25" customHeight="1">
      <c r="D13" s="4"/>
      <c r="E13" s="4"/>
      <c r="F13" s="4"/>
      <c r="I13" s="237">
        <f t="shared" si="3"/>
        <v>511</v>
      </c>
      <c r="J13" s="237">
        <v>514.0</v>
      </c>
      <c r="K13" s="237">
        <f t="shared" si="1"/>
        <v>3</v>
      </c>
      <c r="L13" s="237">
        <f t="shared" si="2"/>
        <v>-7</v>
      </c>
    </row>
    <row r="14" ht="14.25" customHeight="1">
      <c r="D14" s="4"/>
      <c r="E14" s="4"/>
      <c r="F14" s="4"/>
      <c r="G14" s="243"/>
      <c r="I14" s="220">
        <f t="shared" si="3"/>
        <v>514</v>
      </c>
      <c r="J14" s="220">
        <v>519.5</v>
      </c>
      <c r="K14" s="220">
        <f t="shared" si="1"/>
        <v>5.5</v>
      </c>
      <c r="L14" s="220">
        <f t="shared" si="2"/>
        <v>-4.5</v>
      </c>
    </row>
    <row r="15" ht="14.25" customHeight="1">
      <c r="D15" s="4"/>
      <c r="E15" s="4"/>
      <c r="F15" s="4"/>
      <c r="I15" s="237">
        <f t="shared" si="3"/>
        <v>519.5</v>
      </c>
      <c r="J15" s="237">
        <v>530.0</v>
      </c>
      <c r="K15" s="237">
        <f t="shared" si="1"/>
        <v>10.5</v>
      </c>
      <c r="L15" s="237">
        <f t="shared" si="2"/>
        <v>0.5</v>
      </c>
    </row>
    <row r="16" ht="14.25" customHeight="1">
      <c r="D16" s="4"/>
      <c r="F16" s="4"/>
      <c r="I16" s="220">
        <f t="shared" si="3"/>
        <v>530</v>
      </c>
      <c r="J16" s="220">
        <v>539.5</v>
      </c>
      <c r="K16" s="220">
        <f t="shared" si="1"/>
        <v>9.5</v>
      </c>
      <c r="L16" s="220">
        <f t="shared" si="2"/>
        <v>-0.5</v>
      </c>
    </row>
    <row r="17" ht="14.25" customHeight="1">
      <c r="I17" s="220">
        <f t="shared" si="3"/>
        <v>539.5</v>
      </c>
      <c r="J17" s="220">
        <v>548.5</v>
      </c>
      <c r="K17" s="220">
        <f t="shared" si="1"/>
        <v>9</v>
      </c>
      <c r="L17" s="220">
        <f t="shared" si="2"/>
        <v>-1</v>
      </c>
    </row>
    <row r="18" ht="14.25" customHeight="1">
      <c r="E18" s="261"/>
      <c r="I18" s="220">
        <f t="shared" si="3"/>
        <v>548.5</v>
      </c>
      <c r="J18" s="220">
        <v>559.5</v>
      </c>
      <c r="K18" s="220">
        <f t="shared" si="1"/>
        <v>11</v>
      </c>
      <c r="L18" s="220">
        <f t="shared" si="2"/>
        <v>1</v>
      </c>
    </row>
    <row r="19" ht="14.25" customHeight="1">
      <c r="I19" s="220">
        <f t="shared" si="3"/>
        <v>559.5</v>
      </c>
      <c r="J19" s="220">
        <v>569.0</v>
      </c>
      <c r="K19" s="220">
        <f t="shared" si="1"/>
        <v>9.5</v>
      </c>
      <c r="L19" s="220">
        <f t="shared" si="2"/>
        <v>-0.5</v>
      </c>
    </row>
    <row r="20" ht="14.25" customHeight="1">
      <c r="I20" s="220">
        <f t="shared" si="3"/>
        <v>569</v>
      </c>
      <c r="J20" s="220">
        <v>579.0</v>
      </c>
      <c r="K20" s="220">
        <f t="shared" si="1"/>
        <v>10</v>
      </c>
      <c r="L20" s="220">
        <f t="shared" si="2"/>
        <v>0</v>
      </c>
    </row>
    <row r="21" ht="14.25" customHeight="1">
      <c r="I21" s="220">
        <f t="shared" si="3"/>
        <v>579</v>
      </c>
      <c r="J21" s="220">
        <v>591.0</v>
      </c>
      <c r="K21" s="220">
        <f t="shared" si="1"/>
        <v>12</v>
      </c>
      <c r="L21" s="220">
        <f t="shared" si="2"/>
        <v>2</v>
      </c>
    </row>
    <row r="22" ht="14.25" customHeight="1">
      <c r="I22" s="220">
        <f t="shared" si="3"/>
        <v>591</v>
      </c>
      <c r="J22" s="220">
        <v>601.5</v>
      </c>
      <c r="K22" s="220">
        <f t="shared" si="1"/>
        <v>10.5</v>
      </c>
      <c r="L22" s="220">
        <f t="shared" si="2"/>
        <v>0.5</v>
      </c>
    </row>
    <row r="23" ht="14.25" customHeight="1">
      <c r="I23" s="220">
        <f t="shared" si="3"/>
        <v>601.5</v>
      </c>
      <c r="J23" s="220">
        <v>606.0</v>
      </c>
      <c r="K23" s="220">
        <f t="shared" si="1"/>
        <v>4.5</v>
      </c>
      <c r="L23" s="220">
        <f t="shared" si="2"/>
        <v>-5.5</v>
      </c>
    </row>
    <row r="24" ht="14.25" customHeight="1">
      <c r="I24" s="220">
        <f t="shared" si="3"/>
        <v>606</v>
      </c>
      <c r="J24" s="220">
        <v>608.5</v>
      </c>
      <c r="K24" s="220">
        <f t="shared" si="1"/>
        <v>2.5</v>
      </c>
      <c r="L24" s="220">
        <f t="shared" si="2"/>
        <v>-7.5</v>
      </c>
    </row>
    <row r="25" ht="14.25" customHeight="1">
      <c r="I25" s="237">
        <f t="shared" si="3"/>
        <v>608.5</v>
      </c>
      <c r="J25" s="237">
        <v>609.0</v>
      </c>
      <c r="K25" s="237">
        <f t="shared" si="1"/>
        <v>0.5</v>
      </c>
      <c r="L25" s="237">
        <f t="shared" si="2"/>
        <v>-9.5</v>
      </c>
    </row>
    <row r="26" ht="14.25" customHeight="1">
      <c r="I26" s="220">
        <f t="shared" si="3"/>
        <v>609</v>
      </c>
      <c r="J26" s="220">
        <v>617.0</v>
      </c>
      <c r="K26" s="220">
        <f t="shared" si="1"/>
        <v>8</v>
      </c>
      <c r="L26" s="220">
        <f t="shared" si="2"/>
        <v>-2</v>
      </c>
    </row>
    <row r="27" ht="14.25" customHeight="1">
      <c r="I27" s="220">
        <f t="shared" si="3"/>
        <v>617</v>
      </c>
      <c r="J27" s="220">
        <v>626.5</v>
      </c>
      <c r="K27" s="220">
        <f t="shared" si="1"/>
        <v>9.5</v>
      </c>
      <c r="L27" s="220">
        <f t="shared" si="2"/>
        <v>-0.5</v>
      </c>
    </row>
    <row r="28" ht="14.25" customHeight="1">
      <c r="I28" s="220">
        <f t="shared" si="3"/>
        <v>626.5</v>
      </c>
      <c r="J28" s="220">
        <v>637.0</v>
      </c>
      <c r="K28" s="220">
        <f t="shared" si="1"/>
        <v>10.5</v>
      </c>
      <c r="L28" s="220">
        <f t="shared" si="2"/>
        <v>0.5</v>
      </c>
    </row>
    <row r="29" ht="14.25" customHeight="1">
      <c r="I29" s="234" t="s">
        <v>221</v>
      </c>
      <c r="J29" s="231"/>
      <c r="K29" s="216">
        <f>SUM(K2:K28)</f>
        <v>226.5</v>
      </c>
      <c r="L29" s="216">
        <f t="shared" si="2"/>
        <v>216.5</v>
      </c>
    </row>
    <row r="30" ht="14.25" customHeight="1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</row>
    <row r="31" ht="14.25" customHeight="1">
      <c r="C31" s="244" t="s">
        <v>282</v>
      </c>
      <c r="D31" s="231"/>
      <c r="E31" s="216"/>
      <c r="F31" s="216" t="s">
        <v>238</v>
      </c>
      <c r="G31" s="216">
        <v>637.0</v>
      </c>
      <c r="I31" s="216" t="s">
        <v>255</v>
      </c>
      <c r="J31" s="216" t="s">
        <v>256</v>
      </c>
      <c r="K31" s="216" t="s">
        <v>243</v>
      </c>
      <c r="L31" s="216" t="s">
        <v>218</v>
      </c>
    </row>
    <row r="32" ht="14.25" customHeight="1">
      <c r="C32" s="216" t="s">
        <v>244</v>
      </c>
      <c r="D32" s="232">
        <v>2000.0</v>
      </c>
      <c r="E32" s="216"/>
      <c r="F32" s="216" t="s">
        <v>245</v>
      </c>
      <c r="G32" s="216">
        <v>662.7</v>
      </c>
      <c r="I32" s="220">
        <v>637.0</v>
      </c>
      <c r="J32" s="220">
        <v>644.0</v>
      </c>
      <c r="K32" s="220">
        <f t="shared" ref="K32:K58" si="4">J32-I32</f>
        <v>7</v>
      </c>
      <c r="L32" s="220">
        <f t="shared" ref="L32:L59" si="5">K32-10</f>
        <v>-3</v>
      </c>
    </row>
    <row r="33" ht="14.25" customHeight="1">
      <c r="C33" s="216" t="s">
        <v>246</v>
      </c>
      <c r="D33" s="232">
        <f>G34*G33+ (G41*G42)</f>
        <v>257</v>
      </c>
      <c r="E33" s="216"/>
      <c r="F33" s="216" t="s">
        <v>247</v>
      </c>
      <c r="G33" s="216">
        <f>G32-G31</f>
        <v>25.7</v>
      </c>
      <c r="I33" s="220">
        <f t="shared" ref="I33:I36" si="6">J32</f>
        <v>644</v>
      </c>
      <c r="J33" s="220">
        <v>651.6</v>
      </c>
      <c r="K33" s="220">
        <f t="shared" si="4"/>
        <v>7.6</v>
      </c>
      <c r="L33" s="220">
        <f t="shared" si="5"/>
        <v>-2.4</v>
      </c>
    </row>
    <row r="34" ht="14.25" customHeight="1">
      <c r="C34" s="216" t="s">
        <v>248</v>
      </c>
      <c r="D34" s="232">
        <f>G35*G36</f>
        <v>0</v>
      </c>
      <c r="E34" s="216"/>
      <c r="F34" s="216" t="s">
        <v>249</v>
      </c>
      <c r="G34" s="232">
        <v>10.0</v>
      </c>
      <c r="I34" s="220">
        <f t="shared" si="6"/>
        <v>651.6</v>
      </c>
      <c r="J34" s="237">
        <v>654.0</v>
      </c>
      <c r="K34" s="237">
        <f t="shared" si="4"/>
        <v>2.4</v>
      </c>
      <c r="L34" s="237">
        <f t="shared" si="5"/>
        <v>-7.6</v>
      </c>
    </row>
    <row r="35" ht="14.25" customHeight="1">
      <c r="C35" s="216" t="s">
        <v>250</v>
      </c>
      <c r="D35" s="232">
        <f>G37*100</f>
        <v>0</v>
      </c>
      <c r="E35" s="216"/>
      <c r="F35" s="216" t="s">
        <v>251</v>
      </c>
      <c r="G35" s="216"/>
      <c r="I35" s="220">
        <f t="shared" si="6"/>
        <v>654</v>
      </c>
      <c r="J35" s="220">
        <v>660.1</v>
      </c>
      <c r="K35" s="220">
        <f t="shared" si="4"/>
        <v>6.1</v>
      </c>
      <c r="L35" s="220">
        <f t="shared" si="5"/>
        <v>-3.9</v>
      </c>
    </row>
    <row r="36" ht="14.25" customHeight="1">
      <c r="C36" s="216" t="s">
        <v>252</v>
      </c>
      <c r="D36" s="232"/>
      <c r="E36" s="216"/>
      <c r="F36" s="216" t="s">
        <v>249</v>
      </c>
      <c r="G36" s="232">
        <v>10.0</v>
      </c>
      <c r="I36" s="220">
        <f t="shared" si="6"/>
        <v>660.1</v>
      </c>
      <c r="J36" s="220">
        <v>662.7</v>
      </c>
      <c r="K36" s="220">
        <f t="shared" si="4"/>
        <v>2.6</v>
      </c>
      <c r="L36" s="220">
        <f t="shared" si="5"/>
        <v>-7.4</v>
      </c>
    </row>
    <row r="37" ht="14.25" customHeight="1">
      <c r="C37" s="216" t="s">
        <v>253</v>
      </c>
      <c r="D37" s="232">
        <f>D33+D32</f>
        <v>2257</v>
      </c>
      <c r="E37" s="216"/>
      <c r="F37" s="216" t="s">
        <v>250</v>
      </c>
      <c r="G37" s="216"/>
      <c r="I37" s="220"/>
      <c r="J37" s="237"/>
      <c r="K37" s="237">
        <f t="shared" si="4"/>
        <v>0</v>
      </c>
      <c r="L37" s="237">
        <f t="shared" si="5"/>
        <v>-10</v>
      </c>
    </row>
    <row r="38" ht="14.25" customHeight="1">
      <c r="F38" s="242"/>
      <c r="G38" s="242"/>
      <c r="I38" s="220" t="str">
        <f t="shared" ref="I38:I41" si="7">J37</f>
        <v/>
      </c>
      <c r="J38" s="220"/>
      <c r="K38" s="220">
        <f t="shared" si="4"/>
        <v>0</v>
      </c>
      <c r="L38" s="220">
        <f t="shared" si="5"/>
        <v>-10</v>
      </c>
    </row>
    <row r="39" ht="14.25" customHeight="1">
      <c r="I39" s="220" t="str">
        <f t="shared" si="7"/>
        <v/>
      </c>
      <c r="J39" s="220"/>
      <c r="K39" s="220">
        <f t="shared" si="4"/>
        <v>0</v>
      </c>
      <c r="L39" s="220">
        <f t="shared" si="5"/>
        <v>-10</v>
      </c>
    </row>
    <row r="40" ht="14.25" customHeight="1">
      <c r="I40" s="220" t="str">
        <f t="shared" si="7"/>
        <v/>
      </c>
      <c r="J40" s="220"/>
      <c r="K40" s="220">
        <f t="shared" si="4"/>
        <v>0</v>
      </c>
      <c r="L40" s="220">
        <f t="shared" si="5"/>
        <v>-10</v>
      </c>
    </row>
    <row r="41" ht="14.25" customHeight="1">
      <c r="D41" s="4"/>
      <c r="I41" s="220" t="str">
        <f t="shared" si="7"/>
        <v/>
      </c>
      <c r="J41" s="220"/>
      <c r="K41" s="220">
        <f t="shared" si="4"/>
        <v>0</v>
      </c>
      <c r="L41" s="220">
        <f t="shared" si="5"/>
        <v>-10</v>
      </c>
    </row>
    <row r="42" ht="14.25" customHeight="1">
      <c r="D42" s="4"/>
      <c r="E42" s="4"/>
      <c r="F42" s="4"/>
      <c r="G42" s="243"/>
      <c r="I42" s="220"/>
      <c r="J42" s="220"/>
      <c r="K42" s="220">
        <f t="shared" si="4"/>
        <v>0</v>
      </c>
      <c r="L42" s="220">
        <f t="shared" si="5"/>
        <v>-10</v>
      </c>
    </row>
    <row r="43" ht="14.25" customHeight="1">
      <c r="D43" s="4"/>
      <c r="E43" s="4"/>
      <c r="F43" s="4"/>
      <c r="I43" s="237"/>
      <c r="J43" s="237"/>
      <c r="K43" s="237">
        <f t="shared" si="4"/>
        <v>0</v>
      </c>
      <c r="L43" s="237">
        <f t="shared" si="5"/>
        <v>-10</v>
      </c>
    </row>
    <row r="44" ht="14.25" customHeight="1">
      <c r="D44" s="4"/>
      <c r="E44" s="4"/>
      <c r="F44" s="4"/>
      <c r="G44" s="243"/>
      <c r="I44" s="220"/>
      <c r="J44" s="220"/>
      <c r="K44" s="220">
        <f t="shared" si="4"/>
        <v>0</v>
      </c>
      <c r="L44" s="220">
        <f t="shared" si="5"/>
        <v>-10</v>
      </c>
    </row>
    <row r="45" ht="14.25" customHeight="1">
      <c r="D45" s="4"/>
      <c r="E45" s="4"/>
      <c r="F45" s="4"/>
      <c r="I45" s="237"/>
      <c r="J45" s="237"/>
      <c r="K45" s="237">
        <f t="shared" si="4"/>
        <v>0</v>
      </c>
      <c r="L45" s="237">
        <f t="shared" si="5"/>
        <v>-10</v>
      </c>
    </row>
    <row r="46" ht="14.25" customHeight="1">
      <c r="D46" s="4"/>
      <c r="F46" s="4"/>
      <c r="I46" s="220"/>
      <c r="J46" s="220"/>
      <c r="K46" s="220">
        <f t="shared" si="4"/>
        <v>0</v>
      </c>
      <c r="L46" s="220">
        <f t="shared" si="5"/>
        <v>-10</v>
      </c>
    </row>
    <row r="47" ht="14.25" customHeight="1">
      <c r="I47" s="220"/>
      <c r="J47" s="220"/>
      <c r="K47" s="220">
        <f t="shared" si="4"/>
        <v>0</v>
      </c>
      <c r="L47" s="220">
        <f t="shared" si="5"/>
        <v>-10</v>
      </c>
    </row>
    <row r="48" ht="14.25" customHeight="1">
      <c r="E48" s="261"/>
      <c r="I48" s="220"/>
      <c r="J48" s="220"/>
      <c r="K48" s="220">
        <f t="shared" si="4"/>
        <v>0</v>
      </c>
      <c r="L48" s="220">
        <f t="shared" si="5"/>
        <v>-10</v>
      </c>
    </row>
    <row r="49" ht="14.25" customHeight="1">
      <c r="I49" s="220"/>
      <c r="J49" s="220"/>
      <c r="K49" s="220">
        <f t="shared" si="4"/>
        <v>0</v>
      </c>
      <c r="L49" s="220">
        <f t="shared" si="5"/>
        <v>-10</v>
      </c>
    </row>
    <row r="50" ht="14.25" customHeight="1">
      <c r="I50" s="220"/>
      <c r="J50" s="220"/>
      <c r="K50" s="220">
        <f t="shared" si="4"/>
        <v>0</v>
      </c>
      <c r="L50" s="220">
        <f t="shared" si="5"/>
        <v>-10</v>
      </c>
    </row>
    <row r="51" ht="14.25" customHeight="1">
      <c r="I51" s="220"/>
      <c r="J51" s="220"/>
      <c r="K51" s="220">
        <f t="shared" si="4"/>
        <v>0</v>
      </c>
      <c r="L51" s="220">
        <f t="shared" si="5"/>
        <v>-10</v>
      </c>
    </row>
    <row r="52" ht="14.25" customHeight="1">
      <c r="I52" s="220"/>
      <c r="J52" s="220"/>
      <c r="K52" s="220">
        <f t="shared" si="4"/>
        <v>0</v>
      </c>
      <c r="L52" s="220">
        <f t="shared" si="5"/>
        <v>-10</v>
      </c>
    </row>
    <row r="53" ht="14.25" customHeight="1">
      <c r="I53" s="220"/>
      <c r="J53" s="220"/>
      <c r="K53" s="220">
        <f t="shared" si="4"/>
        <v>0</v>
      </c>
      <c r="L53" s="220">
        <f t="shared" si="5"/>
        <v>-10</v>
      </c>
    </row>
    <row r="54" ht="14.25" customHeight="1">
      <c r="I54" s="220"/>
      <c r="J54" s="220"/>
      <c r="K54" s="220">
        <f t="shared" si="4"/>
        <v>0</v>
      </c>
      <c r="L54" s="220">
        <f t="shared" si="5"/>
        <v>-10</v>
      </c>
    </row>
    <row r="55" ht="14.25" customHeight="1">
      <c r="I55" s="237"/>
      <c r="J55" s="237"/>
      <c r="K55" s="237">
        <f t="shared" si="4"/>
        <v>0</v>
      </c>
      <c r="L55" s="237">
        <f t="shared" si="5"/>
        <v>-10</v>
      </c>
    </row>
    <row r="56" ht="14.25" customHeight="1">
      <c r="I56" s="220"/>
      <c r="J56" s="220"/>
      <c r="K56" s="220">
        <f t="shared" si="4"/>
        <v>0</v>
      </c>
      <c r="L56" s="220">
        <f t="shared" si="5"/>
        <v>-10</v>
      </c>
    </row>
    <row r="57" ht="14.25" customHeight="1">
      <c r="I57" s="220"/>
      <c r="J57" s="220"/>
      <c r="K57" s="220">
        <f t="shared" si="4"/>
        <v>0</v>
      </c>
      <c r="L57" s="220">
        <f t="shared" si="5"/>
        <v>-10</v>
      </c>
    </row>
    <row r="58" ht="14.25" customHeight="1">
      <c r="I58" s="220"/>
      <c r="J58" s="220"/>
      <c r="K58" s="220">
        <f t="shared" si="4"/>
        <v>0</v>
      </c>
      <c r="L58" s="220">
        <f t="shared" si="5"/>
        <v>-10</v>
      </c>
    </row>
    <row r="59" ht="14.25" customHeight="1">
      <c r="I59" s="234" t="s">
        <v>221</v>
      </c>
      <c r="J59" s="231"/>
      <c r="K59" s="216">
        <f>SUM(K32:K58)</f>
        <v>25.7</v>
      </c>
      <c r="L59" s="216">
        <f t="shared" si="5"/>
        <v>15.7</v>
      </c>
    </row>
    <row r="60" ht="14.25" customHeight="1"/>
    <row r="61" ht="14.25" customHeight="1">
      <c r="A61" s="238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</row>
    <row r="62" ht="14.25" customHeight="1">
      <c r="C62" s="244" t="s">
        <v>283</v>
      </c>
      <c r="D62" s="231"/>
      <c r="E62" s="216"/>
      <c r="F62" s="216" t="s">
        <v>238</v>
      </c>
      <c r="G62" s="216"/>
      <c r="I62" s="216" t="s">
        <v>255</v>
      </c>
      <c r="J62" s="216" t="s">
        <v>256</v>
      </c>
      <c r="K62" s="216" t="s">
        <v>243</v>
      </c>
      <c r="L62" s="216" t="s">
        <v>218</v>
      </c>
    </row>
    <row r="63" ht="14.25" customHeight="1">
      <c r="C63" s="216" t="s">
        <v>244</v>
      </c>
      <c r="D63" s="232">
        <v>2000.0</v>
      </c>
      <c r="E63" s="216"/>
      <c r="F63" s="216" t="s">
        <v>245</v>
      </c>
      <c r="G63" s="216"/>
      <c r="I63" s="220">
        <v>637.0</v>
      </c>
      <c r="J63" s="220">
        <v>644.0</v>
      </c>
      <c r="K63" s="220">
        <f t="shared" ref="K63:K89" si="8">J63-I63</f>
        <v>7</v>
      </c>
      <c r="L63" s="220">
        <f t="shared" ref="L63:L90" si="9">K63-10</f>
        <v>-3</v>
      </c>
    </row>
    <row r="64" ht="14.25" customHeight="1">
      <c r="C64" s="216" t="s">
        <v>246</v>
      </c>
      <c r="D64" s="232">
        <f>G65*G64+ (G72*G73)</f>
        <v>0</v>
      </c>
      <c r="E64" s="216"/>
      <c r="F64" s="216" t="s">
        <v>247</v>
      </c>
      <c r="G64" s="216">
        <f>G63-G62</f>
        <v>0</v>
      </c>
      <c r="I64" s="220">
        <f t="shared" ref="I64:I67" si="10">J63</f>
        <v>644</v>
      </c>
      <c r="J64" s="220">
        <v>651.6</v>
      </c>
      <c r="K64" s="220">
        <f t="shared" si="8"/>
        <v>7.6</v>
      </c>
      <c r="L64" s="220">
        <f t="shared" si="9"/>
        <v>-2.4</v>
      </c>
    </row>
    <row r="65" ht="14.25" customHeight="1">
      <c r="C65" s="216" t="s">
        <v>248</v>
      </c>
      <c r="D65" s="232">
        <f>G66*G67</f>
        <v>0</v>
      </c>
      <c r="E65" s="216"/>
      <c r="F65" s="216" t="s">
        <v>249</v>
      </c>
      <c r="G65" s="232">
        <v>10.0</v>
      </c>
      <c r="I65" s="220">
        <f t="shared" si="10"/>
        <v>651.6</v>
      </c>
      <c r="J65" s="237">
        <v>654.0</v>
      </c>
      <c r="K65" s="237">
        <f t="shared" si="8"/>
        <v>2.4</v>
      </c>
      <c r="L65" s="237">
        <f t="shared" si="9"/>
        <v>-7.6</v>
      </c>
    </row>
    <row r="66" ht="14.25" customHeight="1">
      <c r="C66" s="216" t="s">
        <v>250</v>
      </c>
      <c r="D66" s="232">
        <f>G68*100</f>
        <v>0</v>
      </c>
      <c r="E66" s="216"/>
      <c r="F66" s="216" t="s">
        <v>251</v>
      </c>
      <c r="G66" s="216"/>
      <c r="I66" s="220">
        <f t="shared" si="10"/>
        <v>654</v>
      </c>
      <c r="J66" s="220">
        <v>660.1</v>
      </c>
      <c r="K66" s="220">
        <f t="shared" si="8"/>
        <v>6.1</v>
      </c>
      <c r="L66" s="220">
        <f t="shared" si="9"/>
        <v>-3.9</v>
      </c>
    </row>
    <row r="67" ht="14.25" customHeight="1">
      <c r="C67" s="216" t="s">
        <v>252</v>
      </c>
      <c r="D67" s="232"/>
      <c r="E67" s="216"/>
      <c r="F67" s="216" t="s">
        <v>249</v>
      </c>
      <c r="G67" s="232">
        <v>10.0</v>
      </c>
      <c r="I67" s="220">
        <f t="shared" si="10"/>
        <v>660.1</v>
      </c>
      <c r="J67" s="220">
        <v>662.7</v>
      </c>
      <c r="K67" s="220">
        <f t="shared" si="8"/>
        <v>2.6</v>
      </c>
      <c r="L67" s="220">
        <f t="shared" si="9"/>
        <v>-7.4</v>
      </c>
    </row>
    <row r="68" ht="14.25" customHeight="1">
      <c r="C68" s="216" t="s">
        <v>253</v>
      </c>
      <c r="D68" s="232">
        <f>D64+D63</f>
        <v>2000</v>
      </c>
      <c r="E68" s="216"/>
      <c r="F68" s="216" t="s">
        <v>250</v>
      </c>
      <c r="G68" s="216"/>
      <c r="I68" s="220"/>
      <c r="J68" s="237"/>
      <c r="K68" s="237">
        <f t="shared" si="8"/>
        <v>0</v>
      </c>
      <c r="L68" s="237">
        <f t="shared" si="9"/>
        <v>-10</v>
      </c>
    </row>
    <row r="69" ht="14.25" customHeight="1">
      <c r="F69" s="242"/>
      <c r="G69" s="242"/>
      <c r="I69" s="220" t="str">
        <f t="shared" ref="I69:I72" si="11">J68</f>
        <v/>
      </c>
      <c r="J69" s="220"/>
      <c r="K69" s="220">
        <f t="shared" si="8"/>
        <v>0</v>
      </c>
      <c r="L69" s="220">
        <f t="shared" si="9"/>
        <v>-10</v>
      </c>
    </row>
    <row r="70" ht="14.25" customHeight="1">
      <c r="I70" s="220" t="str">
        <f t="shared" si="11"/>
        <v/>
      </c>
      <c r="J70" s="220"/>
      <c r="K70" s="220">
        <f t="shared" si="8"/>
        <v>0</v>
      </c>
      <c r="L70" s="220">
        <f t="shared" si="9"/>
        <v>-10</v>
      </c>
    </row>
    <row r="71" ht="14.25" customHeight="1">
      <c r="I71" s="220" t="str">
        <f t="shared" si="11"/>
        <v/>
      </c>
      <c r="J71" s="220"/>
      <c r="K71" s="220">
        <f t="shared" si="8"/>
        <v>0</v>
      </c>
      <c r="L71" s="220">
        <f t="shared" si="9"/>
        <v>-10</v>
      </c>
    </row>
    <row r="72" ht="14.25" customHeight="1">
      <c r="D72" s="4"/>
      <c r="I72" s="220" t="str">
        <f t="shared" si="11"/>
        <v/>
      </c>
      <c r="J72" s="220"/>
      <c r="K72" s="220">
        <f t="shared" si="8"/>
        <v>0</v>
      </c>
      <c r="L72" s="220">
        <f t="shared" si="9"/>
        <v>-10</v>
      </c>
    </row>
    <row r="73" ht="14.25" customHeight="1">
      <c r="D73" s="4"/>
      <c r="E73" s="4"/>
      <c r="F73" s="4"/>
      <c r="G73" s="243"/>
      <c r="I73" s="220"/>
      <c r="J73" s="220"/>
      <c r="K73" s="220">
        <f t="shared" si="8"/>
        <v>0</v>
      </c>
      <c r="L73" s="220">
        <f t="shared" si="9"/>
        <v>-10</v>
      </c>
    </row>
    <row r="74" ht="14.25" customHeight="1">
      <c r="D74" s="4"/>
      <c r="E74" s="4"/>
      <c r="F74" s="4"/>
      <c r="I74" s="237"/>
      <c r="J74" s="237"/>
      <c r="K74" s="237">
        <f t="shared" si="8"/>
        <v>0</v>
      </c>
      <c r="L74" s="237">
        <f t="shared" si="9"/>
        <v>-10</v>
      </c>
    </row>
    <row r="75" ht="14.25" customHeight="1">
      <c r="D75" s="4"/>
      <c r="E75" s="4"/>
      <c r="F75" s="4"/>
      <c r="G75" s="243"/>
      <c r="I75" s="220"/>
      <c r="J75" s="220"/>
      <c r="K75" s="220">
        <f t="shared" si="8"/>
        <v>0</v>
      </c>
      <c r="L75" s="220">
        <f t="shared" si="9"/>
        <v>-10</v>
      </c>
    </row>
    <row r="76" ht="14.25" customHeight="1">
      <c r="D76" s="4"/>
      <c r="E76" s="4"/>
      <c r="F76" s="4"/>
      <c r="I76" s="237"/>
      <c r="J76" s="237"/>
      <c r="K76" s="237">
        <f t="shared" si="8"/>
        <v>0</v>
      </c>
      <c r="L76" s="237">
        <f t="shared" si="9"/>
        <v>-10</v>
      </c>
    </row>
    <row r="77" ht="14.25" customHeight="1">
      <c r="D77" s="4"/>
      <c r="F77" s="4"/>
      <c r="I77" s="220"/>
      <c r="J77" s="220"/>
      <c r="K77" s="220">
        <f t="shared" si="8"/>
        <v>0</v>
      </c>
      <c r="L77" s="220">
        <f t="shared" si="9"/>
        <v>-10</v>
      </c>
    </row>
    <row r="78" ht="14.25" customHeight="1">
      <c r="I78" s="220"/>
      <c r="J78" s="220"/>
      <c r="K78" s="220">
        <f t="shared" si="8"/>
        <v>0</v>
      </c>
      <c r="L78" s="220">
        <f t="shared" si="9"/>
        <v>-10</v>
      </c>
    </row>
    <row r="79" ht="14.25" customHeight="1">
      <c r="E79" s="261"/>
      <c r="I79" s="220"/>
      <c r="J79" s="220"/>
      <c r="K79" s="220">
        <f t="shared" si="8"/>
        <v>0</v>
      </c>
      <c r="L79" s="220">
        <f t="shared" si="9"/>
        <v>-10</v>
      </c>
    </row>
    <row r="80" ht="14.25" customHeight="1">
      <c r="I80" s="220"/>
      <c r="J80" s="220"/>
      <c r="K80" s="220">
        <f t="shared" si="8"/>
        <v>0</v>
      </c>
      <c r="L80" s="220">
        <f t="shared" si="9"/>
        <v>-10</v>
      </c>
    </row>
    <row r="81" ht="14.25" customHeight="1">
      <c r="I81" s="220"/>
      <c r="J81" s="220"/>
      <c r="K81" s="220">
        <f t="shared" si="8"/>
        <v>0</v>
      </c>
      <c r="L81" s="220">
        <f t="shared" si="9"/>
        <v>-10</v>
      </c>
    </row>
    <row r="82" ht="14.25" customHeight="1">
      <c r="I82" s="220"/>
      <c r="J82" s="220"/>
      <c r="K82" s="220">
        <f t="shared" si="8"/>
        <v>0</v>
      </c>
      <c r="L82" s="220">
        <f t="shared" si="9"/>
        <v>-10</v>
      </c>
    </row>
    <row r="83" ht="14.25" customHeight="1">
      <c r="I83" s="220"/>
      <c r="J83" s="220"/>
      <c r="K83" s="220">
        <f t="shared" si="8"/>
        <v>0</v>
      </c>
      <c r="L83" s="220">
        <f t="shared" si="9"/>
        <v>-10</v>
      </c>
    </row>
    <row r="84" ht="14.25" customHeight="1">
      <c r="I84" s="220"/>
      <c r="J84" s="220"/>
      <c r="K84" s="220">
        <f t="shared" si="8"/>
        <v>0</v>
      </c>
      <c r="L84" s="220">
        <f t="shared" si="9"/>
        <v>-10</v>
      </c>
    </row>
    <row r="85" ht="14.25" customHeight="1">
      <c r="I85" s="220"/>
      <c r="J85" s="220"/>
      <c r="K85" s="220">
        <f t="shared" si="8"/>
        <v>0</v>
      </c>
      <c r="L85" s="220">
        <f t="shared" si="9"/>
        <v>-10</v>
      </c>
    </row>
    <row r="86" ht="14.25" customHeight="1">
      <c r="I86" s="237"/>
      <c r="J86" s="237"/>
      <c r="K86" s="237">
        <f t="shared" si="8"/>
        <v>0</v>
      </c>
      <c r="L86" s="237">
        <f t="shared" si="9"/>
        <v>-10</v>
      </c>
    </row>
    <row r="87" ht="14.25" customHeight="1">
      <c r="I87" s="220"/>
      <c r="J87" s="220"/>
      <c r="K87" s="220">
        <f t="shared" si="8"/>
        <v>0</v>
      </c>
      <c r="L87" s="220">
        <f t="shared" si="9"/>
        <v>-10</v>
      </c>
    </row>
    <row r="88" ht="14.25" customHeight="1">
      <c r="I88" s="220"/>
      <c r="J88" s="220"/>
      <c r="K88" s="220">
        <f t="shared" si="8"/>
        <v>0</v>
      </c>
      <c r="L88" s="220">
        <f t="shared" si="9"/>
        <v>-10</v>
      </c>
    </row>
    <row r="89" ht="14.25" customHeight="1">
      <c r="I89" s="220"/>
      <c r="J89" s="220"/>
      <c r="K89" s="220">
        <f t="shared" si="8"/>
        <v>0</v>
      </c>
      <c r="L89" s="220">
        <f t="shared" si="9"/>
        <v>-10</v>
      </c>
    </row>
    <row r="90" ht="14.25" customHeight="1">
      <c r="I90" s="234" t="s">
        <v>221</v>
      </c>
      <c r="J90" s="231"/>
      <c r="K90" s="216">
        <f>SUM(K63:K89)</f>
        <v>25.7</v>
      </c>
      <c r="L90" s="216">
        <f t="shared" si="9"/>
        <v>15.7</v>
      </c>
    </row>
    <row r="91" ht="14.25" customHeight="1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</row>
    <row r="92" ht="14.25" customHeight="1">
      <c r="C92" s="244" t="s">
        <v>284</v>
      </c>
      <c r="D92" s="231"/>
      <c r="E92" s="216"/>
      <c r="F92" s="216" t="s">
        <v>238</v>
      </c>
      <c r="G92" s="216">
        <v>3702.5</v>
      </c>
      <c r="I92" s="216" t="s">
        <v>255</v>
      </c>
      <c r="J92" s="216" t="s">
        <v>256</v>
      </c>
      <c r="K92" s="216" t="s">
        <v>243</v>
      </c>
      <c r="L92" s="216" t="s">
        <v>218</v>
      </c>
    </row>
    <row r="93" ht="14.25" customHeight="1">
      <c r="C93" s="216" t="s">
        <v>244</v>
      </c>
      <c r="D93" s="232">
        <v>2014.0</v>
      </c>
      <c r="E93" s="216"/>
      <c r="F93" s="216" t="s">
        <v>245</v>
      </c>
      <c r="G93" s="216">
        <v>3809.5</v>
      </c>
      <c r="I93" s="220">
        <v>3702.5</v>
      </c>
      <c r="J93" s="220">
        <v>3707.3</v>
      </c>
      <c r="K93" s="220">
        <f t="shared" ref="K93:K124" si="12">J93-I93</f>
        <v>4.8</v>
      </c>
      <c r="L93" s="220">
        <f t="shared" ref="L93:L124" si="13">K93-10</f>
        <v>-5.2</v>
      </c>
    </row>
    <row r="94" ht="14.25" customHeight="1">
      <c r="C94" s="216" t="s">
        <v>246</v>
      </c>
      <c r="D94" s="232">
        <f>G95*G94+ (G102*G103)</f>
        <v>2898</v>
      </c>
      <c r="E94" s="216"/>
      <c r="F94" s="216" t="s">
        <v>247</v>
      </c>
      <c r="G94" s="216">
        <v>207.0</v>
      </c>
      <c r="I94" s="220">
        <f t="shared" ref="I94:I124" si="14">J93</f>
        <v>3707.3</v>
      </c>
      <c r="J94" s="220">
        <v>3710.8</v>
      </c>
      <c r="K94" s="220">
        <f t="shared" si="12"/>
        <v>3.5</v>
      </c>
      <c r="L94" s="220">
        <f t="shared" si="13"/>
        <v>-6.5</v>
      </c>
    </row>
    <row r="95" ht="14.25" customHeight="1">
      <c r="C95" s="216" t="s">
        <v>248</v>
      </c>
      <c r="D95" s="232">
        <f>G96*G97</f>
        <v>18.2</v>
      </c>
      <c r="E95" s="216"/>
      <c r="F95" s="216" t="s">
        <v>249</v>
      </c>
      <c r="G95" s="232">
        <v>14.0</v>
      </c>
      <c r="I95" s="220">
        <f t="shared" si="14"/>
        <v>3710.8</v>
      </c>
      <c r="J95" s="220">
        <v>3719.2</v>
      </c>
      <c r="K95" s="220">
        <f t="shared" si="12"/>
        <v>8.4</v>
      </c>
      <c r="L95" s="220">
        <f t="shared" si="13"/>
        <v>-1.6</v>
      </c>
    </row>
    <row r="96" ht="14.25" customHeight="1">
      <c r="C96" s="216" t="s">
        <v>250</v>
      </c>
      <c r="D96" s="232">
        <f>G98*100</f>
        <v>0</v>
      </c>
      <c r="E96" s="216"/>
      <c r="F96" s="216" t="s">
        <v>251</v>
      </c>
      <c r="G96" s="216">
        <v>1.3</v>
      </c>
      <c r="I96" s="220">
        <f t="shared" si="14"/>
        <v>3719.2</v>
      </c>
      <c r="J96" s="220">
        <v>3727.4</v>
      </c>
      <c r="K96" s="220">
        <f t="shared" si="12"/>
        <v>8.2</v>
      </c>
      <c r="L96" s="220">
        <f t="shared" si="13"/>
        <v>-1.8</v>
      </c>
    </row>
    <row r="97" ht="14.25" customHeight="1">
      <c r="C97" s="216" t="s">
        <v>252</v>
      </c>
      <c r="D97" s="232"/>
      <c r="E97" s="216"/>
      <c r="F97" s="216" t="s">
        <v>249</v>
      </c>
      <c r="G97" s="232">
        <v>14.0</v>
      </c>
      <c r="I97" s="237">
        <f t="shared" si="14"/>
        <v>3727.4</v>
      </c>
      <c r="J97" s="237">
        <v>3731.0</v>
      </c>
      <c r="K97" s="237">
        <f t="shared" si="12"/>
        <v>3.6</v>
      </c>
      <c r="L97" s="237">
        <f t="shared" si="13"/>
        <v>-6.4</v>
      </c>
    </row>
    <row r="98" ht="14.25" customHeight="1">
      <c r="C98" s="216" t="s">
        <v>253</v>
      </c>
      <c r="D98" s="232">
        <f>D94+D93</f>
        <v>4912</v>
      </c>
      <c r="E98" s="216"/>
      <c r="F98" s="216" t="s">
        <v>250</v>
      </c>
      <c r="G98" s="216"/>
      <c r="I98" s="237">
        <f t="shared" si="14"/>
        <v>3731</v>
      </c>
      <c r="J98" s="237">
        <v>3734.1</v>
      </c>
      <c r="K98" s="237">
        <f t="shared" si="12"/>
        <v>3.1</v>
      </c>
      <c r="L98" s="237">
        <f t="shared" si="13"/>
        <v>-6.9</v>
      </c>
      <c r="O98" s="165">
        <v>130.0</v>
      </c>
    </row>
    <row r="99" ht="14.25" customHeight="1">
      <c r="C99" s="216" t="s">
        <v>285</v>
      </c>
      <c r="D99" s="216"/>
      <c r="F99" s="242"/>
      <c r="G99" s="242"/>
      <c r="I99" s="220">
        <f t="shared" si="14"/>
        <v>3734.1</v>
      </c>
      <c r="J99" s="220">
        <v>3737.6</v>
      </c>
      <c r="K99" s="220">
        <f t="shared" si="12"/>
        <v>3.5</v>
      </c>
      <c r="L99" s="220">
        <f t="shared" si="13"/>
        <v>-6.5</v>
      </c>
      <c r="O99" s="165">
        <v>100.0</v>
      </c>
    </row>
    <row r="100" ht="14.25" customHeight="1">
      <c r="C100" s="216" t="s">
        <v>286</v>
      </c>
      <c r="D100" s="262">
        <v>45019.0</v>
      </c>
      <c r="I100" s="220">
        <f t="shared" si="14"/>
        <v>3737.6</v>
      </c>
      <c r="J100" s="220">
        <v>3738.2</v>
      </c>
      <c r="K100" s="220">
        <f t="shared" si="12"/>
        <v>0.6</v>
      </c>
      <c r="L100" s="220">
        <f t="shared" si="13"/>
        <v>-9.4</v>
      </c>
      <c r="O100" s="165">
        <v>237.0</v>
      </c>
    </row>
    <row r="101" ht="14.25" customHeight="1">
      <c r="I101" s="220">
        <f t="shared" si="14"/>
        <v>3738.2</v>
      </c>
      <c r="J101" s="220">
        <v>3741.8</v>
      </c>
      <c r="K101" s="220">
        <f t="shared" si="12"/>
        <v>3.6</v>
      </c>
      <c r="L101" s="220">
        <f t="shared" si="13"/>
        <v>-6.4</v>
      </c>
      <c r="O101" s="165">
        <v>400.0</v>
      </c>
    </row>
    <row r="102" ht="14.25" customHeight="1">
      <c r="D102" s="4"/>
      <c r="I102" s="220">
        <f t="shared" si="14"/>
        <v>3741.8</v>
      </c>
      <c r="J102" s="220">
        <v>3743.6</v>
      </c>
      <c r="K102" s="220">
        <f t="shared" si="12"/>
        <v>1.8</v>
      </c>
      <c r="L102" s="220">
        <f t="shared" si="13"/>
        <v>-8.2</v>
      </c>
      <c r="O102" s="165">
        <v>170.0</v>
      </c>
    </row>
    <row r="103" ht="14.25" customHeight="1">
      <c r="D103" s="4"/>
      <c r="E103" s="4"/>
      <c r="F103" s="4"/>
      <c r="G103" s="243"/>
      <c r="I103" s="220">
        <f t="shared" si="14"/>
        <v>3743.6</v>
      </c>
      <c r="J103" s="220">
        <v>3749.1</v>
      </c>
      <c r="K103" s="220">
        <f t="shared" si="12"/>
        <v>5.5</v>
      </c>
      <c r="L103" s="220">
        <f t="shared" si="13"/>
        <v>-4.5</v>
      </c>
      <c r="O103" s="165">
        <v>200.0</v>
      </c>
    </row>
    <row r="104" ht="14.25" customHeight="1">
      <c r="D104" s="4"/>
      <c r="E104" s="4"/>
      <c r="F104" s="4"/>
      <c r="I104" s="220">
        <f t="shared" si="14"/>
        <v>3749.1</v>
      </c>
      <c r="J104" s="220">
        <v>3743.6</v>
      </c>
      <c r="K104" s="220">
        <f t="shared" si="12"/>
        <v>-5.5</v>
      </c>
      <c r="L104" s="220">
        <f t="shared" si="13"/>
        <v>-15.5</v>
      </c>
      <c r="O104" s="165">
        <v>400.0</v>
      </c>
    </row>
    <row r="105" ht="14.25" customHeight="1">
      <c r="D105" s="4"/>
      <c r="E105" s="4"/>
      <c r="F105" s="4"/>
      <c r="G105" s="243"/>
      <c r="I105" s="220">
        <f t="shared" si="14"/>
        <v>3743.6</v>
      </c>
      <c r="J105" s="220">
        <v>3749.1</v>
      </c>
      <c r="K105" s="220">
        <f t="shared" si="12"/>
        <v>5.5</v>
      </c>
      <c r="L105" s="220">
        <f t="shared" si="13"/>
        <v>-4.5</v>
      </c>
      <c r="O105" s="165">
        <v>200.0</v>
      </c>
    </row>
    <row r="106" ht="14.25" customHeight="1">
      <c r="D106" s="4"/>
      <c r="E106" s="4"/>
      <c r="F106" s="4"/>
      <c r="I106" s="220">
        <f t="shared" si="14"/>
        <v>3749.1</v>
      </c>
      <c r="J106" s="220">
        <v>3756.6</v>
      </c>
      <c r="K106" s="220">
        <f t="shared" si="12"/>
        <v>7.5</v>
      </c>
      <c r="L106" s="220">
        <f t="shared" si="13"/>
        <v>-2.5</v>
      </c>
      <c r="O106" s="165">
        <v>230.0</v>
      </c>
    </row>
    <row r="107" ht="14.25" customHeight="1">
      <c r="D107" s="4"/>
      <c r="F107" s="4"/>
      <c r="I107" s="220">
        <f t="shared" si="14"/>
        <v>3756.6</v>
      </c>
      <c r="J107" s="220">
        <v>3761.2</v>
      </c>
      <c r="K107" s="220">
        <f t="shared" si="12"/>
        <v>4.6</v>
      </c>
      <c r="L107" s="220">
        <f t="shared" si="13"/>
        <v>-5.4</v>
      </c>
      <c r="O107" s="165">
        <v>220.0</v>
      </c>
    </row>
    <row r="108" ht="14.25" customHeight="1">
      <c r="I108" s="237">
        <f t="shared" si="14"/>
        <v>3761.2</v>
      </c>
      <c r="J108" s="237">
        <v>3768.6</v>
      </c>
      <c r="K108" s="237">
        <f t="shared" si="12"/>
        <v>7.4</v>
      </c>
      <c r="L108" s="237">
        <f t="shared" si="13"/>
        <v>-2.6</v>
      </c>
      <c r="O108" s="165">
        <v>220.0</v>
      </c>
    </row>
    <row r="109" ht="14.25" customHeight="1">
      <c r="E109" s="261"/>
      <c r="I109" s="220">
        <f t="shared" si="14"/>
        <v>3768.6</v>
      </c>
      <c r="J109" s="220">
        <v>3776.9</v>
      </c>
      <c r="K109" s="220">
        <f t="shared" si="12"/>
        <v>8.3</v>
      </c>
      <c r="L109" s="220">
        <f t="shared" si="13"/>
        <v>-1.7</v>
      </c>
      <c r="O109" s="165">
        <v>220.0</v>
      </c>
    </row>
    <row r="110" ht="14.25" customHeight="1">
      <c r="I110" s="220">
        <f t="shared" si="14"/>
        <v>3776.9</v>
      </c>
      <c r="J110" s="220">
        <v>3784.0</v>
      </c>
      <c r="K110" s="220">
        <f t="shared" si="12"/>
        <v>7.1</v>
      </c>
      <c r="L110" s="220">
        <f t="shared" si="13"/>
        <v>-2.9</v>
      </c>
      <c r="O110" s="165">
        <v>210.0</v>
      </c>
    </row>
    <row r="111" ht="14.25" customHeight="1">
      <c r="I111" s="220">
        <f t="shared" si="14"/>
        <v>3784</v>
      </c>
      <c r="J111" s="220">
        <v>3794.0</v>
      </c>
      <c r="K111" s="220">
        <f t="shared" si="12"/>
        <v>10</v>
      </c>
      <c r="L111" s="220">
        <f t="shared" si="13"/>
        <v>0</v>
      </c>
      <c r="O111" s="165">
        <v>200.0</v>
      </c>
    </row>
    <row r="112" ht="14.25" customHeight="1">
      <c r="I112" s="220">
        <f t="shared" si="14"/>
        <v>3794</v>
      </c>
      <c r="J112" s="220">
        <v>3803.7</v>
      </c>
      <c r="K112" s="220">
        <f t="shared" si="12"/>
        <v>9.7</v>
      </c>
      <c r="L112" s="220">
        <f t="shared" si="13"/>
        <v>-0.3</v>
      </c>
      <c r="O112" s="165">
        <v>220.0</v>
      </c>
    </row>
    <row r="113" ht="14.25" customHeight="1">
      <c r="I113" s="237">
        <f t="shared" si="14"/>
        <v>3803.7</v>
      </c>
      <c r="J113" s="237">
        <v>3807.2</v>
      </c>
      <c r="K113" s="237">
        <f t="shared" si="12"/>
        <v>3.5</v>
      </c>
      <c r="L113" s="237">
        <f t="shared" si="13"/>
        <v>-6.5</v>
      </c>
      <c r="O113" s="165">
        <v>220.0</v>
      </c>
    </row>
    <row r="114" ht="14.25" customHeight="1">
      <c r="I114" s="220">
        <f t="shared" si="14"/>
        <v>3807.2</v>
      </c>
      <c r="J114" s="220">
        <v>3817.2</v>
      </c>
      <c r="K114" s="220">
        <f t="shared" si="12"/>
        <v>10</v>
      </c>
      <c r="L114" s="220">
        <f t="shared" si="13"/>
        <v>0</v>
      </c>
      <c r="O114" s="165">
        <f>O113+O112+O111+O110+O109+O108+O107+O106+O105+O104+O103+O102+O101+O99+O100+O98</f>
        <v>3577</v>
      </c>
    </row>
    <row r="115" ht="14.25" customHeight="1">
      <c r="I115" s="220">
        <f t="shared" si="14"/>
        <v>3817.2</v>
      </c>
      <c r="J115" s="220">
        <v>3827.2</v>
      </c>
      <c r="K115" s="220">
        <f t="shared" si="12"/>
        <v>10</v>
      </c>
      <c r="L115" s="220">
        <f t="shared" si="13"/>
        <v>0</v>
      </c>
    </row>
    <row r="116" ht="14.25" customHeight="1">
      <c r="I116" s="220">
        <f t="shared" si="14"/>
        <v>3827.2</v>
      </c>
      <c r="J116" s="220">
        <v>3836.5</v>
      </c>
      <c r="K116" s="220">
        <f t="shared" si="12"/>
        <v>9.3</v>
      </c>
      <c r="L116" s="220">
        <f t="shared" si="13"/>
        <v>-0.7</v>
      </c>
    </row>
    <row r="117" ht="14.25" customHeight="1">
      <c r="I117" s="220">
        <f t="shared" si="14"/>
        <v>3836.5</v>
      </c>
      <c r="J117" s="220">
        <v>3844.5</v>
      </c>
      <c r="K117" s="220">
        <f t="shared" si="12"/>
        <v>8</v>
      </c>
      <c r="L117" s="220">
        <f t="shared" si="13"/>
        <v>-2</v>
      </c>
    </row>
    <row r="118" ht="14.25" customHeight="1">
      <c r="I118" s="220">
        <f t="shared" si="14"/>
        <v>3844.5</v>
      </c>
      <c r="J118" s="220">
        <v>3854.5</v>
      </c>
      <c r="K118" s="220">
        <f t="shared" si="12"/>
        <v>10</v>
      </c>
      <c r="L118" s="220">
        <f t="shared" si="13"/>
        <v>0</v>
      </c>
    </row>
    <row r="119" ht="14.25" customHeight="1">
      <c r="I119" s="237">
        <f t="shared" si="14"/>
        <v>3854.5</v>
      </c>
      <c r="J119" s="237">
        <v>3859.2</v>
      </c>
      <c r="K119" s="237">
        <f t="shared" si="12"/>
        <v>4.7</v>
      </c>
      <c r="L119" s="237">
        <f t="shared" si="13"/>
        <v>-5.3</v>
      </c>
    </row>
    <row r="120" ht="14.25" customHeight="1">
      <c r="I120" s="220">
        <f t="shared" si="14"/>
        <v>3859.2</v>
      </c>
      <c r="J120" s="220">
        <v>3869.2</v>
      </c>
      <c r="K120" s="220">
        <f t="shared" si="12"/>
        <v>10</v>
      </c>
      <c r="L120" s="220">
        <f t="shared" si="13"/>
        <v>0</v>
      </c>
    </row>
    <row r="121" ht="14.25" customHeight="1">
      <c r="I121" s="220">
        <f t="shared" si="14"/>
        <v>3869.2</v>
      </c>
      <c r="J121" s="220">
        <v>3879.5</v>
      </c>
      <c r="K121" s="220">
        <f t="shared" si="12"/>
        <v>10.3</v>
      </c>
      <c r="L121" s="220">
        <f t="shared" si="13"/>
        <v>0.3</v>
      </c>
    </row>
    <row r="122" ht="14.25" customHeight="1">
      <c r="I122" s="220">
        <f t="shared" si="14"/>
        <v>3879.5</v>
      </c>
      <c r="J122" s="220">
        <v>3890.5</v>
      </c>
      <c r="K122" s="220">
        <f t="shared" si="12"/>
        <v>11</v>
      </c>
      <c r="L122" s="220">
        <f t="shared" si="13"/>
        <v>1</v>
      </c>
    </row>
    <row r="123" ht="14.25" customHeight="1">
      <c r="I123" s="220">
        <f t="shared" si="14"/>
        <v>3890.5</v>
      </c>
      <c r="J123" s="220">
        <v>3900.5</v>
      </c>
      <c r="K123" s="220">
        <f t="shared" si="12"/>
        <v>10</v>
      </c>
      <c r="L123" s="220">
        <f t="shared" si="13"/>
        <v>0</v>
      </c>
    </row>
    <row r="124" ht="14.25" customHeight="1">
      <c r="I124" s="220">
        <f t="shared" si="14"/>
        <v>3900.5</v>
      </c>
      <c r="J124" s="220">
        <v>3909.5</v>
      </c>
      <c r="K124" s="220">
        <f t="shared" si="12"/>
        <v>9</v>
      </c>
      <c r="L124" s="220">
        <f t="shared" si="13"/>
        <v>-1</v>
      </c>
    </row>
    <row r="125" ht="14.25" customHeight="1">
      <c r="I125" s="220"/>
      <c r="J125" s="220"/>
      <c r="K125" s="220"/>
      <c r="L125" s="220"/>
    </row>
    <row r="126" ht="14.25" customHeight="1">
      <c r="I126" s="220" t="str">
        <f t="shared" ref="I126:I130" si="15">J125</f>
        <v/>
      </c>
      <c r="J126" s="220"/>
      <c r="K126" s="220"/>
      <c r="L126" s="220"/>
    </row>
    <row r="127" ht="14.25" customHeight="1">
      <c r="I127" s="220" t="str">
        <f t="shared" si="15"/>
        <v/>
      </c>
      <c r="J127" s="220"/>
      <c r="K127" s="220"/>
      <c r="L127" s="220"/>
    </row>
    <row r="128" ht="14.25" customHeight="1">
      <c r="I128" s="220" t="str">
        <f t="shared" si="15"/>
        <v/>
      </c>
      <c r="J128" s="220"/>
      <c r="K128" s="220"/>
      <c r="L128" s="220"/>
    </row>
    <row r="129" ht="14.25" customHeight="1">
      <c r="I129" s="220" t="str">
        <f t="shared" si="15"/>
        <v/>
      </c>
      <c r="J129" s="220"/>
      <c r="K129" s="220"/>
      <c r="L129" s="220"/>
    </row>
    <row r="130" ht="14.25" customHeight="1">
      <c r="I130" s="220" t="str">
        <f t="shared" si="15"/>
        <v/>
      </c>
      <c r="J130" s="220"/>
      <c r="K130" s="220">
        <f>J130-I130</f>
        <v>0</v>
      </c>
      <c r="L130" s="220"/>
    </row>
    <row r="131" ht="14.25" customHeight="1">
      <c r="I131" s="234" t="s">
        <v>221</v>
      </c>
      <c r="J131" s="231"/>
      <c r="K131" s="216">
        <f>SUM(K93:K130)</f>
        <v>207</v>
      </c>
      <c r="L131" s="216">
        <f>K131-10</f>
        <v>197</v>
      </c>
    </row>
    <row r="132" ht="14.25" customHeight="1"/>
    <row r="133" ht="14.25" customHeight="1">
      <c r="A133" s="249" t="s">
        <v>230</v>
      </c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1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 ht="14.25" customHeight="1"/>
    <row r="135" ht="14.25" customHeight="1">
      <c r="B135" s="216" t="s">
        <v>214</v>
      </c>
      <c r="C135" s="216" t="s">
        <v>215</v>
      </c>
      <c r="D135" s="216" t="s">
        <v>216</v>
      </c>
      <c r="E135" s="216" t="s">
        <v>217</v>
      </c>
      <c r="F135" s="216" t="s">
        <v>287</v>
      </c>
      <c r="H135" s="216" t="s">
        <v>238</v>
      </c>
      <c r="I135" s="216">
        <v>3909.5</v>
      </c>
      <c r="K135" s="253" t="s">
        <v>288</v>
      </c>
      <c r="L135" s="231"/>
    </row>
    <row r="136" ht="14.25" customHeight="1">
      <c r="B136" s="254">
        <v>45017.0</v>
      </c>
      <c r="C136" s="255"/>
      <c r="D136" s="255"/>
      <c r="E136" s="255">
        <f t="shared" ref="E136:E166" si="16">D136-C136</f>
        <v>0</v>
      </c>
      <c r="F136" s="255">
        <f t="shared" ref="F136:F167" si="17">E136-10</f>
        <v>-10</v>
      </c>
      <c r="H136" s="216" t="s">
        <v>245</v>
      </c>
      <c r="I136" s="216">
        <v>4097.0</v>
      </c>
      <c r="K136" s="216" t="s">
        <v>244</v>
      </c>
      <c r="L136" s="232">
        <v>2000.0</v>
      </c>
    </row>
    <row r="137" ht="14.25" customHeight="1">
      <c r="B137" s="254">
        <v>45018.0</v>
      </c>
      <c r="C137" s="255" t="str">
        <f>D136</f>
        <v/>
      </c>
      <c r="D137" s="255"/>
      <c r="E137" s="255">
        <f t="shared" si="16"/>
        <v>0</v>
      </c>
      <c r="F137" s="255">
        <f t="shared" si="17"/>
        <v>-10</v>
      </c>
      <c r="H137" s="216" t="s">
        <v>247</v>
      </c>
      <c r="I137" s="216">
        <f>I136-I135</f>
        <v>187.5</v>
      </c>
      <c r="K137" s="216" t="s">
        <v>266</v>
      </c>
      <c r="L137" s="232"/>
    </row>
    <row r="138" ht="14.25" customHeight="1">
      <c r="B138" s="229">
        <v>45019.0</v>
      </c>
      <c r="C138" s="220">
        <v>3909.5</v>
      </c>
      <c r="D138" s="220">
        <v>3918.5</v>
      </c>
      <c r="E138" s="220">
        <f t="shared" si="16"/>
        <v>9</v>
      </c>
      <c r="F138" s="220">
        <f t="shared" si="17"/>
        <v>-1</v>
      </c>
      <c r="H138" s="216" t="s">
        <v>249</v>
      </c>
      <c r="I138" s="232">
        <v>14.0</v>
      </c>
      <c r="K138" s="216" t="s">
        <v>246</v>
      </c>
      <c r="L138" s="232">
        <f>I138*I137</f>
        <v>2625</v>
      </c>
    </row>
    <row r="139" ht="14.25" customHeight="1">
      <c r="B139" s="229">
        <v>45020.0</v>
      </c>
      <c r="C139" s="220">
        <f t="shared" ref="C139:C141" si="18">D138</f>
        <v>3918.5</v>
      </c>
      <c r="D139" s="220">
        <v>3929.5</v>
      </c>
      <c r="E139" s="220">
        <f t="shared" si="16"/>
        <v>11</v>
      </c>
      <c r="F139" s="220">
        <f t="shared" si="17"/>
        <v>1</v>
      </c>
      <c r="H139" s="216" t="s">
        <v>251</v>
      </c>
      <c r="I139" s="216">
        <v>6.0</v>
      </c>
      <c r="K139" s="216" t="s">
        <v>248</v>
      </c>
      <c r="L139" s="232">
        <f>I140*I139</f>
        <v>84</v>
      </c>
    </row>
    <row r="140" ht="14.25" customHeight="1">
      <c r="B140" s="229">
        <v>45021.0</v>
      </c>
      <c r="C140" s="220">
        <f t="shared" si="18"/>
        <v>3929.5</v>
      </c>
      <c r="D140" s="220">
        <v>3940.5</v>
      </c>
      <c r="E140" s="220">
        <f t="shared" si="16"/>
        <v>11</v>
      </c>
      <c r="F140" s="220">
        <f t="shared" si="17"/>
        <v>1</v>
      </c>
      <c r="H140" s="216" t="s">
        <v>249</v>
      </c>
      <c r="I140" s="232">
        <v>14.0</v>
      </c>
      <c r="K140" s="216" t="s">
        <v>289</v>
      </c>
      <c r="L140" s="232">
        <f>I141*100</f>
        <v>100</v>
      </c>
    </row>
    <row r="141" ht="14.25" customHeight="1">
      <c r="B141" s="229">
        <v>45022.0</v>
      </c>
      <c r="C141" s="220">
        <f t="shared" si="18"/>
        <v>3940.5</v>
      </c>
      <c r="D141" s="220">
        <v>3951.5</v>
      </c>
      <c r="E141" s="220">
        <f t="shared" si="16"/>
        <v>11</v>
      </c>
      <c r="F141" s="220">
        <f t="shared" si="17"/>
        <v>1</v>
      </c>
      <c r="H141" s="216" t="s">
        <v>250</v>
      </c>
      <c r="I141" s="216">
        <v>1.0</v>
      </c>
      <c r="K141" s="216" t="s">
        <v>252</v>
      </c>
      <c r="L141" s="232"/>
    </row>
    <row r="142" ht="14.25" customHeight="1">
      <c r="B142" s="229">
        <v>45023.0</v>
      </c>
      <c r="C142" s="220"/>
      <c r="D142" s="220"/>
      <c r="E142" s="220">
        <f t="shared" si="16"/>
        <v>0</v>
      </c>
      <c r="F142" s="220">
        <f t="shared" si="17"/>
        <v>-10</v>
      </c>
      <c r="K142" s="216" t="s">
        <v>268</v>
      </c>
      <c r="L142" s="232">
        <f>L136+L138+L139+L140-L137-L141</f>
        <v>4809</v>
      </c>
    </row>
    <row r="143" ht="14.25" customHeight="1">
      <c r="B143" s="254">
        <v>45024.0</v>
      </c>
      <c r="C143" s="255" t="str">
        <f t="shared" ref="C143:C144" si="19">D142</f>
        <v/>
      </c>
      <c r="D143" s="255"/>
      <c r="E143" s="255">
        <f t="shared" si="16"/>
        <v>0</v>
      </c>
      <c r="F143" s="255">
        <f t="shared" si="17"/>
        <v>-10</v>
      </c>
      <c r="K143" s="216" t="s">
        <v>269</v>
      </c>
      <c r="L143" s="229"/>
    </row>
    <row r="144" ht="14.25" customHeight="1">
      <c r="B144" s="254">
        <v>45025.0</v>
      </c>
      <c r="C144" s="255" t="str">
        <f t="shared" si="19"/>
        <v/>
      </c>
      <c r="D144" s="255"/>
      <c r="E144" s="255">
        <f t="shared" si="16"/>
        <v>0</v>
      </c>
      <c r="F144" s="255">
        <f t="shared" si="17"/>
        <v>-10</v>
      </c>
    </row>
    <row r="145" ht="14.25" customHeight="1">
      <c r="B145" s="229">
        <v>45026.0</v>
      </c>
      <c r="C145" s="220">
        <v>3951.5</v>
      </c>
      <c r="D145" s="220">
        <v>3960.1</v>
      </c>
      <c r="E145" s="220">
        <f t="shared" si="16"/>
        <v>8.6</v>
      </c>
      <c r="F145" s="220">
        <f t="shared" si="17"/>
        <v>-1.4</v>
      </c>
    </row>
    <row r="146" ht="14.25" customHeight="1">
      <c r="B146" s="229">
        <v>45027.0</v>
      </c>
      <c r="C146" s="220">
        <f t="shared" ref="C146:C149" si="20">D145</f>
        <v>3960.1</v>
      </c>
      <c r="D146" s="220">
        <v>3969.1</v>
      </c>
      <c r="E146" s="220">
        <f t="shared" si="16"/>
        <v>9</v>
      </c>
      <c r="F146" s="220">
        <f t="shared" si="17"/>
        <v>-1</v>
      </c>
    </row>
    <row r="147" ht="14.25" customHeight="1">
      <c r="B147" s="229">
        <v>45028.0</v>
      </c>
      <c r="C147" s="220">
        <f t="shared" si="20"/>
        <v>3969.1</v>
      </c>
      <c r="D147" s="220">
        <v>3979.1</v>
      </c>
      <c r="E147" s="220">
        <f t="shared" si="16"/>
        <v>10</v>
      </c>
      <c r="F147" s="220">
        <f t="shared" si="17"/>
        <v>0</v>
      </c>
    </row>
    <row r="148" ht="14.25" customHeight="1">
      <c r="B148" s="229">
        <v>45029.0</v>
      </c>
      <c r="C148" s="220">
        <f t="shared" si="20"/>
        <v>3979.1</v>
      </c>
      <c r="D148" s="220">
        <v>3985.0</v>
      </c>
      <c r="E148" s="220">
        <f t="shared" si="16"/>
        <v>5.9</v>
      </c>
      <c r="F148" s="220">
        <f t="shared" si="17"/>
        <v>-4.1</v>
      </c>
    </row>
    <row r="149" ht="14.25" customHeight="1">
      <c r="B149" s="229">
        <v>45030.0</v>
      </c>
      <c r="C149" s="220">
        <f t="shared" si="20"/>
        <v>3985</v>
      </c>
      <c r="D149" s="220">
        <v>3991.5</v>
      </c>
      <c r="E149" s="220">
        <f t="shared" si="16"/>
        <v>6.5</v>
      </c>
      <c r="F149" s="220">
        <f t="shared" si="17"/>
        <v>-3.5</v>
      </c>
    </row>
    <row r="150" ht="14.25" customHeight="1">
      <c r="B150" s="254">
        <v>45031.0</v>
      </c>
      <c r="C150" s="255"/>
      <c r="D150" s="255"/>
      <c r="E150" s="255">
        <f t="shared" si="16"/>
        <v>0</v>
      </c>
      <c r="F150" s="255">
        <f t="shared" si="17"/>
        <v>-10</v>
      </c>
    </row>
    <row r="151" ht="14.25" customHeight="1">
      <c r="B151" s="254">
        <v>45032.0</v>
      </c>
      <c r="C151" s="255" t="str">
        <f>D150</f>
        <v/>
      </c>
      <c r="D151" s="255"/>
      <c r="E151" s="255">
        <f t="shared" si="16"/>
        <v>0</v>
      </c>
      <c r="F151" s="255">
        <f t="shared" si="17"/>
        <v>-10</v>
      </c>
    </row>
    <row r="152" ht="14.25" customHeight="1">
      <c r="B152" s="229">
        <v>45033.0</v>
      </c>
      <c r="C152" s="220">
        <v>3991.5</v>
      </c>
      <c r="D152" s="220">
        <v>4002.5</v>
      </c>
      <c r="E152" s="220">
        <f t="shared" si="16"/>
        <v>11</v>
      </c>
      <c r="F152" s="220">
        <f t="shared" si="17"/>
        <v>1</v>
      </c>
    </row>
    <row r="153" ht="14.25" customHeight="1">
      <c r="B153" s="229">
        <v>45034.0</v>
      </c>
      <c r="C153" s="220">
        <f>D152</f>
        <v>4002.5</v>
      </c>
      <c r="D153" s="220">
        <v>4012.5</v>
      </c>
      <c r="E153" s="220">
        <f t="shared" si="16"/>
        <v>10</v>
      </c>
      <c r="F153" s="220">
        <f t="shared" si="17"/>
        <v>0</v>
      </c>
    </row>
    <row r="154" ht="14.25" customHeight="1">
      <c r="B154" s="229">
        <v>45035.0</v>
      </c>
      <c r="C154" s="220"/>
      <c r="D154" s="220"/>
      <c r="E154" s="220">
        <f t="shared" si="16"/>
        <v>0</v>
      </c>
      <c r="F154" s="220">
        <f t="shared" si="17"/>
        <v>-10</v>
      </c>
    </row>
    <row r="155" ht="14.25" customHeight="1">
      <c r="B155" s="229">
        <v>45036.0</v>
      </c>
      <c r="C155" s="220">
        <v>4012.0</v>
      </c>
      <c r="D155" s="220">
        <v>4021.5</v>
      </c>
      <c r="E155" s="220">
        <f t="shared" si="16"/>
        <v>9.5</v>
      </c>
      <c r="F155" s="220">
        <f t="shared" si="17"/>
        <v>-0.5</v>
      </c>
    </row>
    <row r="156" ht="14.25" customHeight="1">
      <c r="B156" s="254">
        <v>45037.0</v>
      </c>
      <c r="C156" s="255">
        <f t="shared" ref="C156:C164" si="21">D155</f>
        <v>4021.5</v>
      </c>
      <c r="D156" s="255">
        <v>4032.5</v>
      </c>
      <c r="E156" s="255">
        <f t="shared" si="16"/>
        <v>11</v>
      </c>
      <c r="F156" s="255">
        <f t="shared" si="17"/>
        <v>1</v>
      </c>
    </row>
    <row r="157" ht="14.25" customHeight="1">
      <c r="B157" s="254">
        <v>45038.0</v>
      </c>
      <c r="C157" s="255">
        <f t="shared" si="21"/>
        <v>4032.5</v>
      </c>
      <c r="D157" s="255">
        <v>4035.5</v>
      </c>
      <c r="E157" s="255">
        <f t="shared" si="16"/>
        <v>3</v>
      </c>
      <c r="F157" s="255">
        <f t="shared" si="17"/>
        <v>-7</v>
      </c>
    </row>
    <row r="158" ht="14.25" customHeight="1">
      <c r="B158" s="254">
        <v>45039.0</v>
      </c>
      <c r="C158" s="255">
        <f t="shared" si="21"/>
        <v>4035.5</v>
      </c>
      <c r="D158" s="255">
        <v>4040.5</v>
      </c>
      <c r="E158" s="255">
        <f t="shared" si="16"/>
        <v>5</v>
      </c>
      <c r="F158" s="255">
        <f t="shared" si="17"/>
        <v>-5</v>
      </c>
    </row>
    <row r="159" ht="14.25" customHeight="1">
      <c r="B159" s="229">
        <v>45040.0</v>
      </c>
      <c r="C159" s="220">
        <f t="shared" si="21"/>
        <v>4040.5</v>
      </c>
      <c r="D159" s="220">
        <v>4051.5</v>
      </c>
      <c r="E159" s="216">
        <f t="shared" si="16"/>
        <v>11</v>
      </c>
      <c r="F159" s="216">
        <f t="shared" si="17"/>
        <v>1</v>
      </c>
    </row>
    <row r="160" ht="14.25" customHeight="1">
      <c r="B160" s="229">
        <v>45041.0</v>
      </c>
      <c r="C160" s="220">
        <f t="shared" si="21"/>
        <v>4051.5</v>
      </c>
      <c r="D160" s="220">
        <v>4061.5</v>
      </c>
      <c r="E160" s="216">
        <f t="shared" si="16"/>
        <v>10</v>
      </c>
      <c r="F160" s="216">
        <f t="shared" si="17"/>
        <v>0</v>
      </c>
    </row>
    <row r="161" ht="15.0" customHeight="1">
      <c r="B161" s="229">
        <v>45042.0</v>
      </c>
      <c r="C161" s="220">
        <f t="shared" si="21"/>
        <v>4061.5</v>
      </c>
      <c r="D161" s="220">
        <v>4069.0</v>
      </c>
      <c r="E161" s="216">
        <f t="shared" si="16"/>
        <v>7.5</v>
      </c>
      <c r="F161" s="216">
        <f t="shared" si="17"/>
        <v>-2.5</v>
      </c>
    </row>
    <row r="162" ht="15.0" customHeight="1">
      <c r="B162" s="229">
        <v>45043.0</v>
      </c>
      <c r="C162" s="220">
        <f t="shared" si="21"/>
        <v>4069</v>
      </c>
      <c r="D162" s="220">
        <v>4080.0</v>
      </c>
      <c r="E162" s="216">
        <f t="shared" si="16"/>
        <v>11</v>
      </c>
      <c r="F162" s="216">
        <f t="shared" si="17"/>
        <v>1</v>
      </c>
    </row>
    <row r="163" ht="15.0" customHeight="1">
      <c r="B163" s="229">
        <v>45044.0</v>
      </c>
      <c r="C163" s="220">
        <f t="shared" si="21"/>
        <v>4080</v>
      </c>
      <c r="D163" s="220">
        <v>4090.0</v>
      </c>
      <c r="E163" s="216">
        <f t="shared" si="16"/>
        <v>10</v>
      </c>
      <c r="F163" s="216">
        <f t="shared" si="17"/>
        <v>0</v>
      </c>
    </row>
    <row r="164" ht="15.0" customHeight="1">
      <c r="B164" s="254">
        <v>45045.0</v>
      </c>
      <c r="C164" s="255">
        <f t="shared" si="21"/>
        <v>4090</v>
      </c>
      <c r="D164" s="255">
        <v>4097.0</v>
      </c>
      <c r="E164" s="255">
        <f t="shared" si="16"/>
        <v>7</v>
      </c>
      <c r="F164" s="255">
        <f t="shared" si="17"/>
        <v>-3</v>
      </c>
    </row>
    <row r="165" ht="15.0" customHeight="1">
      <c r="B165" s="254">
        <v>45046.0</v>
      </c>
      <c r="C165" s="255"/>
      <c r="D165" s="255"/>
      <c r="E165" s="255">
        <f t="shared" si="16"/>
        <v>0</v>
      </c>
      <c r="F165" s="255">
        <f t="shared" si="17"/>
        <v>-10</v>
      </c>
    </row>
    <row r="166" ht="15.0" customHeight="1">
      <c r="B166" s="229"/>
      <c r="C166" s="220" t="str">
        <f>D165</f>
        <v/>
      </c>
      <c r="D166" s="220"/>
      <c r="E166" s="216">
        <f t="shared" si="16"/>
        <v>0</v>
      </c>
      <c r="F166" s="216">
        <f t="shared" si="17"/>
        <v>-10</v>
      </c>
    </row>
    <row r="167" ht="14.25" customHeight="1">
      <c r="B167" s="216"/>
      <c r="C167" s="223" t="s">
        <v>221</v>
      </c>
      <c r="D167" s="223"/>
      <c r="E167" s="216">
        <f>SUM(E136:E166)</f>
        <v>188</v>
      </c>
      <c r="F167" s="216">
        <f t="shared" si="17"/>
        <v>178</v>
      </c>
    </row>
    <row r="168" ht="14.25" customHeight="1"/>
    <row r="169" ht="14.25" customHeight="1">
      <c r="A169" s="249" t="s">
        <v>290</v>
      </c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1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 ht="14.25" customHeight="1"/>
    <row r="171" ht="14.25" customHeight="1">
      <c r="B171" s="216" t="s">
        <v>214</v>
      </c>
      <c r="C171" s="216" t="s">
        <v>215</v>
      </c>
      <c r="D171" s="216" t="s">
        <v>216</v>
      </c>
      <c r="E171" s="216" t="s">
        <v>217</v>
      </c>
      <c r="F171" s="216" t="s">
        <v>218</v>
      </c>
      <c r="H171" s="216" t="s">
        <v>238</v>
      </c>
      <c r="I171" s="216">
        <v>4097.0</v>
      </c>
      <c r="K171" s="253" t="s">
        <v>291</v>
      </c>
      <c r="L171" s="231"/>
    </row>
    <row r="172" ht="14.25" customHeight="1">
      <c r="B172" s="219">
        <v>45047.0</v>
      </c>
      <c r="C172" s="220">
        <v>4097.0</v>
      </c>
      <c r="D172" s="220">
        <v>4108.0</v>
      </c>
      <c r="E172" s="220">
        <f t="shared" ref="E172:E202" si="22">D172-C172</f>
        <v>11</v>
      </c>
      <c r="F172" s="220">
        <f t="shared" ref="F172:F203" si="23">E172-10</f>
        <v>1</v>
      </c>
      <c r="H172" s="216" t="s">
        <v>245</v>
      </c>
      <c r="I172" s="216">
        <v>4313.5</v>
      </c>
      <c r="K172" s="216" t="s">
        <v>244</v>
      </c>
      <c r="L172" s="232">
        <v>2014.0</v>
      </c>
    </row>
    <row r="173" ht="14.25" customHeight="1">
      <c r="B173" s="219">
        <v>45048.0</v>
      </c>
      <c r="C173" s="220">
        <f t="shared" ref="C173:C177" si="24">D172</f>
        <v>4108</v>
      </c>
      <c r="D173" s="220">
        <v>4118.0</v>
      </c>
      <c r="E173" s="220">
        <f t="shared" si="22"/>
        <v>10</v>
      </c>
      <c r="F173" s="220">
        <f t="shared" si="23"/>
        <v>0</v>
      </c>
      <c r="H173" s="216" t="s">
        <v>247</v>
      </c>
      <c r="I173" s="216">
        <v>216.5</v>
      </c>
      <c r="K173" s="216" t="s">
        <v>266</v>
      </c>
      <c r="L173" s="232"/>
    </row>
    <row r="174" ht="14.25" customHeight="1">
      <c r="B174" s="219">
        <v>45049.0</v>
      </c>
      <c r="C174" s="220">
        <f t="shared" si="24"/>
        <v>4118</v>
      </c>
      <c r="D174" s="220">
        <v>4128.0</v>
      </c>
      <c r="E174" s="220">
        <f t="shared" si="22"/>
        <v>10</v>
      </c>
      <c r="F174" s="220">
        <f t="shared" si="23"/>
        <v>0</v>
      </c>
      <c r="H174" s="216" t="s">
        <v>249</v>
      </c>
      <c r="I174" s="232">
        <v>14.0</v>
      </c>
      <c r="K174" s="216" t="s">
        <v>246</v>
      </c>
      <c r="L174" s="232">
        <f>I173*I174</f>
        <v>3031</v>
      </c>
    </row>
    <row r="175" ht="14.25" customHeight="1">
      <c r="B175" s="219">
        <v>45050.0</v>
      </c>
      <c r="C175" s="220">
        <f t="shared" si="24"/>
        <v>4128</v>
      </c>
      <c r="D175" s="220">
        <v>4138.0</v>
      </c>
      <c r="E175" s="220">
        <f t="shared" si="22"/>
        <v>10</v>
      </c>
      <c r="F175" s="220">
        <f t="shared" si="23"/>
        <v>0</v>
      </c>
      <c r="H175" s="216" t="s">
        <v>251</v>
      </c>
      <c r="I175" s="216">
        <v>4.6</v>
      </c>
      <c r="K175" s="216" t="s">
        <v>248</v>
      </c>
      <c r="L175" s="232">
        <f>I175*I176</f>
        <v>64.4</v>
      </c>
    </row>
    <row r="176" ht="14.25" customHeight="1">
      <c r="B176" s="219">
        <v>45051.0</v>
      </c>
      <c r="C176" s="220">
        <f t="shared" si="24"/>
        <v>4138</v>
      </c>
      <c r="D176" s="220">
        <v>4148.0</v>
      </c>
      <c r="E176" s="220">
        <f t="shared" si="22"/>
        <v>10</v>
      </c>
      <c r="F176" s="220">
        <f t="shared" si="23"/>
        <v>0</v>
      </c>
      <c r="H176" s="216" t="s">
        <v>249</v>
      </c>
      <c r="I176" s="232">
        <v>14.0</v>
      </c>
      <c r="K176" s="216" t="s">
        <v>250</v>
      </c>
      <c r="L176" s="232">
        <f>I177*100</f>
        <v>200</v>
      </c>
    </row>
    <row r="177" ht="14.25" customHeight="1">
      <c r="B177" s="254">
        <v>45052.0</v>
      </c>
      <c r="C177" s="255">
        <f t="shared" si="24"/>
        <v>4148</v>
      </c>
      <c r="D177" s="255">
        <v>4151.5</v>
      </c>
      <c r="E177" s="255">
        <f t="shared" si="22"/>
        <v>3.5</v>
      </c>
      <c r="F177" s="255">
        <f t="shared" si="23"/>
        <v>-6.5</v>
      </c>
      <c r="H177" s="216" t="s">
        <v>250</v>
      </c>
      <c r="I177" s="216">
        <v>2.0</v>
      </c>
      <c r="K177" s="216" t="s">
        <v>252</v>
      </c>
      <c r="L177" s="232"/>
    </row>
    <row r="178" ht="14.25" customHeight="1">
      <c r="B178" s="254">
        <v>45053.0</v>
      </c>
      <c r="C178" s="255"/>
      <c r="D178" s="255"/>
      <c r="E178" s="255">
        <f t="shared" si="22"/>
        <v>0</v>
      </c>
      <c r="F178" s="255">
        <f t="shared" si="23"/>
        <v>-10</v>
      </c>
      <c r="K178" s="216" t="s">
        <v>268</v>
      </c>
      <c r="L178" s="232">
        <f>L172+L174+L175+L176-L173-L177</f>
        <v>5309.4</v>
      </c>
    </row>
    <row r="179" ht="14.25" customHeight="1">
      <c r="B179" s="219">
        <v>45054.0</v>
      </c>
      <c r="C179" s="220">
        <v>4151.5</v>
      </c>
      <c r="D179" s="220">
        <v>4158.0</v>
      </c>
      <c r="E179" s="220">
        <f t="shared" si="22"/>
        <v>6.5</v>
      </c>
      <c r="F179" s="220">
        <f t="shared" si="23"/>
        <v>-3.5</v>
      </c>
      <c r="K179" s="216" t="s">
        <v>269</v>
      </c>
      <c r="L179" s="229">
        <v>45077.0</v>
      </c>
    </row>
    <row r="180" ht="14.25" customHeight="1">
      <c r="B180" s="219">
        <v>45055.0</v>
      </c>
      <c r="C180" s="220">
        <f t="shared" ref="C180:C183" si="25">D179</f>
        <v>4158</v>
      </c>
      <c r="D180" s="220">
        <v>4163.0</v>
      </c>
      <c r="E180" s="220">
        <f t="shared" si="22"/>
        <v>5</v>
      </c>
      <c r="F180" s="220">
        <f t="shared" si="23"/>
        <v>-5</v>
      </c>
    </row>
    <row r="181" ht="14.25" customHeight="1">
      <c r="B181" s="219">
        <v>45056.0</v>
      </c>
      <c r="C181" s="220">
        <f t="shared" si="25"/>
        <v>4163</v>
      </c>
      <c r="D181" s="220">
        <v>4172.5</v>
      </c>
      <c r="E181" s="220">
        <f t="shared" si="22"/>
        <v>9.5</v>
      </c>
      <c r="F181" s="220">
        <f t="shared" si="23"/>
        <v>-0.5</v>
      </c>
    </row>
    <row r="182" ht="14.25" customHeight="1">
      <c r="B182" s="219">
        <v>45057.0</v>
      </c>
      <c r="C182" s="220">
        <f t="shared" si="25"/>
        <v>4172.5</v>
      </c>
      <c r="D182" s="220">
        <v>4183.0</v>
      </c>
      <c r="E182" s="220">
        <f t="shared" si="22"/>
        <v>10.5</v>
      </c>
      <c r="F182" s="220">
        <f t="shared" si="23"/>
        <v>0.5</v>
      </c>
    </row>
    <row r="183" ht="14.25" customHeight="1">
      <c r="B183" s="219">
        <v>45058.0</v>
      </c>
      <c r="C183" s="220">
        <f t="shared" si="25"/>
        <v>4183</v>
      </c>
      <c r="D183" s="220">
        <v>4193.0</v>
      </c>
      <c r="E183" s="220">
        <f t="shared" si="22"/>
        <v>10</v>
      </c>
      <c r="F183" s="220">
        <f t="shared" si="23"/>
        <v>0</v>
      </c>
    </row>
    <row r="184" ht="14.25" customHeight="1">
      <c r="B184" s="254">
        <v>45059.0</v>
      </c>
      <c r="C184" s="255"/>
      <c r="D184" s="255"/>
      <c r="E184" s="255">
        <f t="shared" si="22"/>
        <v>0</v>
      </c>
      <c r="F184" s="255">
        <f t="shared" si="23"/>
        <v>-10</v>
      </c>
    </row>
    <row r="185" ht="14.25" customHeight="1">
      <c r="B185" s="254">
        <v>45060.0</v>
      </c>
      <c r="C185" s="255" t="str">
        <f>D184</f>
        <v/>
      </c>
      <c r="D185" s="255"/>
      <c r="E185" s="255">
        <f t="shared" si="22"/>
        <v>0</v>
      </c>
      <c r="F185" s="255">
        <f t="shared" si="23"/>
        <v>-10</v>
      </c>
    </row>
    <row r="186" ht="14.25" customHeight="1">
      <c r="B186" s="219">
        <v>45061.0</v>
      </c>
      <c r="C186" s="220">
        <v>4193.0</v>
      </c>
      <c r="D186" s="220">
        <v>4204.0</v>
      </c>
      <c r="E186" s="220">
        <f t="shared" si="22"/>
        <v>11</v>
      </c>
      <c r="F186" s="220">
        <f t="shared" si="23"/>
        <v>1</v>
      </c>
    </row>
    <row r="187" ht="14.25" customHeight="1">
      <c r="B187" s="219">
        <v>45062.0</v>
      </c>
      <c r="C187" s="220">
        <f t="shared" ref="C187:C190" si="26">D186</f>
        <v>4204</v>
      </c>
      <c r="D187" s="220">
        <v>4213.0</v>
      </c>
      <c r="E187" s="220">
        <f t="shared" si="22"/>
        <v>9</v>
      </c>
      <c r="F187" s="220">
        <f t="shared" si="23"/>
        <v>-1</v>
      </c>
    </row>
    <row r="188" ht="14.25" customHeight="1">
      <c r="B188" s="219">
        <v>45063.0</v>
      </c>
      <c r="C188" s="220">
        <f t="shared" si="26"/>
        <v>4213</v>
      </c>
      <c r="D188" s="220">
        <v>4223.5</v>
      </c>
      <c r="E188" s="220">
        <f t="shared" si="22"/>
        <v>10.5</v>
      </c>
      <c r="F188" s="220">
        <f t="shared" si="23"/>
        <v>0.5</v>
      </c>
      <c r="K188" s="165" t="s">
        <v>292</v>
      </c>
      <c r="L188" s="12">
        <v>2700.0</v>
      </c>
    </row>
    <row r="189" ht="14.25" customHeight="1">
      <c r="B189" s="219">
        <v>45064.0</v>
      </c>
      <c r="C189" s="220">
        <f t="shared" si="26"/>
        <v>4223.5</v>
      </c>
      <c r="D189" s="220">
        <v>4232.2</v>
      </c>
      <c r="E189" s="220">
        <f t="shared" si="22"/>
        <v>8.7</v>
      </c>
      <c r="F189" s="220">
        <f t="shared" si="23"/>
        <v>-1.3</v>
      </c>
      <c r="K189" s="165" t="s">
        <v>293</v>
      </c>
    </row>
    <row r="190" ht="14.25" customHeight="1">
      <c r="B190" s="219">
        <v>45065.0</v>
      </c>
      <c r="C190" s="220">
        <f t="shared" si="26"/>
        <v>4232.2</v>
      </c>
      <c r="D190" s="220">
        <v>4242.2</v>
      </c>
      <c r="E190" s="220">
        <f t="shared" si="22"/>
        <v>10</v>
      </c>
      <c r="F190" s="220">
        <f t="shared" si="23"/>
        <v>0</v>
      </c>
    </row>
    <row r="191" ht="14.25" customHeight="1">
      <c r="B191" s="254">
        <v>45066.0</v>
      </c>
      <c r="C191" s="255">
        <v>4242.2</v>
      </c>
      <c r="D191" s="255">
        <v>4248.0</v>
      </c>
      <c r="E191" s="255">
        <f t="shared" si="22"/>
        <v>5.8</v>
      </c>
      <c r="F191" s="255">
        <f t="shared" si="23"/>
        <v>-4.2</v>
      </c>
    </row>
    <row r="192" ht="14.25" customHeight="1">
      <c r="B192" s="254">
        <v>45067.0</v>
      </c>
      <c r="C192" s="255"/>
      <c r="D192" s="255"/>
      <c r="E192" s="255">
        <f t="shared" si="22"/>
        <v>0</v>
      </c>
      <c r="F192" s="255">
        <f t="shared" si="23"/>
        <v>-10</v>
      </c>
    </row>
    <row r="193" ht="14.25" customHeight="1">
      <c r="B193" s="219">
        <v>45068.0</v>
      </c>
      <c r="C193" s="220">
        <v>4248.0</v>
      </c>
      <c r="D193" s="220">
        <v>4258.0</v>
      </c>
      <c r="E193" s="220">
        <f t="shared" si="22"/>
        <v>10</v>
      </c>
      <c r="F193" s="220">
        <f t="shared" si="23"/>
        <v>0</v>
      </c>
    </row>
    <row r="194" ht="14.25" customHeight="1">
      <c r="B194" s="219">
        <v>45069.0</v>
      </c>
      <c r="C194" s="220">
        <f t="shared" ref="C194:C197" si="27">D193</f>
        <v>4258</v>
      </c>
      <c r="D194" s="220">
        <v>4268.6</v>
      </c>
      <c r="E194" s="220">
        <f t="shared" si="22"/>
        <v>10.6</v>
      </c>
      <c r="F194" s="220">
        <f t="shared" si="23"/>
        <v>0.6</v>
      </c>
    </row>
    <row r="195" ht="14.25" customHeight="1">
      <c r="B195" s="219">
        <v>45070.0</v>
      </c>
      <c r="C195" s="220">
        <f t="shared" si="27"/>
        <v>4268.6</v>
      </c>
      <c r="D195" s="220">
        <v>4279.6</v>
      </c>
      <c r="E195" s="220">
        <f t="shared" si="22"/>
        <v>11</v>
      </c>
      <c r="F195" s="220">
        <f t="shared" si="23"/>
        <v>1</v>
      </c>
    </row>
    <row r="196" ht="14.25" customHeight="1">
      <c r="B196" s="219">
        <v>45071.0</v>
      </c>
      <c r="C196" s="220">
        <f t="shared" si="27"/>
        <v>4279.6</v>
      </c>
      <c r="D196" s="220">
        <v>4286.0</v>
      </c>
      <c r="E196" s="220">
        <f t="shared" si="22"/>
        <v>6.4</v>
      </c>
      <c r="F196" s="220">
        <f t="shared" si="23"/>
        <v>-3.6</v>
      </c>
    </row>
    <row r="197" ht="14.25" customHeight="1">
      <c r="B197" s="219">
        <v>45072.0</v>
      </c>
      <c r="C197" s="220">
        <f t="shared" si="27"/>
        <v>4286</v>
      </c>
      <c r="D197" s="220">
        <v>4296.0</v>
      </c>
      <c r="E197" s="220">
        <f t="shared" si="22"/>
        <v>10</v>
      </c>
      <c r="F197" s="220">
        <f t="shared" si="23"/>
        <v>0</v>
      </c>
    </row>
    <row r="198" ht="14.25" customHeight="1">
      <c r="B198" s="254">
        <v>45073.0</v>
      </c>
      <c r="C198" s="255"/>
      <c r="D198" s="255"/>
      <c r="E198" s="255">
        <f t="shared" si="22"/>
        <v>0</v>
      </c>
      <c r="F198" s="255">
        <f t="shared" si="23"/>
        <v>-10</v>
      </c>
    </row>
    <row r="199" ht="14.25" customHeight="1">
      <c r="B199" s="254">
        <v>45074.0</v>
      </c>
      <c r="C199" s="255"/>
      <c r="D199" s="255"/>
      <c r="E199" s="255">
        <f t="shared" si="22"/>
        <v>0</v>
      </c>
      <c r="F199" s="255">
        <f t="shared" si="23"/>
        <v>-10</v>
      </c>
    </row>
    <row r="200" ht="14.25" customHeight="1">
      <c r="B200" s="219">
        <v>45075.0</v>
      </c>
      <c r="C200" s="220">
        <v>4296.0</v>
      </c>
      <c r="D200" s="220">
        <v>4304.6</v>
      </c>
      <c r="E200" s="220">
        <f t="shared" si="22"/>
        <v>8.6</v>
      </c>
      <c r="F200" s="220">
        <f t="shared" si="23"/>
        <v>-1.4</v>
      </c>
    </row>
    <row r="201" ht="14.25" customHeight="1">
      <c r="B201" s="219">
        <v>45076.0</v>
      </c>
      <c r="C201" s="220">
        <f>D200</f>
        <v>4304.6</v>
      </c>
      <c r="D201" s="220">
        <v>4312.0</v>
      </c>
      <c r="E201" s="220">
        <f t="shared" si="22"/>
        <v>7.4</v>
      </c>
      <c r="F201" s="220">
        <f t="shared" si="23"/>
        <v>-2.6</v>
      </c>
    </row>
    <row r="202" ht="14.25" customHeight="1">
      <c r="B202" s="219">
        <v>45077.0</v>
      </c>
      <c r="C202" s="220">
        <v>4312.0</v>
      </c>
      <c r="D202" s="220">
        <v>4313.5</v>
      </c>
      <c r="E202" s="220">
        <f t="shared" si="22"/>
        <v>1.5</v>
      </c>
      <c r="F202" s="220">
        <f t="shared" si="23"/>
        <v>-8.5</v>
      </c>
    </row>
    <row r="203" ht="14.25" customHeight="1">
      <c r="B203" s="216"/>
      <c r="C203" s="223" t="s">
        <v>221</v>
      </c>
      <c r="D203" s="223"/>
      <c r="E203" s="216">
        <f>SUM(E172:E202)</f>
        <v>216.5</v>
      </c>
      <c r="F203" s="216">
        <f t="shared" si="23"/>
        <v>206.5</v>
      </c>
    </row>
    <row r="204" ht="13.5" customHeight="1"/>
    <row r="205" ht="14.25" customHeight="1">
      <c r="A205" s="249" t="s">
        <v>294</v>
      </c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1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 ht="14.25" customHeight="1"/>
    <row r="207" ht="14.25" customHeight="1">
      <c r="B207" s="216" t="s">
        <v>214</v>
      </c>
      <c r="C207" s="216" t="s">
        <v>215</v>
      </c>
      <c r="D207" s="216" t="s">
        <v>216</v>
      </c>
      <c r="E207" s="216" t="s">
        <v>217</v>
      </c>
      <c r="F207" s="216" t="s">
        <v>218</v>
      </c>
      <c r="H207" s="216" t="s">
        <v>238</v>
      </c>
      <c r="I207" s="216">
        <v>4313.5</v>
      </c>
      <c r="K207" s="253" t="s">
        <v>295</v>
      </c>
      <c r="L207" s="231"/>
    </row>
    <row r="208" ht="14.25" customHeight="1">
      <c r="B208" s="219">
        <v>45078.0</v>
      </c>
      <c r="C208" s="220">
        <v>4313.5</v>
      </c>
      <c r="D208" s="220">
        <v>4321.5</v>
      </c>
      <c r="E208" s="220">
        <f t="shared" ref="E208:E224" si="28">D208-C208</f>
        <v>8</v>
      </c>
      <c r="F208" s="220">
        <f t="shared" ref="F208:F239" si="29">E208-10</f>
        <v>-2</v>
      </c>
      <c r="H208" s="216" t="s">
        <v>245</v>
      </c>
      <c r="I208" s="216">
        <v>4572.5</v>
      </c>
      <c r="K208" s="216" t="s">
        <v>244</v>
      </c>
      <c r="L208" s="232">
        <v>2014.0</v>
      </c>
    </row>
    <row r="209" ht="14.25" customHeight="1">
      <c r="B209" s="219">
        <v>45079.0</v>
      </c>
      <c r="C209" s="220">
        <f t="shared" ref="C209:C210" si="30">D208</f>
        <v>4321.5</v>
      </c>
      <c r="D209" s="220">
        <v>4332.0</v>
      </c>
      <c r="E209" s="220">
        <f t="shared" si="28"/>
        <v>10.5</v>
      </c>
      <c r="F209" s="220">
        <f t="shared" si="29"/>
        <v>0.5</v>
      </c>
      <c r="H209" s="216" t="s">
        <v>247</v>
      </c>
      <c r="I209" s="216">
        <v>233.7</v>
      </c>
      <c r="K209" s="216" t="s">
        <v>266</v>
      </c>
      <c r="L209" s="232"/>
    </row>
    <row r="210" ht="14.25" customHeight="1">
      <c r="B210" s="254">
        <v>45080.0</v>
      </c>
      <c r="C210" s="255">
        <f t="shared" si="30"/>
        <v>4332</v>
      </c>
      <c r="D210" s="255">
        <v>4338.5</v>
      </c>
      <c r="E210" s="255">
        <f t="shared" si="28"/>
        <v>6.5</v>
      </c>
      <c r="F210" s="255">
        <f t="shared" si="29"/>
        <v>-3.5</v>
      </c>
      <c r="H210" s="216" t="s">
        <v>249</v>
      </c>
      <c r="I210" s="232">
        <v>14.0</v>
      </c>
      <c r="K210" s="216" t="s">
        <v>246</v>
      </c>
      <c r="L210" s="232">
        <f>I209*I210</f>
        <v>3271.8</v>
      </c>
    </row>
    <row r="211" ht="14.25" customHeight="1">
      <c r="B211" s="254">
        <v>45081.0</v>
      </c>
      <c r="C211" s="255"/>
      <c r="D211" s="255"/>
      <c r="E211" s="255">
        <f t="shared" si="28"/>
        <v>0</v>
      </c>
      <c r="F211" s="255">
        <f t="shared" si="29"/>
        <v>-10</v>
      </c>
      <c r="H211" s="216" t="s">
        <v>251</v>
      </c>
      <c r="I211" s="216">
        <v>14.4</v>
      </c>
      <c r="K211" s="216" t="s">
        <v>248</v>
      </c>
      <c r="L211" s="232">
        <f>I211*I212</f>
        <v>201.6</v>
      </c>
    </row>
    <row r="212" ht="14.25" customHeight="1">
      <c r="B212" s="219">
        <v>45082.0</v>
      </c>
      <c r="C212" s="220">
        <v>4338.5</v>
      </c>
      <c r="D212" s="220">
        <v>4349.0</v>
      </c>
      <c r="E212" s="220">
        <f t="shared" si="28"/>
        <v>10.5</v>
      </c>
      <c r="F212" s="220">
        <f t="shared" si="29"/>
        <v>0.5</v>
      </c>
      <c r="H212" s="216" t="s">
        <v>249</v>
      </c>
      <c r="I212" s="232">
        <v>14.0</v>
      </c>
      <c r="K212" s="216" t="s">
        <v>250</v>
      </c>
      <c r="L212" s="232">
        <f>I213*100</f>
        <v>100</v>
      </c>
    </row>
    <row r="213" ht="14.25" customHeight="1">
      <c r="B213" s="219">
        <v>45083.0</v>
      </c>
      <c r="C213" s="220">
        <f t="shared" ref="C213:C214" si="31">D212</f>
        <v>4349</v>
      </c>
      <c r="D213" s="220">
        <v>4360.5</v>
      </c>
      <c r="E213" s="220">
        <f t="shared" si="28"/>
        <v>11.5</v>
      </c>
      <c r="F213" s="220">
        <f t="shared" si="29"/>
        <v>1.5</v>
      </c>
      <c r="H213" s="216" t="s">
        <v>250</v>
      </c>
      <c r="I213" s="232">
        <v>1.0</v>
      </c>
      <c r="K213" s="216" t="s">
        <v>252</v>
      </c>
      <c r="L213" s="232"/>
    </row>
    <row r="214" ht="14.25" customHeight="1">
      <c r="B214" s="219">
        <v>45084.0</v>
      </c>
      <c r="C214" s="220">
        <f t="shared" si="31"/>
        <v>4360.5</v>
      </c>
      <c r="D214" s="220">
        <v>4370.5</v>
      </c>
      <c r="E214" s="220">
        <f t="shared" si="28"/>
        <v>10</v>
      </c>
      <c r="F214" s="220">
        <f t="shared" si="29"/>
        <v>0</v>
      </c>
      <c r="K214" s="216" t="s">
        <v>268</v>
      </c>
      <c r="L214" s="232">
        <f>L208+L210+L211+L212-L209-L213</f>
        <v>5587.4</v>
      </c>
    </row>
    <row r="215" ht="14.25" customHeight="1">
      <c r="B215" s="219">
        <v>45085.0</v>
      </c>
      <c r="C215" s="220"/>
      <c r="D215" s="220"/>
      <c r="E215" s="220">
        <f t="shared" si="28"/>
        <v>0</v>
      </c>
      <c r="F215" s="220">
        <f t="shared" si="29"/>
        <v>-10</v>
      </c>
      <c r="K215" s="216" t="s">
        <v>269</v>
      </c>
      <c r="L215" s="229">
        <v>45108.0</v>
      </c>
      <c r="M215" s="165" t="s">
        <v>33</v>
      </c>
    </row>
    <row r="216" ht="14.25" customHeight="1">
      <c r="B216" s="219">
        <v>45086.0</v>
      </c>
      <c r="C216" s="220">
        <v>4370.5</v>
      </c>
      <c r="D216" s="220">
        <v>4380.0</v>
      </c>
      <c r="E216" s="220">
        <f t="shared" si="28"/>
        <v>9.5</v>
      </c>
      <c r="F216" s="220">
        <f t="shared" si="29"/>
        <v>-0.5</v>
      </c>
    </row>
    <row r="217" ht="14.25" customHeight="1">
      <c r="B217" s="254">
        <v>45087.0</v>
      </c>
      <c r="C217" s="255"/>
      <c r="D217" s="255"/>
      <c r="E217" s="255">
        <f t="shared" si="28"/>
        <v>0</v>
      </c>
      <c r="F217" s="255">
        <f t="shared" si="29"/>
        <v>-10</v>
      </c>
    </row>
    <row r="218" ht="14.25" customHeight="1">
      <c r="B218" s="254">
        <v>45088.0</v>
      </c>
      <c r="C218" s="255"/>
      <c r="D218" s="255"/>
      <c r="E218" s="255">
        <f t="shared" si="28"/>
        <v>0</v>
      </c>
      <c r="F218" s="255">
        <f t="shared" si="29"/>
        <v>-10</v>
      </c>
    </row>
    <row r="219" ht="14.25" customHeight="1">
      <c r="B219" s="219">
        <v>45089.0</v>
      </c>
      <c r="C219" s="220">
        <v>4380.0</v>
      </c>
      <c r="D219" s="220">
        <v>4386.0</v>
      </c>
      <c r="E219" s="220">
        <f t="shared" si="28"/>
        <v>6</v>
      </c>
      <c r="F219" s="220">
        <f t="shared" si="29"/>
        <v>-4</v>
      </c>
    </row>
    <row r="220" ht="14.25" customHeight="1">
      <c r="B220" s="219">
        <v>45090.0</v>
      </c>
      <c r="C220" s="220">
        <f t="shared" ref="C220:C224" si="32">D219</f>
        <v>4386</v>
      </c>
      <c r="D220" s="220">
        <v>4396.0</v>
      </c>
      <c r="E220" s="220">
        <f t="shared" si="28"/>
        <v>10</v>
      </c>
      <c r="F220" s="220">
        <f t="shared" si="29"/>
        <v>0</v>
      </c>
    </row>
    <row r="221" ht="14.25" customHeight="1">
      <c r="B221" s="219">
        <v>45091.0</v>
      </c>
      <c r="C221" s="220">
        <f t="shared" si="32"/>
        <v>4396</v>
      </c>
      <c r="D221" s="220">
        <v>4406.0</v>
      </c>
      <c r="E221" s="220">
        <f t="shared" si="28"/>
        <v>10</v>
      </c>
      <c r="F221" s="220">
        <f t="shared" si="29"/>
        <v>0</v>
      </c>
    </row>
    <row r="222" ht="14.25" customHeight="1">
      <c r="B222" s="219">
        <v>45092.0</v>
      </c>
      <c r="C222" s="220">
        <f t="shared" si="32"/>
        <v>4406</v>
      </c>
      <c r="D222" s="220">
        <v>4416.0</v>
      </c>
      <c r="E222" s="220">
        <f t="shared" si="28"/>
        <v>10</v>
      </c>
      <c r="F222" s="220">
        <f t="shared" si="29"/>
        <v>0</v>
      </c>
    </row>
    <row r="223" ht="14.25" customHeight="1">
      <c r="B223" s="219">
        <v>45093.0</v>
      </c>
      <c r="C223" s="220">
        <f t="shared" si="32"/>
        <v>4416</v>
      </c>
      <c r="D223" s="220">
        <v>4428.0</v>
      </c>
      <c r="E223" s="220">
        <f t="shared" si="28"/>
        <v>12</v>
      </c>
      <c r="F223" s="220">
        <f t="shared" si="29"/>
        <v>2</v>
      </c>
    </row>
    <row r="224" ht="14.25" customHeight="1">
      <c r="B224" s="254">
        <v>45094.0</v>
      </c>
      <c r="C224" s="255">
        <f t="shared" si="32"/>
        <v>4428</v>
      </c>
      <c r="D224" s="255">
        <v>4438.5</v>
      </c>
      <c r="E224" s="255">
        <f t="shared" si="28"/>
        <v>10.5</v>
      </c>
      <c r="F224" s="255">
        <f t="shared" si="29"/>
        <v>0.5</v>
      </c>
    </row>
    <row r="225" ht="14.25" customHeight="1">
      <c r="B225" s="254">
        <v>45095.0</v>
      </c>
      <c r="C225" s="255"/>
      <c r="D225" s="255"/>
      <c r="E225" s="255">
        <v>3.5</v>
      </c>
      <c r="F225" s="255">
        <f t="shared" si="29"/>
        <v>-6.5</v>
      </c>
      <c r="G225" s="263" t="s">
        <v>296</v>
      </c>
      <c r="H225" s="165" t="s">
        <v>297</v>
      </c>
    </row>
    <row r="226" ht="14.25" customHeight="1">
      <c r="B226" s="219">
        <v>45096.0</v>
      </c>
      <c r="C226" s="220">
        <v>4445.5</v>
      </c>
      <c r="D226" s="220">
        <v>4456.5</v>
      </c>
      <c r="E226" s="220">
        <f t="shared" ref="E226:E238" si="33">D226-C226</f>
        <v>11</v>
      </c>
      <c r="F226" s="220">
        <f t="shared" si="29"/>
        <v>1</v>
      </c>
    </row>
    <row r="227" ht="14.25" customHeight="1">
      <c r="B227" s="219">
        <v>45097.0</v>
      </c>
      <c r="C227" s="220">
        <f t="shared" ref="C227:C237" si="34">D226</f>
        <v>4456.5</v>
      </c>
      <c r="D227" s="220">
        <v>4467.5</v>
      </c>
      <c r="E227" s="220">
        <f t="shared" si="33"/>
        <v>11</v>
      </c>
      <c r="F227" s="220">
        <f t="shared" si="29"/>
        <v>1</v>
      </c>
    </row>
    <row r="228" ht="14.25" customHeight="1">
      <c r="B228" s="219">
        <v>45098.0</v>
      </c>
      <c r="C228" s="220">
        <f t="shared" si="34"/>
        <v>4467.5</v>
      </c>
      <c r="D228" s="220">
        <v>4479.5</v>
      </c>
      <c r="E228" s="220">
        <f t="shared" si="33"/>
        <v>12</v>
      </c>
      <c r="F228" s="220">
        <f t="shared" si="29"/>
        <v>2</v>
      </c>
    </row>
    <row r="229" ht="14.25" customHeight="1">
      <c r="B229" s="219">
        <v>45099.0</v>
      </c>
      <c r="C229" s="220">
        <f t="shared" si="34"/>
        <v>4479.5</v>
      </c>
      <c r="D229" s="220">
        <v>4490.5</v>
      </c>
      <c r="E229" s="220">
        <f t="shared" si="33"/>
        <v>11</v>
      </c>
      <c r="F229" s="220">
        <f t="shared" si="29"/>
        <v>1</v>
      </c>
    </row>
    <row r="230" ht="14.25" customHeight="1">
      <c r="B230" s="219">
        <v>45100.0</v>
      </c>
      <c r="C230" s="220">
        <f t="shared" si="34"/>
        <v>4490.5</v>
      </c>
      <c r="D230" s="220">
        <v>4502.0</v>
      </c>
      <c r="E230" s="220">
        <f t="shared" si="33"/>
        <v>11.5</v>
      </c>
      <c r="F230" s="220">
        <f t="shared" si="29"/>
        <v>1.5</v>
      </c>
    </row>
    <row r="231" ht="14.25" customHeight="1">
      <c r="B231" s="254">
        <v>45101.0</v>
      </c>
      <c r="C231" s="255">
        <f t="shared" si="34"/>
        <v>4502</v>
      </c>
      <c r="D231" s="255">
        <v>4513.1</v>
      </c>
      <c r="E231" s="255">
        <f t="shared" si="33"/>
        <v>11.1</v>
      </c>
      <c r="F231" s="255">
        <f t="shared" si="29"/>
        <v>1.1</v>
      </c>
      <c r="H231" s="221" t="s">
        <v>142</v>
      </c>
      <c r="I231" s="221"/>
    </row>
    <row r="232" ht="14.25" customHeight="1">
      <c r="B232" s="254">
        <v>45102.0</v>
      </c>
      <c r="C232" s="255">
        <f t="shared" si="34"/>
        <v>4513.1</v>
      </c>
      <c r="D232" s="255">
        <v>4523.8</v>
      </c>
      <c r="E232" s="255">
        <f t="shared" si="33"/>
        <v>10.7</v>
      </c>
      <c r="F232" s="255">
        <f t="shared" si="29"/>
        <v>0.7</v>
      </c>
      <c r="G232" s="165">
        <v>21.8</v>
      </c>
      <c r="H232" s="221" t="s">
        <v>26</v>
      </c>
      <c r="I232" s="221"/>
    </row>
    <row r="233" ht="14.25" customHeight="1">
      <c r="B233" s="219">
        <v>45103.0</v>
      </c>
      <c r="C233" s="220">
        <f t="shared" si="34"/>
        <v>4523.8</v>
      </c>
      <c r="D233" s="220">
        <v>4533.7</v>
      </c>
      <c r="E233" s="220">
        <f t="shared" si="33"/>
        <v>9.9</v>
      </c>
      <c r="F233" s="220">
        <f t="shared" si="29"/>
        <v>-0.1</v>
      </c>
      <c r="G233" s="165">
        <v>25.3</v>
      </c>
      <c r="H233" s="165" t="s">
        <v>298</v>
      </c>
    </row>
    <row r="234" ht="14.25" customHeight="1">
      <c r="B234" s="219">
        <v>45104.0</v>
      </c>
      <c r="C234" s="220">
        <f t="shared" si="34"/>
        <v>4533.7</v>
      </c>
      <c r="D234" s="220">
        <v>4541.7</v>
      </c>
      <c r="E234" s="220">
        <f t="shared" si="33"/>
        <v>8</v>
      </c>
      <c r="F234" s="220">
        <f t="shared" si="29"/>
        <v>-2</v>
      </c>
    </row>
    <row r="235" ht="14.25" customHeight="1">
      <c r="B235" s="219">
        <v>45105.0</v>
      </c>
      <c r="C235" s="220">
        <f t="shared" si="34"/>
        <v>4541.7</v>
      </c>
      <c r="D235" s="220">
        <v>4551.7</v>
      </c>
      <c r="E235" s="220">
        <f t="shared" si="33"/>
        <v>10</v>
      </c>
      <c r="F235" s="220">
        <f t="shared" si="29"/>
        <v>0</v>
      </c>
    </row>
    <row r="236" ht="14.25" customHeight="1">
      <c r="B236" s="219">
        <v>45106.0</v>
      </c>
      <c r="C236" s="220">
        <f t="shared" si="34"/>
        <v>4551.7</v>
      </c>
      <c r="D236" s="220">
        <v>4562.7</v>
      </c>
      <c r="E236" s="220">
        <f t="shared" si="33"/>
        <v>11</v>
      </c>
      <c r="F236" s="220">
        <f t="shared" si="29"/>
        <v>1</v>
      </c>
    </row>
    <row r="237" ht="14.25" customHeight="1">
      <c r="B237" s="219">
        <v>45107.0</v>
      </c>
      <c r="C237" s="220">
        <f t="shared" si="34"/>
        <v>4562.7</v>
      </c>
      <c r="D237" s="220">
        <v>4572.5</v>
      </c>
      <c r="E237" s="220">
        <f t="shared" si="33"/>
        <v>9.8</v>
      </c>
      <c r="F237" s="220">
        <f t="shared" si="29"/>
        <v>-0.2</v>
      </c>
    </row>
    <row r="238" ht="14.25" customHeight="1">
      <c r="B238" s="229"/>
      <c r="C238" s="220"/>
      <c r="D238" s="220"/>
      <c r="E238" s="220">
        <f t="shared" si="33"/>
        <v>0</v>
      </c>
      <c r="F238" s="220">
        <f t="shared" si="29"/>
        <v>-10</v>
      </c>
    </row>
    <row r="239" ht="14.25" customHeight="1">
      <c r="B239" s="216"/>
      <c r="C239" s="223" t="s">
        <v>221</v>
      </c>
      <c r="D239" s="223"/>
      <c r="E239" s="216">
        <f>SUM(E208:E238)</f>
        <v>255.5</v>
      </c>
      <c r="F239" s="216">
        <f t="shared" si="29"/>
        <v>245.5</v>
      </c>
    </row>
    <row r="240" ht="14.25" customHeight="1"/>
    <row r="241" ht="14.25" customHeight="1">
      <c r="A241" s="249" t="s">
        <v>299</v>
      </c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1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 ht="14.25" customHeight="1"/>
    <row r="243" ht="14.25" customHeight="1">
      <c r="B243" s="216" t="s">
        <v>214</v>
      </c>
      <c r="C243" s="216" t="s">
        <v>215</v>
      </c>
      <c r="D243" s="216" t="s">
        <v>216</v>
      </c>
      <c r="E243" s="216" t="s">
        <v>217</v>
      </c>
      <c r="F243" s="216" t="s">
        <v>218</v>
      </c>
      <c r="H243" s="216" t="s">
        <v>238</v>
      </c>
      <c r="I243" s="216">
        <v>4572.5</v>
      </c>
      <c r="K243" s="253" t="s">
        <v>300</v>
      </c>
      <c r="L243" s="231"/>
    </row>
    <row r="244" ht="14.25" customHeight="1">
      <c r="B244" s="257">
        <v>45108.0</v>
      </c>
      <c r="C244" s="258">
        <v>4572.5</v>
      </c>
      <c r="D244" s="258">
        <v>4582.5</v>
      </c>
      <c r="E244" s="258">
        <f t="shared" ref="E244:E274" si="35">D244-C244</f>
        <v>10</v>
      </c>
      <c r="F244" s="258">
        <f t="shared" ref="F244:F275" si="36">E244-10</f>
        <v>0</v>
      </c>
      <c r="H244" s="216" t="s">
        <v>245</v>
      </c>
      <c r="I244" s="216">
        <v>478.5</v>
      </c>
      <c r="K244" s="216" t="s">
        <v>244</v>
      </c>
      <c r="L244" s="232">
        <v>2014.0</v>
      </c>
    </row>
    <row r="245" ht="14.25" customHeight="1">
      <c r="B245" s="257">
        <v>45109.0</v>
      </c>
      <c r="C245" s="220"/>
      <c r="D245" s="220"/>
      <c r="E245" s="220">
        <f t="shared" si="35"/>
        <v>0</v>
      </c>
      <c r="F245" s="220">
        <f t="shared" si="36"/>
        <v>-10</v>
      </c>
      <c r="H245" s="216" t="s">
        <v>247</v>
      </c>
      <c r="I245" s="216">
        <v>221.6</v>
      </c>
      <c r="K245" s="216" t="s">
        <v>266</v>
      </c>
      <c r="L245" s="232"/>
    </row>
    <row r="246" ht="14.25" customHeight="1">
      <c r="B246" s="257">
        <v>45110.0</v>
      </c>
      <c r="C246" s="220">
        <v>4582.5</v>
      </c>
      <c r="D246" s="220">
        <v>4592.5</v>
      </c>
      <c r="E246" s="220">
        <f t="shared" si="35"/>
        <v>10</v>
      </c>
      <c r="F246" s="220">
        <f t="shared" si="36"/>
        <v>0</v>
      </c>
      <c r="H246" s="216" t="s">
        <v>249</v>
      </c>
      <c r="I246" s="232">
        <v>14.0</v>
      </c>
      <c r="K246" s="216" t="s">
        <v>246</v>
      </c>
      <c r="L246" s="232">
        <f>I245*I246</f>
        <v>3102.4</v>
      </c>
    </row>
    <row r="247" ht="14.25" customHeight="1">
      <c r="B247" s="257">
        <v>45111.0</v>
      </c>
      <c r="C247" s="220">
        <f t="shared" ref="C247:C251" si="37">D246</f>
        <v>4592.5</v>
      </c>
      <c r="D247" s="220">
        <v>4600.5</v>
      </c>
      <c r="E247" s="220">
        <f t="shared" si="35"/>
        <v>8</v>
      </c>
      <c r="F247" s="220">
        <f t="shared" si="36"/>
        <v>-2</v>
      </c>
      <c r="H247" s="216" t="s">
        <v>251</v>
      </c>
      <c r="I247" s="216">
        <v>2.1</v>
      </c>
      <c r="K247" s="216" t="s">
        <v>248</v>
      </c>
      <c r="L247" s="232">
        <f>I247*I248</f>
        <v>29.4</v>
      </c>
    </row>
    <row r="248" ht="14.25" customHeight="1">
      <c r="B248" s="257">
        <v>45112.0</v>
      </c>
      <c r="C248" s="220">
        <f t="shared" si="37"/>
        <v>4600.5</v>
      </c>
      <c r="D248" s="220">
        <v>4611.5</v>
      </c>
      <c r="E248" s="220">
        <f t="shared" si="35"/>
        <v>11</v>
      </c>
      <c r="F248" s="220">
        <f t="shared" si="36"/>
        <v>1</v>
      </c>
      <c r="H248" s="216" t="s">
        <v>249</v>
      </c>
      <c r="I248" s="232">
        <v>14.0</v>
      </c>
      <c r="K248" s="216" t="s">
        <v>250</v>
      </c>
      <c r="L248" s="232">
        <f>I249*100</f>
        <v>200</v>
      </c>
    </row>
    <row r="249" ht="14.25" customHeight="1">
      <c r="B249" s="257">
        <v>45113.0</v>
      </c>
      <c r="C249" s="220">
        <f t="shared" si="37"/>
        <v>4611.5</v>
      </c>
      <c r="D249" s="220">
        <v>4621.0</v>
      </c>
      <c r="E249" s="220">
        <f t="shared" si="35"/>
        <v>9.5</v>
      </c>
      <c r="F249" s="220">
        <f t="shared" si="36"/>
        <v>-0.5</v>
      </c>
      <c r="H249" s="216" t="s">
        <v>250</v>
      </c>
      <c r="I249" s="264">
        <v>2.0</v>
      </c>
      <c r="K249" s="216" t="s">
        <v>252</v>
      </c>
      <c r="L249" s="232"/>
    </row>
    <row r="250" ht="14.25" customHeight="1">
      <c r="B250" s="257">
        <v>45114.0</v>
      </c>
      <c r="C250" s="220">
        <f t="shared" si="37"/>
        <v>4621</v>
      </c>
      <c r="D250" s="220">
        <v>4630.0</v>
      </c>
      <c r="E250" s="220">
        <f t="shared" si="35"/>
        <v>9</v>
      </c>
      <c r="F250" s="220">
        <f t="shared" si="36"/>
        <v>-1</v>
      </c>
      <c r="K250" s="216" t="s">
        <v>268</v>
      </c>
      <c r="L250" s="232">
        <f>L244+L246+L247+L248-L245-L249</f>
        <v>5345.8</v>
      </c>
    </row>
    <row r="251" ht="14.25" customHeight="1">
      <c r="B251" s="257">
        <v>45115.0</v>
      </c>
      <c r="C251" s="258">
        <f t="shared" si="37"/>
        <v>4630</v>
      </c>
      <c r="D251" s="258">
        <v>4632.5</v>
      </c>
      <c r="E251" s="258">
        <f t="shared" si="35"/>
        <v>2.5</v>
      </c>
      <c r="F251" s="258">
        <f t="shared" si="36"/>
        <v>-7.5</v>
      </c>
      <c r="H251" s="165">
        <v>186.0</v>
      </c>
      <c r="K251" s="216" t="s">
        <v>269</v>
      </c>
      <c r="L251" s="229">
        <v>45140.0</v>
      </c>
    </row>
    <row r="252" ht="14.25" customHeight="1">
      <c r="B252" s="257">
        <v>45116.0</v>
      </c>
      <c r="C252" s="258"/>
      <c r="D252" s="258"/>
      <c r="E252" s="258">
        <f t="shared" si="35"/>
        <v>0</v>
      </c>
      <c r="F252" s="258">
        <f t="shared" si="36"/>
        <v>-10</v>
      </c>
      <c r="H252" s="165">
        <v>226.0</v>
      </c>
    </row>
    <row r="253" ht="14.25" customHeight="1">
      <c r="B253" s="257">
        <v>45117.0</v>
      </c>
      <c r="C253" s="220">
        <v>4632.5</v>
      </c>
      <c r="D253" s="220">
        <v>4638.5</v>
      </c>
      <c r="E253" s="220">
        <f t="shared" si="35"/>
        <v>6</v>
      </c>
      <c r="F253" s="220">
        <f t="shared" si="36"/>
        <v>-4</v>
      </c>
    </row>
    <row r="254" ht="14.25" customHeight="1">
      <c r="B254" s="257">
        <v>45118.0</v>
      </c>
      <c r="C254" s="220">
        <f t="shared" ref="C254:C258" si="38">D253</f>
        <v>4638.5</v>
      </c>
      <c r="D254" s="220">
        <v>4648.5</v>
      </c>
      <c r="E254" s="220">
        <f t="shared" si="35"/>
        <v>10</v>
      </c>
      <c r="F254" s="220">
        <f t="shared" si="36"/>
        <v>0</v>
      </c>
      <c r="H254" s="165">
        <f>H252-I245</f>
        <v>4.4</v>
      </c>
    </row>
    <row r="255" ht="14.25" customHeight="1">
      <c r="B255" s="257">
        <v>45119.0</v>
      </c>
      <c r="C255" s="220">
        <f t="shared" si="38"/>
        <v>4648.5</v>
      </c>
      <c r="D255" s="220">
        <v>4658.5</v>
      </c>
      <c r="E255" s="220">
        <f t="shared" si="35"/>
        <v>10</v>
      </c>
      <c r="F255" s="220">
        <f t="shared" si="36"/>
        <v>0</v>
      </c>
    </row>
    <row r="256" ht="14.25" customHeight="1">
      <c r="B256" s="257">
        <v>45120.0</v>
      </c>
      <c r="C256" s="220">
        <f t="shared" si="38"/>
        <v>4658.5</v>
      </c>
      <c r="D256" s="220">
        <v>4668.5</v>
      </c>
      <c r="E256" s="220">
        <f t="shared" si="35"/>
        <v>10</v>
      </c>
      <c r="F256" s="220">
        <f t="shared" si="36"/>
        <v>0</v>
      </c>
      <c r="I256" s="165">
        <f>I245-H254</f>
        <v>217.2</v>
      </c>
    </row>
    <row r="257" ht="14.25" customHeight="1">
      <c r="B257" s="257">
        <v>45121.0</v>
      </c>
      <c r="C257" s="220">
        <f t="shared" si="38"/>
        <v>4668.5</v>
      </c>
      <c r="D257" s="220">
        <v>4678.5</v>
      </c>
      <c r="E257" s="220">
        <f t="shared" si="35"/>
        <v>10</v>
      </c>
      <c r="F257" s="220">
        <f t="shared" si="36"/>
        <v>0</v>
      </c>
    </row>
    <row r="258" ht="14.25" customHeight="1">
      <c r="B258" s="257">
        <v>45122.0</v>
      </c>
      <c r="C258" s="258">
        <f t="shared" si="38"/>
        <v>4678.5</v>
      </c>
      <c r="D258" s="258">
        <v>4688.5</v>
      </c>
      <c r="E258" s="258">
        <f t="shared" si="35"/>
        <v>10</v>
      </c>
      <c r="F258" s="258">
        <f t="shared" si="36"/>
        <v>0</v>
      </c>
    </row>
    <row r="259" ht="14.25" customHeight="1">
      <c r="B259" s="257">
        <v>45123.0</v>
      </c>
      <c r="C259" s="258"/>
      <c r="D259" s="258"/>
      <c r="E259" s="258">
        <f t="shared" si="35"/>
        <v>0</v>
      </c>
      <c r="F259" s="258">
        <f t="shared" si="36"/>
        <v>-10</v>
      </c>
    </row>
    <row r="260" ht="14.25" customHeight="1">
      <c r="B260" s="257">
        <v>45124.0</v>
      </c>
      <c r="C260" s="220">
        <v>4688.5</v>
      </c>
      <c r="D260" s="220">
        <v>4698.5</v>
      </c>
      <c r="E260" s="220">
        <f t="shared" si="35"/>
        <v>10</v>
      </c>
      <c r="F260" s="220">
        <f t="shared" si="36"/>
        <v>0</v>
      </c>
    </row>
    <row r="261" ht="14.25" customHeight="1">
      <c r="B261" s="257">
        <v>45125.0</v>
      </c>
      <c r="C261" s="220">
        <f t="shared" ref="C261:C264" si="39">D260</f>
        <v>4698.5</v>
      </c>
      <c r="D261" s="220">
        <v>4708.5</v>
      </c>
      <c r="E261" s="220">
        <f t="shared" si="35"/>
        <v>10</v>
      </c>
      <c r="F261" s="220">
        <f t="shared" si="36"/>
        <v>0</v>
      </c>
    </row>
    <row r="262" ht="14.25" customHeight="1">
      <c r="B262" s="257">
        <v>45126.0</v>
      </c>
      <c r="C262" s="220">
        <f t="shared" si="39"/>
        <v>4708.5</v>
      </c>
      <c r="D262" s="220">
        <v>4718.5</v>
      </c>
      <c r="E262" s="220">
        <f t="shared" si="35"/>
        <v>10</v>
      </c>
      <c r="F262" s="220">
        <f t="shared" si="36"/>
        <v>0</v>
      </c>
    </row>
    <row r="263" ht="14.25" customHeight="1">
      <c r="B263" s="257">
        <v>45127.0</v>
      </c>
      <c r="C263" s="220">
        <f t="shared" si="39"/>
        <v>4718.5</v>
      </c>
      <c r="D263" s="220">
        <v>4728.6</v>
      </c>
      <c r="E263" s="220">
        <f t="shared" si="35"/>
        <v>10.1</v>
      </c>
      <c r="F263" s="220">
        <f t="shared" si="36"/>
        <v>0.1</v>
      </c>
    </row>
    <row r="264" ht="14.25" customHeight="1">
      <c r="B264" s="257">
        <v>45128.0</v>
      </c>
      <c r="C264" s="220">
        <f t="shared" si="39"/>
        <v>4728.6</v>
      </c>
      <c r="D264" s="220">
        <v>4729.6</v>
      </c>
      <c r="E264" s="220">
        <f t="shared" si="35"/>
        <v>1</v>
      </c>
      <c r="F264" s="220">
        <f t="shared" si="36"/>
        <v>-9</v>
      </c>
    </row>
    <row r="265" ht="14.25" customHeight="1">
      <c r="B265" s="257">
        <v>45129.0</v>
      </c>
      <c r="C265" s="258"/>
      <c r="D265" s="258"/>
      <c r="E265" s="258">
        <f t="shared" si="35"/>
        <v>0</v>
      </c>
      <c r="F265" s="258">
        <f t="shared" si="36"/>
        <v>-10</v>
      </c>
    </row>
    <row r="266" ht="14.25" customHeight="1">
      <c r="B266" s="257">
        <v>45130.0</v>
      </c>
      <c r="C266" s="258" t="str">
        <f>D265</f>
        <v/>
      </c>
      <c r="D266" s="258"/>
      <c r="E266" s="258">
        <f t="shared" si="35"/>
        <v>0</v>
      </c>
      <c r="F266" s="258">
        <f t="shared" si="36"/>
        <v>-10</v>
      </c>
    </row>
    <row r="267" ht="14.25" customHeight="1">
      <c r="B267" s="257">
        <v>45131.0</v>
      </c>
      <c r="C267" s="220">
        <v>4734.0</v>
      </c>
      <c r="D267" s="220">
        <v>4744.0</v>
      </c>
      <c r="E267" s="220">
        <f t="shared" si="35"/>
        <v>10</v>
      </c>
      <c r="F267" s="220">
        <f t="shared" si="36"/>
        <v>0</v>
      </c>
    </row>
    <row r="268" ht="14.25" customHeight="1">
      <c r="B268" s="257">
        <v>45132.0</v>
      </c>
      <c r="C268" s="220">
        <f t="shared" ref="C268:C272" si="40">D267</f>
        <v>4744</v>
      </c>
      <c r="D268" s="220">
        <v>4754.0</v>
      </c>
      <c r="E268" s="220">
        <f t="shared" si="35"/>
        <v>10</v>
      </c>
      <c r="F268" s="220">
        <f t="shared" si="36"/>
        <v>0</v>
      </c>
    </row>
    <row r="269" ht="14.25" customHeight="1">
      <c r="B269" s="257">
        <v>45133.0</v>
      </c>
      <c r="C269" s="220">
        <f t="shared" si="40"/>
        <v>4754</v>
      </c>
      <c r="D269" s="220">
        <v>4764.0</v>
      </c>
      <c r="E269" s="220">
        <f t="shared" si="35"/>
        <v>10</v>
      </c>
      <c r="F269" s="220">
        <f t="shared" si="36"/>
        <v>0</v>
      </c>
    </row>
    <row r="270" ht="14.25" customHeight="1">
      <c r="B270" s="257">
        <v>45134.0</v>
      </c>
      <c r="C270" s="220">
        <f t="shared" si="40"/>
        <v>4764</v>
      </c>
      <c r="D270" s="220">
        <v>4774.0</v>
      </c>
      <c r="E270" s="220">
        <f t="shared" si="35"/>
        <v>10</v>
      </c>
      <c r="F270" s="220">
        <f t="shared" si="36"/>
        <v>0</v>
      </c>
    </row>
    <row r="271" ht="14.25" customHeight="1">
      <c r="B271" s="257">
        <v>45135.0</v>
      </c>
      <c r="C271" s="220">
        <f t="shared" si="40"/>
        <v>4774</v>
      </c>
      <c r="D271" s="220">
        <v>4780.5</v>
      </c>
      <c r="E271" s="220">
        <f t="shared" si="35"/>
        <v>6.5</v>
      </c>
      <c r="F271" s="220">
        <f t="shared" si="36"/>
        <v>-3.5</v>
      </c>
    </row>
    <row r="272" ht="14.25" customHeight="1">
      <c r="B272" s="257">
        <v>45136.0</v>
      </c>
      <c r="C272" s="258">
        <f t="shared" si="40"/>
        <v>4780.5</v>
      </c>
      <c r="D272" s="258">
        <v>4788.5</v>
      </c>
      <c r="E272" s="258">
        <f t="shared" si="35"/>
        <v>8</v>
      </c>
      <c r="F272" s="258">
        <f t="shared" si="36"/>
        <v>-2</v>
      </c>
    </row>
    <row r="273" ht="14.25" customHeight="1">
      <c r="B273" s="257">
        <v>45137.0</v>
      </c>
      <c r="C273" s="258"/>
      <c r="D273" s="258"/>
      <c r="E273" s="258">
        <f t="shared" si="35"/>
        <v>0</v>
      </c>
      <c r="F273" s="258">
        <f t="shared" si="36"/>
        <v>-10</v>
      </c>
    </row>
    <row r="274" ht="14.25" customHeight="1">
      <c r="B274" s="219">
        <v>45138.0</v>
      </c>
      <c r="C274" s="220">
        <v>4788.5</v>
      </c>
      <c r="D274" s="220">
        <v>4798.5</v>
      </c>
      <c r="E274" s="220">
        <f t="shared" si="35"/>
        <v>10</v>
      </c>
      <c r="F274" s="220">
        <f t="shared" si="36"/>
        <v>0</v>
      </c>
    </row>
    <row r="275" ht="14.25" customHeight="1">
      <c r="B275" s="216"/>
      <c r="C275" s="223" t="s">
        <v>221</v>
      </c>
      <c r="D275" s="223"/>
      <c r="E275" s="216">
        <f>SUM(E244:E274)</f>
        <v>221.6</v>
      </c>
      <c r="F275" s="216">
        <f t="shared" si="36"/>
        <v>211.6</v>
      </c>
    </row>
    <row r="276" ht="14.25" customHeight="1"/>
    <row r="277" ht="14.25" customHeight="1">
      <c r="A277" s="249" t="s">
        <v>301</v>
      </c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1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 ht="14.25" customHeight="1"/>
    <row r="279" ht="14.25" customHeight="1">
      <c r="B279" s="216" t="s">
        <v>214</v>
      </c>
      <c r="C279" s="216" t="s">
        <v>215</v>
      </c>
      <c r="D279" s="216" t="s">
        <v>216</v>
      </c>
      <c r="E279" s="216" t="s">
        <v>217</v>
      </c>
      <c r="F279" s="216" t="s">
        <v>218</v>
      </c>
      <c r="H279" s="216" t="s">
        <v>238</v>
      </c>
      <c r="I279" s="220">
        <v>4798.5</v>
      </c>
      <c r="K279" s="253" t="s">
        <v>300</v>
      </c>
      <c r="L279" s="231"/>
    </row>
    <row r="280" ht="14.25" customHeight="1">
      <c r="B280" s="219">
        <v>45139.0</v>
      </c>
      <c r="C280" s="220">
        <v>4798.5</v>
      </c>
      <c r="D280" s="220">
        <v>4805.0</v>
      </c>
      <c r="E280" s="220">
        <f t="shared" ref="E280:E310" si="41">D280-C280</f>
        <v>6.5</v>
      </c>
      <c r="F280" s="220">
        <f t="shared" ref="F280:F311" si="42">E280-10</f>
        <v>-3.5</v>
      </c>
      <c r="H280" s="216" t="s">
        <v>245</v>
      </c>
      <c r="I280" s="220">
        <v>5023.5</v>
      </c>
      <c r="K280" s="216" t="s">
        <v>244</v>
      </c>
      <c r="L280" s="232">
        <v>1949.31</v>
      </c>
    </row>
    <row r="281" ht="14.25" customHeight="1">
      <c r="B281" s="219">
        <v>45140.0</v>
      </c>
      <c r="C281" s="220">
        <f t="shared" ref="C281:C283" si="43">D280</f>
        <v>4805</v>
      </c>
      <c r="D281" s="220">
        <v>4815.0</v>
      </c>
      <c r="E281" s="220">
        <f t="shared" si="41"/>
        <v>10</v>
      </c>
      <c r="F281" s="220">
        <f t="shared" si="42"/>
        <v>0</v>
      </c>
      <c r="H281" s="216" t="s">
        <v>247</v>
      </c>
      <c r="I281" s="216">
        <v>203.4</v>
      </c>
      <c r="K281" s="216" t="s">
        <v>266</v>
      </c>
      <c r="L281" s="232"/>
    </row>
    <row r="282" ht="14.25" customHeight="1">
      <c r="B282" s="219">
        <v>45141.0</v>
      </c>
      <c r="C282" s="220">
        <f t="shared" si="43"/>
        <v>4815</v>
      </c>
      <c r="D282" s="220">
        <v>4825.0</v>
      </c>
      <c r="E282" s="220">
        <f t="shared" si="41"/>
        <v>10</v>
      </c>
      <c r="F282" s="220">
        <f t="shared" si="42"/>
        <v>0</v>
      </c>
      <c r="H282" s="216" t="s">
        <v>249</v>
      </c>
      <c r="I282" s="232">
        <v>14.0</v>
      </c>
      <c r="K282" s="216" t="s">
        <v>246</v>
      </c>
      <c r="L282" s="232">
        <f>I281*I282</f>
        <v>2847.6</v>
      </c>
    </row>
    <row r="283" ht="14.25" customHeight="1">
      <c r="B283" s="219">
        <v>45142.0</v>
      </c>
      <c r="C283" s="220">
        <f t="shared" si="43"/>
        <v>4825</v>
      </c>
      <c r="D283" s="220">
        <v>4830.0</v>
      </c>
      <c r="E283" s="220">
        <f t="shared" si="41"/>
        <v>5</v>
      </c>
      <c r="F283" s="220">
        <f t="shared" si="42"/>
        <v>-5</v>
      </c>
      <c r="H283" s="216" t="s">
        <v>251</v>
      </c>
      <c r="I283" s="216">
        <v>3.2</v>
      </c>
      <c r="K283" s="216" t="s">
        <v>248</v>
      </c>
      <c r="L283" s="232">
        <f>I283*I284</f>
        <v>44.8</v>
      </c>
    </row>
    <row r="284" ht="14.25" customHeight="1">
      <c r="B284" s="259">
        <v>45143.0</v>
      </c>
      <c r="C284" s="260"/>
      <c r="D284" s="260"/>
      <c r="E284" s="260">
        <f t="shared" si="41"/>
        <v>0</v>
      </c>
      <c r="F284" s="260">
        <f t="shared" si="42"/>
        <v>-10</v>
      </c>
      <c r="H284" s="216" t="s">
        <v>249</v>
      </c>
      <c r="I284" s="232">
        <v>14.0</v>
      </c>
      <c r="K284" s="216" t="s">
        <v>250</v>
      </c>
      <c r="L284" s="232">
        <f>I285*100</f>
        <v>0</v>
      </c>
    </row>
    <row r="285" ht="14.25" customHeight="1">
      <c r="B285" s="259">
        <v>45144.0</v>
      </c>
      <c r="C285" s="260" t="str">
        <f>D284</f>
        <v/>
      </c>
      <c r="D285" s="260"/>
      <c r="E285" s="260">
        <f t="shared" si="41"/>
        <v>0</v>
      </c>
      <c r="F285" s="260">
        <f t="shared" si="42"/>
        <v>-10</v>
      </c>
      <c r="H285" s="216" t="s">
        <v>250</v>
      </c>
      <c r="I285" s="232"/>
      <c r="K285" s="216" t="s">
        <v>252</v>
      </c>
      <c r="L285" s="232"/>
    </row>
    <row r="286" ht="14.25" customHeight="1">
      <c r="B286" s="219">
        <v>45145.0</v>
      </c>
      <c r="C286" s="220">
        <v>4830.0</v>
      </c>
      <c r="D286" s="220">
        <v>4840.0</v>
      </c>
      <c r="E286" s="220">
        <f t="shared" si="41"/>
        <v>10</v>
      </c>
      <c r="F286" s="220">
        <f t="shared" si="42"/>
        <v>0</v>
      </c>
      <c r="I286" s="265">
        <v>8.8</v>
      </c>
      <c r="K286" s="216" t="s">
        <v>268</v>
      </c>
      <c r="L286" s="232">
        <f>L280+L282+L283+L284-L281-L285</f>
        <v>4841.71</v>
      </c>
    </row>
    <row r="287" ht="14.25" customHeight="1">
      <c r="B287" s="219">
        <v>45146.0</v>
      </c>
      <c r="C287" s="220">
        <v>4840.0</v>
      </c>
      <c r="D287" s="220">
        <v>4850.0</v>
      </c>
      <c r="E287" s="220">
        <f t="shared" si="41"/>
        <v>10</v>
      </c>
      <c r="F287" s="220">
        <f t="shared" si="42"/>
        <v>0</v>
      </c>
      <c r="I287" s="243"/>
      <c r="K287" s="216" t="s">
        <v>269</v>
      </c>
      <c r="L287" s="229">
        <v>45171.0</v>
      </c>
    </row>
    <row r="288" ht="14.25" customHeight="1">
      <c r="B288" s="219">
        <v>45147.0</v>
      </c>
      <c r="C288" s="220">
        <f t="shared" ref="C288:C291" si="44">D287</f>
        <v>4850</v>
      </c>
      <c r="D288" s="220">
        <v>4860.0</v>
      </c>
      <c r="E288" s="220">
        <f t="shared" si="41"/>
        <v>10</v>
      </c>
      <c r="F288" s="220">
        <f t="shared" si="42"/>
        <v>0</v>
      </c>
      <c r="I288" s="12">
        <f>I286*I282</f>
        <v>123.2</v>
      </c>
    </row>
    <row r="289" ht="14.25" customHeight="1">
      <c r="B289" s="219">
        <v>45148.0</v>
      </c>
      <c r="C289" s="220">
        <f t="shared" si="44"/>
        <v>4860</v>
      </c>
      <c r="D289" s="220">
        <v>4869.3</v>
      </c>
      <c r="E289" s="220">
        <f t="shared" si="41"/>
        <v>9.3</v>
      </c>
      <c r="F289" s="220">
        <f t="shared" si="42"/>
        <v>-0.7</v>
      </c>
    </row>
    <row r="290" ht="14.25" customHeight="1">
      <c r="B290" s="219">
        <v>45149.0</v>
      </c>
      <c r="C290" s="220">
        <f t="shared" si="44"/>
        <v>4869.3</v>
      </c>
      <c r="D290" s="220">
        <v>4876.3</v>
      </c>
      <c r="E290" s="220">
        <f t="shared" si="41"/>
        <v>7</v>
      </c>
      <c r="F290" s="220">
        <f t="shared" si="42"/>
        <v>-3</v>
      </c>
    </row>
    <row r="291" ht="14.25" customHeight="1">
      <c r="B291" s="259">
        <v>45150.0</v>
      </c>
      <c r="C291" s="260">
        <f t="shared" si="44"/>
        <v>4876.3</v>
      </c>
      <c r="D291" s="260">
        <v>4884.3</v>
      </c>
      <c r="E291" s="260">
        <f t="shared" si="41"/>
        <v>8</v>
      </c>
      <c r="F291" s="260">
        <f t="shared" si="42"/>
        <v>-2</v>
      </c>
    </row>
    <row r="292" ht="14.25" customHeight="1">
      <c r="B292" s="259">
        <v>45151.0</v>
      </c>
      <c r="C292" s="260"/>
      <c r="D292" s="260"/>
      <c r="E292" s="260">
        <f t="shared" si="41"/>
        <v>0</v>
      </c>
      <c r="F292" s="260">
        <f t="shared" si="42"/>
        <v>-10</v>
      </c>
    </row>
    <row r="293" ht="14.25" customHeight="1">
      <c r="B293" s="219">
        <v>45152.0</v>
      </c>
      <c r="C293" s="220">
        <v>4884.3</v>
      </c>
      <c r="D293" s="220">
        <v>4894.3</v>
      </c>
      <c r="E293" s="220">
        <f t="shared" si="41"/>
        <v>10</v>
      </c>
      <c r="F293" s="220">
        <f t="shared" si="42"/>
        <v>0</v>
      </c>
    </row>
    <row r="294" ht="14.25" customHeight="1">
      <c r="B294" s="219">
        <v>45153.0</v>
      </c>
      <c r="C294" s="220">
        <f t="shared" ref="C294:C305" si="45">D293</f>
        <v>4894.3</v>
      </c>
      <c r="D294" s="220">
        <v>4904.3</v>
      </c>
      <c r="E294" s="220">
        <f t="shared" si="41"/>
        <v>10</v>
      </c>
      <c r="F294" s="220">
        <f t="shared" si="42"/>
        <v>0</v>
      </c>
    </row>
    <row r="295" ht="14.25" customHeight="1">
      <c r="B295" s="219">
        <v>45154.0</v>
      </c>
      <c r="C295" s="220">
        <f t="shared" si="45"/>
        <v>4904.3</v>
      </c>
      <c r="D295" s="220">
        <v>4914.3</v>
      </c>
      <c r="E295" s="220">
        <f t="shared" si="41"/>
        <v>10</v>
      </c>
      <c r="F295" s="220">
        <f t="shared" si="42"/>
        <v>0</v>
      </c>
    </row>
    <row r="296" ht="14.25" customHeight="1">
      <c r="B296" s="219">
        <v>45155.0</v>
      </c>
      <c r="C296" s="220">
        <f t="shared" si="45"/>
        <v>4914.3</v>
      </c>
      <c r="D296" s="220">
        <v>4921.0</v>
      </c>
      <c r="E296" s="220">
        <f t="shared" si="41"/>
        <v>6.7</v>
      </c>
      <c r="F296" s="220">
        <f t="shared" si="42"/>
        <v>-3.3</v>
      </c>
    </row>
    <row r="297" ht="14.25" customHeight="1">
      <c r="B297" s="219">
        <v>45156.0</v>
      </c>
      <c r="C297" s="220">
        <f t="shared" si="45"/>
        <v>4921</v>
      </c>
      <c r="D297" s="220">
        <v>4929.0</v>
      </c>
      <c r="E297" s="220">
        <f t="shared" si="41"/>
        <v>8</v>
      </c>
      <c r="F297" s="220">
        <f t="shared" si="42"/>
        <v>-2</v>
      </c>
    </row>
    <row r="298" ht="14.25" customHeight="1">
      <c r="B298" s="259">
        <v>45157.0</v>
      </c>
      <c r="C298" s="260">
        <f t="shared" si="45"/>
        <v>4929</v>
      </c>
      <c r="D298" s="260">
        <v>4937.2</v>
      </c>
      <c r="E298" s="227">
        <f t="shared" si="41"/>
        <v>8.2</v>
      </c>
      <c r="F298" s="260">
        <f t="shared" si="42"/>
        <v>-1.8</v>
      </c>
      <c r="G298" s="165">
        <f>E298+E299</f>
        <v>17.2</v>
      </c>
    </row>
    <row r="299" ht="14.25" customHeight="1">
      <c r="B299" s="259">
        <v>45158.0</v>
      </c>
      <c r="C299" s="260">
        <f t="shared" si="45"/>
        <v>4937.2</v>
      </c>
      <c r="D299" s="260">
        <v>4946.2</v>
      </c>
      <c r="E299" s="260">
        <f t="shared" si="41"/>
        <v>9</v>
      </c>
      <c r="F299" s="260">
        <f t="shared" si="42"/>
        <v>-1</v>
      </c>
    </row>
    <row r="300" ht="14.25" customHeight="1">
      <c r="B300" s="219">
        <v>45159.0</v>
      </c>
      <c r="C300" s="220">
        <f t="shared" si="45"/>
        <v>4946.2</v>
      </c>
      <c r="D300" s="220">
        <v>4954.2</v>
      </c>
      <c r="E300" s="220">
        <f t="shared" si="41"/>
        <v>8</v>
      </c>
      <c r="F300" s="220">
        <f t="shared" si="42"/>
        <v>-2</v>
      </c>
    </row>
    <row r="301" ht="14.25" customHeight="1">
      <c r="B301" s="219">
        <v>45160.0</v>
      </c>
      <c r="C301" s="220">
        <f t="shared" si="45"/>
        <v>4954.2</v>
      </c>
      <c r="D301" s="220">
        <v>4963.5</v>
      </c>
      <c r="E301" s="220">
        <f t="shared" si="41"/>
        <v>9.3</v>
      </c>
      <c r="F301" s="220">
        <f t="shared" si="42"/>
        <v>-0.7</v>
      </c>
    </row>
    <row r="302" ht="14.25" customHeight="1">
      <c r="B302" s="219">
        <v>45161.0</v>
      </c>
      <c r="C302" s="220">
        <f t="shared" si="45"/>
        <v>4963.5</v>
      </c>
      <c r="D302" s="220">
        <v>4971.0</v>
      </c>
      <c r="E302" s="220">
        <f t="shared" si="41"/>
        <v>7.5</v>
      </c>
      <c r="F302" s="220">
        <f t="shared" si="42"/>
        <v>-2.5</v>
      </c>
    </row>
    <row r="303" ht="14.25" customHeight="1">
      <c r="B303" s="219">
        <v>45162.0</v>
      </c>
      <c r="C303" s="220">
        <f t="shared" si="45"/>
        <v>4971</v>
      </c>
      <c r="D303" s="220">
        <v>4971.0</v>
      </c>
      <c r="E303" s="220">
        <f t="shared" si="41"/>
        <v>0</v>
      </c>
      <c r="F303" s="220">
        <f t="shared" si="42"/>
        <v>-10</v>
      </c>
    </row>
    <row r="304" ht="14.25" customHeight="1">
      <c r="B304" s="219">
        <v>45163.0</v>
      </c>
      <c r="C304" s="220">
        <f t="shared" si="45"/>
        <v>4971</v>
      </c>
      <c r="D304" s="220">
        <v>4975.3</v>
      </c>
      <c r="E304" s="220">
        <f t="shared" si="41"/>
        <v>4.3</v>
      </c>
      <c r="F304" s="220">
        <f t="shared" si="42"/>
        <v>-5.7</v>
      </c>
    </row>
    <row r="305" ht="14.25" customHeight="1">
      <c r="B305" s="259">
        <v>45164.0</v>
      </c>
      <c r="C305" s="260">
        <f t="shared" si="45"/>
        <v>4975.3</v>
      </c>
      <c r="D305" s="260">
        <v>4980.3</v>
      </c>
      <c r="E305" s="260">
        <f t="shared" si="41"/>
        <v>5</v>
      </c>
      <c r="F305" s="260">
        <f t="shared" si="42"/>
        <v>-5</v>
      </c>
    </row>
    <row r="306" ht="14.25" customHeight="1">
      <c r="B306" s="259">
        <v>45165.0</v>
      </c>
      <c r="C306" s="260"/>
      <c r="D306" s="260"/>
      <c r="E306" s="260">
        <f t="shared" si="41"/>
        <v>0</v>
      </c>
      <c r="F306" s="260">
        <f t="shared" si="42"/>
        <v>-10</v>
      </c>
    </row>
    <row r="307" ht="14.25" customHeight="1">
      <c r="B307" s="219">
        <v>45166.0</v>
      </c>
      <c r="C307" s="260">
        <v>4980.3</v>
      </c>
      <c r="D307" s="220">
        <v>4990.3</v>
      </c>
      <c r="E307" s="220">
        <f t="shared" si="41"/>
        <v>10</v>
      </c>
      <c r="F307" s="220">
        <f t="shared" si="42"/>
        <v>0</v>
      </c>
    </row>
    <row r="308" ht="14.25" customHeight="1">
      <c r="B308" s="219">
        <v>45167.0</v>
      </c>
      <c r="C308" s="220">
        <f t="shared" ref="C308:C310" si="46">D307</f>
        <v>4990.3</v>
      </c>
      <c r="D308" s="220">
        <v>5001.0</v>
      </c>
      <c r="E308" s="220">
        <f t="shared" si="41"/>
        <v>10.7</v>
      </c>
      <c r="F308" s="220">
        <f t="shared" si="42"/>
        <v>0.7</v>
      </c>
    </row>
    <row r="309" ht="14.25" customHeight="1">
      <c r="B309" s="219">
        <v>45168.0</v>
      </c>
      <c r="C309" s="220">
        <f t="shared" si="46"/>
        <v>5001</v>
      </c>
      <c r="D309" s="220">
        <v>5011.5</v>
      </c>
      <c r="E309" s="220">
        <f t="shared" si="41"/>
        <v>10.5</v>
      </c>
      <c r="F309" s="220">
        <f t="shared" si="42"/>
        <v>0.5</v>
      </c>
    </row>
    <row r="310" ht="14.25" customHeight="1">
      <c r="B310" s="219">
        <v>45169.0</v>
      </c>
      <c r="C310" s="220">
        <f t="shared" si="46"/>
        <v>5011.5</v>
      </c>
      <c r="D310" s="220">
        <v>5023.5</v>
      </c>
      <c r="E310" s="220">
        <f t="shared" si="41"/>
        <v>12</v>
      </c>
      <c r="F310" s="220">
        <f t="shared" si="42"/>
        <v>2</v>
      </c>
      <c r="H310" s="165">
        <v>4.4</v>
      </c>
    </row>
    <row r="311" ht="14.25" customHeight="1">
      <c r="B311" s="216"/>
      <c r="C311" s="223" t="s">
        <v>221</v>
      </c>
      <c r="D311" s="223"/>
      <c r="E311" s="216">
        <f>SUM(E280:E310)</f>
        <v>225</v>
      </c>
      <c r="F311" s="216">
        <f t="shared" si="42"/>
        <v>215</v>
      </c>
      <c r="H311" s="165">
        <f>E311-G298</f>
        <v>207.8</v>
      </c>
      <c r="I311" s="165">
        <f>H311-H310</f>
        <v>203.4</v>
      </c>
      <c r="J311" s="165">
        <v>8.8</v>
      </c>
    </row>
    <row r="312" ht="14.25" customHeight="1"/>
    <row r="313" ht="14.25" customHeight="1">
      <c r="A313" s="249" t="s">
        <v>302</v>
      </c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1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 ht="14.25" customHeight="1"/>
    <row r="315" ht="14.25" customHeight="1">
      <c r="B315" s="216" t="s">
        <v>214</v>
      </c>
      <c r="C315" s="216" t="s">
        <v>215</v>
      </c>
      <c r="D315" s="216" t="s">
        <v>216</v>
      </c>
      <c r="E315" s="216" t="s">
        <v>217</v>
      </c>
      <c r="F315" s="216" t="s">
        <v>218</v>
      </c>
      <c r="H315" s="216" t="s">
        <v>238</v>
      </c>
      <c r="I315" s="216"/>
      <c r="K315" s="253" t="s">
        <v>275</v>
      </c>
      <c r="L315" s="231"/>
    </row>
    <row r="316" ht="14.25" customHeight="1">
      <c r="B316" s="219">
        <v>45170.0</v>
      </c>
      <c r="C316" s="220">
        <v>5023.5</v>
      </c>
      <c r="D316" s="220">
        <v>5033.0</v>
      </c>
      <c r="E316" s="220">
        <f t="shared" ref="E316:E346" si="47">D316-C316</f>
        <v>9.5</v>
      </c>
      <c r="F316" s="220">
        <f t="shared" ref="F316:F347" si="48">E316-10</f>
        <v>-0.5</v>
      </c>
      <c r="H316" s="216" t="s">
        <v>245</v>
      </c>
      <c r="I316" s="216"/>
      <c r="K316" s="216" t="s">
        <v>244</v>
      </c>
      <c r="L316" s="232">
        <v>2014.0</v>
      </c>
    </row>
    <row r="317" ht="14.25" customHeight="1">
      <c r="B317" s="219">
        <v>45171.0</v>
      </c>
      <c r="C317" s="220">
        <f>D316</f>
        <v>5033</v>
      </c>
      <c r="D317" s="220">
        <v>5039.0</v>
      </c>
      <c r="E317" s="220">
        <f t="shared" si="47"/>
        <v>6</v>
      </c>
      <c r="F317" s="220">
        <f t="shared" si="48"/>
        <v>-4</v>
      </c>
      <c r="H317" s="216" t="s">
        <v>247</v>
      </c>
      <c r="I317" s="216">
        <v>129.5</v>
      </c>
      <c r="K317" s="216" t="s">
        <v>266</v>
      </c>
      <c r="L317" s="232"/>
    </row>
    <row r="318" ht="14.25" customHeight="1">
      <c r="B318" s="219">
        <v>45172.0</v>
      </c>
      <c r="C318" s="220"/>
      <c r="D318" s="220"/>
      <c r="E318" s="220">
        <f t="shared" si="47"/>
        <v>0</v>
      </c>
      <c r="F318" s="220">
        <f t="shared" si="48"/>
        <v>-10</v>
      </c>
      <c r="H318" s="216" t="s">
        <v>249</v>
      </c>
      <c r="I318" s="232">
        <v>14.0</v>
      </c>
      <c r="K318" s="216" t="s">
        <v>246</v>
      </c>
      <c r="L318" s="232">
        <f>I317*I318</f>
        <v>1813</v>
      </c>
    </row>
    <row r="319" ht="14.25" customHeight="1">
      <c r="B319" s="219">
        <v>45173.0</v>
      </c>
      <c r="C319" s="220">
        <v>5039.0</v>
      </c>
      <c r="D319" s="220">
        <v>5049.0</v>
      </c>
      <c r="E319" s="220">
        <f t="shared" si="47"/>
        <v>10</v>
      </c>
      <c r="F319" s="220">
        <f t="shared" si="48"/>
        <v>0</v>
      </c>
      <c r="H319" s="216" t="s">
        <v>251</v>
      </c>
      <c r="I319" s="216">
        <v>5.5</v>
      </c>
      <c r="K319" s="216" t="s">
        <v>248</v>
      </c>
      <c r="L319" s="232">
        <f>I319*I320</f>
        <v>77</v>
      </c>
    </row>
    <row r="320" ht="14.25" customHeight="1">
      <c r="B320" s="219">
        <v>45174.0</v>
      </c>
      <c r="C320" s="220">
        <f t="shared" ref="C320:C324" si="49">D319</f>
        <v>5049</v>
      </c>
      <c r="D320" s="220">
        <v>5059.0</v>
      </c>
      <c r="E320" s="220">
        <f t="shared" si="47"/>
        <v>10</v>
      </c>
      <c r="F320" s="220">
        <f t="shared" si="48"/>
        <v>0</v>
      </c>
      <c r="H320" s="216" t="s">
        <v>249</v>
      </c>
      <c r="I320" s="232">
        <v>14.0</v>
      </c>
      <c r="K320" s="216" t="s">
        <v>250</v>
      </c>
      <c r="L320" s="232">
        <f>O322*100</f>
        <v>0</v>
      </c>
    </row>
    <row r="321" ht="14.25" customHeight="1">
      <c r="B321" s="219">
        <v>45175.0</v>
      </c>
      <c r="C321" s="220">
        <f t="shared" si="49"/>
        <v>5059</v>
      </c>
      <c r="D321" s="220">
        <v>5069.0</v>
      </c>
      <c r="E321" s="220">
        <f t="shared" si="47"/>
        <v>10</v>
      </c>
      <c r="F321" s="220">
        <f t="shared" si="48"/>
        <v>0</v>
      </c>
      <c r="H321" s="216" t="s">
        <v>250</v>
      </c>
      <c r="I321" s="216"/>
      <c r="K321" s="216" t="s">
        <v>252</v>
      </c>
      <c r="L321" s="232"/>
    </row>
    <row r="322" ht="14.25" customHeight="1">
      <c r="B322" s="219">
        <v>45176.0</v>
      </c>
      <c r="C322" s="220">
        <f t="shared" si="49"/>
        <v>5069</v>
      </c>
      <c r="D322" s="220">
        <v>5080.0</v>
      </c>
      <c r="E322" s="220">
        <f t="shared" si="47"/>
        <v>11</v>
      </c>
      <c r="F322" s="220">
        <f t="shared" si="48"/>
        <v>1</v>
      </c>
      <c r="K322" s="216" t="s">
        <v>268</v>
      </c>
      <c r="L322" s="232">
        <f>L316+L318+L319+L320-L317-L321</f>
        <v>3904</v>
      </c>
    </row>
    <row r="323" ht="14.25" customHeight="1">
      <c r="B323" s="219">
        <v>45177.0</v>
      </c>
      <c r="C323" s="220">
        <f t="shared" si="49"/>
        <v>5080</v>
      </c>
      <c r="D323" s="220">
        <v>5089.0</v>
      </c>
      <c r="E323" s="220">
        <f t="shared" si="47"/>
        <v>9</v>
      </c>
      <c r="F323" s="220">
        <f t="shared" si="48"/>
        <v>-1</v>
      </c>
      <c r="K323" s="216" t="s">
        <v>269</v>
      </c>
      <c r="L323" s="229"/>
    </row>
    <row r="324" ht="14.25" customHeight="1">
      <c r="B324" s="219">
        <v>45178.0</v>
      </c>
      <c r="C324" s="220">
        <f t="shared" si="49"/>
        <v>5089</v>
      </c>
      <c r="D324" s="220">
        <v>5095.5</v>
      </c>
      <c r="E324" s="220">
        <f t="shared" si="47"/>
        <v>6.5</v>
      </c>
      <c r="F324" s="220">
        <f t="shared" si="48"/>
        <v>-3.5</v>
      </c>
    </row>
    <row r="325" ht="14.25" customHeight="1">
      <c r="B325" s="219">
        <v>45179.0</v>
      </c>
      <c r="C325" s="220"/>
      <c r="D325" s="220"/>
      <c r="E325" s="220">
        <f t="shared" si="47"/>
        <v>0</v>
      </c>
      <c r="F325" s="220">
        <f t="shared" si="48"/>
        <v>-10</v>
      </c>
    </row>
    <row r="326" ht="14.25" customHeight="1">
      <c r="B326" s="219">
        <v>45180.0</v>
      </c>
      <c r="C326" s="220">
        <v>5095.5</v>
      </c>
      <c r="D326" s="220">
        <v>5106.5</v>
      </c>
      <c r="E326" s="220">
        <f t="shared" si="47"/>
        <v>11</v>
      </c>
      <c r="F326" s="220">
        <f t="shared" si="48"/>
        <v>1</v>
      </c>
    </row>
    <row r="327" ht="14.25" customHeight="1">
      <c r="B327" s="219">
        <v>45181.0</v>
      </c>
      <c r="C327" s="220">
        <f t="shared" ref="C327:C330" si="50">D326</f>
        <v>5106.5</v>
      </c>
      <c r="D327" s="220">
        <v>5118.0</v>
      </c>
      <c r="E327" s="220">
        <f t="shared" si="47"/>
        <v>11.5</v>
      </c>
      <c r="F327" s="220">
        <f t="shared" si="48"/>
        <v>1.5</v>
      </c>
    </row>
    <row r="328" ht="14.25" customHeight="1">
      <c r="B328" s="219">
        <v>45182.0</v>
      </c>
      <c r="C328" s="220">
        <f t="shared" si="50"/>
        <v>5118</v>
      </c>
      <c r="D328" s="220">
        <v>5129.0</v>
      </c>
      <c r="E328" s="220">
        <f t="shared" si="47"/>
        <v>11</v>
      </c>
      <c r="F328" s="220">
        <f t="shared" si="48"/>
        <v>1</v>
      </c>
      <c r="G328" s="12"/>
    </row>
    <row r="329" ht="14.25" customHeight="1">
      <c r="B329" s="219">
        <v>45183.0</v>
      </c>
      <c r="C329" s="220">
        <f t="shared" si="50"/>
        <v>5129</v>
      </c>
      <c r="D329" s="220">
        <v>5140.0</v>
      </c>
      <c r="E329" s="220">
        <f t="shared" si="47"/>
        <v>11</v>
      </c>
      <c r="F329" s="220">
        <f t="shared" si="48"/>
        <v>1</v>
      </c>
    </row>
    <row r="330" ht="14.25" customHeight="1">
      <c r="B330" s="219">
        <v>45184.0</v>
      </c>
      <c r="C330" s="220">
        <f t="shared" si="50"/>
        <v>5140</v>
      </c>
      <c r="D330" s="220">
        <v>5149.5</v>
      </c>
      <c r="E330" s="220">
        <f t="shared" si="47"/>
        <v>9.5</v>
      </c>
      <c r="F330" s="220">
        <f t="shared" si="48"/>
        <v>-0.5</v>
      </c>
    </row>
    <row r="331" ht="14.25" customHeight="1">
      <c r="B331" s="219">
        <v>45185.0</v>
      </c>
      <c r="C331" s="220"/>
      <c r="D331" s="220"/>
      <c r="E331" s="220">
        <f t="shared" si="47"/>
        <v>0</v>
      </c>
      <c r="F331" s="220">
        <f t="shared" si="48"/>
        <v>-10</v>
      </c>
    </row>
    <row r="332" ht="14.25" customHeight="1">
      <c r="B332" s="219">
        <v>45186.0</v>
      </c>
      <c r="C332" s="220" t="str">
        <f>D331</f>
        <v/>
      </c>
      <c r="D332" s="220"/>
      <c r="E332" s="220">
        <f t="shared" si="47"/>
        <v>0</v>
      </c>
      <c r="F332" s="220">
        <f t="shared" si="48"/>
        <v>-10</v>
      </c>
    </row>
    <row r="333" ht="14.25" customHeight="1">
      <c r="B333" s="219">
        <v>45187.0</v>
      </c>
      <c r="C333" s="220">
        <v>5149.5</v>
      </c>
      <c r="D333" s="220">
        <v>5153.0</v>
      </c>
      <c r="E333" s="220">
        <f t="shared" si="47"/>
        <v>3.5</v>
      </c>
      <c r="F333" s="220">
        <f t="shared" si="48"/>
        <v>-6.5</v>
      </c>
    </row>
    <row r="334" ht="14.25" customHeight="1">
      <c r="B334" s="219">
        <v>45188.0</v>
      </c>
      <c r="C334" s="220"/>
      <c r="D334" s="220"/>
      <c r="E334" s="220">
        <f t="shared" si="47"/>
        <v>0</v>
      </c>
      <c r="F334" s="220">
        <f t="shared" si="48"/>
        <v>-10</v>
      </c>
    </row>
    <row r="335" ht="14.25" customHeight="1">
      <c r="B335" s="219">
        <v>45189.0</v>
      </c>
      <c r="C335" s="220" t="str">
        <f t="shared" ref="C335:C346" si="51">D334</f>
        <v/>
      </c>
      <c r="D335" s="220"/>
      <c r="E335" s="220">
        <f t="shared" si="47"/>
        <v>0</v>
      </c>
      <c r="F335" s="220">
        <f t="shared" si="48"/>
        <v>-10</v>
      </c>
    </row>
    <row r="336" ht="14.25" customHeight="1">
      <c r="B336" s="219">
        <v>45190.0</v>
      </c>
      <c r="C336" s="220" t="str">
        <f t="shared" si="51"/>
        <v/>
      </c>
      <c r="D336" s="220"/>
      <c r="E336" s="220">
        <f t="shared" si="47"/>
        <v>0</v>
      </c>
      <c r="F336" s="220">
        <f t="shared" si="48"/>
        <v>-10</v>
      </c>
    </row>
    <row r="337" ht="14.25" customHeight="1">
      <c r="B337" s="219">
        <v>45191.0</v>
      </c>
      <c r="C337" s="220" t="str">
        <f t="shared" si="51"/>
        <v/>
      </c>
      <c r="D337" s="220"/>
      <c r="E337" s="220">
        <f t="shared" si="47"/>
        <v>0</v>
      </c>
      <c r="F337" s="220">
        <f t="shared" si="48"/>
        <v>-10</v>
      </c>
    </row>
    <row r="338" ht="14.25" customHeight="1">
      <c r="B338" s="219">
        <v>45192.0</v>
      </c>
      <c r="C338" s="220" t="str">
        <f t="shared" si="51"/>
        <v/>
      </c>
      <c r="D338" s="220"/>
      <c r="E338" s="220">
        <f t="shared" si="47"/>
        <v>0</v>
      </c>
      <c r="F338" s="220">
        <f t="shared" si="48"/>
        <v>-10</v>
      </c>
    </row>
    <row r="339" ht="14.25" customHeight="1">
      <c r="B339" s="219">
        <v>45193.0</v>
      </c>
      <c r="C339" s="220" t="str">
        <f t="shared" si="51"/>
        <v/>
      </c>
      <c r="D339" s="220"/>
      <c r="E339" s="220">
        <f t="shared" si="47"/>
        <v>0</v>
      </c>
      <c r="F339" s="220">
        <f t="shared" si="48"/>
        <v>-10</v>
      </c>
    </row>
    <row r="340" ht="14.25" customHeight="1">
      <c r="B340" s="219">
        <v>45194.0</v>
      </c>
      <c r="C340" s="220" t="str">
        <f t="shared" si="51"/>
        <v/>
      </c>
      <c r="D340" s="220"/>
      <c r="E340" s="220">
        <f t="shared" si="47"/>
        <v>0</v>
      </c>
      <c r="F340" s="220">
        <f t="shared" si="48"/>
        <v>-10</v>
      </c>
    </row>
    <row r="341" ht="14.25" customHeight="1">
      <c r="B341" s="219">
        <v>45195.0</v>
      </c>
      <c r="C341" s="220" t="str">
        <f t="shared" si="51"/>
        <v/>
      </c>
      <c r="D341" s="220"/>
      <c r="E341" s="220">
        <f t="shared" si="47"/>
        <v>0</v>
      </c>
      <c r="F341" s="220">
        <f t="shared" si="48"/>
        <v>-10</v>
      </c>
    </row>
    <row r="342" ht="14.25" customHeight="1">
      <c r="B342" s="219">
        <v>45196.0</v>
      </c>
      <c r="C342" s="220" t="str">
        <f t="shared" si="51"/>
        <v/>
      </c>
      <c r="D342" s="220"/>
      <c r="E342" s="220">
        <f t="shared" si="47"/>
        <v>0</v>
      </c>
      <c r="F342" s="220">
        <f t="shared" si="48"/>
        <v>-10</v>
      </c>
    </row>
    <row r="343" ht="14.25" customHeight="1">
      <c r="B343" s="219">
        <v>45197.0</v>
      </c>
      <c r="C343" s="220" t="str">
        <f t="shared" si="51"/>
        <v/>
      </c>
      <c r="D343" s="220"/>
      <c r="E343" s="220">
        <f t="shared" si="47"/>
        <v>0</v>
      </c>
      <c r="F343" s="220">
        <f t="shared" si="48"/>
        <v>-10</v>
      </c>
    </row>
    <row r="344" ht="14.25" customHeight="1">
      <c r="B344" s="219">
        <v>45198.0</v>
      </c>
      <c r="C344" s="220" t="str">
        <f t="shared" si="51"/>
        <v/>
      </c>
      <c r="D344" s="220"/>
      <c r="E344" s="220">
        <f t="shared" si="47"/>
        <v>0</v>
      </c>
      <c r="F344" s="220">
        <f t="shared" si="48"/>
        <v>-10</v>
      </c>
    </row>
    <row r="345" ht="14.25" customHeight="1">
      <c r="B345" s="219">
        <v>45199.0</v>
      </c>
      <c r="C345" s="220" t="str">
        <f t="shared" si="51"/>
        <v/>
      </c>
      <c r="D345" s="220"/>
      <c r="E345" s="220">
        <f t="shared" si="47"/>
        <v>0</v>
      </c>
      <c r="F345" s="220">
        <f t="shared" si="48"/>
        <v>-10</v>
      </c>
    </row>
    <row r="346" ht="14.25" customHeight="1">
      <c r="B346" s="219">
        <v>45200.0</v>
      </c>
      <c r="C346" s="220" t="str">
        <f t="shared" si="51"/>
        <v/>
      </c>
      <c r="D346" s="220"/>
      <c r="E346" s="220">
        <f t="shared" si="47"/>
        <v>0</v>
      </c>
      <c r="F346" s="220">
        <f t="shared" si="48"/>
        <v>-10</v>
      </c>
    </row>
    <row r="347" ht="14.25" customHeight="1">
      <c r="B347" s="216"/>
      <c r="C347" s="223" t="s">
        <v>221</v>
      </c>
      <c r="D347" s="223"/>
      <c r="E347" s="216">
        <f>SUM(E316:E346)</f>
        <v>129.5</v>
      </c>
      <c r="F347" s="216">
        <f t="shared" si="48"/>
        <v>119.5</v>
      </c>
    </row>
    <row r="348" ht="14.25" customHeight="1"/>
    <row r="349" ht="14.25" customHeight="1">
      <c r="A349" s="249" t="s">
        <v>303</v>
      </c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1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 ht="14.25" customHeight="1"/>
    <row r="351" ht="14.25" customHeight="1">
      <c r="B351" s="216" t="s">
        <v>214</v>
      </c>
      <c r="C351" s="216" t="s">
        <v>215</v>
      </c>
      <c r="D351" s="216" t="s">
        <v>216</v>
      </c>
      <c r="E351" s="216" t="s">
        <v>217</v>
      </c>
      <c r="F351" s="216" t="s">
        <v>218</v>
      </c>
      <c r="H351" s="216" t="s">
        <v>238</v>
      </c>
      <c r="I351" s="216"/>
      <c r="K351" s="253" t="s">
        <v>275</v>
      </c>
      <c r="L351" s="231"/>
    </row>
    <row r="352" ht="14.25" customHeight="1">
      <c r="B352" s="219">
        <v>45078.0</v>
      </c>
      <c r="C352" s="220"/>
      <c r="D352" s="220"/>
      <c r="E352" s="220">
        <f t="shared" ref="E352:E382" si="52">D352-C352</f>
        <v>0</v>
      </c>
      <c r="F352" s="220">
        <f t="shared" ref="F352:F383" si="53">E352-10</f>
        <v>-10</v>
      </c>
      <c r="G352" s="165" t="s">
        <v>304</v>
      </c>
      <c r="H352" s="216" t="s">
        <v>245</v>
      </c>
      <c r="I352" s="216"/>
      <c r="K352" s="216" t="s">
        <v>244</v>
      </c>
      <c r="L352" s="232">
        <v>2014.0</v>
      </c>
    </row>
    <row r="353" ht="14.25" customHeight="1">
      <c r="B353" s="219">
        <v>45079.0</v>
      </c>
      <c r="C353" s="220" t="str">
        <f t="shared" ref="C353:C382" si="54">D352</f>
        <v/>
      </c>
      <c r="D353" s="220"/>
      <c r="E353" s="220">
        <f t="shared" si="52"/>
        <v>0</v>
      </c>
      <c r="F353" s="220">
        <f t="shared" si="53"/>
        <v>-10</v>
      </c>
      <c r="H353" s="216" t="s">
        <v>247</v>
      </c>
      <c r="I353" s="216"/>
      <c r="K353" s="216" t="s">
        <v>266</v>
      </c>
      <c r="L353" s="232"/>
    </row>
    <row r="354" ht="14.25" customHeight="1">
      <c r="B354" s="219">
        <v>45080.0</v>
      </c>
      <c r="C354" s="220" t="str">
        <f t="shared" si="54"/>
        <v/>
      </c>
      <c r="D354" s="220"/>
      <c r="E354" s="220">
        <f t="shared" si="52"/>
        <v>0</v>
      </c>
      <c r="F354" s="220">
        <f t="shared" si="53"/>
        <v>-10</v>
      </c>
      <c r="H354" s="216" t="s">
        <v>249</v>
      </c>
      <c r="I354" s="232">
        <v>14.0</v>
      </c>
      <c r="K354" s="216" t="s">
        <v>246</v>
      </c>
      <c r="L354" s="232">
        <f>O354*O355</f>
        <v>0</v>
      </c>
    </row>
    <row r="355" ht="14.25" customHeight="1">
      <c r="B355" s="219">
        <v>45081.0</v>
      </c>
      <c r="C355" s="220" t="str">
        <f t="shared" si="54"/>
        <v/>
      </c>
      <c r="D355" s="220"/>
      <c r="E355" s="220">
        <f t="shared" si="52"/>
        <v>0</v>
      </c>
      <c r="F355" s="220">
        <f t="shared" si="53"/>
        <v>-10</v>
      </c>
      <c r="H355" s="216" t="s">
        <v>251</v>
      </c>
      <c r="I355" s="216"/>
      <c r="K355" s="216" t="s">
        <v>248</v>
      </c>
      <c r="L355" s="232">
        <f>O356*O357</f>
        <v>0</v>
      </c>
    </row>
    <row r="356" ht="14.25" customHeight="1">
      <c r="B356" s="219">
        <v>45082.0</v>
      </c>
      <c r="C356" s="220" t="str">
        <f t="shared" si="54"/>
        <v/>
      </c>
      <c r="D356" s="220"/>
      <c r="E356" s="220">
        <f t="shared" si="52"/>
        <v>0</v>
      </c>
      <c r="F356" s="220">
        <f t="shared" si="53"/>
        <v>-10</v>
      </c>
      <c r="H356" s="216" t="s">
        <v>249</v>
      </c>
      <c r="I356" s="232">
        <v>14.0</v>
      </c>
      <c r="K356" s="216" t="s">
        <v>250</v>
      </c>
      <c r="L356" s="232">
        <f>O358*100</f>
        <v>0</v>
      </c>
    </row>
    <row r="357" ht="14.25" customHeight="1">
      <c r="B357" s="219">
        <v>45083.0</v>
      </c>
      <c r="C357" s="220" t="str">
        <f t="shared" si="54"/>
        <v/>
      </c>
      <c r="D357" s="220"/>
      <c r="E357" s="220">
        <f t="shared" si="52"/>
        <v>0</v>
      </c>
      <c r="F357" s="220">
        <f t="shared" si="53"/>
        <v>-10</v>
      </c>
      <c r="H357" s="216" t="s">
        <v>250</v>
      </c>
      <c r="I357" s="216"/>
      <c r="K357" s="216" t="s">
        <v>252</v>
      </c>
      <c r="L357" s="232"/>
    </row>
    <row r="358" ht="14.25" customHeight="1">
      <c r="B358" s="219">
        <v>45084.0</v>
      </c>
      <c r="C358" s="220" t="str">
        <f t="shared" si="54"/>
        <v/>
      </c>
      <c r="D358" s="220"/>
      <c r="E358" s="220">
        <f t="shared" si="52"/>
        <v>0</v>
      </c>
      <c r="F358" s="220">
        <f t="shared" si="53"/>
        <v>-10</v>
      </c>
      <c r="K358" s="216" t="s">
        <v>268</v>
      </c>
      <c r="L358" s="232">
        <f>L352+L354+L355+L356-L353-L357</f>
        <v>2014</v>
      </c>
    </row>
    <row r="359" ht="14.25" customHeight="1">
      <c r="B359" s="219">
        <v>45085.0</v>
      </c>
      <c r="C359" s="220" t="str">
        <f t="shared" si="54"/>
        <v/>
      </c>
      <c r="D359" s="220"/>
      <c r="E359" s="220">
        <f t="shared" si="52"/>
        <v>0</v>
      </c>
      <c r="F359" s="220">
        <f t="shared" si="53"/>
        <v>-10</v>
      </c>
      <c r="K359" s="216" t="s">
        <v>269</v>
      </c>
      <c r="L359" s="229"/>
    </row>
    <row r="360" ht="14.25" customHeight="1">
      <c r="B360" s="219">
        <v>45086.0</v>
      </c>
      <c r="C360" s="220" t="str">
        <f t="shared" si="54"/>
        <v/>
      </c>
      <c r="D360" s="220"/>
      <c r="E360" s="220">
        <f t="shared" si="52"/>
        <v>0</v>
      </c>
      <c r="F360" s="220">
        <f t="shared" si="53"/>
        <v>-10</v>
      </c>
    </row>
    <row r="361" ht="14.25" customHeight="1">
      <c r="B361" s="219">
        <v>45087.0</v>
      </c>
      <c r="C361" s="220" t="str">
        <f t="shared" si="54"/>
        <v/>
      </c>
      <c r="D361" s="220"/>
      <c r="E361" s="220">
        <f t="shared" si="52"/>
        <v>0</v>
      </c>
      <c r="F361" s="220">
        <f t="shared" si="53"/>
        <v>-10</v>
      </c>
    </row>
    <row r="362" ht="14.25" customHeight="1">
      <c r="B362" s="219">
        <v>45088.0</v>
      </c>
      <c r="C362" s="220" t="str">
        <f t="shared" si="54"/>
        <v/>
      </c>
      <c r="D362" s="220"/>
      <c r="E362" s="220">
        <f t="shared" si="52"/>
        <v>0</v>
      </c>
      <c r="F362" s="220">
        <f t="shared" si="53"/>
        <v>-10</v>
      </c>
    </row>
    <row r="363" ht="14.25" customHeight="1">
      <c r="B363" s="219">
        <v>45089.0</v>
      </c>
      <c r="C363" s="220" t="str">
        <f t="shared" si="54"/>
        <v/>
      </c>
      <c r="D363" s="220"/>
      <c r="E363" s="220">
        <f t="shared" si="52"/>
        <v>0</v>
      </c>
      <c r="F363" s="220">
        <f t="shared" si="53"/>
        <v>-10</v>
      </c>
    </row>
    <row r="364" ht="14.25" customHeight="1">
      <c r="B364" s="219">
        <v>45090.0</v>
      </c>
      <c r="C364" s="220" t="str">
        <f t="shared" si="54"/>
        <v/>
      </c>
      <c r="D364" s="220"/>
      <c r="E364" s="220">
        <f t="shared" si="52"/>
        <v>0</v>
      </c>
      <c r="F364" s="220">
        <f t="shared" si="53"/>
        <v>-10</v>
      </c>
    </row>
    <row r="365" ht="14.25" customHeight="1">
      <c r="B365" s="219">
        <v>45091.0</v>
      </c>
      <c r="C365" s="220" t="str">
        <f t="shared" si="54"/>
        <v/>
      </c>
      <c r="D365" s="220"/>
      <c r="E365" s="220">
        <f t="shared" si="52"/>
        <v>0</v>
      </c>
      <c r="F365" s="220">
        <f t="shared" si="53"/>
        <v>-10</v>
      </c>
    </row>
    <row r="366" ht="14.25" customHeight="1">
      <c r="B366" s="219">
        <v>45092.0</v>
      </c>
      <c r="C366" s="220" t="str">
        <f t="shared" si="54"/>
        <v/>
      </c>
      <c r="D366" s="220"/>
      <c r="E366" s="220">
        <f t="shared" si="52"/>
        <v>0</v>
      </c>
      <c r="F366" s="220">
        <f t="shared" si="53"/>
        <v>-10</v>
      </c>
    </row>
    <row r="367" ht="14.25" customHeight="1">
      <c r="B367" s="219">
        <v>45093.0</v>
      </c>
      <c r="C367" s="220" t="str">
        <f t="shared" si="54"/>
        <v/>
      </c>
      <c r="D367" s="220"/>
      <c r="E367" s="220">
        <f t="shared" si="52"/>
        <v>0</v>
      </c>
      <c r="F367" s="220">
        <f t="shared" si="53"/>
        <v>-10</v>
      </c>
    </row>
    <row r="368" ht="14.25" customHeight="1">
      <c r="B368" s="219">
        <v>45094.0</v>
      </c>
      <c r="C368" s="220" t="str">
        <f t="shared" si="54"/>
        <v/>
      </c>
      <c r="D368" s="220"/>
      <c r="E368" s="220">
        <f t="shared" si="52"/>
        <v>0</v>
      </c>
      <c r="F368" s="220">
        <f t="shared" si="53"/>
        <v>-10</v>
      </c>
    </row>
    <row r="369" ht="14.25" customHeight="1">
      <c r="B369" s="219">
        <v>45095.0</v>
      </c>
      <c r="C369" s="220" t="str">
        <f t="shared" si="54"/>
        <v/>
      </c>
      <c r="D369" s="220"/>
      <c r="E369" s="220">
        <f t="shared" si="52"/>
        <v>0</v>
      </c>
      <c r="F369" s="220">
        <f t="shared" si="53"/>
        <v>-10</v>
      </c>
    </row>
    <row r="370" ht="14.25" customHeight="1">
      <c r="B370" s="219">
        <v>45096.0</v>
      </c>
      <c r="C370" s="220" t="str">
        <f t="shared" si="54"/>
        <v/>
      </c>
      <c r="D370" s="220"/>
      <c r="E370" s="220">
        <f t="shared" si="52"/>
        <v>0</v>
      </c>
      <c r="F370" s="220">
        <f t="shared" si="53"/>
        <v>-10</v>
      </c>
    </row>
    <row r="371" ht="14.25" customHeight="1">
      <c r="B371" s="219">
        <v>45097.0</v>
      </c>
      <c r="C371" s="220" t="str">
        <f t="shared" si="54"/>
        <v/>
      </c>
      <c r="D371" s="220"/>
      <c r="E371" s="220">
        <f t="shared" si="52"/>
        <v>0</v>
      </c>
      <c r="F371" s="220">
        <f t="shared" si="53"/>
        <v>-10</v>
      </c>
    </row>
    <row r="372" ht="14.25" customHeight="1">
      <c r="B372" s="219">
        <v>45098.0</v>
      </c>
      <c r="C372" s="220" t="str">
        <f t="shared" si="54"/>
        <v/>
      </c>
      <c r="D372" s="220"/>
      <c r="E372" s="220">
        <f t="shared" si="52"/>
        <v>0</v>
      </c>
      <c r="F372" s="220">
        <f t="shared" si="53"/>
        <v>-10</v>
      </c>
    </row>
    <row r="373" ht="14.25" customHeight="1">
      <c r="B373" s="219">
        <v>45099.0</v>
      </c>
      <c r="C373" s="220" t="str">
        <f t="shared" si="54"/>
        <v/>
      </c>
      <c r="D373" s="220"/>
      <c r="E373" s="220">
        <f t="shared" si="52"/>
        <v>0</v>
      </c>
      <c r="F373" s="220">
        <f t="shared" si="53"/>
        <v>-10</v>
      </c>
    </row>
    <row r="374" ht="14.25" customHeight="1">
      <c r="B374" s="219">
        <v>45100.0</v>
      </c>
      <c r="C374" s="220" t="str">
        <f t="shared" si="54"/>
        <v/>
      </c>
      <c r="D374" s="220"/>
      <c r="E374" s="220">
        <f t="shared" si="52"/>
        <v>0</v>
      </c>
      <c r="F374" s="220">
        <f t="shared" si="53"/>
        <v>-10</v>
      </c>
    </row>
    <row r="375" ht="14.25" customHeight="1">
      <c r="B375" s="219">
        <v>45101.0</v>
      </c>
      <c r="C375" s="220" t="str">
        <f t="shared" si="54"/>
        <v/>
      </c>
      <c r="D375" s="220"/>
      <c r="E375" s="220">
        <f t="shared" si="52"/>
        <v>0</v>
      </c>
      <c r="F375" s="220">
        <f t="shared" si="53"/>
        <v>-10</v>
      </c>
    </row>
    <row r="376" ht="14.25" customHeight="1">
      <c r="B376" s="219">
        <v>45102.0</v>
      </c>
      <c r="C376" s="220" t="str">
        <f t="shared" si="54"/>
        <v/>
      </c>
      <c r="D376" s="220"/>
      <c r="E376" s="220">
        <f t="shared" si="52"/>
        <v>0</v>
      </c>
      <c r="F376" s="220">
        <f t="shared" si="53"/>
        <v>-10</v>
      </c>
    </row>
    <row r="377" ht="14.25" customHeight="1">
      <c r="B377" s="219">
        <v>45103.0</v>
      </c>
      <c r="C377" s="220" t="str">
        <f t="shared" si="54"/>
        <v/>
      </c>
      <c r="D377" s="220"/>
      <c r="E377" s="220">
        <f t="shared" si="52"/>
        <v>0</v>
      </c>
      <c r="F377" s="220">
        <f t="shared" si="53"/>
        <v>-10</v>
      </c>
    </row>
    <row r="378" ht="14.25" customHeight="1">
      <c r="B378" s="219">
        <v>45104.0</v>
      </c>
      <c r="C378" s="220" t="str">
        <f t="shared" si="54"/>
        <v/>
      </c>
      <c r="D378" s="220"/>
      <c r="E378" s="220">
        <f t="shared" si="52"/>
        <v>0</v>
      </c>
      <c r="F378" s="220">
        <f t="shared" si="53"/>
        <v>-10</v>
      </c>
    </row>
    <row r="379" ht="14.25" customHeight="1">
      <c r="B379" s="219">
        <v>45105.0</v>
      </c>
      <c r="C379" s="220" t="str">
        <f t="shared" si="54"/>
        <v/>
      </c>
      <c r="D379" s="220"/>
      <c r="E379" s="220">
        <f t="shared" si="52"/>
        <v>0</v>
      </c>
      <c r="F379" s="220">
        <f t="shared" si="53"/>
        <v>-10</v>
      </c>
    </row>
    <row r="380" ht="14.25" customHeight="1">
      <c r="B380" s="219">
        <v>45106.0</v>
      </c>
      <c r="C380" s="220" t="str">
        <f t="shared" si="54"/>
        <v/>
      </c>
      <c r="D380" s="220"/>
      <c r="E380" s="220">
        <f t="shared" si="52"/>
        <v>0</v>
      </c>
      <c r="F380" s="220">
        <f t="shared" si="53"/>
        <v>-10</v>
      </c>
    </row>
    <row r="381" ht="14.25" customHeight="1">
      <c r="B381" s="219">
        <v>45107.0</v>
      </c>
      <c r="C381" s="220" t="str">
        <f t="shared" si="54"/>
        <v/>
      </c>
      <c r="D381" s="220"/>
      <c r="E381" s="220">
        <f t="shared" si="52"/>
        <v>0</v>
      </c>
      <c r="F381" s="220">
        <f t="shared" si="53"/>
        <v>-10</v>
      </c>
    </row>
    <row r="382" ht="14.25" customHeight="1">
      <c r="B382" s="219"/>
      <c r="C382" s="220" t="str">
        <f t="shared" si="54"/>
        <v/>
      </c>
      <c r="D382" s="220"/>
      <c r="E382" s="220">
        <f t="shared" si="52"/>
        <v>0</v>
      </c>
      <c r="F382" s="220">
        <f t="shared" si="53"/>
        <v>-10</v>
      </c>
    </row>
    <row r="383" ht="14.25" customHeight="1">
      <c r="B383" s="216"/>
      <c r="C383" s="223" t="s">
        <v>221</v>
      </c>
      <c r="D383" s="223"/>
      <c r="E383" s="216">
        <f>SUM(E352:E382)</f>
        <v>0</v>
      </c>
      <c r="F383" s="216">
        <f t="shared" si="53"/>
        <v>-10</v>
      </c>
    </row>
    <row r="384" ht="14.25" customHeight="1"/>
    <row r="385" ht="14.25" customHeight="1">
      <c r="A385" s="249" t="s">
        <v>305</v>
      </c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1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 ht="14.25" customHeight="1"/>
    <row r="387" ht="14.25" customHeight="1">
      <c r="B387" s="216" t="s">
        <v>214</v>
      </c>
      <c r="C387" s="216" t="s">
        <v>215</v>
      </c>
      <c r="D387" s="216" t="s">
        <v>216</v>
      </c>
      <c r="E387" s="216" t="s">
        <v>217</v>
      </c>
      <c r="F387" s="216" t="s">
        <v>218</v>
      </c>
      <c r="H387" s="216" t="s">
        <v>238</v>
      </c>
      <c r="I387" s="216"/>
      <c r="K387" s="253" t="s">
        <v>275</v>
      </c>
      <c r="L387" s="231"/>
    </row>
    <row r="388" ht="14.25" customHeight="1">
      <c r="B388" s="219">
        <v>45078.0</v>
      </c>
      <c r="C388" s="220"/>
      <c r="D388" s="220"/>
      <c r="E388" s="220">
        <f t="shared" ref="E388:E418" si="55">D388-C388</f>
        <v>0</v>
      </c>
      <c r="F388" s="220">
        <f t="shared" ref="F388:F419" si="56">E388-10</f>
        <v>-10</v>
      </c>
      <c r="H388" s="216" t="s">
        <v>245</v>
      </c>
      <c r="I388" s="216"/>
      <c r="K388" s="216" t="s">
        <v>244</v>
      </c>
      <c r="L388" s="232">
        <v>2014.0</v>
      </c>
    </row>
    <row r="389" ht="14.25" customHeight="1">
      <c r="B389" s="219">
        <v>45079.0</v>
      </c>
      <c r="C389" s="220" t="str">
        <f t="shared" ref="C389:C418" si="57">D388</f>
        <v/>
      </c>
      <c r="D389" s="220"/>
      <c r="E389" s="220">
        <f t="shared" si="55"/>
        <v>0</v>
      </c>
      <c r="F389" s="220">
        <f t="shared" si="56"/>
        <v>-10</v>
      </c>
      <c r="H389" s="216" t="s">
        <v>247</v>
      </c>
      <c r="I389" s="216"/>
      <c r="K389" s="216" t="s">
        <v>266</v>
      </c>
      <c r="L389" s="232"/>
    </row>
    <row r="390" ht="14.25" customHeight="1">
      <c r="B390" s="219">
        <v>45080.0</v>
      </c>
      <c r="C390" s="220" t="str">
        <f t="shared" si="57"/>
        <v/>
      </c>
      <c r="D390" s="220"/>
      <c r="E390" s="220">
        <f t="shared" si="55"/>
        <v>0</v>
      </c>
      <c r="F390" s="220">
        <f t="shared" si="56"/>
        <v>-10</v>
      </c>
      <c r="H390" s="216" t="s">
        <v>249</v>
      </c>
      <c r="I390" s="232">
        <v>14.0</v>
      </c>
      <c r="K390" s="216" t="s">
        <v>246</v>
      </c>
      <c r="L390" s="232">
        <f>O390*O391</f>
        <v>0</v>
      </c>
    </row>
    <row r="391" ht="14.25" customHeight="1">
      <c r="B391" s="219">
        <v>45081.0</v>
      </c>
      <c r="C391" s="220" t="str">
        <f t="shared" si="57"/>
        <v/>
      </c>
      <c r="D391" s="220"/>
      <c r="E391" s="220">
        <f t="shared" si="55"/>
        <v>0</v>
      </c>
      <c r="F391" s="220">
        <f t="shared" si="56"/>
        <v>-10</v>
      </c>
      <c r="H391" s="216" t="s">
        <v>251</v>
      </c>
      <c r="I391" s="216"/>
      <c r="K391" s="216" t="s">
        <v>248</v>
      </c>
      <c r="L391" s="232">
        <f>O392*O393</f>
        <v>0</v>
      </c>
    </row>
    <row r="392" ht="14.25" customHeight="1">
      <c r="B392" s="219">
        <v>45082.0</v>
      </c>
      <c r="C392" s="220" t="str">
        <f t="shared" si="57"/>
        <v/>
      </c>
      <c r="D392" s="220"/>
      <c r="E392" s="220">
        <f t="shared" si="55"/>
        <v>0</v>
      </c>
      <c r="F392" s="220">
        <f t="shared" si="56"/>
        <v>-10</v>
      </c>
      <c r="H392" s="216" t="s">
        <v>249</v>
      </c>
      <c r="I392" s="232">
        <v>14.0</v>
      </c>
      <c r="K392" s="216" t="s">
        <v>250</v>
      </c>
      <c r="L392" s="232">
        <f>O394*100</f>
        <v>0</v>
      </c>
    </row>
    <row r="393" ht="14.25" customHeight="1">
      <c r="B393" s="219">
        <v>45083.0</v>
      </c>
      <c r="C393" s="220" t="str">
        <f t="shared" si="57"/>
        <v/>
      </c>
      <c r="D393" s="220"/>
      <c r="E393" s="220">
        <f t="shared" si="55"/>
        <v>0</v>
      </c>
      <c r="F393" s="220">
        <f t="shared" si="56"/>
        <v>-10</v>
      </c>
      <c r="H393" s="216" t="s">
        <v>250</v>
      </c>
      <c r="I393" s="216"/>
      <c r="K393" s="216" t="s">
        <v>252</v>
      </c>
      <c r="L393" s="232"/>
    </row>
    <row r="394" ht="14.25" customHeight="1">
      <c r="B394" s="219">
        <v>45084.0</v>
      </c>
      <c r="C394" s="220" t="str">
        <f t="shared" si="57"/>
        <v/>
      </c>
      <c r="D394" s="220"/>
      <c r="E394" s="220">
        <f t="shared" si="55"/>
        <v>0</v>
      </c>
      <c r="F394" s="220">
        <f t="shared" si="56"/>
        <v>-10</v>
      </c>
      <c r="K394" s="216" t="s">
        <v>268</v>
      </c>
      <c r="L394" s="232">
        <f>L388+L390+L391+L392-L389-L393</f>
        <v>2014</v>
      </c>
    </row>
    <row r="395" ht="14.25" customHeight="1">
      <c r="B395" s="219">
        <v>45085.0</v>
      </c>
      <c r="C395" s="220" t="str">
        <f t="shared" si="57"/>
        <v/>
      </c>
      <c r="D395" s="220"/>
      <c r="E395" s="220">
        <f t="shared" si="55"/>
        <v>0</v>
      </c>
      <c r="F395" s="220">
        <f t="shared" si="56"/>
        <v>-10</v>
      </c>
      <c r="K395" s="216" t="s">
        <v>269</v>
      </c>
      <c r="L395" s="229"/>
    </row>
    <row r="396" ht="14.25" customHeight="1">
      <c r="B396" s="219">
        <v>45086.0</v>
      </c>
      <c r="C396" s="220" t="str">
        <f t="shared" si="57"/>
        <v/>
      </c>
      <c r="D396" s="220"/>
      <c r="E396" s="220">
        <f t="shared" si="55"/>
        <v>0</v>
      </c>
      <c r="F396" s="220">
        <f t="shared" si="56"/>
        <v>-10</v>
      </c>
    </row>
    <row r="397" ht="14.25" customHeight="1">
      <c r="B397" s="219">
        <v>45087.0</v>
      </c>
      <c r="C397" s="220" t="str">
        <f t="shared" si="57"/>
        <v/>
      </c>
      <c r="D397" s="220"/>
      <c r="E397" s="220">
        <f t="shared" si="55"/>
        <v>0</v>
      </c>
      <c r="F397" s="220">
        <f t="shared" si="56"/>
        <v>-10</v>
      </c>
    </row>
    <row r="398" ht="14.25" customHeight="1">
      <c r="B398" s="219">
        <v>45088.0</v>
      </c>
      <c r="C398" s="220" t="str">
        <f t="shared" si="57"/>
        <v/>
      </c>
      <c r="D398" s="220"/>
      <c r="E398" s="220">
        <f t="shared" si="55"/>
        <v>0</v>
      </c>
      <c r="F398" s="220">
        <f t="shared" si="56"/>
        <v>-10</v>
      </c>
    </row>
    <row r="399" ht="14.25" customHeight="1">
      <c r="B399" s="219">
        <v>45089.0</v>
      </c>
      <c r="C399" s="220" t="str">
        <f t="shared" si="57"/>
        <v/>
      </c>
      <c r="D399" s="220"/>
      <c r="E399" s="220">
        <f t="shared" si="55"/>
        <v>0</v>
      </c>
      <c r="F399" s="220">
        <f t="shared" si="56"/>
        <v>-10</v>
      </c>
    </row>
    <row r="400" ht="14.25" customHeight="1">
      <c r="B400" s="219">
        <v>45090.0</v>
      </c>
      <c r="C400" s="220" t="str">
        <f t="shared" si="57"/>
        <v/>
      </c>
      <c r="D400" s="220"/>
      <c r="E400" s="220">
        <f t="shared" si="55"/>
        <v>0</v>
      </c>
      <c r="F400" s="220">
        <f t="shared" si="56"/>
        <v>-10</v>
      </c>
    </row>
    <row r="401" ht="14.25" customHeight="1">
      <c r="B401" s="219">
        <v>45091.0</v>
      </c>
      <c r="C401" s="220" t="str">
        <f t="shared" si="57"/>
        <v/>
      </c>
      <c r="D401" s="220"/>
      <c r="E401" s="220">
        <f t="shared" si="55"/>
        <v>0</v>
      </c>
      <c r="F401" s="220">
        <f t="shared" si="56"/>
        <v>-10</v>
      </c>
    </row>
    <row r="402" ht="14.25" customHeight="1">
      <c r="B402" s="219">
        <v>45092.0</v>
      </c>
      <c r="C402" s="220" t="str">
        <f t="shared" si="57"/>
        <v/>
      </c>
      <c r="D402" s="220"/>
      <c r="E402" s="220">
        <f t="shared" si="55"/>
        <v>0</v>
      </c>
      <c r="F402" s="220">
        <f t="shared" si="56"/>
        <v>-10</v>
      </c>
    </row>
    <row r="403" ht="14.25" customHeight="1">
      <c r="B403" s="219">
        <v>45093.0</v>
      </c>
      <c r="C403" s="220" t="str">
        <f t="shared" si="57"/>
        <v/>
      </c>
      <c r="D403" s="220"/>
      <c r="E403" s="220">
        <f t="shared" si="55"/>
        <v>0</v>
      </c>
      <c r="F403" s="220">
        <f t="shared" si="56"/>
        <v>-10</v>
      </c>
    </row>
    <row r="404" ht="14.25" customHeight="1">
      <c r="B404" s="219">
        <v>45094.0</v>
      </c>
      <c r="C404" s="220" t="str">
        <f t="shared" si="57"/>
        <v/>
      </c>
      <c r="D404" s="220"/>
      <c r="E404" s="220">
        <f t="shared" si="55"/>
        <v>0</v>
      </c>
      <c r="F404" s="220">
        <f t="shared" si="56"/>
        <v>-10</v>
      </c>
    </row>
    <row r="405" ht="14.25" customHeight="1">
      <c r="B405" s="219">
        <v>45095.0</v>
      </c>
      <c r="C405" s="220" t="str">
        <f t="shared" si="57"/>
        <v/>
      </c>
      <c r="D405" s="220"/>
      <c r="E405" s="220">
        <f t="shared" si="55"/>
        <v>0</v>
      </c>
      <c r="F405" s="220">
        <f t="shared" si="56"/>
        <v>-10</v>
      </c>
    </row>
    <row r="406" ht="14.25" customHeight="1">
      <c r="B406" s="219">
        <v>45096.0</v>
      </c>
      <c r="C406" s="220" t="str">
        <f t="shared" si="57"/>
        <v/>
      </c>
      <c r="D406" s="220"/>
      <c r="E406" s="220">
        <f t="shared" si="55"/>
        <v>0</v>
      </c>
      <c r="F406" s="220">
        <f t="shared" si="56"/>
        <v>-10</v>
      </c>
    </row>
    <row r="407" ht="14.25" customHeight="1">
      <c r="B407" s="219">
        <v>45097.0</v>
      </c>
      <c r="C407" s="220" t="str">
        <f t="shared" si="57"/>
        <v/>
      </c>
      <c r="D407" s="220"/>
      <c r="E407" s="220">
        <f t="shared" si="55"/>
        <v>0</v>
      </c>
      <c r="F407" s="220">
        <f t="shared" si="56"/>
        <v>-10</v>
      </c>
    </row>
    <row r="408" ht="14.25" customHeight="1">
      <c r="B408" s="219">
        <v>45098.0</v>
      </c>
      <c r="C408" s="220" t="str">
        <f t="shared" si="57"/>
        <v/>
      </c>
      <c r="D408" s="220"/>
      <c r="E408" s="220">
        <f t="shared" si="55"/>
        <v>0</v>
      </c>
      <c r="F408" s="220">
        <f t="shared" si="56"/>
        <v>-10</v>
      </c>
    </row>
    <row r="409" ht="14.25" customHeight="1">
      <c r="B409" s="219">
        <v>45099.0</v>
      </c>
      <c r="C409" s="220" t="str">
        <f t="shared" si="57"/>
        <v/>
      </c>
      <c r="D409" s="220"/>
      <c r="E409" s="220">
        <f t="shared" si="55"/>
        <v>0</v>
      </c>
      <c r="F409" s="220">
        <f t="shared" si="56"/>
        <v>-10</v>
      </c>
    </row>
    <row r="410" ht="14.25" customHeight="1">
      <c r="B410" s="219">
        <v>45100.0</v>
      </c>
      <c r="C410" s="220" t="str">
        <f t="shared" si="57"/>
        <v/>
      </c>
      <c r="D410" s="220"/>
      <c r="E410" s="220">
        <f t="shared" si="55"/>
        <v>0</v>
      </c>
      <c r="F410" s="220">
        <f t="shared" si="56"/>
        <v>-10</v>
      </c>
    </row>
    <row r="411" ht="14.25" customHeight="1">
      <c r="B411" s="219">
        <v>45101.0</v>
      </c>
      <c r="C411" s="220" t="str">
        <f t="shared" si="57"/>
        <v/>
      </c>
      <c r="D411" s="220"/>
      <c r="E411" s="220">
        <f t="shared" si="55"/>
        <v>0</v>
      </c>
      <c r="F411" s="220">
        <f t="shared" si="56"/>
        <v>-10</v>
      </c>
    </row>
    <row r="412" ht="14.25" customHeight="1">
      <c r="B412" s="219">
        <v>45102.0</v>
      </c>
      <c r="C412" s="220" t="str">
        <f t="shared" si="57"/>
        <v/>
      </c>
      <c r="D412" s="220"/>
      <c r="E412" s="220">
        <f t="shared" si="55"/>
        <v>0</v>
      </c>
      <c r="F412" s="220">
        <f t="shared" si="56"/>
        <v>-10</v>
      </c>
    </row>
    <row r="413" ht="14.25" customHeight="1">
      <c r="B413" s="219">
        <v>45103.0</v>
      </c>
      <c r="C413" s="220" t="str">
        <f t="shared" si="57"/>
        <v/>
      </c>
      <c r="D413" s="220"/>
      <c r="E413" s="220">
        <f t="shared" si="55"/>
        <v>0</v>
      </c>
      <c r="F413" s="220">
        <f t="shared" si="56"/>
        <v>-10</v>
      </c>
    </row>
    <row r="414" ht="14.25" customHeight="1">
      <c r="B414" s="219">
        <v>45104.0</v>
      </c>
      <c r="C414" s="220" t="str">
        <f t="shared" si="57"/>
        <v/>
      </c>
      <c r="D414" s="220"/>
      <c r="E414" s="220">
        <f t="shared" si="55"/>
        <v>0</v>
      </c>
      <c r="F414" s="220">
        <f t="shared" si="56"/>
        <v>-10</v>
      </c>
    </row>
    <row r="415" ht="14.25" customHeight="1">
      <c r="B415" s="219">
        <v>45105.0</v>
      </c>
      <c r="C415" s="220" t="str">
        <f t="shared" si="57"/>
        <v/>
      </c>
      <c r="D415" s="220"/>
      <c r="E415" s="220">
        <f t="shared" si="55"/>
        <v>0</v>
      </c>
      <c r="F415" s="220">
        <f t="shared" si="56"/>
        <v>-10</v>
      </c>
    </row>
    <row r="416" ht="14.25" customHeight="1">
      <c r="B416" s="219">
        <v>45106.0</v>
      </c>
      <c r="C416" s="220" t="str">
        <f t="shared" si="57"/>
        <v/>
      </c>
      <c r="D416" s="220"/>
      <c r="E416" s="220">
        <f t="shared" si="55"/>
        <v>0</v>
      </c>
      <c r="F416" s="220">
        <f t="shared" si="56"/>
        <v>-10</v>
      </c>
    </row>
    <row r="417" ht="14.25" customHeight="1">
      <c r="B417" s="219">
        <v>45107.0</v>
      </c>
      <c r="C417" s="220" t="str">
        <f t="shared" si="57"/>
        <v/>
      </c>
      <c r="D417" s="220"/>
      <c r="E417" s="220">
        <f t="shared" si="55"/>
        <v>0</v>
      </c>
      <c r="F417" s="220">
        <f t="shared" si="56"/>
        <v>-10</v>
      </c>
    </row>
    <row r="418" ht="14.25" customHeight="1">
      <c r="B418" s="229"/>
      <c r="C418" s="220" t="str">
        <f t="shared" si="57"/>
        <v/>
      </c>
      <c r="D418" s="220"/>
      <c r="E418" s="220">
        <f t="shared" si="55"/>
        <v>0</v>
      </c>
      <c r="F418" s="220">
        <f t="shared" si="56"/>
        <v>-10</v>
      </c>
    </row>
    <row r="419" ht="14.25" customHeight="1">
      <c r="B419" s="216"/>
      <c r="C419" s="223" t="s">
        <v>221</v>
      </c>
      <c r="D419" s="223"/>
      <c r="E419" s="216">
        <f>SUM(E388:E418)</f>
        <v>0</v>
      </c>
      <c r="F419" s="216">
        <f t="shared" si="56"/>
        <v>-10</v>
      </c>
    </row>
    <row r="420" ht="14.25" customHeight="1"/>
    <row r="421" ht="14.25" customHeight="1">
      <c r="A421" s="249" t="s">
        <v>306</v>
      </c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1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 ht="14.25" customHeight="1"/>
    <row r="423" ht="14.25" customHeight="1">
      <c r="B423" s="216" t="s">
        <v>214</v>
      </c>
      <c r="C423" s="216" t="s">
        <v>215</v>
      </c>
      <c r="D423" s="216" t="s">
        <v>216</v>
      </c>
      <c r="E423" s="216" t="s">
        <v>217</v>
      </c>
      <c r="F423" s="216" t="s">
        <v>218</v>
      </c>
      <c r="H423" s="216" t="s">
        <v>238</v>
      </c>
      <c r="I423" s="216"/>
      <c r="K423" s="253" t="s">
        <v>275</v>
      </c>
      <c r="L423" s="231"/>
    </row>
    <row r="424" ht="14.25" customHeight="1">
      <c r="B424" s="219">
        <v>45078.0</v>
      </c>
      <c r="C424" s="220"/>
      <c r="D424" s="220"/>
      <c r="E424" s="220">
        <f t="shared" ref="E424:E454" si="58">D424-C424</f>
        <v>0</v>
      </c>
      <c r="F424" s="220">
        <f t="shared" ref="F424:F455" si="59">E424-10</f>
        <v>-10</v>
      </c>
      <c r="H424" s="216" t="s">
        <v>245</v>
      </c>
      <c r="I424" s="216"/>
      <c r="K424" s="216" t="s">
        <v>244</v>
      </c>
      <c r="L424" s="232">
        <v>2014.0</v>
      </c>
    </row>
    <row r="425" ht="14.25" customHeight="1">
      <c r="B425" s="219">
        <v>45079.0</v>
      </c>
      <c r="C425" s="220" t="str">
        <f t="shared" ref="C425:C454" si="60">D424</f>
        <v/>
      </c>
      <c r="D425" s="220"/>
      <c r="E425" s="220">
        <f t="shared" si="58"/>
        <v>0</v>
      </c>
      <c r="F425" s="220">
        <f t="shared" si="59"/>
        <v>-10</v>
      </c>
      <c r="H425" s="216" t="s">
        <v>247</v>
      </c>
      <c r="I425" s="216"/>
      <c r="K425" s="216" t="s">
        <v>266</v>
      </c>
      <c r="L425" s="232"/>
    </row>
    <row r="426" ht="14.25" customHeight="1">
      <c r="B426" s="219">
        <v>45080.0</v>
      </c>
      <c r="C426" s="220" t="str">
        <f t="shared" si="60"/>
        <v/>
      </c>
      <c r="D426" s="220"/>
      <c r="E426" s="220">
        <f t="shared" si="58"/>
        <v>0</v>
      </c>
      <c r="F426" s="220">
        <f t="shared" si="59"/>
        <v>-10</v>
      </c>
      <c r="H426" s="216" t="s">
        <v>249</v>
      </c>
      <c r="I426" s="232">
        <v>14.0</v>
      </c>
      <c r="K426" s="216" t="s">
        <v>246</v>
      </c>
      <c r="L426" s="232">
        <f>O426*O427</f>
        <v>0</v>
      </c>
    </row>
    <row r="427" ht="14.25" customHeight="1">
      <c r="B427" s="219">
        <v>45081.0</v>
      </c>
      <c r="C427" s="220" t="str">
        <f t="shared" si="60"/>
        <v/>
      </c>
      <c r="D427" s="220"/>
      <c r="E427" s="220">
        <f t="shared" si="58"/>
        <v>0</v>
      </c>
      <c r="F427" s="220">
        <f t="shared" si="59"/>
        <v>-10</v>
      </c>
      <c r="H427" s="216" t="s">
        <v>251</v>
      </c>
      <c r="I427" s="216"/>
      <c r="K427" s="216" t="s">
        <v>248</v>
      </c>
      <c r="L427" s="232">
        <f>O428*O429</f>
        <v>0</v>
      </c>
    </row>
    <row r="428" ht="14.25" customHeight="1">
      <c r="B428" s="219">
        <v>45082.0</v>
      </c>
      <c r="C428" s="220" t="str">
        <f t="shared" si="60"/>
        <v/>
      </c>
      <c r="D428" s="220"/>
      <c r="E428" s="220">
        <f t="shared" si="58"/>
        <v>0</v>
      </c>
      <c r="F428" s="220">
        <f t="shared" si="59"/>
        <v>-10</v>
      </c>
      <c r="H428" s="216" t="s">
        <v>249</v>
      </c>
      <c r="I428" s="232">
        <v>14.0</v>
      </c>
      <c r="K428" s="216" t="s">
        <v>250</v>
      </c>
      <c r="L428" s="232">
        <f>O430*100</f>
        <v>0</v>
      </c>
    </row>
    <row r="429" ht="14.25" customHeight="1">
      <c r="B429" s="219">
        <v>45083.0</v>
      </c>
      <c r="C429" s="220" t="str">
        <f t="shared" si="60"/>
        <v/>
      </c>
      <c r="D429" s="220"/>
      <c r="E429" s="220">
        <f t="shared" si="58"/>
        <v>0</v>
      </c>
      <c r="F429" s="220">
        <f t="shared" si="59"/>
        <v>-10</v>
      </c>
      <c r="H429" s="216" t="s">
        <v>250</v>
      </c>
      <c r="I429" s="216"/>
      <c r="K429" s="216" t="s">
        <v>252</v>
      </c>
      <c r="L429" s="232"/>
    </row>
    <row r="430" ht="14.25" customHeight="1">
      <c r="B430" s="219">
        <v>45084.0</v>
      </c>
      <c r="C430" s="220" t="str">
        <f t="shared" si="60"/>
        <v/>
      </c>
      <c r="D430" s="220"/>
      <c r="E430" s="220">
        <f t="shared" si="58"/>
        <v>0</v>
      </c>
      <c r="F430" s="220">
        <f t="shared" si="59"/>
        <v>-10</v>
      </c>
      <c r="K430" s="216" t="s">
        <v>268</v>
      </c>
      <c r="L430" s="232">
        <f>L424+L426+L427+L428-L425-L429</f>
        <v>2014</v>
      </c>
    </row>
    <row r="431" ht="14.25" customHeight="1">
      <c r="B431" s="219">
        <v>45085.0</v>
      </c>
      <c r="C431" s="220" t="str">
        <f t="shared" si="60"/>
        <v/>
      </c>
      <c r="D431" s="220"/>
      <c r="E431" s="220">
        <f t="shared" si="58"/>
        <v>0</v>
      </c>
      <c r="F431" s="220">
        <f t="shared" si="59"/>
        <v>-10</v>
      </c>
      <c r="K431" s="216" t="s">
        <v>269</v>
      </c>
      <c r="L431" s="229"/>
    </row>
    <row r="432" ht="14.25" customHeight="1">
      <c r="B432" s="219">
        <v>45086.0</v>
      </c>
      <c r="C432" s="220" t="str">
        <f t="shared" si="60"/>
        <v/>
      </c>
      <c r="D432" s="220"/>
      <c r="E432" s="220">
        <f t="shared" si="58"/>
        <v>0</v>
      </c>
      <c r="F432" s="220">
        <f t="shared" si="59"/>
        <v>-10</v>
      </c>
    </row>
    <row r="433" ht="14.25" customHeight="1">
      <c r="B433" s="219">
        <v>45087.0</v>
      </c>
      <c r="C433" s="220" t="str">
        <f t="shared" si="60"/>
        <v/>
      </c>
      <c r="D433" s="220"/>
      <c r="E433" s="220">
        <f t="shared" si="58"/>
        <v>0</v>
      </c>
      <c r="F433" s="220">
        <f t="shared" si="59"/>
        <v>-10</v>
      </c>
    </row>
    <row r="434" ht="14.25" customHeight="1">
      <c r="B434" s="219">
        <v>45088.0</v>
      </c>
      <c r="C434" s="220" t="str">
        <f t="shared" si="60"/>
        <v/>
      </c>
      <c r="D434" s="220"/>
      <c r="E434" s="220">
        <f t="shared" si="58"/>
        <v>0</v>
      </c>
      <c r="F434" s="220">
        <f t="shared" si="59"/>
        <v>-10</v>
      </c>
    </row>
    <row r="435" ht="14.25" customHeight="1">
      <c r="B435" s="219">
        <v>45089.0</v>
      </c>
      <c r="C435" s="220" t="str">
        <f t="shared" si="60"/>
        <v/>
      </c>
      <c r="D435" s="220"/>
      <c r="E435" s="220">
        <f t="shared" si="58"/>
        <v>0</v>
      </c>
      <c r="F435" s="220">
        <f t="shared" si="59"/>
        <v>-10</v>
      </c>
    </row>
    <row r="436" ht="14.25" customHeight="1">
      <c r="B436" s="219">
        <v>45090.0</v>
      </c>
      <c r="C436" s="220" t="str">
        <f t="shared" si="60"/>
        <v/>
      </c>
      <c r="D436" s="220"/>
      <c r="E436" s="220">
        <f t="shared" si="58"/>
        <v>0</v>
      </c>
      <c r="F436" s="220">
        <f t="shared" si="59"/>
        <v>-10</v>
      </c>
    </row>
    <row r="437" ht="14.25" customHeight="1">
      <c r="B437" s="219">
        <v>45091.0</v>
      </c>
      <c r="C437" s="220" t="str">
        <f t="shared" si="60"/>
        <v/>
      </c>
      <c r="D437" s="220"/>
      <c r="E437" s="220">
        <f t="shared" si="58"/>
        <v>0</v>
      </c>
      <c r="F437" s="220">
        <f t="shared" si="59"/>
        <v>-10</v>
      </c>
    </row>
    <row r="438" ht="14.25" customHeight="1">
      <c r="B438" s="219">
        <v>45092.0</v>
      </c>
      <c r="C438" s="220" t="str">
        <f t="shared" si="60"/>
        <v/>
      </c>
      <c r="D438" s="220"/>
      <c r="E438" s="220">
        <f t="shared" si="58"/>
        <v>0</v>
      </c>
      <c r="F438" s="220">
        <f t="shared" si="59"/>
        <v>-10</v>
      </c>
    </row>
    <row r="439" ht="14.25" customHeight="1">
      <c r="B439" s="219">
        <v>45093.0</v>
      </c>
      <c r="C439" s="220" t="str">
        <f t="shared" si="60"/>
        <v/>
      </c>
      <c r="D439" s="220"/>
      <c r="E439" s="220">
        <f t="shared" si="58"/>
        <v>0</v>
      </c>
      <c r="F439" s="220">
        <f t="shared" si="59"/>
        <v>-10</v>
      </c>
    </row>
    <row r="440" ht="14.25" customHeight="1">
      <c r="B440" s="219">
        <v>45094.0</v>
      </c>
      <c r="C440" s="220" t="str">
        <f t="shared" si="60"/>
        <v/>
      </c>
      <c r="D440" s="220"/>
      <c r="E440" s="220">
        <f t="shared" si="58"/>
        <v>0</v>
      </c>
      <c r="F440" s="220">
        <f t="shared" si="59"/>
        <v>-10</v>
      </c>
    </row>
    <row r="441" ht="14.25" customHeight="1">
      <c r="B441" s="219">
        <v>45095.0</v>
      </c>
      <c r="C441" s="220" t="str">
        <f t="shared" si="60"/>
        <v/>
      </c>
      <c r="D441" s="220"/>
      <c r="E441" s="220">
        <f t="shared" si="58"/>
        <v>0</v>
      </c>
      <c r="F441" s="220">
        <f t="shared" si="59"/>
        <v>-10</v>
      </c>
    </row>
    <row r="442" ht="14.25" customHeight="1">
      <c r="B442" s="219">
        <v>45096.0</v>
      </c>
      <c r="C442" s="220" t="str">
        <f t="shared" si="60"/>
        <v/>
      </c>
      <c r="D442" s="220"/>
      <c r="E442" s="220">
        <f t="shared" si="58"/>
        <v>0</v>
      </c>
      <c r="F442" s="220">
        <f t="shared" si="59"/>
        <v>-10</v>
      </c>
    </row>
    <row r="443" ht="14.25" customHeight="1">
      <c r="B443" s="219">
        <v>45097.0</v>
      </c>
      <c r="C443" s="220" t="str">
        <f t="shared" si="60"/>
        <v/>
      </c>
      <c r="D443" s="220"/>
      <c r="E443" s="220">
        <f t="shared" si="58"/>
        <v>0</v>
      </c>
      <c r="F443" s="220">
        <f t="shared" si="59"/>
        <v>-10</v>
      </c>
    </row>
    <row r="444" ht="14.25" customHeight="1">
      <c r="B444" s="219">
        <v>45098.0</v>
      </c>
      <c r="C444" s="220" t="str">
        <f t="shared" si="60"/>
        <v/>
      </c>
      <c r="D444" s="220"/>
      <c r="E444" s="220">
        <f t="shared" si="58"/>
        <v>0</v>
      </c>
      <c r="F444" s="220">
        <f t="shared" si="59"/>
        <v>-10</v>
      </c>
    </row>
    <row r="445" ht="14.25" customHeight="1">
      <c r="B445" s="219">
        <v>45099.0</v>
      </c>
      <c r="C445" s="220" t="str">
        <f t="shared" si="60"/>
        <v/>
      </c>
      <c r="D445" s="220"/>
      <c r="E445" s="220">
        <f t="shared" si="58"/>
        <v>0</v>
      </c>
      <c r="F445" s="220">
        <f t="shared" si="59"/>
        <v>-10</v>
      </c>
    </row>
    <row r="446" ht="14.25" customHeight="1">
      <c r="B446" s="219">
        <v>45100.0</v>
      </c>
      <c r="C446" s="220" t="str">
        <f t="shared" si="60"/>
        <v/>
      </c>
      <c r="D446" s="220"/>
      <c r="E446" s="220">
        <f t="shared" si="58"/>
        <v>0</v>
      </c>
      <c r="F446" s="220">
        <f t="shared" si="59"/>
        <v>-10</v>
      </c>
    </row>
    <row r="447" ht="14.25" customHeight="1">
      <c r="B447" s="219">
        <v>45101.0</v>
      </c>
      <c r="C447" s="220" t="str">
        <f t="shared" si="60"/>
        <v/>
      </c>
      <c r="D447" s="220"/>
      <c r="E447" s="220">
        <f t="shared" si="58"/>
        <v>0</v>
      </c>
      <c r="F447" s="220">
        <f t="shared" si="59"/>
        <v>-10</v>
      </c>
    </row>
    <row r="448" ht="14.25" customHeight="1">
      <c r="B448" s="219">
        <v>45102.0</v>
      </c>
      <c r="C448" s="220" t="str">
        <f t="shared" si="60"/>
        <v/>
      </c>
      <c r="D448" s="220"/>
      <c r="E448" s="220">
        <f t="shared" si="58"/>
        <v>0</v>
      </c>
      <c r="F448" s="220">
        <f t="shared" si="59"/>
        <v>-10</v>
      </c>
    </row>
    <row r="449" ht="14.25" customHeight="1">
      <c r="B449" s="219">
        <v>45103.0</v>
      </c>
      <c r="C449" s="220" t="str">
        <f t="shared" si="60"/>
        <v/>
      </c>
      <c r="D449" s="220"/>
      <c r="E449" s="220">
        <f t="shared" si="58"/>
        <v>0</v>
      </c>
      <c r="F449" s="220">
        <f t="shared" si="59"/>
        <v>-10</v>
      </c>
    </row>
    <row r="450" ht="14.25" customHeight="1">
      <c r="B450" s="219">
        <v>45104.0</v>
      </c>
      <c r="C450" s="220" t="str">
        <f t="shared" si="60"/>
        <v/>
      </c>
      <c r="D450" s="220"/>
      <c r="E450" s="220">
        <f t="shared" si="58"/>
        <v>0</v>
      </c>
      <c r="F450" s="220">
        <f t="shared" si="59"/>
        <v>-10</v>
      </c>
    </row>
    <row r="451" ht="14.25" customHeight="1">
      <c r="B451" s="219">
        <v>45105.0</v>
      </c>
      <c r="C451" s="220" t="str">
        <f t="shared" si="60"/>
        <v/>
      </c>
      <c r="D451" s="220"/>
      <c r="E451" s="220">
        <f t="shared" si="58"/>
        <v>0</v>
      </c>
      <c r="F451" s="220">
        <f t="shared" si="59"/>
        <v>-10</v>
      </c>
    </row>
    <row r="452" ht="14.25" customHeight="1">
      <c r="B452" s="219">
        <v>45106.0</v>
      </c>
      <c r="C452" s="220" t="str">
        <f t="shared" si="60"/>
        <v/>
      </c>
      <c r="D452" s="220"/>
      <c r="E452" s="220">
        <f t="shared" si="58"/>
        <v>0</v>
      </c>
      <c r="F452" s="220">
        <f t="shared" si="59"/>
        <v>-10</v>
      </c>
    </row>
    <row r="453" ht="14.25" customHeight="1">
      <c r="B453" s="219">
        <v>45107.0</v>
      </c>
      <c r="C453" s="220" t="str">
        <f t="shared" si="60"/>
        <v/>
      </c>
      <c r="D453" s="220"/>
      <c r="E453" s="220">
        <f t="shared" si="58"/>
        <v>0</v>
      </c>
      <c r="F453" s="220">
        <f t="shared" si="59"/>
        <v>-10</v>
      </c>
    </row>
    <row r="454" ht="14.25" customHeight="1">
      <c r="B454" s="229"/>
      <c r="C454" s="220" t="str">
        <f t="shared" si="60"/>
        <v/>
      </c>
      <c r="D454" s="220"/>
      <c r="E454" s="220">
        <f t="shared" si="58"/>
        <v>0</v>
      </c>
      <c r="F454" s="220">
        <f t="shared" si="59"/>
        <v>-10</v>
      </c>
    </row>
    <row r="455" ht="14.25" customHeight="1">
      <c r="B455" s="216"/>
      <c r="C455" s="223" t="s">
        <v>221</v>
      </c>
      <c r="D455" s="223"/>
      <c r="E455" s="216">
        <f>SUM(E424:E454)</f>
        <v>0</v>
      </c>
      <c r="F455" s="216">
        <f t="shared" si="59"/>
        <v>-10</v>
      </c>
    </row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">
    <mergeCell ref="C1:D1"/>
    <mergeCell ref="D11:F11"/>
    <mergeCell ref="D16:E16"/>
    <mergeCell ref="I29:J29"/>
    <mergeCell ref="C31:D31"/>
    <mergeCell ref="D41:F41"/>
    <mergeCell ref="D46:E46"/>
    <mergeCell ref="I59:J59"/>
    <mergeCell ref="C62:D62"/>
    <mergeCell ref="D72:F72"/>
    <mergeCell ref="D77:E77"/>
    <mergeCell ref="C92:D92"/>
    <mergeCell ref="D102:F102"/>
    <mergeCell ref="D107:E107"/>
    <mergeCell ref="I90:J90"/>
    <mergeCell ref="I131:J131"/>
    <mergeCell ref="A133:O133"/>
    <mergeCell ref="K135:L135"/>
    <mergeCell ref="A169:O169"/>
    <mergeCell ref="K171:L171"/>
    <mergeCell ref="A205:O205"/>
    <mergeCell ref="A349:O349"/>
    <mergeCell ref="K351:L351"/>
    <mergeCell ref="A385:O385"/>
    <mergeCell ref="K387:L387"/>
    <mergeCell ref="A421:O421"/>
    <mergeCell ref="K423:L423"/>
    <mergeCell ref="K207:L207"/>
    <mergeCell ref="A241:O241"/>
    <mergeCell ref="K243:L243"/>
    <mergeCell ref="A277:O277"/>
    <mergeCell ref="K279:L279"/>
    <mergeCell ref="A313:O313"/>
    <mergeCell ref="K315:L31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8.29"/>
    <col customWidth="1" min="3" max="3" width="13.29"/>
    <col customWidth="1" min="4" max="4" width="10.71"/>
    <col customWidth="1" min="5" max="5" width="15.71"/>
    <col customWidth="1" min="6" max="6" width="8.71"/>
    <col customWidth="1" min="7" max="7" width="18.29"/>
    <col customWidth="1" min="8" max="8" width="22.57"/>
    <col customWidth="1" min="9" max="9" width="11.86"/>
    <col customWidth="1" min="10" max="10" width="8.71"/>
    <col customWidth="1" min="11" max="11" width="20.0"/>
    <col customWidth="1" min="12" max="12" width="13.43"/>
    <col customWidth="1" min="13" max="13" width="12.0"/>
    <col customWidth="1" min="14" max="26" width="8.71"/>
  </cols>
  <sheetData>
    <row r="1" ht="14.25" customHeight="1"/>
    <row r="2" ht="14.25" customHeight="1"/>
    <row r="3" ht="14.25" customHeight="1">
      <c r="A3" s="230">
        <v>44713.0</v>
      </c>
      <c r="B3" s="231"/>
      <c r="D3" s="216" t="s">
        <v>238</v>
      </c>
      <c r="E3" s="216">
        <v>2133.0</v>
      </c>
    </row>
    <row r="4" ht="14.25" customHeight="1">
      <c r="A4" s="216" t="s">
        <v>244</v>
      </c>
      <c r="B4" s="232">
        <v>1000.0</v>
      </c>
      <c r="D4" s="216" t="s">
        <v>245</v>
      </c>
      <c r="E4" s="216">
        <v>2363.0</v>
      </c>
      <c r="H4" s="233"/>
    </row>
    <row r="5" ht="14.25" customHeight="1">
      <c r="A5" s="216" t="s">
        <v>246</v>
      </c>
      <c r="B5" s="232">
        <f>E6*E5</f>
        <v>1610</v>
      </c>
      <c r="D5" s="216" t="s">
        <v>247</v>
      </c>
      <c r="E5" s="216">
        <f>E4-E3</f>
        <v>230</v>
      </c>
      <c r="H5" s="233"/>
    </row>
    <row r="6" ht="14.25" customHeight="1">
      <c r="A6" s="216" t="s">
        <v>248</v>
      </c>
      <c r="B6" s="232">
        <f>E7*E8</f>
        <v>49</v>
      </c>
      <c r="D6" s="216" t="s">
        <v>249</v>
      </c>
      <c r="E6" s="232">
        <v>7.0</v>
      </c>
      <c r="H6" s="233"/>
    </row>
    <row r="7" ht="14.25" customHeight="1">
      <c r="A7" s="216" t="s">
        <v>250</v>
      </c>
      <c r="B7" s="232">
        <f>E9*100</f>
        <v>200</v>
      </c>
      <c r="D7" s="216" t="s">
        <v>251</v>
      </c>
      <c r="E7" s="216">
        <v>7.0</v>
      </c>
    </row>
    <row r="8" ht="14.25" customHeight="1">
      <c r="A8" s="216" t="s">
        <v>252</v>
      </c>
      <c r="B8" s="232"/>
      <c r="D8" s="216" t="s">
        <v>249</v>
      </c>
      <c r="E8" s="232">
        <v>7.0</v>
      </c>
    </row>
    <row r="9" ht="14.25" customHeight="1">
      <c r="A9" s="216" t="s">
        <v>253</v>
      </c>
      <c r="B9" s="232">
        <f>B4+B5+B6+B7-B8</f>
        <v>2859</v>
      </c>
      <c r="D9" s="216" t="s">
        <v>250</v>
      </c>
      <c r="E9" s="216">
        <v>2.0</v>
      </c>
    </row>
    <row r="10" ht="14.25" customHeight="1"/>
    <row r="11" ht="14.25" customHeight="1"/>
    <row r="12" ht="14.25" customHeight="1">
      <c r="H12" s="216" t="s">
        <v>255</v>
      </c>
      <c r="I12" s="216" t="s">
        <v>256</v>
      </c>
      <c r="J12" s="216" t="s">
        <v>243</v>
      </c>
      <c r="K12" s="216" t="s">
        <v>218</v>
      </c>
    </row>
    <row r="13" ht="14.25" customHeight="1">
      <c r="H13" s="216">
        <v>2363.0</v>
      </c>
      <c r="I13" s="216">
        <v>2372.0</v>
      </c>
      <c r="J13" s="216">
        <f t="shared" ref="J13:J39" si="1">I13-H13</f>
        <v>9</v>
      </c>
      <c r="K13" s="216">
        <f t="shared" ref="K13:K40" si="2">J13-10</f>
        <v>-1</v>
      </c>
    </row>
    <row r="14" ht="14.25" customHeight="1">
      <c r="H14" s="237">
        <f t="shared" ref="H14:H37" si="3">I13</f>
        <v>2372</v>
      </c>
      <c r="I14" s="237">
        <v>2382.0</v>
      </c>
      <c r="J14" s="216">
        <f t="shared" si="1"/>
        <v>10</v>
      </c>
      <c r="K14" s="216">
        <f t="shared" si="2"/>
        <v>0</v>
      </c>
    </row>
    <row r="15" ht="14.25" customHeight="1">
      <c r="H15" s="216">
        <f t="shared" si="3"/>
        <v>2382</v>
      </c>
      <c r="I15" s="216">
        <v>2392.0</v>
      </c>
      <c r="J15" s="216">
        <f t="shared" si="1"/>
        <v>10</v>
      </c>
      <c r="K15" s="216">
        <f t="shared" si="2"/>
        <v>0</v>
      </c>
    </row>
    <row r="16" ht="14.25" customHeight="1">
      <c r="H16" s="216">
        <f t="shared" si="3"/>
        <v>2392</v>
      </c>
      <c r="I16" s="216">
        <v>2401.0</v>
      </c>
      <c r="J16" s="216">
        <f t="shared" si="1"/>
        <v>9</v>
      </c>
      <c r="K16" s="216">
        <f t="shared" si="2"/>
        <v>-1</v>
      </c>
    </row>
    <row r="17" ht="14.25" customHeight="1">
      <c r="A17" s="230">
        <v>44743.0</v>
      </c>
      <c r="B17" s="231"/>
      <c r="D17" s="216" t="s">
        <v>238</v>
      </c>
      <c r="E17" s="216">
        <v>2363.0</v>
      </c>
      <c r="H17" s="216">
        <f t="shared" si="3"/>
        <v>2401</v>
      </c>
      <c r="I17" s="216">
        <v>2411.0</v>
      </c>
      <c r="J17" s="216">
        <f t="shared" si="1"/>
        <v>10</v>
      </c>
      <c r="K17" s="216">
        <f t="shared" si="2"/>
        <v>0</v>
      </c>
    </row>
    <row r="18" ht="14.25" customHeight="1">
      <c r="A18" s="216" t="s">
        <v>244</v>
      </c>
      <c r="B18" s="232">
        <v>1000.0</v>
      </c>
      <c r="D18" s="216" t="s">
        <v>245</v>
      </c>
      <c r="E18" s="216">
        <v>2600.5</v>
      </c>
      <c r="H18" s="216">
        <f t="shared" si="3"/>
        <v>2411</v>
      </c>
      <c r="I18" s="216">
        <v>2421.0</v>
      </c>
      <c r="J18" s="216">
        <f t="shared" si="1"/>
        <v>10</v>
      </c>
      <c r="K18" s="216">
        <f t="shared" si="2"/>
        <v>0</v>
      </c>
    </row>
    <row r="19" ht="14.25" customHeight="1">
      <c r="A19" s="216" t="s">
        <v>246</v>
      </c>
      <c r="B19" s="232">
        <f>E20*E19</f>
        <v>1662.5</v>
      </c>
      <c r="D19" s="216" t="s">
        <v>247</v>
      </c>
      <c r="E19" s="216">
        <f>E18-E17</f>
        <v>237.5</v>
      </c>
      <c r="H19" s="216">
        <f t="shared" si="3"/>
        <v>2421</v>
      </c>
      <c r="I19" s="216">
        <v>2430.5</v>
      </c>
      <c r="J19" s="216">
        <f t="shared" si="1"/>
        <v>9.5</v>
      </c>
      <c r="K19" s="216">
        <f t="shared" si="2"/>
        <v>-0.5</v>
      </c>
    </row>
    <row r="20" ht="14.25" customHeight="1">
      <c r="A20" s="216" t="s">
        <v>248</v>
      </c>
      <c r="B20" s="232">
        <f>E21*E22</f>
        <v>14</v>
      </c>
      <c r="D20" s="216" t="s">
        <v>249</v>
      </c>
      <c r="E20" s="232">
        <v>7.0</v>
      </c>
      <c r="H20" s="237">
        <f t="shared" si="3"/>
        <v>2430.5</v>
      </c>
      <c r="I20" s="237">
        <v>2437.0</v>
      </c>
      <c r="J20" s="216">
        <f t="shared" si="1"/>
        <v>6.5</v>
      </c>
      <c r="K20" s="216">
        <f t="shared" si="2"/>
        <v>-3.5</v>
      </c>
    </row>
    <row r="21" ht="14.25" customHeight="1">
      <c r="A21" s="216" t="s">
        <v>250</v>
      </c>
      <c r="B21" s="232">
        <f>E23*100</f>
        <v>200</v>
      </c>
      <c r="D21" s="216" t="s">
        <v>251</v>
      </c>
      <c r="E21" s="216">
        <v>2.0</v>
      </c>
      <c r="H21" s="216">
        <f t="shared" si="3"/>
        <v>2437</v>
      </c>
      <c r="I21" s="216">
        <v>2447.0</v>
      </c>
      <c r="J21" s="216">
        <f t="shared" si="1"/>
        <v>10</v>
      </c>
      <c r="K21" s="216">
        <f t="shared" si="2"/>
        <v>0</v>
      </c>
    </row>
    <row r="22" ht="14.25" customHeight="1">
      <c r="A22" s="216" t="s">
        <v>252</v>
      </c>
      <c r="B22" s="232">
        <v>470.0</v>
      </c>
      <c r="D22" s="216" t="s">
        <v>249</v>
      </c>
      <c r="E22" s="232">
        <v>7.0</v>
      </c>
      <c r="H22" s="216">
        <f t="shared" si="3"/>
        <v>2447</v>
      </c>
      <c r="I22" s="216">
        <v>2457.0</v>
      </c>
      <c r="J22" s="216">
        <f t="shared" si="1"/>
        <v>10</v>
      </c>
      <c r="K22" s="216">
        <f t="shared" si="2"/>
        <v>0</v>
      </c>
    </row>
    <row r="23" ht="14.25" customHeight="1">
      <c r="A23" s="216" t="s">
        <v>253</v>
      </c>
      <c r="B23" s="232">
        <f>B18+B19+B20+B21-B22</f>
        <v>2406.5</v>
      </c>
      <c r="D23" s="216" t="s">
        <v>250</v>
      </c>
      <c r="E23" s="216">
        <v>2.0</v>
      </c>
      <c r="H23" s="216">
        <f t="shared" si="3"/>
        <v>2457</v>
      </c>
      <c r="I23" s="216">
        <v>2467.0</v>
      </c>
      <c r="J23" s="216">
        <f t="shared" si="1"/>
        <v>10</v>
      </c>
      <c r="K23" s="216">
        <f t="shared" si="2"/>
        <v>0</v>
      </c>
    </row>
    <row r="24" ht="14.25" customHeight="1">
      <c r="H24" s="216">
        <f t="shared" si="3"/>
        <v>2467</v>
      </c>
      <c r="I24" s="216">
        <v>2477.0</v>
      </c>
      <c r="J24" s="216">
        <f t="shared" si="1"/>
        <v>10</v>
      </c>
      <c r="K24" s="216">
        <f t="shared" si="2"/>
        <v>0</v>
      </c>
    </row>
    <row r="25" ht="14.25" customHeight="1">
      <c r="H25" s="216">
        <f t="shared" si="3"/>
        <v>2477</v>
      </c>
      <c r="I25" s="216">
        <v>2486.0</v>
      </c>
      <c r="J25" s="216">
        <f t="shared" si="1"/>
        <v>9</v>
      </c>
      <c r="K25" s="216">
        <f t="shared" si="2"/>
        <v>-1</v>
      </c>
    </row>
    <row r="26" ht="14.25" customHeight="1">
      <c r="H26" s="237">
        <f t="shared" si="3"/>
        <v>2486</v>
      </c>
      <c r="I26" s="237">
        <v>2496.0</v>
      </c>
      <c r="J26" s="216">
        <f t="shared" si="1"/>
        <v>10</v>
      </c>
      <c r="K26" s="216">
        <f t="shared" si="2"/>
        <v>0</v>
      </c>
    </row>
    <row r="27" ht="14.25" customHeight="1">
      <c r="H27" s="216">
        <f t="shared" si="3"/>
        <v>2496</v>
      </c>
      <c r="I27" s="216">
        <v>2504.0</v>
      </c>
      <c r="J27" s="216">
        <f t="shared" si="1"/>
        <v>8</v>
      </c>
      <c r="K27" s="216">
        <f t="shared" si="2"/>
        <v>-2</v>
      </c>
    </row>
    <row r="28" ht="14.25" customHeight="1">
      <c r="H28" s="216">
        <f t="shared" si="3"/>
        <v>2504</v>
      </c>
      <c r="I28" s="216">
        <v>2515.0</v>
      </c>
      <c r="J28" s="216">
        <f t="shared" si="1"/>
        <v>11</v>
      </c>
      <c r="K28" s="216">
        <f t="shared" si="2"/>
        <v>1</v>
      </c>
    </row>
    <row r="29" ht="14.25" customHeight="1">
      <c r="H29" s="216">
        <f t="shared" si="3"/>
        <v>2515</v>
      </c>
      <c r="I29" s="216">
        <v>2526.0</v>
      </c>
      <c r="J29" s="216">
        <f t="shared" si="1"/>
        <v>11</v>
      </c>
      <c r="K29" s="216">
        <f t="shared" si="2"/>
        <v>1</v>
      </c>
    </row>
    <row r="30" ht="14.25" customHeight="1">
      <c r="H30" s="216">
        <f t="shared" si="3"/>
        <v>2526</v>
      </c>
      <c r="I30" s="216">
        <v>2536.0</v>
      </c>
      <c r="J30" s="216">
        <f t="shared" si="1"/>
        <v>10</v>
      </c>
      <c r="K30" s="216">
        <f t="shared" si="2"/>
        <v>0</v>
      </c>
    </row>
    <row r="31" ht="14.25" customHeight="1">
      <c r="H31" s="216">
        <f t="shared" si="3"/>
        <v>2536</v>
      </c>
      <c r="I31" s="216">
        <v>2546.0</v>
      </c>
      <c r="J31" s="216">
        <f t="shared" si="1"/>
        <v>10</v>
      </c>
      <c r="K31" s="216">
        <f t="shared" si="2"/>
        <v>0</v>
      </c>
    </row>
    <row r="32" ht="14.25" customHeight="1">
      <c r="H32" s="216">
        <f t="shared" si="3"/>
        <v>2546</v>
      </c>
      <c r="I32" s="216">
        <v>2555.0</v>
      </c>
      <c r="J32" s="216">
        <f t="shared" si="1"/>
        <v>9</v>
      </c>
      <c r="K32" s="216">
        <f t="shared" si="2"/>
        <v>-1</v>
      </c>
    </row>
    <row r="33" ht="14.25" customHeight="1">
      <c r="H33" s="216">
        <f t="shared" si="3"/>
        <v>2555</v>
      </c>
      <c r="I33" s="216">
        <v>2565.0</v>
      </c>
      <c r="J33" s="216">
        <f t="shared" si="1"/>
        <v>10</v>
      </c>
      <c r="K33" s="216">
        <f t="shared" si="2"/>
        <v>0</v>
      </c>
    </row>
    <row r="34" ht="14.25" customHeight="1">
      <c r="H34" s="216">
        <f t="shared" si="3"/>
        <v>2565</v>
      </c>
      <c r="I34" s="216">
        <v>2575.0</v>
      </c>
      <c r="J34" s="216">
        <f t="shared" si="1"/>
        <v>10</v>
      </c>
      <c r="K34" s="216">
        <f t="shared" si="2"/>
        <v>0</v>
      </c>
    </row>
    <row r="35" ht="14.25" customHeight="1">
      <c r="H35" s="216">
        <f t="shared" si="3"/>
        <v>2575</v>
      </c>
      <c r="I35" s="216">
        <v>2585.0</v>
      </c>
      <c r="J35" s="216">
        <f t="shared" si="1"/>
        <v>10</v>
      </c>
      <c r="K35" s="216">
        <f t="shared" si="2"/>
        <v>0</v>
      </c>
    </row>
    <row r="36" ht="14.25" customHeight="1">
      <c r="H36" s="216">
        <f t="shared" si="3"/>
        <v>2585</v>
      </c>
      <c r="I36" s="216">
        <v>2595.0</v>
      </c>
      <c r="J36" s="216">
        <f t="shared" si="1"/>
        <v>10</v>
      </c>
      <c r="K36" s="216">
        <f t="shared" si="2"/>
        <v>0</v>
      </c>
    </row>
    <row r="37" ht="14.25" customHeight="1">
      <c r="H37" s="237">
        <f t="shared" si="3"/>
        <v>2595</v>
      </c>
      <c r="I37" s="237">
        <v>2600.5</v>
      </c>
      <c r="J37" s="216">
        <f t="shared" si="1"/>
        <v>5.5</v>
      </c>
      <c r="K37" s="216">
        <f t="shared" si="2"/>
        <v>-4.5</v>
      </c>
    </row>
    <row r="38" ht="14.25" customHeight="1">
      <c r="H38" s="216">
        <v>0.0</v>
      </c>
      <c r="I38" s="216">
        <v>0.0</v>
      </c>
      <c r="J38" s="216">
        <f t="shared" si="1"/>
        <v>0</v>
      </c>
      <c r="K38" s="216">
        <f t="shared" si="2"/>
        <v>-10</v>
      </c>
    </row>
    <row r="39" ht="14.25" customHeight="1">
      <c r="H39" s="216">
        <f>I38</f>
        <v>0</v>
      </c>
      <c r="I39" s="216"/>
      <c r="J39" s="216">
        <f t="shared" si="1"/>
        <v>0</v>
      </c>
      <c r="K39" s="216">
        <f t="shared" si="2"/>
        <v>-10</v>
      </c>
    </row>
    <row r="40" ht="14.25" customHeight="1">
      <c r="H40" s="234" t="s">
        <v>221</v>
      </c>
      <c r="I40" s="231"/>
      <c r="J40" s="216">
        <f>SUM(J13:J39)</f>
        <v>237.5</v>
      </c>
      <c r="K40" s="216">
        <f t="shared" si="2"/>
        <v>227.5</v>
      </c>
    </row>
    <row r="41" ht="14.25" customHeight="1"/>
    <row r="42" ht="14.25" customHeight="1">
      <c r="H42" s="216" t="s">
        <v>255</v>
      </c>
      <c r="I42" s="216" t="s">
        <v>256</v>
      </c>
      <c r="J42" s="216" t="s">
        <v>243</v>
      </c>
      <c r="K42" s="216" t="s">
        <v>218</v>
      </c>
    </row>
    <row r="43" ht="14.25" customHeight="1">
      <c r="B43" s="230">
        <v>44774.0</v>
      </c>
      <c r="C43" s="231"/>
      <c r="E43" s="216" t="s">
        <v>238</v>
      </c>
      <c r="F43" s="216">
        <v>2600.5</v>
      </c>
      <c r="H43" s="266">
        <v>2600.5</v>
      </c>
      <c r="I43" s="266">
        <v>2609.5</v>
      </c>
      <c r="J43" s="216">
        <f t="shared" ref="J43:J69" si="4">I43-H43</f>
        <v>9</v>
      </c>
      <c r="K43" s="216">
        <f t="shared" ref="K43:K70" si="5">J43-10</f>
        <v>-1</v>
      </c>
    </row>
    <row r="44" ht="14.25" customHeight="1">
      <c r="B44" s="216" t="s">
        <v>244</v>
      </c>
      <c r="C44" s="232">
        <v>1000.0</v>
      </c>
      <c r="E44" s="216" t="s">
        <v>245</v>
      </c>
      <c r="F44" s="216">
        <v>2796.0</v>
      </c>
      <c r="H44" s="266">
        <f t="shared" ref="H44:H64" si="6">I43</f>
        <v>2609.5</v>
      </c>
      <c r="I44" s="266">
        <v>2619.5</v>
      </c>
      <c r="J44" s="216">
        <f t="shared" si="4"/>
        <v>10</v>
      </c>
      <c r="K44" s="216">
        <f t="shared" si="5"/>
        <v>0</v>
      </c>
    </row>
    <row r="45" ht="14.25" customHeight="1">
      <c r="B45" s="216" t="s">
        <v>246</v>
      </c>
      <c r="C45" s="232">
        <f>F46*F45</f>
        <v>1539.3</v>
      </c>
      <c r="E45" s="216" t="s">
        <v>247</v>
      </c>
      <c r="F45" s="216">
        <f>F44-F43+20+4.4</f>
        <v>219.9</v>
      </c>
      <c r="H45" s="266">
        <f t="shared" si="6"/>
        <v>2619.5</v>
      </c>
      <c r="I45" s="266">
        <v>2629.5</v>
      </c>
      <c r="J45" s="216">
        <f t="shared" si="4"/>
        <v>10</v>
      </c>
      <c r="K45" s="216">
        <f t="shared" si="5"/>
        <v>0</v>
      </c>
    </row>
    <row r="46" ht="14.25" customHeight="1">
      <c r="B46" s="216" t="s">
        <v>248</v>
      </c>
      <c r="C46" s="232">
        <f>F47*F48</f>
        <v>7</v>
      </c>
      <c r="E46" s="216" t="s">
        <v>249</v>
      </c>
      <c r="F46" s="232">
        <v>7.0</v>
      </c>
      <c r="H46" s="266">
        <f t="shared" si="6"/>
        <v>2629.5</v>
      </c>
      <c r="I46" s="266">
        <v>2639.5</v>
      </c>
      <c r="J46" s="216">
        <f t="shared" si="4"/>
        <v>10</v>
      </c>
      <c r="K46" s="216">
        <f t="shared" si="5"/>
        <v>0</v>
      </c>
    </row>
    <row r="47" ht="14.25" customHeight="1">
      <c r="B47" s="216" t="s">
        <v>250</v>
      </c>
      <c r="C47" s="232">
        <f>F49*100</f>
        <v>100</v>
      </c>
      <c r="E47" s="216" t="s">
        <v>251</v>
      </c>
      <c r="F47" s="216">
        <v>1.0</v>
      </c>
      <c r="H47" s="266">
        <f t="shared" si="6"/>
        <v>2639.5</v>
      </c>
      <c r="I47" s="266">
        <v>2649.5</v>
      </c>
      <c r="J47" s="216">
        <f t="shared" si="4"/>
        <v>10</v>
      </c>
      <c r="K47" s="216">
        <f t="shared" si="5"/>
        <v>0</v>
      </c>
    </row>
    <row r="48" ht="14.25" customHeight="1">
      <c r="B48" s="216" t="s">
        <v>252</v>
      </c>
      <c r="C48" s="232">
        <v>105.0</v>
      </c>
      <c r="E48" s="216" t="s">
        <v>249</v>
      </c>
      <c r="F48" s="232">
        <v>7.0</v>
      </c>
      <c r="H48" s="266">
        <f t="shared" si="6"/>
        <v>2649.5</v>
      </c>
      <c r="I48" s="266">
        <v>2659.5</v>
      </c>
      <c r="J48" s="216">
        <f t="shared" si="4"/>
        <v>10</v>
      </c>
      <c r="K48" s="216">
        <f t="shared" si="5"/>
        <v>0</v>
      </c>
    </row>
    <row r="49" ht="14.25" customHeight="1">
      <c r="B49" s="216" t="s">
        <v>253</v>
      </c>
      <c r="C49" s="232">
        <f>C44+C45+C46+C47-C48</f>
        <v>2541.3</v>
      </c>
      <c r="E49" s="216" t="s">
        <v>250</v>
      </c>
      <c r="F49" s="216">
        <v>1.0</v>
      </c>
      <c r="H49" s="266">
        <f t="shared" si="6"/>
        <v>2659.5</v>
      </c>
      <c r="I49" s="266">
        <v>2669.5</v>
      </c>
      <c r="J49" s="216">
        <f t="shared" si="4"/>
        <v>10</v>
      </c>
      <c r="K49" s="216">
        <f t="shared" si="5"/>
        <v>0</v>
      </c>
    </row>
    <row r="50" ht="14.25" customHeight="1">
      <c r="H50" s="266">
        <f t="shared" si="6"/>
        <v>2669.5</v>
      </c>
      <c r="I50" s="266">
        <v>2679.5</v>
      </c>
      <c r="J50" s="216">
        <f t="shared" si="4"/>
        <v>10</v>
      </c>
      <c r="K50" s="216">
        <f t="shared" si="5"/>
        <v>0</v>
      </c>
    </row>
    <row r="51" ht="14.25" customHeight="1">
      <c r="B51" s="234" t="s">
        <v>307</v>
      </c>
      <c r="C51" s="231"/>
      <c r="H51" s="266">
        <f t="shared" si="6"/>
        <v>2679.5</v>
      </c>
      <c r="I51" s="266">
        <v>2689.5</v>
      </c>
      <c r="J51" s="216">
        <f t="shared" si="4"/>
        <v>10</v>
      </c>
      <c r="K51" s="216">
        <f t="shared" si="5"/>
        <v>0</v>
      </c>
    </row>
    <row r="52" ht="14.25" customHeight="1">
      <c r="H52" s="266">
        <f t="shared" si="6"/>
        <v>2689.5</v>
      </c>
      <c r="I52" s="266">
        <v>2695.5</v>
      </c>
      <c r="J52" s="216">
        <f t="shared" si="4"/>
        <v>6</v>
      </c>
      <c r="K52" s="216">
        <f t="shared" si="5"/>
        <v>-4</v>
      </c>
    </row>
    <row r="53" ht="14.25" customHeight="1">
      <c r="H53" s="266">
        <f t="shared" si="6"/>
        <v>2695.5</v>
      </c>
      <c r="I53" s="266">
        <v>2705.5</v>
      </c>
      <c r="J53" s="216">
        <f t="shared" si="4"/>
        <v>10</v>
      </c>
      <c r="K53" s="216">
        <f t="shared" si="5"/>
        <v>0</v>
      </c>
    </row>
    <row r="54" ht="14.25" customHeight="1">
      <c r="H54" s="266">
        <f t="shared" si="6"/>
        <v>2705.5</v>
      </c>
      <c r="I54" s="266">
        <v>2710.0</v>
      </c>
      <c r="J54" s="216">
        <f t="shared" si="4"/>
        <v>4.5</v>
      </c>
      <c r="K54" s="216">
        <f t="shared" si="5"/>
        <v>-5.5</v>
      </c>
    </row>
    <row r="55" ht="14.25" customHeight="1">
      <c r="H55" s="266">
        <f t="shared" si="6"/>
        <v>2710</v>
      </c>
      <c r="I55" s="266">
        <v>2718.5</v>
      </c>
      <c r="J55" s="216">
        <f t="shared" si="4"/>
        <v>8.5</v>
      </c>
      <c r="K55" s="216">
        <f t="shared" si="5"/>
        <v>-1.5</v>
      </c>
    </row>
    <row r="56" ht="14.25" customHeight="1">
      <c r="H56" s="266">
        <f t="shared" si="6"/>
        <v>2718.5</v>
      </c>
      <c r="I56" s="266">
        <v>2728.5</v>
      </c>
      <c r="J56" s="216">
        <f t="shared" si="4"/>
        <v>10</v>
      </c>
      <c r="K56" s="216">
        <f t="shared" si="5"/>
        <v>0</v>
      </c>
    </row>
    <row r="57" ht="14.25" customHeight="1">
      <c r="H57" s="266">
        <f t="shared" si="6"/>
        <v>2728.5</v>
      </c>
      <c r="I57" s="266">
        <v>2738.5</v>
      </c>
      <c r="J57" s="216">
        <f t="shared" si="4"/>
        <v>10</v>
      </c>
      <c r="K57" s="216">
        <f t="shared" si="5"/>
        <v>0</v>
      </c>
    </row>
    <row r="58" ht="14.25" customHeight="1">
      <c r="H58" s="266">
        <f t="shared" si="6"/>
        <v>2738.5</v>
      </c>
      <c r="I58" s="266">
        <v>2741.5</v>
      </c>
      <c r="J58" s="216">
        <f t="shared" si="4"/>
        <v>3</v>
      </c>
      <c r="K58" s="216">
        <f t="shared" si="5"/>
        <v>-7</v>
      </c>
    </row>
    <row r="59" ht="14.25" customHeight="1">
      <c r="H59" s="266">
        <f t="shared" si="6"/>
        <v>2741.5</v>
      </c>
      <c r="I59" s="266">
        <v>2751.5</v>
      </c>
      <c r="J59" s="216">
        <f t="shared" si="4"/>
        <v>10</v>
      </c>
      <c r="K59" s="216">
        <f t="shared" si="5"/>
        <v>0</v>
      </c>
    </row>
    <row r="60" ht="14.25" customHeight="1">
      <c r="H60" s="266">
        <f t="shared" si="6"/>
        <v>2751.5</v>
      </c>
      <c r="I60" s="266">
        <v>2755.5</v>
      </c>
      <c r="J60" s="216">
        <f t="shared" si="4"/>
        <v>4</v>
      </c>
      <c r="K60" s="216">
        <f t="shared" si="5"/>
        <v>-6</v>
      </c>
    </row>
    <row r="61" ht="14.25" customHeight="1">
      <c r="H61" s="266">
        <f t="shared" si="6"/>
        <v>2755.5</v>
      </c>
      <c r="I61" s="266">
        <v>2765.5</v>
      </c>
      <c r="J61" s="216">
        <f t="shared" si="4"/>
        <v>10</v>
      </c>
      <c r="K61" s="216">
        <f t="shared" si="5"/>
        <v>0</v>
      </c>
    </row>
    <row r="62" ht="14.25" customHeight="1">
      <c r="H62" s="266">
        <f t="shared" si="6"/>
        <v>2765.5</v>
      </c>
      <c r="I62" s="266">
        <v>2775.5</v>
      </c>
      <c r="J62" s="216">
        <f t="shared" si="4"/>
        <v>10</v>
      </c>
      <c r="K62" s="216">
        <f t="shared" si="5"/>
        <v>0</v>
      </c>
    </row>
    <row r="63" ht="14.25" customHeight="1">
      <c r="H63" s="266">
        <f t="shared" si="6"/>
        <v>2775.5</v>
      </c>
      <c r="I63" s="266">
        <v>2786.5</v>
      </c>
      <c r="J63" s="216">
        <f t="shared" si="4"/>
        <v>11</v>
      </c>
      <c r="K63" s="216">
        <f t="shared" si="5"/>
        <v>1</v>
      </c>
    </row>
    <row r="64" ht="14.25" customHeight="1">
      <c r="H64" s="266">
        <f t="shared" si="6"/>
        <v>2786.5</v>
      </c>
      <c r="I64" s="266">
        <v>2796.0</v>
      </c>
      <c r="J64" s="216">
        <f t="shared" si="4"/>
        <v>9.5</v>
      </c>
      <c r="K64" s="216">
        <f t="shared" si="5"/>
        <v>-0.5</v>
      </c>
    </row>
    <row r="65" ht="14.25" customHeight="1">
      <c r="H65" s="266">
        <v>0.0</v>
      </c>
      <c r="I65" s="266"/>
      <c r="J65" s="216">
        <f t="shared" si="4"/>
        <v>0</v>
      </c>
      <c r="K65" s="216">
        <f t="shared" si="5"/>
        <v>-10</v>
      </c>
    </row>
    <row r="66" ht="14.25" customHeight="1">
      <c r="H66" s="266" t="str">
        <f t="shared" ref="H66:H69" si="7">I65</f>
        <v/>
      </c>
      <c r="I66" s="266"/>
      <c r="J66" s="216">
        <f t="shared" si="4"/>
        <v>0</v>
      </c>
      <c r="K66" s="216">
        <f t="shared" si="5"/>
        <v>-10</v>
      </c>
    </row>
    <row r="67" ht="14.25" customHeight="1">
      <c r="H67" s="266" t="str">
        <f t="shared" si="7"/>
        <v/>
      </c>
      <c r="I67" s="266"/>
      <c r="J67" s="216">
        <f t="shared" si="4"/>
        <v>0</v>
      </c>
      <c r="K67" s="216">
        <f t="shared" si="5"/>
        <v>-10</v>
      </c>
    </row>
    <row r="68" ht="14.25" customHeight="1">
      <c r="H68" s="266" t="str">
        <f t="shared" si="7"/>
        <v/>
      </c>
      <c r="I68" s="266"/>
      <c r="J68" s="216">
        <f t="shared" si="4"/>
        <v>0</v>
      </c>
      <c r="K68" s="216">
        <f t="shared" si="5"/>
        <v>-10</v>
      </c>
    </row>
    <row r="69" ht="14.25" customHeight="1">
      <c r="H69" s="266" t="str">
        <f t="shared" si="7"/>
        <v/>
      </c>
      <c r="I69" s="266"/>
      <c r="J69" s="216">
        <f t="shared" si="4"/>
        <v>0</v>
      </c>
      <c r="K69" s="216">
        <f t="shared" si="5"/>
        <v>-10</v>
      </c>
    </row>
    <row r="70" ht="14.25" customHeight="1">
      <c r="H70" s="234" t="s">
        <v>221</v>
      </c>
      <c r="I70" s="231"/>
      <c r="J70" s="216">
        <f>SUM(J43:J69)</f>
        <v>195.5</v>
      </c>
      <c r="K70" s="216">
        <f t="shared" si="5"/>
        <v>185.5</v>
      </c>
    </row>
    <row r="71" ht="14.25" customHeight="1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</row>
    <row r="72" ht="14.25" customHeight="1">
      <c r="H72" s="216" t="s">
        <v>255</v>
      </c>
      <c r="I72" s="216" t="s">
        <v>256</v>
      </c>
      <c r="J72" s="216" t="s">
        <v>243</v>
      </c>
      <c r="K72" s="216" t="s">
        <v>218</v>
      </c>
    </row>
    <row r="73" ht="14.25" customHeight="1">
      <c r="B73" s="244">
        <v>44805.0</v>
      </c>
      <c r="C73" s="231"/>
      <c r="E73" s="216" t="s">
        <v>238</v>
      </c>
      <c r="F73" s="216">
        <v>2796.0</v>
      </c>
      <c r="H73" s="266">
        <v>2796.0</v>
      </c>
      <c r="I73" s="266">
        <v>2806.0</v>
      </c>
      <c r="J73" s="216">
        <f t="shared" ref="J73:J99" si="8">I73-H73</f>
        <v>10</v>
      </c>
      <c r="K73" s="216">
        <f t="shared" ref="K73:K100" si="9">J73-10</f>
        <v>0</v>
      </c>
    </row>
    <row r="74" ht="14.25" customHeight="1">
      <c r="B74" s="216" t="s">
        <v>244</v>
      </c>
      <c r="C74" s="232">
        <v>1000.0</v>
      </c>
      <c r="E74" s="216" t="s">
        <v>245</v>
      </c>
      <c r="F74" s="216">
        <v>2971.2</v>
      </c>
      <c r="H74" s="266">
        <f t="shared" ref="H74:H95" si="10">I73</f>
        <v>2806</v>
      </c>
      <c r="I74" s="266">
        <v>2811.0</v>
      </c>
      <c r="J74" s="216">
        <f t="shared" si="8"/>
        <v>5</v>
      </c>
      <c r="K74" s="216">
        <f t="shared" si="9"/>
        <v>-5</v>
      </c>
    </row>
    <row r="75" ht="14.25" customHeight="1">
      <c r="B75" s="216" t="s">
        <v>246</v>
      </c>
      <c r="C75" s="232">
        <f>F76*F75</f>
        <v>1226.4</v>
      </c>
      <c r="E75" s="216" t="s">
        <v>247</v>
      </c>
      <c r="F75" s="216">
        <f>F74-F73</f>
        <v>175.2</v>
      </c>
      <c r="H75" s="266">
        <f t="shared" si="10"/>
        <v>2811</v>
      </c>
      <c r="I75" s="266">
        <v>2819.0</v>
      </c>
      <c r="J75" s="216">
        <f t="shared" si="8"/>
        <v>8</v>
      </c>
      <c r="K75" s="216">
        <f t="shared" si="9"/>
        <v>-2</v>
      </c>
    </row>
    <row r="76" ht="14.25" customHeight="1">
      <c r="B76" s="216" t="s">
        <v>248</v>
      </c>
      <c r="C76" s="232">
        <f>F77*F78</f>
        <v>14</v>
      </c>
      <c r="E76" s="216" t="s">
        <v>249</v>
      </c>
      <c r="F76" s="232">
        <v>7.0</v>
      </c>
      <c r="H76" s="266">
        <f t="shared" si="10"/>
        <v>2819</v>
      </c>
      <c r="I76" s="266">
        <v>2829.0</v>
      </c>
      <c r="J76" s="216">
        <f t="shared" si="8"/>
        <v>10</v>
      </c>
      <c r="K76" s="216">
        <f t="shared" si="9"/>
        <v>0</v>
      </c>
    </row>
    <row r="77" ht="14.25" customHeight="1">
      <c r="B77" s="216" t="s">
        <v>250</v>
      </c>
      <c r="C77" s="232">
        <f>F79*100</f>
        <v>0</v>
      </c>
      <c r="E77" s="216" t="s">
        <v>251</v>
      </c>
      <c r="F77" s="216">
        <v>2.0</v>
      </c>
      <c r="H77" s="266">
        <f t="shared" si="10"/>
        <v>2829</v>
      </c>
      <c r="I77" s="266">
        <v>2839.0</v>
      </c>
      <c r="J77" s="216">
        <f t="shared" si="8"/>
        <v>10</v>
      </c>
      <c r="K77" s="216">
        <f t="shared" si="9"/>
        <v>0</v>
      </c>
    </row>
    <row r="78" ht="14.25" customHeight="1">
      <c r="B78" s="216" t="s">
        <v>252</v>
      </c>
      <c r="C78" s="232"/>
      <c r="E78" s="216" t="s">
        <v>249</v>
      </c>
      <c r="F78" s="232">
        <v>7.0</v>
      </c>
      <c r="H78" s="266">
        <f t="shared" si="10"/>
        <v>2839</v>
      </c>
      <c r="I78" s="266">
        <v>2843.5</v>
      </c>
      <c r="J78" s="216">
        <f t="shared" si="8"/>
        <v>4.5</v>
      </c>
      <c r="K78" s="216">
        <f t="shared" si="9"/>
        <v>-5.5</v>
      </c>
    </row>
    <row r="79" ht="14.25" customHeight="1">
      <c r="B79" s="216" t="s">
        <v>253</v>
      </c>
      <c r="C79" s="232">
        <f>C74+C75+C76+C77-C78</f>
        <v>2240.4</v>
      </c>
      <c r="E79" s="216" t="s">
        <v>250</v>
      </c>
      <c r="F79" s="216"/>
      <c r="H79" s="266">
        <f t="shared" si="10"/>
        <v>2843.5</v>
      </c>
      <c r="I79" s="266">
        <v>2851.0</v>
      </c>
      <c r="J79" s="216">
        <f t="shared" si="8"/>
        <v>7.5</v>
      </c>
      <c r="K79" s="216">
        <f t="shared" si="9"/>
        <v>-2.5</v>
      </c>
    </row>
    <row r="80" ht="14.25" customHeight="1">
      <c r="H80" s="266">
        <f t="shared" si="10"/>
        <v>2851</v>
      </c>
      <c r="I80" s="266">
        <v>2856.0</v>
      </c>
      <c r="J80" s="216">
        <f t="shared" si="8"/>
        <v>5</v>
      </c>
      <c r="K80" s="216">
        <f t="shared" si="9"/>
        <v>-5</v>
      </c>
    </row>
    <row r="81" ht="14.25" customHeight="1">
      <c r="B81" s="234"/>
      <c r="C81" s="231"/>
      <c r="H81" s="266">
        <f t="shared" si="10"/>
        <v>2856</v>
      </c>
      <c r="I81" s="266">
        <v>2865.0</v>
      </c>
      <c r="J81" s="216">
        <f t="shared" si="8"/>
        <v>9</v>
      </c>
      <c r="K81" s="216">
        <f t="shared" si="9"/>
        <v>-1</v>
      </c>
    </row>
    <row r="82" ht="14.25" customHeight="1">
      <c r="H82" s="266">
        <f t="shared" si="10"/>
        <v>2865</v>
      </c>
      <c r="I82" s="266">
        <v>2873.0</v>
      </c>
      <c r="J82" s="216">
        <f t="shared" si="8"/>
        <v>8</v>
      </c>
      <c r="K82" s="216">
        <f t="shared" si="9"/>
        <v>-2</v>
      </c>
    </row>
    <row r="83" ht="14.25" customHeight="1">
      <c r="H83" s="266">
        <f t="shared" si="10"/>
        <v>2873</v>
      </c>
      <c r="I83" s="266">
        <v>2880.0</v>
      </c>
      <c r="J83" s="216">
        <f t="shared" si="8"/>
        <v>7</v>
      </c>
      <c r="K83" s="216">
        <f t="shared" si="9"/>
        <v>-3</v>
      </c>
    </row>
    <row r="84" ht="14.25" customHeight="1">
      <c r="H84" s="266">
        <f t="shared" si="10"/>
        <v>2880</v>
      </c>
      <c r="I84" s="266">
        <v>2887.0</v>
      </c>
      <c r="J84" s="216">
        <f t="shared" si="8"/>
        <v>7</v>
      </c>
      <c r="K84" s="216">
        <f t="shared" si="9"/>
        <v>-3</v>
      </c>
    </row>
    <row r="85" ht="14.25" customHeight="1">
      <c r="H85" s="266">
        <f t="shared" si="10"/>
        <v>2887</v>
      </c>
      <c r="I85" s="266">
        <v>2895.0</v>
      </c>
      <c r="J85" s="216">
        <f t="shared" si="8"/>
        <v>8</v>
      </c>
      <c r="K85" s="216">
        <f t="shared" si="9"/>
        <v>-2</v>
      </c>
    </row>
    <row r="86" ht="14.25" customHeight="1">
      <c r="H86" s="266">
        <f t="shared" si="10"/>
        <v>2895</v>
      </c>
      <c r="I86" s="266">
        <v>2901.0</v>
      </c>
      <c r="J86" s="216">
        <f t="shared" si="8"/>
        <v>6</v>
      </c>
      <c r="K86" s="216">
        <f t="shared" si="9"/>
        <v>-4</v>
      </c>
    </row>
    <row r="87" ht="14.25" customHeight="1">
      <c r="H87" s="266">
        <f t="shared" si="10"/>
        <v>2901</v>
      </c>
      <c r="I87" s="266">
        <v>2908.5</v>
      </c>
      <c r="J87" s="216">
        <f t="shared" si="8"/>
        <v>7.5</v>
      </c>
      <c r="K87" s="216">
        <f t="shared" si="9"/>
        <v>-2.5</v>
      </c>
    </row>
    <row r="88" ht="14.25" customHeight="1">
      <c r="H88" s="266">
        <f t="shared" si="10"/>
        <v>2908.5</v>
      </c>
      <c r="I88" s="266">
        <v>2917.5</v>
      </c>
      <c r="J88" s="216">
        <f t="shared" si="8"/>
        <v>9</v>
      </c>
      <c r="K88" s="216">
        <f t="shared" si="9"/>
        <v>-1</v>
      </c>
    </row>
    <row r="89" ht="14.25" customHeight="1">
      <c r="H89" s="266">
        <f t="shared" si="10"/>
        <v>2917.5</v>
      </c>
      <c r="I89" s="266">
        <v>2928.0</v>
      </c>
      <c r="J89" s="216">
        <f t="shared" si="8"/>
        <v>10.5</v>
      </c>
      <c r="K89" s="216">
        <f t="shared" si="9"/>
        <v>0.5</v>
      </c>
    </row>
    <row r="90" ht="14.25" customHeight="1">
      <c r="H90" s="266">
        <f t="shared" si="10"/>
        <v>2928</v>
      </c>
      <c r="I90" s="266">
        <v>2935.5</v>
      </c>
      <c r="J90" s="216">
        <f t="shared" si="8"/>
        <v>7.5</v>
      </c>
      <c r="K90" s="216">
        <f t="shared" si="9"/>
        <v>-2.5</v>
      </c>
    </row>
    <row r="91" ht="14.25" customHeight="1">
      <c r="H91" s="266">
        <f t="shared" si="10"/>
        <v>2935.5</v>
      </c>
      <c r="I91" s="266">
        <v>2938.5</v>
      </c>
      <c r="J91" s="216">
        <f t="shared" si="8"/>
        <v>3</v>
      </c>
      <c r="K91" s="216">
        <f t="shared" si="9"/>
        <v>-7</v>
      </c>
    </row>
    <row r="92" ht="14.25" customHeight="1">
      <c r="H92" s="266">
        <f t="shared" si="10"/>
        <v>2938.5</v>
      </c>
      <c r="I92" s="266">
        <v>2947.7</v>
      </c>
      <c r="J92" s="216">
        <f t="shared" si="8"/>
        <v>9.2</v>
      </c>
      <c r="K92" s="216">
        <f t="shared" si="9"/>
        <v>-0.8</v>
      </c>
    </row>
    <row r="93" ht="14.25" customHeight="1">
      <c r="H93" s="266">
        <f t="shared" si="10"/>
        <v>2947.7</v>
      </c>
      <c r="I93" s="266">
        <v>2958.4</v>
      </c>
      <c r="J93" s="216">
        <f t="shared" si="8"/>
        <v>10.7</v>
      </c>
      <c r="K93" s="216">
        <f t="shared" si="9"/>
        <v>0.7</v>
      </c>
    </row>
    <row r="94" ht="14.25" customHeight="1">
      <c r="H94" s="266">
        <f t="shared" si="10"/>
        <v>2958.4</v>
      </c>
      <c r="I94" s="266">
        <v>2966.0</v>
      </c>
      <c r="J94" s="216">
        <f t="shared" si="8"/>
        <v>7.6</v>
      </c>
      <c r="K94" s="216">
        <f t="shared" si="9"/>
        <v>-2.4</v>
      </c>
    </row>
    <row r="95" ht="14.25" customHeight="1">
      <c r="H95" s="266">
        <f t="shared" si="10"/>
        <v>2966</v>
      </c>
      <c r="I95" s="266">
        <v>2971.2</v>
      </c>
      <c r="J95" s="216">
        <f t="shared" si="8"/>
        <v>5.2</v>
      </c>
      <c r="K95" s="216">
        <f t="shared" si="9"/>
        <v>-4.8</v>
      </c>
    </row>
    <row r="96" ht="14.25" customHeight="1">
      <c r="H96" s="266"/>
      <c r="I96" s="266"/>
      <c r="J96" s="216">
        <f t="shared" si="8"/>
        <v>0</v>
      </c>
      <c r="K96" s="216">
        <f t="shared" si="9"/>
        <v>-10</v>
      </c>
    </row>
    <row r="97" ht="14.25" customHeight="1">
      <c r="H97" s="266" t="str">
        <f t="shared" ref="H97:H99" si="11">I96</f>
        <v/>
      </c>
      <c r="I97" s="266"/>
      <c r="J97" s="216">
        <f t="shared" si="8"/>
        <v>0</v>
      </c>
      <c r="K97" s="216">
        <f t="shared" si="9"/>
        <v>-10</v>
      </c>
    </row>
    <row r="98" ht="14.25" customHeight="1">
      <c r="H98" s="266" t="str">
        <f t="shared" si="11"/>
        <v/>
      </c>
      <c r="I98" s="266"/>
      <c r="J98" s="216">
        <f t="shared" si="8"/>
        <v>0</v>
      </c>
      <c r="K98" s="216">
        <f t="shared" si="9"/>
        <v>-10</v>
      </c>
    </row>
    <row r="99" ht="14.25" customHeight="1">
      <c r="H99" s="266" t="str">
        <f t="shared" si="11"/>
        <v/>
      </c>
      <c r="I99" s="266"/>
      <c r="J99" s="216">
        <f t="shared" si="8"/>
        <v>0</v>
      </c>
      <c r="K99" s="216">
        <f t="shared" si="9"/>
        <v>-10</v>
      </c>
    </row>
    <row r="100" ht="14.25" customHeight="1">
      <c r="H100" s="234" t="s">
        <v>221</v>
      </c>
      <c r="I100" s="231"/>
      <c r="J100" s="216">
        <f>SUM(J73:J99)</f>
        <v>175.2</v>
      </c>
      <c r="K100" s="216">
        <f t="shared" si="9"/>
        <v>165.2</v>
      </c>
    </row>
    <row r="101" ht="14.25" customHeight="1">
      <c r="A101" s="238"/>
      <c r="B101" s="238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</row>
    <row r="102" ht="14.25" customHeight="1"/>
    <row r="103" ht="14.25" customHeight="1">
      <c r="H103" s="216" t="s">
        <v>255</v>
      </c>
      <c r="I103" s="216" t="s">
        <v>256</v>
      </c>
      <c r="J103" s="216" t="s">
        <v>243</v>
      </c>
      <c r="K103" s="216" t="s">
        <v>218</v>
      </c>
    </row>
    <row r="104" ht="14.25" customHeight="1">
      <c r="B104" s="244">
        <v>44835.0</v>
      </c>
      <c r="C104" s="231"/>
      <c r="E104" s="216" t="s">
        <v>238</v>
      </c>
      <c r="F104" s="216">
        <v>5350.0</v>
      </c>
      <c r="H104" s="266">
        <v>5350.0</v>
      </c>
      <c r="I104" s="266">
        <v>5353.8</v>
      </c>
      <c r="J104" s="216">
        <f t="shared" ref="J104:J130" si="12">I104-H104</f>
        <v>3.8</v>
      </c>
      <c r="K104" s="216">
        <f t="shared" ref="K104:K106" si="13">J104-10</f>
        <v>-6.2</v>
      </c>
    </row>
    <row r="105" ht="14.25" customHeight="1">
      <c r="B105" s="216" t="s">
        <v>244</v>
      </c>
      <c r="C105" s="232">
        <v>1500.0</v>
      </c>
      <c r="E105" s="216" t="s">
        <v>245</v>
      </c>
      <c r="F105" s="216">
        <v>5500.4</v>
      </c>
      <c r="H105" s="266">
        <f t="shared" ref="H105:H109" si="14">I104</f>
        <v>5353.8</v>
      </c>
      <c r="I105" s="266">
        <v>5362.0</v>
      </c>
      <c r="J105" s="216">
        <f t="shared" si="12"/>
        <v>8.2</v>
      </c>
      <c r="K105" s="216">
        <f t="shared" si="13"/>
        <v>-1.8</v>
      </c>
    </row>
    <row r="106" ht="14.25" customHeight="1">
      <c r="B106" s="216" t="s">
        <v>246</v>
      </c>
      <c r="C106" s="232">
        <f>F107*F106</f>
        <v>949.9</v>
      </c>
      <c r="E106" s="216" t="s">
        <v>247</v>
      </c>
      <c r="F106" s="216">
        <v>135.7</v>
      </c>
      <c r="H106" s="266">
        <f t="shared" si="14"/>
        <v>5362</v>
      </c>
      <c r="I106" s="266">
        <v>5371.7</v>
      </c>
      <c r="J106" s="216">
        <f t="shared" si="12"/>
        <v>9.7</v>
      </c>
      <c r="K106" s="216">
        <f t="shared" si="13"/>
        <v>-0.3</v>
      </c>
    </row>
    <row r="107" ht="14.25" customHeight="1">
      <c r="B107" s="216" t="s">
        <v>248</v>
      </c>
      <c r="C107" s="232">
        <f>F108*F109</f>
        <v>48.3</v>
      </c>
      <c r="E107" s="216" t="s">
        <v>249</v>
      </c>
      <c r="F107" s="232">
        <v>7.0</v>
      </c>
      <c r="H107" s="267">
        <f t="shared" si="14"/>
        <v>5371.7</v>
      </c>
      <c r="I107" s="267">
        <v>5378.0</v>
      </c>
      <c r="J107" s="237">
        <f t="shared" si="12"/>
        <v>6.3</v>
      </c>
      <c r="K107" s="237">
        <f>J107-5</f>
        <v>1.3</v>
      </c>
    </row>
    <row r="108" ht="14.25" customHeight="1">
      <c r="B108" s="216" t="s">
        <v>250</v>
      </c>
      <c r="C108" s="232">
        <f>F110*100</f>
        <v>100</v>
      </c>
      <c r="E108" s="216" t="s">
        <v>251</v>
      </c>
      <c r="F108" s="216">
        <v>6.9</v>
      </c>
      <c r="H108" s="266">
        <f t="shared" si="14"/>
        <v>5378</v>
      </c>
      <c r="I108" s="266">
        <v>5388.0</v>
      </c>
      <c r="J108" s="216">
        <f t="shared" si="12"/>
        <v>10</v>
      </c>
      <c r="K108" s="216">
        <f t="shared" ref="K108:K113" si="15">J108-10</f>
        <v>0</v>
      </c>
    </row>
    <row r="109" ht="14.25" customHeight="1">
      <c r="B109" s="216" t="s">
        <v>252</v>
      </c>
      <c r="C109" s="232"/>
      <c r="E109" s="216" t="s">
        <v>249</v>
      </c>
      <c r="F109" s="232">
        <v>7.0</v>
      </c>
      <c r="H109" s="266">
        <f t="shared" si="14"/>
        <v>5388</v>
      </c>
      <c r="I109" s="266">
        <v>5397.5</v>
      </c>
      <c r="J109" s="216">
        <f t="shared" si="12"/>
        <v>9.5</v>
      </c>
      <c r="K109" s="216">
        <f t="shared" si="15"/>
        <v>-0.5</v>
      </c>
    </row>
    <row r="110" ht="14.25" customHeight="1">
      <c r="B110" s="216" t="s">
        <v>253</v>
      </c>
      <c r="C110" s="232">
        <f>C105+C106+C107+C108-C109</f>
        <v>2598.2</v>
      </c>
      <c r="E110" s="216" t="s">
        <v>250</v>
      </c>
      <c r="F110" s="216">
        <v>1.0</v>
      </c>
      <c r="H110" s="266">
        <v>5412.2</v>
      </c>
      <c r="I110" s="266">
        <v>5415.4</v>
      </c>
      <c r="J110" s="216">
        <f t="shared" si="12"/>
        <v>3.2</v>
      </c>
      <c r="K110" s="216">
        <f t="shared" si="15"/>
        <v>-6.8</v>
      </c>
    </row>
    <row r="111" ht="14.25" customHeight="1">
      <c r="H111" s="266">
        <f t="shared" ref="H111:H121" si="16">I110</f>
        <v>5415.4</v>
      </c>
      <c r="I111" s="266">
        <v>5422.7</v>
      </c>
      <c r="J111" s="216">
        <f t="shared" si="12"/>
        <v>7.3</v>
      </c>
      <c r="K111" s="216">
        <f t="shared" si="15"/>
        <v>-2.7</v>
      </c>
    </row>
    <row r="112" ht="14.25" customHeight="1">
      <c r="B112" s="234"/>
      <c r="C112" s="231"/>
      <c r="H112" s="266">
        <f t="shared" si="16"/>
        <v>5422.7</v>
      </c>
      <c r="I112" s="266">
        <v>5431.7</v>
      </c>
      <c r="J112" s="216">
        <f t="shared" si="12"/>
        <v>9</v>
      </c>
      <c r="K112" s="216">
        <f t="shared" si="15"/>
        <v>-1</v>
      </c>
    </row>
    <row r="113" ht="14.25" customHeight="1">
      <c r="H113" s="266">
        <f t="shared" si="16"/>
        <v>5431.7</v>
      </c>
      <c r="I113" s="266">
        <v>5441.7</v>
      </c>
      <c r="J113" s="216">
        <f t="shared" si="12"/>
        <v>10</v>
      </c>
      <c r="K113" s="216">
        <f t="shared" si="15"/>
        <v>0</v>
      </c>
    </row>
    <row r="114" ht="14.25" customHeight="1">
      <c r="H114" s="267">
        <f t="shared" si="16"/>
        <v>5441.7</v>
      </c>
      <c r="I114" s="267">
        <v>5451.7</v>
      </c>
      <c r="J114" s="237">
        <f t="shared" si="12"/>
        <v>10</v>
      </c>
      <c r="K114" s="237">
        <f>J114-5</f>
        <v>5</v>
      </c>
    </row>
    <row r="115" ht="14.25" customHeight="1">
      <c r="H115" s="266">
        <f t="shared" si="16"/>
        <v>5451.7</v>
      </c>
      <c r="I115" s="266">
        <v>5458.0</v>
      </c>
      <c r="J115" s="216">
        <f t="shared" si="12"/>
        <v>6.3</v>
      </c>
      <c r="K115" s="216">
        <f t="shared" ref="K115:K119" si="17">J115-10</f>
        <v>-3.7</v>
      </c>
    </row>
    <row r="116" ht="14.25" customHeight="1">
      <c r="H116" s="266">
        <f t="shared" si="16"/>
        <v>5458</v>
      </c>
      <c r="I116" s="266">
        <v>5467.4</v>
      </c>
      <c r="J116" s="216">
        <f t="shared" si="12"/>
        <v>9.4</v>
      </c>
      <c r="K116" s="216">
        <f t="shared" si="17"/>
        <v>-0.6</v>
      </c>
    </row>
    <row r="117" ht="14.25" customHeight="1">
      <c r="H117" s="266">
        <f t="shared" si="16"/>
        <v>5467.4</v>
      </c>
      <c r="I117" s="266">
        <v>5477.5</v>
      </c>
      <c r="J117" s="216">
        <f t="shared" si="12"/>
        <v>10.1</v>
      </c>
      <c r="K117" s="216">
        <f t="shared" si="17"/>
        <v>0.1</v>
      </c>
    </row>
    <row r="118" ht="14.25" customHeight="1">
      <c r="H118" s="266">
        <f t="shared" si="16"/>
        <v>5477.5</v>
      </c>
      <c r="I118" s="266">
        <v>5481.5</v>
      </c>
      <c r="J118" s="216">
        <f t="shared" si="12"/>
        <v>4</v>
      </c>
      <c r="K118" s="216">
        <f t="shared" si="17"/>
        <v>-6</v>
      </c>
    </row>
    <row r="119" ht="14.25" customHeight="1">
      <c r="H119" s="266">
        <f t="shared" si="16"/>
        <v>5481.5</v>
      </c>
      <c r="I119" s="266">
        <v>5489.2</v>
      </c>
      <c r="J119" s="216">
        <f t="shared" si="12"/>
        <v>7.7</v>
      </c>
      <c r="K119" s="216">
        <f t="shared" si="17"/>
        <v>-2.3</v>
      </c>
    </row>
    <row r="120" ht="14.25" customHeight="1">
      <c r="H120" s="267">
        <f t="shared" si="16"/>
        <v>5489.2</v>
      </c>
      <c r="I120" s="267">
        <v>5493.3</v>
      </c>
      <c r="J120" s="237">
        <f t="shared" si="12"/>
        <v>4.1</v>
      </c>
      <c r="K120" s="237">
        <f>J120-5</f>
        <v>-0.9</v>
      </c>
    </row>
    <row r="121" ht="14.25" customHeight="1">
      <c r="H121" s="266">
        <f t="shared" si="16"/>
        <v>5493.3</v>
      </c>
      <c r="I121" s="266">
        <v>5500.4</v>
      </c>
      <c r="J121" s="216">
        <f t="shared" si="12"/>
        <v>7.1</v>
      </c>
      <c r="K121" s="216">
        <f t="shared" ref="K121:K131" si="18">J121-10</f>
        <v>-2.9</v>
      </c>
    </row>
    <row r="122" ht="14.25" customHeight="1">
      <c r="H122" s="266"/>
      <c r="I122" s="266"/>
      <c r="J122" s="216">
        <f t="shared" si="12"/>
        <v>0</v>
      </c>
      <c r="K122" s="216">
        <f t="shared" si="18"/>
        <v>-10</v>
      </c>
    </row>
    <row r="123" ht="14.25" customHeight="1">
      <c r="H123" s="266" t="str">
        <f t="shared" ref="H123:H130" si="19">I122</f>
        <v/>
      </c>
      <c r="I123" s="266"/>
      <c r="J123" s="216">
        <f t="shared" si="12"/>
        <v>0</v>
      </c>
      <c r="K123" s="216">
        <f t="shared" si="18"/>
        <v>-10</v>
      </c>
    </row>
    <row r="124" ht="14.25" customHeight="1">
      <c r="H124" s="266" t="str">
        <f t="shared" si="19"/>
        <v/>
      </c>
      <c r="I124" s="266"/>
      <c r="J124" s="216">
        <f t="shared" si="12"/>
        <v>0</v>
      </c>
      <c r="K124" s="216">
        <f t="shared" si="18"/>
        <v>-10</v>
      </c>
    </row>
    <row r="125" ht="14.25" customHeight="1">
      <c r="H125" s="266" t="str">
        <f t="shared" si="19"/>
        <v/>
      </c>
      <c r="I125" s="266"/>
      <c r="J125" s="216">
        <f t="shared" si="12"/>
        <v>0</v>
      </c>
      <c r="K125" s="216">
        <f t="shared" si="18"/>
        <v>-10</v>
      </c>
    </row>
    <row r="126" ht="14.25" customHeight="1">
      <c r="H126" s="266" t="str">
        <f t="shared" si="19"/>
        <v/>
      </c>
      <c r="I126" s="266"/>
      <c r="J126" s="216">
        <f t="shared" si="12"/>
        <v>0</v>
      </c>
      <c r="K126" s="216">
        <f t="shared" si="18"/>
        <v>-10</v>
      </c>
    </row>
    <row r="127" ht="14.25" customHeight="1">
      <c r="H127" s="266" t="str">
        <f t="shared" si="19"/>
        <v/>
      </c>
      <c r="I127" s="266"/>
      <c r="J127" s="216">
        <f t="shared" si="12"/>
        <v>0</v>
      </c>
      <c r="K127" s="216">
        <f t="shared" si="18"/>
        <v>-10</v>
      </c>
    </row>
    <row r="128" ht="14.25" customHeight="1">
      <c r="H128" s="266" t="str">
        <f t="shared" si="19"/>
        <v/>
      </c>
      <c r="I128" s="266"/>
      <c r="J128" s="216">
        <f t="shared" si="12"/>
        <v>0</v>
      </c>
      <c r="K128" s="216">
        <f t="shared" si="18"/>
        <v>-10</v>
      </c>
    </row>
    <row r="129" ht="14.25" customHeight="1">
      <c r="H129" s="266" t="str">
        <f t="shared" si="19"/>
        <v/>
      </c>
      <c r="I129" s="266"/>
      <c r="J129" s="216">
        <f t="shared" si="12"/>
        <v>0</v>
      </c>
      <c r="K129" s="216">
        <f t="shared" si="18"/>
        <v>-10</v>
      </c>
    </row>
    <row r="130" ht="14.25" customHeight="1">
      <c r="H130" s="266" t="str">
        <f t="shared" si="19"/>
        <v/>
      </c>
      <c r="I130" s="266"/>
      <c r="J130" s="216">
        <f t="shared" si="12"/>
        <v>0</v>
      </c>
      <c r="K130" s="216">
        <f t="shared" si="18"/>
        <v>-10</v>
      </c>
    </row>
    <row r="131" ht="14.25" customHeight="1">
      <c r="H131" s="234" t="s">
        <v>221</v>
      </c>
      <c r="I131" s="231"/>
      <c r="J131" s="216">
        <f>SUM(J104:J130)</f>
        <v>135.7</v>
      </c>
      <c r="K131" s="216">
        <f t="shared" si="18"/>
        <v>125.7</v>
      </c>
    </row>
    <row r="132" ht="14.25" customHeight="1"/>
    <row r="133" ht="14.2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</row>
    <row r="134" ht="14.25" customHeight="1"/>
    <row r="135" ht="14.25" customHeight="1">
      <c r="H135" s="216" t="s">
        <v>255</v>
      </c>
      <c r="I135" s="216" t="s">
        <v>256</v>
      </c>
      <c r="J135" s="216" t="s">
        <v>243</v>
      </c>
      <c r="K135" s="216" t="s">
        <v>218</v>
      </c>
    </row>
    <row r="136" ht="14.25" customHeight="1">
      <c r="B136" s="244" t="s">
        <v>308</v>
      </c>
      <c r="C136" s="231"/>
      <c r="E136" s="216" t="s">
        <v>238</v>
      </c>
      <c r="F136" s="216"/>
      <c r="H136" s="220">
        <v>5500.4</v>
      </c>
      <c r="I136" s="220">
        <v>5509.3</v>
      </c>
      <c r="J136" s="216">
        <f t="shared" ref="J136:J162" si="20">I136-H136</f>
        <v>8.9</v>
      </c>
      <c r="K136" s="216">
        <f t="shared" ref="K136:K145" si="21">J136-10</f>
        <v>-1.1</v>
      </c>
    </row>
    <row r="137" ht="14.25" customHeight="1">
      <c r="B137" s="216" t="s">
        <v>244</v>
      </c>
      <c r="C137" s="232">
        <v>1500.0</v>
      </c>
      <c r="E137" s="216" t="s">
        <v>245</v>
      </c>
      <c r="F137" s="216"/>
      <c r="H137" s="220">
        <f t="shared" ref="H137:H150" si="22">I136</f>
        <v>5509.3</v>
      </c>
      <c r="I137" s="220">
        <v>5518.3</v>
      </c>
      <c r="J137" s="220">
        <f t="shared" si="20"/>
        <v>9</v>
      </c>
      <c r="K137" s="220">
        <f t="shared" si="21"/>
        <v>-1</v>
      </c>
    </row>
    <row r="138" ht="14.25" customHeight="1">
      <c r="B138" s="216" t="s">
        <v>246</v>
      </c>
      <c r="C138" s="232">
        <f>F139*F138</f>
        <v>1398.6</v>
      </c>
      <c r="E138" s="216" t="s">
        <v>247</v>
      </c>
      <c r="F138" s="216">
        <v>199.8</v>
      </c>
      <c r="H138" s="220">
        <f t="shared" si="22"/>
        <v>5518.3</v>
      </c>
      <c r="I138" s="220">
        <v>5529.3</v>
      </c>
      <c r="J138" s="220">
        <f t="shared" si="20"/>
        <v>11</v>
      </c>
      <c r="K138" s="220">
        <f t="shared" si="21"/>
        <v>1</v>
      </c>
    </row>
    <row r="139" ht="14.25" customHeight="1">
      <c r="B139" s="216" t="s">
        <v>248</v>
      </c>
      <c r="C139" s="232">
        <f>F140*F141</f>
        <v>21</v>
      </c>
      <c r="E139" s="216" t="s">
        <v>249</v>
      </c>
      <c r="F139" s="232">
        <v>7.0</v>
      </c>
      <c r="H139" s="237">
        <f t="shared" si="22"/>
        <v>5529.3</v>
      </c>
      <c r="I139" s="237">
        <v>5539.9</v>
      </c>
      <c r="J139" s="237">
        <f t="shared" si="20"/>
        <v>10.6</v>
      </c>
      <c r="K139" s="237">
        <f t="shared" si="21"/>
        <v>0.6</v>
      </c>
    </row>
    <row r="140" ht="14.25" customHeight="1">
      <c r="B140" s="216" t="s">
        <v>250</v>
      </c>
      <c r="C140" s="232">
        <f>F142*100</f>
        <v>200</v>
      </c>
      <c r="E140" s="216" t="s">
        <v>251</v>
      </c>
      <c r="F140" s="216">
        <v>3.0</v>
      </c>
      <c r="H140" s="220">
        <f t="shared" si="22"/>
        <v>5539.9</v>
      </c>
      <c r="I140" s="220">
        <v>5549.9</v>
      </c>
      <c r="J140" s="220">
        <f t="shared" si="20"/>
        <v>10</v>
      </c>
      <c r="K140" s="220">
        <f t="shared" si="21"/>
        <v>0</v>
      </c>
    </row>
    <row r="141" ht="14.25" customHeight="1">
      <c r="B141" s="216" t="s">
        <v>252</v>
      </c>
      <c r="C141" s="232"/>
      <c r="E141" s="216" t="s">
        <v>249</v>
      </c>
      <c r="F141" s="232">
        <v>7.0</v>
      </c>
      <c r="H141" s="220">
        <f t="shared" si="22"/>
        <v>5549.9</v>
      </c>
      <c r="I141" s="220">
        <v>5558.5</v>
      </c>
      <c r="J141" s="220">
        <f t="shared" si="20"/>
        <v>8.6</v>
      </c>
      <c r="K141" s="220">
        <f t="shared" si="21"/>
        <v>-1.4</v>
      </c>
    </row>
    <row r="142" ht="14.25" customHeight="1">
      <c r="B142" s="216" t="s">
        <v>253</v>
      </c>
      <c r="C142" s="232">
        <f>C137+C138+C139+C140-C141</f>
        <v>3119.6</v>
      </c>
      <c r="E142" s="216" t="s">
        <v>250</v>
      </c>
      <c r="F142" s="216">
        <v>2.0</v>
      </c>
      <c r="H142" s="220">
        <f t="shared" si="22"/>
        <v>5558.5</v>
      </c>
      <c r="I142" s="220">
        <v>5568.7</v>
      </c>
      <c r="J142" s="220">
        <f t="shared" si="20"/>
        <v>10.2</v>
      </c>
      <c r="K142" s="220">
        <f t="shared" si="21"/>
        <v>0.2</v>
      </c>
    </row>
    <row r="143" ht="14.25" customHeight="1">
      <c r="H143" s="220">
        <f t="shared" si="22"/>
        <v>5568.7</v>
      </c>
      <c r="I143" s="220">
        <v>5577.8</v>
      </c>
      <c r="J143" s="220">
        <f t="shared" si="20"/>
        <v>9.1</v>
      </c>
      <c r="K143" s="220">
        <f t="shared" si="21"/>
        <v>-0.9</v>
      </c>
    </row>
    <row r="144" ht="14.25" customHeight="1">
      <c r="B144" s="234"/>
      <c r="C144" s="231"/>
      <c r="H144" s="220">
        <f t="shared" si="22"/>
        <v>5577.8</v>
      </c>
      <c r="I144" s="220">
        <v>5587.3</v>
      </c>
      <c r="J144" s="220">
        <f t="shared" si="20"/>
        <v>9.5</v>
      </c>
      <c r="K144" s="220">
        <f t="shared" si="21"/>
        <v>-0.5</v>
      </c>
    </row>
    <row r="145" ht="14.25" customHeight="1">
      <c r="H145" s="220">
        <f t="shared" si="22"/>
        <v>5587.3</v>
      </c>
      <c r="I145" s="220">
        <v>5596.5</v>
      </c>
      <c r="J145" s="220">
        <f t="shared" si="20"/>
        <v>9.2</v>
      </c>
      <c r="K145" s="220">
        <f t="shared" si="21"/>
        <v>-0.8</v>
      </c>
    </row>
    <row r="146" ht="14.25" customHeight="1">
      <c r="H146" s="237">
        <f t="shared" si="22"/>
        <v>5596.5</v>
      </c>
      <c r="I146" s="237">
        <v>5598.6</v>
      </c>
      <c r="J146" s="237">
        <f t="shared" si="20"/>
        <v>2.1</v>
      </c>
      <c r="K146" s="237">
        <f>J146-5</f>
        <v>-2.9</v>
      </c>
    </row>
    <row r="147" ht="14.25" customHeight="1">
      <c r="H147" s="220">
        <f t="shared" si="22"/>
        <v>5598.6</v>
      </c>
      <c r="I147" s="220">
        <v>5600.0</v>
      </c>
      <c r="J147" s="220">
        <f t="shared" si="20"/>
        <v>1.4</v>
      </c>
      <c r="K147" s="220">
        <f t="shared" ref="K147:K163" si="23">J147-10</f>
        <v>-8.6</v>
      </c>
    </row>
    <row r="148" ht="14.25" customHeight="1">
      <c r="H148" s="220">
        <f t="shared" si="22"/>
        <v>5600</v>
      </c>
      <c r="I148" s="220">
        <v>5605.8</v>
      </c>
      <c r="J148" s="220">
        <f t="shared" si="20"/>
        <v>5.8</v>
      </c>
      <c r="K148" s="220">
        <f t="shared" si="23"/>
        <v>-4.2</v>
      </c>
    </row>
    <row r="149" ht="14.25" customHeight="1">
      <c r="H149" s="220">
        <f t="shared" si="22"/>
        <v>5605.8</v>
      </c>
      <c r="I149" s="220">
        <v>5615.0</v>
      </c>
      <c r="J149" s="220">
        <f t="shared" si="20"/>
        <v>9.2</v>
      </c>
      <c r="K149" s="220">
        <f t="shared" si="23"/>
        <v>-0.8</v>
      </c>
    </row>
    <row r="150" ht="14.25" customHeight="1">
      <c r="H150" s="220">
        <f t="shared" si="22"/>
        <v>5615</v>
      </c>
      <c r="I150" s="220">
        <v>5622.8</v>
      </c>
      <c r="J150" s="220">
        <f t="shared" si="20"/>
        <v>7.8</v>
      </c>
      <c r="K150" s="220">
        <f t="shared" si="23"/>
        <v>-2.2</v>
      </c>
    </row>
    <row r="151" ht="14.25" customHeight="1">
      <c r="H151" s="220">
        <v>3226.1</v>
      </c>
      <c r="I151" s="220">
        <v>3229.5</v>
      </c>
      <c r="J151" s="220">
        <f t="shared" si="20"/>
        <v>3.4</v>
      </c>
      <c r="K151" s="220">
        <f t="shared" si="23"/>
        <v>-6.6</v>
      </c>
    </row>
    <row r="152" ht="14.25" customHeight="1">
      <c r="H152" s="237">
        <f t="shared" ref="H152:H154" si="24">I151</f>
        <v>3229.5</v>
      </c>
      <c r="I152" s="237">
        <v>3239.5</v>
      </c>
      <c r="J152" s="237">
        <f t="shared" si="20"/>
        <v>10</v>
      </c>
      <c r="K152" s="237">
        <f t="shared" si="23"/>
        <v>0</v>
      </c>
    </row>
    <row r="153" ht="14.25" customHeight="1">
      <c r="H153" s="220">
        <f t="shared" si="24"/>
        <v>3239.5</v>
      </c>
      <c r="I153" s="220">
        <v>3248.9</v>
      </c>
      <c r="J153" s="220">
        <f t="shared" si="20"/>
        <v>9.4</v>
      </c>
      <c r="K153" s="220">
        <f t="shared" si="23"/>
        <v>-0.6</v>
      </c>
    </row>
    <row r="154" ht="14.25" customHeight="1">
      <c r="H154" s="220">
        <f t="shared" si="24"/>
        <v>3248.9</v>
      </c>
      <c r="I154" s="220">
        <v>3258.2</v>
      </c>
      <c r="J154" s="220">
        <f t="shared" si="20"/>
        <v>9.3</v>
      </c>
      <c r="K154" s="220">
        <f t="shared" si="23"/>
        <v>-0.7</v>
      </c>
    </row>
    <row r="155" ht="14.25" customHeight="1">
      <c r="H155" s="220">
        <v>5649.9</v>
      </c>
      <c r="I155" s="220">
        <v>5661.1</v>
      </c>
      <c r="J155" s="220">
        <f t="shared" si="20"/>
        <v>11.2</v>
      </c>
      <c r="K155" s="220">
        <f t="shared" si="23"/>
        <v>1.2</v>
      </c>
    </row>
    <row r="156" ht="14.25" customHeight="1">
      <c r="H156" s="220">
        <f t="shared" ref="H156:H160" si="25">I155</f>
        <v>5661.1</v>
      </c>
      <c r="I156" s="220">
        <v>5664.8</v>
      </c>
      <c r="J156" s="220">
        <f t="shared" si="20"/>
        <v>3.7</v>
      </c>
      <c r="K156" s="220">
        <f t="shared" si="23"/>
        <v>-6.3</v>
      </c>
    </row>
    <row r="157" ht="14.25" customHeight="1">
      <c r="H157" s="220">
        <f t="shared" si="25"/>
        <v>5664.8</v>
      </c>
      <c r="I157" s="220">
        <v>5671.5</v>
      </c>
      <c r="J157" s="220">
        <f t="shared" si="20"/>
        <v>6.7</v>
      </c>
      <c r="K157" s="220">
        <f t="shared" si="23"/>
        <v>-3.3</v>
      </c>
    </row>
    <row r="158" ht="14.25" customHeight="1">
      <c r="H158" s="237">
        <f t="shared" si="25"/>
        <v>5671.5</v>
      </c>
      <c r="I158" s="237">
        <v>5672.2</v>
      </c>
      <c r="J158" s="237">
        <f t="shared" si="20"/>
        <v>0.7</v>
      </c>
      <c r="K158" s="237">
        <f t="shared" si="23"/>
        <v>-9.3</v>
      </c>
    </row>
    <row r="159" ht="14.25" customHeight="1">
      <c r="H159" s="220">
        <f t="shared" si="25"/>
        <v>5672.2</v>
      </c>
      <c r="I159" s="220">
        <v>5680.2</v>
      </c>
      <c r="J159" s="216">
        <f t="shared" si="20"/>
        <v>8</v>
      </c>
      <c r="K159" s="216">
        <f t="shared" si="23"/>
        <v>-2</v>
      </c>
    </row>
    <row r="160" ht="14.25" customHeight="1">
      <c r="H160" s="220">
        <f t="shared" si="25"/>
        <v>5680.2</v>
      </c>
      <c r="I160" s="220">
        <v>5687.8</v>
      </c>
      <c r="J160" s="216">
        <f t="shared" si="20"/>
        <v>7.6</v>
      </c>
      <c r="K160" s="216">
        <f t="shared" si="23"/>
        <v>-2.4</v>
      </c>
    </row>
    <row r="161" ht="14.25" customHeight="1">
      <c r="H161" s="220">
        <v>5687.8</v>
      </c>
      <c r="I161" s="220">
        <v>5695.2</v>
      </c>
      <c r="J161" s="216">
        <f t="shared" si="20"/>
        <v>7.4</v>
      </c>
      <c r="K161" s="216">
        <f t="shared" si="23"/>
        <v>-2.6</v>
      </c>
    </row>
    <row r="162" ht="14.25" customHeight="1">
      <c r="H162" s="220"/>
      <c r="I162" s="220"/>
      <c r="J162" s="216">
        <f t="shared" si="20"/>
        <v>0</v>
      </c>
      <c r="K162" s="216">
        <f t="shared" si="23"/>
        <v>-10</v>
      </c>
    </row>
    <row r="163" ht="14.25" customHeight="1">
      <c r="H163" s="234" t="s">
        <v>221</v>
      </c>
      <c r="I163" s="231"/>
      <c r="J163" s="216">
        <f>SUM(J136:J162)</f>
        <v>199.8</v>
      </c>
      <c r="K163" s="216">
        <f t="shared" si="23"/>
        <v>189.8</v>
      </c>
    </row>
    <row r="164" ht="14.25" customHeight="1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</row>
    <row r="165" ht="14.25" customHeight="1"/>
    <row r="166" ht="14.25" customHeight="1">
      <c r="H166" s="216" t="s">
        <v>255</v>
      </c>
      <c r="I166" s="216" t="s">
        <v>256</v>
      </c>
      <c r="J166" s="216" t="s">
        <v>243</v>
      </c>
      <c r="K166" s="216" t="s">
        <v>218</v>
      </c>
    </row>
    <row r="167" ht="14.25" customHeight="1">
      <c r="B167" s="244" t="s">
        <v>309</v>
      </c>
      <c r="C167" s="231"/>
      <c r="E167" s="216" t="s">
        <v>238</v>
      </c>
      <c r="F167" s="216">
        <v>5695.2</v>
      </c>
      <c r="H167" s="220">
        <v>5695.2</v>
      </c>
      <c r="I167" s="220">
        <v>5704.7</v>
      </c>
      <c r="J167" s="216">
        <f t="shared" ref="J167:J193" si="26">I167-H167</f>
        <v>9.5</v>
      </c>
      <c r="K167" s="216">
        <f t="shared" ref="K167:K176" si="27">J167-10</f>
        <v>-0.5</v>
      </c>
    </row>
    <row r="168" ht="14.25" customHeight="1">
      <c r="B168" s="216" t="s">
        <v>244</v>
      </c>
      <c r="C168" s="232">
        <v>1500.0</v>
      </c>
      <c r="E168" s="216" t="s">
        <v>245</v>
      </c>
      <c r="F168" s="216">
        <v>5736.8</v>
      </c>
      <c r="H168" s="220">
        <f t="shared" ref="H168:H171" si="28">I167</f>
        <v>5704.7</v>
      </c>
      <c r="I168" s="220">
        <v>5711.8</v>
      </c>
      <c r="J168" s="220">
        <f t="shared" si="26"/>
        <v>7.1</v>
      </c>
      <c r="K168" s="220">
        <f t="shared" si="27"/>
        <v>-2.9</v>
      </c>
    </row>
    <row r="169" ht="14.25" customHeight="1">
      <c r="B169" s="216" t="s">
        <v>246</v>
      </c>
      <c r="C169" s="232">
        <f>F170*F169</f>
        <v>291.2</v>
      </c>
      <c r="E169" s="216" t="s">
        <v>247</v>
      </c>
      <c r="F169" s="216">
        <f>F168-F167</f>
        <v>41.6</v>
      </c>
      <c r="H169" s="220">
        <f t="shared" si="28"/>
        <v>5711.8</v>
      </c>
      <c r="I169" s="220">
        <v>5716.5</v>
      </c>
      <c r="J169" s="220">
        <f t="shared" si="26"/>
        <v>4.7</v>
      </c>
      <c r="K169" s="220">
        <f t="shared" si="27"/>
        <v>-5.3</v>
      </c>
    </row>
    <row r="170" ht="14.25" customHeight="1">
      <c r="B170" s="216" t="s">
        <v>248</v>
      </c>
      <c r="C170" s="232">
        <f>F171*F172</f>
        <v>0</v>
      </c>
      <c r="E170" s="216" t="s">
        <v>249</v>
      </c>
      <c r="F170" s="232">
        <v>7.0</v>
      </c>
      <c r="H170" s="220">
        <f t="shared" si="28"/>
        <v>5716.5</v>
      </c>
      <c r="I170" s="237">
        <v>5718.8</v>
      </c>
      <c r="J170" s="237">
        <f t="shared" si="26"/>
        <v>2.3</v>
      </c>
      <c r="K170" s="237">
        <f t="shared" si="27"/>
        <v>-7.7</v>
      </c>
    </row>
    <row r="171" ht="14.25" customHeight="1">
      <c r="B171" s="216" t="s">
        <v>250</v>
      </c>
      <c r="C171" s="232">
        <f>F173*100</f>
        <v>0</v>
      </c>
      <c r="E171" s="216" t="s">
        <v>251</v>
      </c>
      <c r="F171" s="216"/>
      <c r="H171" s="220">
        <f t="shared" si="28"/>
        <v>5718.8</v>
      </c>
      <c r="I171" s="220">
        <v>5736.8</v>
      </c>
      <c r="J171" s="220">
        <f t="shared" si="26"/>
        <v>18</v>
      </c>
      <c r="K171" s="220">
        <f t="shared" si="27"/>
        <v>8</v>
      </c>
    </row>
    <row r="172" ht="14.25" customHeight="1">
      <c r="B172" s="216" t="s">
        <v>252</v>
      </c>
      <c r="C172" s="232"/>
      <c r="E172" s="216" t="s">
        <v>249</v>
      </c>
      <c r="F172" s="232">
        <v>7.0</v>
      </c>
      <c r="H172" s="220"/>
      <c r="I172" s="220"/>
      <c r="J172" s="220">
        <f t="shared" si="26"/>
        <v>0</v>
      </c>
      <c r="K172" s="220">
        <f t="shared" si="27"/>
        <v>-10</v>
      </c>
    </row>
    <row r="173" ht="14.25" customHeight="1">
      <c r="B173" s="216" t="s">
        <v>253</v>
      </c>
      <c r="C173" s="232">
        <f>C168+C169+C170+C171-C172</f>
        <v>1791.2</v>
      </c>
      <c r="E173" s="216" t="s">
        <v>250</v>
      </c>
      <c r="F173" s="216"/>
      <c r="H173" s="220" t="str">
        <f t="shared" ref="H173:H180" si="29">I172</f>
        <v/>
      </c>
      <c r="I173" s="220"/>
      <c r="J173" s="220">
        <f t="shared" si="26"/>
        <v>0</v>
      </c>
      <c r="K173" s="220">
        <f t="shared" si="27"/>
        <v>-10</v>
      </c>
    </row>
    <row r="174" ht="14.25" customHeight="1">
      <c r="H174" s="220" t="str">
        <f t="shared" si="29"/>
        <v/>
      </c>
      <c r="I174" s="220"/>
      <c r="J174" s="220">
        <f t="shared" si="26"/>
        <v>0</v>
      </c>
      <c r="K174" s="220">
        <f t="shared" si="27"/>
        <v>-10</v>
      </c>
    </row>
    <row r="175" ht="14.25" customHeight="1">
      <c r="B175" s="234"/>
      <c r="C175" s="231"/>
      <c r="H175" s="220" t="str">
        <f t="shared" si="29"/>
        <v/>
      </c>
      <c r="I175" s="220"/>
      <c r="J175" s="220">
        <f t="shared" si="26"/>
        <v>0</v>
      </c>
      <c r="K175" s="220">
        <f t="shared" si="27"/>
        <v>-10</v>
      </c>
    </row>
    <row r="176" ht="14.25" customHeight="1">
      <c r="H176" s="220" t="str">
        <f t="shared" si="29"/>
        <v/>
      </c>
      <c r="I176" s="220"/>
      <c r="J176" s="220">
        <f t="shared" si="26"/>
        <v>0</v>
      </c>
      <c r="K176" s="220">
        <f t="shared" si="27"/>
        <v>-10</v>
      </c>
    </row>
    <row r="177" ht="14.25" customHeight="1">
      <c r="H177" s="220" t="str">
        <f t="shared" si="29"/>
        <v/>
      </c>
      <c r="I177" s="237"/>
      <c r="J177" s="237">
        <f t="shared" si="26"/>
        <v>0</v>
      </c>
      <c r="K177" s="237">
        <f>J177-5</f>
        <v>-5</v>
      </c>
    </row>
    <row r="178" ht="14.25" customHeight="1">
      <c r="H178" s="220" t="str">
        <f t="shared" si="29"/>
        <v/>
      </c>
      <c r="I178" s="220"/>
      <c r="J178" s="220">
        <f t="shared" si="26"/>
        <v>0</v>
      </c>
      <c r="K178" s="220">
        <f t="shared" ref="K178:K194" si="30">J178-10</f>
        <v>-10</v>
      </c>
    </row>
    <row r="179" ht="14.25" customHeight="1">
      <c r="H179" s="220" t="str">
        <f t="shared" si="29"/>
        <v/>
      </c>
      <c r="I179" s="220"/>
      <c r="J179" s="220">
        <f t="shared" si="26"/>
        <v>0</v>
      </c>
      <c r="K179" s="220">
        <f t="shared" si="30"/>
        <v>-10</v>
      </c>
    </row>
    <row r="180" ht="14.25" customHeight="1">
      <c r="H180" s="220" t="str">
        <f t="shared" si="29"/>
        <v/>
      </c>
      <c r="I180" s="220"/>
      <c r="J180" s="220">
        <f t="shared" si="26"/>
        <v>0</v>
      </c>
      <c r="K180" s="220">
        <f t="shared" si="30"/>
        <v>-10</v>
      </c>
    </row>
    <row r="181" ht="14.25" customHeight="1">
      <c r="H181" s="220"/>
      <c r="I181" s="220"/>
      <c r="J181" s="220">
        <f t="shared" si="26"/>
        <v>0</v>
      </c>
      <c r="K181" s="220">
        <f t="shared" si="30"/>
        <v>-10</v>
      </c>
    </row>
    <row r="182" ht="14.25" customHeight="1">
      <c r="H182" s="220"/>
      <c r="I182" s="220"/>
      <c r="J182" s="220">
        <f t="shared" si="26"/>
        <v>0</v>
      </c>
      <c r="K182" s="220">
        <f t="shared" si="30"/>
        <v>-10</v>
      </c>
    </row>
    <row r="183" ht="14.25" customHeight="1">
      <c r="H183" s="237"/>
      <c r="I183" s="237"/>
      <c r="J183" s="237">
        <f t="shared" si="26"/>
        <v>0</v>
      </c>
      <c r="K183" s="237">
        <f t="shared" si="30"/>
        <v>-10</v>
      </c>
    </row>
    <row r="184" ht="14.25" customHeight="1">
      <c r="H184" s="220"/>
      <c r="I184" s="220"/>
      <c r="J184" s="220">
        <f t="shared" si="26"/>
        <v>0</v>
      </c>
      <c r="K184" s="220">
        <f t="shared" si="30"/>
        <v>-10</v>
      </c>
    </row>
    <row r="185" ht="14.25" customHeight="1">
      <c r="H185" s="220"/>
      <c r="I185" s="220"/>
      <c r="J185" s="220">
        <f t="shared" si="26"/>
        <v>0</v>
      </c>
      <c r="K185" s="220">
        <f t="shared" si="30"/>
        <v>-10</v>
      </c>
    </row>
    <row r="186" ht="14.25" customHeight="1">
      <c r="H186" s="220"/>
      <c r="I186" s="220"/>
      <c r="J186" s="220">
        <f t="shared" si="26"/>
        <v>0</v>
      </c>
      <c r="K186" s="220">
        <f t="shared" si="30"/>
        <v>-10</v>
      </c>
    </row>
    <row r="187" ht="14.25" customHeight="1">
      <c r="H187" s="220"/>
      <c r="I187" s="220"/>
      <c r="J187" s="220">
        <f t="shared" si="26"/>
        <v>0</v>
      </c>
      <c r="K187" s="220">
        <f t="shared" si="30"/>
        <v>-10</v>
      </c>
    </row>
    <row r="188" ht="14.25" customHeight="1">
      <c r="H188" s="220"/>
      <c r="I188" s="220"/>
      <c r="J188" s="220">
        <f t="shared" si="26"/>
        <v>0</v>
      </c>
      <c r="K188" s="220">
        <f t="shared" si="30"/>
        <v>-10</v>
      </c>
    </row>
    <row r="189" ht="14.25" customHeight="1">
      <c r="H189" s="237"/>
      <c r="I189" s="237"/>
      <c r="J189" s="237">
        <f t="shared" si="26"/>
        <v>0</v>
      </c>
      <c r="K189" s="237">
        <f t="shared" si="30"/>
        <v>-10</v>
      </c>
    </row>
    <row r="190" ht="14.25" customHeight="1">
      <c r="H190" s="220"/>
      <c r="I190" s="220"/>
      <c r="J190" s="216">
        <f t="shared" si="26"/>
        <v>0</v>
      </c>
      <c r="K190" s="216">
        <f t="shared" si="30"/>
        <v>-10</v>
      </c>
    </row>
    <row r="191" ht="14.25" customHeight="1">
      <c r="H191" s="220"/>
      <c r="I191" s="220"/>
      <c r="J191" s="216">
        <f t="shared" si="26"/>
        <v>0</v>
      </c>
      <c r="K191" s="216">
        <f t="shared" si="30"/>
        <v>-10</v>
      </c>
    </row>
    <row r="192" ht="14.25" customHeight="1">
      <c r="H192" s="220"/>
      <c r="I192" s="220"/>
      <c r="J192" s="216">
        <f t="shared" si="26"/>
        <v>0</v>
      </c>
      <c r="K192" s="216">
        <f t="shared" si="30"/>
        <v>-10</v>
      </c>
    </row>
    <row r="193" ht="14.25" customHeight="1">
      <c r="H193" s="220"/>
      <c r="I193" s="220"/>
      <c r="J193" s="216">
        <f t="shared" si="26"/>
        <v>0</v>
      </c>
      <c r="K193" s="216">
        <f t="shared" si="30"/>
        <v>-10</v>
      </c>
    </row>
    <row r="194" ht="14.25" customHeight="1">
      <c r="H194" s="234" t="s">
        <v>221</v>
      </c>
      <c r="I194" s="231"/>
      <c r="J194" s="216">
        <f>SUM(J167:J193)</f>
        <v>41.6</v>
      </c>
      <c r="K194" s="216">
        <f t="shared" si="30"/>
        <v>31.6</v>
      </c>
    </row>
    <row r="195" ht="14.2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</row>
    <row r="196" ht="14.25" customHeight="1"/>
    <row r="197" ht="14.25" customHeight="1">
      <c r="H197" s="216" t="s">
        <v>255</v>
      </c>
      <c r="I197" s="216" t="s">
        <v>256</v>
      </c>
      <c r="J197" s="216" t="s">
        <v>243</v>
      </c>
      <c r="K197" s="216" t="s">
        <v>218</v>
      </c>
    </row>
    <row r="198" ht="14.25" customHeight="1">
      <c r="B198" s="244" t="s">
        <v>310</v>
      </c>
      <c r="C198" s="231"/>
      <c r="E198" s="216" t="s">
        <v>238</v>
      </c>
      <c r="F198" s="216">
        <v>5736.8</v>
      </c>
      <c r="H198" s="220">
        <v>5736.8</v>
      </c>
      <c r="I198" s="220">
        <v>5741.0</v>
      </c>
      <c r="J198" s="216">
        <f t="shared" ref="J198:J224" si="31">I198-H198</f>
        <v>4.2</v>
      </c>
      <c r="K198" s="216">
        <f t="shared" ref="K198:K207" si="32">J198-10</f>
        <v>-5.8</v>
      </c>
    </row>
    <row r="199" ht="14.25" customHeight="1">
      <c r="B199" s="216" t="s">
        <v>244</v>
      </c>
      <c r="C199" s="232">
        <v>1500.0</v>
      </c>
      <c r="E199" s="216" t="s">
        <v>245</v>
      </c>
      <c r="F199" s="216">
        <v>5804.5</v>
      </c>
      <c r="H199" s="220">
        <f t="shared" ref="H199:H210" si="33">I198</f>
        <v>5741</v>
      </c>
      <c r="I199" s="220">
        <v>5745.7</v>
      </c>
      <c r="J199" s="220">
        <f t="shared" si="31"/>
        <v>4.7</v>
      </c>
      <c r="K199" s="220">
        <f t="shared" si="32"/>
        <v>-5.3</v>
      </c>
    </row>
    <row r="200" ht="14.25" customHeight="1">
      <c r="B200" s="216" t="s">
        <v>246</v>
      </c>
      <c r="C200" s="232">
        <f>F201*F200</f>
        <v>502.6</v>
      </c>
      <c r="E200" s="216" t="s">
        <v>247</v>
      </c>
      <c r="F200" s="216">
        <v>71.8</v>
      </c>
      <c r="G200" s="165" t="s">
        <v>311</v>
      </c>
      <c r="H200" s="220">
        <f t="shared" si="33"/>
        <v>5745.7</v>
      </c>
      <c r="I200" s="220">
        <v>5750.7</v>
      </c>
      <c r="J200" s="220">
        <f t="shared" si="31"/>
        <v>5</v>
      </c>
      <c r="K200" s="220">
        <f t="shared" si="32"/>
        <v>-5</v>
      </c>
    </row>
    <row r="201" ht="14.25" customHeight="1">
      <c r="B201" s="216" t="s">
        <v>248</v>
      </c>
      <c r="C201" s="232">
        <f>F202*F203</f>
        <v>0</v>
      </c>
      <c r="E201" s="216" t="s">
        <v>249</v>
      </c>
      <c r="F201" s="232">
        <v>7.0</v>
      </c>
      <c r="H201" s="220">
        <f t="shared" si="33"/>
        <v>5750.7</v>
      </c>
      <c r="I201" s="237">
        <v>5751.4</v>
      </c>
      <c r="J201" s="237">
        <f t="shared" si="31"/>
        <v>0.7</v>
      </c>
      <c r="K201" s="237">
        <f t="shared" si="32"/>
        <v>-9.3</v>
      </c>
    </row>
    <row r="202" ht="14.25" customHeight="1">
      <c r="B202" s="216" t="s">
        <v>250</v>
      </c>
      <c r="C202" s="232">
        <f>F204*100</f>
        <v>100</v>
      </c>
      <c r="E202" s="216" t="s">
        <v>251</v>
      </c>
      <c r="F202" s="216"/>
      <c r="H202" s="220">
        <f t="shared" si="33"/>
        <v>5751.4</v>
      </c>
      <c r="I202" s="220">
        <v>5756.2</v>
      </c>
      <c r="J202" s="220">
        <f t="shared" si="31"/>
        <v>4.8</v>
      </c>
      <c r="K202" s="220">
        <f t="shared" si="32"/>
        <v>-5.2</v>
      </c>
    </row>
    <row r="203" ht="14.25" customHeight="1">
      <c r="B203" s="216" t="s">
        <v>252</v>
      </c>
      <c r="C203" s="232"/>
      <c r="E203" s="216" t="s">
        <v>249</v>
      </c>
      <c r="F203" s="232">
        <v>7.0</v>
      </c>
      <c r="H203" s="220">
        <f t="shared" si="33"/>
        <v>5756.2</v>
      </c>
      <c r="I203" s="220">
        <v>5759.0</v>
      </c>
      <c r="J203" s="220">
        <f t="shared" si="31"/>
        <v>2.8</v>
      </c>
      <c r="K203" s="220">
        <f t="shared" si="32"/>
        <v>-7.2</v>
      </c>
    </row>
    <row r="204" ht="14.25" customHeight="1">
      <c r="B204" s="216" t="s">
        <v>253</v>
      </c>
      <c r="C204" s="232">
        <f>C199+C200+C201+C202-C203</f>
        <v>2102.6</v>
      </c>
      <c r="E204" s="216" t="s">
        <v>250</v>
      </c>
      <c r="F204" s="216">
        <v>1.0</v>
      </c>
      <c r="H204" s="220">
        <f t="shared" si="33"/>
        <v>5759</v>
      </c>
      <c r="I204" s="220">
        <v>5761.5</v>
      </c>
      <c r="J204" s="220">
        <f t="shared" si="31"/>
        <v>2.5</v>
      </c>
      <c r="K204" s="220">
        <f t="shared" si="32"/>
        <v>-7.5</v>
      </c>
    </row>
    <row r="205" ht="14.25" customHeight="1">
      <c r="H205" s="220">
        <f t="shared" si="33"/>
        <v>5761.5</v>
      </c>
      <c r="I205" s="220">
        <v>5772.0</v>
      </c>
      <c r="J205" s="220">
        <f t="shared" si="31"/>
        <v>10.5</v>
      </c>
      <c r="K205" s="220">
        <f t="shared" si="32"/>
        <v>0.5</v>
      </c>
    </row>
    <row r="206" ht="14.25" customHeight="1">
      <c r="B206" s="234"/>
      <c r="C206" s="231"/>
      <c r="H206" s="220">
        <f t="shared" si="33"/>
        <v>5772</v>
      </c>
      <c r="I206" s="220">
        <v>5779.7</v>
      </c>
      <c r="J206" s="220">
        <f t="shared" si="31"/>
        <v>7.7</v>
      </c>
      <c r="K206" s="220">
        <f t="shared" si="32"/>
        <v>-2.3</v>
      </c>
    </row>
    <row r="207" ht="14.25" customHeight="1">
      <c r="H207" s="220">
        <f t="shared" si="33"/>
        <v>5779.7</v>
      </c>
      <c r="I207" s="220">
        <v>5782.7</v>
      </c>
      <c r="J207" s="220">
        <f t="shared" si="31"/>
        <v>3</v>
      </c>
      <c r="K207" s="220">
        <f t="shared" si="32"/>
        <v>-7</v>
      </c>
    </row>
    <row r="208" ht="14.25" customHeight="1">
      <c r="H208" s="220">
        <f t="shared" si="33"/>
        <v>5782.7</v>
      </c>
      <c r="I208" s="237">
        <v>5792.8</v>
      </c>
      <c r="J208" s="237">
        <f t="shared" si="31"/>
        <v>10.1</v>
      </c>
      <c r="K208" s="237">
        <f>J208-5</f>
        <v>5.1</v>
      </c>
    </row>
    <row r="209" ht="14.25" customHeight="1">
      <c r="H209" s="220">
        <f t="shared" si="33"/>
        <v>5792.8</v>
      </c>
      <c r="I209" s="220">
        <v>5799.2</v>
      </c>
      <c r="J209" s="220">
        <f t="shared" si="31"/>
        <v>6.4</v>
      </c>
      <c r="K209" s="220">
        <f t="shared" ref="K209:K225" si="34">J209-10</f>
        <v>-3.6</v>
      </c>
    </row>
    <row r="210" ht="14.25" customHeight="1">
      <c r="H210" s="220">
        <f t="shared" si="33"/>
        <v>5799.2</v>
      </c>
      <c r="I210" s="220">
        <v>5804.5</v>
      </c>
      <c r="J210" s="220">
        <f t="shared" si="31"/>
        <v>5.3</v>
      </c>
      <c r="K210" s="220">
        <f t="shared" si="34"/>
        <v>-4.7</v>
      </c>
    </row>
    <row r="211" ht="14.25" customHeight="1">
      <c r="H211" s="220"/>
      <c r="I211" s="220"/>
      <c r="J211" s="220">
        <f t="shared" si="31"/>
        <v>0</v>
      </c>
      <c r="K211" s="220">
        <f t="shared" si="34"/>
        <v>-10</v>
      </c>
    </row>
    <row r="212" ht="14.25" customHeight="1">
      <c r="H212" s="220">
        <v>3470.3</v>
      </c>
      <c r="I212" s="220">
        <v>3474.4</v>
      </c>
      <c r="J212" s="220">
        <f t="shared" si="31"/>
        <v>4.1</v>
      </c>
      <c r="K212" s="220">
        <f t="shared" si="34"/>
        <v>-5.9</v>
      </c>
    </row>
    <row r="213" ht="14.25" customHeight="1">
      <c r="H213" s="220"/>
      <c r="I213" s="220"/>
      <c r="J213" s="220">
        <f t="shared" si="31"/>
        <v>0</v>
      </c>
      <c r="K213" s="220">
        <f t="shared" si="34"/>
        <v>-10</v>
      </c>
    </row>
    <row r="214" ht="14.25" customHeight="1">
      <c r="H214" s="220" t="str">
        <f t="shared" ref="H214:H224" si="35">I213</f>
        <v/>
      </c>
      <c r="I214" s="237"/>
      <c r="J214" s="237">
        <f t="shared" si="31"/>
        <v>0</v>
      </c>
      <c r="K214" s="237">
        <f t="shared" si="34"/>
        <v>-10</v>
      </c>
    </row>
    <row r="215" ht="14.25" customHeight="1">
      <c r="H215" s="220" t="str">
        <f t="shared" si="35"/>
        <v/>
      </c>
      <c r="I215" s="220"/>
      <c r="J215" s="220">
        <f t="shared" si="31"/>
        <v>0</v>
      </c>
      <c r="K215" s="220">
        <f t="shared" si="34"/>
        <v>-10</v>
      </c>
    </row>
    <row r="216" ht="14.25" customHeight="1">
      <c r="H216" s="220" t="str">
        <f t="shared" si="35"/>
        <v/>
      </c>
      <c r="I216" s="220"/>
      <c r="J216" s="220">
        <f t="shared" si="31"/>
        <v>0</v>
      </c>
      <c r="K216" s="220">
        <f t="shared" si="34"/>
        <v>-10</v>
      </c>
    </row>
    <row r="217" ht="14.25" customHeight="1">
      <c r="H217" s="220" t="str">
        <f t="shared" si="35"/>
        <v/>
      </c>
      <c r="I217" s="220"/>
      <c r="J217" s="220">
        <f t="shared" si="31"/>
        <v>0</v>
      </c>
      <c r="K217" s="220">
        <f t="shared" si="34"/>
        <v>-10</v>
      </c>
    </row>
    <row r="218" ht="14.25" customHeight="1">
      <c r="H218" s="220" t="str">
        <f t="shared" si="35"/>
        <v/>
      </c>
      <c r="I218" s="220"/>
      <c r="J218" s="220">
        <f t="shared" si="31"/>
        <v>0</v>
      </c>
      <c r="K218" s="220">
        <f t="shared" si="34"/>
        <v>-10</v>
      </c>
    </row>
    <row r="219" ht="14.25" customHeight="1">
      <c r="H219" s="220" t="str">
        <f t="shared" si="35"/>
        <v/>
      </c>
      <c r="I219" s="220"/>
      <c r="J219" s="220">
        <f t="shared" si="31"/>
        <v>0</v>
      </c>
      <c r="K219" s="220">
        <f t="shared" si="34"/>
        <v>-10</v>
      </c>
    </row>
    <row r="220" ht="14.25" customHeight="1">
      <c r="H220" s="220" t="str">
        <f t="shared" si="35"/>
        <v/>
      </c>
      <c r="I220" s="237"/>
      <c r="J220" s="237">
        <f t="shared" si="31"/>
        <v>0</v>
      </c>
      <c r="K220" s="237">
        <f t="shared" si="34"/>
        <v>-10</v>
      </c>
    </row>
    <row r="221" ht="14.25" customHeight="1">
      <c r="H221" s="220" t="str">
        <f t="shared" si="35"/>
        <v/>
      </c>
      <c r="I221" s="220"/>
      <c r="J221" s="216">
        <f t="shared" si="31"/>
        <v>0</v>
      </c>
      <c r="K221" s="216">
        <f t="shared" si="34"/>
        <v>-10</v>
      </c>
    </row>
    <row r="222" ht="14.25" customHeight="1">
      <c r="H222" s="220" t="str">
        <f t="shared" si="35"/>
        <v/>
      </c>
      <c r="I222" s="220"/>
      <c r="J222" s="216">
        <f t="shared" si="31"/>
        <v>0</v>
      </c>
      <c r="K222" s="216">
        <f t="shared" si="34"/>
        <v>-10</v>
      </c>
    </row>
    <row r="223" ht="14.25" customHeight="1">
      <c r="H223" s="220" t="str">
        <f t="shared" si="35"/>
        <v/>
      </c>
      <c r="I223" s="220"/>
      <c r="J223" s="216">
        <f t="shared" si="31"/>
        <v>0</v>
      </c>
      <c r="K223" s="216">
        <f t="shared" si="34"/>
        <v>-10</v>
      </c>
    </row>
    <row r="224" ht="14.25" customHeight="1">
      <c r="H224" s="220" t="str">
        <f t="shared" si="35"/>
        <v/>
      </c>
      <c r="I224" s="220"/>
      <c r="J224" s="216">
        <f t="shared" si="31"/>
        <v>0</v>
      </c>
      <c r="K224" s="216">
        <f t="shared" si="34"/>
        <v>-10</v>
      </c>
    </row>
    <row r="225" ht="14.25" customHeight="1">
      <c r="H225" s="234" t="s">
        <v>221</v>
      </c>
      <c r="I225" s="231"/>
      <c r="J225" s="216">
        <f>SUM(J198:J224)</f>
        <v>71.8</v>
      </c>
      <c r="K225" s="216">
        <f t="shared" si="34"/>
        <v>61.8</v>
      </c>
    </row>
    <row r="226" ht="14.25" customHeight="1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</row>
    <row r="227" ht="14.25" customHeight="1"/>
    <row r="228" ht="14.25" customHeight="1">
      <c r="H228" s="216" t="s">
        <v>255</v>
      </c>
      <c r="I228" s="216" t="s">
        <v>256</v>
      </c>
      <c r="J228" s="216" t="s">
        <v>243</v>
      </c>
      <c r="K228" s="216" t="s">
        <v>218</v>
      </c>
    </row>
    <row r="229" ht="14.25" customHeight="1">
      <c r="B229" s="244" t="s">
        <v>312</v>
      </c>
      <c r="C229" s="231"/>
      <c r="E229" s="216" t="s">
        <v>238</v>
      </c>
      <c r="F229" s="216">
        <v>170.9</v>
      </c>
      <c r="H229" s="220"/>
      <c r="I229" s="220"/>
      <c r="J229" s="216">
        <f t="shared" ref="J229:J255" si="36">I229-H229</f>
        <v>0</v>
      </c>
      <c r="K229" s="216">
        <f t="shared" ref="K229:K238" si="37">J229-10</f>
        <v>-10</v>
      </c>
    </row>
    <row r="230" ht="14.25" customHeight="1">
      <c r="B230" s="216" t="s">
        <v>244</v>
      </c>
      <c r="C230" s="232">
        <v>1500.0</v>
      </c>
      <c r="E230" s="216" t="s">
        <v>245</v>
      </c>
      <c r="F230" s="216">
        <v>207.1</v>
      </c>
      <c r="H230" s="220"/>
      <c r="I230" s="220"/>
      <c r="J230" s="220">
        <f t="shared" si="36"/>
        <v>0</v>
      </c>
      <c r="K230" s="220">
        <f t="shared" si="37"/>
        <v>-10</v>
      </c>
    </row>
    <row r="231" ht="14.25" customHeight="1">
      <c r="B231" s="216" t="s">
        <v>246</v>
      </c>
      <c r="C231" s="232">
        <f>F232*F231</f>
        <v>253.4</v>
      </c>
      <c r="E231" s="216" t="s">
        <v>247</v>
      </c>
      <c r="F231" s="216">
        <f>F230-F229</f>
        <v>36.2</v>
      </c>
      <c r="H231" s="220"/>
      <c r="I231" s="220"/>
      <c r="J231" s="220">
        <f t="shared" si="36"/>
        <v>0</v>
      </c>
      <c r="K231" s="220">
        <f t="shared" si="37"/>
        <v>-10</v>
      </c>
    </row>
    <row r="232" ht="14.25" customHeight="1">
      <c r="B232" s="216" t="s">
        <v>248</v>
      </c>
      <c r="C232" s="232">
        <f>F233*F234</f>
        <v>0</v>
      </c>
      <c r="E232" s="216" t="s">
        <v>249</v>
      </c>
      <c r="F232" s="232">
        <v>7.0</v>
      </c>
      <c r="H232" s="237"/>
      <c r="I232" s="237"/>
      <c r="J232" s="237">
        <f t="shared" si="36"/>
        <v>0</v>
      </c>
      <c r="K232" s="237">
        <f t="shared" si="37"/>
        <v>-10</v>
      </c>
    </row>
    <row r="233" ht="14.25" customHeight="1">
      <c r="B233" s="216" t="s">
        <v>250</v>
      </c>
      <c r="C233" s="232">
        <f>F235*100</f>
        <v>0</v>
      </c>
      <c r="E233" s="216" t="s">
        <v>251</v>
      </c>
      <c r="F233" s="216"/>
      <c r="H233" s="220"/>
      <c r="I233" s="220"/>
      <c r="J233" s="220">
        <f t="shared" si="36"/>
        <v>0</v>
      </c>
      <c r="K233" s="220">
        <f t="shared" si="37"/>
        <v>-10</v>
      </c>
    </row>
    <row r="234" ht="14.25" customHeight="1">
      <c r="B234" s="216" t="s">
        <v>252</v>
      </c>
      <c r="C234" s="232"/>
      <c r="E234" s="216" t="s">
        <v>249</v>
      </c>
      <c r="F234" s="232">
        <v>7.0</v>
      </c>
      <c r="H234" s="220"/>
      <c r="I234" s="220"/>
      <c r="J234" s="220">
        <f t="shared" si="36"/>
        <v>0</v>
      </c>
      <c r="K234" s="220">
        <f t="shared" si="37"/>
        <v>-10</v>
      </c>
    </row>
    <row r="235" ht="14.25" customHeight="1">
      <c r="B235" s="216" t="s">
        <v>253</v>
      </c>
      <c r="C235" s="232">
        <f>C230+C231+C232+C233-C234</f>
        <v>1753.4</v>
      </c>
      <c r="E235" s="216" t="s">
        <v>250</v>
      </c>
      <c r="F235" s="216"/>
      <c r="H235" s="220"/>
      <c r="I235" s="220"/>
      <c r="J235" s="220">
        <f t="shared" si="36"/>
        <v>0</v>
      </c>
      <c r="K235" s="220">
        <f t="shared" si="37"/>
        <v>-10</v>
      </c>
    </row>
    <row r="236" ht="14.25" customHeight="1">
      <c r="H236" s="220"/>
      <c r="I236" s="220"/>
      <c r="J236" s="220">
        <f t="shared" si="36"/>
        <v>0</v>
      </c>
      <c r="K236" s="220">
        <f t="shared" si="37"/>
        <v>-10</v>
      </c>
    </row>
    <row r="237" ht="14.25" customHeight="1">
      <c r="B237" s="234"/>
      <c r="C237" s="231"/>
      <c r="H237" s="220"/>
      <c r="I237" s="220"/>
      <c r="J237" s="220">
        <f t="shared" si="36"/>
        <v>0</v>
      </c>
      <c r="K237" s="220">
        <f t="shared" si="37"/>
        <v>-10</v>
      </c>
    </row>
    <row r="238" ht="14.25" customHeight="1">
      <c r="H238" s="220"/>
      <c r="I238" s="220"/>
      <c r="J238" s="220">
        <f t="shared" si="36"/>
        <v>0</v>
      </c>
      <c r="K238" s="220">
        <f t="shared" si="37"/>
        <v>-10</v>
      </c>
    </row>
    <row r="239" ht="14.25" customHeight="1">
      <c r="H239" s="237"/>
      <c r="I239" s="237"/>
      <c r="J239" s="237">
        <f t="shared" si="36"/>
        <v>0</v>
      </c>
      <c r="K239" s="237">
        <f>J239-5</f>
        <v>-5</v>
      </c>
    </row>
    <row r="240" ht="14.25" customHeight="1">
      <c r="H240" s="220"/>
      <c r="I240" s="220"/>
      <c r="J240" s="220">
        <f t="shared" si="36"/>
        <v>0</v>
      </c>
      <c r="K240" s="220">
        <f t="shared" ref="K240:K256" si="38">J240-10</f>
        <v>-10</v>
      </c>
    </row>
    <row r="241" ht="14.25" customHeight="1">
      <c r="H241" s="220"/>
      <c r="I241" s="220"/>
      <c r="J241" s="220">
        <f t="shared" si="36"/>
        <v>0</v>
      </c>
      <c r="K241" s="220">
        <f t="shared" si="38"/>
        <v>-10</v>
      </c>
    </row>
    <row r="242" ht="14.25" customHeight="1">
      <c r="H242" s="220"/>
      <c r="I242" s="220"/>
      <c r="J242" s="220">
        <f t="shared" si="36"/>
        <v>0</v>
      </c>
      <c r="K242" s="220">
        <f t="shared" si="38"/>
        <v>-10</v>
      </c>
    </row>
    <row r="243" ht="14.25" customHeight="1">
      <c r="H243" s="220"/>
      <c r="I243" s="220"/>
      <c r="J243" s="220">
        <f t="shared" si="36"/>
        <v>0</v>
      </c>
      <c r="K243" s="220">
        <f t="shared" si="38"/>
        <v>-10</v>
      </c>
    </row>
    <row r="244" ht="14.25" customHeight="1">
      <c r="H244" s="220"/>
      <c r="I244" s="220"/>
      <c r="J244" s="220">
        <f t="shared" si="36"/>
        <v>0</v>
      </c>
      <c r="K244" s="220">
        <f t="shared" si="38"/>
        <v>-10</v>
      </c>
    </row>
    <row r="245" ht="14.25" customHeight="1">
      <c r="H245" s="237"/>
      <c r="I245" s="237"/>
      <c r="J245" s="237">
        <f t="shared" si="36"/>
        <v>0</v>
      </c>
      <c r="K245" s="237">
        <f t="shared" si="38"/>
        <v>-10</v>
      </c>
    </row>
    <row r="246" ht="14.25" customHeight="1">
      <c r="H246" s="220"/>
      <c r="I246" s="220"/>
      <c r="J246" s="220">
        <f t="shared" si="36"/>
        <v>0</v>
      </c>
      <c r="K246" s="220">
        <f t="shared" si="38"/>
        <v>-10</v>
      </c>
    </row>
    <row r="247" ht="14.25" customHeight="1">
      <c r="H247" s="220"/>
      <c r="I247" s="220"/>
      <c r="J247" s="220">
        <f t="shared" si="36"/>
        <v>0</v>
      </c>
      <c r="K247" s="220">
        <f t="shared" si="38"/>
        <v>-10</v>
      </c>
    </row>
    <row r="248" ht="14.25" customHeight="1">
      <c r="H248" s="220"/>
      <c r="I248" s="220"/>
      <c r="J248" s="220">
        <f t="shared" si="36"/>
        <v>0</v>
      </c>
      <c r="K248" s="220">
        <f t="shared" si="38"/>
        <v>-10</v>
      </c>
    </row>
    <row r="249" ht="14.25" customHeight="1">
      <c r="H249" s="220"/>
      <c r="I249" s="220"/>
      <c r="J249" s="220">
        <f t="shared" si="36"/>
        <v>0</v>
      </c>
      <c r="K249" s="220">
        <f t="shared" si="38"/>
        <v>-10</v>
      </c>
    </row>
    <row r="250" ht="14.25" customHeight="1">
      <c r="H250" s="220"/>
      <c r="I250" s="220"/>
      <c r="J250" s="220">
        <f t="shared" si="36"/>
        <v>0</v>
      </c>
      <c r="K250" s="220">
        <f t="shared" si="38"/>
        <v>-10</v>
      </c>
    </row>
    <row r="251" ht="14.25" customHeight="1">
      <c r="H251" s="237"/>
      <c r="I251" s="237"/>
      <c r="J251" s="237">
        <f t="shared" si="36"/>
        <v>0</v>
      </c>
      <c r="K251" s="237">
        <f t="shared" si="38"/>
        <v>-10</v>
      </c>
    </row>
    <row r="252" ht="14.25" customHeight="1">
      <c r="H252" s="220"/>
      <c r="I252" s="220"/>
      <c r="J252" s="216">
        <f t="shared" si="36"/>
        <v>0</v>
      </c>
      <c r="K252" s="216">
        <f t="shared" si="38"/>
        <v>-10</v>
      </c>
    </row>
    <row r="253" ht="14.25" customHeight="1">
      <c r="H253" s="220"/>
      <c r="I253" s="220"/>
      <c r="J253" s="216">
        <f t="shared" si="36"/>
        <v>0</v>
      </c>
      <c r="K253" s="216">
        <f t="shared" si="38"/>
        <v>-10</v>
      </c>
    </row>
    <row r="254" ht="14.25" customHeight="1">
      <c r="H254" s="220"/>
      <c r="I254" s="220"/>
      <c r="J254" s="216">
        <f t="shared" si="36"/>
        <v>0</v>
      </c>
      <c r="K254" s="216">
        <f t="shared" si="38"/>
        <v>-10</v>
      </c>
    </row>
    <row r="255" ht="14.25" customHeight="1">
      <c r="H255" s="220"/>
      <c r="I255" s="220"/>
      <c r="J255" s="216">
        <f t="shared" si="36"/>
        <v>0</v>
      </c>
      <c r="K255" s="216">
        <f t="shared" si="38"/>
        <v>-10</v>
      </c>
    </row>
    <row r="256" ht="14.25" customHeight="1">
      <c r="H256" s="234" t="s">
        <v>221</v>
      </c>
      <c r="I256" s="231"/>
      <c r="J256" s="216">
        <f>SUM(J229:J255)</f>
        <v>0</v>
      </c>
      <c r="K256" s="216">
        <f t="shared" si="38"/>
        <v>-10</v>
      </c>
    </row>
    <row r="257" ht="14.25" customHeight="1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</row>
    <row r="258" ht="14.25" customHeight="1"/>
    <row r="259" ht="14.25" customHeight="1">
      <c r="H259" s="216" t="s">
        <v>255</v>
      </c>
      <c r="I259" s="216" t="s">
        <v>256</v>
      </c>
      <c r="J259" s="216" t="s">
        <v>243</v>
      </c>
      <c r="K259" s="216" t="s">
        <v>218</v>
      </c>
    </row>
    <row r="260" ht="14.25" customHeight="1">
      <c r="B260" s="244" t="s">
        <v>312</v>
      </c>
      <c r="C260" s="231"/>
      <c r="E260" s="216" t="s">
        <v>238</v>
      </c>
      <c r="F260" s="216"/>
      <c r="H260" s="220"/>
      <c r="I260" s="220"/>
      <c r="J260" s="216">
        <f t="shared" ref="J260:J286" si="39">I260-H260</f>
        <v>0</v>
      </c>
      <c r="K260" s="216">
        <f t="shared" ref="K260:K269" si="40">J260-10</f>
        <v>-10</v>
      </c>
    </row>
    <row r="261" ht="14.25" customHeight="1">
      <c r="B261" s="216" t="s">
        <v>244</v>
      </c>
      <c r="C261" s="232">
        <v>1500.0</v>
      </c>
      <c r="E261" s="216" t="s">
        <v>245</v>
      </c>
      <c r="F261" s="216"/>
      <c r="H261" s="220"/>
      <c r="I261" s="220"/>
      <c r="J261" s="220">
        <f t="shared" si="39"/>
        <v>0</v>
      </c>
      <c r="K261" s="220">
        <f t="shared" si="40"/>
        <v>-10</v>
      </c>
    </row>
    <row r="262" ht="14.25" customHeight="1">
      <c r="B262" s="216" t="s">
        <v>246</v>
      </c>
      <c r="C262" s="232">
        <f>F263*F262</f>
        <v>0</v>
      </c>
      <c r="E262" s="216" t="s">
        <v>247</v>
      </c>
      <c r="F262" s="216"/>
      <c r="H262" s="220"/>
      <c r="I262" s="220"/>
      <c r="J262" s="220">
        <f t="shared" si="39"/>
        <v>0</v>
      </c>
      <c r="K262" s="220">
        <f t="shared" si="40"/>
        <v>-10</v>
      </c>
    </row>
    <row r="263" ht="14.25" customHeight="1">
      <c r="B263" s="216" t="s">
        <v>248</v>
      </c>
      <c r="C263" s="232">
        <f>F264*F265</f>
        <v>0</v>
      </c>
      <c r="E263" s="216" t="s">
        <v>249</v>
      </c>
      <c r="F263" s="232">
        <v>7.0</v>
      </c>
      <c r="H263" s="237"/>
      <c r="I263" s="237"/>
      <c r="J263" s="237">
        <f t="shared" si="39"/>
        <v>0</v>
      </c>
      <c r="K263" s="237">
        <f t="shared" si="40"/>
        <v>-10</v>
      </c>
    </row>
    <row r="264" ht="14.25" customHeight="1">
      <c r="B264" s="216" t="s">
        <v>250</v>
      </c>
      <c r="C264" s="232">
        <f>F266*100</f>
        <v>0</v>
      </c>
      <c r="E264" s="216" t="s">
        <v>251</v>
      </c>
      <c r="F264" s="216"/>
      <c r="H264" s="220"/>
      <c r="I264" s="220"/>
      <c r="J264" s="220">
        <f t="shared" si="39"/>
        <v>0</v>
      </c>
      <c r="K264" s="220">
        <f t="shared" si="40"/>
        <v>-10</v>
      </c>
    </row>
    <row r="265" ht="14.25" customHeight="1">
      <c r="B265" s="216" t="s">
        <v>252</v>
      </c>
      <c r="C265" s="232"/>
      <c r="E265" s="216" t="s">
        <v>249</v>
      </c>
      <c r="F265" s="232">
        <v>7.0</v>
      </c>
      <c r="H265" s="220"/>
      <c r="I265" s="220"/>
      <c r="J265" s="220">
        <f t="shared" si="39"/>
        <v>0</v>
      </c>
      <c r="K265" s="220">
        <f t="shared" si="40"/>
        <v>-10</v>
      </c>
    </row>
    <row r="266" ht="14.25" customHeight="1">
      <c r="B266" s="216" t="s">
        <v>253</v>
      </c>
      <c r="C266" s="232">
        <f>C261+C262+C263+C264-C265</f>
        <v>1500</v>
      </c>
      <c r="E266" s="216" t="s">
        <v>250</v>
      </c>
      <c r="F266" s="216"/>
      <c r="H266" s="220"/>
      <c r="I266" s="220"/>
      <c r="J266" s="220">
        <f t="shared" si="39"/>
        <v>0</v>
      </c>
      <c r="K266" s="220">
        <f t="shared" si="40"/>
        <v>-10</v>
      </c>
    </row>
    <row r="267" ht="14.25" customHeight="1">
      <c r="H267" s="220"/>
      <c r="I267" s="220"/>
      <c r="J267" s="220">
        <f t="shared" si="39"/>
        <v>0</v>
      </c>
      <c r="K267" s="220">
        <f t="shared" si="40"/>
        <v>-10</v>
      </c>
    </row>
    <row r="268" ht="14.25" customHeight="1">
      <c r="B268" s="234"/>
      <c r="C268" s="231"/>
      <c r="H268" s="220"/>
      <c r="I268" s="220"/>
      <c r="J268" s="220">
        <f t="shared" si="39"/>
        <v>0</v>
      </c>
      <c r="K268" s="220">
        <f t="shared" si="40"/>
        <v>-10</v>
      </c>
    </row>
    <row r="269" ht="14.25" customHeight="1">
      <c r="H269" s="220"/>
      <c r="I269" s="220"/>
      <c r="J269" s="220">
        <f t="shared" si="39"/>
        <v>0</v>
      </c>
      <c r="K269" s="220">
        <f t="shared" si="40"/>
        <v>-10</v>
      </c>
    </row>
    <row r="270" ht="14.25" customHeight="1">
      <c r="B270" s="165" t="s">
        <v>313</v>
      </c>
      <c r="H270" s="237"/>
      <c r="I270" s="237"/>
      <c r="J270" s="237">
        <f t="shared" si="39"/>
        <v>0</v>
      </c>
      <c r="K270" s="237">
        <f>J270-5</f>
        <v>-5</v>
      </c>
    </row>
    <row r="271" ht="14.25" customHeight="1">
      <c r="H271" s="220"/>
      <c r="I271" s="220"/>
      <c r="J271" s="220">
        <f t="shared" si="39"/>
        <v>0</v>
      </c>
      <c r="K271" s="220">
        <f t="shared" ref="K271:K287" si="41">J271-10</f>
        <v>-10</v>
      </c>
    </row>
    <row r="272" ht="14.25" customHeight="1">
      <c r="H272" s="220"/>
      <c r="I272" s="220"/>
      <c r="J272" s="220">
        <f t="shared" si="39"/>
        <v>0</v>
      </c>
      <c r="K272" s="220">
        <f t="shared" si="41"/>
        <v>-10</v>
      </c>
    </row>
    <row r="273" ht="14.25" customHeight="1">
      <c r="H273" s="220"/>
      <c r="I273" s="220"/>
      <c r="J273" s="220">
        <f t="shared" si="39"/>
        <v>0</v>
      </c>
      <c r="K273" s="220">
        <f t="shared" si="41"/>
        <v>-10</v>
      </c>
    </row>
    <row r="274" ht="14.25" customHeight="1">
      <c r="H274" s="220"/>
      <c r="I274" s="220"/>
      <c r="J274" s="220">
        <f t="shared" si="39"/>
        <v>0</v>
      </c>
      <c r="K274" s="220">
        <f t="shared" si="41"/>
        <v>-10</v>
      </c>
    </row>
    <row r="275" ht="14.25" customHeight="1">
      <c r="H275" s="220"/>
      <c r="I275" s="220"/>
      <c r="J275" s="220">
        <f t="shared" si="39"/>
        <v>0</v>
      </c>
      <c r="K275" s="220">
        <f t="shared" si="41"/>
        <v>-10</v>
      </c>
    </row>
    <row r="276" ht="14.25" customHeight="1">
      <c r="H276" s="237"/>
      <c r="I276" s="237"/>
      <c r="J276" s="237">
        <f t="shared" si="39"/>
        <v>0</v>
      </c>
      <c r="K276" s="237">
        <f t="shared" si="41"/>
        <v>-10</v>
      </c>
    </row>
    <row r="277" ht="14.25" customHeight="1">
      <c r="H277" s="220"/>
      <c r="I277" s="220"/>
      <c r="J277" s="220">
        <f t="shared" si="39"/>
        <v>0</v>
      </c>
      <c r="K277" s="220">
        <f t="shared" si="41"/>
        <v>-10</v>
      </c>
    </row>
    <row r="278" ht="14.25" customHeight="1">
      <c r="H278" s="220"/>
      <c r="I278" s="220"/>
      <c r="J278" s="220">
        <f t="shared" si="39"/>
        <v>0</v>
      </c>
      <c r="K278" s="220">
        <f t="shared" si="41"/>
        <v>-10</v>
      </c>
    </row>
    <row r="279" ht="14.25" customHeight="1">
      <c r="H279" s="220"/>
      <c r="I279" s="220"/>
      <c r="J279" s="220">
        <f t="shared" si="39"/>
        <v>0</v>
      </c>
      <c r="K279" s="220">
        <f t="shared" si="41"/>
        <v>-10</v>
      </c>
    </row>
    <row r="280" ht="14.25" customHeight="1">
      <c r="H280" s="220"/>
      <c r="I280" s="220"/>
      <c r="J280" s="220">
        <f t="shared" si="39"/>
        <v>0</v>
      </c>
      <c r="K280" s="220">
        <f t="shared" si="41"/>
        <v>-10</v>
      </c>
    </row>
    <row r="281" ht="14.25" customHeight="1">
      <c r="H281" s="220"/>
      <c r="I281" s="220"/>
      <c r="J281" s="220">
        <f t="shared" si="39"/>
        <v>0</v>
      </c>
      <c r="K281" s="220">
        <f t="shared" si="41"/>
        <v>-10</v>
      </c>
    </row>
    <row r="282" ht="14.25" customHeight="1">
      <c r="H282" s="237"/>
      <c r="I282" s="237"/>
      <c r="J282" s="237">
        <f t="shared" si="39"/>
        <v>0</v>
      </c>
      <c r="K282" s="237">
        <f t="shared" si="41"/>
        <v>-10</v>
      </c>
    </row>
    <row r="283" ht="14.25" customHeight="1">
      <c r="H283" s="220"/>
      <c r="I283" s="220"/>
      <c r="J283" s="216">
        <f t="shared" si="39"/>
        <v>0</v>
      </c>
      <c r="K283" s="216">
        <f t="shared" si="41"/>
        <v>-10</v>
      </c>
    </row>
    <row r="284" ht="14.25" customHeight="1">
      <c r="H284" s="220"/>
      <c r="I284" s="220"/>
      <c r="J284" s="216">
        <f t="shared" si="39"/>
        <v>0</v>
      </c>
      <c r="K284" s="216">
        <f t="shared" si="41"/>
        <v>-10</v>
      </c>
    </row>
    <row r="285" ht="14.25" customHeight="1">
      <c r="H285" s="220"/>
      <c r="I285" s="220"/>
      <c r="J285" s="216">
        <f t="shared" si="39"/>
        <v>0</v>
      </c>
      <c r="K285" s="216">
        <f t="shared" si="41"/>
        <v>-10</v>
      </c>
    </row>
    <row r="286" ht="14.25" customHeight="1">
      <c r="H286" s="220"/>
      <c r="I286" s="220"/>
      <c r="J286" s="216">
        <f t="shared" si="39"/>
        <v>0</v>
      </c>
      <c r="K286" s="216">
        <f t="shared" si="41"/>
        <v>-10</v>
      </c>
    </row>
    <row r="287" ht="14.25" customHeight="1">
      <c r="H287" s="234" t="s">
        <v>221</v>
      </c>
      <c r="I287" s="231"/>
      <c r="J287" s="216">
        <f>SUM(J260:J286)</f>
        <v>0</v>
      </c>
      <c r="K287" s="216">
        <f t="shared" si="41"/>
        <v>-10</v>
      </c>
    </row>
    <row r="288" ht="14.25" customHeight="1"/>
    <row r="289" ht="14.25" customHeight="1"/>
    <row r="290" ht="14.25" customHeight="1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</row>
    <row r="291" ht="14.25" customHeight="1"/>
    <row r="292" ht="14.25" customHeight="1">
      <c r="H292" s="216" t="s">
        <v>255</v>
      </c>
      <c r="I292" s="216" t="s">
        <v>256</v>
      </c>
      <c r="J292" s="216" t="s">
        <v>243</v>
      </c>
      <c r="K292" s="216" t="s">
        <v>218</v>
      </c>
    </row>
    <row r="293" ht="14.25" customHeight="1">
      <c r="B293" s="244" t="s">
        <v>314</v>
      </c>
      <c r="C293" s="231"/>
      <c r="E293" s="216" t="s">
        <v>238</v>
      </c>
      <c r="F293" s="216">
        <v>5973.8</v>
      </c>
      <c r="H293" s="220">
        <v>5973.8</v>
      </c>
      <c r="I293" s="220">
        <v>5975.4</v>
      </c>
      <c r="J293" s="216">
        <f t="shared" ref="J293:J319" si="42">I293-H293</f>
        <v>1.6</v>
      </c>
      <c r="K293" s="216">
        <f t="shared" ref="K293:K302" si="43">J293-10</f>
        <v>-8.4</v>
      </c>
    </row>
    <row r="294" ht="14.25" customHeight="1">
      <c r="B294" s="216" t="s">
        <v>244</v>
      </c>
      <c r="C294" s="232">
        <v>1500.0</v>
      </c>
      <c r="E294" s="216" t="s">
        <v>245</v>
      </c>
      <c r="F294" s="216">
        <v>6065.8</v>
      </c>
      <c r="H294" s="220">
        <f t="shared" ref="H294:H298" si="44">I293</f>
        <v>5975.4</v>
      </c>
      <c r="I294" s="220">
        <v>5982.5</v>
      </c>
      <c r="J294" s="220">
        <f t="shared" si="42"/>
        <v>7.1</v>
      </c>
      <c r="K294" s="220">
        <f t="shared" si="43"/>
        <v>-2.9</v>
      </c>
    </row>
    <row r="295" ht="14.25" customHeight="1">
      <c r="B295" s="216" t="s">
        <v>246</v>
      </c>
      <c r="C295" s="232">
        <f>F296*F295</f>
        <v>644</v>
      </c>
      <c r="E295" s="216" t="s">
        <v>247</v>
      </c>
      <c r="F295" s="216">
        <f>F294-F293</f>
        <v>92</v>
      </c>
      <c r="H295" s="220">
        <f t="shared" si="44"/>
        <v>5982.5</v>
      </c>
      <c r="I295" s="220">
        <v>5992.5</v>
      </c>
      <c r="J295" s="220">
        <f t="shared" si="42"/>
        <v>10</v>
      </c>
      <c r="K295" s="220">
        <f t="shared" si="43"/>
        <v>0</v>
      </c>
    </row>
    <row r="296" ht="14.25" customHeight="1">
      <c r="B296" s="216" t="s">
        <v>248</v>
      </c>
      <c r="C296" s="232">
        <f>F297*F298</f>
        <v>0</v>
      </c>
      <c r="E296" s="216" t="s">
        <v>249</v>
      </c>
      <c r="F296" s="232">
        <v>7.0</v>
      </c>
      <c r="H296" s="237">
        <f t="shared" si="44"/>
        <v>5992.5</v>
      </c>
      <c r="I296" s="237">
        <v>5998.0</v>
      </c>
      <c r="J296" s="237">
        <f t="shared" si="42"/>
        <v>5.5</v>
      </c>
      <c r="K296" s="237">
        <f t="shared" si="43"/>
        <v>-4.5</v>
      </c>
      <c r="L296" s="12">
        <v>50.0</v>
      </c>
    </row>
    <row r="297" ht="14.25" customHeight="1">
      <c r="B297" s="216" t="s">
        <v>250</v>
      </c>
      <c r="C297" s="232">
        <f>F299*100</f>
        <v>0</v>
      </c>
      <c r="E297" s="216" t="s">
        <v>251</v>
      </c>
      <c r="F297" s="216"/>
      <c r="H297" s="220">
        <f t="shared" si="44"/>
        <v>5998</v>
      </c>
      <c r="I297" s="220">
        <v>6003.0</v>
      </c>
      <c r="J297" s="220">
        <f t="shared" si="42"/>
        <v>5</v>
      </c>
      <c r="K297" s="220">
        <f t="shared" si="43"/>
        <v>-5</v>
      </c>
    </row>
    <row r="298" ht="14.25" customHeight="1">
      <c r="B298" s="216" t="s">
        <v>252</v>
      </c>
      <c r="C298" s="232"/>
      <c r="E298" s="216" t="s">
        <v>249</v>
      </c>
      <c r="F298" s="232">
        <v>7.0</v>
      </c>
      <c r="H298" s="220">
        <f t="shared" si="44"/>
        <v>6003</v>
      </c>
      <c r="I298" s="220">
        <v>6009.9</v>
      </c>
      <c r="J298" s="220">
        <f t="shared" si="42"/>
        <v>6.9</v>
      </c>
      <c r="K298" s="220">
        <f t="shared" si="43"/>
        <v>-3.1</v>
      </c>
    </row>
    <row r="299" ht="14.25" customHeight="1">
      <c r="B299" s="216" t="s">
        <v>253</v>
      </c>
      <c r="C299" s="232">
        <f>C294+C295+C296+C297-C298</f>
        <v>2144</v>
      </c>
      <c r="E299" s="216" t="s">
        <v>250</v>
      </c>
      <c r="F299" s="216"/>
      <c r="H299" s="268">
        <f>L474</f>
        <v>2434.9</v>
      </c>
      <c r="I299" s="220">
        <v>6019.9</v>
      </c>
      <c r="J299" s="268">
        <f t="shared" si="42"/>
        <v>3585</v>
      </c>
      <c r="K299" s="268">
        <f t="shared" si="43"/>
        <v>3575</v>
      </c>
    </row>
    <row r="300" ht="14.25" customHeight="1">
      <c r="B300" s="216" t="s">
        <v>315</v>
      </c>
      <c r="C300" s="269">
        <v>2194.0</v>
      </c>
      <c r="H300" s="220">
        <f t="shared" ref="H300:H307" si="45">I299</f>
        <v>6019.9</v>
      </c>
      <c r="I300" s="220">
        <v>6024.0</v>
      </c>
      <c r="J300" s="220">
        <f t="shared" si="42"/>
        <v>4.1</v>
      </c>
      <c r="K300" s="220">
        <f t="shared" si="43"/>
        <v>-5.9</v>
      </c>
    </row>
    <row r="301" ht="14.25" customHeight="1">
      <c r="B301" s="165" t="s">
        <v>316</v>
      </c>
      <c r="C301" s="247">
        <v>45020.0</v>
      </c>
      <c r="H301" s="220">
        <f t="shared" si="45"/>
        <v>6024</v>
      </c>
      <c r="I301" s="220">
        <v>6034.3</v>
      </c>
      <c r="J301" s="220">
        <f t="shared" si="42"/>
        <v>10.3</v>
      </c>
      <c r="K301" s="220">
        <f t="shared" si="43"/>
        <v>0.3</v>
      </c>
    </row>
    <row r="302" ht="14.25" customHeight="1">
      <c r="H302" s="237">
        <f t="shared" si="45"/>
        <v>6034.3</v>
      </c>
      <c r="I302" s="237">
        <v>6037.7</v>
      </c>
      <c r="J302" s="237">
        <f t="shared" si="42"/>
        <v>3.4</v>
      </c>
      <c r="K302" s="237">
        <f t="shared" si="43"/>
        <v>-6.6</v>
      </c>
    </row>
    <row r="303" ht="14.25" customHeight="1">
      <c r="B303" s="165" t="s">
        <v>313</v>
      </c>
      <c r="H303" s="220">
        <f t="shared" si="45"/>
        <v>6037.7</v>
      </c>
      <c r="I303" s="220">
        <v>6046.7</v>
      </c>
      <c r="J303" s="220">
        <f t="shared" si="42"/>
        <v>9</v>
      </c>
      <c r="K303" s="220">
        <f>J303-5</f>
        <v>4</v>
      </c>
    </row>
    <row r="304" ht="14.25" customHeight="1">
      <c r="H304" s="220">
        <f t="shared" si="45"/>
        <v>6046.7</v>
      </c>
      <c r="I304" s="220">
        <v>6055.7</v>
      </c>
      <c r="J304" s="220">
        <f t="shared" si="42"/>
        <v>9</v>
      </c>
      <c r="K304" s="220">
        <f t="shared" ref="K304:K320" si="46">J304-10</f>
        <v>-1</v>
      </c>
    </row>
    <row r="305" ht="14.25" customHeight="1">
      <c r="H305" s="220">
        <f t="shared" si="45"/>
        <v>6055.7</v>
      </c>
      <c r="I305" s="220">
        <v>6063.0</v>
      </c>
      <c r="J305" s="220">
        <f t="shared" si="42"/>
        <v>7.3</v>
      </c>
      <c r="K305" s="220">
        <f t="shared" si="46"/>
        <v>-2.7</v>
      </c>
    </row>
    <row r="306" ht="14.25" customHeight="1">
      <c r="H306" s="220">
        <f t="shared" si="45"/>
        <v>6063</v>
      </c>
      <c r="I306" s="220">
        <v>6068.7</v>
      </c>
      <c r="J306" s="220">
        <f t="shared" si="42"/>
        <v>5.7</v>
      </c>
      <c r="K306" s="220">
        <f t="shared" si="46"/>
        <v>-4.3</v>
      </c>
    </row>
    <row r="307" ht="14.25" customHeight="1">
      <c r="H307" s="220">
        <f t="shared" si="45"/>
        <v>6068.7</v>
      </c>
      <c r="I307" s="220">
        <v>6065.8</v>
      </c>
      <c r="J307" s="220">
        <f t="shared" si="42"/>
        <v>-2.9</v>
      </c>
      <c r="K307" s="220">
        <f t="shared" si="46"/>
        <v>-12.9</v>
      </c>
    </row>
    <row r="308" ht="14.25" customHeight="1">
      <c r="H308" s="220"/>
      <c r="I308" s="220"/>
      <c r="J308" s="220">
        <f t="shared" si="42"/>
        <v>0</v>
      </c>
      <c r="K308" s="220">
        <f t="shared" si="46"/>
        <v>-10</v>
      </c>
    </row>
    <row r="309" ht="14.25" customHeight="1">
      <c r="H309" s="220" t="str">
        <f t="shared" ref="H309:H319" si="47">I308</f>
        <v/>
      </c>
      <c r="I309" s="220"/>
      <c r="J309" s="220">
        <f t="shared" si="42"/>
        <v>0</v>
      </c>
      <c r="K309" s="220">
        <f t="shared" si="46"/>
        <v>-10</v>
      </c>
    </row>
    <row r="310" ht="14.25" customHeight="1">
      <c r="H310" s="220" t="str">
        <f t="shared" si="47"/>
        <v/>
      </c>
      <c r="I310" s="220"/>
      <c r="J310" s="220">
        <f t="shared" si="42"/>
        <v>0</v>
      </c>
      <c r="K310" s="220">
        <f t="shared" si="46"/>
        <v>-10</v>
      </c>
    </row>
    <row r="311" ht="14.25" customHeight="1">
      <c r="H311" s="220" t="str">
        <f t="shared" si="47"/>
        <v/>
      </c>
      <c r="I311" s="220"/>
      <c r="J311" s="220">
        <f t="shared" si="42"/>
        <v>0</v>
      </c>
      <c r="K311" s="220">
        <f t="shared" si="46"/>
        <v>-10</v>
      </c>
    </row>
    <row r="312" ht="14.25" customHeight="1">
      <c r="H312" s="220" t="str">
        <f t="shared" si="47"/>
        <v/>
      </c>
      <c r="I312" s="220"/>
      <c r="J312" s="220">
        <f t="shared" si="42"/>
        <v>0</v>
      </c>
      <c r="K312" s="220">
        <f t="shared" si="46"/>
        <v>-10</v>
      </c>
    </row>
    <row r="313" ht="14.25" customHeight="1">
      <c r="H313" s="220" t="str">
        <f t="shared" si="47"/>
        <v/>
      </c>
      <c r="I313" s="220"/>
      <c r="J313" s="220">
        <f t="shared" si="42"/>
        <v>0</v>
      </c>
      <c r="K313" s="220">
        <f t="shared" si="46"/>
        <v>-10</v>
      </c>
    </row>
    <row r="314" ht="14.25" customHeight="1">
      <c r="H314" s="220" t="str">
        <f t="shared" si="47"/>
        <v/>
      </c>
      <c r="I314" s="220"/>
      <c r="J314" s="220">
        <f t="shared" si="42"/>
        <v>0</v>
      </c>
      <c r="K314" s="220">
        <f t="shared" si="46"/>
        <v>-10</v>
      </c>
    </row>
    <row r="315" ht="14.25" customHeight="1">
      <c r="H315" s="220" t="str">
        <f t="shared" si="47"/>
        <v/>
      </c>
      <c r="I315" s="220"/>
      <c r="J315" s="220">
        <f t="shared" si="42"/>
        <v>0</v>
      </c>
      <c r="K315" s="220">
        <f t="shared" si="46"/>
        <v>-10</v>
      </c>
    </row>
    <row r="316" ht="14.25" customHeight="1">
      <c r="H316" s="220" t="str">
        <f t="shared" si="47"/>
        <v/>
      </c>
      <c r="I316" s="220"/>
      <c r="J316" s="216">
        <f t="shared" si="42"/>
        <v>0</v>
      </c>
      <c r="K316" s="216">
        <f t="shared" si="46"/>
        <v>-10</v>
      </c>
    </row>
    <row r="317" ht="14.25" customHeight="1">
      <c r="H317" s="220" t="str">
        <f t="shared" si="47"/>
        <v/>
      </c>
      <c r="I317" s="220"/>
      <c r="J317" s="216">
        <f t="shared" si="42"/>
        <v>0</v>
      </c>
      <c r="K317" s="216">
        <f t="shared" si="46"/>
        <v>-10</v>
      </c>
    </row>
    <row r="318" ht="14.25" customHeight="1">
      <c r="H318" s="220" t="str">
        <f t="shared" si="47"/>
        <v/>
      </c>
      <c r="I318" s="220"/>
      <c r="J318" s="216">
        <f t="shared" si="42"/>
        <v>0</v>
      </c>
      <c r="K318" s="216">
        <f t="shared" si="46"/>
        <v>-10</v>
      </c>
    </row>
    <row r="319" ht="14.25" customHeight="1">
      <c r="H319" s="220" t="str">
        <f t="shared" si="47"/>
        <v/>
      </c>
      <c r="I319" s="220"/>
      <c r="J319" s="216">
        <f t="shared" si="42"/>
        <v>0</v>
      </c>
      <c r="K319" s="216">
        <f t="shared" si="46"/>
        <v>-10</v>
      </c>
    </row>
    <row r="320" ht="14.25" customHeight="1">
      <c r="H320" s="234" t="s">
        <v>221</v>
      </c>
      <c r="I320" s="231"/>
      <c r="J320" s="216">
        <f>SUM(J293:J319)</f>
        <v>3667</v>
      </c>
      <c r="K320" s="216">
        <f t="shared" si="46"/>
        <v>3657</v>
      </c>
    </row>
    <row r="321" ht="14.25" customHeight="1"/>
    <row r="322" ht="14.25" customHeight="1"/>
    <row r="323" ht="14.25" customHeight="1"/>
    <row r="324" ht="14.25" customHeight="1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</row>
    <row r="325" ht="14.25" customHeight="1"/>
    <row r="326" ht="14.25" customHeight="1">
      <c r="H326" s="216" t="s">
        <v>255</v>
      </c>
      <c r="I326" s="216" t="s">
        <v>256</v>
      </c>
      <c r="J326" s="216" t="s">
        <v>243</v>
      </c>
      <c r="K326" s="216" t="s">
        <v>218</v>
      </c>
    </row>
    <row r="327" ht="14.25" customHeight="1">
      <c r="B327" s="244" t="s">
        <v>314</v>
      </c>
      <c r="C327" s="231"/>
      <c r="E327" s="216" t="s">
        <v>238</v>
      </c>
      <c r="F327" s="216"/>
      <c r="H327" s="220"/>
      <c r="I327" s="220"/>
      <c r="J327" s="216">
        <f t="shared" ref="J327:J353" si="48">I327-H327</f>
        <v>0</v>
      </c>
      <c r="K327" s="216">
        <f t="shared" ref="K327:K354" si="49">J327-10</f>
        <v>-10</v>
      </c>
    </row>
    <row r="328" ht="14.25" customHeight="1">
      <c r="B328" s="216" t="s">
        <v>244</v>
      </c>
      <c r="C328" s="232">
        <v>1500.0</v>
      </c>
      <c r="E328" s="216" t="s">
        <v>245</v>
      </c>
      <c r="F328" s="216"/>
      <c r="H328" s="220" t="str">
        <f t="shared" ref="H328:H353" si="50">I327</f>
        <v/>
      </c>
      <c r="I328" s="220"/>
      <c r="J328" s="220">
        <f t="shared" si="48"/>
        <v>0</v>
      </c>
      <c r="K328" s="220">
        <f t="shared" si="49"/>
        <v>-10</v>
      </c>
    </row>
    <row r="329" ht="14.25" customHeight="1">
      <c r="B329" s="216" t="s">
        <v>246</v>
      </c>
      <c r="C329" s="232">
        <f>F330*F329</f>
        <v>0</v>
      </c>
      <c r="E329" s="216" t="s">
        <v>247</v>
      </c>
      <c r="F329" s="216">
        <f>F328-F327</f>
        <v>0</v>
      </c>
      <c r="H329" s="220" t="str">
        <f t="shared" si="50"/>
        <v/>
      </c>
      <c r="I329" s="220"/>
      <c r="J329" s="220">
        <f t="shared" si="48"/>
        <v>0</v>
      </c>
      <c r="K329" s="220">
        <f t="shared" si="49"/>
        <v>-10</v>
      </c>
    </row>
    <row r="330" ht="14.25" customHeight="1">
      <c r="B330" s="216" t="s">
        <v>248</v>
      </c>
      <c r="C330" s="232">
        <f>F331*F332</f>
        <v>0</v>
      </c>
      <c r="E330" s="216" t="s">
        <v>249</v>
      </c>
      <c r="F330" s="232">
        <v>7.0</v>
      </c>
      <c r="H330" s="220" t="str">
        <f t="shared" si="50"/>
        <v/>
      </c>
      <c r="I330" s="220"/>
      <c r="J330" s="220">
        <f t="shared" si="48"/>
        <v>0</v>
      </c>
      <c r="K330" s="220">
        <f t="shared" si="49"/>
        <v>-10</v>
      </c>
    </row>
    <row r="331" ht="14.25" customHeight="1">
      <c r="B331" s="216" t="s">
        <v>250</v>
      </c>
      <c r="C331" s="232">
        <f>F333*100</f>
        <v>0</v>
      </c>
      <c r="E331" s="216" t="s">
        <v>251</v>
      </c>
      <c r="F331" s="216"/>
      <c r="H331" s="220" t="str">
        <f t="shared" si="50"/>
        <v/>
      </c>
      <c r="I331" s="220"/>
      <c r="J331" s="220">
        <f t="shared" si="48"/>
        <v>0</v>
      </c>
      <c r="K331" s="220">
        <f t="shared" si="49"/>
        <v>-10</v>
      </c>
    </row>
    <row r="332" ht="14.25" customHeight="1">
      <c r="B332" s="216" t="s">
        <v>252</v>
      </c>
      <c r="C332" s="232"/>
      <c r="E332" s="216" t="s">
        <v>249</v>
      </c>
      <c r="F332" s="232">
        <v>7.0</v>
      </c>
      <c r="H332" s="220" t="str">
        <f t="shared" si="50"/>
        <v/>
      </c>
      <c r="I332" s="220"/>
      <c r="J332" s="220">
        <f t="shared" si="48"/>
        <v>0</v>
      </c>
      <c r="K332" s="220">
        <f t="shared" si="49"/>
        <v>-10</v>
      </c>
    </row>
    <row r="333" ht="14.25" customHeight="1">
      <c r="B333" s="216" t="s">
        <v>253</v>
      </c>
      <c r="C333" s="232">
        <f>C328+C329+C330+C331-C332</f>
        <v>1500</v>
      </c>
      <c r="E333" s="216" t="s">
        <v>250</v>
      </c>
      <c r="F333" s="216"/>
      <c r="H333" s="220" t="str">
        <f t="shared" si="50"/>
        <v/>
      </c>
      <c r="I333" s="220"/>
      <c r="J333" s="220">
        <f t="shared" si="48"/>
        <v>0</v>
      </c>
      <c r="K333" s="220">
        <f t="shared" si="49"/>
        <v>-10</v>
      </c>
    </row>
    <row r="334" ht="14.25" customHeight="1">
      <c r="B334" s="216" t="s">
        <v>315</v>
      </c>
      <c r="C334" s="269"/>
      <c r="H334" s="220" t="str">
        <f t="shared" si="50"/>
        <v/>
      </c>
      <c r="I334" s="220"/>
      <c r="J334" s="220">
        <f t="shared" si="48"/>
        <v>0</v>
      </c>
      <c r="K334" s="220">
        <f t="shared" si="49"/>
        <v>-10</v>
      </c>
    </row>
    <row r="335" ht="14.25" customHeight="1">
      <c r="B335" s="165" t="s">
        <v>316</v>
      </c>
      <c r="C335" s="247"/>
      <c r="H335" s="220" t="str">
        <f t="shared" si="50"/>
        <v/>
      </c>
      <c r="I335" s="220"/>
      <c r="J335" s="220">
        <f t="shared" si="48"/>
        <v>0</v>
      </c>
      <c r="K335" s="220">
        <f t="shared" si="49"/>
        <v>-10</v>
      </c>
    </row>
    <row r="336" ht="14.25" customHeight="1">
      <c r="H336" s="220" t="str">
        <f t="shared" si="50"/>
        <v/>
      </c>
      <c r="I336" s="220"/>
      <c r="J336" s="220">
        <f t="shared" si="48"/>
        <v>0</v>
      </c>
      <c r="K336" s="220">
        <f t="shared" si="49"/>
        <v>-10</v>
      </c>
    </row>
    <row r="337" ht="14.25" customHeight="1">
      <c r="B337" s="165" t="s">
        <v>313</v>
      </c>
      <c r="H337" s="220" t="str">
        <f t="shared" si="50"/>
        <v/>
      </c>
      <c r="I337" s="220"/>
      <c r="J337" s="220">
        <f t="shared" si="48"/>
        <v>0</v>
      </c>
      <c r="K337" s="220">
        <f t="shared" si="49"/>
        <v>-10</v>
      </c>
    </row>
    <row r="338" ht="14.25" customHeight="1">
      <c r="H338" s="220" t="str">
        <f t="shared" si="50"/>
        <v/>
      </c>
      <c r="I338" s="220"/>
      <c r="J338" s="220">
        <f t="shared" si="48"/>
        <v>0</v>
      </c>
      <c r="K338" s="220">
        <f t="shared" si="49"/>
        <v>-10</v>
      </c>
    </row>
    <row r="339" ht="14.25" customHeight="1">
      <c r="H339" s="220" t="str">
        <f t="shared" si="50"/>
        <v/>
      </c>
      <c r="I339" s="220"/>
      <c r="J339" s="220">
        <f t="shared" si="48"/>
        <v>0</v>
      </c>
      <c r="K339" s="220">
        <f t="shared" si="49"/>
        <v>-10</v>
      </c>
    </row>
    <row r="340" ht="14.25" customHeight="1">
      <c r="H340" s="220" t="str">
        <f t="shared" si="50"/>
        <v/>
      </c>
      <c r="I340" s="220"/>
      <c r="J340" s="220">
        <f t="shared" si="48"/>
        <v>0</v>
      </c>
      <c r="K340" s="220">
        <f t="shared" si="49"/>
        <v>-10</v>
      </c>
    </row>
    <row r="341" ht="14.25" customHeight="1">
      <c r="H341" s="220" t="str">
        <f t="shared" si="50"/>
        <v/>
      </c>
      <c r="I341" s="220"/>
      <c r="J341" s="220">
        <f t="shared" si="48"/>
        <v>0</v>
      </c>
      <c r="K341" s="220">
        <f t="shared" si="49"/>
        <v>-10</v>
      </c>
    </row>
    <row r="342" ht="14.25" customHeight="1">
      <c r="H342" s="220" t="str">
        <f t="shared" si="50"/>
        <v/>
      </c>
      <c r="I342" s="220"/>
      <c r="J342" s="220">
        <f t="shared" si="48"/>
        <v>0</v>
      </c>
      <c r="K342" s="220">
        <f t="shared" si="49"/>
        <v>-10</v>
      </c>
    </row>
    <row r="343" ht="14.25" customHeight="1">
      <c r="H343" s="220" t="str">
        <f t="shared" si="50"/>
        <v/>
      </c>
      <c r="I343" s="220"/>
      <c r="J343" s="220">
        <f t="shared" si="48"/>
        <v>0</v>
      </c>
      <c r="K343" s="220">
        <f t="shared" si="49"/>
        <v>-10</v>
      </c>
    </row>
    <row r="344" ht="14.25" customHeight="1">
      <c r="H344" s="220" t="str">
        <f t="shared" si="50"/>
        <v/>
      </c>
      <c r="I344" s="220"/>
      <c r="J344" s="220">
        <f t="shared" si="48"/>
        <v>0</v>
      </c>
      <c r="K344" s="220">
        <f t="shared" si="49"/>
        <v>-10</v>
      </c>
    </row>
    <row r="345" ht="14.25" customHeight="1">
      <c r="H345" s="220" t="str">
        <f t="shared" si="50"/>
        <v/>
      </c>
      <c r="I345" s="220"/>
      <c r="J345" s="220">
        <f t="shared" si="48"/>
        <v>0</v>
      </c>
      <c r="K345" s="220">
        <f t="shared" si="49"/>
        <v>-10</v>
      </c>
    </row>
    <row r="346" ht="14.25" customHeight="1">
      <c r="H346" s="220" t="str">
        <f t="shared" si="50"/>
        <v/>
      </c>
      <c r="I346" s="220"/>
      <c r="J346" s="220">
        <f t="shared" si="48"/>
        <v>0</v>
      </c>
      <c r="K346" s="220">
        <f t="shared" si="49"/>
        <v>-10</v>
      </c>
    </row>
    <row r="347" ht="14.25" customHeight="1">
      <c r="H347" s="220" t="str">
        <f t="shared" si="50"/>
        <v/>
      </c>
      <c r="I347" s="220"/>
      <c r="J347" s="220">
        <f t="shared" si="48"/>
        <v>0</v>
      </c>
      <c r="K347" s="220">
        <f t="shared" si="49"/>
        <v>-10</v>
      </c>
    </row>
    <row r="348" ht="14.25" customHeight="1">
      <c r="H348" s="220" t="str">
        <f t="shared" si="50"/>
        <v/>
      </c>
      <c r="I348" s="220"/>
      <c r="J348" s="220">
        <f t="shared" si="48"/>
        <v>0</v>
      </c>
      <c r="K348" s="220">
        <f t="shared" si="49"/>
        <v>-10</v>
      </c>
    </row>
    <row r="349" ht="14.25" customHeight="1">
      <c r="H349" s="220" t="str">
        <f t="shared" si="50"/>
        <v/>
      </c>
      <c r="I349" s="220"/>
      <c r="J349" s="220">
        <f t="shared" si="48"/>
        <v>0</v>
      </c>
      <c r="K349" s="220">
        <f t="shared" si="49"/>
        <v>-10</v>
      </c>
    </row>
    <row r="350" ht="14.25" customHeight="1">
      <c r="H350" s="220" t="str">
        <f t="shared" si="50"/>
        <v/>
      </c>
      <c r="I350" s="220"/>
      <c r="J350" s="216">
        <f t="shared" si="48"/>
        <v>0</v>
      </c>
      <c r="K350" s="216">
        <f t="shared" si="49"/>
        <v>-10</v>
      </c>
    </row>
    <row r="351" ht="14.25" customHeight="1">
      <c r="H351" s="220" t="str">
        <f t="shared" si="50"/>
        <v/>
      </c>
      <c r="I351" s="220"/>
      <c r="J351" s="216">
        <f t="shared" si="48"/>
        <v>0</v>
      </c>
      <c r="K351" s="216">
        <f t="shared" si="49"/>
        <v>-10</v>
      </c>
    </row>
    <row r="352" ht="14.25" customHeight="1">
      <c r="H352" s="220" t="str">
        <f t="shared" si="50"/>
        <v/>
      </c>
      <c r="I352" s="220"/>
      <c r="J352" s="216">
        <f t="shared" si="48"/>
        <v>0</v>
      </c>
      <c r="K352" s="216">
        <f t="shared" si="49"/>
        <v>-10</v>
      </c>
    </row>
    <row r="353" ht="14.25" customHeight="1">
      <c r="H353" s="220" t="str">
        <f t="shared" si="50"/>
        <v/>
      </c>
      <c r="I353" s="220"/>
      <c r="J353" s="216">
        <f t="shared" si="48"/>
        <v>0</v>
      </c>
      <c r="K353" s="216">
        <f t="shared" si="49"/>
        <v>-10</v>
      </c>
    </row>
    <row r="354" ht="14.25" customHeight="1">
      <c r="H354" s="234" t="s">
        <v>221</v>
      </c>
      <c r="I354" s="231"/>
      <c r="J354" s="216">
        <f>SUM(J327:J353)</f>
        <v>0</v>
      </c>
      <c r="K354" s="216">
        <f t="shared" si="49"/>
        <v>-10</v>
      </c>
    </row>
    <row r="355" ht="14.25" customHeight="1"/>
    <row r="356" ht="14.25" customHeight="1">
      <c r="A356" s="249" t="s">
        <v>230</v>
      </c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1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 ht="14.25" customHeight="1"/>
    <row r="358" ht="14.25" customHeight="1">
      <c r="B358" s="216" t="s">
        <v>214</v>
      </c>
      <c r="C358" s="216" t="s">
        <v>215</v>
      </c>
      <c r="D358" s="216" t="s">
        <v>216</v>
      </c>
      <c r="E358" s="216" t="s">
        <v>217</v>
      </c>
      <c r="F358" s="216" t="s">
        <v>218</v>
      </c>
      <c r="H358" s="216" t="s">
        <v>238</v>
      </c>
      <c r="I358" s="216"/>
      <c r="K358" s="270" t="s">
        <v>317</v>
      </c>
      <c r="L358" s="231"/>
    </row>
    <row r="359" ht="14.25" customHeight="1">
      <c r="B359" s="254">
        <v>45017.0</v>
      </c>
      <c r="C359" s="255">
        <v>6075.8</v>
      </c>
      <c r="D359" s="255">
        <v>6085.8</v>
      </c>
      <c r="E359" s="255">
        <f t="shared" ref="E359:E389" si="51">D359-C359</f>
        <v>10</v>
      </c>
      <c r="F359" s="255">
        <f t="shared" ref="F359:F390" si="52">E359-10</f>
        <v>0</v>
      </c>
      <c r="H359" s="216" t="s">
        <v>245</v>
      </c>
      <c r="I359" s="216"/>
      <c r="K359" s="216" t="s">
        <v>244</v>
      </c>
      <c r="L359" s="232">
        <v>1500.0</v>
      </c>
    </row>
    <row r="360" ht="14.25" customHeight="1">
      <c r="B360" s="254">
        <v>45018.0</v>
      </c>
      <c r="C360" s="255"/>
      <c r="D360" s="255"/>
      <c r="E360" s="255">
        <f t="shared" si="51"/>
        <v>0</v>
      </c>
      <c r="F360" s="255">
        <f t="shared" si="52"/>
        <v>-10</v>
      </c>
      <c r="H360" s="216" t="s">
        <v>247</v>
      </c>
      <c r="I360" s="216">
        <v>138.8</v>
      </c>
      <c r="K360" s="216" t="s">
        <v>266</v>
      </c>
      <c r="L360" s="232"/>
    </row>
    <row r="361" ht="14.25" customHeight="1">
      <c r="B361" s="229">
        <v>45019.0</v>
      </c>
      <c r="C361" s="220">
        <v>6085.8</v>
      </c>
      <c r="D361" s="220">
        <v>6095.8</v>
      </c>
      <c r="E361" s="220">
        <f t="shared" si="51"/>
        <v>10</v>
      </c>
      <c r="F361" s="220">
        <f t="shared" si="52"/>
        <v>0</v>
      </c>
      <c r="H361" s="216" t="s">
        <v>249</v>
      </c>
      <c r="I361" s="232">
        <v>7.0</v>
      </c>
      <c r="K361" s="216" t="s">
        <v>246</v>
      </c>
      <c r="L361" s="232">
        <f>I360*I361</f>
        <v>971.6</v>
      </c>
    </row>
    <row r="362" ht="14.25" customHeight="1">
      <c r="B362" s="229">
        <v>45020.0</v>
      </c>
      <c r="C362" s="220">
        <f t="shared" ref="C362:C364" si="53">D361</f>
        <v>6095.8</v>
      </c>
      <c r="D362" s="220">
        <v>6105.8</v>
      </c>
      <c r="E362" s="220">
        <f t="shared" si="51"/>
        <v>10</v>
      </c>
      <c r="F362" s="220">
        <f t="shared" si="52"/>
        <v>0</v>
      </c>
      <c r="H362" s="216" t="s">
        <v>251</v>
      </c>
      <c r="I362" s="216">
        <v>1.9</v>
      </c>
      <c r="K362" s="216" t="s">
        <v>248</v>
      </c>
      <c r="L362" s="232">
        <f>I363*I362</f>
        <v>13.3</v>
      </c>
    </row>
    <row r="363" ht="14.25" customHeight="1">
      <c r="B363" s="229">
        <v>45021.0</v>
      </c>
      <c r="C363" s="220">
        <f t="shared" si="53"/>
        <v>6105.8</v>
      </c>
      <c r="D363" s="220">
        <v>6115.8</v>
      </c>
      <c r="E363" s="220">
        <f t="shared" si="51"/>
        <v>10</v>
      </c>
      <c r="F363" s="220">
        <f t="shared" si="52"/>
        <v>0</v>
      </c>
      <c r="H363" s="216" t="s">
        <v>249</v>
      </c>
      <c r="I363" s="232">
        <v>7.0</v>
      </c>
      <c r="K363" s="216" t="s">
        <v>318</v>
      </c>
      <c r="L363" s="232">
        <f>I364*100</f>
        <v>300</v>
      </c>
    </row>
    <row r="364" ht="14.25" customHeight="1">
      <c r="B364" s="229">
        <v>45022.0</v>
      </c>
      <c r="C364" s="220">
        <f t="shared" si="53"/>
        <v>6115.8</v>
      </c>
      <c r="D364" s="220">
        <v>6125.8</v>
      </c>
      <c r="E364" s="220">
        <f t="shared" si="51"/>
        <v>10</v>
      </c>
      <c r="F364" s="220">
        <f t="shared" si="52"/>
        <v>0</v>
      </c>
      <c r="H364" s="216" t="s">
        <v>319</v>
      </c>
      <c r="I364" s="216">
        <v>3.0</v>
      </c>
      <c r="K364" s="216" t="s">
        <v>252</v>
      </c>
      <c r="L364" s="232"/>
    </row>
    <row r="365" ht="14.25" customHeight="1">
      <c r="B365" s="229">
        <v>45023.0</v>
      </c>
      <c r="C365" s="220"/>
      <c r="D365" s="220"/>
      <c r="E365" s="220">
        <f t="shared" si="51"/>
        <v>0</v>
      </c>
      <c r="F365" s="220">
        <f t="shared" si="52"/>
        <v>-10</v>
      </c>
      <c r="K365" s="216" t="s">
        <v>320</v>
      </c>
      <c r="L365" s="269"/>
    </row>
    <row r="366" ht="14.25" customHeight="1">
      <c r="B366" s="254">
        <v>45024.0</v>
      </c>
      <c r="C366" s="255"/>
      <c r="D366" s="255"/>
      <c r="E366" s="255">
        <f t="shared" si="51"/>
        <v>0</v>
      </c>
      <c r="F366" s="255">
        <f t="shared" si="52"/>
        <v>-10</v>
      </c>
      <c r="K366" s="216" t="s">
        <v>268</v>
      </c>
      <c r="L366" s="232">
        <f>L359+L361+L362+L363-L360-L364+L365</f>
        <v>2784.9</v>
      </c>
    </row>
    <row r="367" ht="14.25" customHeight="1">
      <c r="B367" s="254">
        <v>45025.0</v>
      </c>
      <c r="C367" s="255" t="str">
        <f>D366</f>
        <v/>
      </c>
      <c r="D367" s="255"/>
      <c r="E367" s="255">
        <f t="shared" si="51"/>
        <v>0</v>
      </c>
      <c r="F367" s="255">
        <f t="shared" si="52"/>
        <v>-10</v>
      </c>
      <c r="K367" s="216" t="s">
        <v>269</v>
      </c>
      <c r="L367" s="229"/>
    </row>
    <row r="368" ht="14.25" customHeight="1">
      <c r="B368" s="229">
        <v>45026.0</v>
      </c>
      <c r="C368" s="220">
        <v>6125.8</v>
      </c>
      <c r="D368" s="220">
        <v>6129.8</v>
      </c>
      <c r="E368" s="220">
        <f t="shared" si="51"/>
        <v>4</v>
      </c>
      <c r="F368" s="220">
        <f t="shared" si="52"/>
        <v>-6</v>
      </c>
    </row>
    <row r="369" ht="14.25" customHeight="1">
      <c r="B369" s="229">
        <v>45027.0</v>
      </c>
      <c r="C369" s="220">
        <f t="shared" ref="C369:C376" si="54">D368</f>
        <v>6129.8</v>
      </c>
      <c r="D369" s="220">
        <v>6139.8</v>
      </c>
      <c r="E369" s="220">
        <f t="shared" si="51"/>
        <v>10</v>
      </c>
      <c r="F369" s="220">
        <f t="shared" si="52"/>
        <v>0</v>
      </c>
      <c r="H369" s="165" t="s">
        <v>321</v>
      </c>
    </row>
    <row r="370" ht="14.25" customHeight="1">
      <c r="B370" s="229">
        <v>45028.0</v>
      </c>
      <c r="C370" s="220">
        <f t="shared" si="54"/>
        <v>6139.8</v>
      </c>
      <c r="D370" s="220">
        <v>6145.8</v>
      </c>
      <c r="E370" s="220">
        <f t="shared" si="51"/>
        <v>6</v>
      </c>
      <c r="F370" s="220">
        <f t="shared" si="52"/>
        <v>-4</v>
      </c>
    </row>
    <row r="371" ht="14.25" customHeight="1">
      <c r="B371" s="229">
        <v>45029.0</v>
      </c>
      <c r="C371" s="220">
        <f t="shared" si="54"/>
        <v>6145.8</v>
      </c>
      <c r="D371" s="220">
        <v>6146.9</v>
      </c>
      <c r="E371" s="220">
        <f t="shared" si="51"/>
        <v>1.1</v>
      </c>
      <c r="F371" s="220">
        <f t="shared" si="52"/>
        <v>-8.9</v>
      </c>
    </row>
    <row r="372" ht="14.25" customHeight="1">
      <c r="B372" s="229">
        <v>45030.0</v>
      </c>
      <c r="C372" s="220">
        <f t="shared" si="54"/>
        <v>6146.9</v>
      </c>
      <c r="D372" s="220">
        <v>6150.1</v>
      </c>
      <c r="E372" s="220">
        <f t="shared" si="51"/>
        <v>3.2</v>
      </c>
      <c r="F372" s="220">
        <f t="shared" si="52"/>
        <v>-6.8</v>
      </c>
    </row>
    <row r="373" ht="14.25" customHeight="1">
      <c r="B373" s="254">
        <v>45031.0</v>
      </c>
      <c r="C373" s="255">
        <f t="shared" si="54"/>
        <v>6150.1</v>
      </c>
      <c r="D373" s="255">
        <v>6152.5</v>
      </c>
      <c r="E373" s="255">
        <f t="shared" si="51"/>
        <v>2.4</v>
      </c>
      <c r="F373" s="255">
        <f t="shared" si="52"/>
        <v>-7.6</v>
      </c>
    </row>
    <row r="374" ht="14.25" customHeight="1">
      <c r="B374" s="254">
        <v>45032.0</v>
      </c>
      <c r="C374" s="255">
        <f t="shared" si="54"/>
        <v>6152.5</v>
      </c>
      <c r="D374" s="255">
        <v>6154.5</v>
      </c>
      <c r="E374" s="255">
        <f t="shared" si="51"/>
        <v>2</v>
      </c>
      <c r="F374" s="255">
        <f t="shared" si="52"/>
        <v>-8</v>
      </c>
    </row>
    <row r="375" ht="14.25" customHeight="1">
      <c r="B375" s="229">
        <v>45033.0</v>
      </c>
      <c r="C375" s="220">
        <f t="shared" si="54"/>
        <v>6154.5</v>
      </c>
      <c r="D375" s="220">
        <v>6157.0</v>
      </c>
      <c r="E375" s="220">
        <f t="shared" si="51"/>
        <v>2.5</v>
      </c>
      <c r="F375" s="220">
        <f t="shared" si="52"/>
        <v>-7.5</v>
      </c>
    </row>
    <row r="376" ht="14.25" customHeight="1">
      <c r="B376" s="229">
        <v>45034.0</v>
      </c>
      <c r="C376" s="220">
        <f t="shared" si="54"/>
        <v>6157</v>
      </c>
      <c r="D376" s="220">
        <v>6165.4</v>
      </c>
      <c r="E376" s="220">
        <f t="shared" si="51"/>
        <v>8.4</v>
      </c>
      <c r="F376" s="220">
        <f t="shared" si="52"/>
        <v>-1.6</v>
      </c>
    </row>
    <row r="377" ht="14.25" customHeight="1">
      <c r="B377" s="229">
        <v>45035.0</v>
      </c>
      <c r="C377" s="220"/>
      <c r="D377" s="220"/>
      <c r="E377" s="220">
        <f t="shared" si="51"/>
        <v>0</v>
      </c>
      <c r="F377" s="220">
        <f t="shared" si="52"/>
        <v>-10</v>
      </c>
    </row>
    <row r="378" ht="14.25" customHeight="1">
      <c r="B378" s="229">
        <v>45036.0</v>
      </c>
      <c r="C378" s="220">
        <v>6165.4</v>
      </c>
      <c r="D378" s="220">
        <v>6174.9</v>
      </c>
      <c r="E378" s="220">
        <f t="shared" si="51"/>
        <v>9.5</v>
      </c>
      <c r="F378" s="220">
        <f t="shared" si="52"/>
        <v>-0.5</v>
      </c>
    </row>
    <row r="379" ht="14.25" customHeight="1">
      <c r="B379" s="254">
        <v>45037.0</v>
      </c>
      <c r="C379" s="255">
        <f>D378</f>
        <v>6174.9</v>
      </c>
      <c r="D379" s="255">
        <v>6183.5</v>
      </c>
      <c r="E379" s="255">
        <f t="shared" si="51"/>
        <v>8.6</v>
      </c>
      <c r="F379" s="255">
        <f t="shared" si="52"/>
        <v>-1.4</v>
      </c>
    </row>
    <row r="380" ht="14.25" customHeight="1">
      <c r="B380" s="254">
        <v>45038.0</v>
      </c>
      <c r="C380" s="255"/>
      <c r="D380" s="255"/>
      <c r="E380" s="255">
        <f t="shared" si="51"/>
        <v>0</v>
      </c>
      <c r="F380" s="255">
        <f t="shared" si="52"/>
        <v>-10</v>
      </c>
    </row>
    <row r="381" ht="14.25" customHeight="1">
      <c r="B381" s="254">
        <v>45039.0</v>
      </c>
      <c r="C381" s="255" t="str">
        <f>D380</f>
        <v/>
      </c>
      <c r="D381" s="255"/>
      <c r="E381" s="255">
        <f t="shared" si="51"/>
        <v>0</v>
      </c>
      <c r="F381" s="255">
        <f t="shared" si="52"/>
        <v>-10</v>
      </c>
    </row>
    <row r="382" ht="14.25" customHeight="1">
      <c r="B382" s="229">
        <v>45040.0</v>
      </c>
      <c r="C382" s="220">
        <v>6183.5</v>
      </c>
      <c r="D382" s="220">
        <v>6195.4</v>
      </c>
      <c r="E382" s="216">
        <f t="shared" si="51"/>
        <v>11.9</v>
      </c>
      <c r="F382" s="216">
        <f t="shared" si="52"/>
        <v>1.9</v>
      </c>
    </row>
    <row r="383" ht="14.25" customHeight="1">
      <c r="B383" s="229">
        <v>45041.0</v>
      </c>
      <c r="C383" s="220"/>
      <c r="D383" s="220"/>
      <c r="E383" s="216">
        <f t="shared" si="51"/>
        <v>0</v>
      </c>
      <c r="F383" s="216">
        <f t="shared" si="52"/>
        <v>-10</v>
      </c>
    </row>
    <row r="384" ht="15.0" customHeight="1">
      <c r="B384" s="229">
        <v>45042.0</v>
      </c>
      <c r="C384" s="220">
        <v>6195.4</v>
      </c>
      <c r="D384" s="220">
        <v>6198.0</v>
      </c>
      <c r="E384" s="216">
        <f t="shared" si="51"/>
        <v>2.6</v>
      </c>
      <c r="F384" s="216">
        <f t="shared" si="52"/>
        <v>-7.4</v>
      </c>
    </row>
    <row r="385" ht="15.0" customHeight="1">
      <c r="B385" s="229">
        <v>45043.0</v>
      </c>
      <c r="C385" s="220">
        <f t="shared" ref="C385:C386" si="55">D384</f>
        <v>6198</v>
      </c>
      <c r="D385" s="220">
        <v>6205.7</v>
      </c>
      <c r="E385" s="216">
        <f t="shared" si="51"/>
        <v>7.7</v>
      </c>
      <c r="F385" s="216">
        <f t="shared" si="52"/>
        <v>-2.3</v>
      </c>
    </row>
    <row r="386" ht="15.0" customHeight="1">
      <c r="B386" s="229">
        <v>45044.0</v>
      </c>
      <c r="C386" s="220">
        <f t="shared" si="55"/>
        <v>6205.7</v>
      </c>
      <c r="D386" s="220">
        <v>6208.8</v>
      </c>
      <c r="E386" s="216">
        <f t="shared" si="51"/>
        <v>3.1</v>
      </c>
      <c r="F386" s="216">
        <f t="shared" si="52"/>
        <v>-6.9</v>
      </c>
    </row>
    <row r="387" ht="15.0" customHeight="1">
      <c r="B387" s="254">
        <v>45045.0</v>
      </c>
      <c r="C387" s="255"/>
      <c r="D387" s="255"/>
      <c r="E387" s="255">
        <f t="shared" si="51"/>
        <v>0</v>
      </c>
      <c r="F387" s="255">
        <f t="shared" si="52"/>
        <v>-10</v>
      </c>
    </row>
    <row r="388" ht="15.0" customHeight="1">
      <c r="B388" s="254">
        <v>45046.0</v>
      </c>
      <c r="C388" s="255" t="str">
        <f t="shared" ref="C388:C389" si="56">D387</f>
        <v/>
      </c>
      <c r="D388" s="255"/>
      <c r="E388" s="255">
        <f t="shared" si="51"/>
        <v>0</v>
      </c>
      <c r="F388" s="255">
        <f t="shared" si="52"/>
        <v>-10</v>
      </c>
    </row>
    <row r="389" ht="15.0" customHeight="1">
      <c r="B389" s="229"/>
      <c r="C389" s="220" t="str">
        <f t="shared" si="56"/>
        <v/>
      </c>
      <c r="D389" s="220"/>
      <c r="E389" s="216">
        <f t="shared" si="51"/>
        <v>0</v>
      </c>
      <c r="F389" s="216">
        <f t="shared" si="52"/>
        <v>-10</v>
      </c>
    </row>
    <row r="390" ht="14.25" customHeight="1">
      <c r="B390" s="216"/>
      <c r="C390" s="223" t="s">
        <v>221</v>
      </c>
      <c r="D390" s="223"/>
      <c r="E390" s="216">
        <f>SUM(E359:E389)</f>
        <v>133</v>
      </c>
      <c r="F390" s="216">
        <f t="shared" si="52"/>
        <v>123</v>
      </c>
    </row>
    <row r="391" ht="14.25" customHeight="1"/>
    <row r="392" ht="14.25" customHeight="1">
      <c r="A392" s="249" t="s">
        <v>322</v>
      </c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1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 ht="14.25" customHeight="1"/>
    <row r="394" ht="14.25" customHeight="1">
      <c r="B394" s="216" t="s">
        <v>214</v>
      </c>
      <c r="C394" s="216" t="s">
        <v>215</v>
      </c>
      <c r="D394" s="216" t="s">
        <v>216</v>
      </c>
      <c r="E394" s="216" t="s">
        <v>217</v>
      </c>
      <c r="F394" s="216" t="s">
        <v>218</v>
      </c>
      <c r="H394" s="216" t="s">
        <v>238</v>
      </c>
      <c r="I394" s="216"/>
      <c r="K394" s="270" t="s">
        <v>317</v>
      </c>
      <c r="L394" s="231"/>
    </row>
    <row r="395" ht="14.25" customHeight="1">
      <c r="B395" s="219">
        <v>45047.0</v>
      </c>
      <c r="C395" s="220"/>
      <c r="D395" s="220"/>
      <c r="E395" s="220">
        <f t="shared" ref="E395:E425" si="57">D395-C395</f>
        <v>0</v>
      </c>
      <c r="F395" s="220">
        <f t="shared" ref="F395:F426" si="58">E395-10</f>
        <v>-10</v>
      </c>
      <c r="H395" s="216" t="s">
        <v>245</v>
      </c>
      <c r="I395" s="216"/>
      <c r="K395" s="216" t="s">
        <v>244</v>
      </c>
      <c r="L395" s="232">
        <v>1500.0</v>
      </c>
    </row>
    <row r="396" ht="14.25" customHeight="1">
      <c r="B396" s="219">
        <v>45048.0</v>
      </c>
      <c r="C396" s="220" t="str">
        <f>D395</f>
        <v/>
      </c>
      <c r="D396" s="220"/>
      <c r="E396" s="220">
        <f t="shared" si="57"/>
        <v>0</v>
      </c>
      <c r="F396" s="220">
        <f t="shared" si="58"/>
        <v>-10</v>
      </c>
      <c r="H396" s="216" t="s">
        <v>247</v>
      </c>
      <c r="I396" s="216">
        <v>201.0</v>
      </c>
      <c r="K396" s="216" t="s">
        <v>266</v>
      </c>
      <c r="L396" s="232"/>
    </row>
    <row r="397" ht="14.25" customHeight="1">
      <c r="B397" s="219">
        <v>45049.0</v>
      </c>
      <c r="C397" s="227">
        <v>477.4</v>
      </c>
      <c r="D397" s="227">
        <v>483.5</v>
      </c>
      <c r="E397" s="220">
        <f t="shared" si="57"/>
        <v>6.1</v>
      </c>
      <c r="F397" s="220">
        <f t="shared" si="58"/>
        <v>-3.9</v>
      </c>
      <c r="H397" s="216" t="s">
        <v>249</v>
      </c>
      <c r="I397" s="232">
        <v>7.0</v>
      </c>
      <c r="K397" s="216" t="s">
        <v>246</v>
      </c>
      <c r="L397" s="232">
        <f>I396*I397</f>
        <v>1407</v>
      </c>
    </row>
    <row r="398" ht="14.25" customHeight="1">
      <c r="B398" s="219">
        <v>45050.0</v>
      </c>
      <c r="C398" s="220">
        <v>6208.8</v>
      </c>
      <c r="D398" s="220">
        <v>6213.7</v>
      </c>
      <c r="E398" s="220">
        <f t="shared" si="57"/>
        <v>4.9</v>
      </c>
      <c r="F398" s="220">
        <f t="shared" si="58"/>
        <v>-5.1</v>
      </c>
      <c r="H398" s="216" t="s">
        <v>251</v>
      </c>
      <c r="I398" s="216">
        <v>1.0</v>
      </c>
      <c r="K398" s="216" t="s">
        <v>248</v>
      </c>
      <c r="L398" s="232">
        <f>I399*I398</f>
        <v>7</v>
      </c>
    </row>
    <row r="399" ht="14.25" customHeight="1">
      <c r="B399" s="219">
        <v>45051.0</v>
      </c>
      <c r="C399" s="220">
        <f t="shared" ref="C399:C400" si="59">D398</f>
        <v>6213.7</v>
      </c>
      <c r="D399" s="220">
        <v>6220.7</v>
      </c>
      <c r="E399" s="220">
        <f t="shared" si="57"/>
        <v>7</v>
      </c>
      <c r="F399" s="220">
        <f t="shared" si="58"/>
        <v>-3</v>
      </c>
      <c r="H399" s="216" t="s">
        <v>249</v>
      </c>
      <c r="I399" s="232">
        <v>7.0</v>
      </c>
      <c r="K399" s="216" t="s">
        <v>318</v>
      </c>
      <c r="L399" s="232">
        <f>I400*100</f>
        <v>400</v>
      </c>
    </row>
    <row r="400" ht="14.25" customHeight="1">
      <c r="B400" s="254">
        <v>45052.0</v>
      </c>
      <c r="C400" s="255">
        <f t="shared" si="59"/>
        <v>6220.7</v>
      </c>
      <c r="D400" s="255">
        <v>6226.0</v>
      </c>
      <c r="E400" s="255">
        <f t="shared" si="57"/>
        <v>5.3</v>
      </c>
      <c r="F400" s="255">
        <f t="shared" si="58"/>
        <v>-4.7</v>
      </c>
      <c r="H400" s="216" t="s">
        <v>250</v>
      </c>
      <c r="I400" s="216">
        <v>4.0</v>
      </c>
      <c r="K400" s="216" t="s">
        <v>252</v>
      </c>
      <c r="L400" s="232"/>
    </row>
    <row r="401" ht="14.25" customHeight="1">
      <c r="B401" s="254">
        <v>45053.0</v>
      </c>
      <c r="C401" s="255"/>
      <c r="D401" s="255"/>
      <c r="E401" s="255">
        <f t="shared" si="57"/>
        <v>0</v>
      </c>
      <c r="F401" s="255">
        <f t="shared" si="58"/>
        <v>-10</v>
      </c>
      <c r="K401" s="216" t="s">
        <v>320</v>
      </c>
      <c r="L401" s="269">
        <v>0.0</v>
      </c>
    </row>
    <row r="402" ht="14.25" customHeight="1">
      <c r="B402" s="219">
        <v>45054.0</v>
      </c>
      <c r="C402" s="255">
        <v>6235.5</v>
      </c>
      <c r="D402" s="255">
        <v>6235.5</v>
      </c>
      <c r="E402" s="220">
        <f t="shared" si="57"/>
        <v>0</v>
      </c>
      <c r="F402" s="220">
        <f t="shared" si="58"/>
        <v>-10</v>
      </c>
      <c r="K402" s="216" t="s">
        <v>268</v>
      </c>
      <c r="L402" s="232">
        <f>L395+L397+L398+L399-L396-L400+L401</f>
        <v>3314</v>
      </c>
    </row>
    <row r="403" ht="14.25" customHeight="1">
      <c r="B403" s="219">
        <v>45055.0</v>
      </c>
      <c r="C403" s="220">
        <f t="shared" ref="C403:C406" si="60">D402</f>
        <v>6235.5</v>
      </c>
      <c r="D403" s="220">
        <v>6245.0</v>
      </c>
      <c r="E403" s="220">
        <f t="shared" si="57"/>
        <v>9.5</v>
      </c>
      <c r="F403" s="220">
        <f t="shared" si="58"/>
        <v>-0.5</v>
      </c>
      <c r="H403" s="165" t="s">
        <v>323</v>
      </c>
      <c r="I403" s="12">
        <v>1500.0</v>
      </c>
      <c r="K403" s="216" t="s">
        <v>269</v>
      </c>
      <c r="L403" s="229">
        <v>45080.0</v>
      </c>
    </row>
    <row r="404" ht="14.25" customHeight="1">
      <c r="B404" s="219">
        <v>45056.0</v>
      </c>
      <c r="C404" s="220">
        <f t="shared" si="60"/>
        <v>6245</v>
      </c>
      <c r="D404" s="220">
        <v>6249.0</v>
      </c>
      <c r="E404" s="220">
        <f t="shared" si="57"/>
        <v>4</v>
      </c>
      <c r="F404" s="220">
        <f t="shared" si="58"/>
        <v>-6</v>
      </c>
      <c r="H404" s="165" t="s">
        <v>324</v>
      </c>
      <c r="I404" s="247">
        <v>45077.0</v>
      </c>
    </row>
    <row r="405" ht="14.25" customHeight="1">
      <c r="B405" s="219">
        <v>45057.0</v>
      </c>
      <c r="C405" s="220">
        <f t="shared" si="60"/>
        <v>6249</v>
      </c>
      <c r="D405" s="220">
        <v>6258.9</v>
      </c>
      <c r="E405" s="220">
        <f t="shared" si="57"/>
        <v>9.9</v>
      </c>
      <c r="F405" s="220">
        <f t="shared" si="58"/>
        <v>-0.1</v>
      </c>
    </row>
    <row r="406" ht="14.25" customHeight="1">
      <c r="B406" s="219">
        <v>45058.0</v>
      </c>
      <c r="C406" s="220">
        <f t="shared" si="60"/>
        <v>6258.9</v>
      </c>
      <c r="D406" s="220">
        <v>6267.8</v>
      </c>
      <c r="E406" s="220">
        <f t="shared" si="57"/>
        <v>8.9</v>
      </c>
      <c r="F406" s="220">
        <f t="shared" si="58"/>
        <v>-1.1</v>
      </c>
    </row>
    <row r="407" ht="14.25" customHeight="1">
      <c r="B407" s="254">
        <v>45059.0</v>
      </c>
      <c r="C407" s="227">
        <v>3815.2</v>
      </c>
      <c r="D407" s="227">
        <v>3825.2</v>
      </c>
      <c r="E407" s="255">
        <f t="shared" si="57"/>
        <v>10</v>
      </c>
      <c r="F407" s="255">
        <f t="shared" si="58"/>
        <v>0</v>
      </c>
    </row>
    <row r="408" ht="14.25" customHeight="1">
      <c r="B408" s="254">
        <v>45060.0</v>
      </c>
      <c r="C408" s="255"/>
      <c r="D408" s="255"/>
      <c r="E408" s="255">
        <f t="shared" si="57"/>
        <v>0</v>
      </c>
      <c r="F408" s="255">
        <f t="shared" si="58"/>
        <v>-10</v>
      </c>
    </row>
    <row r="409" ht="14.25" customHeight="1">
      <c r="B409" s="219">
        <v>45061.0</v>
      </c>
      <c r="C409" s="220">
        <v>6267.8</v>
      </c>
      <c r="D409" s="220">
        <v>6276.8</v>
      </c>
      <c r="E409" s="220">
        <f t="shared" si="57"/>
        <v>9</v>
      </c>
      <c r="F409" s="220">
        <f t="shared" si="58"/>
        <v>-1</v>
      </c>
    </row>
    <row r="410" ht="14.25" customHeight="1">
      <c r="B410" s="219">
        <v>45062.0</v>
      </c>
      <c r="C410" s="220">
        <f t="shared" ref="C410:C414" si="61">D409</f>
        <v>6276.8</v>
      </c>
      <c r="D410" s="220">
        <v>6286.8</v>
      </c>
      <c r="E410" s="220">
        <f t="shared" si="57"/>
        <v>10</v>
      </c>
      <c r="F410" s="220">
        <f t="shared" si="58"/>
        <v>0</v>
      </c>
    </row>
    <row r="411" ht="14.25" customHeight="1">
      <c r="B411" s="219">
        <v>45063.0</v>
      </c>
      <c r="C411" s="220">
        <f t="shared" si="61"/>
        <v>6286.8</v>
      </c>
      <c r="D411" s="220">
        <v>6296.8</v>
      </c>
      <c r="E411" s="220">
        <f t="shared" si="57"/>
        <v>10</v>
      </c>
      <c r="F411" s="220">
        <f t="shared" si="58"/>
        <v>0</v>
      </c>
    </row>
    <row r="412" ht="14.25" customHeight="1">
      <c r="B412" s="219">
        <v>45064.0</v>
      </c>
      <c r="C412" s="220">
        <f t="shared" si="61"/>
        <v>6296.8</v>
      </c>
      <c r="D412" s="220">
        <v>6305.0</v>
      </c>
      <c r="E412" s="220">
        <f t="shared" si="57"/>
        <v>8.2</v>
      </c>
      <c r="F412" s="220">
        <f t="shared" si="58"/>
        <v>-1.8</v>
      </c>
    </row>
    <row r="413" ht="14.25" customHeight="1">
      <c r="B413" s="219">
        <v>45065.0</v>
      </c>
      <c r="C413" s="220">
        <f t="shared" si="61"/>
        <v>6305</v>
      </c>
      <c r="D413" s="220">
        <v>6306.0</v>
      </c>
      <c r="E413" s="220">
        <f t="shared" si="57"/>
        <v>1</v>
      </c>
      <c r="F413" s="220">
        <f t="shared" si="58"/>
        <v>-9</v>
      </c>
    </row>
    <row r="414" ht="14.25" customHeight="1">
      <c r="B414" s="254">
        <v>45066.0</v>
      </c>
      <c r="C414" s="255">
        <f t="shared" si="61"/>
        <v>6306</v>
      </c>
      <c r="D414" s="255">
        <v>6316.0</v>
      </c>
      <c r="E414" s="255">
        <f t="shared" si="57"/>
        <v>10</v>
      </c>
      <c r="F414" s="255">
        <f t="shared" si="58"/>
        <v>0</v>
      </c>
    </row>
    <row r="415" ht="14.25" customHeight="1">
      <c r="B415" s="254">
        <v>45067.0</v>
      </c>
      <c r="C415" s="255"/>
      <c r="D415" s="255"/>
      <c r="E415" s="255">
        <f t="shared" si="57"/>
        <v>0</v>
      </c>
      <c r="F415" s="255">
        <f t="shared" si="58"/>
        <v>-10</v>
      </c>
    </row>
    <row r="416" ht="14.25" customHeight="1">
      <c r="B416" s="219">
        <v>45068.0</v>
      </c>
      <c r="C416" s="255">
        <v>6316.0</v>
      </c>
      <c r="D416" s="220">
        <v>6324.0</v>
      </c>
      <c r="E416" s="220">
        <f t="shared" si="57"/>
        <v>8</v>
      </c>
      <c r="F416" s="220">
        <f t="shared" si="58"/>
        <v>-2</v>
      </c>
    </row>
    <row r="417" ht="14.25" customHeight="1">
      <c r="B417" s="219">
        <v>45069.0</v>
      </c>
      <c r="C417" s="220">
        <f t="shared" ref="C417:C421" si="62">D416</f>
        <v>6324</v>
      </c>
      <c r="D417" s="220">
        <v>6333.5</v>
      </c>
      <c r="E417" s="220">
        <f t="shared" si="57"/>
        <v>9.5</v>
      </c>
      <c r="F417" s="220">
        <f t="shared" si="58"/>
        <v>-0.5</v>
      </c>
    </row>
    <row r="418" ht="14.25" customHeight="1">
      <c r="B418" s="219">
        <v>45070.0</v>
      </c>
      <c r="C418" s="220">
        <f t="shared" si="62"/>
        <v>6333.5</v>
      </c>
      <c r="D418" s="220">
        <v>6343.2</v>
      </c>
      <c r="E418" s="220">
        <f t="shared" si="57"/>
        <v>9.7</v>
      </c>
      <c r="F418" s="220">
        <f t="shared" si="58"/>
        <v>-0.3</v>
      </c>
    </row>
    <row r="419" ht="14.25" customHeight="1">
      <c r="B419" s="219">
        <v>45071.0</v>
      </c>
      <c r="C419" s="220">
        <f t="shared" si="62"/>
        <v>6343.2</v>
      </c>
      <c r="D419" s="220">
        <v>6352.2</v>
      </c>
      <c r="E419" s="220">
        <f t="shared" si="57"/>
        <v>9</v>
      </c>
      <c r="F419" s="220">
        <f t="shared" si="58"/>
        <v>-1</v>
      </c>
    </row>
    <row r="420" ht="14.25" customHeight="1">
      <c r="B420" s="219">
        <v>45072.0</v>
      </c>
      <c r="C420" s="220">
        <f t="shared" si="62"/>
        <v>6352.2</v>
      </c>
      <c r="D420" s="220">
        <v>6360.5</v>
      </c>
      <c r="E420" s="220">
        <f t="shared" si="57"/>
        <v>8.3</v>
      </c>
      <c r="F420" s="220">
        <f t="shared" si="58"/>
        <v>-1.7</v>
      </c>
    </row>
    <row r="421" ht="14.25" customHeight="1">
      <c r="B421" s="254">
        <v>45073.0</v>
      </c>
      <c r="C421" s="255">
        <f t="shared" si="62"/>
        <v>6360.5</v>
      </c>
      <c r="D421" s="255">
        <v>6366.8</v>
      </c>
      <c r="E421" s="255">
        <f t="shared" si="57"/>
        <v>6.3</v>
      </c>
      <c r="F421" s="255">
        <f t="shared" si="58"/>
        <v>-3.7</v>
      </c>
    </row>
    <row r="422" ht="14.25" customHeight="1">
      <c r="B422" s="254">
        <v>45074.0</v>
      </c>
      <c r="C422" s="255"/>
      <c r="D422" s="255"/>
      <c r="E422" s="255">
        <f t="shared" si="57"/>
        <v>0</v>
      </c>
      <c r="F422" s="255">
        <f t="shared" si="58"/>
        <v>-10</v>
      </c>
    </row>
    <row r="423" ht="14.25" customHeight="1">
      <c r="B423" s="219">
        <v>45075.0</v>
      </c>
      <c r="C423" s="220">
        <v>6366.8</v>
      </c>
      <c r="D423" s="220">
        <v>6376.8</v>
      </c>
      <c r="E423" s="220">
        <f t="shared" si="57"/>
        <v>10</v>
      </c>
      <c r="F423" s="220">
        <f t="shared" si="58"/>
        <v>0</v>
      </c>
    </row>
    <row r="424" ht="14.25" customHeight="1">
      <c r="B424" s="219">
        <v>45076.0</v>
      </c>
      <c r="C424" s="220">
        <f t="shared" ref="C424:C425" si="63">D423</f>
        <v>6376.8</v>
      </c>
      <c r="D424" s="220">
        <v>6382.7</v>
      </c>
      <c r="E424" s="220">
        <f t="shared" si="57"/>
        <v>5.9</v>
      </c>
      <c r="F424" s="220">
        <f t="shared" si="58"/>
        <v>-4.1</v>
      </c>
    </row>
    <row r="425" ht="14.25" customHeight="1">
      <c r="B425" s="219">
        <v>45077.0</v>
      </c>
      <c r="C425" s="220">
        <f t="shared" si="63"/>
        <v>6382.7</v>
      </c>
      <c r="D425" s="220">
        <v>6393.7</v>
      </c>
      <c r="E425" s="220">
        <f t="shared" si="57"/>
        <v>11</v>
      </c>
      <c r="F425" s="220">
        <f t="shared" si="58"/>
        <v>1</v>
      </c>
    </row>
    <row r="426" ht="14.25" customHeight="1">
      <c r="B426" s="216"/>
      <c r="C426" s="223" t="s">
        <v>221</v>
      </c>
      <c r="D426" s="223"/>
      <c r="E426" s="216">
        <f>SUM(E395:E425)</f>
        <v>191.5</v>
      </c>
      <c r="F426" s="216">
        <f t="shared" si="58"/>
        <v>181.5</v>
      </c>
    </row>
    <row r="427" ht="13.5" customHeight="1"/>
    <row r="428" ht="14.25" customHeight="1">
      <c r="A428" s="249" t="s">
        <v>325</v>
      </c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1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 ht="14.25" customHeight="1"/>
    <row r="430" ht="14.25" customHeight="1">
      <c r="B430" s="216" t="s">
        <v>214</v>
      </c>
      <c r="C430" s="216" t="s">
        <v>215</v>
      </c>
      <c r="D430" s="216" t="s">
        <v>216</v>
      </c>
      <c r="E430" s="216" t="s">
        <v>217</v>
      </c>
      <c r="F430" s="216" t="s">
        <v>218</v>
      </c>
      <c r="H430" s="216" t="s">
        <v>238</v>
      </c>
      <c r="I430" s="216">
        <v>6393.7</v>
      </c>
      <c r="K430" s="270" t="s">
        <v>326</v>
      </c>
      <c r="L430" s="231"/>
    </row>
    <row r="431" ht="14.25" customHeight="1">
      <c r="B431" s="219">
        <v>45078.0</v>
      </c>
      <c r="C431" s="220">
        <v>6393.7</v>
      </c>
      <c r="D431" s="220">
        <v>6394.7</v>
      </c>
      <c r="E431" s="220">
        <f t="shared" ref="E431:E461" si="64">D431-C431</f>
        <v>1</v>
      </c>
      <c r="F431" s="220">
        <f t="shared" ref="F431:F462" si="65">E431-10</f>
        <v>-9</v>
      </c>
      <c r="H431" s="216" t="s">
        <v>245</v>
      </c>
      <c r="I431" s="216">
        <v>6581.2</v>
      </c>
      <c r="K431" s="216" t="s">
        <v>244</v>
      </c>
      <c r="L431" s="232">
        <v>1500.0</v>
      </c>
    </row>
    <row r="432" ht="14.25" customHeight="1">
      <c r="B432" s="219">
        <v>45079.0</v>
      </c>
      <c r="C432" s="220">
        <f t="shared" ref="C432:C433" si="66">D431</f>
        <v>6394.7</v>
      </c>
      <c r="D432" s="220">
        <v>6400.5</v>
      </c>
      <c r="E432" s="220">
        <f t="shared" si="64"/>
        <v>5.8</v>
      </c>
      <c r="F432" s="220">
        <f t="shared" si="65"/>
        <v>-4.2</v>
      </c>
      <c r="H432" s="216" t="s">
        <v>247</v>
      </c>
      <c r="I432" s="216">
        <v>187.5</v>
      </c>
      <c r="K432" s="216" t="s">
        <v>266</v>
      </c>
      <c r="L432" s="232"/>
    </row>
    <row r="433" ht="14.25" customHeight="1">
      <c r="B433" s="254">
        <v>45080.0</v>
      </c>
      <c r="C433" s="255">
        <f t="shared" si="66"/>
        <v>6400.5</v>
      </c>
      <c r="D433" s="255">
        <v>6410.5</v>
      </c>
      <c r="E433" s="255">
        <f t="shared" si="64"/>
        <v>10</v>
      </c>
      <c r="F433" s="255">
        <f t="shared" si="65"/>
        <v>0</v>
      </c>
      <c r="H433" s="216" t="s">
        <v>249</v>
      </c>
      <c r="I433" s="232">
        <v>7.0</v>
      </c>
      <c r="K433" s="216" t="s">
        <v>246</v>
      </c>
      <c r="L433" s="232">
        <f>I432*I433</f>
        <v>1312.5</v>
      </c>
    </row>
    <row r="434" ht="14.25" customHeight="1">
      <c r="B434" s="254">
        <v>45081.0</v>
      </c>
      <c r="C434" s="255"/>
      <c r="D434" s="255"/>
      <c r="E434" s="255">
        <f t="shared" si="64"/>
        <v>0</v>
      </c>
      <c r="F434" s="255">
        <f t="shared" si="65"/>
        <v>-10</v>
      </c>
      <c r="H434" s="216" t="s">
        <v>251</v>
      </c>
      <c r="I434" s="216">
        <v>3.8</v>
      </c>
      <c r="K434" s="216" t="s">
        <v>248</v>
      </c>
      <c r="L434" s="232">
        <f>I435*I434</f>
        <v>26.6</v>
      </c>
    </row>
    <row r="435" ht="14.25" customHeight="1">
      <c r="B435" s="219">
        <v>45082.0</v>
      </c>
      <c r="C435" s="220">
        <v>6410.5</v>
      </c>
      <c r="D435" s="220">
        <v>6415.2</v>
      </c>
      <c r="E435" s="220">
        <f t="shared" si="64"/>
        <v>4.7</v>
      </c>
      <c r="F435" s="220">
        <f t="shared" si="65"/>
        <v>-5.3</v>
      </c>
      <c r="H435" s="216" t="s">
        <v>249</v>
      </c>
      <c r="I435" s="232">
        <v>7.0</v>
      </c>
      <c r="K435" s="216" t="s">
        <v>318</v>
      </c>
      <c r="L435" s="232">
        <f>I436*100</f>
        <v>100</v>
      </c>
    </row>
    <row r="436" ht="14.25" customHeight="1">
      <c r="B436" s="219">
        <v>45083.0</v>
      </c>
      <c r="C436" s="220">
        <f t="shared" ref="C436:C437" si="67">D435</f>
        <v>6415.2</v>
      </c>
      <c r="D436" s="220">
        <v>6423.9</v>
      </c>
      <c r="E436" s="220">
        <f t="shared" si="64"/>
        <v>8.7</v>
      </c>
      <c r="F436" s="220">
        <f t="shared" si="65"/>
        <v>-1.3</v>
      </c>
      <c r="H436" s="216" t="s">
        <v>250</v>
      </c>
      <c r="I436" s="216">
        <v>1.0</v>
      </c>
      <c r="K436" s="216" t="s">
        <v>252</v>
      </c>
      <c r="L436" s="232"/>
    </row>
    <row r="437" ht="14.25" customHeight="1">
      <c r="B437" s="219">
        <v>45084.0</v>
      </c>
      <c r="C437" s="220">
        <f t="shared" si="67"/>
        <v>6423.9</v>
      </c>
      <c r="D437" s="220">
        <v>6432.4</v>
      </c>
      <c r="E437" s="220">
        <f t="shared" si="64"/>
        <v>8.5</v>
      </c>
      <c r="F437" s="220">
        <f t="shared" si="65"/>
        <v>-1.5</v>
      </c>
      <c r="K437" s="216" t="s">
        <v>320</v>
      </c>
      <c r="L437" s="269"/>
      <c r="M437" s="247">
        <v>45108.0</v>
      </c>
      <c r="N437" s="165">
        <v>1500.0</v>
      </c>
      <c r="O437" s="165" t="s">
        <v>33</v>
      </c>
    </row>
    <row r="438" ht="14.25" customHeight="1">
      <c r="B438" s="219">
        <v>45085.0</v>
      </c>
      <c r="C438" s="220"/>
      <c r="D438" s="220"/>
      <c r="E438" s="220">
        <f t="shared" si="64"/>
        <v>0</v>
      </c>
      <c r="F438" s="220">
        <f t="shared" si="65"/>
        <v>-10</v>
      </c>
      <c r="K438" s="216" t="s">
        <v>268</v>
      </c>
      <c r="L438" s="232">
        <f>L431+L433+L434+L435-L432-L436+L437</f>
        <v>2939.1</v>
      </c>
      <c r="M438" s="247">
        <v>45108.0</v>
      </c>
    </row>
    <row r="439" ht="14.25" customHeight="1">
      <c r="B439" s="219">
        <v>45086.0</v>
      </c>
      <c r="C439" s="220">
        <v>6432.4</v>
      </c>
      <c r="D439" s="220">
        <v>6440.6</v>
      </c>
      <c r="E439" s="220">
        <f t="shared" si="64"/>
        <v>8.2</v>
      </c>
      <c r="F439" s="220">
        <f t="shared" si="65"/>
        <v>-1.8</v>
      </c>
      <c r="K439" s="216" t="s">
        <v>269</v>
      </c>
      <c r="L439" s="229"/>
    </row>
    <row r="440" ht="14.25" customHeight="1">
      <c r="B440" s="254">
        <v>45087.0</v>
      </c>
      <c r="C440" s="255"/>
      <c r="D440" s="255"/>
      <c r="E440" s="255">
        <f t="shared" si="64"/>
        <v>0</v>
      </c>
      <c r="F440" s="255">
        <f t="shared" si="65"/>
        <v>-10</v>
      </c>
    </row>
    <row r="441" ht="14.25" customHeight="1">
      <c r="B441" s="254">
        <v>45088.0</v>
      </c>
      <c r="C441" s="255" t="str">
        <f>D440</f>
        <v/>
      </c>
      <c r="D441" s="255"/>
      <c r="E441" s="255">
        <f t="shared" si="64"/>
        <v>0</v>
      </c>
      <c r="F441" s="255">
        <f t="shared" si="65"/>
        <v>-10</v>
      </c>
    </row>
    <row r="442" ht="14.25" customHeight="1">
      <c r="B442" s="219">
        <v>45089.0</v>
      </c>
      <c r="C442" s="220">
        <v>6440.6</v>
      </c>
      <c r="D442" s="220">
        <v>6449.4</v>
      </c>
      <c r="E442" s="220">
        <f t="shared" si="64"/>
        <v>8.8</v>
      </c>
      <c r="F442" s="220">
        <f t="shared" si="65"/>
        <v>-1.2</v>
      </c>
      <c r="I442" s="4" t="s">
        <v>327</v>
      </c>
    </row>
    <row r="443" ht="14.25" customHeight="1">
      <c r="B443" s="219">
        <v>45090.0</v>
      </c>
      <c r="C443" s="220">
        <f t="shared" ref="C443:C447" si="68">D442</f>
        <v>6449.4</v>
      </c>
      <c r="D443" s="220">
        <v>6458.0</v>
      </c>
      <c r="E443" s="220">
        <f t="shared" si="64"/>
        <v>8.6</v>
      </c>
      <c r="F443" s="220">
        <f t="shared" si="65"/>
        <v>-1.4</v>
      </c>
    </row>
    <row r="444" ht="14.25" customHeight="1">
      <c r="B444" s="219">
        <v>45091.0</v>
      </c>
      <c r="C444" s="220">
        <f t="shared" si="68"/>
        <v>6458</v>
      </c>
      <c r="D444" s="220">
        <v>6466.2</v>
      </c>
      <c r="E444" s="220">
        <f t="shared" si="64"/>
        <v>8.2</v>
      </c>
      <c r="F444" s="220">
        <f t="shared" si="65"/>
        <v>-1.8</v>
      </c>
    </row>
    <row r="445" ht="14.25" customHeight="1">
      <c r="B445" s="219">
        <v>45092.0</v>
      </c>
      <c r="C445" s="220">
        <f t="shared" si="68"/>
        <v>6466.2</v>
      </c>
      <c r="D445" s="220">
        <v>6473.0</v>
      </c>
      <c r="E445" s="220">
        <f t="shared" si="64"/>
        <v>6.8</v>
      </c>
      <c r="F445" s="220">
        <f t="shared" si="65"/>
        <v>-3.2</v>
      </c>
    </row>
    <row r="446" ht="14.25" customHeight="1">
      <c r="B446" s="219">
        <v>45093.0</v>
      </c>
      <c r="C446" s="220">
        <f t="shared" si="68"/>
        <v>6473</v>
      </c>
      <c r="D446" s="220">
        <v>6482.7</v>
      </c>
      <c r="E446" s="220">
        <f t="shared" si="64"/>
        <v>9.7</v>
      </c>
      <c r="F446" s="220">
        <f t="shared" si="65"/>
        <v>-0.3</v>
      </c>
    </row>
    <row r="447" ht="14.25" customHeight="1">
      <c r="B447" s="254">
        <v>45094.0</v>
      </c>
      <c r="C447" s="255">
        <f t="shared" si="68"/>
        <v>6482.7</v>
      </c>
      <c r="D447" s="255">
        <v>6487.0</v>
      </c>
      <c r="E447" s="255">
        <f t="shared" si="64"/>
        <v>4.3</v>
      </c>
      <c r="F447" s="255">
        <f t="shared" si="65"/>
        <v>-5.7</v>
      </c>
    </row>
    <row r="448" ht="14.25" customHeight="1">
      <c r="B448" s="254">
        <v>45095.0</v>
      </c>
      <c r="C448" s="255"/>
      <c r="D448" s="255"/>
      <c r="E448" s="255">
        <f t="shared" si="64"/>
        <v>0</v>
      </c>
      <c r="F448" s="255">
        <f t="shared" si="65"/>
        <v>-10</v>
      </c>
    </row>
    <row r="449" ht="14.25" customHeight="1">
      <c r="B449" s="219">
        <v>45096.0</v>
      </c>
      <c r="C449" s="220">
        <v>6487.0</v>
      </c>
      <c r="D449" s="220">
        <v>6495.5</v>
      </c>
      <c r="E449" s="220">
        <f t="shared" si="64"/>
        <v>8.5</v>
      </c>
      <c r="F449" s="220">
        <f t="shared" si="65"/>
        <v>-1.5</v>
      </c>
    </row>
    <row r="450" ht="14.25" customHeight="1">
      <c r="B450" s="219">
        <v>45097.0</v>
      </c>
      <c r="C450" s="220">
        <f t="shared" ref="C450:C454" si="69">D449</f>
        <v>6495.5</v>
      </c>
      <c r="D450" s="220">
        <v>6504.4</v>
      </c>
      <c r="E450" s="220">
        <f t="shared" si="64"/>
        <v>8.9</v>
      </c>
      <c r="F450" s="220">
        <f t="shared" si="65"/>
        <v>-1.1</v>
      </c>
    </row>
    <row r="451" ht="14.25" customHeight="1">
      <c r="B451" s="219">
        <v>45098.0</v>
      </c>
      <c r="C451" s="220">
        <f t="shared" si="69"/>
        <v>6504.4</v>
      </c>
      <c r="D451" s="220">
        <v>6518.2</v>
      </c>
      <c r="E451" s="220">
        <f t="shared" si="64"/>
        <v>13.8</v>
      </c>
      <c r="F451" s="220">
        <f t="shared" si="65"/>
        <v>3.8</v>
      </c>
    </row>
    <row r="452" ht="14.25" customHeight="1">
      <c r="B452" s="219">
        <v>45099.0</v>
      </c>
      <c r="C452" s="220">
        <f t="shared" si="69"/>
        <v>6518.2</v>
      </c>
      <c r="D452" s="220">
        <v>6522.2</v>
      </c>
      <c r="E452" s="220">
        <f t="shared" si="64"/>
        <v>4</v>
      </c>
      <c r="F452" s="220">
        <f t="shared" si="65"/>
        <v>-6</v>
      </c>
    </row>
    <row r="453" ht="14.25" customHeight="1">
      <c r="B453" s="219">
        <v>45100.0</v>
      </c>
      <c r="C453" s="220">
        <f t="shared" si="69"/>
        <v>6522.2</v>
      </c>
      <c r="D453" s="220">
        <v>6531.5</v>
      </c>
      <c r="E453" s="220">
        <f t="shared" si="64"/>
        <v>9.3</v>
      </c>
      <c r="F453" s="220">
        <f t="shared" si="65"/>
        <v>-0.7</v>
      </c>
    </row>
    <row r="454" ht="14.25" customHeight="1">
      <c r="B454" s="254">
        <v>45101.0</v>
      </c>
      <c r="C454" s="255">
        <f t="shared" si="69"/>
        <v>6531.5</v>
      </c>
      <c r="D454" s="255">
        <v>6536.6</v>
      </c>
      <c r="E454" s="255">
        <f t="shared" si="64"/>
        <v>5.1</v>
      </c>
      <c r="F454" s="255">
        <f t="shared" si="65"/>
        <v>-4.9</v>
      </c>
    </row>
    <row r="455" ht="14.25" customHeight="1">
      <c r="B455" s="254">
        <v>45102.0</v>
      </c>
      <c r="C455" s="255"/>
      <c r="D455" s="255"/>
      <c r="E455" s="255">
        <f t="shared" si="64"/>
        <v>0</v>
      </c>
      <c r="F455" s="255">
        <f t="shared" si="65"/>
        <v>-10</v>
      </c>
    </row>
    <row r="456" ht="14.25" customHeight="1">
      <c r="B456" s="219">
        <v>45103.0</v>
      </c>
      <c r="C456" s="220">
        <v>6536.6</v>
      </c>
      <c r="D456" s="220">
        <v>6545.2</v>
      </c>
      <c r="E456" s="220">
        <f t="shared" si="64"/>
        <v>8.6</v>
      </c>
      <c r="F456" s="220">
        <f t="shared" si="65"/>
        <v>-1.4</v>
      </c>
    </row>
    <row r="457" ht="14.25" customHeight="1">
      <c r="B457" s="219">
        <v>45104.0</v>
      </c>
      <c r="C457" s="220">
        <f t="shared" ref="C457:C460" si="70">D456</f>
        <v>6545.2</v>
      </c>
      <c r="D457" s="220">
        <v>6554.2</v>
      </c>
      <c r="E457" s="220">
        <f t="shared" si="64"/>
        <v>9</v>
      </c>
      <c r="F457" s="220">
        <f t="shared" si="65"/>
        <v>-1</v>
      </c>
    </row>
    <row r="458" ht="14.25" customHeight="1">
      <c r="B458" s="219">
        <v>45105.0</v>
      </c>
      <c r="C458" s="220">
        <f t="shared" si="70"/>
        <v>6554.2</v>
      </c>
      <c r="D458" s="220">
        <v>6563.5</v>
      </c>
      <c r="E458" s="220">
        <f t="shared" si="64"/>
        <v>9.3</v>
      </c>
      <c r="F458" s="220">
        <f t="shared" si="65"/>
        <v>-0.7</v>
      </c>
    </row>
    <row r="459" ht="14.25" customHeight="1">
      <c r="B459" s="219">
        <v>45106.0</v>
      </c>
      <c r="C459" s="220">
        <f t="shared" si="70"/>
        <v>6563.5</v>
      </c>
      <c r="D459" s="220">
        <v>6572.5</v>
      </c>
      <c r="E459" s="220">
        <f t="shared" si="64"/>
        <v>9</v>
      </c>
      <c r="F459" s="220">
        <f t="shared" si="65"/>
        <v>-1</v>
      </c>
    </row>
    <row r="460" ht="14.25" customHeight="1">
      <c r="B460" s="219">
        <v>45107.0</v>
      </c>
      <c r="C460" s="220">
        <f t="shared" si="70"/>
        <v>6572.5</v>
      </c>
      <c r="D460" s="220">
        <v>6581.2</v>
      </c>
      <c r="E460" s="220">
        <f t="shared" si="64"/>
        <v>8.7</v>
      </c>
      <c r="F460" s="220">
        <f t="shared" si="65"/>
        <v>-1.3</v>
      </c>
    </row>
    <row r="461" ht="14.25" customHeight="1">
      <c r="B461" s="229"/>
      <c r="C461" s="220"/>
      <c r="D461" s="220"/>
      <c r="E461" s="220">
        <f t="shared" si="64"/>
        <v>0</v>
      </c>
      <c r="F461" s="220">
        <f t="shared" si="65"/>
        <v>-10</v>
      </c>
    </row>
    <row r="462" ht="14.25" customHeight="1">
      <c r="B462" s="216"/>
      <c r="C462" s="223" t="s">
        <v>221</v>
      </c>
      <c r="D462" s="223"/>
      <c r="E462" s="216">
        <f>SUM(E431:E461)</f>
        <v>187.5</v>
      </c>
      <c r="F462" s="216">
        <f t="shared" si="65"/>
        <v>177.5</v>
      </c>
    </row>
    <row r="463" ht="14.25" customHeight="1"/>
    <row r="464" ht="14.25" customHeight="1">
      <c r="A464" s="249" t="s">
        <v>328</v>
      </c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1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 ht="14.25" customHeight="1"/>
    <row r="466" ht="14.25" customHeight="1">
      <c r="B466" s="216" t="s">
        <v>214</v>
      </c>
      <c r="C466" s="216" t="s">
        <v>215</v>
      </c>
      <c r="D466" s="216" t="s">
        <v>216</v>
      </c>
      <c r="E466" s="216" t="s">
        <v>217</v>
      </c>
      <c r="F466" s="216" t="s">
        <v>218</v>
      </c>
      <c r="H466" s="216" t="s">
        <v>238</v>
      </c>
      <c r="I466" s="216"/>
      <c r="K466" s="270" t="s">
        <v>329</v>
      </c>
      <c r="L466" s="231"/>
    </row>
    <row r="467" ht="14.25" customHeight="1">
      <c r="B467" s="257">
        <v>45108.0</v>
      </c>
      <c r="C467" s="258">
        <v>6581.2</v>
      </c>
      <c r="D467" s="258">
        <v>6586.0</v>
      </c>
      <c r="E467" s="258">
        <f t="shared" ref="E467:E497" si="71">D467-C467</f>
        <v>4.8</v>
      </c>
      <c r="F467" s="258">
        <f t="shared" ref="F467:F498" si="72">E467-10</f>
        <v>-5.2</v>
      </c>
      <c r="H467" s="216" t="s">
        <v>245</v>
      </c>
      <c r="I467" s="216"/>
      <c r="K467" s="216" t="s">
        <v>244</v>
      </c>
      <c r="L467" s="232">
        <v>1500.0</v>
      </c>
    </row>
    <row r="468" ht="14.25" customHeight="1">
      <c r="B468" s="257">
        <v>45109.0</v>
      </c>
      <c r="C468" s="220"/>
      <c r="D468" s="220"/>
      <c r="E468" s="220">
        <f t="shared" si="71"/>
        <v>0</v>
      </c>
      <c r="F468" s="220">
        <f t="shared" si="72"/>
        <v>-10</v>
      </c>
      <c r="H468" s="216" t="s">
        <v>247</v>
      </c>
      <c r="I468" s="216">
        <v>190.9</v>
      </c>
      <c r="K468" s="216" t="s">
        <v>266</v>
      </c>
      <c r="L468" s="232">
        <v>1000.0</v>
      </c>
    </row>
    <row r="469" ht="14.25" customHeight="1">
      <c r="B469" s="257">
        <v>45110.0</v>
      </c>
      <c r="C469" s="220">
        <v>6586.0</v>
      </c>
      <c r="D469" s="220">
        <v>6597.0</v>
      </c>
      <c r="E469" s="220">
        <f t="shared" si="71"/>
        <v>11</v>
      </c>
      <c r="F469" s="220">
        <f t="shared" si="72"/>
        <v>1</v>
      </c>
      <c r="H469" s="216" t="s">
        <v>249</v>
      </c>
      <c r="I469" s="232">
        <v>10.0</v>
      </c>
      <c r="K469" s="216" t="s">
        <v>246</v>
      </c>
      <c r="L469" s="232">
        <f>I468*I469</f>
        <v>1909</v>
      </c>
    </row>
    <row r="470" ht="14.25" customHeight="1">
      <c r="B470" s="257">
        <v>45111.0</v>
      </c>
      <c r="C470" s="220">
        <v>15700.0</v>
      </c>
      <c r="D470" s="220">
        <v>15710.7</v>
      </c>
      <c r="E470" s="220">
        <f t="shared" si="71"/>
        <v>10.7</v>
      </c>
      <c r="F470" s="220">
        <f t="shared" si="72"/>
        <v>0.7</v>
      </c>
      <c r="G470" s="165" t="s">
        <v>95</v>
      </c>
      <c r="H470" s="216" t="s">
        <v>251</v>
      </c>
      <c r="I470" s="216">
        <v>3.7</v>
      </c>
      <c r="K470" s="216" t="s">
        <v>248</v>
      </c>
      <c r="L470" s="232">
        <f>I471*I470</f>
        <v>25.9</v>
      </c>
    </row>
    <row r="471" ht="14.25" customHeight="1">
      <c r="B471" s="257">
        <v>45112.0</v>
      </c>
      <c r="C471" s="220">
        <f t="shared" ref="C471:C473" si="73">D470</f>
        <v>15710.7</v>
      </c>
      <c r="D471" s="220">
        <v>15720.7</v>
      </c>
      <c r="E471" s="220">
        <f t="shared" si="71"/>
        <v>10</v>
      </c>
      <c r="F471" s="220">
        <f t="shared" si="72"/>
        <v>0</v>
      </c>
      <c r="H471" s="216" t="s">
        <v>249</v>
      </c>
      <c r="I471" s="232">
        <v>7.0</v>
      </c>
      <c r="K471" s="216" t="s">
        <v>318</v>
      </c>
      <c r="L471" s="232">
        <f>I472*100</f>
        <v>0</v>
      </c>
    </row>
    <row r="472" ht="14.25" customHeight="1">
      <c r="B472" s="257">
        <v>45113.0</v>
      </c>
      <c r="C472" s="220">
        <f t="shared" si="73"/>
        <v>15720.7</v>
      </c>
      <c r="D472" s="220">
        <v>15728.5</v>
      </c>
      <c r="E472" s="220">
        <f t="shared" si="71"/>
        <v>7.8</v>
      </c>
      <c r="F472" s="220">
        <f t="shared" si="72"/>
        <v>-2.2</v>
      </c>
      <c r="H472" s="216" t="s">
        <v>250</v>
      </c>
      <c r="I472" s="216"/>
      <c r="K472" s="216" t="s">
        <v>252</v>
      </c>
      <c r="L472" s="232"/>
    </row>
    <row r="473" ht="14.25" customHeight="1">
      <c r="B473" s="257">
        <v>45114.0</v>
      </c>
      <c r="C473" s="220">
        <f t="shared" si="73"/>
        <v>15728.5</v>
      </c>
      <c r="D473" s="220">
        <v>15737.5</v>
      </c>
      <c r="E473" s="220">
        <f t="shared" si="71"/>
        <v>9</v>
      </c>
      <c r="F473" s="220">
        <f t="shared" si="72"/>
        <v>-1</v>
      </c>
      <c r="H473" s="216" t="s">
        <v>330</v>
      </c>
      <c r="I473" s="271">
        <v>1.0</v>
      </c>
      <c r="K473" s="216"/>
      <c r="L473" s="269"/>
    </row>
    <row r="474" ht="14.25" customHeight="1">
      <c r="B474" s="257">
        <v>45115.0</v>
      </c>
      <c r="C474" s="258"/>
      <c r="D474" s="258"/>
      <c r="E474" s="258">
        <f t="shared" si="71"/>
        <v>0</v>
      </c>
      <c r="F474" s="258">
        <f t="shared" si="72"/>
        <v>-10</v>
      </c>
      <c r="K474" s="216" t="s">
        <v>268</v>
      </c>
      <c r="L474" s="232">
        <f>L467+L469+L470+L471-L468-L472+L473</f>
        <v>2434.9</v>
      </c>
    </row>
    <row r="475" ht="14.25" customHeight="1">
      <c r="B475" s="257">
        <v>45116.0</v>
      </c>
      <c r="C475" s="258" t="str">
        <f>D474</f>
        <v/>
      </c>
      <c r="D475" s="258"/>
      <c r="E475" s="258">
        <f t="shared" si="71"/>
        <v>0</v>
      </c>
      <c r="F475" s="258">
        <f t="shared" si="72"/>
        <v>-10</v>
      </c>
      <c r="K475" s="216" t="s">
        <v>269</v>
      </c>
      <c r="L475" s="229"/>
    </row>
    <row r="476" ht="14.25" customHeight="1">
      <c r="B476" s="257">
        <v>45117.0</v>
      </c>
      <c r="C476" s="220">
        <v>15742.1</v>
      </c>
      <c r="D476" s="220">
        <v>15749.8</v>
      </c>
      <c r="E476" s="220">
        <f t="shared" si="71"/>
        <v>7.7</v>
      </c>
      <c r="F476" s="220">
        <f t="shared" si="72"/>
        <v>-2.3</v>
      </c>
      <c r="K476" s="246" t="s">
        <v>33</v>
      </c>
    </row>
    <row r="477" ht="14.25" customHeight="1">
      <c r="B477" s="257">
        <v>45118.0</v>
      </c>
      <c r="C477" s="220">
        <f t="shared" ref="C477:C478" si="74">D476</f>
        <v>15749.8</v>
      </c>
      <c r="D477" s="220">
        <v>15758.8</v>
      </c>
      <c r="E477" s="220">
        <f t="shared" si="71"/>
        <v>9</v>
      </c>
      <c r="F477" s="220">
        <f t="shared" si="72"/>
        <v>-1</v>
      </c>
    </row>
    <row r="478" ht="14.25" customHeight="1">
      <c r="B478" s="257">
        <v>45119.0</v>
      </c>
      <c r="C478" s="220">
        <f t="shared" si="74"/>
        <v>15758.8</v>
      </c>
      <c r="D478" s="220">
        <v>15768.2</v>
      </c>
      <c r="E478" s="220">
        <f t="shared" si="71"/>
        <v>9.4</v>
      </c>
      <c r="F478" s="220">
        <f t="shared" si="72"/>
        <v>-0.6</v>
      </c>
    </row>
    <row r="479" ht="14.25" customHeight="1">
      <c r="B479" s="257">
        <v>45120.0</v>
      </c>
      <c r="C479" s="220"/>
      <c r="D479" s="220"/>
      <c r="E479" s="220">
        <f t="shared" si="71"/>
        <v>0</v>
      </c>
      <c r="F479" s="220">
        <f t="shared" si="72"/>
        <v>-10</v>
      </c>
      <c r="H479" s="165" t="s">
        <v>331</v>
      </c>
    </row>
    <row r="480" ht="14.25" customHeight="1">
      <c r="B480" s="257">
        <v>45121.0</v>
      </c>
      <c r="C480" s="220">
        <v>15768.2</v>
      </c>
      <c r="D480" s="220">
        <v>15776.2</v>
      </c>
      <c r="E480" s="220">
        <f t="shared" si="71"/>
        <v>8</v>
      </c>
      <c r="F480" s="220">
        <f t="shared" si="72"/>
        <v>-2</v>
      </c>
      <c r="G480" s="165">
        <f>D495-C470</f>
        <v>175.1</v>
      </c>
      <c r="H480" s="165">
        <f>G480*G481</f>
        <v>1225.7</v>
      </c>
    </row>
    <row r="481" ht="14.25" customHeight="1">
      <c r="B481" s="257">
        <v>45122.0</v>
      </c>
      <c r="C481" s="258"/>
      <c r="D481" s="258"/>
      <c r="E481" s="258">
        <f t="shared" si="71"/>
        <v>0</v>
      </c>
      <c r="F481" s="258">
        <f t="shared" si="72"/>
        <v>-10</v>
      </c>
      <c r="G481" s="165">
        <v>7.0</v>
      </c>
      <c r="H481" s="165">
        <v>1500.0</v>
      </c>
    </row>
    <row r="482" ht="14.25" customHeight="1">
      <c r="B482" s="257">
        <v>45123.0</v>
      </c>
      <c r="C482" s="258" t="str">
        <f>D481</f>
        <v/>
      </c>
      <c r="D482" s="258"/>
      <c r="E482" s="258">
        <f t="shared" si="71"/>
        <v>0</v>
      </c>
      <c r="F482" s="258">
        <f t="shared" si="72"/>
        <v>-10</v>
      </c>
      <c r="H482" s="165">
        <f>H481+H480</f>
        <v>2725.7</v>
      </c>
    </row>
    <row r="483" ht="14.25" customHeight="1">
      <c r="B483" s="257">
        <v>45124.0</v>
      </c>
      <c r="C483" s="220">
        <v>15776.2</v>
      </c>
      <c r="D483" s="220">
        <v>15785.2</v>
      </c>
      <c r="E483" s="220">
        <f t="shared" si="71"/>
        <v>9</v>
      </c>
      <c r="F483" s="220">
        <f t="shared" si="72"/>
        <v>-1</v>
      </c>
    </row>
    <row r="484" ht="14.25" customHeight="1">
      <c r="B484" s="257">
        <v>45125.0</v>
      </c>
      <c r="C484" s="220">
        <f t="shared" ref="C484:C488" si="75">D483</f>
        <v>15785.2</v>
      </c>
      <c r="D484" s="220">
        <v>15795.2</v>
      </c>
      <c r="E484" s="220">
        <f t="shared" si="71"/>
        <v>10</v>
      </c>
      <c r="F484" s="220">
        <f t="shared" si="72"/>
        <v>0</v>
      </c>
    </row>
    <row r="485" ht="14.25" customHeight="1">
      <c r="B485" s="257">
        <v>45126.0</v>
      </c>
      <c r="C485" s="220">
        <f t="shared" si="75"/>
        <v>15795.2</v>
      </c>
      <c r="D485" s="220">
        <v>15803.7</v>
      </c>
      <c r="E485" s="220">
        <f t="shared" si="71"/>
        <v>8.5</v>
      </c>
      <c r="F485" s="220">
        <f t="shared" si="72"/>
        <v>-1.5</v>
      </c>
      <c r="K485" s="270" t="s">
        <v>332</v>
      </c>
      <c r="L485" s="231"/>
    </row>
    <row r="486" ht="14.25" customHeight="1">
      <c r="B486" s="257">
        <v>45127.0</v>
      </c>
      <c r="C486" s="220">
        <f t="shared" si="75"/>
        <v>15803.7</v>
      </c>
      <c r="D486" s="220">
        <v>15811.0</v>
      </c>
      <c r="E486" s="220">
        <f t="shared" si="71"/>
        <v>7.3</v>
      </c>
      <c r="F486" s="220">
        <f t="shared" si="72"/>
        <v>-2.7</v>
      </c>
      <c r="K486" s="216" t="s">
        <v>244</v>
      </c>
      <c r="L486" s="232">
        <v>1500.0</v>
      </c>
    </row>
    <row r="487" ht="14.25" customHeight="1">
      <c r="B487" s="257">
        <v>45128.0</v>
      </c>
      <c r="C487" s="220">
        <f t="shared" si="75"/>
        <v>15811</v>
      </c>
      <c r="D487" s="220">
        <v>15820.7</v>
      </c>
      <c r="E487" s="220">
        <f t="shared" si="71"/>
        <v>9.7</v>
      </c>
      <c r="F487" s="220">
        <f t="shared" si="72"/>
        <v>-0.3</v>
      </c>
      <c r="K487" s="216" t="s">
        <v>266</v>
      </c>
      <c r="L487" s="232"/>
    </row>
    <row r="488" ht="14.25" customHeight="1">
      <c r="B488" s="257">
        <v>45129.0</v>
      </c>
      <c r="C488" s="258">
        <f t="shared" si="75"/>
        <v>15820.7</v>
      </c>
      <c r="D488" s="258">
        <v>15825.2</v>
      </c>
      <c r="E488" s="258">
        <f t="shared" si="71"/>
        <v>4.5</v>
      </c>
      <c r="F488" s="258">
        <f t="shared" si="72"/>
        <v>-5.5</v>
      </c>
      <c r="K488" s="216" t="s">
        <v>246</v>
      </c>
      <c r="L488" s="232">
        <f>I468*I469</f>
        <v>1909</v>
      </c>
    </row>
    <row r="489" ht="14.25" customHeight="1">
      <c r="B489" s="257">
        <v>45130.0</v>
      </c>
      <c r="C489" s="258"/>
      <c r="D489" s="258"/>
      <c r="E489" s="258">
        <f t="shared" si="71"/>
        <v>0</v>
      </c>
      <c r="F489" s="258">
        <f t="shared" si="72"/>
        <v>-10</v>
      </c>
      <c r="K489" s="216" t="s">
        <v>248</v>
      </c>
      <c r="L489" s="232">
        <f>I470*I471</f>
        <v>25.9</v>
      </c>
    </row>
    <row r="490" ht="14.25" customHeight="1">
      <c r="B490" s="257">
        <v>45131.0</v>
      </c>
      <c r="C490" s="220">
        <v>15825.2</v>
      </c>
      <c r="D490" s="220">
        <v>15832.0</v>
      </c>
      <c r="E490" s="220">
        <f t="shared" si="71"/>
        <v>6.8</v>
      </c>
      <c r="F490" s="220">
        <f t="shared" si="72"/>
        <v>-3.2</v>
      </c>
      <c r="K490" s="216" t="s">
        <v>318</v>
      </c>
      <c r="L490" s="232">
        <f>I472*100</f>
        <v>0</v>
      </c>
    </row>
    <row r="491" ht="14.25" customHeight="1">
      <c r="B491" s="257">
        <v>45132.0</v>
      </c>
      <c r="C491" s="220">
        <f t="shared" ref="C491:C495" si="76">D490</f>
        <v>15832</v>
      </c>
      <c r="D491" s="220">
        <v>15843.0</v>
      </c>
      <c r="E491" s="220">
        <f t="shared" si="71"/>
        <v>11</v>
      </c>
      <c r="F491" s="220">
        <f t="shared" si="72"/>
        <v>1</v>
      </c>
      <c r="K491" s="216" t="s">
        <v>252</v>
      </c>
      <c r="L491" s="232"/>
    </row>
    <row r="492" ht="14.25" customHeight="1">
      <c r="B492" s="257">
        <v>45133.0</v>
      </c>
      <c r="C492" s="220">
        <f t="shared" si="76"/>
        <v>15843</v>
      </c>
      <c r="D492" s="220">
        <v>15850.0</v>
      </c>
      <c r="E492" s="220">
        <f t="shared" si="71"/>
        <v>7</v>
      </c>
      <c r="F492" s="220">
        <f t="shared" si="72"/>
        <v>-3</v>
      </c>
      <c r="K492" s="216"/>
      <c r="L492" s="269"/>
    </row>
    <row r="493" ht="14.25" customHeight="1">
      <c r="B493" s="257">
        <v>45134.0</v>
      </c>
      <c r="C493" s="220">
        <f t="shared" si="76"/>
        <v>15850</v>
      </c>
      <c r="D493" s="220">
        <v>15861.0</v>
      </c>
      <c r="E493" s="220">
        <f t="shared" si="71"/>
        <v>11</v>
      </c>
      <c r="F493" s="220">
        <f t="shared" si="72"/>
        <v>1</v>
      </c>
      <c r="K493" s="216" t="s">
        <v>268</v>
      </c>
      <c r="L493" s="232">
        <f>L486+L488+L489+L490-L487-L491+L492</f>
        <v>3434.9</v>
      </c>
    </row>
    <row r="494" ht="14.25" customHeight="1">
      <c r="B494" s="257">
        <v>45135.0</v>
      </c>
      <c r="C494" s="220">
        <f t="shared" si="76"/>
        <v>15861</v>
      </c>
      <c r="D494" s="220">
        <v>15870.5</v>
      </c>
      <c r="E494" s="220">
        <f t="shared" si="71"/>
        <v>9.5</v>
      </c>
      <c r="F494" s="220">
        <f t="shared" si="72"/>
        <v>-0.5</v>
      </c>
      <c r="K494" s="216" t="s">
        <v>269</v>
      </c>
      <c r="L494" s="229"/>
    </row>
    <row r="495" ht="14.25" customHeight="1">
      <c r="B495" s="257">
        <v>45136.0</v>
      </c>
      <c r="C495" s="258">
        <f t="shared" si="76"/>
        <v>15870.5</v>
      </c>
      <c r="D495" s="258">
        <v>15875.1</v>
      </c>
      <c r="E495" s="258">
        <f t="shared" si="71"/>
        <v>4.6</v>
      </c>
      <c r="F495" s="258">
        <f t="shared" si="72"/>
        <v>-5.4</v>
      </c>
      <c r="G495" s="165" t="s">
        <v>95</v>
      </c>
    </row>
    <row r="496" ht="14.25" customHeight="1">
      <c r="B496" s="257">
        <v>45137.0</v>
      </c>
      <c r="C496" s="258"/>
      <c r="D496" s="258"/>
      <c r="E496" s="258">
        <f t="shared" si="71"/>
        <v>0</v>
      </c>
      <c r="F496" s="258">
        <f t="shared" si="72"/>
        <v>-10</v>
      </c>
    </row>
    <row r="497" ht="14.25" customHeight="1">
      <c r="B497" s="219"/>
      <c r="C497" s="220">
        <v>15870.5</v>
      </c>
      <c r="D497" s="220">
        <v>15875.1</v>
      </c>
      <c r="E497" s="220">
        <f t="shared" si="71"/>
        <v>4.6</v>
      </c>
      <c r="F497" s="220">
        <f t="shared" si="72"/>
        <v>-5.4</v>
      </c>
    </row>
    <row r="498" ht="14.25" customHeight="1">
      <c r="B498" s="216"/>
      <c r="C498" s="223" t="s">
        <v>221</v>
      </c>
      <c r="D498" s="223"/>
      <c r="E498" s="216">
        <f>SUM(E467:E497)</f>
        <v>190.9</v>
      </c>
      <c r="F498" s="216">
        <f t="shared" si="72"/>
        <v>180.9</v>
      </c>
    </row>
    <row r="499" ht="14.25" customHeight="1"/>
    <row r="500" ht="14.25" customHeight="1">
      <c r="A500" s="272" t="s">
        <v>333</v>
      </c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1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 ht="14.25" customHeight="1"/>
    <row r="502" ht="14.25" customHeight="1">
      <c r="B502" s="216" t="s">
        <v>214</v>
      </c>
      <c r="C502" s="216" t="s">
        <v>215</v>
      </c>
      <c r="D502" s="216" t="s">
        <v>216</v>
      </c>
      <c r="E502" s="216" t="s">
        <v>217</v>
      </c>
      <c r="F502" s="216" t="s">
        <v>218</v>
      </c>
      <c r="H502" s="216" t="s">
        <v>238</v>
      </c>
      <c r="I502" s="216"/>
      <c r="K502" s="270" t="s">
        <v>334</v>
      </c>
      <c r="L502" s="231"/>
    </row>
    <row r="503" ht="14.25" customHeight="1">
      <c r="B503" s="219">
        <v>45139.0</v>
      </c>
      <c r="C503" s="220"/>
      <c r="D503" s="220"/>
      <c r="E503" s="220">
        <f t="shared" ref="E503:E517" si="77">D503-C503</f>
        <v>0</v>
      </c>
      <c r="F503" s="220">
        <f t="shared" ref="F503:F534" si="78">E503-10</f>
        <v>-10</v>
      </c>
      <c r="H503" s="216" t="s">
        <v>245</v>
      </c>
      <c r="I503" s="216"/>
      <c r="K503" s="216" t="s">
        <v>244</v>
      </c>
      <c r="L503" s="232">
        <v>1500.0</v>
      </c>
    </row>
    <row r="504" ht="14.25" customHeight="1">
      <c r="B504" s="219">
        <v>45140.0</v>
      </c>
      <c r="C504" s="220">
        <v>7296.1</v>
      </c>
      <c r="D504" s="220">
        <v>7301.1</v>
      </c>
      <c r="E504" s="220">
        <f t="shared" si="77"/>
        <v>5</v>
      </c>
      <c r="F504" s="220">
        <f t="shared" si="78"/>
        <v>-5</v>
      </c>
      <c r="H504" s="216" t="s">
        <v>247</v>
      </c>
      <c r="I504" s="216">
        <v>178.6</v>
      </c>
      <c r="K504" s="216" t="s">
        <v>266</v>
      </c>
      <c r="L504" s="232"/>
    </row>
    <row r="505" ht="14.25" customHeight="1">
      <c r="B505" s="219">
        <v>45141.0</v>
      </c>
      <c r="C505" s="220"/>
      <c r="D505" s="220"/>
      <c r="E505" s="220">
        <f t="shared" si="77"/>
        <v>0</v>
      </c>
      <c r="F505" s="220">
        <f t="shared" si="78"/>
        <v>-10</v>
      </c>
      <c r="H505" s="216" t="s">
        <v>249</v>
      </c>
      <c r="I505" s="232">
        <v>10.0</v>
      </c>
      <c r="K505" s="216" t="s">
        <v>246</v>
      </c>
      <c r="L505" s="232">
        <f>I504*I505</f>
        <v>1786</v>
      </c>
    </row>
    <row r="506" ht="14.25" customHeight="1">
      <c r="B506" s="219">
        <v>45142.0</v>
      </c>
      <c r="C506" s="220" t="str">
        <f>D505</f>
        <v/>
      </c>
      <c r="D506" s="220"/>
      <c r="E506" s="220">
        <f t="shared" si="77"/>
        <v>0</v>
      </c>
      <c r="F506" s="220">
        <f t="shared" si="78"/>
        <v>-10</v>
      </c>
      <c r="H506" s="216" t="s">
        <v>251</v>
      </c>
      <c r="I506" s="216">
        <v>3.5</v>
      </c>
      <c r="K506" s="216" t="s">
        <v>248</v>
      </c>
      <c r="L506" s="232">
        <f>I507*I506</f>
        <v>35</v>
      </c>
    </row>
    <row r="507" ht="14.25" customHeight="1">
      <c r="B507" s="259">
        <v>45143.0</v>
      </c>
      <c r="C507" s="273">
        <v>15063.0</v>
      </c>
      <c r="D507" s="273">
        <v>15067.0</v>
      </c>
      <c r="E507" s="273">
        <f t="shared" si="77"/>
        <v>4</v>
      </c>
      <c r="F507" s="273">
        <f t="shared" si="78"/>
        <v>-6</v>
      </c>
      <c r="H507" s="216" t="s">
        <v>249</v>
      </c>
      <c r="I507" s="232">
        <v>10.0</v>
      </c>
      <c r="K507" s="216" t="s">
        <v>318</v>
      </c>
      <c r="L507" s="232">
        <f>I508*100</f>
        <v>350</v>
      </c>
    </row>
    <row r="508" ht="14.25" customHeight="1">
      <c r="B508" s="259">
        <v>45144.0</v>
      </c>
      <c r="C508" s="273"/>
      <c r="D508" s="273"/>
      <c r="E508" s="273">
        <f t="shared" si="77"/>
        <v>0</v>
      </c>
      <c r="F508" s="273">
        <f t="shared" si="78"/>
        <v>-10</v>
      </c>
      <c r="H508" s="216" t="s">
        <v>250</v>
      </c>
      <c r="I508" s="216">
        <v>3.5</v>
      </c>
      <c r="K508" s="216" t="s">
        <v>252</v>
      </c>
      <c r="L508" s="232"/>
    </row>
    <row r="509" ht="14.25" customHeight="1">
      <c r="B509" s="219">
        <v>45145.0</v>
      </c>
      <c r="C509" s="220" t="str">
        <f t="shared" ref="C509:C510" si="79">D508</f>
        <v/>
      </c>
      <c r="D509" s="220"/>
      <c r="E509" s="220">
        <f t="shared" si="77"/>
        <v>0</v>
      </c>
      <c r="F509" s="220">
        <f t="shared" si="78"/>
        <v>-10</v>
      </c>
      <c r="K509" s="216" t="s">
        <v>320</v>
      </c>
      <c r="L509" s="269"/>
    </row>
    <row r="510" ht="14.25" customHeight="1">
      <c r="B510" s="219">
        <v>45146.0</v>
      </c>
      <c r="C510" s="220" t="str">
        <f t="shared" si="79"/>
        <v/>
      </c>
      <c r="D510" s="220"/>
      <c r="E510" s="220">
        <f t="shared" si="77"/>
        <v>0</v>
      </c>
      <c r="F510" s="220">
        <f t="shared" si="78"/>
        <v>-10</v>
      </c>
      <c r="K510" s="216" t="s">
        <v>268</v>
      </c>
      <c r="L510" s="232">
        <f>L503+L505+L506+L507-L504-L508+L509</f>
        <v>3671</v>
      </c>
    </row>
    <row r="511" ht="14.25" customHeight="1">
      <c r="B511" s="219">
        <v>45147.0</v>
      </c>
      <c r="C511" s="220">
        <v>2904.0</v>
      </c>
      <c r="D511" s="220">
        <v>2909.4</v>
      </c>
      <c r="E511" s="220">
        <f t="shared" si="77"/>
        <v>5.4</v>
      </c>
      <c r="F511" s="220">
        <f t="shared" si="78"/>
        <v>-4.6</v>
      </c>
      <c r="K511" s="216" t="s">
        <v>269</v>
      </c>
      <c r="L511" s="229"/>
    </row>
    <row r="512" ht="14.25" customHeight="1">
      <c r="B512" s="219">
        <v>45148.0</v>
      </c>
      <c r="C512" s="220">
        <f t="shared" ref="C512:C514" si="80">D511</f>
        <v>2909.4</v>
      </c>
      <c r="D512" s="220">
        <v>2912.9</v>
      </c>
      <c r="E512" s="220">
        <f t="shared" si="77"/>
        <v>3.5</v>
      </c>
      <c r="F512" s="220">
        <f t="shared" si="78"/>
        <v>-6.5</v>
      </c>
    </row>
    <row r="513" ht="14.25" customHeight="1">
      <c r="B513" s="219">
        <v>45149.0</v>
      </c>
      <c r="C513" s="220">
        <f t="shared" si="80"/>
        <v>2912.9</v>
      </c>
      <c r="D513" s="220">
        <v>2915.5</v>
      </c>
      <c r="E513" s="220">
        <f t="shared" si="77"/>
        <v>2.6</v>
      </c>
      <c r="F513" s="220">
        <f t="shared" si="78"/>
        <v>-7.4</v>
      </c>
    </row>
    <row r="514" ht="14.25" customHeight="1">
      <c r="B514" s="259">
        <v>45150.0</v>
      </c>
      <c r="C514" s="273">
        <f t="shared" si="80"/>
        <v>2915.5</v>
      </c>
      <c r="D514" s="273">
        <v>2925.5</v>
      </c>
      <c r="E514" s="273">
        <f t="shared" si="77"/>
        <v>10</v>
      </c>
      <c r="F514" s="273">
        <f t="shared" si="78"/>
        <v>0</v>
      </c>
    </row>
    <row r="515" ht="14.25" customHeight="1">
      <c r="B515" s="259">
        <v>45151.0</v>
      </c>
      <c r="C515" s="273"/>
      <c r="D515" s="273"/>
      <c r="E515" s="273">
        <f t="shared" si="77"/>
        <v>0</v>
      </c>
      <c r="F515" s="273">
        <f t="shared" si="78"/>
        <v>-10</v>
      </c>
    </row>
    <row r="516" ht="14.25" customHeight="1">
      <c r="B516" s="219">
        <v>45152.0</v>
      </c>
      <c r="C516" s="220">
        <v>2925.5</v>
      </c>
      <c r="D516" s="220">
        <v>2934.5</v>
      </c>
      <c r="E516" s="220">
        <f t="shared" si="77"/>
        <v>9</v>
      </c>
      <c r="F516" s="220">
        <f t="shared" si="78"/>
        <v>-1</v>
      </c>
    </row>
    <row r="517" ht="14.25" customHeight="1">
      <c r="B517" s="219">
        <v>45153.0</v>
      </c>
      <c r="C517" s="220">
        <f>D516</f>
        <v>2934.5</v>
      </c>
      <c r="D517" s="220">
        <v>2943.5</v>
      </c>
      <c r="E517" s="220">
        <f t="shared" si="77"/>
        <v>9</v>
      </c>
      <c r="F517" s="220">
        <f t="shared" si="78"/>
        <v>-1</v>
      </c>
    </row>
    <row r="518" ht="14.25" customHeight="1">
      <c r="B518" s="219">
        <v>45154.0</v>
      </c>
      <c r="C518" s="220"/>
      <c r="D518" s="220"/>
      <c r="E518" s="220">
        <v>8.0</v>
      </c>
      <c r="F518" s="220">
        <f t="shared" si="78"/>
        <v>-2</v>
      </c>
    </row>
    <row r="519" ht="14.25" customHeight="1">
      <c r="B519" s="219">
        <v>45155.0</v>
      </c>
      <c r="C519" s="220">
        <v>2953.5</v>
      </c>
      <c r="D519" s="220">
        <v>2956.0</v>
      </c>
      <c r="E519" s="220">
        <f t="shared" ref="E519:E533" si="81">D519-C519</f>
        <v>2.5</v>
      </c>
      <c r="F519" s="220">
        <f t="shared" si="78"/>
        <v>-7.5</v>
      </c>
    </row>
    <row r="520" ht="14.25" customHeight="1">
      <c r="B520" s="219">
        <v>45156.0</v>
      </c>
      <c r="C520" s="220">
        <f t="shared" ref="C520:C528" si="82">D519</f>
        <v>2956</v>
      </c>
      <c r="D520" s="220">
        <v>2964.0</v>
      </c>
      <c r="E520" s="220">
        <f t="shared" si="81"/>
        <v>8</v>
      </c>
      <c r="F520" s="220">
        <f t="shared" si="78"/>
        <v>-2</v>
      </c>
    </row>
    <row r="521" ht="14.25" customHeight="1">
      <c r="B521" s="259">
        <v>45157.0</v>
      </c>
      <c r="C521" s="273">
        <f t="shared" si="82"/>
        <v>2964</v>
      </c>
      <c r="D521" s="273">
        <v>2974.0</v>
      </c>
      <c r="E521" s="273">
        <f t="shared" si="81"/>
        <v>10</v>
      </c>
      <c r="F521" s="273">
        <f t="shared" si="78"/>
        <v>0</v>
      </c>
    </row>
    <row r="522" ht="14.25" customHeight="1">
      <c r="B522" s="259">
        <v>45158.0</v>
      </c>
      <c r="C522" s="273">
        <f t="shared" si="82"/>
        <v>2974</v>
      </c>
      <c r="D522" s="273">
        <v>2979.3</v>
      </c>
      <c r="E522" s="273">
        <f t="shared" si="81"/>
        <v>5.3</v>
      </c>
      <c r="F522" s="273">
        <f t="shared" si="78"/>
        <v>-4.7</v>
      </c>
      <c r="G522" s="165">
        <v>50.0</v>
      </c>
    </row>
    <row r="523" ht="14.25" customHeight="1">
      <c r="B523" s="219">
        <v>45159.0</v>
      </c>
      <c r="C523" s="220">
        <f t="shared" si="82"/>
        <v>2979.3</v>
      </c>
      <c r="D523" s="220">
        <v>2985.8</v>
      </c>
      <c r="E523" s="220">
        <f t="shared" si="81"/>
        <v>6.5</v>
      </c>
      <c r="F523" s="220">
        <f t="shared" si="78"/>
        <v>-3.5</v>
      </c>
    </row>
    <row r="524" ht="14.25" customHeight="1">
      <c r="B524" s="219">
        <v>45160.0</v>
      </c>
      <c r="C524" s="220">
        <f t="shared" si="82"/>
        <v>2985.8</v>
      </c>
      <c r="D524" s="220">
        <v>2995.8</v>
      </c>
      <c r="E524" s="220">
        <f t="shared" si="81"/>
        <v>10</v>
      </c>
      <c r="F524" s="220">
        <f t="shared" si="78"/>
        <v>0</v>
      </c>
    </row>
    <row r="525" ht="14.25" customHeight="1">
      <c r="B525" s="219">
        <v>45161.0</v>
      </c>
      <c r="C525" s="220">
        <f t="shared" si="82"/>
        <v>2995.8</v>
      </c>
      <c r="D525" s="220">
        <v>3005.8</v>
      </c>
      <c r="E525" s="220">
        <f t="shared" si="81"/>
        <v>10</v>
      </c>
      <c r="F525" s="220">
        <f t="shared" si="78"/>
        <v>0</v>
      </c>
    </row>
    <row r="526" ht="14.25" customHeight="1">
      <c r="B526" s="219">
        <v>45162.0</v>
      </c>
      <c r="C526" s="220">
        <f t="shared" si="82"/>
        <v>3005.8</v>
      </c>
      <c r="D526" s="220">
        <v>3015.8</v>
      </c>
      <c r="E526" s="220">
        <f t="shared" si="81"/>
        <v>10</v>
      </c>
      <c r="F526" s="220">
        <f t="shared" si="78"/>
        <v>0</v>
      </c>
    </row>
    <row r="527" ht="14.25" customHeight="1">
      <c r="B527" s="219">
        <v>45163.0</v>
      </c>
      <c r="C527" s="220">
        <f t="shared" si="82"/>
        <v>3015.8</v>
      </c>
      <c r="D527" s="220">
        <v>3025.8</v>
      </c>
      <c r="E527" s="220">
        <f t="shared" si="81"/>
        <v>10</v>
      </c>
      <c r="F527" s="220">
        <f t="shared" si="78"/>
        <v>0</v>
      </c>
    </row>
    <row r="528" ht="14.25" customHeight="1">
      <c r="B528" s="259">
        <v>45164.0</v>
      </c>
      <c r="C528" s="273">
        <f t="shared" si="82"/>
        <v>3025.8</v>
      </c>
      <c r="D528" s="273">
        <v>3035.8</v>
      </c>
      <c r="E528" s="273">
        <f t="shared" si="81"/>
        <v>10</v>
      </c>
      <c r="F528" s="273">
        <f t="shared" si="78"/>
        <v>0</v>
      </c>
    </row>
    <row r="529" ht="14.25" customHeight="1">
      <c r="B529" s="259">
        <v>45165.0</v>
      </c>
      <c r="C529" s="273"/>
      <c r="D529" s="273"/>
      <c r="E529" s="273">
        <f t="shared" si="81"/>
        <v>0</v>
      </c>
      <c r="F529" s="273">
        <f t="shared" si="78"/>
        <v>-10</v>
      </c>
    </row>
    <row r="530" ht="14.25" customHeight="1">
      <c r="B530" s="219">
        <v>45166.0</v>
      </c>
      <c r="C530" s="220">
        <v>3035.8</v>
      </c>
      <c r="D530" s="220">
        <v>3042.5</v>
      </c>
      <c r="E530" s="220">
        <f t="shared" si="81"/>
        <v>6.7</v>
      </c>
      <c r="F530" s="220">
        <f t="shared" si="78"/>
        <v>-3.3</v>
      </c>
    </row>
    <row r="531" ht="14.25" customHeight="1">
      <c r="B531" s="219">
        <v>45167.0</v>
      </c>
      <c r="C531" s="220">
        <f t="shared" ref="C531:C533" si="83">D530</f>
        <v>3042.5</v>
      </c>
      <c r="D531" s="220">
        <v>3054.0</v>
      </c>
      <c r="E531" s="220">
        <f t="shared" si="81"/>
        <v>11.5</v>
      </c>
      <c r="F531" s="220">
        <f t="shared" si="78"/>
        <v>1.5</v>
      </c>
    </row>
    <row r="532" ht="14.25" customHeight="1">
      <c r="B532" s="219">
        <v>45168.0</v>
      </c>
      <c r="C532" s="220">
        <f t="shared" si="83"/>
        <v>3054</v>
      </c>
      <c r="D532" s="220">
        <v>3063.6</v>
      </c>
      <c r="E532" s="220">
        <f t="shared" si="81"/>
        <v>9.6</v>
      </c>
      <c r="F532" s="220">
        <f t="shared" si="78"/>
        <v>-0.4</v>
      </c>
    </row>
    <row r="533" ht="14.25" customHeight="1">
      <c r="B533" s="219">
        <v>45169.0</v>
      </c>
      <c r="C533" s="220">
        <f t="shared" si="83"/>
        <v>3063.6</v>
      </c>
      <c r="D533" s="220">
        <v>3075.6</v>
      </c>
      <c r="E533" s="220">
        <f t="shared" si="81"/>
        <v>12</v>
      </c>
      <c r="F533" s="220">
        <f t="shared" si="78"/>
        <v>2</v>
      </c>
      <c r="G533" s="165" t="s">
        <v>335</v>
      </c>
    </row>
    <row r="534" ht="14.25" customHeight="1">
      <c r="B534" s="216"/>
      <c r="C534" s="223" t="s">
        <v>221</v>
      </c>
      <c r="D534" s="223"/>
      <c r="E534" s="216">
        <f>SUM(E503:E533)</f>
        <v>178.6</v>
      </c>
      <c r="F534" s="216">
        <f t="shared" si="78"/>
        <v>168.6</v>
      </c>
    </row>
    <row r="535" ht="14.25" customHeight="1"/>
    <row r="536" ht="14.25" customHeight="1">
      <c r="A536" s="272" t="s">
        <v>336</v>
      </c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1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 ht="14.25" customHeight="1"/>
    <row r="538" ht="14.25" customHeight="1">
      <c r="B538" s="216" t="s">
        <v>214</v>
      </c>
      <c r="C538" s="216" t="s">
        <v>215</v>
      </c>
      <c r="D538" s="216" t="s">
        <v>216</v>
      </c>
      <c r="E538" s="216" t="s">
        <v>217</v>
      </c>
      <c r="F538" s="216" t="s">
        <v>218</v>
      </c>
      <c r="H538" s="216" t="s">
        <v>238</v>
      </c>
      <c r="I538" s="216"/>
      <c r="K538" s="270" t="s">
        <v>337</v>
      </c>
      <c r="L538" s="231"/>
    </row>
    <row r="539" ht="14.25" customHeight="1">
      <c r="B539" s="219">
        <v>45078.0</v>
      </c>
      <c r="C539" s="220"/>
      <c r="D539" s="220"/>
      <c r="E539" s="220">
        <f t="shared" ref="E539:E569" si="84">D539-C539</f>
        <v>0</v>
      </c>
      <c r="F539" s="220">
        <f t="shared" ref="F539:F570" si="85">E539-10</f>
        <v>-10</v>
      </c>
      <c r="H539" s="216" t="s">
        <v>245</v>
      </c>
      <c r="I539" s="216"/>
      <c r="K539" s="216" t="s">
        <v>244</v>
      </c>
      <c r="L539" s="232">
        <v>1500.0</v>
      </c>
    </row>
    <row r="540" ht="14.25" customHeight="1">
      <c r="B540" s="219">
        <v>45079.0</v>
      </c>
      <c r="C540" s="255" t="str">
        <f t="shared" ref="C540:C569" si="86">D539</f>
        <v/>
      </c>
      <c r="D540" s="220"/>
      <c r="E540" s="220">
        <f t="shared" si="84"/>
        <v>0</v>
      </c>
      <c r="F540" s="220">
        <f t="shared" si="85"/>
        <v>-10</v>
      </c>
      <c r="H540" s="216" t="s">
        <v>247</v>
      </c>
      <c r="I540" s="216"/>
      <c r="K540" s="216" t="s">
        <v>266</v>
      </c>
      <c r="L540" s="232"/>
    </row>
    <row r="541" ht="14.25" customHeight="1">
      <c r="B541" s="254">
        <v>45080.0</v>
      </c>
      <c r="C541" s="255" t="str">
        <f t="shared" si="86"/>
        <v/>
      </c>
      <c r="D541" s="255"/>
      <c r="E541" s="255">
        <f t="shared" si="84"/>
        <v>0</v>
      </c>
      <c r="F541" s="255">
        <f t="shared" si="85"/>
        <v>-10</v>
      </c>
      <c r="H541" s="216" t="s">
        <v>249</v>
      </c>
      <c r="I541" s="232">
        <v>7.0</v>
      </c>
      <c r="K541" s="216" t="s">
        <v>246</v>
      </c>
      <c r="L541" s="232">
        <f>I540*I541</f>
        <v>0</v>
      </c>
    </row>
    <row r="542" ht="14.25" customHeight="1">
      <c r="B542" s="254">
        <v>45081.0</v>
      </c>
      <c r="C542" s="255" t="str">
        <f t="shared" si="86"/>
        <v/>
      </c>
      <c r="D542" s="255"/>
      <c r="E542" s="255">
        <f t="shared" si="84"/>
        <v>0</v>
      </c>
      <c r="F542" s="255">
        <f t="shared" si="85"/>
        <v>-10</v>
      </c>
      <c r="H542" s="216" t="s">
        <v>251</v>
      </c>
      <c r="I542" s="216"/>
      <c r="K542" s="216" t="s">
        <v>248</v>
      </c>
      <c r="L542" s="232">
        <f>I543*I542</f>
        <v>0</v>
      </c>
    </row>
    <row r="543" ht="14.25" customHeight="1">
      <c r="B543" s="219">
        <v>45082.0</v>
      </c>
      <c r="C543" s="255" t="str">
        <f t="shared" si="86"/>
        <v/>
      </c>
      <c r="D543" s="220"/>
      <c r="E543" s="220">
        <f t="shared" si="84"/>
        <v>0</v>
      </c>
      <c r="F543" s="220">
        <f t="shared" si="85"/>
        <v>-10</v>
      </c>
      <c r="H543" s="216" t="s">
        <v>249</v>
      </c>
      <c r="I543" s="232">
        <v>7.0</v>
      </c>
      <c r="K543" s="216" t="s">
        <v>318</v>
      </c>
      <c r="L543" s="232">
        <f>I544*100</f>
        <v>0</v>
      </c>
    </row>
    <row r="544" ht="14.25" customHeight="1">
      <c r="B544" s="219">
        <v>45083.0</v>
      </c>
      <c r="C544" s="255" t="str">
        <f t="shared" si="86"/>
        <v/>
      </c>
      <c r="D544" s="220"/>
      <c r="E544" s="220">
        <f t="shared" si="84"/>
        <v>0</v>
      </c>
      <c r="F544" s="220">
        <f t="shared" si="85"/>
        <v>-10</v>
      </c>
      <c r="H544" s="216" t="s">
        <v>250</v>
      </c>
      <c r="I544" s="216"/>
      <c r="K544" s="216" t="s">
        <v>252</v>
      </c>
      <c r="L544" s="232"/>
    </row>
    <row r="545" ht="14.25" customHeight="1">
      <c r="B545" s="219">
        <v>45084.0</v>
      </c>
      <c r="C545" s="255" t="str">
        <f t="shared" si="86"/>
        <v/>
      </c>
      <c r="D545" s="220"/>
      <c r="E545" s="220">
        <f t="shared" si="84"/>
        <v>0</v>
      </c>
      <c r="F545" s="220">
        <f t="shared" si="85"/>
        <v>-10</v>
      </c>
      <c r="K545" s="216" t="s">
        <v>320</v>
      </c>
      <c r="L545" s="269">
        <v>1500.0</v>
      </c>
    </row>
    <row r="546" ht="14.25" customHeight="1">
      <c r="B546" s="219">
        <v>45085.0</v>
      </c>
      <c r="C546" s="255" t="str">
        <f t="shared" si="86"/>
        <v/>
      </c>
      <c r="D546" s="220"/>
      <c r="E546" s="220">
        <f t="shared" si="84"/>
        <v>0</v>
      </c>
      <c r="F546" s="220">
        <f t="shared" si="85"/>
        <v>-10</v>
      </c>
      <c r="K546" s="216" t="s">
        <v>268</v>
      </c>
      <c r="L546" s="232">
        <f>L539+L541+L542+L543-L540-L544+L545</f>
        <v>3000</v>
      </c>
    </row>
    <row r="547" ht="14.25" customHeight="1">
      <c r="B547" s="219">
        <v>45086.0</v>
      </c>
      <c r="C547" s="255" t="str">
        <f t="shared" si="86"/>
        <v/>
      </c>
      <c r="D547" s="220"/>
      <c r="E547" s="220">
        <f t="shared" si="84"/>
        <v>0</v>
      </c>
      <c r="F547" s="220">
        <f t="shared" si="85"/>
        <v>-10</v>
      </c>
      <c r="K547" s="216" t="s">
        <v>269</v>
      </c>
      <c r="L547" s="229"/>
    </row>
    <row r="548" ht="14.25" customHeight="1">
      <c r="B548" s="254">
        <v>45087.0</v>
      </c>
      <c r="C548" s="255" t="str">
        <f t="shared" si="86"/>
        <v/>
      </c>
      <c r="D548" s="255"/>
      <c r="E548" s="255">
        <f t="shared" si="84"/>
        <v>0</v>
      </c>
      <c r="F548" s="255">
        <f t="shared" si="85"/>
        <v>-10</v>
      </c>
    </row>
    <row r="549" ht="14.25" customHeight="1">
      <c r="B549" s="254">
        <v>45088.0</v>
      </c>
      <c r="C549" s="255" t="str">
        <f t="shared" si="86"/>
        <v/>
      </c>
      <c r="D549" s="255"/>
      <c r="E549" s="255">
        <f t="shared" si="84"/>
        <v>0</v>
      </c>
      <c r="F549" s="255">
        <f t="shared" si="85"/>
        <v>-10</v>
      </c>
    </row>
    <row r="550" ht="14.25" customHeight="1">
      <c r="B550" s="219">
        <v>45089.0</v>
      </c>
      <c r="C550" s="255" t="str">
        <f t="shared" si="86"/>
        <v/>
      </c>
      <c r="D550" s="220"/>
      <c r="E550" s="220">
        <f t="shared" si="84"/>
        <v>0</v>
      </c>
      <c r="F550" s="220">
        <f t="shared" si="85"/>
        <v>-10</v>
      </c>
    </row>
    <row r="551" ht="14.25" customHeight="1">
      <c r="B551" s="219">
        <v>45090.0</v>
      </c>
      <c r="C551" s="255" t="str">
        <f t="shared" si="86"/>
        <v/>
      </c>
      <c r="D551" s="220"/>
      <c r="E551" s="220">
        <f t="shared" si="84"/>
        <v>0</v>
      </c>
      <c r="F551" s="220">
        <f t="shared" si="85"/>
        <v>-10</v>
      </c>
    </row>
    <row r="552" ht="14.25" customHeight="1">
      <c r="B552" s="219">
        <v>45091.0</v>
      </c>
      <c r="C552" s="255" t="str">
        <f t="shared" si="86"/>
        <v/>
      </c>
      <c r="D552" s="220"/>
      <c r="E552" s="220">
        <f t="shared" si="84"/>
        <v>0</v>
      </c>
      <c r="F552" s="220">
        <f t="shared" si="85"/>
        <v>-10</v>
      </c>
    </row>
    <row r="553" ht="14.25" customHeight="1">
      <c r="B553" s="219">
        <v>45092.0</v>
      </c>
      <c r="C553" s="255" t="str">
        <f t="shared" si="86"/>
        <v/>
      </c>
      <c r="D553" s="220"/>
      <c r="E553" s="220">
        <f t="shared" si="84"/>
        <v>0</v>
      </c>
      <c r="F553" s="220">
        <f t="shared" si="85"/>
        <v>-10</v>
      </c>
    </row>
    <row r="554" ht="14.25" customHeight="1">
      <c r="B554" s="219">
        <v>45093.0</v>
      </c>
      <c r="C554" s="255" t="str">
        <f t="shared" si="86"/>
        <v/>
      </c>
      <c r="D554" s="220"/>
      <c r="E554" s="220">
        <f t="shared" si="84"/>
        <v>0</v>
      </c>
      <c r="F554" s="220">
        <f t="shared" si="85"/>
        <v>-10</v>
      </c>
    </row>
    <row r="555" ht="14.25" customHeight="1">
      <c r="B555" s="254">
        <v>45094.0</v>
      </c>
      <c r="C555" s="255" t="str">
        <f t="shared" si="86"/>
        <v/>
      </c>
      <c r="D555" s="255"/>
      <c r="E555" s="255">
        <f t="shared" si="84"/>
        <v>0</v>
      </c>
      <c r="F555" s="255">
        <f t="shared" si="85"/>
        <v>-10</v>
      </c>
    </row>
    <row r="556" ht="14.25" customHeight="1">
      <c r="B556" s="254">
        <v>45095.0</v>
      </c>
      <c r="C556" s="255" t="str">
        <f t="shared" si="86"/>
        <v/>
      </c>
      <c r="D556" s="255"/>
      <c r="E556" s="255">
        <f t="shared" si="84"/>
        <v>0</v>
      </c>
      <c r="F556" s="255">
        <f t="shared" si="85"/>
        <v>-10</v>
      </c>
    </row>
    <row r="557" ht="14.25" customHeight="1">
      <c r="B557" s="219">
        <v>45096.0</v>
      </c>
      <c r="C557" s="220" t="str">
        <f t="shared" si="86"/>
        <v/>
      </c>
      <c r="D557" s="220"/>
      <c r="E557" s="220">
        <f t="shared" si="84"/>
        <v>0</v>
      </c>
      <c r="F557" s="220">
        <f t="shared" si="85"/>
        <v>-10</v>
      </c>
    </row>
    <row r="558" ht="14.25" customHeight="1">
      <c r="B558" s="219">
        <v>45097.0</v>
      </c>
      <c r="C558" s="220" t="str">
        <f t="shared" si="86"/>
        <v/>
      </c>
      <c r="D558" s="220"/>
      <c r="E558" s="220">
        <f t="shared" si="84"/>
        <v>0</v>
      </c>
      <c r="F558" s="220">
        <f t="shared" si="85"/>
        <v>-10</v>
      </c>
    </row>
    <row r="559" ht="14.25" customHeight="1">
      <c r="B559" s="219">
        <v>45098.0</v>
      </c>
      <c r="C559" s="220" t="str">
        <f t="shared" si="86"/>
        <v/>
      </c>
      <c r="D559" s="220"/>
      <c r="E559" s="220">
        <f t="shared" si="84"/>
        <v>0</v>
      </c>
      <c r="F559" s="220">
        <f t="shared" si="85"/>
        <v>-10</v>
      </c>
    </row>
    <row r="560" ht="14.25" customHeight="1">
      <c r="B560" s="219">
        <v>45099.0</v>
      </c>
      <c r="C560" s="220" t="str">
        <f t="shared" si="86"/>
        <v/>
      </c>
      <c r="D560" s="220"/>
      <c r="E560" s="220">
        <f t="shared" si="84"/>
        <v>0</v>
      </c>
      <c r="F560" s="220">
        <f t="shared" si="85"/>
        <v>-10</v>
      </c>
    </row>
    <row r="561" ht="14.25" customHeight="1">
      <c r="B561" s="219">
        <v>45100.0</v>
      </c>
      <c r="C561" s="220" t="str">
        <f t="shared" si="86"/>
        <v/>
      </c>
      <c r="D561" s="220"/>
      <c r="E561" s="220">
        <f t="shared" si="84"/>
        <v>0</v>
      </c>
      <c r="F561" s="220">
        <f t="shared" si="85"/>
        <v>-10</v>
      </c>
    </row>
    <row r="562" ht="14.25" customHeight="1">
      <c r="B562" s="254">
        <v>45101.0</v>
      </c>
      <c r="C562" s="255" t="str">
        <f t="shared" si="86"/>
        <v/>
      </c>
      <c r="D562" s="255"/>
      <c r="E562" s="255">
        <f t="shared" si="84"/>
        <v>0</v>
      </c>
      <c r="F562" s="255">
        <f t="shared" si="85"/>
        <v>-10</v>
      </c>
    </row>
    <row r="563" ht="14.25" customHeight="1">
      <c r="B563" s="254">
        <v>45102.0</v>
      </c>
      <c r="C563" s="255" t="str">
        <f t="shared" si="86"/>
        <v/>
      </c>
      <c r="D563" s="255"/>
      <c r="E563" s="255">
        <f t="shared" si="84"/>
        <v>0</v>
      </c>
      <c r="F563" s="255">
        <f t="shared" si="85"/>
        <v>-10</v>
      </c>
    </row>
    <row r="564" ht="14.25" customHeight="1">
      <c r="B564" s="219">
        <v>45103.0</v>
      </c>
      <c r="C564" s="220" t="str">
        <f t="shared" si="86"/>
        <v/>
      </c>
      <c r="D564" s="220"/>
      <c r="E564" s="220">
        <f t="shared" si="84"/>
        <v>0</v>
      </c>
      <c r="F564" s="220">
        <f t="shared" si="85"/>
        <v>-10</v>
      </c>
    </row>
    <row r="565" ht="14.25" customHeight="1">
      <c r="B565" s="219">
        <v>45104.0</v>
      </c>
      <c r="C565" s="220" t="str">
        <f t="shared" si="86"/>
        <v/>
      </c>
      <c r="D565" s="220"/>
      <c r="E565" s="220">
        <f t="shared" si="84"/>
        <v>0</v>
      </c>
      <c r="F565" s="220">
        <f t="shared" si="85"/>
        <v>-10</v>
      </c>
    </row>
    <row r="566" ht="14.25" customHeight="1">
      <c r="B566" s="219">
        <v>45105.0</v>
      </c>
      <c r="C566" s="220" t="str">
        <f t="shared" si="86"/>
        <v/>
      </c>
      <c r="D566" s="220"/>
      <c r="E566" s="220">
        <f t="shared" si="84"/>
        <v>0</v>
      </c>
      <c r="F566" s="220">
        <f t="shared" si="85"/>
        <v>-10</v>
      </c>
    </row>
    <row r="567" ht="14.25" customHeight="1">
      <c r="B567" s="219">
        <v>45106.0</v>
      </c>
      <c r="C567" s="220" t="str">
        <f t="shared" si="86"/>
        <v/>
      </c>
      <c r="D567" s="220"/>
      <c r="E567" s="220">
        <f t="shared" si="84"/>
        <v>0</v>
      </c>
      <c r="F567" s="220">
        <f t="shared" si="85"/>
        <v>-10</v>
      </c>
    </row>
    <row r="568" ht="14.25" customHeight="1">
      <c r="B568" s="219">
        <v>45107.0</v>
      </c>
      <c r="C568" s="220" t="str">
        <f t="shared" si="86"/>
        <v/>
      </c>
      <c r="D568" s="220"/>
      <c r="E568" s="220">
        <f t="shared" si="84"/>
        <v>0</v>
      </c>
      <c r="F568" s="220">
        <f t="shared" si="85"/>
        <v>-10</v>
      </c>
    </row>
    <row r="569" ht="14.25" customHeight="1">
      <c r="B569" s="229"/>
      <c r="C569" s="220" t="str">
        <f t="shared" si="86"/>
        <v/>
      </c>
      <c r="D569" s="220"/>
      <c r="E569" s="220">
        <f t="shared" si="84"/>
        <v>0</v>
      </c>
      <c r="F569" s="220">
        <f t="shared" si="85"/>
        <v>-10</v>
      </c>
    </row>
    <row r="570" ht="14.25" customHeight="1">
      <c r="B570" s="216"/>
      <c r="C570" s="223" t="s">
        <v>221</v>
      </c>
      <c r="D570" s="223"/>
      <c r="E570" s="216">
        <f>SUM(E539:E569)</f>
        <v>0</v>
      </c>
      <c r="F570" s="216">
        <f t="shared" si="85"/>
        <v>-10</v>
      </c>
    </row>
    <row r="571" ht="14.25" customHeight="1"/>
    <row r="572" ht="14.25" customHeight="1">
      <c r="A572" s="272" t="s">
        <v>338</v>
      </c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1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 ht="14.25" customHeight="1"/>
    <row r="574" ht="14.25" customHeight="1">
      <c r="B574" s="216" t="s">
        <v>214</v>
      </c>
      <c r="C574" s="216" t="s">
        <v>215</v>
      </c>
      <c r="D574" s="216" t="s">
        <v>216</v>
      </c>
      <c r="E574" s="216" t="s">
        <v>217</v>
      </c>
      <c r="F574" s="216" t="s">
        <v>218</v>
      </c>
      <c r="H574" s="216" t="s">
        <v>238</v>
      </c>
      <c r="I574" s="216"/>
      <c r="K574" s="270" t="s">
        <v>337</v>
      </c>
      <c r="L574" s="231"/>
    </row>
    <row r="575" ht="14.25" customHeight="1">
      <c r="B575" s="219">
        <v>45078.0</v>
      </c>
      <c r="C575" s="220"/>
      <c r="D575" s="220"/>
      <c r="E575" s="220">
        <f t="shared" ref="E575:E605" si="87">D575-C575</f>
        <v>0</v>
      </c>
      <c r="F575" s="220">
        <f t="shared" ref="F575:F606" si="88">E575-10</f>
        <v>-10</v>
      </c>
      <c r="H575" s="216" t="s">
        <v>245</v>
      </c>
      <c r="I575" s="216"/>
      <c r="K575" s="216" t="s">
        <v>244</v>
      </c>
      <c r="L575" s="232">
        <v>1500.0</v>
      </c>
    </row>
    <row r="576" ht="14.25" customHeight="1">
      <c r="B576" s="219">
        <v>45079.0</v>
      </c>
      <c r="C576" s="220" t="str">
        <f t="shared" ref="C576:C605" si="89">D575</f>
        <v/>
      </c>
      <c r="D576" s="220"/>
      <c r="E576" s="220">
        <f t="shared" si="87"/>
        <v>0</v>
      </c>
      <c r="F576" s="220">
        <f t="shared" si="88"/>
        <v>-10</v>
      </c>
      <c r="H576" s="216" t="s">
        <v>247</v>
      </c>
      <c r="I576" s="216"/>
      <c r="K576" s="216" t="s">
        <v>266</v>
      </c>
      <c r="L576" s="232"/>
    </row>
    <row r="577" ht="14.25" customHeight="1">
      <c r="B577" s="254">
        <v>45080.0</v>
      </c>
      <c r="C577" s="255" t="str">
        <f t="shared" si="89"/>
        <v/>
      </c>
      <c r="D577" s="255"/>
      <c r="E577" s="255">
        <f t="shared" si="87"/>
        <v>0</v>
      </c>
      <c r="F577" s="255">
        <f t="shared" si="88"/>
        <v>-10</v>
      </c>
      <c r="H577" s="216" t="s">
        <v>249</v>
      </c>
      <c r="I577" s="232">
        <v>7.0</v>
      </c>
      <c r="K577" s="216" t="s">
        <v>246</v>
      </c>
      <c r="L577" s="232">
        <f>I576*I577</f>
        <v>0</v>
      </c>
    </row>
    <row r="578" ht="14.25" customHeight="1">
      <c r="B578" s="254">
        <v>45081.0</v>
      </c>
      <c r="C578" s="255" t="str">
        <f t="shared" si="89"/>
        <v/>
      </c>
      <c r="D578" s="255"/>
      <c r="E578" s="255">
        <f t="shared" si="87"/>
        <v>0</v>
      </c>
      <c r="F578" s="255">
        <f t="shared" si="88"/>
        <v>-10</v>
      </c>
      <c r="H578" s="216" t="s">
        <v>251</v>
      </c>
      <c r="I578" s="216"/>
      <c r="K578" s="216" t="s">
        <v>248</v>
      </c>
      <c r="L578" s="232">
        <f>I579*I578</f>
        <v>0</v>
      </c>
    </row>
    <row r="579" ht="14.25" customHeight="1">
      <c r="B579" s="219">
        <v>45082.0</v>
      </c>
      <c r="C579" s="220" t="str">
        <f t="shared" si="89"/>
        <v/>
      </c>
      <c r="D579" s="220"/>
      <c r="E579" s="220">
        <f t="shared" si="87"/>
        <v>0</v>
      </c>
      <c r="F579" s="220">
        <f t="shared" si="88"/>
        <v>-10</v>
      </c>
      <c r="H579" s="216" t="s">
        <v>249</v>
      </c>
      <c r="I579" s="232">
        <v>7.0</v>
      </c>
      <c r="K579" s="216" t="s">
        <v>318</v>
      </c>
      <c r="L579" s="232">
        <f>I580*100</f>
        <v>0</v>
      </c>
    </row>
    <row r="580" ht="14.25" customHeight="1">
      <c r="B580" s="219">
        <v>45083.0</v>
      </c>
      <c r="C580" s="220" t="str">
        <f t="shared" si="89"/>
        <v/>
      </c>
      <c r="D580" s="220"/>
      <c r="E580" s="220">
        <f t="shared" si="87"/>
        <v>0</v>
      </c>
      <c r="F580" s="220">
        <f t="shared" si="88"/>
        <v>-10</v>
      </c>
      <c r="H580" s="216" t="s">
        <v>250</v>
      </c>
      <c r="I580" s="216"/>
      <c r="K580" s="216" t="s">
        <v>252</v>
      </c>
      <c r="L580" s="232"/>
    </row>
    <row r="581" ht="14.25" customHeight="1">
      <c r="B581" s="219">
        <v>45084.0</v>
      </c>
      <c r="C581" s="220" t="str">
        <f t="shared" si="89"/>
        <v/>
      </c>
      <c r="D581" s="220"/>
      <c r="E581" s="220">
        <f t="shared" si="87"/>
        <v>0</v>
      </c>
      <c r="F581" s="220">
        <f t="shared" si="88"/>
        <v>-10</v>
      </c>
      <c r="K581" s="216" t="s">
        <v>320</v>
      </c>
      <c r="L581" s="269">
        <v>1500.0</v>
      </c>
    </row>
    <row r="582" ht="14.25" customHeight="1">
      <c r="B582" s="219">
        <v>45085.0</v>
      </c>
      <c r="C582" s="220" t="str">
        <f t="shared" si="89"/>
        <v/>
      </c>
      <c r="D582" s="220"/>
      <c r="E582" s="220">
        <f t="shared" si="87"/>
        <v>0</v>
      </c>
      <c r="F582" s="220">
        <f t="shared" si="88"/>
        <v>-10</v>
      </c>
      <c r="K582" s="216" t="s">
        <v>268</v>
      </c>
      <c r="L582" s="232">
        <f>L575+L577+L578+L579-L576-L580+L581</f>
        <v>3000</v>
      </c>
    </row>
    <row r="583" ht="14.25" customHeight="1">
      <c r="B583" s="219">
        <v>45086.0</v>
      </c>
      <c r="C583" s="220" t="str">
        <f t="shared" si="89"/>
        <v/>
      </c>
      <c r="D583" s="220"/>
      <c r="E583" s="220">
        <f t="shared" si="87"/>
        <v>0</v>
      </c>
      <c r="F583" s="220">
        <f t="shared" si="88"/>
        <v>-10</v>
      </c>
      <c r="K583" s="216" t="s">
        <v>269</v>
      </c>
      <c r="L583" s="229"/>
    </row>
    <row r="584" ht="14.25" customHeight="1">
      <c r="B584" s="254">
        <v>45087.0</v>
      </c>
      <c r="C584" s="255" t="str">
        <f t="shared" si="89"/>
        <v/>
      </c>
      <c r="D584" s="255"/>
      <c r="E584" s="255">
        <f t="shared" si="87"/>
        <v>0</v>
      </c>
      <c r="F584" s="255">
        <f t="shared" si="88"/>
        <v>-10</v>
      </c>
    </row>
    <row r="585" ht="14.25" customHeight="1">
      <c r="B585" s="254">
        <v>45088.0</v>
      </c>
      <c r="C585" s="255" t="str">
        <f t="shared" si="89"/>
        <v/>
      </c>
      <c r="D585" s="255"/>
      <c r="E585" s="255">
        <f t="shared" si="87"/>
        <v>0</v>
      </c>
      <c r="F585" s="255">
        <f t="shared" si="88"/>
        <v>-10</v>
      </c>
    </row>
    <row r="586" ht="14.25" customHeight="1">
      <c r="B586" s="219">
        <v>45089.0</v>
      </c>
      <c r="C586" s="220" t="str">
        <f t="shared" si="89"/>
        <v/>
      </c>
      <c r="D586" s="220"/>
      <c r="E586" s="220">
        <f t="shared" si="87"/>
        <v>0</v>
      </c>
      <c r="F586" s="220">
        <f t="shared" si="88"/>
        <v>-10</v>
      </c>
    </row>
    <row r="587" ht="14.25" customHeight="1">
      <c r="B587" s="219">
        <v>45090.0</v>
      </c>
      <c r="C587" s="220" t="str">
        <f t="shared" si="89"/>
        <v/>
      </c>
      <c r="D587" s="220"/>
      <c r="E587" s="220">
        <f t="shared" si="87"/>
        <v>0</v>
      </c>
      <c r="F587" s="220">
        <f t="shared" si="88"/>
        <v>-10</v>
      </c>
    </row>
    <row r="588" ht="14.25" customHeight="1">
      <c r="B588" s="219">
        <v>45091.0</v>
      </c>
      <c r="C588" s="220" t="str">
        <f t="shared" si="89"/>
        <v/>
      </c>
      <c r="D588" s="220"/>
      <c r="E588" s="220">
        <f t="shared" si="87"/>
        <v>0</v>
      </c>
      <c r="F588" s="220">
        <f t="shared" si="88"/>
        <v>-10</v>
      </c>
    </row>
    <row r="589" ht="14.25" customHeight="1">
      <c r="B589" s="219">
        <v>45092.0</v>
      </c>
      <c r="C589" s="220" t="str">
        <f t="shared" si="89"/>
        <v/>
      </c>
      <c r="D589" s="220"/>
      <c r="E589" s="220">
        <f t="shared" si="87"/>
        <v>0</v>
      </c>
      <c r="F589" s="220">
        <f t="shared" si="88"/>
        <v>-10</v>
      </c>
    </row>
    <row r="590" ht="14.25" customHeight="1">
      <c r="B590" s="219">
        <v>45093.0</v>
      </c>
      <c r="C590" s="220" t="str">
        <f t="shared" si="89"/>
        <v/>
      </c>
      <c r="D590" s="220"/>
      <c r="E590" s="220">
        <f t="shared" si="87"/>
        <v>0</v>
      </c>
      <c r="F590" s="220">
        <f t="shared" si="88"/>
        <v>-10</v>
      </c>
    </row>
    <row r="591" ht="14.25" customHeight="1">
      <c r="B591" s="254">
        <v>45094.0</v>
      </c>
      <c r="C591" s="255" t="str">
        <f t="shared" si="89"/>
        <v/>
      </c>
      <c r="D591" s="255"/>
      <c r="E591" s="255">
        <f t="shared" si="87"/>
        <v>0</v>
      </c>
      <c r="F591" s="255">
        <f t="shared" si="88"/>
        <v>-10</v>
      </c>
    </row>
    <row r="592" ht="14.25" customHeight="1">
      <c r="B592" s="254">
        <v>45095.0</v>
      </c>
      <c r="C592" s="255" t="str">
        <f t="shared" si="89"/>
        <v/>
      </c>
      <c r="D592" s="255"/>
      <c r="E592" s="255">
        <f t="shared" si="87"/>
        <v>0</v>
      </c>
      <c r="F592" s="255">
        <f t="shared" si="88"/>
        <v>-10</v>
      </c>
    </row>
    <row r="593" ht="14.25" customHeight="1">
      <c r="B593" s="219">
        <v>45096.0</v>
      </c>
      <c r="C593" s="220" t="str">
        <f t="shared" si="89"/>
        <v/>
      </c>
      <c r="D593" s="220"/>
      <c r="E593" s="220">
        <f t="shared" si="87"/>
        <v>0</v>
      </c>
      <c r="F593" s="220">
        <f t="shared" si="88"/>
        <v>-10</v>
      </c>
    </row>
    <row r="594" ht="14.25" customHeight="1">
      <c r="B594" s="219">
        <v>45097.0</v>
      </c>
      <c r="C594" s="220" t="str">
        <f t="shared" si="89"/>
        <v/>
      </c>
      <c r="D594" s="220"/>
      <c r="E594" s="220">
        <f t="shared" si="87"/>
        <v>0</v>
      </c>
      <c r="F594" s="220">
        <f t="shared" si="88"/>
        <v>-10</v>
      </c>
    </row>
    <row r="595" ht="14.25" customHeight="1">
      <c r="B595" s="219">
        <v>45098.0</v>
      </c>
      <c r="C595" s="220" t="str">
        <f t="shared" si="89"/>
        <v/>
      </c>
      <c r="D595" s="220"/>
      <c r="E595" s="220">
        <f t="shared" si="87"/>
        <v>0</v>
      </c>
      <c r="F595" s="220">
        <f t="shared" si="88"/>
        <v>-10</v>
      </c>
    </row>
    <row r="596" ht="14.25" customHeight="1">
      <c r="B596" s="219">
        <v>45099.0</v>
      </c>
      <c r="C596" s="220" t="str">
        <f t="shared" si="89"/>
        <v/>
      </c>
      <c r="D596" s="220"/>
      <c r="E596" s="220">
        <f t="shared" si="87"/>
        <v>0</v>
      </c>
      <c r="F596" s="220">
        <f t="shared" si="88"/>
        <v>-10</v>
      </c>
    </row>
    <row r="597" ht="14.25" customHeight="1">
      <c r="B597" s="219">
        <v>45100.0</v>
      </c>
      <c r="C597" s="220" t="str">
        <f t="shared" si="89"/>
        <v/>
      </c>
      <c r="D597" s="220"/>
      <c r="E597" s="220">
        <f t="shared" si="87"/>
        <v>0</v>
      </c>
      <c r="F597" s="220">
        <f t="shared" si="88"/>
        <v>-10</v>
      </c>
    </row>
    <row r="598" ht="14.25" customHeight="1">
      <c r="B598" s="254">
        <v>45101.0</v>
      </c>
      <c r="C598" s="255" t="str">
        <f t="shared" si="89"/>
        <v/>
      </c>
      <c r="D598" s="255"/>
      <c r="E598" s="255">
        <f t="shared" si="87"/>
        <v>0</v>
      </c>
      <c r="F598" s="255">
        <f t="shared" si="88"/>
        <v>-10</v>
      </c>
    </row>
    <row r="599" ht="14.25" customHeight="1">
      <c r="B599" s="254">
        <v>45102.0</v>
      </c>
      <c r="C599" s="255" t="str">
        <f t="shared" si="89"/>
        <v/>
      </c>
      <c r="D599" s="255"/>
      <c r="E599" s="255">
        <f t="shared" si="87"/>
        <v>0</v>
      </c>
      <c r="F599" s="255">
        <f t="shared" si="88"/>
        <v>-10</v>
      </c>
    </row>
    <row r="600" ht="14.25" customHeight="1">
      <c r="B600" s="219">
        <v>45103.0</v>
      </c>
      <c r="C600" s="220" t="str">
        <f t="shared" si="89"/>
        <v/>
      </c>
      <c r="D600" s="220"/>
      <c r="E600" s="220">
        <f t="shared" si="87"/>
        <v>0</v>
      </c>
      <c r="F600" s="220">
        <f t="shared" si="88"/>
        <v>-10</v>
      </c>
    </row>
    <row r="601" ht="14.25" customHeight="1">
      <c r="B601" s="219">
        <v>45104.0</v>
      </c>
      <c r="C601" s="220" t="str">
        <f t="shared" si="89"/>
        <v/>
      </c>
      <c r="D601" s="220"/>
      <c r="E601" s="220">
        <f t="shared" si="87"/>
        <v>0</v>
      </c>
      <c r="F601" s="220">
        <f t="shared" si="88"/>
        <v>-10</v>
      </c>
    </row>
    <row r="602" ht="14.25" customHeight="1">
      <c r="B602" s="219">
        <v>45105.0</v>
      </c>
      <c r="C602" s="220" t="str">
        <f t="shared" si="89"/>
        <v/>
      </c>
      <c r="D602" s="220"/>
      <c r="E602" s="220">
        <f t="shared" si="87"/>
        <v>0</v>
      </c>
      <c r="F602" s="220">
        <f t="shared" si="88"/>
        <v>-10</v>
      </c>
    </row>
    <row r="603" ht="14.25" customHeight="1">
      <c r="B603" s="219">
        <v>45106.0</v>
      </c>
      <c r="C603" s="220" t="str">
        <f t="shared" si="89"/>
        <v/>
      </c>
      <c r="D603" s="220"/>
      <c r="E603" s="220">
        <f t="shared" si="87"/>
        <v>0</v>
      </c>
      <c r="F603" s="220">
        <f t="shared" si="88"/>
        <v>-10</v>
      </c>
    </row>
    <row r="604" ht="14.25" customHeight="1">
      <c r="B604" s="219">
        <v>45107.0</v>
      </c>
      <c r="C604" s="220" t="str">
        <f t="shared" si="89"/>
        <v/>
      </c>
      <c r="D604" s="220"/>
      <c r="E604" s="220">
        <f t="shared" si="87"/>
        <v>0</v>
      </c>
      <c r="F604" s="220">
        <f t="shared" si="88"/>
        <v>-10</v>
      </c>
    </row>
    <row r="605" ht="14.25" customHeight="1">
      <c r="B605" s="229"/>
      <c r="C605" s="220" t="str">
        <f t="shared" si="89"/>
        <v/>
      </c>
      <c r="D605" s="220"/>
      <c r="E605" s="220">
        <f t="shared" si="87"/>
        <v>0</v>
      </c>
      <c r="F605" s="220">
        <f t="shared" si="88"/>
        <v>-10</v>
      </c>
    </row>
    <row r="606" ht="14.25" customHeight="1">
      <c r="B606" s="216"/>
      <c r="C606" s="223" t="s">
        <v>221</v>
      </c>
      <c r="D606" s="223"/>
      <c r="E606" s="216">
        <f>SUM(E575:E605)</f>
        <v>0</v>
      </c>
      <c r="F606" s="216">
        <f t="shared" si="88"/>
        <v>-10</v>
      </c>
    </row>
    <row r="607" ht="14.25" customHeight="1"/>
    <row r="608" ht="14.25" customHeight="1">
      <c r="A608" s="272">
        <v>45231.0</v>
      </c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1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 ht="14.25" customHeight="1"/>
    <row r="610" ht="14.25" customHeight="1">
      <c r="B610" s="216" t="s">
        <v>214</v>
      </c>
      <c r="C610" s="216" t="s">
        <v>215</v>
      </c>
      <c r="D610" s="216" t="s">
        <v>216</v>
      </c>
      <c r="E610" s="216" t="s">
        <v>217</v>
      </c>
      <c r="F610" s="216" t="s">
        <v>218</v>
      </c>
      <c r="H610" s="216" t="s">
        <v>238</v>
      </c>
      <c r="I610" s="216"/>
      <c r="K610" s="270" t="s">
        <v>337</v>
      </c>
      <c r="L610" s="231"/>
    </row>
    <row r="611" ht="14.25" customHeight="1">
      <c r="B611" s="219">
        <v>45078.0</v>
      </c>
      <c r="C611" s="220"/>
      <c r="D611" s="220"/>
      <c r="E611" s="220">
        <f t="shared" ref="E611:E641" si="90">D611-C611</f>
        <v>0</v>
      </c>
      <c r="F611" s="220">
        <f t="shared" ref="F611:F642" si="91">E611-10</f>
        <v>-10</v>
      </c>
      <c r="H611" s="216" t="s">
        <v>245</v>
      </c>
      <c r="I611" s="216"/>
      <c r="K611" s="216" t="s">
        <v>244</v>
      </c>
      <c r="L611" s="232">
        <v>1500.0</v>
      </c>
    </row>
    <row r="612" ht="14.25" customHeight="1">
      <c r="B612" s="219">
        <v>45079.0</v>
      </c>
      <c r="C612" s="220" t="str">
        <f t="shared" ref="C612:C641" si="92">D611</f>
        <v/>
      </c>
      <c r="D612" s="220"/>
      <c r="E612" s="220">
        <f t="shared" si="90"/>
        <v>0</v>
      </c>
      <c r="F612" s="220">
        <f t="shared" si="91"/>
        <v>-10</v>
      </c>
      <c r="H612" s="216" t="s">
        <v>247</v>
      </c>
      <c r="I612" s="216"/>
      <c r="K612" s="216" t="s">
        <v>266</v>
      </c>
      <c r="L612" s="232"/>
    </row>
    <row r="613" ht="14.25" customHeight="1">
      <c r="B613" s="254">
        <v>45080.0</v>
      </c>
      <c r="C613" s="255" t="str">
        <f t="shared" si="92"/>
        <v/>
      </c>
      <c r="D613" s="255"/>
      <c r="E613" s="255">
        <f t="shared" si="90"/>
        <v>0</v>
      </c>
      <c r="F613" s="255">
        <f t="shared" si="91"/>
        <v>-10</v>
      </c>
      <c r="H613" s="216" t="s">
        <v>249</v>
      </c>
      <c r="I613" s="232">
        <v>7.0</v>
      </c>
      <c r="K613" s="216" t="s">
        <v>246</v>
      </c>
      <c r="L613" s="232">
        <f>I612*I613</f>
        <v>0</v>
      </c>
    </row>
    <row r="614" ht="14.25" customHeight="1">
      <c r="B614" s="254">
        <v>45081.0</v>
      </c>
      <c r="C614" s="255" t="str">
        <f t="shared" si="92"/>
        <v/>
      </c>
      <c r="D614" s="255"/>
      <c r="E614" s="255">
        <f t="shared" si="90"/>
        <v>0</v>
      </c>
      <c r="F614" s="255">
        <f t="shared" si="91"/>
        <v>-10</v>
      </c>
      <c r="H614" s="216" t="s">
        <v>251</v>
      </c>
      <c r="I614" s="216"/>
      <c r="K614" s="216" t="s">
        <v>248</v>
      </c>
      <c r="L614" s="232">
        <f>I615*I614</f>
        <v>0</v>
      </c>
    </row>
    <row r="615" ht="14.25" customHeight="1">
      <c r="B615" s="219">
        <v>45082.0</v>
      </c>
      <c r="C615" s="220" t="str">
        <f t="shared" si="92"/>
        <v/>
      </c>
      <c r="D615" s="220"/>
      <c r="E615" s="220">
        <f t="shared" si="90"/>
        <v>0</v>
      </c>
      <c r="F615" s="220">
        <f t="shared" si="91"/>
        <v>-10</v>
      </c>
      <c r="H615" s="216" t="s">
        <v>249</v>
      </c>
      <c r="I615" s="232">
        <v>7.0</v>
      </c>
      <c r="K615" s="216" t="s">
        <v>318</v>
      </c>
      <c r="L615" s="232">
        <f>I616*100</f>
        <v>0</v>
      </c>
    </row>
    <row r="616" ht="14.25" customHeight="1">
      <c r="B616" s="219">
        <v>45083.0</v>
      </c>
      <c r="C616" s="220" t="str">
        <f t="shared" si="92"/>
        <v/>
      </c>
      <c r="D616" s="220"/>
      <c r="E616" s="220">
        <f t="shared" si="90"/>
        <v>0</v>
      </c>
      <c r="F616" s="220">
        <f t="shared" si="91"/>
        <v>-10</v>
      </c>
      <c r="H616" s="216" t="s">
        <v>250</v>
      </c>
      <c r="I616" s="216"/>
      <c r="K616" s="216" t="s">
        <v>252</v>
      </c>
      <c r="L616" s="232"/>
    </row>
    <row r="617" ht="14.25" customHeight="1">
      <c r="B617" s="219">
        <v>45084.0</v>
      </c>
      <c r="C617" s="220" t="str">
        <f t="shared" si="92"/>
        <v/>
      </c>
      <c r="D617" s="220"/>
      <c r="E617" s="220">
        <f t="shared" si="90"/>
        <v>0</v>
      </c>
      <c r="F617" s="220">
        <f t="shared" si="91"/>
        <v>-10</v>
      </c>
      <c r="K617" s="216" t="s">
        <v>320</v>
      </c>
      <c r="L617" s="269">
        <v>1500.0</v>
      </c>
    </row>
    <row r="618" ht="14.25" customHeight="1">
      <c r="B618" s="219">
        <v>45085.0</v>
      </c>
      <c r="C618" s="220" t="str">
        <f t="shared" si="92"/>
        <v/>
      </c>
      <c r="D618" s="220"/>
      <c r="E618" s="220">
        <f t="shared" si="90"/>
        <v>0</v>
      </c>
      <c r="F618" s="220">
        <f t="shared" si="91"/>
        <v>-10</v>
      </c>
      <c r="K618" s="216" t="s">
        <v>268</v>
      </c>
      <c r="L618" s="232">
        <f>L611+L613+L614+L615-L612-L616+L617</f>
        <v>3000</v>
      </c>
    </row>
    <row r="619" ht="14.25" customHeight="1">
      <c r="B619" s="219">
        <v>45086.0</v>
      </c>
      <c r="C619" s="220" t="str">
        <f t="shared" si="92"/>
        <v/>
      </c>
      <c r="D619" s="220"/>
      <c r="E619" s="220">
        <f t="shared" si="90"/>
        <v>0</v>
      </c>
      <c r="F619" s="220">
        <f t="shared" si="91"/>
        <v>-10</v>
      </c>
      <c r="K619" s="216" t="s">
        <v>269</v>
      </c>
      <c r="L619" s="229"/>
    </row>
    <row r="620" ht="14.25" customHeight="1">
      <c r="B620" s="254">
        <v>45087.0</v>
      </c>
      <c r="C620" s="255" t="str">
        <f t="shared" si="92"/>
        <v/>
      </c>
      <c r="D620" s="255"/>
      <c r="E620" s="255">
        <f t="shared" si="90"/>
        <v>0</v>
      </c>
      <c r="F620" s="255">
        <f t="shared" si="91"/>
        <v>-10</v>
      </c>
    </row>
    <row r="621" ht="14.25" customHeight="1">
      <c r="B621" s="254">
        <v>45088.0</v>
      </c>
      <c r="C621" s="255" t="str">
        <f t="shared" si="92"/>
        <v/>
      </c>
      <c r="D621" s="255"/>
      <c r="E621" s="255">
        <f t="shared" si="90"/>
        <v>0</v>
      </c>
      <c r="F621" s="255">
        <f t="shared" si="91"/>
        <v>-10</v>
      </c>
    </row>
    <row r="622" ht="14.25" customHeight="1">
      <c r="B622" s="219">
        <v>45089.0</v>
      </c>
      <c r="C622" s="220" t="str">
        <f t="shared" si="92"/>
        <v/>
      </c>
      <c r="D622" s="220"/>
      <c r="E622" s="220">
        <f t="shared" si="90"/>
        <v>0</v>
      </c>
      <c r="F622" s="220">
        <f t="shared" si="91"/>
        <v>-10</v>
      </c>
    </row>
    <row r="623" ht="14.25" customHeight="1">
      <c r="B623" s="219">
        <v>45090.0</v>
      </c>
      <c r="C623" s="220" t="str">
        <f t="shared" si="92"/>
        <v/>
      </c>
      <c r="D623" s="220"/>
      <c r="E623" s="220">
        <f t="shared" si="90"/>
        <v>0</v>
      </c>
      <c r="F623" s="220">
        <f t="shared" si="91"/>
        <v>-10</v>
      </c>
    </row>
    <row r="624" ht="14.25" customHeight="1">
      <c r="B624" s="219">
        <v>45091.0</v>
      </c>
      <c r="C624" s="220" t="str">
        <f t="shared" si="92"/>
        <v/>
      </c>
      <c r="D624" s="220"/>
      <c r="E624" s="220">
        <f t="shared" si="90"/>
        <v>0</v>
      </c>
      <c r="F624" s="220">
        <f t="shared" si="91"/>
        <v>-10</v>
      </c>
    </row>
    <row r="625" ht="14.25" customHeight="1">
      <c r="B625" s="219">
        <v>45092.0</v>
      </c>
      <c r="C625" s="220" t="str">
        <f t="shared" si="92"/>
        <v/>
      </c>
      <c r="D625" s="220"/>
      <c r="E625" s="220">
        <f t="shared" si="90"/>
        <v>0</v>
      </c>
      <c r="F625" s="220">
        <f t="shared" si="91"/>
        <v>-10</v>
      </c>
    </row>
    <row r="626" ht="14.25" customHeight="1">
      <c r="B626" s="219">
        <v>45093.0</v>
      </c>
      <c r="C626" s="220" t="str">
        <f t="shared" si="92"/>
        <v/>
      </c>
      <c r="D626" s="220"/>
      <c r="E626" s="220">
        <f t="shared" si="90"/>
        <v>0</v>
      </c>
      <c r="F626" s="220">
        <f t="shared" si="91"/>
        <v>-10</v>
      </c>
    </row>
    <row r="627" ht="14.25" customHeight="1">
      <c r="B627" s="254">
        <v>45094.0</v>
      </c>
      <c r="C627" s="255" t="str">
        <f t="shared" si="92"/>
        <v/>
      </c>
      <c r="D627" s="255"/>
      <c r="E627" s="255">
        <f t="shared" si="90"/>
        <v>0</v>
      </c>
      <c r="F627" s="255">
        <f t="shared" si="91"/>
        <v>-10</v>
      </c>
    </row>
    <row r="628" ht="14.25" customHeight="1">
      <c r="B628" s="254">
        <v>45095.0</v>
      </c>
      <c r="C628" s="255" t="str">
        <f t="shared" si="92"/>
        <v/>
      </c>
      <c r="D628" s="255"/>
      <c r="E628" s="255">
        <f t="shared" si="90"/>
        <v>0</v>
      </c>
      <c r="F628" s="255">
        <f t="shared" si="91"/>
        <v>-10</v>
      </c>
    </row>
    <row r="629" ht="14.25" customHeight="1">
      <c r="B629" s="219">
        <v>45096.0</v>
      </c>
      <c r="C629" s="220" t="str">
        <f t="shared" si="92"/>
        <v/>
      </c>
      <c r="D629" s="220"/>
      <c r="E629" s="220">
        <f t="shared" si="90"/>
        <v>0</v>
      </c>
      <c r="F629" s="220">
        <f t="shared" si="91"/>
        <v>-10</v>
      </c>
    </row>
    <row r="630" ht="14.25" customHeight="1">
      <c r="B630" s="219">
        <v>45097.0</v>
      </c>
      <c r="C630" s="220" t="str">
        <f t="shared" si="92"/>
        <v/>
      </c>
      <c r="D630" s="220"/>
      <c r="E630" s="220">
        <f t="shared" si="90"/>
        <v>0</v>
      </c>
      <c r="F630" s="220">
        <f t="shared" si="91"/>
        <v>-10</v>
      </c>
    </row>
    <row r="631" ht="14.25" customHeight="1">
      <c r="B631" s="219">
        <v>45098.0</v>
      </c>
      <c r="C631" s="220" t="str">
        <f t="shared" si="92"/>
        <v/>
      </c>
      <c r="D631" s="220"/>
      <c r="E631" s="220">
        <f t="shared" si="90"/>
        <v>0</v>
      </c>
      <c r="F631" s="220">
        <f t="shared" si="91"/>
        <v>-10</v>
      </c>
    </row>
    <row r="632" ht="14.25" customHeight="1">
      <c r="B632" s="219">
        <v>45099.0</v>
      </c>
      <c r="C632" s="220" t="str">
        <f t="shared" si="92"/>
        <v/>
      </c>
      <c r="D632" s="220"/>
      <c r="E632" s="220">
        <f t="shared" si="90"/>
        <v>0</v>
      </c>
      <c r="F632" s="220">
        <f t="shared" si="91"/>
        <v>-10</v>
      </c>
    </row>
    <row r="633" ht="14.25" customHeight="1">
      <c r="B633" s="219">
        <v>45100.0</v>
      </c>
      <c r="C633" s="220" t="str">
        <f t="shared" si="92"/>
        <v/>
      </c>
      <c r="D633" s="220"/>
      <c r="E633" s="220">
        <f t="shared" si="90"/>
        <v>0</v>
      </c>
      <c r="F633" s="220">
        <f t="shared" si="91"/>
        <v>-10</v>
      </c>
    </row>
    <row r="634" ht="14.25" customHeight="1">
      <c r="B634" s="254">
        <v>45101.0</v>
      </c>
      <c r="C634" s="255" t="str">
        <f t="shared" si="92"/>
        <v/>
      </c>
      <c r="D634" s="255"/>
      <c r="E634" s="255">
        <f t="shared" si="90"/>
        <v>0</v>
      </c>
      <c r="F634" s="255">
        <f t="shared" si="91"/>
        <v>-10</v>
      </c>
    </row>
    <row r="635" ht="14.25" customHeight="1">
      <c r="B635" s="254">
        <v>45102.0</v>
      </c>
      <c r="C635" s="255" t="str">
        <f t="shared" si="92"/>
        <v/>
      </c>
      <c r="D635" s="255"/>
      <c r="E635" s="255">
        <f t="shared" si="90"/>
        <v>0</v>
      </c>
      <c r="F635" s="255">
        <f t="shared" si="91"/>
        <v>-10</v>
      </c>
    </row>
    <row r="636" ht="14.25" customHeight="1">
      <c r="B636" s="219">
        <v>45103.0</v>
      </c>
      <c r="C636" s="220" t="str">
        <f t="shared" si="92"/>
        <v/>
      </c>
      <c r="D636" s="220"/>
      <c r="E636" s="220">
        <f t="shared" si="90"/>
        <v>0</v>
      </c>
      <c r="F636" s="220">
        <f t="shared" si="91"/>
        <v>-10</v>
      </c>
    </row>
    <row r="637" ht="14.25" customHeight="1">
      <c r="B637" s="219">
        <v>45104.0</v>
      </c>
      <c r="C637" s="220" t="str">
        <f t="shared" si="92"/>
        <v/>
      </c>
      <c r="D637" s="220"/>
      <c r="E637" s="220">
        <f t="shared" si="90"/>
        <v>0</v>
      </c>
      <c r="F637" s="220">
        <f t="shared" si="91"/>
        <v>-10</v>
      </c>
    </row>
    <row r="638" ht="14.25" customHeight="1">
      <c r="B638" s="219">
        <v>45105.0</v>
      </c>
      <c r="C638" s="220" t="str">
        <f t="shared" si="92"/>
        <v/>
      </c>
      <c r="D638" s="220"/>
      <c r="E638" s="220">
        <f t="shared" si="90"/>
        <v>0</v>
      </c>
      <c r="F638" s="220">
        <f t="shared" si="91"/>
        <v>-10</v>
      </c>
    </row>
    <row r="639" ht="14.25" customHeight="1">
      <c r="B639" s="219">
        <v>45106.0</v>
      </c>
      <c r="C639" s="220" t="str">
        <f t="shared" si="92"/>
        <v/>
      </c>
      <c r="D639" s="220"/>
      <c r="E639" s="220">
        <f t="shared" si="90"/>
        <v>0</v>
      </c>
      <c r="F639" s="220">
        <f t="shared" si="91"/>
        <v>-10</v>
      </c>
    </row>
    <row r="640" ht="14.25" customHeight="1">
      <c r="B640" s="219">
        <v>45107.0</v>
      </c>
      <c r="C640" s="220" t="str">
        <f t="shared" si="92"/>
        <v/>
      </c>
      <c r="D640" s="220"/>
      <c r="E640" s="220">
        <f t="shared" si="90"/>
        <v>0</v>
      </c>
      <c r="F640" s="220">
        <f t="shared" si="91"/>
        <v>-10</v>
      </c>
    </row>
    <row r="641" ht="14.25" customHeight="1">
      <c r="B641" s="229"/>
      <c r="C641" s="220" t="str">
        <f t="shared" si="92"/>
        <v/>
      </c>
      <c r="D641" s="220"/>
      <c r="E641" s="220">
        <f t="shared" si="90"/>
        <v>0</v>
      </c>
      <c r="F641" s="220">
        <f t="shared" si="91"/>
        <v>-10</v>
      </c>
    </row>
    <row r="642" ht="14.25" customHeight="1">
      <c r="B642" s="216"/>
      <c r="C642" s="223" t="s">
        <v>221</v>
      </c>
      <c r="D642" s="223"/>
      <c r="E642" s="216">
        <f>SUM(E611:E641)</f>
        <v>0</v>
      </c>
      <c r="F642" s="216">
        <f t="shared" si="91"/>
        <v>-10</v>
      </c>
    </row>
    <row r="643" ht="14.25" customHeight="1"/>
    <row r="644" ht="14.25" customHeight="1">
      <c r="A644" s="272">
        <v>45261.0</v>
      </c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1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 ht="14.25" customHeight="1"/>
    <row r="646" ht="14.25" customHeight="1">
      <c r="B646" s="216" t="s">
        <v>214</v>
      </c>
      <c r="C646" s="216" t="s">
        <v>215</v>
      </c>
      <c r="D646" s="216" t="s">
        <v>216</v>
      </c>
      <c r="E646" s="216" t="s">
        <v>217</v>
      </c>
      <c r="F646" s="216" t="s">
        <v>218</v>
      </c>
      <c r="H646" s="216" t="s">
        <v>238</v>
      </c>
      <c r="I646" s="216"/>
      <c r="K646" s="270" t="s">
        <v>337</v>
      </c>
      <c r="L646" s="231"/>
    </row>
    <row r="647" ht="14.25" customHeight="1">
      <c r="B647" s="219">
        <v>45078.0</v>
      </c>
      <c r="C647" s="220"/>
      <c r="D647" s="220"/>
      <c r="E647" s="220">
        <f t="shared" ref="E647:E677" si="93">D647-C647</f>
        <v>0</v>
      </c>
      <c r="F647" s="220">
        <f t="shared" ref="F647:F678" si="94">E647-10</f>
        <v>-10</v>
      </c>
      <c r="H647" s="216" t="s">
        <v>245</v>
      </c>
      <c r="I647" s="216"/>
      <c r="K647" s="216" t="s">
        <v>244</v>
      </c>
      <c r="L647" s="232">
        <v>1500.0</v>
      </c>
    </row>
    <row r="648" ht="14.25" customHeight="1">
      <c r="B648" s="219">
        <v>45079.0</v>
      </c>
      <c r="C648" s="220" t="str">
        <f t="shared" ref="C648:C677" si="95">D647</f>
        <v/>
      </c>
      <c r="D648" s="220"/>
      <c r="E648" s="220">
        <f t="shared" si="93"/>
        <v>0</v>
      </c>
      <c r="F648" s="220">
        <f t="shared" si="94"/>
        <v>-10</v>
      </c>
      <c r="H648" s="216" t="s">
        <v>247</v>
      </c>
      <c r="I648" s="216"/>
      <c r="K648" s="216" t="s">
        <v>266</v>
      </c>
      <c r="L648" s="232"/>
    </row>
    <row r="649" ht="14.25" customHeight="1">
      <c r="B649" s="254">
        <v>45080.0</v>
      </c>
      <c r="C649" s="255" t="str">
        <f t="shared" si="95"/>
        <v/>
      </c>
      <c r="D649" s="255"/>
      <c r="E649" s="255">
        <f t="shared" si="93"/>
        <v>0</v>
      </c>
      <c r="F649" s="255">
        <f t="shared" si="94"/>
        <v>-10</v>
      </c>
      <c r="H649" s="216" t="s">
        <v>249</v>
      </c>
      <c r="I649" s="232">
        <v>7.0</v>
      </c>
      <c r="K649" s="216" t="s">
        <v>246</v>
      </c>
      <c r="L649" s="232">
        <f>I648*I649</f>
        <v>0</v>
      </c>
    </row>
    <row r="650" ht="14.25" customHeight="1">
      <c r="B650" s="254">
        <v>45081.0</v>
      </c>
      <c r="C650" s="255" t="str">
        <f t="shared" si="95"/>
        <v/>
      </c>
      <c r="D650" s="255"/>
      <c r="E650" s="255">
        <f t="shared" si="93"/>
        <v>0</v>
      </c>
      <c r="F650" s="255">
        <f t="shared" si="94"/>
        <v>-10</v>
      </c>
      <c r="H650" s="216" t="s">
        <v>251</v>
      </c>
      <c r="I650" s="216"/>
      <c r="K650" s="216" t="s">
        <v>248</v>
      </c>
      <c r="L650" s="232">
        <f>I651*I650</f>
        <v>0</v>
      </c>
    </row>
    <row r="651" ht="14.25" customHeight="1">
      <c r="B651" s="219">
        <v>45082.0</v>
      </c>
      <c r="C651" s="220" t="str">
        <f t="shared" si="95"/>
        <v/>
      </c>
      <c r="D651" s="220"/>
      <c r="E651" s="220">
        <f t="shared" si="93"/>
        <v>0</v>
      </c>
      <c r="F651" s="220">
        <f t="shared" si="94"/>
        <v>-10</v>
      </c>
      <c r="H651" s="216" t="s">
        <v>249</v>
      </c>
      <c r="I651" s="232">
        <v>7.0</v>
      </c>
      <c r="K651" s="216" t="s">
        <v>318</v>
      </c>
      <c r="L651" s="232">
        <f>I652*100</f>
        <v>0</v>
      </c>
    </row>
    <row r="652" ht="14.25" customHeight="1">
      <c r="B652" s="219">
        <v>45083.0</v>
      </c>
      <c r="C652" s="220" t="str">
        <f t="shared" si="95"/>
        <v/>
      </c>
      <c r="D652" s="220"/>
      <c r="E652" s="220">
        <f t="shared" si="93"/>
        <v>0</v>
      </c>
      <c r="F652" s="220">
        <f t="shared" si="94"/>
        <v>-10</v>
      </c>
      <c r="H652" s="216" t="s">
        <v>250</v>
      </c>
      <c r="I652" s="216"/>
      <c r="K652" s="216" t="s">
        <v>252</v>
      </c>
      <c r="L652" s="232"/>
    </row>
    <row r="653" ht="14.25" customHeight="1">
      <c r="B653" s="219">
        <v>45084.0</v>
      </c>
      <c r="C653" s="220" t="str">
        <f t="shared" si="95"/>
        <v/>
      </c>
      <c r="D653" s="220"/>
      <c r="E653" s="220">
        <f t="shared" si="93"/>
        <v>0</v>
      </c>
      <c r="F653" s="220">
        <f t="shared" si="94"/>
        <v>-10</v>
      </c>
      <c r="K653" s="216" t="s">
        <v>320</v>
      </c>
      <c r="L653" s="269">
        <v>1500.0</v>
      </c>
    </row>
    <row r="654" ht="14.25" customHeight="1">
      <c r="B654" s="219">
        <v>45085.0</v>
      </c>
      <c r="C654" s="220" t="str">
        <f t="shared" si="95"/>
        <v/>
      </c>
      <c r="D654" s="220"/>
      <c r="E654" s="220">
        <f t="shared" si="93"/>
        <v>0</v>
      </c>
      <c r="F654" s="220">
        <f t="shared" si="94"/>
        <v>-10</v>
      </c>
      <c r="K654" s="216" t="s">
        <v>268</v>
      </c>
      <c r="L654" s="232">
        <f>L647+L649+L650+L651-L648-L652+L653</f>
        <v>3000</v>
      </c>
    </row>
    <row r="655" ht="14.25" customHeight="1">
      <c r="B655" s="219">
        <v>45086.0</v>
      </c>
      <c r="C655" s="220" t="str">
        <f t="shared" si="95"/>
        <v/>
      </c>
      <c r="D655" s="220"/>
      <c r="E655" s="220">
        <f t="shared" si="93"/>
        <v>0</v>
      </c>
      <c r="F655" s="220">
        <f t="shared" si="94"/>
        <v>-10</v>
      </c>
      <c r="K655" s="216" t="s">
        <v>269</v>
      </c>
      <c r="L655" s="229"/>
    </row>
    <row r="656" ht="14.25" customHeight="1">
      <c r="B656" s="254">
        <v>45087.0</v>
      </c>
      <c r="C656" s="255" t="str">
        <f t="shared" si="95"/>
        <v/>
      </c>
      <c r="D656" s="255"/>
      <c r="E656" s="255">
        <f t="shared" si="93"/>
        <v>0</v>
      </c>
      <c r="F656" s="255">
        <f t="shared" si="94"/>
        <v>-10</v>
      </c>
    </row>
    <row r="657" ht="14.25" customHeight="1">
      <c r="B657" s="254">
        <v>45088.0</v>
      </c>
      <c r="C657" s="255" t="str">
        <f t="shared" si="95"/>
        <v/>
      </c>
      <c r="D657" s="255"/>
      <c r="E657" s="255">
        <f t="shared" si="93"/>
        <v>0</v>
      </c>
      <c r="F657" s="255">
        <f t="shared" si="94"/>
        <v>-10</v>
      </c>
    </row>
    <row r="658" ht="14.25" customHeight="1">
      <c r="B658" s="219">
        <v>45089.0</v>
      </c>
      <c r="C658" s="220" t="str">
        <f t="shared" si="95"/>
        <v/>
      </c>
      <c r="D658" s="220"/>
      <c r="E658" s="220">
        <f t="shared" si="93"/>
        <v>0</v>
      </c>
      <c r="F658" s="220">
        <f t="shared" si="94"/>
        <v>-10</v>
      </c>
    </row>
    <row r="659" ht="14.25" customHeight="1">
      <c r="B659" s="219">
        <v>45090.0</v>
      </c>
      <c r="C659" s="220" t="str">
        <f t="shared" si="95"/>
        <v/>
      </c>
      <c r="D659" s="220"/>
      <c r="E659" s="220">
        <f t="shared" si="93"/>
        <v>0</v>
      </c>
      <c r="F659" s="220">
        <f t="shared" si="94"/>
        <v>-10</v>
      </c>
    </row>
    <row r="660" ht="14.25" customHeight="1">
      <c r="B660" s="219">
        <v>45091.0</v>
      </c>
      <c r="C660" s="220" t="str">
        <f t="shared" si="95"/>
        <v/>
      </c>
      <c r="D660" s="220"/>
      <c r="E660" s="220">
        <f t="shared" si="93"/>
        <v>0</v>
      </c>
      <c r="F660" s="220">
        <f t="shared" si="94"/>
        <v>-10</v>
      </c>
    </row>
    <row r="661" ht="14.25" customHeight="1">
      <c r="B661" s="219">
        <v>45092.0</v>
      </c>
      <c r="C661" s="220" t="str">
        <f t="shared" si="95"/>
        <v/>
      </c>
      <c r="D661" s="220"/>
      <c r="E661" s="220">
        <f t="shared" si="93"/>
        <v>0</v>
      </c>
      <c r="F661" s="220">
        <f t="shared" si="94"/>
        <v>-10</v>
      </c>
    </row>
    <row r="662" ht="14.25" customHeight="1">
      <c r="B662" s="219">
        <v>45093.0</v>
      </c>
      <c r="C662" s="220" t="str">
        <f t="shared" si="95"/>
        <v/>
      </c>
      <c r="D662" s="220"/>
      <c r="E662" s="220">
        <f t="shared" si="93"/>
        <v>0</v>
      </c>
      <c r="F662" s="220">
        <f t="shared" si="94"/>
        <v>-10</v>
      </c>
    </row>
    <row r="663" ht="14.25" customHeight="1">
      <c r="B663" s="254">
        <v>45094.0</v>
      </c>
      <c r="C663" s="255" t="str">
        <f t="shared" si="95"/>
        <v/>
      </c>
      <c r="D663" s="255"/>
      <c r="E663" s="255">
        <f t="shared" si="93"/>
        <v>0</v>
      </c>
      <c r="F663" s="255">
        <f t="shared" si="94"/>
        <v>-10</v>
      </c>
    </row>
    <row r="664" ht="14.25" customHeight="1">
      <c r="B664" s="254">
        <v>45095.0</v>
      </c>
      <c r="C664" s="255" t="str">
        <f t="shared" si="95"/>
        <v/>
      </c>
      <c r="D664" s="255"/>
      <c r="E664" s="255">
        <f t="shared" si="93"/>
        <v>0</v>
      </c>
      <c r="F664" s="255">
        <f t="shared" si="94"/>
        <v>-10</v>
      </c>
    </row>
    <row r="665" ht="14.25" customHeight="1">
      <c r="B665" s="219">
        <v>45096.0</v>
      </c>
      <c r="C665" s="220" t="str">
        <f t="shared" si="95"/>
        <v/>
      </c>
      <c r="D665" s="220"/>
      <c r="E665" s="220">
        <f t="shared" si="93"/>
        <v>0</v>
      </c>
      <c r="F665" s="220">
        <f t="shared" si="94"/>
        <v>-10</v>
      </c>
    </row>
    <row r="666" ht="14.25" customHeight="1">
      <c r="B666" s="219">
        <v>45097.0</v>
      </c>
      <c r="C666" s="220" t="str">
        <f t="shared" si="95"/>
        <v/>
      </c>
      <c r="D666" s="220"/>
      <c r="E666" s="220">
        <f t="shared" si="93"/>
        <v>0</v>
      </c>
      <c r="F666" s="220">
        <f t="shared" si="94"/>
        <v>-10</v>
      </c>
    </row>
    <row r="667" ht="14.25" customHeight="1">
      <c r="B667" s="219">
        <v>45098.0</v>
      </c>
      <c r="C667" s="220" t="str">
        <f t="shared" si="95"/>
        <v/>
      </c>
      <c r="D667" s="220"/>
      <c r="E667" s="220">
        <f t="shared" si="93"/>
        <v>0</v>
      </c>
      <c r="F667" s="220">
        <f t="shared" si="94"/>
        <v>-10</v>
      </c>
    </row>
    <row r="668" ht="14.25" customHeight="1">
      <c r="B668" s="219">
        <v>45099.0</v>
      </c>
      <c r="C668" s="220" t="str">
        <f t="shared" si="95"/>
        <v/>
      </c>
      <c r="D668" s="220"/>
      <c r="E668" s="220">
        <f t="shared" si="93"/>
        <v>0</v>
      </c>
      <c r="F668" s="220">
        <f t="shared" si="94"/>
        <v>-10</v>
      </c>
    </row>
    <row r="669" ht="14.25" customHeight="1">
      <c r="B669" s="219">
        <v>45100.0</v>
      </c>
      <c r="C669" s="220" t="str">
        <f t="shared" si="95"/>
        <v/>
      </c>
      <c r="D669" s="220"/>
      <c r="E669" s="220">
        <f t="shared" si="93"/>
        <v>0</v>
      </c>
      <c r="F669" s="220">
        <f t="shared" si="94"/>
        <v>-10</v>
      </c>
    </row>
    <row r="670" ht="14.25" customHeight="1">
      <c r="B670" s="254">
        <v>45101.0</v>
      </c>
      <c r="C670" s="255" t="str">
        <f t="shared" si="95"/>
        <v/>
      </c>
      <c r="D670" s="255"/>
      <c r="E670" s="255">
        <f t="shared" si="93"/>
        <v>0</v>
      </c>
      <c r="F670" s="255">
        <f t="shared" si="94"/>
        <v>-10</v>
      </c>
    </row>
    <row r="671" ht="14.25" customHeight="1">
      <c r="B671" s="254">
        <v>45102.0</v>
      </c>
      <c r="C671" s="255" t="str">
        <f t="shared" si="95"/>
        <v/>
      </c>
      <c r="D671" s="255"/>
      <c r="E671" s="255">
        <f t="shared" si="93"/>
        <v>0</v>
      </c>
      <c r="F671" s="255">
        <f t="shared" si="94"/>
        <v>-10</v>
      </c>
    </row>
    <row r="672" ht="14.25" customHeight="1">
      <c r="B672" s="219">
        <v>45103.0</v>
      </c>
      <c r="C672" s="220" t="str">
        <f t="shared" si="95"/>
        <v/>
      </c>
      <c r="D672" s="220"/>
      <c r="E672" s="220">
        <f t="shared" si="93"/>
        <v>0</v>
      </c>
      <c r="F672" s="220">
        <f t="shared" si="94"/>
        <v>-10</v>
      </c>
    </row>
    <row r="673" ht="14.25" customHeight="1">
      <c r="B673" s="219">
        <v>45104.0</v>
      </c>
      <c r="C673" s="220" t="str">
        <f t="shared" si="95"/>
        <v/>
      </c>
      <c r="D673" s="220"/>
      <c r="E673" s="220">
        <f t="shared" si="93"/>
        <v>0</v>
      </c>
      <c r="F673" s="220">
        <f t="shared" si="94"/>
        <v>-10</v>
      </c>
    </row>
    <row r="674" ht="14.25" customHeight="1">
      <c r="B674" s="219">
        <v>45105.0</v>
      </c>
      <c r="C674" s="220" t="str">
        <f t="shared" si="95"/>
        <v/>
      </c>
      <c r="D674" s="220"/>
      <c r="E674" s="220">
        <f t="shared" si="93"/>
        <v>0</v>
      </c>
      <c r="F674" s="220">
        <f t="shared" si="94"/>
        <v>-10</v>
      </c>
    </row>
    <row r="675" ht="14.25" customHeight="1">
      <c r="B675" s="219">
        <v>45106.0</v>
      </c>
      <c r="C675" s="220" t="str">
        <f t="shared" si="95"/>
        <v/>
      </c>
      <c r="D675" s="220"/>
      <c r="E675" s="220">
        <f t="shared" si="93"/>
        <v>0</v>
      </c>
      <c r="F675" s="220">
        <f t="shared" si="94"/>
        <v>-10</v>
      </c>
    </row>
    <row r="676" ht="14.25" customHeight="1">
      <c r="B676" s="219">
        <v>45107.0</v>
      </c>
      <c r="C676" s="220" t="str">
        <f t="shared" si="95"/>
        <v/>
      </c>
      <c r="D676" s="220"/>
      <c r="E676" s="220">
        <f t="shared" si="93"/>
        <v>0</v>
      </c>
      <c r="F676" s="220">
        <f t="shared" si="94"/>
        <v>-10</v>
      </c>
    </row>
    <row r="677" ht="14.25" customHeight="1">
      <c r="B677" s="229"/>
      <c r="C677" s="220" t="str">
        <f t="shared" si="95"/>
        <v/>
      </c>
      <c r="D677" s="220"/>
      <c r="E677" s="220">
        <f t="shared" si="93"/>
        <v>0</v>
      </c>
      <c r="F677" s="220">
        <f t="shared" si="94"/>
        <v>-10</v>
      </c>
    </row>
    <row r="678" ht="14.25" customHeight="1">
      <c r="B678" s="216"/>
      <c r="C678" s="223" t="s">
        <v>221</v>
      </c>
      <c r="D678" s="223"/>
      <c r="E678" s="216">
        <f>SUM(E647:E677)</f>
        <v>0</v>
      </c>
      <c r="F678" s="216">
        <f t="shared" si="94"/>
        <v>-10</v>
      </c>
    </row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A3:B3"/>
    <mergeCell ref="A17:B17"/>
    <mergeCell ref="H40:I40"/>
    <mergeCell ref="B43:C43"/>
    <mergeCell ref="B51:C51"/>
    <mergeCell ref="B73:C73"/>
    <mergeCell ref="B81:C81"/>
    <mergeCell ref="B206:C206"/>
    <mergeCell ref="B229:C229"/>
    <mergeCell ref="B237:C237"/>
    <mergeCell ref="B260:C260"/>
    <mergeCell ref="B268:C268"/>
    <mergeCell ref="B293:C293"/>
    <mergeCell ref="B327:C327"/>
    <mergeCell ref="B104:C104"/>
    <mergeCell ref="B112:C112"/>
    <mergeCell ref="B136:C136"/>
    <mergeCell ref="B144:C144"/>
    <mergeCell ref="B167:C167"/>
    <mergeCell ref="B175:C175"/>
    <mergeCell ref="B198:C198"/>
    <mergeCell ref="H70:I70"/>
    <mergeCell ref="H100:I100"/>
    <mergeCell ref="H131:I131"/>
    <mergeCell ref="H163:I163"/>
    <mergeCell ref="H194:I194"/>
    <mergeCell ref="H225:I225"/>
    <mergeCell ref="H256:I256"/>
    <mergeCell ref="H287:I287"/>
    <mergeCell ref="H320:I320"/>
    <mergeCell ref="H354:I354"/>
    <mergeCell ref="A356:O356"/>
    <mergeCell ref="K358:L358"/>
    <mergeCell ref="A392:O392"/>
    <mergeCell ref="K394:L394"/>
    <mergeCell ref="A428:O428"/>
    <mergeCell ref="K430:L430"/>
    <mergeCell ref="I442:L443"/>
    <mergeCell ref="A464:O464"/>
    <mergeCell ref="K466:L466"/>
    <mergeCell ref="K485:L485"/>
    <mergeCell ref="A500:O500"/>
    <mergeCell ref="A644:O644"/>
    <mergeCell ref="K646:L646"/>
    <mergeCell ref="K502:L502"/>
    <mergeCell ref="A536:O536"/>
    <mergeCell ref="K538:L538"/>
    <mergeCell ref="A572:O572"/>
    <mergeCell ref="K574:L574"/>
    <mergeCell ref="A608:O608"/>
    <mergeCell ref="K610:L610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11.14"/>
    <col customWidth="1" min="4" max="4" width="10.71"/>
    <col customWidth="1" min="5" max="5" width="11.71"/>
    <col customWidth="1" min="6" max="7" width="8.71"/>
    <col customWidth="1" min="8" max="8" width="18.14"/>
    <col customWidth="1" min="9" max="9" width="13.43"/>
    <col customWidth="1" min="10" max="10" width="20.29"/>
    <col customWidth="1" min="11" max="11" width="14.86"/>
    <col customWidth="1" min="12" max="12" width="11.86"/>
    <col customWidth="1" min="13" max="26" width="8.71"/>
  </cols>
  <sheetData>
    <row r="1" ht="14.25" customHeight="1">
      <c r="A1" s="249" t="s">
        <v>234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1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4.25" customHeight="1"/>
    <row r="3" ht="14.25" customHeight="1">
      <c r="B3" s="216" t="s">
        <v>214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/>
      <c r="K3" s="253" t="s">
        <v>234</v>
      </c>
      <c r="L3" s="231"/>
    </row>
    <row r="4" ht="14.25" customHeight="1">
      <c r="B4" s="219">
        <v>45139.0</v>
      </c>
      <c r="C4" s="220"/>
      <c r="D4" s="220"/>
      <c r="E4" s="220">
        <f t="shared" ref="E4:E34" si="1">D4-C4</f>
        <v>0</v>
      </c>
      <c r="F4" s="220">
        <f t="shared" ref="F4:F35" si="2">E4-10</f>
        <v>-10</v>
      </c>
      <c r="H4" s="216" t="s">
        <v>245</v>
      </c>
      <c r="I4" s="216"/>
      <c r="K4" s="216" t="s">
        <v>244</v>
      </c>
      <c r="L4" s="232">
        <v>3600.0</v>
      </c>
    </row>
    <row r="5" ht="14.25" customHeight="1">
      <c r="B5" s="219">
        <v>45140.0</v>
      </c>
      <c r="C5" s="220" t="str">
        <f t="shared" ref="C5:C34" si="3">D4</f>
        <v/>
      </c>
      <c r="D5" s="220"/>
      <c r="E5" s="220">
        <f t="shared" si="1"/>
        <v>0</v>
      </c>
      <c r="F5" s="220">
        <f t="shared" si="2"/>
        <v>-10</v>
      </c>
      <c r="H5" s="216" t="s">
        <v>247</v>
      </c>
      <c r="I5" s="216">
        <v>1.0</v>
      </c>
      <c r="K5" s="216" t="s">
        <v>266</v>
      </c>
      <c r="L5" s="232"/>
    </row>
    <row r="6" ht="14.25" customHeight="1">
      <c r="B6" s="219">
        <v>45141.0</v>
      </c>
      <c r="C6" s="220" t="str">
        <f t="shared" si="3"/>
        <v/>
      </c>
      <c r="D6" s="220"/>
      <c r="E6" s="220">
        <f t="shared" si="1"/>
        <v>0</v>
      </c>
      <c r="F6" s="220">
        <f t="shared" si="2"/>
        <v>-10</v>
      </c>
      <c r="H6" s="216" t="s">
        <v>249</v>
      </c>
      <c r="I6" s="232">
        <v>772.35</v>
      </c>
      <c r="K6" s="216" t="s">
        <v>246</v>
      </c>
      <c r="L6" s="232">
        <f>I5*I6</f>
        <v>772.35</v>
      </c>
    </row>
    <row r="7" ht="14.25" customHeight="1">
      <c r="B7" s="219">
        <v>45142.0</v>
      </c>
      <c r="C7" s="220" t="str">
        <f t="shared" si="3"/>
        <v/>
      </c>
      <c r="D7" s="220"/>
      <c r="E7" s="220">
        <f t="shared" si="1"/>
        <v>0</v>
      </c>
      <c r="F7" s="220">
        <f t="shared" si="2"/>
        <v>-10</v>
      </c>
      <c r="H7" s="216" t="s">
        <v>251</v>
      </c>
      <c r="I7" s="216"/>
      <c r="K7" s="216" t="s">
        <v>248</v>
      </c>
      <c r="L7" s="232">
        <f>O8*O9</f>
        <v>0</v>
      </c>
    </row>
    <row r="8" ht="14.25" customHeight="1">
      <c r="B8" s="259">
        <v>45143.0</v>
      </c>
      <c r="C8" s="273" t="str">
        <f t="shared" si="3"/>
        <v/>
      </c>
      <c r="D8" s="273"/>
      <c r="E8" s="273">
        <f t="shared" si="1"/>
        <v>0</v>
      </c>
      <c r="F8" s="273">
        <f t="shared" si="2"/>
        <v>-10</v>
      </c>
      <c r="H8" s="216" t="s">
        <v>249</v>
      </c>
      <c r="I8" s="232">
        <v>10.0</v>
      </c>
      <c r="K8" s="216" t="s">
        <v>250</v>
      </c>
      <c r="L8" s="232">
        <f>I9*100</f>
        <v>0</v>
      </c>
    </row>
    <row r="9" ht="14.25" customHeight="1">
      <c r="B9" s="259">
        <v>45144.0</v>
      </c>
      <c r="C9" s="273" t="str">
        <f t="shared" si="3"/>
        <v/>
      </c>
      <c r="D9" s="273"/>
      <c r="E9" s="273">
        <f t="shared" si="1"/>
        <v>0</v>
      </c>
      <c r="F9" s="273">
        <f t="shared" si="2"/>
        <v>-10</v>
      </c>
      <c r="H9" s="216" t="s">
        <v>250</v>
      </c>
      <c r="I9" s="216"/>
      <c r="K9" s="216" t="s">
        <v>252</v>
      </c>
      <c r="L9" s="232"/>
    </row>
    <row r="10" ht="14.25" customHeight="1">
      <c r="B10" s="219">
        <v>45145.0</v>
      </c>
      <c r="C10" s="220" t="str">
        <f t="shared" si="3"/>
        <v/>
      </c>
      <c r="D10" s="220"/>
      <c r="E10" s="220">
        <f t="shared" si="1"/>
        <v>0</v>
      </c>
      <c r="F10" s="220">
        <f t="shared" si="2"/>
        <v>-10</v>
      </c>
      <c r="K10" s="216" t="s">
        <v>268</v>
      </c>
      <c r="L10" s="232">
        <f>L4+L6+L7+L8-L5-L9</f>
        <v>4372.35</v>
      </c>
    </row>
    <row r="11" ht="14.25" customHeight="1">
      <c r="B11" s="219">
        <v>45146.0</v>
      </c>
      <c r="C11" s="220" t="str">
        <f t="shared" si="3"/>
        <v/>
      </c>
      <c r="D11" s="220"/>
      <c r="E11" s="220">
        <f t="shared" si="1"/>
        <v>0</v>
      </c>
      <c r="F11" s="220">
        <f t="shared" si="2"/>
        <v>-10</v>
      </c>
      <c r="K11" s="216" t="s">
        <v>269</v>
      </c>
      <c r="L11" s="229">
        <v>45171.0</v>
      </c>
    </row>
    <row r="12" ht="14.25" customHeight="1">
      <c r="B12" s="219">
        <v>45147.0</v>
      </c>
      <c r="C12" s="220" t="str">
        <f t="shared" si="3"/>
        <v/>
      </c>
      <c r="D12" s="220"/>
      <c r="E12" s="220">
        <f t="shared" si="1"/>
        <v>0</v>
      </c>
      <c r="F12" s="220">
        <f t="shared" si="2"/>
        <v>-10</v>
      </c>
    </row>
    <row r="13" ht="14.25" customHeight="1">
      <c r="B13" s="219">
        <v>45148.0</v>
      </c>
      <c r="C13" s="220" t="str">
        <f t="shared" si="3"/>
        <v/>
      </c>
      <c r="D13" s="220"/>
      <c r="E13" s="220">
        <f t="shared" si="1"/>
        <v>0</v>
      </c>
      <c r="F13" s="220">
        <f t="shared" si="2"/>
        <v>-10</v>
      </c>
      <c r="H13" s="165" t="s">
        <v>339</v>
      </c>
      <c r="I13" s="12">
        <v>19.9</v>
      </c>
      <c r="J13" s="165" t="s">
        <v>340</v>
      </c>
    </row>
    <row r="14" ht="14.25" customHeight="1">
      <c r="B14" s="219">
        <v>45149.0</v>
      </c>
      <c r="C14" s="220" t="str">
        <f t="shared" si="3"/>
        <v/>
      </c>
      <c r="D14" s="220"/>
      <c r="E14" s="220">
        <f t="shared" si="1"/>
        <v>0</v>
      </c>
      <c r="F14" s="220">
        <f t="shared" si="2"/>
        <v>-10</v>
      </c>
      <c r="H14" s="165" t="s">
        <v>341</v>
      </c>
      <c r="I14" s="12">
        <v>9.1</v>
      </c>
      <c r="J14" s="165" t="s">
        <v>342</v>
      </c>
    </row>
    <row r="15" ht="14.25" customHeight="1">
      <c r="B15" s="259">
        <v>45150.0</v>
      </c>
      <c r="C15" s="273" t="str">
        <f t="shared" si="3"/>
        <v/>
      </c>
      <c r="D15" s="273"/>
      <c r="E15" s="273">
        <f t="shared" si="1"/>
        <v>0</v>
      </c>
      <c r="F15" s="273">
        <f t="shared" si="2"/>
        <v>-10</v>
      </c>
      <c r="H15" s="165" t="s">
        <v>343</v>
      </c>
      <c r="I15" s="12">
        <v>9.0</v>
      </c>
      <c r="J15" s="165" t="s">
        <v>344</v>
      </c>
    </row>
    <row r="16" ht="14.25" customHeight="1">
      <c r="B16" s="259">
        <v>45151.0</v>
      </c>
      <c r="C16" s="273" t="str">
        <f t="shared" si="3"/>
        <v/>
      </c>
      <c r="D16" s="273"/>
      <c r="E16" s="273">
        <f t="shared" si="1"/>
        <v>0</v>
      </c>
      <c r="F16" s="273">
        <f t="shared" si="2"/>
        <v>-10</v>
      </c>
      <c r="H16" s="165" t="s">
        <v>343</v>
      </c>
      <c r="I16" s="12">
        <v>145.0</v>
      </c>
      <c r="J16" s="165" t="s">
        <v>345</v>
      </c>
      <c r="L16" s="12"/>
    </row>
    <row r="17" ht="14.25" customHeight="1">
      <c r="B17" s="219">
        <v>45152.0</v>
      </c>
      <c r="C17" s="220" t="str">
        <f t="shared" si="3"/>
        <v/>
      </c>
      <c r="D17" s="220"/>
      <c r="E17" s="220">
        <f t="shared" si="1"/>
        <v>0</v>
      </c>
      <c r="F17" s="220">
        <f t="shared" si="2"/>
        <v>-10</v>
      </c>
      <c r="H17" s="165" t="s">
        <v>346</v>
      </c>
      <c r="I17" s="12">
        <v>68.0</v>
      </c>
      <c r="J17" s="165" t="s">
        <v>345</v>
      </c>
    </row>
    <row r="18" ht="14.25" customHeight="1">
      <c r="B18" s="219">
        <v>45153.0</v>
      </c>
      <c r="C18" s="220" t="str">
        <f t="shared" si="3"/>
        <v/>
      </c>
      <c r="D18" s="220"/>
      <c r="E18" s="220">
        <f t="shared" si="1"/>
        <v>0</v>
      </c>
      <c r="F18" s="220">
        <f t="shared" si="2"/>
        <v>-10</v>
      </c>
      <c r="I18" s="165" t="s">
        <v>347</v>
      </c>
    </row>
    <row r="19" ht="14.25" customHeight="1">
      <c r="B19" s="219">
        <v>45154.0</v>
      </c>
      <c r="C19" s="220" t="str">
        <f t="shared" si="3"/>
        <v/>
      </c>
      <c r="D19" s="220"/>
      <c r="E19" s="220">
        <f t="shared" si="1"/>
        <v>0</v>
      </c>
      <c r="F19" s="220">
        <f t="shared" si="2"/>
        <v>-10</v>
      </c>
    </row>
    <row r="20" ht="14.25" customHeight="1">
      <c r="B20" s="219">
        <v>45155.0</v>
      </c>
      <c r="C20" s="220" t="str">
        <f t="shared" si="3"/>
        <v/>
      </c>
      <c r="D20" s="220"/>
      <c r="E20" s="220">
        <f t="shared" si="1"/>
        <v>0</v>
      </c>
      <c r="F20" s="220">
        <f t="shared" si="2"/>
        <v>-10</v>
      </c>
      <c r="H20" s="165" t="s">
        <v>348</v>
      </c>
      <c r="I20" s="12">
        <v>28.0</v>
      </c>
      <c r="J20" s="165" t="s">
        <v>349</v>
      </c>
    </row>
    <row r="21" ht="14.25" customHeight="1">
      <c r="B21" s="219">
        <v>45156.0</v>
      </c>
      <c r="C21" s="220" t="str">
        <f t="shared" si="3"/>
        <v/>
      </c>
      <c r="D21" s="220"/>
      <c r="E21" s="220">
        <f t="shared" si="1"/>
        <v>0</v>
      </c>
      <c r="F21" s="220">
        <f t="shared" si="2"/>
        <v>-10</v>
      </c>
      <c r="H21" s="165" t="s">
        <v>350</v>
      </c>
      <c r="I21" s="12">
        <v>21.5</v>
      </c>
      <c r="J21" s="165" t="s">
        <v>351</v>
      </c>
    </row>
    <row r="22" ht="14.25" customHeight="1">
      <c r="B22" s="259">
        <v>45157.0</v>
      </c>
      <c r="C22" s="273" t="str">
        <f t="shared" si="3"/>
        <v/>
      </c>
      <c r="D22" s="273"/>
      <c r="E22" s="273">
        <f t="shared" si="1"/>
        <v>0</v>
      </c>
      <c r="F22" s="273">
        <f t="shared" si="2"/>
        <v>-10</v>
      </c>
      <c r="H22" s="165" t="s">
        <v>352</v>
      </c>
      <c r="I22" s="12">
        <v>150.0</v>
      </c>
      <c r="J22" s="165" t="s">
        <v>353</v>
      </c>
    </row>
    <row r="23" ht="14.25" customHeight="1">
      <c r="B23" s="259">
        <v>45158.0</v>
      </c>
      <c r="C23" s="273" t="str">
        <f t="shared" si="3"/>
        <v/>
      </c>
      <c r="D23" s="273"/>
      <c r="E23" s="273">
        <f t="shared" si="1"/>
        <v>0</v>
      </c>
      <c r="F23" s="273">
        <f t="shared" si="2"/>
        <v>-10</v>
      </c>
      <c r="H23" s="165" t="s">
        <v>354</v>
      </c>
      <c r="I23" s="12">
        <v>48.92</v>
      </c>
      <c r="J23" s="165" t="s">
        <v>353</v>
      </c>
    </row>
    <row r="24" ht="14.25" customHeight="1">
      <c r="B24" s="219">
        <v>45159.0</v>
      </c>
      <c r="C24" s="220" t="str">
        <f t="shared" si="3"/>
        <v/>
      </c>
      <c r="D24" s="220"/>
      <c r="E24" s="220">
        <f t="shared" si="1"/>
        <v>0</v>
      </c>
      <c r="F24" s="220">
        <f t="shared" si="2"/>
        <v>-10</v>
      </c>
      <c r="H24" s="165" t="s">
        <v>355</v>
      </c>
      <c r="I24" s="12">
        <v>10.0</v>
      </c>
      <c r="J24" s="165" t="s">
        <v>353</v>
      </c>
    </row>
    <row r="25" ht="14.25" customHeight="1">
      <c r="B25" s="219">
        <v>45160.0</v>
      </c>
      <c r="C25" s="220" t="str">
        <f t="shared" si="3"/>
        <v/>
      </c>
      <c r="D25" s="220"/>
      <c r="E25" s="220">
        <f t="shared" si="1"/>
        <v>0</v>
      </c>
      <c r="F25" s="220">
        <f t="shared" si="2"/>
        <v>-10</v>
      </c>
      <c r="H25" s="165" t="s">
        <v>356</v>
      </c>
      <c r="I25" s="12">
        <v>243.93</v>
      </c>
      <c r="J25" s="165" t="s">
        <v>353</v>
      </c>
    </row>
    <row r="26" ht="14.25" customHeight="1">
      <c r="B26" s="219">
        <v>45161.0</v>
      </c>
      <c r="C26" s="220" t="str">
        <f t="shared" si="3"/>
        <v/>
      </c>
      <c r="D26" s="220"/>
      <c r="E26" s="220">
        <f t="shared" si="1"/>
        <v>0</v>
      </c>
      <c r="F26" s="220">
        <f t="shared" si="2"/>
        <v>-10</v>
      </c>
      <c r="H26" s="165" t="s">
        <v>356</v>
      </c>
      <c r="I26" s="12">
        <v>100.0</v>
      </c>
      <c r="J26" s="165" t="s">
        <v>353</v>
      </c>
    </row>
    <row r="27" ht="14.25" customHeight="1">
      <c r="B27" s="219">
        <v>45162.0</v>
      </c>
      <c r="C27" s="220" t="str">
        <f t="shared" si="3"/>
        <v/>
      </c>
      <c r="D27" s="220"/>
      <c r="E27" s="220">
        <f t="shared" si="1"/>
        <v>0</v>
      </c>
      <c r="F27" s="220">
        <f t="shared" si="2"/>
        <v>-10</v>
      </c>
      <c r="H27" s="165" t="s">
        <v>357</v>
      </c>
      <c r="I27" s="12">
        <v>120.0</v>
      </c>
      <c r="J27" s="165" t="s">
        <v>358</v>
      </c>
      <c r="K27" s="165" t="s">
        <v>359</v>
      </c>
    </row>
    <row r="28" ht="14.25" customHeight="1">
      <c r="B28" s="219">
        <v>45163.0</v>
      </c>
      <c r="C28" s="220" t="str">
        <f t="shared" si="3"/>
        <v/>
      </c>
      <c r="D28" s="220"/>
      <c r="E28" s="220">
        <f t="shared" si="1"/>
        <v>0</v>
      </c>
      <c r="F28" s="220">
        <f t="shared" si="2"/>
        <v>-10</v>
      </c>
      <c r="H28" s="165" t="s">
        <v>360</v>
      </c>
      <c r="I28" s="12">
        <v>25.0</v>
      </c>
      <c r="J28" s="165" t="s">
        <v>361</v>
      </c>
    </row>
    <row r="29" ht="14.25" customHeight="1">
      <c r="B29" s="259">
        <v>45164.0</v>
      </c>
      <c r="C29" s="273" t="str">
        <f t="shared" si="3"/>
        <v/>
      </c>
      <c r="D29" s="273"/>
      <c r="E29" s="273">
        <f t="shared" si="1"/>
        <v>0</v>
      </c>
      <c r="F29" s="273">
        <f t="shared" si="2"/>
        <v>-10</v>
      </c>
      <c r="H29" s="165" t="s">
        <v>356</v>
      </c>
      <c r="I29" s="12">
        <v>25.0</v>
      </c>
      <c r="J29" s="165" t="s">
        <v>362</v>
      </c>
    </row>
    <row r="30" ht="14.25" customHeight="1">
      <c r="B30" s="259">
        <v>45165.0</v>
      </c>
      <c r="C30" s="273" t="str">
        <f t="shared" si="3"/>
        <v/>
      </c>
      <c r="D30" s="273"/>
      <c r="E30" s="273">
        <f t="shared" si="1"/>
        <v>0</v>
      </c>
      <c r="F30" s="273">
        <f t="shared" si="2"/>
        <v>-10</v>
      </c>
      <c r="I30" s="165" t="s">
        <v>363</v>
      </c>
    </row>
    <row r="31" ht="14.25" customHeight="1">
      <c r="B31" s="219">
        <v>45166.0</v>
      </c>
      <c r="C31" s="220" t="str">
        <f t="shared" si="3"/>
        <v/>
      </c>
      <c r="D31" s="220"/>
      <c r="E31" s="220">
        <f t="shared" si="1"/>
        <v>0</v>
      </c>
      <c r="F31" s="220">
        <f t="shared" si="2"/>
        <v>-10</v>
      </c>
    </row>
    <row r="32" ht="14.25" customHeight="1">
      <c r="B32" s="219">
        <v>45167.0</v>
      </c>
      <c r="C32" s="220" t="str">
        <f t="shared" si="3"/>
        <v/>
      </c>
      <c r="D32" s="220"/>
      <c r="E32" s="220">
        <f t="shared" si="1"/>
        <v>0</v>
      </c>
      <c r="F32" s="220">
        <f t="shared" si="2"/>
        <v>-10</v>
      </c>
      <c r="H32" s="165" t="s">
        <v>364</v>
      </c>
      <c r="I32" s="12">
        <v>100.0</v>
      </c>
      <c r="J32" s="165" t="s">
        <v>365</v>
      </c>
    </row>
    <row r="33" ht="14.25" customHeight="1">
      <c r="B33" s="219">
        <v>45168.0</v>
      </c>
      <c r="C33" s="220" t="str">
        <f t="shared" si="3"/>
        <v/>
      </c>
      <c r="D33" s="220"/>
      <c r="E33" s="220">
        <f t="shared" si="1"/>
        <v>0</v>
      </c>
      <c r="F33" s="220">
        <f t="shared" si="2"/>
        <v>-10</v>
      </c>
      <c r="I33" s="165" t="s">
        <v>366</v>
      </c>
    </row>
    <row r="34" ht="14.25" customHeight="1">
      <c r="B34" s="219">
        <v>45169.0</v>
      </c>
      <c r="C34" s="220" t="str">
        <f t="shared" si="3"/>
        <v/>
      </c>
      <c r="D34" s="220"/>
      <c r="E34" s="220">
        <f t="shared" si="1"/>
        <v>0</v>
      </c>
      <c r="F34" s="220">
        <f t="shared" si="2"/>
        <v>-10</v>
      </c>
    </row>
    <row r="35" ht="14.25" customHeight="1">
      <c r="B35" s="216"/>
      <c r="C35" s="223" t="s">
        <v>221</v>
      </c>
      <c r="D35" s="223"/>
      <c r="E35" s="216">
        <f>SUM(E4:E34)</f>
        <v>0</v>
      </c>
      <c r="F35" s="216">
        <f t="shared" si="2"/>
        <v>-10</v>
      </c>
    </row>
    <row r="36" ht="14.25" customHeight="1"/>
    <row r="37" ht="14.25" customHeight="1">
      <c r="A37" s="249" t="s">
        <v>275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4.25" customHeight="1"/>
    <row r="39" ht="14.25" customHeight="1">
      <c r="B39" s="216" t="s">
        <v>214</v>
      </c>
      <c r="C39" s="216" t="s">
        <v>215</v>
      </c>
      <c r="D39" s="216" t="s">
        <v>216</v>
      </c>
      <c r="E39" s="216" t="s">
        <v>217</v>
      </c>
      <c r="F39" s="216" t="s">
        <v>218</v>
      </c>
      <c r="H39" s="216" t="s">
        <v>238</v>
      </c>
      <c r="I39" s="216"/>
      <c r="K39" s="253" t="s">
        <v>275</v>
      </c>
      <c r="L39" s="231"/>
    </row>
    <row r="40" ht="14.25" customHeight="1">
      <c r="B40" s="219">
        <v>45078.0</v>
      </c>
      <c r="C40" s="220"/>
      <c r="D40" s="220"/>
      <c r="E40" s="220">
        <f t="shared" ref="E40:E70" si="4">D40-C40</f>
        <v>0</v>
      </c>
      <c r="F40" s="220">
        <f t="shared" ref="F40:F71" si="5">E40-10</f>
        <v>-10</v>
      </c>
      <c r="H40" s="216" t="s">
        <v>245</v>
      </c>
      <c r="I40" s="216"/>
      <c r="K40" s="216" t="s">
        <v>244</v>
      </c>
      <c r="L40" s="232">
        <v>1800.0</v>
      </c>
    </row>
    <row r="41" ht="14.25" customHeight="1">
      <c r="B41" s="219">
        <v>45079.0</v>
      </c>
      <c r="C41" s="220" t="str">
        <f t="shared" ref="C41:C70" si="6">D40</f>
        <v/>
      </c>
      <c r="D41" s="220"/>
      <c r="E41" s="220">
        <f t="shared" si="4"/>
        <v>0</v>
      </c>
      <c r="F41" s="220">
        <f t="shared" si="5"/>
        <v>-10</v>
      </c>
      <c r="H41" s="216" t="s">
        <v>247</v>
      </c>
      <c r="I41" s="216"/>
      <c r="K41" s="216" t="s">
        <v>266</v>
      </c>
      <c r="L41" s="232"/>
    </row>
    <row r="42" ht="14.25" customHeight="1">
      <c r="B42" s="254">
        <v>45080.0</v>
      </c>
      <c r="C42" s="255" t="str">
        <f t="shared" si="6"/>
        <v/>
      </c>
      <c r="D42" s="255"/>
      <c r="E42" s="255">
        <f t="shared" si="4"/>
        <v>0</v>
      </c>
      <c r="F42" s="255">
        <f t="shared" si="5"/>
        <v>-10</v>
      </c>
      <c r="H42" s="216" t="s">
        <v>249</v>
      </c>
      <c r="I42" s="232">
        <v>18.0</v>
      </c>
      <c r="K42" s="216" t="s">
        <v>246</v>
      </c>
      <c r="L42" s="232">
        <f>O42*O43</f>
        <v>0</v>
      </c>
    </row>
    <row r="43" ht="14.25" customHeight="1">
      <c r="B43" s="254">
        <v>45081.0</v>
      </c>
      <c r="C43" s="255" t="str">
        <f t="shared" si="6"/>
        <v/>
      </c>
      <c r="D43" s="255"/>
      <c r="E43" s="255">
        <f t="shared" si="4"/>
        <v>0</v>
      </c>
      <c r="F43" s="255">
        <f t="shared" si="5"/>
        <v>-10</v>
      </c>
      <c r="H43" s="216" t="s">
        <v>251</v>
      </c>
      <c r="I43" s="216"/>
      <c r="K43" s="216" t="s">
        <v>248</v>
      </c>
      <c r="L43" s="232">
        <f>O44*O45</f>
        <v>0</v>
      </c>
    </row>
    <row r="44" ht="14.25" customHeight="1">
      <c r="B44" s="219">
        <v>45082.0</v>
      </c>
      <c r="C44" s="220" t="str">
        <f t="shared" si="6"/>
        <v/>
      </c>
      <c r="D44" s="220"/>
      <c r="E44" s="220">
        <f t="shared" si="4"/>
        <v>0</v>
      </c>
      <c r="F44" s="220">
        <f t="shared" si="5"/>
        <v>-10</v>
      </c>
      <c r="H44" s="216" t="s">
        <v>249</v>
      </c>
      <c r="I44" s="232">
        <v>10.0</v>
      </c>
      <c r="K44" s="216" t="s">
        <v>250</v>
      </c>
      <c r="L44" s="232">
        <f>O46*100</f>
        <v>0</v>
      </c>
    </row>
    <row r="45" ht="14.25" customHeight="1">
      <c r="B45" s="219">
        <v>45083.0</v>
      </c>
      <c r="C45" s="220" t="str">
        <f t="shared" si="6"/>
        <v/>
      </c>
      <c r="D45" s="220"/>
      <c r="E45" s="220">
        <f t="shared" si="4"/>
        <v>0</v>
      </c>
      <c r="F45" s="220">
        <f t="shared" si="5"/>
        <v>-10</v>
      </c>
      <c r="H45" s="216" t="s">
        <v>250</v>
      </c>
      <c r="I45" s="216"/>
      <c r="K45" s="216" t="s">
        <v>252</v>
      </c>
      <c r="L45" s="232"/>
    </row>
    <row r="46" ht="14.25" customHeight="1">
      <c r="B46" s="219">
        <v>45084.0</v>
      </c>
      <c r="C46" s="220" t="str">
        <f t="shared" si="6"/>
        <v/>
      </c>
      <c r="D46" s="220"/>
      <c r="E46" s="220">
        <f t="shared" si="4"/>
        <v>0</v>
      </c>
      <c r="F46" s="220">
        <f t="shared" si="5"/>
        <v>-10</v>
      </c>
      <c r="K46" s="216" t="s">
        <v>268</v>
      </c>
      <c r="L46" s="232">
        <f>L40+L42+L43+L44-L41-L45</f>
        <v>1800</v>
      </c>
    </row>
    <row r="47" ht="14.25" customHeight="1">
      <c r="B47" s="219">
        <v>45085.0</v>
      </c>
      <c r="C47" s="220" t="str">
        <f t="shared" si="6"/>
        <v/>
      </c>
      <c r="D47" s="220"/>
      <c r="E47" s="220">
        <f t="shared" si="4"/>
        <v>0</v>
      </c>
      <c r="F47" s="220">
        <f t="shared" si="5"/>
        <v>-10</v>
      </c>
      <c r="K47" s="216" t="s">
        <v>269</v>
      </c>
      <c r="L47" s="229"/>
    </row>
    <row r="48" ht="14.25" customHeight="1">
      <c r="B48" s="219">
        <v>45086.0</v>
      </c>
      <c r="C48" s="220" t="str">
        <f t="shared" si="6"/>
        <v/>
      </c>
      <c r="D48" s="220"/>
      <c r="E48" s="220">
        <f t="shared" si="4"/>
        <v>0</v>
      </c>
      <c r="F48" s="220">
        <f t="shared" si="5"/>
        <v>-10</v>
      </c>
    </row>
    <row r="49" ht="14.25" customHeight="1">
      <c r="B49" s="254">
        <v>45087.0</v>
      </c>
      <c r="C49" s="255" t="str">
        <f t="shared" si="6"/>
        <v/>
      </c>
      <c r="D49" s="255"/>
      <c r="E49" s="255">
        <f t="shared" si="4"/>
        <v>0</v>
      </c>
      <c r="F49" s="255">
        <f t="shared" si="5"/>
        <v>-10</v>
      </c>
    </row>
    <row r="50" ht="14.25" customHeight="1">
      <c r="B50" s="254">
        <v>45088.0</v>
      </c>
      <c r="C50" s="255" t="str">
        <f t="shared" si="6"/>
        <v/>
      </c>
      <c r="D50" s="255"/>
      <c r="E50" s="255">
        <f t="shared" si="4"/>
        <v>0</v>
      </c>
      <c r="F50" s="255">
        <f t="shared" si="5"/>
        <v>-10</v>
      </c>
    </row>
    <row r="51" ht="14.25" customHeight="1">
      <c r="B51" s="219">
        <v>45089.0</v>
      </c>
      <c r="C51" s="220" t="str">
        <f t="shared" si="6"/>
        <v/>
      </c>
      <c r="D51" s="220"/>
      <c r="E51" s="220">
        <f t="shared" si="4"/>
        <v>0</v>
      </c>
      <c r="F51" s="220">
        <f t="shared" si="5"/>
        <v>-10</v>
      </c>
    </row>
    <row r="52" ht="14.25" customHeight="1">
      <c r="B52" s="219">
        <v>45090.0</v>
      </c>
      <c r="C52" s="220" t="str">
        <f t="shared" si="6"/>
        <v/>
      </c>
      <c r="D52" s="220"/>
      <c r="E52" s="220">
        <f t="shared" si="4"/>
        <v>0</v>
      </c>
      <c r="F52" s="220">
        <f t="shared" si="5"/>
        <v>-10</v>
      </c>
    </row>
    <row r="53" ht="14.25" customHeight="1">
      <c r="B53" s="219">
        <v>45091.0</v>
      </c>
      <c r="C53" s="220" t="str">
        <f t="shared" si="6"/>
        <v/>
      </c>
      <c r="D53" s="220"/>
      <c r="E53" s="220">
        <f t="shared" si="4"/>
        <v>0</v>
      </c>
      <c r="F53" s="220">
        <f t="shared" si="5"/>
        <v>-10</v>
      </c>
    </row>
    <row r="54" ht="14.25" customHeight="1">
      <c r="B54" s="219">
        <v>45092.0</v>
      </c>
      <c r="C54" s="220" t="str">
        <f t="shared" si="6"/>
        <v/>
      </c>
      <c r="D54" s="220"/>
      <c r="E54" s="220">
        <f t="shared" si="4"/>
        <v>0</v>
      </c>
      <c r="F54" s="220">
        <f t="shared" si="5"/>
        <v>-10</v>
      </c>
    </row>
    <row r="55" ht="14.25" customHeight="1">
      <c r="B55" s="219">
        <v>45093.0</v>
      </c>
      <c r="C55" s="220" t="str">
        <f t="shared" si="6"/>
        <v/>
      </c>
      <c r="D55" s="220"/>
      <c r="E55" s="220">
        <f t="shared" si="4"/>
        <v>0</v>
      </c>
      <c r="F55" s="220">
        <f t="shared" si="5"/>
        <v>-10</v>
      </c>
    </row>
    <row r="56" ht="14.25" customHeight="1">
      <c r="B56" s="254">
        <v>45094.0</v>
      </c>
      <c r="C56" s="255" t="str">
        <f t="shared" si="6"/>
        <v/>
      </c>
      <c r="D56" s="255"/>
      <c r="E56" s="255">
        <f t="shared" si="4"/>
        <v>0</v>
      </c>
      <c r="F56" s="255">
        <f t="shared" si="5"/>
        <v>-10</v>
      </c>
    </row>
    <row r="57" ht="14.25" customHeight="1">
      <c r="B57" s="254">
        <v>45095.0</v>
      </c>
      <c r="C57" s="255" t="str">
        <f t="shared" si="6"/>
        <v/>
      </c>
      <c r="D57" s="255"/>
      <c r="E57" s="255">
        <f t="shared" si="4"/>
        <v>0</v>
      </c>
      <c r="F57" s="255">
        <f t="shared" si="5"/>
        <v>-10</v>
      </c>
    </row>
    <row r="58" ht="14.25" customHeight="1">
      <c r="B58" s="219">
        <v>45096.0</v>
      </c>
      <c r="C58" s="220" t="str">
        <f t="shared" si="6"/>
        <v/>
      </c>
      <c r="D58" s="220"/>
      <c r="E58" s="220">
        <f t="shared" si="4"/>
        <v>0</v>
      </c>
      <c r="F58" s="220">
        <f t="shared" si="5"/>
        <v>-10</v>
      </c>
    </row>
    <row r="59" ht="14.25" customHeight="1">
      <c r="B59" s="219">
        <v>45097.0</v>
      </c>
      <c r="C59" s="220" t="str">
        <f t="shared" si="6"/>
        <v/>
      </c>
      <c r="D59" s="220"/>
      <c r="E59" s="220">
        <f t="shared" si="4"/>
        <v>0</v>
      </c>
      <c r="F59" s="220">
        <f t="shared" si="5"/>
        <v>-10</v>
      </c>
    </row>
    <row r="60" ht="14.25" customHeight="1">
      <c r="B60" s="219">
        <v>45098.0</v>
      </c>
      <c r="C60" s="220" t="str">
        <f t="shared" si="6"/>
        <v/>
      </c>
      <c r="D60" s="220"/>
      <c r="E60" s="220">
        <f t="shared" si="4"/>
        <v>0</v>
      </c>
      <c r="F60" s="220">
        <f t="shared" si="5"/>
        <v>-10</v>
      </c>
    </row>
    <row r="61" ht="14.25" customHeight="1">
      <c r="B61" s="219">
        <v>45099.0</v>
      </c>
      <c r="C61" s="220" t="str">
        <f t="shared" si="6"/>
        <v/>
      </c>
      <c r="D61" s="220"/>
      <c r="E61" s="220">
        <f t="shared" si="4"/>
        <v>0</v>
      </c>
      <c r="F61" s="220">
        <f t="shared" si="5"/>
        <v>-10</v>
      </c>
    </row>
    <row r="62" ht="14.25" customHeight="1">
      <c r="B62" s="219">
        <v>45100.0</v>
      </c>
      <c r="C62" s="220" t="str">
        <f t="shared" si="6"/>
        <v/>
      </c>
      <c r="D62" s="220"/>
      <c r="E62" s="220">
        <f t="shared" si="4"/>
        <v>0</v>
      </c>
      <c r="F62" s="220">
        <f t="shared" si="5"/>
        <v>-10</v>
      </c>
    </row>
    <row r="63" ht="14.25" customHeight="1">
      <c r="B63" s="254">
        <v>45101.0</v>
      </c>
      <c r="C63" s="255" t="str">
        <f t="shared" si="6"/>
        <v/>
      </c>
      <c r="D63" s="255"/>
      <c r="E63" s="255">
        <f t="shared" si="4"/>
        <v>0</v>
      </c>
      <c r="F63" s="255">
        <f t="shared" si="5"/>
        <v>-10</v>
      </c>
    </row>
    <row r="64" ht="14.25" customHeight="1">
      <c r="B64" s="254">
        <v>45102.0</v>
      </c>
      <c r="C64" s="255" t="str">
        <f t="shared" si="6"/>
        <v/>
      </c>
      <c r="D64" s="255"/>
      <c r="E64" s="255">
        <f t="shared" si="4"/>
        <v>0</v>
      </c>
      <c r="F64" s="255">
        <f t="shared" si="5"/>
        <v>-10</v>
      </c>
    </row>
    <row r="65" ht="14.25" customHeight="1">
      <c r="B65" s="219">
        <v>45103.0</v>
      </c>
      <c r="C65" s="220" t="str">
        <f t="shared" si="6"/>
        <v/>
      </c>
      <c r="D65" s="220"/>
      <c r="E65" s="220">
        <f t="shared" si="4"/>
        <v>0</v>
      </c>
      <c r="F65" s="220">
        <f t="shared" si="5"/>
        <v>-10</v>
      </c>
    </row>
    <row r="66" ht="14.25" customHeight="1">
      <c r="B66" s="219">
        <v>45104.0</v>
      </c>
      <c r="C66" s="220" t="str">
        <f t="shared" si="6"/>
        <v/>
      </c>
      <c r="D66" s="220"/>
      <c r="E66" s="220">
        <f t="shared" si="4"/>
        <v>0</v>
      </c>
      <c r="F66" s="220">
        <f t="shared" si="5"/>
        <v>-10</v>
      </c>
    </row>
    <row r="67" ht="14.25" customHeight="1">
      <c r="B67" s="219">
        <v>45105.0</v>
      </c>
      <c r="C67" s="220" t="str">
        <f t="shared" si="6"/>
        <v/>
      </c>
      <c r="D67" s="220"/>
      <c r="E67" s="220">
        <f t="shared" si="4"/>
        <v>0</v>
      </c>
      <c r="F67" s="220">
        <f t="shared" si="5"/>
        <v>-10</v>
      </c>
    </row>
    <row r="68" ht="14.25" customHeight="1">
      <c r="B68" s="219">
        <v>45106.0</v>
      </c>
      <c r="C68" s="220" t="str">
        <f t="shared" si="6"/>
        <v/>
      </c>
      <c r="D68" s="220"/>
      <c r="E68" s="220">
        <f t="shared" si="4"/>
        <v>0</v>
      </c>
      <c r="F68" s="220">
        <f t="shared" si="5"/>
        <v>-10</v>
      </c>
    </row>
    <row r="69" ht="14.25" customHeight="1">
      <c r="B69" s="219">
        <v>45107.0</v>
      </c>
      <c r="C69" s="220" t="str">
        <f t="shared" si="6"/>
        <v/>
      </c>
      <c r="D69" s="220"/>
      <c r="E69" s="220">
        <f t="shared" si="4"/>
        <v>0</v>
      </c>
      <c r="F69" s="220">
        <f t="shared" si="5"/>
        <v>-10</v>
      </c>
    </row>
    <row r="70" ht="14.25" customHeight="1">
      <c r="B70" s="229"/>
      <c r="C70" s="220" t="str">
        <f t="shared" si="6"/>
        <v/>
      </c>
      <c r="D70" s="220"/>
      <c r="E70" s="220">
        <f t="shared" si="4"/>
        <v>0</v>
      </c>
      <c r="F70" s="220">
        <f t="shared" si="5"/>
        <v>-10</v>
      </c>
    </row>
    <row r="71" ht="14.25" customHeight="1">
      <c r="B71" s="216"/>
      <c r="C71" s="223" t="s">
        <v>221</v>
      </c>
      <c r="D71" s="223"/>
      <c r="E71" s="216">
        <f>SUM(E40:E70)</f>
        <v>0</v>
      </c>
      <c r="F71" s="216">
        <f t="shared" si="5"/>
        <v>-10</v>
      </c>
    </row>
    <row r="72" ht="14.25" customHeight="1"/>
    <row r="73" ht="14.25" customHeight="1">
      <c r="A73" s="249" t="s">
        <v>235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1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235</v>
      </c>
      <c r="L75" s="231"/>
    </row>
    <row r="76" ht="14.25" customHeight="1">
      <c r="B76" s="219">
        <v>45078.0</v>
      </c>
      <c r="C76" s="220"/>
      <c r="D76" s="220"/>
      <c r="E76" s="220">
        <f t="shared" ref="E76:E106" si="7">D76-C76</f>
        <v>0</v>
      </c>
      <c r="F76" s="220">
        <f t="shared" ref="F76:F107" si="8">E76-10</f>
        <v>-10</v>
      </c>
      <c r="H76" s="216" t="s">
        <v>245</v>
      </c>
      <c r="I76" s="216"/>
      <c r="K76" s="216" t="s">
        <v>244</v>
      </c>
      <c r="L76" s="232">
        <v>2000.0</v>
      </c>
    </row>
    <row r="77" ht="14.25" customHeight="1">
      <c r="B77" s="219">
        <v>45079.0</v>
      </c>
      <c r="C77" s="220" t="str">
        <f t="shared" ref="C77:C106" si="9">D76</f>
        <v/>
      </c>
      <c r="D77" s="220"/>
      <c r="E77" s="220">
        <f t="shared" si="7"/>
        <v>0</v>
      </c>
      <c r="F77" s="220">
        <f t="shared" si="8"/>
        <v>-10</v>
      </c>
      <c r="H77" s="216" t="s">
        <v>247</v>
      </c>
      <c r="I77" s="216"/>
      <c r="K77" s="216" t="s">
        <v>266</v>
      </c>
      <c r="L77" s="232"/>
    </row>
    <row r="78" ht="14.25" customHeight="1">
      <c r="B78" s="254">
        <v>45080.0</v>
      </c>
      <c r="C78" s="255" t="str">
        <f t="shared" si="9"/>
        <v/>
      </c>
      <c r="D78" s="255"/>
      <c r="E78" s="255">
        <f t="shared" si="7"/>
        <v>0</v>
      </c>
      <c r="F78" s="255">
        <f t="shared" si="8"/>
        <v>-10</v>
      </c>
      <c r="H78" s="216" t="s">
        <v>249</v>
      </c>
      <c r="I78" s="232">
        <v>18.0</v>
      </c>
      <c r="K78" s="216" t="s">
        <v>246</v>
      </c>
      <c r="L78" s="232">
        <f>O78*O79</f>
        <v>0</v>
      </c>
    </row>
    <row r="79" ht="14.25" customHeight="1">
      <c r="B79" s="254">
        <v>45081.0</v>
      </c>
      <c r="C79" s="255" t="str">
        <f t="shared" si="9"/>
        <v/>
      </c>
      <c r="D79" s="255"/>
      <c r="E79" s="255">
        <f t="shared" si="7"/>
        <v>0</v>
      </c>
      <c r="F79" s="255">
        <f t="shared" si="8"/>
        <v>-10</v>
      </c>
      <c r="H79" s="216" t="s">
        <v>251</v>
      </c>
      <c r="I79" s="216"/>
      <c r="K79" s="216" t="s">
        <v>248</v>
      </c>
      <c r="L79" s="232">
        <f>O80*O81</f>
        <v>0</v>
      </c>
    </row>
    <row r="80" ht="14.25" customHeight="1">
      <c r="B80" s="219">
        <v>45082.0</v>
      </c>
      <c r="C80" s="220" t="str">
        <f t="shared" si="9"/>
        <v/>
      </c>
      <c r="D80" s="220"/>
      <c r="E80" s="220">
        <f t="shared" si="7"/>
        <v>0</v>
      </c>
      <c r="F80" s="220">
        <f t="shared" si="8"/>
        <v>-10</v>
      </c>
      <c r="H80" s="216" t="s">
        <v>249</v>
      </c>
      <c r="I80" s="232">
        <v>10.0</v>
      </c>
      <c r="K80" s="216" t="s">
        <v>250</v>
      </c>
      <c r="L80" s="232">
        <f>O82*100</f>
        <v>0</v>
      </c>
    </row>
    <row r="81" ht="14.25" customHeight="1">
      <c r="B81" s="219">
        <v>45083.0</v>
      </c>
      <c r="C81" s="220" t="str">
        <f t="shared" si="9"/>
        <v/>
      </c>
      <c r="D81" s="220"/>
      <c r="E81" s="220">
        <f t="shared" si="7"/>
        <v>0</v>
      </c>
      <c r="F81" s="220">
        <f t="shared" si="8"/>
        <v>-10</v>
      </c>
      <c r="H81" s="216" t="s">
        <v>250</v>
      </c>
      <c r="I81" s="216"/>
      <c r="K81" s="216" t="s">
        <v>252</v>
      </c>
      <c r="L81" s="232"/>
    </row>
    <row r="82" ht="14.25" customHeight="1">
      <c r="B82" s="219">
        <v>45084.0</v>
      </c>
      <c r="C82" s="220" t="str">
        <f t="shared" si="9"/>
        <v/>
      </c>
      <c r="D82" s="220"/>
      <c r="E82" s="220">
        <f t="shared" si="7"/>
        <v>0</v>
      </c>
      <c r="F82" s="220">
        <f t="shared" si="8"/>
        <v>-10</v>
      </c>
      <c r="K82" s="216" t="s">
        <v>268</v>
      </c>
      <c r="L82" s="232">
        <f>L76+L78+L79+L80-L77-L81</f>
        <v>2000</v>
      </c>
    </row>
    <row r="83" ht="14.25" customHeight="1">
      <c r="B83" s="219">
        <v>45085.0</v>
      </c>
      <c r="C83" s="220" t="str">
        <f t="shared" si="9"/>
        <v/>
      </c>
      <c r="D83" s="220"/>
      <c r="E83" s="220">
        <f t="shared" si="7"/>
        <v>0</v>
      </c>
      <c r="F83" s="220">
        <f t="shared" si="8"/>
        <v>-10</v>
      </c>
      <c r="K83" s="216" t="s">
        <v>269</v>
      </c>
      <c r="L83" s="229"/>
    </row>
    <row r="84" ht="14.25" customHeight="1">
      <c r="B84" s="219">
        <v>45086.0</v>
      </c>
      <c r="C84" s="220" t="str">
        <f t="shared" si="9"/>
        <v/>
      </c>
      <c r="D84" s="220"/>
      <c r="E84" s="220">
        <f t="shared" si="7"/>
        <v>0</v>
      </c>
      <c r="F84" s="220">
        <f t="shared" si="8"/>
        <v>-10</v>
      </c>
    </row>
    <row r="85" ht="14.25" customHeight="1">
      <c r="B85" s="254">
        <v>45087.0</v>
      </c>
      <c r="C85" s="255" t="str">
        <f t="shared" si="9"/>
        <v/>
      </c>
      <c r="D85" s="255"/>
      <c r="E85" s="255">
        <f t="shared" si="7"/>
        <v>0</v>
      </c>
      <c r="F85" s="255">
        <f t="shared" si="8"/>
        <v>-10</v>
      </c>
    </row>
    <row r="86" ht="14.25" customHeight="1">
      <c r="B86" s="254">
        <v>45088.0</v>
      </c>
      <c r="C86" s="255" t="str">
        <f t="shared" si="9"/>
        <v/>
      </c>
      <c r="D86" s="255"/>
      <c r="E86" s="255">
        <f t="shared" si="7"/>
        <v>0</v>
      </c>
      <c r="F86" s="255">
        <f t="shared" si="8"/>
        <v>-10</v>
      </c>
    </row>
    <row r="87" ht="14.25" customHeight="1">
      <c r="B87" s="219">
        <v>45089.0</v>
      </c>
      <c r="C87" s="220" t="str">
        <f t="shared" si="9"/>
        <v/>
      </c>
      <c r="D87" s="220"/>
      <c r="E87" s="220">
        <f t="shared" si="7"/>
        <v>0</v>
      </c>
      <c r="F87" s="220">
        <f t="shared" si="8"/>
        <v>-10</v>
      </c>
    </row>
    <row r="88" ht="14.25" customHeight="1">
      <c r="B88" s="219">
        <v>45090.0</v>
      </c>
      <c r="C88" s="220" t="str">
        <f t="shared" si="9"/>
        <v/>
      </c>
      <c r="D88" s="220"/>
      <c r="E88" s="220">
        <f t="shared" si="7"/>
        <v>0</v>
      </c>
      <c r="F88" s="220">
        <f t="shared" si="8"/>
        <v>-10</v>
      </c>
    </row>
    <row r="89" ht="14.25" customHeight="1">
      <c r="B89" s="219">
        <v>45091.0</v>
      </c>
      <c r="C89" s="220" t="str">
        <f t="shared" si="9"/>
        <v/>
      </c>
      <c r="D89" s="220"/>
      <c r="E89" s="220">
        <f t="shared" si="7"/>
        <v>0</v>
      </c>
      <c r="F89" s="220">
        <f t="shared" si="8"/>
        <v>-10</v>
      </c>
    </row>
    <row r="90" ht="14.25" customHeight="1">
      <c r="B90" s="219">
        <v>45092.0</v>
      </c>
      <c r="C90" s="220" t="str">
        <f t="shared" si="9"/>
        <v/>
      </c>
      <c r="D90" s="220"/>
      <c r="E90" s="220">
        <f t="shared" si="7"/>
        <v>0</v>
      </c>
      <c r="F90" s="220">
        <f t="shared" si="8"/>
        <v>-10</v>
      </c>
    </row>
    <row r="91" ht="14.25" customHeight="1">
      <c r="B91" s="219">
        <v>45093.0</v>
      </c>
      <c r="C91" s="220" t="str">
        <f t="shared" si="9"/>
        <v/>
      </c>
      <c r="D91" s="220"/>
      <c r="E91" s="220">
        <f t="shared" si="7"/>
        <v>0</v>
      </c>
      <c r="F91" s="220">
        <f t="shared" si="8"/>
        <v>-10</v>
      </c>
    </row>
    <row r="92" ht="14.25" customHeight="1">
      <c r="B92" s="254">
        <v>45094.0</v>
      </c>
      <c r="C92" s="255" t="str">
        <f t="shared" si="9"/>
        <v/>
      </c>
      <c r="D92" s="255"/>
      <c r="E92" s="255">
        <f t="shared" si="7"/>
        <v>0</v>
      </c>
      <c r="F92" s="255">
        <f t="shared" si="8"/>
        <v>-10</v>
      </c>
    </row>
    <row r="93" ht="14.25" customHeight="1">
      <c r="B93" s="254">
        <v>45095.0</v>
      </c>
      <c r="C93" s="255" t="str">
        <f t="shared" si="9"/>
        <v/>
      </c>
      <c r="D93" s="255"/>
      <c r="E93" s="255">
        <f t="shared" si="7"/>
        <v>0</v>
      </c>
      <c r="F93" s="255">
        <f t="shared" si="8"/>
        <v>-10</v>
      </c>
    </row>
    <row r="94" ht="14.25" customHeight="1">
      <c r="B94" s="219">
        <v>45096.0</v>
      </c>
      <c r="C94" s="220" t="str">
        <f t="shared" si="9"/>
        <v/>
      </c>
      <c r="D94" s="220"/>
      <c r="E94" s="220">
        <f t="shared" si="7"/>
        <v>0</v>
      </c>
      <c r="F94" s="220">
        <f t="shared" si="8"/>
        <v>-10</v>
      </c>
    </row>
    <row r="95" ht="14.25" customHeight="1">
      <c r="B95" s="219">
        <v>45097.0</v>
      </c>
      <c r="C95" s="220" t="str">
        <f t="shared" si="9"/>
        <v/>
      </c>
      <c r="D95" s="220"/>
      <c r="E95" s="220">
        <f t="shared" si="7"/>
        <v>0</v>
      </c>
      <c r="F95" s="220">
        <f t="shared" si="8"/>
        <v>-10</v>
      </c>
    </row>
    <row r="96" ht="14.25" customHeight="1">
      <c r="B96" s="219">
        <v>45098.0</v>
      </c>
      <c r="C96" s="220" t="str">
        <f t="shared" si="9"/>
        <v/>
      </c>
      <c r="D96" s="220"/>
      <c r="E96" s="220">
        <f t="shared" si="7"/>
        <v>0</v>
      </c>
      <c r="F96" s="220">
        <f t="shared" si="8"/>
        <v>-10</v>
      </c>
    </row>
    <row r="97" ht="14.25" customHeight="1">
      <c r="B97" s="219">
        <v>45099.0</v>
      </c>
      <c r="C97" s="220" t="str">
        <f t="shared" si="9"/>
        <v/>
      </c>
      <c r="D97" s="220"/>
      <c r="E97" s="220">
        <f t="shared" si="7"/>
        <v>0</v>
      </c>
      <c r="F97" s="220">
        <f t="shared" si="8"/>
        <v>-10</v>
      </c>
    </row>
    <row r="98" ht="14.25" customHeight="1">
      <c r="B98" s="219">
        <v>45100.0</v>
      </c>
      <c r="C98" s="220" t="str">
        <f t="shared" si="9"/>
        <v/>
      </c>
      <c r="D98" s="220"/>
      <c r="E98" s="220">
        <f t="shared" si="7"/>
        <v>0</v>
      </c>
      <c r="F98" s="220">
        <f t="shared" si="8"/>
        <v>-10</v>
      </c>
    </row>
    <row r="99" ht="14.25" customHeight="1">
      <c r="B99" s="254">
        <v>45101.0</v>
      </c>
      <c r="C99" s="255" t="str">
        <f t="shared" si="9"/>
        <v/>
      </c>
      <c r="D99" s="255"/>
      <c r="E99" s="255">
        <f t="shared" si="7"/>
        <v>0</v>
      </c>
      <c r="F99" s="255">
        <f t="shared" si="8"/>
        <v>-10</v>
      </c>
    </row>
    <row r="100" ht="14.25" customHeight="1">
      <c r="B100" s="254">
        <v>45102.0</v>
      </c>
      <c r="C100" s="255" t="str">
        <f t="shared" si="9"/>
        <v/>
      </c>
      <c r="D100" s="255"/>
      <c r="E100" s="255">
        <f t="shared" si="7"/>
        <v>0</v>
      </c>
      <c r="F100" s="255">
        <f t="shared" si="8"/>
        <v>-10</v>
      </c>
    </row>
    <row r="101" ht="14.25" customHeight="1">
      <c r="B101" s="219">
        <v>45103.0</v>
      </c>
      <c r="C101" s="220" t="str">
        <f t="shared" si="9"/>
        <v/>
      </c>
      <c r="D101" s="220"/>
      <c r="E101" s="220">
        <f t="shared" si="7"/>
        <v>0</v>
      </c>
      <c r="F101" s="220">
        <f t="shared" si="8"/>
        <v>-10</v>
      </c>
    </row>
    <row r="102" ht="14.25" customHeight="1">
      <c r="B102" s="219">
        <v>45104.0</v>
      </c>
      <c r="C102" s="220" t="str">
        <f t="shared" si="9"/>
        <v/>
      </c>
      <c r="D102" s="220"/>
      <c r="E102" s="220">
        <f t="shared" si="7"/>
        <v>0</v>
      </c>
      <c r="F102" s="220">
        <f t="shared" si="8"/>
        <v>-10</v>
      </c>
    </row>
    <row r="103" ht="14.25" customHeight="1">
      <c r="B103" s="219">
        <v>45105.0</v>
      </c>
      <c r="C103" s="220" t="str">
        <f t="shared" si="9"/>
        <v/>
      </c>
      <c r="D103" s="220"/>
      <c r="E103" s="220">
        <f t="shared" si="7"/>
        <v>0</v>
      </c>
      <c r="F103" s="220">
        <f t="shared" si="8"/>
        <v>-10</v>
      </c>
    </row>
    <row r="104" ht="14.25" customHeight="1">
      <c r="B104" s="219">
        <v>45106.0</v>
      </c>
      <c r="C104" s="220" t="str">
        <f t="shared" si="9"/>
        <v/>
      </c>
      <c r="D104" s="220"/>
      <c r="E104" s="220">
        <f t="shared" si="7"/>
        <v>0</v>
      </c>
      <c r="F104" s="220">
        <f t="shared" si="8"/>
        <v>-10</v>
      </c>
    </row>
    <row r="105" ht="14.25" customHeight="1">
      <c r="B105" s="219">
        <v>45107.0</v>
      </c>
      <c r="C105" s="220" t="str">
        <f t="shared" si="9"/>
        <v/>
      </c>
      <c r="D105" s="220"/>
      <c r="E105" s="220">
        <f t="shared" si="7"/>
        <v>0</v>
      </c>
      <c r="F105" s="220">
        <f t="shared" si="8"/>
        <v>-10</v>
      </c>
    </row>
    <row r="106" ht="14.25" customHeight="1">
      <c r="B106" s="229"/>
      <c r="C106" s="220" t="str">
        <f t="shared" si="9"/>
        <v/>
      </c>
      <c r="D106" s="220"/>
      <c r="E106" s="220">
        <f t="shared" si="7"/>
        <v>0</v>
      </c>
      <c r="F106" s="220">
        <f t="shared" si="8"/>
        <v>-10</v>
      </c>
    </row>
    <row r="107" ht="14.25" customHeight="1">
      <c r="B107" s="216"/>
      <c r="C107" s="223" t="s">
        <v>221</v>
      </c>
      <c r="D107" s="223"/>
      <c r="E107" s="216">
        <f>SUM(E76:E106)</f>
        <v>0</v>
      </c>
      <c r="F107" s="216">
        <f t="shared" si="8"/>
        <v>-10</v>
      </c>
    </row>
    <row r="108" ht="14.25" customHeight="1"/>
    <row r="109" ht="14.25" customHeight="1">
      <c r="A109" s="249" t="s">
        <v>276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1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/>
      <c r="K111" s="253" t="s">
        <v>236</v>
      </c>
      <c r="L111" s="231"/>
    </row>
    <row r="112" ht="14.25" customHeight="1">
      <c r="B112" s="219">
        <v>45078.0</v>
      </c>
      <c r="C112" s="220"/>
      <c r="D112" s="220"/>
      <c r="E112" s="220">
        <f t="shared" ref="E112:E142" si="10">D112-C112</f>
        <v>0</v>
      </c>
      <c r="F112" s="220">
        <f t="shared" ref="F112:F143" si="11">E112-10</f>
        <v>-10</v>
      </c>
      <c r="H112" s="216" t="s">
        <v>245</v>
      </c>
      <c r="I112" s="216"/>
      <c r="K112" s="216" t="s">
        <v>244</v>
      </c>
      <c r="L112" s="232">
        <v>2000.0</v>
      </c>
    </row>
    <row r="113" ht="14.25" customHeight="1">
      <c r="B113" s="219">
        <v>45079.0</v>
      </c>
      <c r="C113" s="220" t="str">
        <f t="shared" ref="C113:C142" si="12">D112</f>
        <v/>
      </c>
      <c r="D113" s="220"/>
      <c r="E113" s="220">
        <f t="shared" si="10"/>
        <v>0</v>
      </c>
      <c r="F113" s="220">
        <f t="shared" si="11"/>
        <v>-10</v>
      </c>
      <c r="H113" s="216" t="s">
        <v>247</v>
      </c>
      <c r="I113" s="216"/>
      <c r="K113" s="216" t="s">
        <v>266</v>
      </c>
      <c r="L113" s="232"/>
    </row>
    <row r="114" ht="14.25" customHeight="1">
      <c r="B114" s="254">
        <v>45080.0</v>
      </c>
      <c r="C114" s="255" t="str">
        <f t="shared" si="12"/>
        <v/>
      </c>
      <c r="D114" s="255"/>
      <c r="E114" s="255">
        <f t="shared" si="10"/>
        <v>0</v>
      </c>
      <c r="F114" s="255">
        <f t="shared" si="11"/>
        <v>-10</v>
      </c>
      <c r="H114" s="216" t="s">
        <v>249</v>
      </c>
      <c r="I114" s="232">
        <v>18.0</v>
      </c>
      <c r="K114" s="216" t="s">
        <v>246</v>
      </c>
      <c r="L114" s="232">
        <f>O114*O115</f>
        <v>0</v>
      </c>
    </row>
    <row r="115" ht="14.25" customHeight="1">
      <c r="B115" s="254">
        <v>45081.0</v>
      </c>
      <c r="C115" s="255" t="str">
        <f t="shared" si="12"/>
        <v/>
      </c>
      <c r="D115" s="255"/>
      <c r="E115" s="255">
        <f t="shared" si="10"/>
        <v>0</v>
      </c>
      <c r="F115" s="255">
        <f t="shared" si="11"/>
        <v>-10</v>
      </c>
      <c r="H115" s="216" t="s">
        <v>251</v>
      </c>
      <c r="I115" s="216"/>
      <c r="K115" s="216" t="s">
        <v>248</v>
      </c>
      <c r="L115" s="232">
        <f>O116*O117</f>
        <v>0</v>
      </c>
    </row>
    <row r="116" ht="14.25" customHeight="1">
      <c r="B116" s="219">
        <v>45082.0</v>
      </c>
      <c r="C116" s="220" t="str">
        <f t="shared" si="12"/>
        <v/>
      </c>
      <c r="D116" s="220"/>
      <c r="E116" s="220">
        <f t="shared" si="10"/>
        <v>0</v>
      </c>
      <c r="F116" s="220">
        <f t="shared" si="11"/>
        <v>-10</v>
      </c>
      <c r="H116" s="216" t="s">
        <v>249</v>
      </c>
      <c r="I116" s="232">
        <v>10.0</v>
      </c>
      <c r="K116" s="216" t="s">
        <v>250</v>
      </c>
      <c r="L116" s="232">
        <f>O118*100</f>
        <v>0</v>
      </c>
    </row>
    <row r="117" ht="14.25" customHeight="1">
      <c r="B117" s="219">
        <v>45083.0</v>
      </c>
      <c r="C117" s="220" t="str">
        <f t="shared" si="12"/>
        <v/>
      </c>
      <c r="D117" s="220"/>
      <c r="E117" s="220">
        <f t="shared" si="10"/>
        <v>0</v>
      </c>
      <c r="F117" s="220">
        <f t="shared" si="11"/>
        <v>-10</v>
      </c>
      <c r="H117" s="216" t="s">
        <v>250</v>
      </c>
      <c r="I117" s="216"/>
      <c r="K117" s="216" t="s">
        <v>252</v>
      </c>
      <c r="L117" s="232"/>
    </row>
    <row r="118" ht="14.25" customHeight="1">
      <c r="B118" s="219">
        <v>45084.0</v>
      </c>
      <c r="C118" s="220" t="str">
        <f t="shared" si="12"/>
        <v/>
      </c>
      <c r="D118" s="220"/>
      <c r="E118" s="220">
        <f t="shared" si="10"/>
        <v>0</v>
      </c>
      <c r="F118" s="220">
        <f t="shared" si="11"/>
        <v>-10</v>
      </c>
      <c r="K118" s="216" t="s">
        <v>268</v>
      </c>
      <c r="L118" s="232">
        <f>L112+L114+L115+L116-L113-L117</f>
        <v>2000</v>
      </c>
    </row>
    <row r="119" ht="14.25" customHeight="1">
      <c r="B119" s="219">
        <v>45085.0</v>
      </c>
      <c r="C119" s="220" t="str">
        <f t="shared" si="12"/>
        <v/>
      </c>
      <c r="D119" s="220"/>
      <c r="E119" s="220">
        <f t="shared" si="10"/>
        <v>0</v>
      </c>
      <c r="F119" s="220">
        <f t="shared" si="11"/>
        <v>-10</v>
      </c>
      <c r="K119" s="216" t="s">
        <v>269</v>
      </c>
      <c r="L119" s="229"/>
    </row>
    <row r="120" ht="14.25" customHeight="1">
      <c r="B120" s="219">
        <v>45086.0</v>
      </c>
      <c r="C120" s="220" t="str">
        <f t="shared" si="12"/>
        <v/>
      </c>
      <c r="D120" s="220"/>
      <c r="E120" s="220">
        <f t="shared" si="10"/>
        <v>0</v>
      </c>
      <c r="F120" s="220">
        <f t="shared" si="11"/>
        <v>-10</v>
      </c>
    </row>
    <row r="121" ht="14.25" customHeight="1">
      <c r="B121" s="254">
        <v>45087.0</v>
      </c>
      <c r="C121" s="255" t="str">
        <f t="shared" si="12"/>
        <v/>
      </c>
      <c r="D121" s="255"/>
      <c r="E121" s="255">
        <f t="shared" si="10"/>
        <v>0</v>
      </c>
      <c r="F121" s="255">
        <f t="shared" si="11"/>
        <v>-10</v>
      </c>
    </row>
    <row r="122" ht="14.25" customHeight="1">
      <c r="B122" s="254">
        <v>45088.0</v>
      </c>
      <c r="C122" s="255" t="str">
        <f t="shared" si="12"/>
        <v/>
      </c>
      <c r="D122" s="255"/>
      <c r="E122" s="255">
        <f t="shared" si="10"/>
        <v>0</v>
      </c>
      <c r="F122" s="255">
        <f t="shared" si="11"/>
        <v>-10</v>
      </c>
    </row>
    <row r="123" ht="14.25" customHeight="1">
      <c r="B123" s="219">
        <v>45089.0</v>
      </c>
      <c r="C123" s="220" t="str">
        <f t="shared" si="12"/>
        <v/>
      </c>
      <c r="D123" s="220"/>
      <c r="E123" s="220">
        <f t="shared" si="10"/>
        <v>0</v>
      </c>
      <c r="F123" s="220">
        <f t="shared" si="11"/>
        <v>-10</v>
      </c>
    </row>
    <row r="124" ht="14.25" customHeight="1">
      <c r="B124" s="219">
        <v>45090.0</v>
      </c>
      <c r="C124" s="220" t="str">
        <f t="shared" si="12"/>
        <v/>
      </c>
      <c r="D124" s="220"/>
      <c r="E124" s="220">
        <f t="shared" si="10"/>
        <v>0</v>
      </c>
      <c r="F124" s="220">
        <f t="shared" si="11"/>
        <v>-10</v>
      </c>
    </row>
    <row r="125" ht="14.25" customHeight="1">
      <c r="B125" s="219">
        <v>45091.0</v>
      </c>
      <c r="C125" s="220" t="str">
        <f t="shared" si="12"/>
        <v/>
      </c>
      <c r="D125" s="220"/>
      <c r="E125" s="220">
        <f t="shared" si="10"/>
        <v>0</v>
      </c>
      <c r="F125" s="220">
        <f t="shared" si="11"/>
        <v>-10</v>
      </c>
    </row>
    <row r="126" ht="14.25" customHeight="1">
      <c r="B126" s="219">
        <v>45092.0</v>
      </c>
      <c r="C126" s="220" t="str">
        <f t="shared" si="12"/>
        <v/>
      </c>
      <c r="D126" s="220"/>
      <c r="E126" s="220">
        <f t="shared" si="10"/>
        <v>0</v>
      </c>
      <c r="F126" s="220">
        <f t="shared" si="11"/>
        <v>-10</v>
      </c>
    </row>
    <row r="127" ht="14.25" customHeight="1">
      <c r="B127" s="219">
        <v>45093.0</v>
      </c>
      <c r="C127" s="220" t="str">
        <f t="shared" si="12"/>
        <v/>
      </c>
      <c r="D127" s="220"/>
      <c r="E127" s="220">
        <f t="shared" si="10"/>
        <v>0</v>
      </c>
      <c r="F127" s="220">
        <f t="shared" si="11"/>
        <v>-10</v>
      </c>
    </row>
    <row r="128" ht="14.25" customHeight="1">
      <c r="B128" s="254">
        <v>45094.0</v>
      </c>
      <c r="C128" s="255" t="str">
        <f t="shared" si="12"/>
        <v/>
      </c>
      <c r="D128" s="255"/>
      <c r="E128" s="255">
        <f t="shared" si="10"/>
        <v>0</v>
      </c>
      <c r="F128" s="255">
        <f t="shared" si="11"/>
        <v>-10</v>
      </c>
    </row>
    <row r="129" ht="14.25" customHeight="1">
      <c r="B129" s="254">
        <v>45095.0</v>
      </c>
      <c r="C129" s="255" t="str">
        <f t="shared" si="12"/>
        <v/>
      </c>
      <c r="D129" s="255"/>
      <c r="E129" s="255">
        <f t="shared" si="10"/>
        <v>0</v>
      </c>
      <c r="F129" s="255">
        <f t="shared" si="11"/>
        <v>-10</v>
      </c>
    </row>
    <row r="130" ht="14.25" customHeight="1">
      <c r="B130" s="219">
        <v>45096.0</v>
      </c>
      <c r="C130" s="220" t="str">
        <f t="shared" si="12"/>
        <v/>
      </c>
      <c r="D130" s="220"/>
      <c r="E130" s="220">
        <f t="shared" si="10"/>
        <v>0</v>
      </c>
      <c r="F130" s="220">
        <f t="shared" si="11"/>
        <v>-10</v>
      </c>
    </row>
    <row r="131" ht="14.25" customHeight="1">
      <c r="B131" s="219">
        <v>45097.0</v>
      </c>
      <c r="C131" s="220" t="str">
        <f t="shared" si="12"/>
        <v/>
      </c>
      <c r="D131" s="220"/>
      <c r="E131" s="220">
        <f t="shared" si="10"/>
        <v>0</v>
      </c>
      <c r="F131" s="220">
        <f t="shared" si="11"/>
        <v>-10</v>
      </c>
    </row>
    <row r="132" ht="14.25" customHeight="1">
      <c r="B132" s="219">
        <v>45098.0</v>
      </c>
      <c r="C132" s="220" t="str">
        <f t="shared" si="12"/>
        <v/>
      </c>
      <c r="D132" s="220"/>
      <c r="E132" s="220">
        <f t="shared" si="10"/>
        <v>0</v>
      </c>
      <c r="F132" s="220">
        <f t="shared" si="11"/>
        <v>-10</v>
      </c>
    </row>
    <row r="133" ht="14.25" customHeight="1">
      <c r="B133" s="219">
        <v>45099.0</v>
      </c>
      <c r="C133" s="220" t="str">
        <f t="shared" si="12"/>
        <v/>
      </c>
      <c r="D133" s="220"/>
      <c r="E133" s="220">
        <f t="shared" si="10"/>
        <v>0</v>
      </c>
      <c r="F133" s="220">
        <f t="shared" si="11"/>
        <v>-10</v>
      </c>
    </row>
    <row r="134" ht="14.25" customHeight="1">
      <c r="B134" s="219">
        <v>45100.0</v>
      </c>
      <c r="C134" s="220" t="str">
        <f t="shared" si="12"/>
        <v/>
      </c>
      <c r="D134" s="220"/>
      <c r="E134" s="220">
        <f t="shared" si="10"/>
        <v>0</v>
      </c>
      <c r="F134" s="220">
        <f t="shared" si="11"/>
        <v>-10</v>
      </c>
    </row>
    <row r="135" ht="14.25" customHeight="1">
      <c r="B135" s="254">
        <v>45101.0</v>
      </c>
      <c r="C135" s="255" t="str">
        <f t="shared" si="12"/>
        <v/>
      </c>
      <c r="D135" s="255"/>
      <c r="E135" s="255">
        <f t="shared" si="10"/>
        <v>0</v>
      </c>
      <c r="F135" s="255">
        <f t="shared" si="11"/>
        <v>-10</v>
      </c>
    </row>
    <row r="136" ht="14.25" customHeight="1">
      <c r="B136" s="254">
        <v>45102.0</v>
      </c>
      <c r="C136" s="255" t="str">
        <f t="shared" si="12"/>
        <v/>
      </c>
      <c r="D136" s="255"/>
      <c r="E136" s="255">
        <f t="shared" si="10"/>
        <v>0</v>
      </c>
      <c r="F136" s="255">
        <f t="shared" si="11"/>
        <v>-10</v>
      </c>
    </row>
    <row r="137" ht="14.25" customHeight="1">
      <c r="B137" s="219">
        <v>45103.0</v>
      </c>
      <c r="C137" s="220" t="str">
        <f t="shared" si="12"/>
        <v/>
      </c>
      <c r="D137" s="220"/>
      <c r="E137" s="220">
        <f t="shared" si="10"/>
        <v>0</v>
      </c>
      <c r="F137" s="220">
        <f t="shared" si="11"/>
        <v>-10</v>
      </c>
    </row>
    <row r="138" ht="14.25" customHeight="1">
      <c r="B138" s="219">
        <v>45104.0</v>
      </c>
      <c r="C138" s="220" t="str">
        <f t="shared" si="12"/>
        <v/>
      </c>
      <c r="D138" s="220"/>
      <c r="E138" s="220">
        <f t="shared" si="10"/>
        <v>0</v>
      </c>
      <c r="F138" s="220">
        <f t="shared" si="11"/>
        <v>-10</v>
      </c>
    </row>
    <row r="139" ht="14.25" customHeight="1">
      <c r="B139" s="219">
        <v>45105.0</v>
      </c>
      <c r="C139" s="220" t="str">
        <f t="shared" si="12"/>
        <v/>
      </c>
      <c r="D139" s="220"/>
      <c r="E139" s="220">
        <f t="shared" si="10"/>
        <v>0</v>
      </c>
      <c r="F139" s="220">
        <f t="shared" si="11"/>
        <v>-10</v>
      </c>
    </row>
    <row r="140" ht="14.25" customHeight="1">
      <c r="B140" s="219">
        <v>45106.0</v>
      </c>
      <c r="C140" s="220" t="str">
        <f t="shared" si="12"/>
        <v/>
      </c>
      <c r="D140" s="220"/>
      <c r="E140" s="220">
        <f t="shared" si="10"/>
        <v>0</v>
      </c>
      <c r="F140" s="220">
        <f t="shared" si="11"/>
        <v>-10</v>
      </c>
    </row>
    <row r="141" ht="14.25" customHeight="1">
      <c r="B141" s="219">
        <v>45107.0</v>
      </c>
      <c r="C141" s="220" t="str">
        <f t="shared" si="12"/>
        <v/>
      </c>
      <c r="D141" s="220"/>
      <c r="E141" s="220">
        <f t="shared" si="10"/>
        <v>0</v>
      </c>
      <c r="F141" s="220">
        <f t="shared" si="11"/>
        <v>-10</v>
      </c>
    </row>
    <row r="142" ht="14.25" customHeight="1">
      <c r="B142" s="229"/>
      <c r="C142" s="220" t="str">
        <f t="shared" si="12"/>
        <v/>
      </c>
      <c r="D142" s="220"/>
      <c r="E142" s="220">
        <f t="shared" si="10"/>
        <v>0</v>
      </c>
      <c r="F142" s="220">
        <f t="shared" si="11"/>
        <v>-10</v>
      </c>
    </row>
    <row r="143" ht="14.25" customHeight="1">
      <c r="B143" s="216"/>
      <c r="C143" s="223" t="s">
        <v>221</v>
      </c>
      <c r="D143" s="223"/>
      <c r="E143" s="216">
        <f>SUM(E112:E142)</f>
        <v>0</v>
      </c>
      <c r="F143" s="216">
        <f t="shared" si="11"/>
        <v>-10</v>
      </c>
    </row>
    <row r="144" ht="14.25" customHeight="1"/>
    <row r="145" ht="14.25" customHeight="1">
      <c r="A145" s="249" t="s">
        <v>226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1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226</v>
      </c>
      <c r="L147" s="231"/>
    </row>
    <row r="148" ht="14.25" customHeight="1">
      <c r="B148" s="219">
        <v>45078.0</v>
      </c>
      <c r="C148" s="220"/>
      <c r="D148" s="220"/>
      <c r="E148" s="220">
        <f t="shared" ref="E148:E178" si="13">D148-C148</f>
        <v>0</v>
      </c>
      <c r="F148" s="220">
        <f t="shared" ref="F148:F179" si="14">E148-10</f>
        <v>-10</v>
      </c>
      <c r="H148" s="216" t="s">
        <v>245</v>
      </c>
      <c r="I148" s="216"/>
      <c r="K148" s="216" t="s">
        <v>244</v>
      </c>
      <c r="L148" s="232">
        <v>2000.0</v>
      </c>
    </row>
    <row r="149" ht="14.25" customHeight="1">
      <c r="B149" s="219">
        <v>45079.0</v>
      </c>
      <c r="C149" s="220" t="str">
        <f t="shared" ref="C149:C178" si="15">D148</f>
        <v/>
      </c>
      <c r="D149" s="220"/>
      <c r="E149" s="220">
        <f t="shared" si="13"/>
        <v>0</v>
      </c>
      <c r="F149" s="220">
        <f t="shared" si="14"/>
        <v>-10</v>
      </c>
      <c r="H149" s="216" t="s">
        <v>247</v>
      </c>
      <c r="I149" s="216"/>
      <c r="K149" s="216" t="s">
        <v>266</v>
      </c>
      <c r="L149" s="232"/>
    </row>
    <row r="150" ht="14.25" customHeight="1">
      <c r="B150" s="254">
        <v>45080.0</v>
      </c>
      <c r="C150" s="255" t="str">
        <f t="shared" si="15"/>
        <v/>
      </c>
      <c r="D150" s="255"/>
      <c r="E150" s="255">
        <f t="shared" si="13"/>
        <v>0</v>
      </c>
      <c r="F150" s="255">
        <f t="shared" si="14"/>
        <v>-10</v>
      </c>
      <c r="H150" s="216" t="s">
        <v>249</v>
      </c>
      <c r="I150" s="232">
        <v>18.0</v>
      </c>
      <c r="K150" s="216" t="s">
        <v>246</v>
      </c>
      <c r="L150" s="232">
        <f>O150*O151</f>
        <v>0</v>
      </c>
    </row>
    <row r="151" ht="14.25" customHeight="1">
      <c r="B151" s="254">
        <v>45081.0</v>
      </c>
      <c r="C151" s="255" t="str">
        <f t="shared" si="15"/>
        <v/>
      </c>
      <c r="D151" s="255"/>
      <c r="E151" s="255">
        <f t="shared" si="13"/>
        <v>0</v>
      </c>
      <c r="F151" s="255">
        <f t="shared" si="14"/>
        <v>-10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19">
        <v>45082.0</v>
      </c>
      <c r="C152" s="220" t="str">
        <f t="shared" si="15"/>
        <v/>
      </c>
      <c r="D152" s="220"/>
      <c r="E152" s="220">
        <f t="shared" si="13"/>
        <v>0</v>
      </c>
      <c r="F152" s="220">
        <f t="shared" si="14"/>
        <v>-10</v>
      </c>
      <c r="H152" s="216" t="s">
        <v>249</v>
      </c>
      <c r="I152" s="232">
        <v>10.0</v>
      </c>
      <c r="K152" s="216" t="s">
        <v>250</v>
      </c>
      <c r="L152" s="232">
        <f>O154*100</f>
        <v>0</v>
      </c>
    </row>
    <row r="153" ht="14.25" customHeight="1">
      <c r="B153" s="219">
        <v>45083.0</v>
      </c>
      <c r="C153" s="220" t="str">
        <f t="shared" si="15"/>
        <v/>
      </c>
      <c r="D153" s="220"/>
      <c r="E153" s="220">
        <f t="shared" si="13"/>
        <v>0</v>
      </c>
      <c r="F153" s="220">
        <f t="shared" si="14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45084.0</v>
      </c>
      <c r="C154" s="220" t="str">
        <f t="shared" si="15"/>
        <v/>
      </c>
      <c r="D154" s="220"/>
      <c r="E154" s="220">
        <f t="shared" si="13"/>
        <v>0</v>
      </c>
      <c r="F154" s="220">
        <f t="shared" si="14"/>
        <v>-10</v>
      </c>
      <c r="K154" s="216" t="s">
        <v>268</v>
      </c>
      <c r="L154" s="232">
        <f>L148+L150+L151+L152-L149-L153</f>
        <v>2000</v>
      </c>
    </row>
    <row r="155" ht="14.25" customHeight="1">
      <c r="B155" s="219">
        <v>45085.0</v>
      </c>
      <c r="C155" s="220" t="str">
        <f t="shared" si="15"/>
        <v/>
      </c>
      <c r="D155" s="220"/>
      <c r="E155" s="220">
        <f t="shared" si="13"/>
        <v>0</v>
      </c>
      <c r="F155" s="220">
        <f t="shared" si="14"/>
        <v>-10</v>
      </c>
      <c r="K155" s="216" t="s">
        <v>269</v>
      </c>
      <c r="L155" s="229"/>
    </row>
    <row r="156" ht="14.25" customHeight="1">
      <c r="B156" s="219">
        <v>45086.0</v>
      </c>
      <c r="C156" s="220" t="str">
        <f t="shared" si="15"/>
        <v/>
      </c>
      <c r="D156" s="220"/>
      <c r="E156" s="220">
        <f t="shared" si="13"/>
        <v>0</v>
      </c>
      <c r="F156" s="220">
        <f t="shared" si="14"/>
        <v>-10</v>
      </c>
    </row>
    <row r="157" ht="14.25" customHeight="1">
      <c r="B157" s="254">
        <v>45087.0</v>
      </c>
      <c r="C157" s="255" t="str">
        <f t="shared" si="15"/>
        <v/>
      </c>
      <c r="D157" s="255"/>
      <c r="E157" s="255">
        <f t="shared" si="13"/>
        <v>0</v>
      </c>
      <c r="F157" s="255">
        <f t="shared" si="14"/>
        <v>-10</v>
      </c>
    </row>
    <row r="158" ht="14.25" customHeight="1">
      <c r="B158" s="254">
        <v>45088.0</v>
      </c>
      <c r="C158" s="255" t="str">
        <f t="shared" si="15"/>
        <v/>
      </c>
      <c r="D158" s="255"/>
      <c r="E158" s="255">
        <f t="shared" si="13"/>
        <v>0</v>
      </c>
      <c r="F158" s="255">
        <f t="shared" si="14"/>
        <v>-10</v>
      </c>
    </row>
    <row r="159" ht="14.25" customHeight="1">
      <c r="B159" s="219">
        <v>45089.0</v>
      </c>
      <c r="C159" s="220" t="str">
        <f t="shared" si="15"/>
        <v/>
      </c>
      <c r="D159" s="220"/>
      <c r="E159" s="220">
        <f t="shared" si="13"/>
        <v>0</v>
      </c>
      <c r="F159" s="220">
        <f t="shared" si="14"/>
        <v>-10</v>
      </c>
    </row>
    <row r="160" ht="14.25" customHeight="1">
      <c r="B160" s="219">
        <v>45090.0</v>
      </c>
      <c r="C160" s="220" t="str">
        <f t="shared" si="15"/>
        <v/>
      </c>
      <c r="D160" s="220"/>
      <c r="E160" s="220">
        <f t="shared" si="13"/>
        <v>0</v>
      </c>
      <c r="F160" s="220">
        <f t="shared" si="14"/>
        <v>-10</v>
      </c>
    </row>
    <row r="161" ht="14.25" customHeight="1">
      <c r="B161" s="219">
        <v>45091.0</v>
      </c>
      <c r="C161" s="220" t="str">
        <f t="shared" si="15"/>
        <v/>
      </c>
      <c r="D161" s="220"/>
      <c r="E161" s="220">
        <f t="shared" si="13"/>
        <v>0</v>
      </c>
      <c r="F161" s="220">
        <f t="shared" si="14"/>
        <v>-10</v>
      </c>
    </row>
    <row r="162" ht="14.25" customHeight="1">
      <c r="B162" s="219">
        <v>45092.0</v>
      </c>
      <c r="C162" s="220" t="str">
        <f t="shared" si="15"/>
        <v/>
      </c>
      <c r="D162" s="220"/>
      <c r="E162" s="220">
        <f t="shared" si="13"/>
        <v>0</v>
      </c>
      <c r="F162" s="220">
        <f t="shared" si="14"/>
        <v>-10</v>
      </c>
    </row>
    <row r="163" ht="14.25" customHeight="1">
      <c r="B163" s="219">
        <v>45093.0</v>
      </c>
      <c r="C163" s="220" t="str">
        <f t="shared" si="15"/>
        <v/>
      </c>
      <c r="D163" s="220"/>
      <c r="E163" s="220">
        <f t="shared" si="13"/>
        <v>0</v>
      </c>
      <c r="F163" s="220">
        <f t="shared" si="14"/>
        <v>-10</v>
      </c>
    </row>
    <row r="164" ht="14.25" customHeight="1">
      <c r="B164" s="254">
        <v>45094.0</v>
      </c>
      <c r="C164" s="255" t="str">
        <f t="shared" si="15"/>
        <v/>
      </c>
      <c r="D164" s="255"/>
      <c r="E164" s="255">
        <f t="shared" si="13"/>
        <v>0</v>
      </c>
      <c r="F164" s="255">
        <f t="shared" si="14"/>
        <v>-10</v>
      </c>
    </row>
    <row r="165" ht="14.25" customHeight="1">
      <c r="B165" s="254">
        <v>45095.0</v>
      </c>
      <c r="C165" s="255" t="str">
        <f t="shared" si="15"/>
        <v/>
      </c>
      <c r="D165" s="255"/>
      <c r="E165" s="255">
        <f t="shared" si="13"/>
        <v>0</v>
      </c>
      <c r="F165" s="255">
        <f t="shared" si="14"/>
        <v>-10</v>
      </c>
    </row>
    <row r="166" ht="14.25" customHeight="1">
      <c r="B166" s="219">
        <v>45096.0</v>
      </c>
      <c r="C166" s="220" t="str">
        <f t="shared" si="15"/>
        <v/>
      </c>
      <c r="D166" s="220"/>
      <c r="E166" s="220">
        <f t="shared" si="13"/>
        <v>0</v>
      </c>
      <c r="F166" s="220">
        <f t="shared" si="14"/>
        <v>-10</v>
      </c>
    </row>
    <row r="167" ht="14.25" customHeight="1">
      <c r="B167" s="219">
        <v>45097.0</v>
      </c>
      <c r="C167" s="220" t="str">
        <f t="shared" si="15"/>
        <v/>
      </c>
      <c r="D167" s="220"/>
      <c r="E167" s="220">
        <f t="shared" si="13"/>
        <v>0</v>
      </c>
      <c r="F167" s="220">
        <f t="shared" si="14"/>
        <v>-10</v>
      </c>
    </row>
    <row r="168" ht="14.25" customHeight="1">
      <c r="B168" s="219">
        <v>45098.0</v>
      </c>
      <c r="C168" s="220" t="str">
        <f t="shared" si="15"/>
        <v/>
      </c>
      <c r="D168" s="220"/>
      <c r="E168" s="220">
        <f t="shared" si="13"/>
        <v>0</v>
      </c>
      <c r="F168" s="220">
        <f t="shared" si="14"/>
        <v>-10</v>
      </c>
    </row>
    <row r="169" ht="14.25" customHeight="1">
      <c r="B169" s="219">
        <v>45099.0</v>
      </c>
      <c r="C169" s="220" t="str">
        <f t="shared" si="15"/>
        <v/>
      </c>
      <c r="D169" s="220"/>
      <c r="E169" s="220">
        <f t="shared" si="13"/>
        <v>0</v>
      </c>
      <c r="F169" s="220">
        <f t="shared" si="14"/>
        <v>-10</v>
      </c>
    </row>
    <row r="170" ht="14.25" customHeight="1">
      <c r="B170" s="219">
        <v>45100.0</v>
      </c>
      <c r="C170" s="220" t="str">
        <f t="shared" si="15"/>
        <v/>
      </c>
      <c r="D170" s="220"/>
      <c r="E170" s="220">
        <f t="shared" si="13"/>
        <v>0</v>
      </c>
      <c r="F170" s="220">
        <f t="shared" si="14"/>
        <v>-10</v>
      </c>
    </row>
    <row r="171" ht="14.25" customHeight="1">
      <c r="B171" s="254">
        <v>45101.0</v>
      </c>
      <c r="C171" s="255" t="str">
        <f t="shared" si="15"/>
        <v/>
      </c>
      <c r="D171" s="255"/>
      <c r="E171" s="255">
        <f t="shared" si="13"/>
        <v>0</v>
      </c>
      <c r="F171" s="255">
        <f t="shared" si="14"/>
        <v>-10</v>
      </c>
    </row>
    <row r="172" ht="14.25" customHeight="1">
      <c r="B172" s="254">
        <v>45102.0</v>
      </c>
      <c r="C172" s="255" t="str">
        <f t="shared" si="15"/>
        <v/>
      </c>
      <c r="D172" s="255"/>
      <c r="E172" s="255">
        <f t="shared" si="13"/>
        <v>0</v>
      </c>
      <c r="F172" s="255">
        <f t="shared" si="14"/>
        <v>-10</v>
      </c>
    </row>
    <row r="173" ht="14.25" customHeight="1">
      <c r="B173" s="219">
        <v>45103.0</v>
      </c>
      <c r="C173" s="220" t="str">
        <f t="shared" si="15"/>
        <v/>
      </c>
      <c r="D173" s="220"/>
      <c r="E173" s="220">
        <f t="shared" si="13"/>
        <v>0</v>
      </c>
      <c r="F173" s="220">
        <f t="shared" si="14"/>
        <v>-10</v>
      </c>
    </row>
    <row r="174" ht="14.25" customHeight="1">
      <c r="B174" s="219">
        <v>45104.0</v>
      </c>
      <c r="C174" s="220" t="str">
        <f t="shared" si="15"/>
        <v/>
      </c>
      <c r="D174" s="220"/>
      <c r="E174" s="220">
        <f t="shared" si="13"/>
        <v>0</v>
      </c>
      <c r="F174" s="220">
        <f t="shared" si="14"/>
        <v>-10</v>
      </c>
    </row>
    <row r="175" ht="14.25" customHeight="1">
      <c r="B175" s="219">
        <v>45105.0</v>
      </c>
      <c r="C175" s="220" t="str">
        <f t="shared" si="15"/>
        <v/>
      </c>
      <c r="D175" s="220"/>
      <c r="E175" s="220">
        <f t="shared" si="13"/>
        <v>0</v>
      </c>
      <c r="F175" s="220">
        <f t="shared" si="14"/>
        <v>-10</v>
      </c>
    </row>
    <row r="176" ht="14.25" customHeight="1">
      <c r="B176" s="219">
        <v>45106.0</v>
      </c>
      <c r="C176" s="220" t="str">
        <f t="shared" si="15"/>
        <v/>
      </c>
      <c r="D176" s="220"/>
      <c r="E176" s="220">
        <f t="shared" si="13"/>
        <v>0</v>
      </c>
      <c r="F176" s="220">
        <f t="shared" si="14"/>
        <v>-10</v>
      </c>
    </row>
    <row r="177" ht="14.25" customHeight="1">
      <c r="B177" s="219">
        <v>45107.0</v>
      </c>
      <c r="C177" s="220" t="str">
        <f t="shared" si="15"/>
        <v/>
      </c>
      <c r="D177" s="220"/>
      <c r="E177" s="220">
        <f t="shared" si="13"/>
        <v>0</v>
      </c>
      <c r="F177" s="220">
        <f t="shared" si="14"/>
        <v>-10</v>
      </c>
    </row>
    <row r="178" ht="14.25" customHeight="1">
      <c r="B178" s="229"/>
      <c r="C178" s="220" t="str">
        <f t="shared" si="15"/>
        <v/>
      </c>
      <c r="D178" s="220"/>
      <c r="E178" s="220">
        <f t="shared" si="13"/>
        <v>0</v>
      </c>
      <c r="F178" s="220">
        <f t="shared" si="14"/>
        <v>-10</v>
      </c>
    </row>
    <row r="179" ht="14.25" customHeight="1">
      <c r="B179" s="216"/>
      <c r="C179" s="223" t="s">
        <v>221</v>
      </c>
      <c r="D179" s="223"/>
      <c r="E179" s="216">
        <f>SUM(E148:E178)</f>
        <v>0</v>
      </c>
      <c r="F179" s="216">
        <f t="shared" si="14"/>
        <v>-10</v>
      </c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K111:L111"/>
    <mergeCell ref="A145:L145"/>
    <mergeCell ref="K147:L147"/>
    <mergeCell ref="A1:L1"/>
    <mergeCell ref="K3:L3"/>
    <mergeCell ref="A37:L37"/>
    <mergeCell ref="K39:L39"/>
    <mergeCell ref="A73:L73"/>
    <mergeCell ref="K75:L75"/>
    <mergeCell ref="A109:L109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14.71"/>
    <col customWidth="1" min="4" max="4" width="8.71"/>
    <col customWidth="1" min="5" max="5" width="16.14"/>
    <col customWidth="1" min="6" max="6" width="17.29"/>
    <col customWidth="1" min="7" max="7" width="10.57"/>
    <col customWidth="1" min="8" max="26" width="8.71"/>
  </cols>
  <sheetData>
    <row r="1" ht="14.25" customHeight="1">
      <c r="F1" s="274" t="s">
        <v>367</v>
      </c>
      <c r="G1" s="275"/>
      <c r="H1" s="240"/>
    </row>
    <row r="2" ht="14.25" customHeight="1">
      <c r="B2" s="276" t="s">
        <v>367</v>
      </c>
      <c r="C2" s="231"/>
      <c r="F2" s="234" t="s">
        <v>368</v>
      </c>
      <c r="G2" s="235"/>
      <c r="H2" s="231"/>
    </row>
    <row r="3" ht="14.25" customHeight="1">
      <c r="B3" s="216" t="s">
        <v>244</v>
      </c>
      <c r="C3" s="232">
        <v>3500.0</v>
      </c>
      <c r="F3" s="277">
        <v>1200.0</v>
      </c>
      <c r="G3" s="235"/>
      <c r="H3" s="231"/>
    </row>
    <row r="4" ht="14.25" customHeight="1">
      <c r="B4" s="216" t="s">
        <v>266</v>
      </c>
      <c r="C4" s="232">
        <v>1000.0</v>
      </c>
    </row>
    <row r="5" ht="14.25" customHeight="1">
      <c r="B5" s="216" t="s">
        <v>369</v>
      </c>
      <c r="C5" s="232">
        <f>C3-C4</f>
        <v>2500</v>
      </c>
    </row>
    <row r="6" ht="14.25" customHeight="1">
      <c r="B6" s="216"/>
      <c r="C6" s="232"/>
    </row>
    <row r="7" ht="14.25" customHeight="1"/>
    <row r="8" ht="14.25" customHeight="1"/>
    <row r="9" ht="14.25" customHeight="1">
      <c r="B9" s="276" t="s">
        <v>370</v>
      </c>
      <c r="C9" s="231"/>
    </row>
    <row r="10" ht="14.25" customHeight="1">
      <c r="B10" s="216" t="s">
        <v>244</v>
      </c>
      <c r="C10" s="232">
        <v>3500.0</v>
      </c>
    </row>
    <row r="11" ht="14.25" customHeight="1">
      <c r="B11" s="216" t="s">
        <v>266</v>
      </c>
      <c r="C11" s="232">
        <v>1200.0</v>
      </c>
    </row>
    <row r="12" ht="14.25" customHeight="1">
      <c r="B12" s="216" t="s">
        <v>369</v>
      </c>
      <c r="C12" s="232">
        <f>C10-C11</f>
        <v>2300</v>
      </c>
    </row>
    <row r="13" ht="14.25" customHeight="1">
      <c r="B13" s="216"/>
      <c r="C13" s="232"/>
    </row>
    <row r="14" ht="14.25" customHeight="1"/>
    <row r="15" ht="14.25" customHeight="1">
      <c r="B15" s="278" t="s">
        <v>371</v>
      </c>
      <c r="C15" s="231"/>
    </row>
    <row r="16" ht="14.25" customHeight="1">
      <c r="B16" s="216" t="s">
        <v>244</v>
      </c>
      <c r="C16" s="232">
        <v>3500.0</v>
      </c>
    </row>
    <row r="17" ht="14.25" customHeight="1">
      <c r="B17" s="216" t="s">
        <v>266</v>
      </c>
      <c r="C17" s="232"/>
    </row>
    <row r="18" ht="14.25" customHeight="1">
      <c r="B18" s="216" t="s">
        <v>369</v>
      </c>
      <c r="C18" s="232">
        <f>C16-C17</f>
        <v>3500</v>
      </c>
    </row>
    <row r="19" ht="14.25" customHeight="1">
      <c r="B19" s="216"/>
      <c r="C19" s="232"/>
    </row>
    <row r="20" ht="14.25" customHeight="1"/>
    <row r="21" ht="14.25" customHeight="1">
      <c r="B21" s="276" t="s">
        <v>372</v>
      </c>
      <c r="C21" s="231"/>
    </row>
    <row r="22" ht="14.25" customHeight="1">
      <c r="B22" s="216" t="s">
        <v>244</v>
      </c>
      <c r="C22" s="232">
        <v>3500.0</v>
      </c>
    </row>
    <row r="23" ht="14.25" customHeight="1">
      <c r="B23" s="216" t="s">
        <v>266</v>
      </c>
      <c r="C23" s="232">
        <v>500.0</v>
      </c>
      <c r="D23" s="165">
        <v>372.0</v>
      </c>
      <c r="E23" s="165" t="s">
        <v>373</v>
      </c>
    </row>
    <row r="24" ht="14.25" customHeight="1">
      <c r="B24" s="216" t="s">
        <v>369</v>
      </c>
      <c r="C24" s="232">
        <v>2827.0</v>
      </c>
      <c r="D24" s="165">
        <v>173.0</v>
      </c>
      <c r="E24" s="165" t="s">
        <v>374</v>
      </c>
    </row>
    <row r="25" ht="14.25" customHeight="1">
      <c r="B25" s="216"/>
      <c r="C25" s="232"/>
    </row>
    <row r="26" ht="14.25" customHeight="1"/>
    <row r="27" ht="14.25" customHeight="1">
      <c r="B27" s="279" t="s">
        <v>375</v>
      </c>
      <c r="C27" s="251"/>
    </row>
    <row r="28" ht="14.25" customHeight="1">
      <c r="B28" s="216" t="s">
        <v>244</v>
      </c>
      <c r="C28" s="232">
        <v>3500.0</v>
      </c>
    </row>
    <row r="29" ht="14.25" customHeight="1">
      <c r="B29" s="216" t="s">
        <v>266</v>
      </c>
      <c r="C29" s="232"/>
    </row>
    <row r="30" ht="14.25" customHeight="1">
      <c r="B30" s="216" t="s">
        <v>369</v>
      </c>
      <c r="C30" s="232">
        <v>3500.0</v>
      </c>
    </row>
    <row r="31" ht="14.25" customHeight="1"/>
    <row r="32" ht="14.25" customHeight="1">
      <c r="B32" s="279"/>
      <c r="C32" s="251"/>
    </row>
    <row r="33" ht="14.25" customHeight="1">
      <c r="B33" s="216"/>
      <c r="C33" s="232"/>
    </row>
    <row r="34" ht="14.25" customHeight="1">
      <c r="B34" s="216"/>
      <c r="C34" s="232"/>
    </row>
    <row r="35" ht="14.25" customHeight="1">
      <c r="B35" s="216"/>
      <c r="C35" s="232"/>
    </row>
    <row r="36" ht="14.25" customHeight="1"/>
    <row r="37" ht="14.25" customHeight="1">
      <c r="B37" s="279" t="s">
        <v>376</v>
      </c>
      <c r="C37" s="251"/>
    </row>
    <row r="38" ht="14.25" customHeight="1">
      <c r="B38" s="216" t="s">
        <v>244</v>
      </c>
      <c r="C38" s="232">
        <v>3500.0</v>
      </c>
    </row>
    <row r="39" ht="14.25" customHeight="1">
      <c r="B39" s="216" t="s">
        <v>266</v>
      </c>
      <c r="C39" s="232">
        <v>1241.01</v>
      </c>
    </row>
    <row r="40" ht="14.25" customHeight="1">
      <c r="B40" s="216" t="s">
        <v>369</v>
      </c>
      <c r="C40" s="232">
        <f>C38-C39</f>
        <v>2258.99</v>
      </c>
      <c r="E40" s="165">
        <v>500.0</v>
      </c>
      <c r="F40" s="165" t="s">
        <v>377</v>
      </c>
    </row>
    <row r="41" ht="14.25" customHeight="1"/>
    <row r="42" ht="14.25" customHeight="1">
      <c r="B42" s="279" t="s">
        <v>378</v>
      </c>
      <c r="C42" s="251"/>
    </row>
    <row r="43" ht="14.25" customHeight="1">
      <c r="B43" s="216" t="s">
        <v>244</v>
      </c>
      <c r="C43" s="232">
        <v>3500.0</v>
      </c>
    </row>
    <row r="44" ht="14.25" customHeight="1">
      <c r="B44" s="216" t="s">
        <v>266</v>
      </c>
      <c r="C44" s="232"/>
    </row>
    <row r="45" ht="14.25" customHeight="1">
      <c r="B45" s="216" t="s">
        <v>369</v>
      </c>
      <c r="C45" s="232">
        <f>C43-C44</f>
        <v>3500</v>
      </c>
    </row>
    <row r="46" ht="14.25" customHeight="1"/>
    <row r="47" ht="14.25" customHeight="1"/>
    <row r="48" ht="14.25" customHeight="1">
      <c r="B48" s="279" t="s">
        <v>378</v>
      </c>
      <c r="C48" s="251"/>
    </row>
    <row r="49" ht="14.25" customHeight="1">
      <c r="B49" s="216" t="s">
        <v>244</v>
      </c>
      <c r="C49" s="232">
        <v>3500.0</v>
      </c>
      <c r="F49" s="233"/>
    </row>
    <row r="50" ht="14.25" customHeight="1">
      <c r="B50" s="216" t="s">
        <v>266</v>
      </c>
      <c r="C50" s="232"/>
      <c r="F50" s="233"/>
    </row>
    <row r="51" ht="14.25" customHeight="1">
      <c r="B51" s="216" t="s">
        <v>369</v>
      </c>
      <c r="C51" s="232">
        <f>C49-C50</f>
        <v>3500</v>
      </c>
    </row>
    <row r="52" ht="14.25" customHeight="1"/>
    <row r="53" ht="14.25" customHeight="1"/>
    <row r="54" ht="14.25" customHeight="1">
      <c r="B54" s="279" t="s">
        <v>379</v>
      </c>
      <c r="C54" s="251"/>
      <c r="E54" s="165" t="s">
        <v>380</v>
      </c>
    </row>
    <row r="55" ht="14.25" customHeight="1">
      <c r="B55" s="216" t="s">
        <v>244</v>
      </c>
      <c r="C55" s="232">
        <v>3500.0</v>
      </c>
      <c r="E55" s="165">
        <v>185.07</v>
      </c>
    </row>
    <row r="56" ht="14.25" customHeight="1">
      <c r="B56" s="216" t="s">
        <v>266</v>
      </c>
      <c r="C56" s="232">
        <v>56.0</v>
      </c>
      <c r="E56" s="165">
        <v>182.06</v>
      </c>
    </row>
    <row r="57" ht="14.25" customHeight="1">
      <c r="B57" s="216" t="s">
        <v>369</v>
      </c>
      <c r="C57" s="232">
        <f>C55-C56</f>
        <v>3444</v>
      </c>
    </row>
    <row r="58" ht="14.25" customHeight="1"/>
    <row r="59" ht="14.25" customHeight="1">
      <c r="A59" s="249" t="s">
        <v>230</v>
      </c>
      <c r="B59" s="250"/>
      <c r="C59" s="250"/>
      <c r="D59" s="250"/>
      <c r="E59" s="250"/>
      <c r="F59" s="250"/>
      <c r="G59" s="250"/>
      <c r="H59" s="251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 ht="14.25" customHeight="1">
      <c r="B60" s="279" t="s">
        <v>381</v>
      </c>
      <c r="C60" s="251"/>
    </row>
    <row r="61" ht="14.25" customHeight="1">
      <c r="B61" s="216" t="s">
        <v>244</v>
      </c>
      <c r="C61" s="232">
        <v>3500.0</v>
      </c>
    </row>
    <row r="62" ht="14.25" customHeight="1">
      <c r="B62" s="216" t="s">
        <v>266</v>
      </c>
      <c r="C62" s="232">
        <v>1302.0</v>
      </c>
      <c r="E62" s="165" t="s">
        <v>382</v>
      </c>
    </row>
    <row r="63" ht="14.25" customHeight="1">
      <c r="B63" s="216" t="s">
        <v>369</v>
      </c>
      <c r="C63" s="232">
        <f>C61-C62</f>
        <v>2198</v>
      </c>
    </row>
    <row r="64" ht="14.25" customHeight="1"/>
    <row r="65" ht="14.25" customHeight="1">
      <c r="A65" s="249" t="s">
        <v>383</v>
      </c>
      <c r="B65" s="250"/>
      <c r="C65" s="250"/>
      <c r="D65" s="250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 ht="14.25" customHeight="1">
      <c r="B66" s="279" t="s">
        <v>384</v>
      </c>
      <c r="C66" s="251"/>
      <c r="E66" s="165" t="s">
        <v>385</v>
      </c>
      <c r="F66" s="165" t="s">
        <v>347</v>
      </c>
      <c r="G66" s="247">
        <v>45047.0</v>
      </c>
    </row>
    <row r="67" ht="14.25" customHeight="1">
      <c r="B67" s="216" t="s">
        <v>244</v>
      </c>
      <c r="C67" s="232">
        <v>3500.0</v>
      </c>
      <c r="E67" s="165" t="s">
        <v>386</v>
      </c>
    </row>
    <row r="68" ht="14.25" customHeight="1">
      <c r="B68" s="216" t="s">
        <v>266</v>
      </c>
      <c r="C68" s="232">
        <v>1157.0</v>
      </c>
      <c r="E68" s="165" t="s">
        <v>387</v>
      </c>
    </row>
    <row r="69" ht="14.25" customHeight="1">
      <c r="B69" s="216" t="s">
        <v>369</v>
      </c>
      <c r="C69" s="232">
        <f>C67-C68</f>
        <v>2343</v>
      </c>
      <c r="E69" s="165" t="s">
        <v>388</v>
      </c>
    </row>
    <row r="70" ht="14.25" customHeight="1"/>
    <row r="71" ht="14.25" customHeight="1">
      <c r="A71" s="249" t="s">
        <v>389</v>
      </c>
      <c r="B71" s="250"/>
      <c r="C71" s="250"/>
      <c r="D71" s="250"/>
      <c r="E71" s="250"/>
      <c r="F71" s="250"/>
      <c r="G71" s="250"/>
      <c r="H71" s="251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 ht="14.25" customHeight="1">
      <c r="B72" s="216" t="s">
        <v>244</v>
      </c>
      <c r="C72" s="232">
        <v>3500.0</v>
      </c>
      <c r="E72" s="165" t="s">
        <v>390</v>
      </c>
      <c r="F72" s="165" t="s">
        <v>391</v>
      </c>
    </row>
    <row r="73" ht="14.25" customHeight="1">
      <c r="B73" s="216" t="s">
        <v>266</v>
      </c>
      <c r="C73" s="232">
        <v>1023.62</v>
      </c>
      <c r="E73" s="165" t="s">
        <v>392</v>
      </c>
      <c r="F73" s="165" t="s">
        <v>393</v>
      </c>
    </row>
    <row r="74" ht="14.25" customHeight="1">
      <c r="B74" s="216" t="s">
        <v>369</v>
      </c>
      <c r="C74" s="232">
        <f>C72-C73</f>
        <v>2476.38</v>
      </c>
      <c r="E74" s="165" t="s">
        <v>394</v>
      </c>
    </row>
    <row r="75" ht="14.25" customHeight="1">
      <c r="B75" s="165" t="s">
        <v>395</v>
      </c>
      <c r="C75" s="247">
        <v>45108.0</v>
      </c>
    </row>
    <row r="76" ht="14.25" customHeight="1">
      <c r="A76" s="249" t="s">
        <v>396</v>
      </c>
      <c r="B76" s="250"/>
      <c r="C76" s="250"/>
      <c r="D76" s="250"/>
      <c r="E76" s="250"/>
      <c r="F76" s="250"/>
      <c r="G76" s="250"/>
      <c r="H76" s="251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 ht="14.25" customHeight="1">
      <c r="B77" s="216" t="s">
        <v>244</v>
      </c>
      <c r="C77" s="232">
        <v>3500.0</v>
      </c>
      <c r="E77" s="165" t="s">
        <v>397</v>
      </c>
    </row>
    <row r="78" ht="14.25" customHeight="1">
      <c r="B78" s="216" t="s">
        <v>266</v>
      </c>
      <c r="C78" s="232">
        <v>719.46</v>
      </c>
      <c r="E78" s="165">
        <v>219.46</v>
      </c>
    </row>
    <row r="79" ht="14.25" customHeight="1">
      <c r="B79" s="216" t="s">
        <v>369</v>
      </c>
      <c r="C79" s="232">
        <f>C77-C78</f>
        <v>2780.54</v>
      </c>
    </row>
    <row r="80" ht="14.25" customHeight="1"/>
    <row r="81" ht="14.25" customHeight="1">
      <c r="A81" s="249" t="s">
        <v>398</v>
      </c>
      <c r="B81" s="250"/>
      <c r="C81" s="250"/>
      <c r="D81" s="250"/>
      <c r="E81" s="250"/>
      <c r="F81" s="250"/>
      <c r="G81" s="250"/>
      <c r="H81" s="251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 ht="14.25" customHeight="1">
      <c r="B82" s="216" t="s">
        <v>244</v>
      </c>
      <c r="C82" s="232">
        <v>3500.0</v>
      </c>
    </row>
    <row r="83" ht="14.25" customHeight="1">
      <c r="B83" s="216" t="s">
        <v>266</v>
      </c>
      <c r="C83" s="232"/>
    </row>
    <row r="84" ht="14.25" customHeight="1">
      <c r="B84" s="216" t="s">
        <v>369</v>
      </c>
      <c r="C84" s="232">
        <f>C82-C83</f>
        <v>3500</v>
      </c>
    </row>
    <row r="85" ht="14.25" customHeight="1"/>
    <row r="86" ht="14.25" customHeight="1">
      <c r="A86" s="249" t="s">
        <v>399</v>
      </c>
      <c r="B86" s="250"/>
      <c r="C86" s="250"/>
      <c r="D86" s="250"/>
      <c r="E86" s="250"/>
      <c r="F86" s="250"/>
      <c r="G86" s="250"/>
      <c r="H86" s="251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 ht="14.25" customHeight="1">
      <c r="B87" s="216" t="s">
        <v>244</v>
      </c>
      <c r="C87" s="232">
        <v>3500.0</v>
      </c>
    </row>
    <row r="88" ht="14.25" customHeight="1">
      <c r="B88" s="216" t="s">
        <v>266</v>
      </c>
      <c r="C88" s="232"/>
    </row>
    <row r="89" ht="14.25" customHeight="1">
      <c r="B89" s="216" t="s">
        <v>369</v>
      </c>
      <c r="C89" s="232">
        <f>C87-C88</f>
        <v>3500</v>
      </c>
    </row>
    <row r="90" ht="14.25" customHeight="1"/>
    <row r="91" ht="14.25" customHeight="1">
      <c r="A91" s="249" t="s">
        <v>400</v>
      </c>
      <c r="B91" s="250"/>
      <c r="C91" s="250"/>
      <c r="D91" s="250"/>
      <c r="E91" s="250"/>
      <c r="F91" s="250"/>
      <c r="G91" s="250"/>
      <c r="H91" s="251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 ht="14.25" customHeight="1">
      <c r="B92" s="216" t="s">
        <v>244</v>
      </c>
      <c r="C92" s="232">
        <v>3500.0</v>
      </c>
    </row>
    <row r="93" ht="14.25" customHeight="1">
      <c r="B93" s="216" t="s">
        <v>266</v>
      </c>
      <c r="C93" s="232"/>
    </row>
    <row r="94" ht="14.25" customHeight="1">
      <c r="B94" s="216" t="s">
        <v>369</v>
      </c>
      <c r="C94" s="232">
        <f>C92-C93</f>
        <v>3500</v>
      </c>
    </row>
    <row r="95" ht="14.25" customHeight="1"/>
    <row r="96" ht="14.25" customHeight="1">
      <c r="A96" s="249" t="s">
        <v>401</v>
      </c>
      <c r="B96" s="250"/>
      <c r="C96" s="250"/>
      <c r="D96" s="250"/>
      <c r="E96" s="250"/>
      <c r="F96" s="250"/>
      <c r="G96" s="250"/>
      <c r="H96" s="251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 ht="14.25" customHeight="1">
      <c r="B97" s="216" t="s">
        <v>244</v>
      </c>
      <c r="C97" s="232">
        <v>3500.0</v>
      </c>
    </row>
    <row r="98" ht="14.25" customHeight="1">
      <c r="B98" s="216" t="s">
        <v>266</v>
      </c>
      <c r="C98" s="232"/>
    </row>
    <row r="99" ht="14.25" customHeight="1">
      <c r="B99" s="216" t="s">
        <v>369</v>
      </c>
      <c r="C99" s="232">
        <f>C97-C98</f>
        <v>3500</v>
      </c>
    </row>
    <row r="100" ht="14.25" customHeight="1"/>
    <row r="101" ht="14.25" customHeight="1">
      <c r="A101" s="249" t="s">
        <v>402</v>
      </c>
      <c r="B101" s="250"/>
      <c r="C101" s="250"/>
      <c r="D101" s="250"/>
      <c r="E101" s="250"/>
      <c r="F101" s="250"/>
      <c r="G101" s="250"/>
      <c r="H101" s="251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 ht="14.25" customHeight="1">
      <c r="B102" s="216" t="s">
        <v>244</v>
      </c>
      <c r="C102" s="232">
        <v>3500.0</v>
      </c>
    </row>
    <row r="103" ht="14.25" customHeight="1">
      <c r="B103" s="216" t="s">
        <v>266</v>
      </c>
      <c r="C103" s="232"/>
    </row>
    <row r="104" ht="14.25" customHeight="1">
      <c r="B104" s="216" t="s">
        <v>369</v>
      </c>
      <c r="C104" s="232">
        <f>C102-C103</f>
        <v>3500</v>
      </c>
    </row>
    <row r="105" ht="14.25" customHeight="1"/>
    <row r="106" ht="14.25" customHeight="1">
      <c r="A106" s="272" t="s">
        <v>403</v>
      </c>
      <c r="B106" s="250"/>
      <c r="C106" s="250"/>
      <c r="D106" s="250"/>
      <c r="E106" s="250"/>
      <c r="F106" s="250"/>
      <c r="G106" s="250"/>
      <c r="H106" s="251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4.25" customHeight="1">
      <c r="B107" s="216" t="s">
        <v>244</v>
      </c>
      <c r="C107" s="232">
        <v>3500.0</v>
      </c>
    </row>
    <row r="108" ht="14.25" customHeight="1">
      <c r="B108" s="216" t="s">
        <v>266</v>
      </c>
      <c r="C108" s="232"/>
    </row>
    <row r="109" ht="14.25" customHeight="1">
      <c r="B109" s="216" t="s">
        <v>369</v>
      </c>
      <c r="C109" s="232">
        <f>C107-C108</f>
        <v>3500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1:H1"/>
    <mergeCell ref="B2:C2"/>
    <mergeCell ref="F2:H2"/>
    <mergeCell ref="F3:H3"/>
    <mergeCell ref="B9:C9"/>
    <mergeCell ref="B15:C15"/>
    <mergeCell ref="B21:C21"/>
    <mergeCell ref="B27:C27"/>
    <mergeCell ref="B32:C32"/>
    <mergeCell ref="B37:C37"/>
    <mergeCell ref="B42:C42"/>
    <mergeCell ref="B48:C48"/>
    <mergeCell ref="B54:C54"/>
    <mergeCell ref="A59:H59"/>
    <mergeCell ref="A91:H91"/>
    <mergeCell ref="A96:H96"/>
    <mergeCell ref="A101:H101"/>
    <mergeCell ref="A106:H106"/>
    <mergeCell ref="B60:C60"/>
    <mergeCell ref="A65:H65"/>
    <mergeCell ref="B66:C66"/>
    <mergeCell ref="A71:H71"/>
    <mergeCell ref="A76:H76"/>
    <mergeCell ref="A81:H81"/>
    <mergeCell ref="A86:H8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0.29"/>
    <col customWidth="1" min="3" max="7" width="8.71"/>
    <col customWidth="1" min="8" max="8" width="17.29"/>
    <col customWidth="1" min="9" max="9" width="13.86"/>
    <col customWidth="1" min="10" max="10" width="8.71"/>
    <col customWidth="1" min="11" max="11" width="18.71"/>
    <col customWidth="1" min="12" max="12" width="24.29"/>
    <col customWidth="1" min="13" max="26" width="8.71"/>
  </cols>
  <sheetData>
    <row r="1" ht="14.25" customHeight="1">
      <c r="A1" s="280" t="s">
        <v>404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ht="14.25" customHeight="1"/>
    <row r="3" ht="14.25" customHeight="1">
      <c r="B3" s="216" t="s">
        <v>214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/>
      <c r="K3" s="253" t="s">
        <v>291</v>
      </c>
      <c r="L3" s="231"/>
    </row>
    <row r="4" ht="14.25" customHeight="1">
      <c r="B4" s="219">
        <v>45047.0</v>
      </c>
      <c r="C4" s="220">
        <v>619.8</v>
      </c>
      <c r="D4" s="220">
        <v>626.6</v>
      </c>
      <c r="E4" s="220">
        <f t="shared" ref="E4:E34" si="1">D4-C4</f>
        <v>6.8</v>
      </c>
      <c r="F4" s="220">
        <f t="shared" ref="F4:F35" si="2">E4-10</f>
        <v>-3.2</v>
      </c>
      <c r="H4" s="216" t="s">
        <v>245</v>
      </c>
      <c r="I4" s="216"/>
      <c r="K4" s="216" t="s">
        <v>244</v>
      </c>
      <c r="L4" s="232">
        <v>1700.0</v>
      </c>
    </row>
    <row r="5" ht="14.25" customHeight="1">
      <c r="B5" s="219">
        <v>45048.0</v>
      </c>
      <c r="C5" s="220">
        <f t="shared" ref="C5:C6" si="3">D4</f>
        <v>626.6</v>
      </c>
      <c r="D5" s="220">
        <v>690.0</v>
      </c>
      <c r="E5" s="220">
        <f t="shared" si="1"/>
        <v>63.4</v>
      </c>
      <c r="F5" s="220">
        <f t="shared" si="2"/>
        <v>53.4</v>
      </c>
      <c r="H5" s="216" t="s">
        <v>247</v>
      </c>
      <c r="I5" s="216"/>
      <c r="K5" s="216" t="s">
        <v>266</v>
      </c>
      <c r="L5" s="232"/>
    </row>
    <row r="6" ht="14.25" customHeight="1">
      <c r="B6" s="219">
        <v>45049.0</v>
      </c>
      <c r="C6" s="220">
        <f t="shared" si="3"/>
        <v>690</v>
      </c>
      <c r="D6" s="220">
        <v>637.0</v>
      </c>
      <c r="E6" s="220">
        <f t="shared" si="1"/>
        <v>-53</v>
      </c>
      <c r="F6" s="220">
        <f t="shared" si="2"/>
        <v>-63</v>
      </c>
      <c r="H6" s="216" t="s">
        <v>249</v>
      </c>
      <c r="I6" s="232"/>
      <c r="K6" s="216" t="s">
        <v>246</v>
      </c>
      <c r="L6" s="232">
        <f>O6*O7</f>
        <v>0</v>
      </c>
    </row>
    <row r="7" ht="14.25" customHeight="1">
      <c r="B7" s="219">
        <v>45050.0</v>
      </c>
      <c r="C7" s="220"/>
      <c r="D7" s="220"/>
      <c r="E7" s="220">
        <f t="shared" si="1"/>
        <v>0</v>
      </c>
      <c r="F7" s="220">
        <f t="shared" si="2"/>
        <v>-10</v>
      </c>
      <c r="H7" s="216" t="s">
        <v>251</v>
      </c>
      <c r="I7" s="216"/>
      <c r="K7" s="216" t="s">
        <v>248</v>
      </c>
      <c r="L7" s="232">
        <f>O8*O9</f>
        <v>0</v>
      </c>
    </row>
    <row r="8" ht="14.25" customHeight="1">
      <c r="B8" s="219">
        <v>45051.0</v>
      </c>
      <c r="C8" s="220">
        <v>637.0</v>
      </c>
      <c r="D8" s="220">
        <v>645.2</v>
      </c>
      <c r="E8" s="220">
        <f t="shared" si="1"/>
        <v>8.2</v>
      </c>
      <c r="F8" s="220">
        <f t="shared" si="2"/>
        <v>-1.8</v>
      </c>
      <c r="H8" s="216" t="s">
        <v>249</v>
      </c>
      <c r="I8" s="232"/>
      <c r="K8" s="216" t="s">
        <v>250</v>
      </c>
      <c r="L8" s="232">
        <f>O10*100</f>
        <v>0</v>
      </c>
    </row>
    <row r="9" ht="14.25" customHeight="1">
      <c r="B9" s="254">
        <v>45052.0</v>
      </c>
      <c r="C9" s="255">
        <f t="shared" ref="C9:C10" si="4">D8</f>
        <v>645.2</v>
      </c>
      <c r="D9" s="255">
        <v>655.1</v>
      </c>
      <c r="E9" s="255">
        <f t="shared" si="1"/>
        <v>9.9</v>
      </c>
      <c r="F9" s="255">
        <f t="shared" si="2"/>
        <v>-0.1</v>
      </c>
      <c r="H9" s="216" t="s">
        <v>250</v>
      </c>
      <c r="I9" s="216"/>
      <c r="K9" s="216" t="s">
        <v>252</v>
      </c>
      <c r="L9" s="232"/>
    </row>
    <row r="10" ht="14.25" customHeight="1">
      <c r="B10" s="254">
        <v>45053.0</v>
      </c>
      <c r="C10" s="255">
        <f t="shared" si="4"/>
        <v>655.1</v>
      </c>
      <c r="D10" s="255">
        <v>679.4</v>
      </c>
      <c r="E10" s="255">
        <f t="shared" si="1"/>
        <v>24.3</v>
      </c>
      <c r="F10" s="255">
        <f t="shared" si="2"/>
        <v>14.3</v>
      </c>
      <c r="K10" s="216" t="s">
        <v>268</v>
      </c>
      <c r="L10" s="232">
        <f>L4+L6+L7+L8-L5-L9</f>
        <v>1700</v>
      </c>
    </row>
    <row r="11" ht="14.25" customHeight="1">
      <c r="B11" s="219">
        <v>45054.0</v>
      </c>
      <c r="C11" s="220"/>
      <c r="D11" s="220"/>
      <c r="E11" s="220">
        <f t="shared" si="1"/>
        <v>0</v>
      </c>
      <c r="F11" s="220">
        <f t="shared" si="2"/>
        <v>-10</v>
      </c>
      <c r="K11" s="216" t="s">
        <v>269</v>
      </c>
      <c r="L11" s="229"/>
    </row>
    <row r="12" ht="14.25" customHeight="1">
      <c r="B12" s="219">
        <v>45055.0</v>
      </c>
      <c r="C12" s="220">
        <v>664.3</v>
      </c>
      <c r="D12" s="220">
        <v>673.5</v>
      </c>
      <c r="E12" s="220">
        <f t="shared" si="1"/>
        <v>9.2</v>
      </c>
      <c r="F12" s="220">
        <f t="shared" si="2"/>
        <v>-0.8</v>
      </c>
    </row>
    <row r="13" ht="14.25" customHeight="1">
      <c r="B13" s="219">
        <v>45056.0</v>
      </c>
      <c r="C13" s="220">
        <f>D12</f>
        <v>673.5</v>
      </c>
      <c r="D13" s="220">
        <v>679.4</v>
      </c>
      <c r="E13" s="220">
        <f t="shared" si="1"/>
        <v>5.9</v>
      </c>
      <c r="F13" s="220">
        <f t="shared" si="2"/>
        <v>-4.1</v>
      </c>
    </row>
    <row r="14" ht="14.25" customHeight="1">
      <c r="B14" s="219">
        <v>45057.0</v>
      </c>
      <c r="C14" s="220"/>
      <c r="D14" s="220"/>
      <c r="E14" s="220">
        <f t="shared" si="1"/>
        <v>0</v>
      </c>
      <c r="F14" s="220">
        <f t="shared" si="2"/>
        <v>-10</v>
      </c>
    </row>
    <row r="15" ht="14.25" customHeight="1">
      <c r="B15" s="219">
        <v>45058.0</v>
      </c>
      <c r="C15" s="220">
        <v>379.4</v>
      </c>
      <c r="D15" s="220">
        <v>684.8</v>
      </c>
      <c r="E15" s="220">
        <f t="shared" si="1"/>
        <v>305.4</v>
      </c>
      <c r="F15" s="220">
        <f t="shared" si="2"/>
        <v>295.4</v>
      </c>
    </row>
    <row r="16" ht="14.25" customHeight="1">
      <c r="B16" s="254">
        <v>45059.0</v>
      </c>
      <c r="C16" s="255">
        <f t="shared" ref="C16:C20" si="5">D15</f>
        <v>684.8</v>
      </c>
      <c r="D16" s="255">
        <v>689.5</v>
      </c>
      <c r="E16" s="255">
        <f t="shared" si="1"/>
        <v>4.7</v>
      </c>
      <c r="F16" s="255">
        <f t="shared" si="2"/>
        <v>-5.3</v>
      </c>
    </row>
    <row r="17" ht="14.25" customHeight="1">
      <c r="B17" s="254">
        <v>45060.0</v>
      </c>
      <c r="C17" s="255">
        <f t="shared" si="5"/>
        <v>689.5</v>
      </c>
      <c r="D17" s="255">
        <v>693.5</v>
      </c>
      <c r="E17" s="255">
        <f t="shared" si="1"/>
        <v>4</v>
      </c>
      <c r="F17" s="255">
        <f t="shared" si="2"/>
        <v>-6</v>
      </c>
    </row>
    <row r="18" ht="14.25" customHeight="1">
      <c r="B18" s="219">
        <v>45061.0</v>
      </c>
      <c r="C18" s="220">
        <f t="shared" si="5"/>
        <v>693.5</v>
      </c>
      <c r="D18" s="220">
        <v>703.5</v>
      </c>
      <c r="E18" s="220">
        <f t="shared" si="1"/>
        <v>10</v>
      </c>
      <c r="F18" s="220">
        <f t="shared" si="2"/>
        <v>0</v>
      </c>
    </row>
    <row r="19" ht="14.25" customHeight="1">
      <c r="B19" s="219">
        <v>45062.0</v>
      </c>
      <c r="C19" s="220">
        <f t="shared" si="5"/>
        <v>703.5</v>
      </c>
      <c r="D19" s="220">
        <v>713.0</v>
      </c>
      <c r="E19" s="220">
        <f t="shared" si="1"/>
        <v>9.5</v>
      </c>
      <c r="F19" s="220">
        <f t="shared" si="2"/>
        <v>-0.5</v>
      </c>
    </row>
    <row r="20" ht="14.25" customHeight="1">
      <c r="B20" s="219">
        <v>45063.0</v>
      </c>
      <c r="C20" s="220">
        <f t="shared" si="5"/>
        <v>713</v>
      </c>
      <c r="D20" s="220">
        <v>718.8</v>
      </c>
      <c r="E20" s="220">
        <f t="shared" si="1"/>
        <v>5.8</v>
      </c>
      <c r="F20" s="220">
        <f t="shared" si="2"/>
        <v>-4.2</v>
      </c>
    </row>
    <row r="21" ht="14.25" customHeight="1">
      <c r="B21" s="219">
        <v>45064.0</v>
      </c>
      <c r="C21" s="220"/>
      <c r="D21" s="220"/>
      <c r="E21" s="220">
        <f t="shared" si="1"/>
        <v>0</v>
      </c>
      <c r="F21" s="220">
        <f t="shared" si="2"/>
        <v>-10</v>
      </c>
    </row>
    <row r="22" ht="14.25" customHeight="1">
      <c r="B22" s="219">
        <v>45065.0</v>
      </c>
      <c r="C22" s="220">
        <v>718.8</v>
      </c>
      <c r="D22" s="220">
        <v>729.2</v>
      </c>
      <c r="E22" s="220">
        <f t="shared" si="1"/>
        <v>10.4</v>
      </c>
      <c r="F22" s="220">
        <f t="shared" si="2"/>
        <v>0.4</v>
      </c>
    </row>
    <row r="23" ht="14.25" customHeight="1">
      <c r="B23" s="254">
        <v>45066.0</v>
      </c>
      <c r="C23" s="255">
        <f t="shared" ref="C23:C26" si="6">D22</f>
        <v>729.2</v>
      </c>
      <c r="D23" s="255">
        <v>740.1</v>
      </c>
      <c r="E23" s="255">
        <f t="shared" si="1"/>
        <v>10.9</v>
      </c>
      <c r="F23" s="255">
        <f t="shared" si="2"/>
        <v>0.9</v>
      </c>
    </row>
    <row r="24" ht="14.25" customHeight="1">
      <c r="B24" s="254">
        <v>45067.0</v>
      </c>
      <c r="C24" s="255">
        <f t="shared" si="6"/>
        <v>740.1</v>
      </c>
      <c r="D24" s="255">
        <v>750.4</v>
      </c>
      <c r="E24" s="255">
        <f t="shared" si="1"/>
        <v>10.3</v>
      </c>
      <c r="F24" s="255">
        <f t="shared" si="2"/>
        <v>0.3</v>
      </c>
    </row>
    <row r="25" ht="14.25" customHeight="1">
      <c r="B25" s="219">
        <v>45068.0</v>
      </c>
      <c r="C25" s="220">
        <f t="shared" si="6"/>
        <v>750.4</v>
      </c>
      <c r="D25" s="220">
        <v>760.6</v>
      </c>
      <c r="E25" s="220">
        <f t="shared" si="1"/>
        <v>10.2</v>
      </c>
      <c r="F25" s="220">
        <f t="shared" si="2"/>
        <v>0.2</v>
      </c>
    </row>
    <row r="26" ht="14.25" customHeight="1">
      <c r="B26" s="219">
        <v>45069.0</v>
      </c>
      <c r="C26" s="220">
        <f t="shared" si="6"/>
        <v>760.6</v>
      </c>
      <c r="D26" s="237">
        <v>762.5</v>
      </c>
      <c r="E26" s="220">
        <f t="shared" si="1"/>
        <v>1.9</v>
      </c>
      <c r="F26" s="220">
        <f t="shared" si="2"/>
        <v>-8.1</v>
      </c>
    </row>
    <row r="27" ht="14.25" customHeight="1">
      <c r="B27" s="219">
        <v>45070.0</v>
      </c>
      <c r="C27" s="237">
        <v>766.9</v>
      </c>
      <c r="D27" s="220">
        <v>773.1</v>
      </c>
      <c r="E27" s="220">
        <f t="shared" si="1"/>
        <v>6.2</v>
      </c>
      <c r="F27" s="220">
        <f t="shared" si="2"/>
        <v>-3.8</v>
      </c>
    </row>
    <row r="28" ht="14.25" customHeight="1">
      <c r="B28" s="219">
        <v>45071.0</v>
      </c>
      <c r="C28" s="220"/>
      <c r="D28" s="220"/>
      <c r="E28" s="220">
        <f t="shared" si="1"/>
        <v>0</v>
      </c>
      <c r="F28" s="220">
        <f t="shared" si="2"/>
        <v>-10</v>
      </c>
    </row>
    <row r="29" ht="14.25" customHeight="1">
      <c r="B29" s="219">
        <v>45072.0</v>
      </c>
      <c r="C29" s="220">
        <v>773.1</v>
      </c>
      <c r="D29" s="220">
        <v>780.3</v>
      </c>
      <c r="E29" s="220">
        <f t="shared" si="1"/>
        <v>7.2</v>
      </c>
      <c r="F29" s="220">
        <f t="shared" si="2"/>
        <v>-2.8</v>
      </c>
    </row>
    <row r="30" ht="14.25" customHeight="1">
      <c r="B30" s="254">
        <v>45073.0</v>
      </c>
      <c r="C30" s="255">
        <f t="shared" ref="C30:C34" si="7">D29</f>
        <v>780.3</v>
      </c>
      <c r="D30" s="255">
        <v>787.9</v>
      </c>
      <c r="E30" s="255">
        <f t="shared" si="1"/>
        <v>7.6</v>
      </c>
      <c r="F30" s="255">
        <f t="shared" si="2"/>
        <v>-2.4</v>
      </c>
    </row>
    <row r="31" ht="14.25" customHeight="1">
      <c r="B31" s="254">
        <v>45074.0</v>
      </c>
      <c r="C31" s="255">
        <f t="shared" si="7"/>
        <v>787.9</v>
      </c>
      <c r="D31" s="255">
        <v>796.4</v>
      </c>
      <c r="E31" s="255">
        <f t="shared" si="1"/>
        <v>8.5</v>
      </c>
      <c r="F31" s="255">
        <f t="shared" si="2"/>
        <v>-1.5</v>
      </c>
    </row>
    <row r="32" ht="14.25" customHeight="1">
      <c r="B32" s="219">
        <v>45075.0</v>
      </c>
      <c r="C32" s="220">
        <f t="shared" si="7"/>
        <v>796.4</v>
      </c>
      <c r="D32" s="220"/>
      <c r="E32" s="220">
        <f t="shared" si="1"/>
        <v>-796.4</v>
      </c>
      <c r="F32" s="220">
        <f t="shared" si="2"/>
        <v>-806.4</v>
      </c>
    </row>
    <row r="33" ht="14.25" customHeight="1">
      <c r="B33" s="219">
        <v>45076.0</v>
      </c>
      <c r="C33" s="220" t="str">
        <f t="shared" si="7"/>
        <v/>
      </c>
      <c r="D33" s="220"/>
      <c r="E33" s="220">
        <f t="shared" si="1"/>
        <v>0</v>
      </c>
      <c r="F33" s="220">
        <f t="shared" si="2"/>
        <v>-10</v>
      </c>
    </row>
    <row r="34" ht="14.25" customHeight="1">
      <c r="B34" s="219">
        <v>45077.0</v>
      </c>
      <c r="C34" s="220" t="str">
        <f t="shared" si="7"/>
        <v/>
      </c>
      <c r="D34" s="220"/>
      <c r="E34" s="220">
        <f t="shared" si="1"/>
        <v>0</v>
      </c>
      <c r="F34" s="220">
        <f t="shared" si="2"/>
        <v>-10</v>
      </c>
    </row>
    <row r="35" ht="14.25" customHeight="1">
      <c r="B35" s="216"/>
      <c r="C35" s="223" t="s">
        <v>221</v>
      </c>
      <c r="D35" s="223"/>
      <c r="E35" s="216">
        <f>SUM(E4:E34)</f>
        <v>-309.1</v>
      </c>
      <c r="F35" s="216">
        <f t="shared" si="2"/>
        <v>-319.1</v>
      </c>
    </row>
    <row r="36" ht="13.5" customHeight="1"/>
    <row r="37" ht="14.25" customHeight="1">
      <c r="A37" s="280"/>
      <c r="B37" s="280" t="s">
        <v>405</v>
      </c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ht="14.25" customHeight="1"/>
    <row r="39" ht="14.25" customHeight="1">
      <c r="B39" s="216" t="s">
        <v>214</v>
      </c>
      <c r="C39" s="216" t="s">
        <v>215</v>
      </c>
      <c r="D39" s="216" t="s">
        <v>216</v>
      </c>
      <c r="E39" s="216" t="s">
        <v>217</v>
      </c>
      <c r="F39" s="216" t="s">
        <v>218</v>
      </c>
      <c r="H39" s="216" t="s">
        <v>238</v>
      </c>
      <c r="I39" s="216"/>
      <c r="K39" s="253" t="s">
        <v>295</v>
      </c>
      <c r="L39" s="231"/>
    </row>
    <row r="40" ht="14.25" customHeight="1">
      <c r="B40" s="219">
        <v>45078.0</v>
      </c>
      <c r="C40" s="220"/>
      <c r="D40" s="220"/>
      <c r="E40" s="220">
        <f t="shared" ref="E40:E70" si="8">D40-C40</f>
        <v>0</v>
      </c>
      <c r="F40" s="220">
        <f t="shared" ref="F40:F71" si="9">E40-10</f>
        <v>-10</v>
      </c>
      <c r="H40" s="216" t="s">
        <v>245</v>
      </c>
      <c r="I40" s="216"/>
      <c r="K40" s="216" t="s">
        <v>244</v>
      </c>
      <c r="L40" s="232">
        <v>1700.0</v>
      </c>
    </row>
    <row r="41" ht="14.25" customHeight="1">
      <c r="B41" s="219">
        <v>45079.0</v>
      </c>
      <c r="C41" s="220" t="str">
        <f t="shared" ref="C41:C70" si="10">D40</f>
        <v/>
      </c>
      <c r="D41" s="220"/>
      <c r="E41" s="220">
        <f t="shared" si="8"/>
        <v>0</v>
      </c>
      <c r="F41" s="220">
        <f t="shared" si="9"/>
        <v>-10</v>
      </c>
      <c r="H41" s="216" t="s">
        <v>247</v>
      </c>
      <c r="I41" s="216"/>
      <c r="K41" s="216" t="s">
        <v>266</v>
      </c>
      <c r="L41" s="232"/>
    </row>
    <row r="42" ht="14.25" customHeight="1">
      <c r="B42" s="254">
        <v>45080.0</v>
      </c>
      <c r="C42" s="255" t="str">
        <f t="shared" si="10"/>
        <v/>
      </c>
      <c r="D42" s="255"/>
      <c r="E42" s="255">
        <f t="shared" si="8"/>
        <v>0</v>
      </c>
      <c r="F42" s="255">
        <f t="shared" si="9"/>
        <v>-10</v>
      </c>
      <c r="H42" s="216" t="s">
        <v>249</v>
      </c>
      <c r="I42" s="232"/>
      <c r="K42" s="216" t="s">
        <v>246</v>
      </c>
      <c r="L42" s="232">
        <f>O42*O43</f>
        <v>0</v>
      </c>
    </row>
    <row r="43" ht="14.25" customHeight="1">
      <c r="B43" s="254">
        <v>45081.0</v>
      </c>
      <c r="C43" s="255" t="str">
        <f t="shared" si="10"/>
        <v/>
      </c>
      <c r="D43" s="255"/>
      <c r="E43" s="255">
        <f t="shared" si="8"/>
        <v>0</v>
      </c>
      <c r="F43" s="255">
        <f t="shared" si="9"/>
        <v>-10</v>
      </c>
      <c r="H43" s="216" t="s">
        <v>251</v>
      </c>
      <c r="I43" s="216"/>
      <c r="K43" s="216" t="s">
        <v>248</v>
      </c>
      <c r="L43" s="232">
        <f>O44*O45</f>
        <v>0</v>
      </c>
    </row>
    <row r="44" ht="14.25" customHeight="1">
      <c r="B44" s="219">
        <v>45082.0</v>
      </c>
      <c r="C44" s="220" t="str">
        <f t="shared" si="10"/>
        <v/>
      </c>
      <c r="D44" s="220"/>
      <c r="E44" s="220">
        <f t="shared" si="8"/>
        <v>0</v>
      </c>
      <c r="F44" s="220">
        <f t="shared" si="9"/>
        <v>-10</v>
      </c>
      <c r="H44" s="216" t="s">
        <v>249</v>
      </c>
      <c r="I44" s="232"/>
      <c r="K44" s="216" t="s">
        <v>250</v>
      </c>
      <c r="L44" s="232">
        <f>O46*100</f>
        <v>0</v>
      </c>
    </row>
    <row r="45" ht="14.25" customHeight="1">
      <c r="B45" s="219">
        <v>45083.0</v>
      </c>
      <c r="C45" s="220" t="str">
        <f t="shared" si="10"/>
        <v/>
      </c>
      <c r="D45" s="220"/>
      <c r="E45" s="220">
        <f t="shared" si="8"/>
        <v>0</v>
      </c>
      <c r="F45" s="220">
        <f t="shared" si="9"/>
        <v>-10</v>
      </c>
      <c r="H45" s="216" t="s">
        <v>250</v>
      </c>
      <c r="I45" s="232"/>
      <c r="K45" s="216" t="s">
        <v>252</v>
      </c>
      <c r="L45" s="232"/>
    </row>
    <row r="46" ht="14.25" customHeight="1">
      <c r="B46" s="219">
        <v>45084.0</v>
      </c>
      <c r="C46" s="220" t="str">
        <f t="shared" si="10"/>
        <v/>
      </c>
      <c r="D46" s="220"/>
      <c r="E46" s="220">
        <f t="shared" si="8"/>
        <v>0</v>
      </c>
      <c r="F46" s="220">
        <f t="shared" si="9"/>
        <v>-10</v>
      </c>
      <c r="K46" s="216" t="s">
        <v>268</v>
      </c>
      <c r="L46" s="232">
        <f>L40+L42+L43+L44-L41-L45</f>
        <v>1700</v>
      </c>
    </row>
    <row r="47" ht="14.25" customHeight="1">
      <c r="B47" s="219">
        <v>45085.0</v>
      </c>
      <c r="C47" s="220" t="str">
        <f t="shared" si="10"/>
        <v/>
      </c>
      <c r="D47" s="220"/>
      <c r="E47" s="220">
        <f t="shared" si="8"/>
        <v>0</v>
      </c>
      <c r="F47" s="220">
        <f t="shared" si="9"/>
        <v>-10</v>
      </c>
      <c r="K47" s="216" t="s">
        <v>269</v>
      </c>
      <c r="L47" s="229"/>
    </row>
    <row r="48" ht="14.25" customHeight="1">
      <c r="B48" s="219">
        <v>45086.0</v>
      </c>
      <c r="C48" s="220" t="str">
        <f t="shared" si="10"/>
        <v/>
      </c>
      <c r="D48" s="220"/>
      <c r="E48" s="220">
        <f t="shared" si="8"/>
        <v>0</v>
      </c>
      <c r="F48" s="220">
        <f t="shared" si="9"/>
        <v>-10</v>
      </c>
    </row>
    <row r="49" ht="14.25" customHeight="1">
      <c r="B49" s="254">
        <v>45087.0</v>
      </c>
      <c r="C49" s="255" t="str">
        <f t="shared" si="10"/>
        <v/>
      </c>
      <c r="D49" s="255"/>
      <c r="E49" s="255">
        <f t="shared" si="8"/>
        <v>0</v>
      </c>
      <c r="F49" s="255">
        <f t="shared" si="9"/>
        <v>-10</v>
      </c>
    </row>
    <row r="50" ht="14.25" customHeight="1">
      <c r="B50" s="254">
        <v>45088.0</v>
      </c>
      <c r="C50" s="255" t="str">
        <f t="shared" si="10"/>
        <v/>
      </c>
      <c r="D50" s="255"/>
      <c r="E50" s="255">
        <f t="shared" si="8"/>
        <v>0</v>
      </c>
      <c r="F50" s="255">
        <f t="shared" si="9"/>
        <v>-10</v>
      </c>
    </row>
    <row r="51" ht="14.25" customHeight="1">
      <c r="B51" s="219">
        <v>45089.0</v>
      </c>
      <c r="C51" s="220" t="str">
        <f t="shared" si="10"/>
        <v/>
      </c>
      <c r="D51" s="220"/>
      <c r="E51" s="220">
        <f t="shared" si="8"/>
        <v>0</v>
      </c>
      <c r="F51" s="220">
        <f t="shared" si="9"/>
        <v>-10</v>
      </c>
    </row>
    <row r="52" ht="14.25" customHeight="1">
      <c r="B52" s="219">
        <v>45090.0</v>
      </c>
      <c r="C52" s="220" t="str">
        <f t="shared" si="10"/>
        <v/>
      </c>
      <c r="D52" s="220"/>
      <c r="E52" s="220">
        <f t="shared" si="8"/>
        <v>0</v>
      </c>
      <c r="F52" s="220">
        <f t="shared" si="9"/>
        <v>-10</v>
      </c>
    </row>
    <row r="53" ht="14.25" customHeight="1">
      <c r="B53" s="219">
        <v>45091.0</v>
      </c>
      <c r="C53" s="220" t="str">
        <f t="shared" si="10"/>
        <v/>
      </c>
      <c r="D53" s="220"/>
      <c r="E53" s="220">
        <f t="shared" si="8"/>
        <v>0</v>
      </c>
      <c r="F53" s="220">
        <f t="shared" si="9"/>
        <v>-10</v>
      </c>
    </row>
    <row r="54" ht="14.25" customHeight="1">
      <c r="B54" s="219">
        <v>45092.0</v>
      </c>
      <c r="C54" s="220" t="str">
        <f t="shared" si="10"/>
        <v/>
      </c>
      <c r="D54" s="220"/>
      <c r="E54" s="220">
        <f t="shared" si="8"/>
        <v>0</v>
      </c>
      <c r="F54" s="220">
        <f t="shared" si="9"/>
        <v>-10</v>
      </c>
    </row>
    <row r="55" ht="14.25" customHeight="1">
      <c r="B55" s="219">
        <v>45093.0</v>
      </c>
      <c r="C55" s="220" t="str">
        <f t="shared" si="10"/>
        <v/>
      </c>
      <c r="D55" s="220"/>
      <c r="E55" s="220">
        <f t="shared" si="8"/>
        <v>0</v>
      </c>
      <c r="F55" s="220">
        <f t="shared" si="9"/>
        <v>-10</v>
      </c>
    </row>
    <row r="56" ht="14.25" customHeight="1">
      <c r="B56" s="254">
        <v>45094.0</v>
      </c>
      <c r="C56" s="255" t="str">
        <f t="shared" si="10"/>
        <v/>
      </c>
      <c r="D56" s="255"/>
      <c r="E56" s="255">
        <f t="shared" si="8"/>
        <v>0</v>
      </c>
      <c r="F56" s="255">
        <f t="shared" si="9"/>
        <v>-10</v>
      </c>
    </row>
    <row r="57" ht="14.25" customHeight="1">
      <c r="B57" s="254">
        <v>45095.0</v>
      </c>
      <c r="C57" s="255" t="str">
        <f t="shared" si="10"/>
        <v/>
      </c>
      <c r="D57" s="255"/>
      <c r="E57" s="255">
        <f t="shared" si="8"/>
        <v>0</v>
      </c>
      <c r="F57" s="255">
        <f t="shared" si="9"/>
        <v>-10</v>
      </c>
    </row>
    <row r="58" ht="14.25" customHeight="1">
      <c r="B58" s="219">
        <v>45096.0</v>
      </c>
      <c r="C58" s="220" t="str">
        <f t="shared" si="10"/>
        <v/>
      </c>
      <c r="D58" s="220"/>
      <c r="E58" s="220">
        <f t="shared" si="8"/>
        <v>0</v>
      </c>
      <c r="F58" s="220">
        <f t="shared" si="9"/>
        <v>-10</v>
      </c>
    </row>
    <row r="59" ht="14.25" customHeight="1">
      <c r="B59" s="219">
        <v>45097.0</v>
      </c>
      <c r="C59" s="220" t="str">
        <f t="shared" si="10"/>
        <v/>
      </c>
      <c r="D59" s="220"/>
      <c r="E59" s="220">
        <f t="shared" si="8"/>
        <v>0</v>
      </c>
      <c r="F59" s="220">
        <f t="shared" si="9"/>
        <v>-10</v>
      </c>
    </row>
    <row r="60" ht="14.25" customHeight="1">
      <c r="B60" s="219">
        <v>45098.0</v>
      </c>
      <c r="C60" s="220" t="str">
        <f t="shared" si="10"/>
        <v/>
      </c>
      <c r="D60" s="220"/>
      <c r="E60" s="220">
        <f t="shared" si="8"/>
        <v>0</v>
      </c>
      <c r="F60" s="220">
        <f t="shared" si="9"/>
        <v>-10</v>
      </c>
    </row>
    <row r="61" ht="14.25" customHeight="1">
      <c r="B61" s="219">
        <v>45099.0</v>
      </c>
      <c r="C61" s="220" t="str">
        <f t="shared" si="10"/>
        <v/>
      </c>
      <c r="D61" s="220"/>
      <c r="E61" s="220">
        <f t="shared" si="8"/>
        <v>0</v>
      </c>
      <c r="F61" s="220">
        <f t="shared" si="9"/>
        <v>-10</v>
      </c>
    </row>
    <row r="62" ht="14.25" customHeight="1">
      <c r="B62" s="219">
        <v>45100.0</v>
      </c>
      <c r="C62" s="220" t="str">
        <f t="shared" si="10"/>
        <v/>
      </c>
      <c r="D62" s="220"/>
      <c r="E62" s="220">
        <f t="shared" si="8"/>
        <v>0</v>
      </c>
      <c r="F62" s="220">
        <f t="shared" si="9"/>
        <v>-10</v>
      </c>
    </row>
    <row r="63" ht="14.25" customHeight="1">
      <c r="B63" s="254">
        <v>45101.0</v>
      </c>
      <c r="C63" s="255" t="str">
        <f t="shared" si="10"/>
        <v/>
      </c>
      <c r="D63" s="255"/>
      <c r="E63" s="255">
        <f t="shared" si="8"/>
        <v>0</v>
      </c>
      <c r="F63" s="255">
        <f t="shared" si="9"/>
        <v>-10</v>
      </c>
    </row>
    <row r="64" ht="14.25" customHeight="1">
      <c r="B64" s="254">
        <v>45102.0</v>
      </c>
      <c r="C64" s="255" t="str">
        <f t="shared" si="10"/>
        <v/>
      </c>
      <c r="D64" s="255"/>
      <c r="E64" s="255">
        <f t="shared" si="8"/>
        <v>0</v>
      </c>
      <c r="F64" s="255">
        <f t="shared" si="9"/>
        <v>-10</v>
      </c>
    </row>
    <row r="65" ht="14.25" customHeight="1">
      <c r="B65" s="219">
        <v>45103.0</v>
      </c>
      <c r="C65" s="220" t="str">
        <f t="shared" si="10"/>
        <v/>
      </c>
      <c r="D65" s="220"/>
      <c r="E65" s="220">
        <f t="shared" si="8"/>
        <v>0</v>
      </c>
      <c r="F65" s="220">
        <f t="shared" si="9"/>
        <v>-10</v>
      </c>
    </row>
    <row r="66" ht="14.25" customHeight="1">
      <c r="B66" s="219">
        <v>45104.0</v>
      </c>
      <c r="C66" s="220" t="str">
        <f t="shared" si="10"/>
        <v/>
      </c>
      <c r="D66" s="220"/>
      <c r="E66" s="220">
        <f t="shared" si="8"/>
        <v>0</v>
      </c>
      <c r="F66" s="220">
        <f t="shared" si="9"/>
        <v>-10</v>
      </c>
    </row>
    <row r="67" ht="14.25" customHeight="1">
      <c r="B67" s="219">
        <v>45105.0</v>
      </c>
      <c r="C67" s="220" t="str">
        <f t="shared" si="10"/>
        <v/>
      </c>
      <c r="D67" s="220"/>
      <c r="E67" s="220">
        <f t="shared" si="8"/>
        <v>0</v>
      </c>
      <c r="F67" s="220">
        <f t="shared" si="9"/>
        <v>-10</v>
      </c>
    </row>
    <row r="68" ht="14.25" customHeight="1">
      <c r="B68" s="219">
        <v>45106.0</v>
      </c>
      <c r="C68" s="220" t="str">
        <f t="shared" si="10"/>
        <v/>
      </c>
      <c r="D68" s="220"/>
      <c r="E68" s="220">
        <f t="shared" si="8"/>
        <v>0</v>
      </c>
      <c r="F68" s="220">
        <f t="shared" si="9"/>
        <v>-10</v>
      </c>
    </row>
    <row r="69" ht="14.25" customHeight="1">
      <c r="B69" s="219">
        <v>45107.0</v>
      </c>
      <c r="C69" s="220" t="str">
        <f t="shared" si="10"/>
        <v/>
      </c>
      <c r="D69" s="220"/>
      <c r="E69" s="220">
        <f t="shared" si="8"/>
        <v>0</v>
      </c>
      <c r="F69" s="220">
        <f t="shared" si="9"/>
        <v>-10</v>
      </c>
    </row>
    <row r="70" ht="14.25" customHeight="1">
      <c r="B70" s="229"/>
      <c r="C70" s="220" t="str">
        <f t="shared" si="10"/>
        <v/>
      </c>
      <c r="D70" s="220"/>
      <c r="E70" s="220">
        <f t="shared" si="8"/>
        <v>0</v>
      </c>
      <c r="F70" s="220">
        <f t="shared" si="9"/>
        <v>-10</v>
      </c>
    </row>
    <row r="71" ht="14.25" customHeight="1">
      <c r="B71" s="216"/>
      <c r="C71" s="223" t="s">
        <v>221</v>
      </c>
      <c r="D71" s="223"/>
      <c r="E71" s="216">
        <f>SUM(E40:E70)</f>
        <v>0</v>
      </c>
      <c r="F71" s="216">
        <f t="shared" si="9"/>
        <v>-10</v>
      </c>
    </row>
    <row r="72" ht="14.25" customHeight="1"/>
    <row r="73" ht="14.25" customHeight="1">
      <c r="A73" s="249" t="s">
        <v>274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1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295</v>
      </c>
      <c r="L75" s="231"/>
    </row>
    <row r="76" ht="14.25" customHeight="1">
      <c r="B76" s="257">
        <v>45078.0</v>
      </c>
      <c r="C76" s="258"/>
      <c r="D76" s="258"/>
      <c r="E76" s="258">
        <f t="shared" ref="E76:E93" si="11">D76-C76</f>
        <v>0</v>
      </c>
      <c r="F76" s="258">
        <f t="shared" ref="F76:F107" si="12">E76-10</f>
        <v>-10</v>
      </c>
      <c r="H76" s="216" t="s">
        <v>245</v>
      </c>
      <c r="I76" s="216"/>
      <c r="K76" s="216" t="s">
        <v>244</v>
      </c>
      <c r="L76" s="232">
        <v>1700.0</v>
      </c>
    </row>
    <row r="77" ht="14.25" customHeight="1">
      <c r="B77" s="219">
        <v>45079.0</v>
      </c>
      <c r="C77" s="220">
        <v>6651.6</v>
      </c>
      <c r="D77" s="220">
        <v>6657.6</v>
      </c>
      <c r="E77" s="220">
        <f t="shared" si="11"/>
        <v>6</v>
      </c>
      <c r="F77" s="220">
        <f t="shared" si="12"/>
        <v>-4</v>
      </c>
      <c r="H77" s="216" t="s">
        <v>247</v>
      </c>
      <c r="I77" s="216">
        <v>156.5</v>
      </c>
      <c r="K77" s="216" t="s">
        <v>266</v>
      </c>
      <c r="L77" s="232"/>
    </row>
    <row r="78" ht="14.25" customHeight="1">
      <c r="B78" s="219">
        <v>45080.0</v>
      </c>
      <c r="C78" s="220">
        <v>6657.6</v>
      </c>
      <c r="D78" s="220">
        <v>6667.3</v>
      </c>
      <c r="E78" s="220">
        <f t="shared" si="11"/>
        <v>9.7</v>
      </c>
      <c r="F78" s="220">
        <f t="shared" si="12"/>
        <v>-0.3</v>
      </c>
      <c r="H78" s="216" t="s">
        <v>249</v>
      </c>
      <c r="I78" s="232">
        <v>2.5</v>
      </c>
      <c r="K78" s="216" t="s">
        <v>246</v>
      </c>
      <c r="L78" s="232">
        <f>I77*I78</f>
        <v>391.25</v>
      </c>
    </row>
    <row r="79" ht="14.25" customHeight="1">
      <c r="B79" s="219">
        <v>45081.0</v>
      </c>
      <c r="C79" s="220">
        <f>D78</f>
        <v>6667.3</v>
      </c>
      <c r="D79" s="220">
        <v>6667.6</v>
      </c>
      <c r="E79" s="220">
        <f t="shared" si="11"/>
        <v>0.3</v>
      </c>
      <c r="F79" s="220">
        <f t="shared" si="12"/>
        <v>-9.7</v>
      </c>
      <c r="H79" s="216" t="s">
        <v>251</v>
      </c>
      <c r="I79" s="216"/>
      <c r="K79" s="216" t="s">
        <v>248</v>
      </c>
      <c r="L79" s="232">
        <f>I79*I80</f>
        <v>0</v>
      </c>
    </row>
    <row r="80" ht="14.25" customHeight="1">
      <c r="B80" s="219">
        <v>45082.0</v>
      </c>
      <c r="C80" s="220"/>
      <c r="D80" s="220"/>
      <c r="E80" s="220">
        <f t="shared" si="11"/>
        <v>0</v>
      </c>
      <c r="F80" s="220">
        <f t="shared" si="12"/>
        <v>-10</v>
      </c>
      <c r="H80" s="216" t="s">
        <v>249</v>
      </c>
      <c r="I80" s="232"/>
      <c r="K80" s="216" t="s">
        <v>250</v>
      </c>
      <c r="L80" s="232">
        <f>I81*100</f>
        <v>0</v>
      </c>
    </row>
    <row r="81" ht="14.25" customHeight="1">
      <c r="B81" s="219">
        <v>45083.0</v>
      </c>
      <c r="C81" s="220" t="str">
        <f t="shared" ref="C81:C87" si="13">D80</f>
        <v/>
      </c>
      <c r="D81" s="220"/>
      <c r="E81" s="220">
        <f t="shared" si="11"/>
        <v>0</v>
      </c>
      <c r="F81" s="220">
        <f t="shared" si="12"/>
        <v>-10</v>
      </c>
      <c r="H81" s="216" t="s">
        <v>250</v>
      </c>
      <c r="I81" s="232"/>
      <c r="K81" s="216" t="s">
        <v>252</v>
      </c>
      <c r="L81" s="232"/>
    </row>
    <row r="82" ht="14.25" customHeight="1">
      <c r="B82" s="219">
        <v>45084.0</v>
      </c>
      <c r="C82" s="220" t="str">
        <f t="shared" si="13"/>
        <v/>
      </c>
      <c r="D82" s="220"/>
      <c r="E82" s="220">
        <f t="shared" si="11"/>
        <v>0</v>
      </c>
      <c r="F82" s="220">
        <f t="shared" si="12"/>
        <v>-10</v>
      </c>
      <c r="K82" s="216" t="s">
        <v>268</v>
      </c>
      <c r="L82" s="232">
        <f>L76+L78+L79+L80-L77-L81</f>
        <v>2091.25</v>
      </c>
    </row>
    <row r="83" ht="14.25" customHeight="1">
      <c r="B83" s="257">
        <v>45085.0</v>
      </c>
      <c r="C83" s="258" t="str">
        <f t="shared" si="13"/>
        <v/>
      </c>
      <c r="D83" s="258"/>
      <c r="E83" s="258">
        <f t="shared" si="11"/>
        <v>0</v>
      </c>
      <c r="F83" s="258">
        <f t="shared" si="12"/>
        <v>-10</v>
      </c>
      <c r="K83" s="216" t="s">
        <v>269</v>
      </c>
      <c r="L83" s="229"/>
    </row>
    <row r="84" ht="14.25" customHeight="1">
      <c r="B84" s="257">
        <v>45086.0</v>
      </c>
      <c r="C84" s="258" t="str">
        <f t="shared" si="13"/>
        <v/>
      </c>
      <c r="D84" s="258"/>
      <c r="E84" s="258">
        <f t="shared" si="11"/>
        <v>0</v>
      </c>
      <c r="F84" s="258">
        <f t="shared" si="12"/>
        <v>-10</v>
      </c>
    </row>
    <row r="85" ht="14.25" customHeight="1">
      <c r="B85" s="219">
        <v>45087.0</v>
      </c>
      <c r="C85" s="220" t="str">
        <f t="shared" si="13"/>
        <v/>
      </c>
      <c r="D85" s="220"/>
      <c r="E85" s="220">
        <f t="shared" si="11"/>
        <v>0</v>
      </c>
      <c r="F85" s="220">
        <f t="shared" si="12"/>
        <v>-10</v>
      </c>
    </row>
    <row r="86" ht="14.25" customHeight="1">
      <c r="B86" s="219">
        <v>45088.0</v>
      </c>
      <c r="C86" s="220" t="str">
        <f t="shared" si="13"/>
        <v/>
      </c>
      <c r="D86" s="220"/>
      <c r="E86" s="220">
        <f t="shared" si="11"/>
        <v>0</v>
      </c>
      <c r="F86" s="220">
        <f t="shared" si="12"/>
        <v>-10</v>
      </c>
    </row>
    <row r="87" ht="14.25" customHeight="1">
      <c r="B87" s="219">
        <v>45089.0</v>
      </c>
      <c r="C87" s="220" t="str">
        <f t="shared" si="13"/>
        <v/>
      </c>
      <c r="D87" s="220"/>
      <c r="E87" s="220">
        <f t="shared" si="11"/>
        <v>0</v>
      </c>
      <c r="F87" s="220">
        <f t="shared" si="12"/>
        <v>-10</v>
      </c>
    </row>
    <row r="88" ht="14.25" customHeight="1">
      <c r="B88" s="219">
        <v>45090.0</v>
      </c>
      <c r="C88" s="220">
        <v>808.8</v>
      </c>
      <c r="D88" s="220">
        <v>817.7</v>
      </c>
      <c r="E88" s="220">
        <f t="shared" si="11"/>
        <v>8.9</v>
      </c>
      <c r="F88" s="220">
        <f t="shared" si="12"/>
        <v>-1.1</v>
      </c>
    </row>
    <row r="89" ht="14.25" customHeight="1">
      <c r="B89" s="219">
        <v>45091.0</v>
      </c>
      <c r="C89" s="220">
        <f t="shared" ref="C89:C90" si="14">D88</f>
        <v>817.7</v>
      </c>
      <c r="D89" s="220">
        <v>826.1</v>
      </c>
      <c r="E89" s="220">
        <f t="shared" si="11"/>
        <v>8.4</v>
      </c>
      <c r="F89" s="220">
        <f t="shared" si="12"/>
        <v>-1.6</v>
      </c>
    </row>
    <row r="90" ht="14.25" customHeight="1">
      <c r="B90" s="257">
        <v>45092.0</v>
      </c>
      <c r="C90" s="258">
        <f t="shared" si="14"/>
        <v>826.1</v>
      </c>
      <c r="D90" s="258">
        <v>836.1</v>
      </c>
      <c r="E90" s="258">
        <f t="shared" si="11"/>
        <v>10</v>
      </c>
      <c r="F90" s="258">
        <f t="shared" si="12"/>
        <v>0</v>
      </c>
    </row>
    <row r="91" ht="14.25" customHeight="1">
      <c r="B91" s="257">
        <v>45093.0</v>
      </c>
      <c r="C91" s="258"/>
      <c r="D91" s="258"/>
      <c r="E91" s="258">
        <f t="shared" si="11"/>
        <v>0</v>
      </c>
      <c r="F91" s="258">
        <f t="shared" si="12"/>
        <v>-10</v>
      </c>
    </row>
    <row r="92" ht="14.25" customHeight="1">
      <c r="B92" s="219">
        <v>45094.0</v>
      </c>
      <c r="C92" s="220">
        <v>836.1</v>
      </c>
      <c r="D92" s="220">
        <v>841.6</v>
      </c>
      <c r="E92" s="220">
        <f t="shared" si="11"/>
        <v>5.5</v>
      </c>
      <c r="F92" s="220">
        <f t="shared" si="12"/>
        <v>-4.5</v>
      </c>
    </row>
    <row r="93" ht="14.25" customHeight="1">
      <c r="B93" s="219">
        <v>45095.0</v>
      </c>
      <c r="C93" s="220">
        <f>D92</f>
        <v>841.6</v>
      </c>
      <c r="D93" s="220">
        <v>850.3</v>
      </c>
      <c r="E93" s="220">
        <f t="shared" si="11"/>
        <v>8.7</v>
      </c>
      <c r="F93" s="220">
        <f t="shared" si="12"/>
        <v>-1.3</v>
      </c>
    </row>
    <row r="94" ht="14.25" customHeight="1">
      <c r="B94" s="219">
        <v>45096.0</v>
      </c>
      <c r="C94" s="220"/>
      <c r="D94" s="220"/>
      <c r="E94" s="220">
        <v>10.0</v>
      </c>
      <c r="F94" s="220">
        <f t="shared" si="12"/>
        <v>0</v>
      </c>
    </row>
    <row r="95" ht="14.25" customHeight="1">
      <c r="B95" s="219">
        <v>45097.0</v>
      </c>
      <c r="C95" s="220">
        <v>852.3</v>
      </c>
      <c r="D95" s="220">
        <v>860.7</v>
      </c>
      <c r="E95" s="220">
        <f t="shared" ref="E95:E106" si="15">D95-C95</f>
        <v>8.4</v>
      </c>
      <c r="F95" s="220">
        <f t="shared" si="12"/>
        <v>-1.6</v>
      </c>
    </row>
    <row r="96" ht="14.25" customHeight="1">
      <c r="B96" s="219">
        <v>45098.0</v>
      </c>
      <c r="C96" s="220">
        <f t="shared" ref="C96:C97" si="16">D95</f>
        <v>860.7</v>
      </c>
      <c r="D96" s="220">
        <v>869.8</v>
      </c>
      <c r="E96" s="220">
        <f t="shared" si="15"/>
        <v>9.1</v>
      </c>
      <c r="F96" s="220">
        <f t="shared" si="12"/>
        <v>-0.9</v>
      </c>
    </row>
    <row r="97" ht="14.25" customHeight="1">
      <c r="B97" s="257">
        <v>45099.0</v>
      </c>
      <c r="C97" s="258">
        <f t="shared" si="16"/>
        <v>869.8</v>
      </c>
      <c r="D97" s="258">
        <v>875.8</v>
      </c>
      <c r="E97" s="258">
        <f t="shared" si="15"/>
        <v>6</v>
      </c>
      <c r="F97" s="258">
        <f t="shared" si="12"/>
        <v>-4</v>
      </c>
    </row>
    <row r="98" ht="14.25" customHeight="1">
      <c r="B98" s="257">
        <v>45100.0</v>
      </c>
      <c r="C98" s="258"/>
      <c r="D98" s="258"/>
      <c r="E98" s="258">
        <f t="shared" si="15"/>
        <v>0</v>
      </c>
      <c r="F98" s="258">
        <f t="shared" si="12"/>
        <v>-10</v>
      </c>
    </row>
    <row r="99" ht="14.25" customHeight="1">
      <c r="B99" s="219">
        <v>45101.0</v>
      </c>
      <c r="C99" s="220">
        <v>875.8</v>
      </c>
      <c r="D99" s="220">
        <v>884.6</v>
      </c>
      <c r="E99" s="220">
        <f t="shared" si="15"/>
        <v>8.8</v>
      </c>
      <c r="F99" s="220">
        <f t="shared" si="12"/>
        <v>-1.2</v>
      </c>
    </row>
    <row r="100" ht="14.25" customHeight="1">
      <c r="B100" s="219">
        <v>45102.0</v>
      </c>
      <c r="C100" s="220">
        <f t="shared" ref="C100:C104" si="17">D99</f>
        <v>884.6</v>
      </c>
      <c r="D100" s="220">
        <v>893.4</v>
      </c>
      <c r="E100" s="220">
        <f t="shared" si="15"/>
        <v>8.8</v>
      </c>
      <c r="F100" s="220">
        <f t="shared" si="12"/>
        <v>-1.2</v>
      </c>
    </row>
    <row r="101" ht="14.25" customHeight="1">
      <c r="B101" s="219">
        <v>45103.0</v>
      </c>
      <c r="C101" s="220">
        <f t="shared" si="17"/>
        <v>893.4</v>
      </c>
      <c r="D101" s="220">
        <v>903.0</v>
      </c>
      <c r="E101" s="220">
        <f t="shared" si="15"/>
        <v>9.6</v>
      </c>
      <c r="F101" s="220">
        <f t="shared" si="12"/>
        <v>-0.4</v>
      </c>
    </row>
    <row r="102" ht="14.25" customHeight="1">
      <c r="B102" s="219">
        <v>45104.0</v>
      </c>
      <c r="C102" s="220">
        <f t="shared" si="17"/>
        <v>903</v>
      </c>
      <c r="D102" s="220">
        <v>913.0</v>
      </c>
      <c r="E102" s="220">
        <f t="shared" si="15"/>
        <v>10</v>
      </c>
      <c r="F102" s="220">
        <f t="shared" si="12"/>
        <v>0</v>
      </c>
    </row>
    <row r="103" ht="14.25" customHeight="1">
      <c r="B103" s="219">
        <v>45105.0</v>
      </c>
      <c r="C103" s="220">
        <f t="shared" si="17"/>
        <v>913</v>
      </c>
      <c r="D103" s="220">
        <v>922.9</v>
      </c>
      <c r="E103" s="220">
        <f t="shared" si="15"/>
        <v>9.9</v>
      </c>
      <c r="F103" s="220">
        <f t="shared" si="12"/>
        <v>-0.1</v>
      </c>
    </row>
    <row r="104" ht="14.25" customHeight="1">
      <c r="B104" s="257">
        <v>45106.0</v>
      </c>
      <c r="C104" s="258">
        <f t="shared" si="17"/>
        <v>922.9</v>
      </c>
      <c r="D104" s="258">
        <v>931.4</v>
      </c>
      <c r="E104" s="258">
        <f t="shared" si="15"/>
        <v>8.5</v>
      </c>
      <c r="F104" s="258">
        <f t="shared" si="12"/>
        <v>-1.5</v>
      </c>
    </row>
    <row r="105" ht="14.25" customHeight="1">
      <c r="B105" s="257">
        <v>45107.0</v>
      </c>
      <c r="C105" s="258"/>
      <c r="D105" s="258"/>
      <c r="E105" s="258">
        <f t="shared" si="15"/>
        <v>0</v>
      </c>
      <c r="F105" s="258">
        <f t="shared" si="12"/>
        <v>-10</v>
      </c>
    </row>
    <row r="106" ht="14.25" customHeight="1">
      <c r="B106" s="219"/>
      <c r="C106" s="220">
        <v>931.4</v>
      </c>
      <c r="D106" s="220">
        <v>941.3</v>
      </c>
      <c r="E106" s="220">
        <f t="shared" si="15"/>
        <v>9.9</v>
      </c>
      <c r="F106" s="220">
        <f t="shared" si="12"/>
        <v>-0.1</v>
      </c>
    </row>
    <row r="107" ht="14.25" customHeight="1">
      <c r="B107" s="216"/>
      <c r="C107" s="223" t="s">
        <v>221</v>
      </c>
      <c r="D107" s="223"/>
      <c r="E107" s="216">
        <f>SUM(E76:E106)</f>
        <v>156.5</v>
      </c>
      <c r="F107" s="216">
        <f t="shared" si="12"/>
        <v>146.5</v>
      </c>
    </row>
    <row r="108" ht="14.25" customHeight="1"/>
    <row r="109" ht="14.25" customHeight="1">
      <c r="A109" s="249" t="s">
        <v>234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1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>
        <v>941.3</v>
      </c>
      <c r="K111" s="253" t="s">
        <v>234</v>
      </c>
      <c r="L111" s="231"/>
    </row>
    <row r="112" ht="14.25" customHeight="1">
      <c r="B112" s="219">
        <v>45139.0</v>
      </c>
      <c r="C112" s="220">
        <v>941.3</v>
      </c>
      <c r="D112" s="220">
        <v>948.9</v>
      </c>
      <c r="E112" s="220">
        <f t="shared" ref="E112:E142" si="18">D112-C112</f>
        <v>7.6</v>
      </c>
      <c r="F112" s="220">
        <f t="shared" ref="F112:F143" si="19">E112-10</f>
        <v>-2.4</v>
      </c>
      <c r="H112" s="216" t="s">
        <v>245</v>
      </c>
      <c r="I112" s="216">
        <v>1147.4</v>
      </c>
      <c r="K112" s="216" t="s">
        <v>244</v>
      </c>
      <c r="L112" s="232">
        <v>2000.0</v>
      </c>
    </row>
    <row r="113" ht="14.25" customHeight="1">
      <c r="B113" s="219">
        <v>45140.0</v>
      </c>
      <c r="C113" s="220">
        <f t="shared" ref="C113:C114" si="20">D112</f>
        <v>948.9</v>
      </c>
      <c r="D113" s="220">
        <v>957.3</v>
      </c>
      <c r="E113" s="220">
        <f t="shared" si="18"/>
        <v>8.4</v>
      </c>
      <c r="F113" s="220">
        <f t="shared" si="19"/>
        <v>-1.6</v>
      </c>
      <c r="H113" s="216" t="s">
        <v>247</v>
      </c>
      <c r="I113" s="216">
        <v>199.8</v>
      </c>
      <c r="K113" s="216" t="s">
        <v>266</v>
      </c>
      <c r="L113" s="232"/>
    </row>
    <row r="114" ht="14.25" customHeight="1">
      <c r="B114" s="219">
        <v>45141.0</v>
      </c>
      <c r="C114" s="220">
        <f t="shared" si="20"/>
        <v>957.3</v>
      </c>
      <c r="D114" s="220">
        <v>965.5</v>
      </c>
      <c r="E114" s="220">
        <f t="shared" si="18"/>
        <v>8.2</v>
      </c>
      <c r="F114" s="220">
        <f t="shared" si="19"/>
        <v>-1.8</v>
      </c>
      <c r="H114" s="216" t="s">
        <v>249</v>
      </c>
      <c r="I114" s="232">
        <v>2.5</v>
      </c>
      <c r="K114" s="216" t="s">
        <v>246</v>
      </c>
      <c r="L114" s="232">
        <f>I113*I114</f>
        <v>499.5</v>
      </c>
    </row>
    <row r="115" ht="14.25" customHeight="1">
      <c r="A115" s="165" t="s">
        <v>197</v>
      </c>
      <c r="B115" s="219">
        <v>45142.0</v>
      </c>
      <c r="C115" s="220"/>
      <c r="D115" s="220"/>
      <c r="E115" s="220">
        <f t="shared" si="18"/>
        <v>0</v>
      </c>
      <c r="F115" s="220">
        <f t="shared" si="19"/>
        <v>-10</v>
      </c>
      <c r="H115" s="216" t="s">
        <v>251</v>
      </c>
      <c r="I115" s="216"/>
      <c r="K115" s="216" t="s">
        <v>248</v>
      </c>
      <c r="L115" s="232">
        <f>O116*O117</f>
        <v>0</v>
      </c>
    </row>
    <row r="116" ht="14.25" customHeight="1">
      <c r="B116" s="259">
        <v>45143.0</v>
      </c>
      <c r="C116" s="273">
        <v>967.0</v>
      </c>
      <c r="D116" s="273">
        <v>975.9</v>
      </c>
      <c r="E116" s="273">
        <f t="shared" si="18"/>
        <v>8.9</v>
      </c>
      <c r="F116" s="273">
        <f t="shared" si="19"/>
        <v>-1.1</v>
      </c>
      <c r="H116" s="216" t="s">
        <v>249</v>
      </c>
      <c r="I116" s="232"/>
      <c r="K116" s="216" t="s">
        <v>250</v>
      </c>
      <c r="L116" s="232">
        <f>O118*100</f>
        <v>0</v>
      </c>
    </row>
    <row r="117" ht="14.25" customHeight="1">
      <c r="B117" s="259">
        <v>45144.0</v>
      </c>
      <c r="C117" s="273"/>
      <c r="D117" s="273"/>
      <c r="E117" s="273">
        <f t="shared" si="18"/>
        <v>0</v>
      </c>
      <c r="F117" s="273">
        <f t="shared" si="19"/>
        <v>-10</v>
      </c>
      <c r="H117" s="216" t="s">
        <v>250</v>
      </c>
      <c r="I117" s="216"/>
      <c r="K117" s="216" t="s">
        <v>252</v>
      </c>
      <c r="L117" s="232"/>
    </row>
    <row r="118" ht="14.25" customHeight="1">
      <c r="B118" s="219">
        <v>45145.0</v>
      </c>
      <c r="C118" s="273">
        <v>975.9</v>
      </c>
      <c r="D118" s="220">
        <v>984.2</v>
      </c>
      <c r="E118" s="220">
        <f t="shared" si="18"/>
        <v>8.3</v>
      </c>
      <c r="F118" s="220">
        <f t="shared" si="19"/>
        <v>-1.7</v>
      </c>
      <c r="K118" s="216" t="s">
        <v>268</v>
      </c>
      <c r="L118" s="232">
        <f>L112+L114+L115+L116-L113-L117</f>
        <v>2499.5</v>
      </c>
    </row>
    <row r="119" ht="14.25" customHeight="1">
      <c r="B119" s="219">
        <v>45146.0</v>
      </c>
      <c r="C119" s="220">
        <f t="shared" ref="C119:C123" si="21">D118</f>
        <v>984.2</v>
      </c>
      <c r="D119" s="220">
        <v>993.7</v>
      </c>
      <c r="E119" s="220">
        <f t="shared" si="18"/>
        <v>9.5</v>
      </c>
      <c r="F119" s="220">
        <f t="shared" si="19"/>
        <v>-0.5</v>
      </c>
      <c r="K119" s="216" t="s">
        <v>269</v>
      </c>
      <c r="L119" s="229"/>
    </row>
    <row r="120" ht="14.25" customHeight="1">
      <c r="B120" s="219">
        <v>45147.0</v>
      </c>
      <c r="C120" s="220">
        <f t="shared" si="21"/>
        <v>993.7</v>
      </c>
      <c r="D120" s="220">
        <v>1002.7</v>
      </c>
      <c r="E120" s="220">
        <f t="shared" si="18"/>
        <v>9</v>
      </c>
      <c r="F120" s="220">
        <f t="shared" si="19"/>
        <v>-1</v>
      </c>
    </row>
    <row r="121" ht="14.25" customHeight="1">
      <c r="B121" s="219">
        <v>45148.0</v>
      </c>
      <c r="C121" s="220">
        <f t="shared" si="21"/>
        <v>1002.7</v>
      </c>
      <c r="D121" s="220">
        <v>1011.7</v>
      </c>
      <c r="E121" s="220">
        <f t="shared" si="18"/>
        <v>9</v>
      </c>
      <c r="F121" s="220">
        <f t="shared" si="19"/>
        <v>-1</v>
      </c>
    </row>
    <row r="122" ht="14.25" customHeight="1">
      <c r="B122" s="219">
        <v>45149.0</v>
      </c>
      <c r="C122" s="220">
        <f t="shared" si="21"/>
        <v>1011.7</v>
      </c>
      <c r="D122" s="220">
        <v>1021.0</v>
      </c>
      <c r="E122" s="220">
        <f t="shared" si="18"/>
        <v>9.3</v>
      </c>
      <c r="F122" s="220">
        <f t="shared" si="19"/>
        <v>-0.7</v>
      </c>
    </row>
    <row r="123" ht="14.25" customHeight="1">
      <c r="B123" s="259">
        <v>45150.0</v>
      </c>
      <c r="C123" s="273">
        <f t="shared" si="21"/>
        <v>1021</v>
      </c>
      <c r="D123" s="273">
        <v>1025.9</v>
      </c>
      <c r="E123" s="273">
        <f t="shared" si="18"/>
        <v>4.9</v>
      </c>
      <c r="F123" s="273">
        <f t="shared" si="19"/>
        <v>-5.1</v>
      </c>
    </row>
    <row r="124" ht="14.25" customHeight="1">
      <c r="B124" s="259">
        <v>45151.0</v>
      </c>
      <c r="C124" s="273"/>
      <c r="D124" s="273"/>
      <c r="E124" s="273">
        <f t="shared" si="18"/>
        <v>0</v>
      </c>
      <c r="F124" s="273">
        <f t="shared" si="19"/>
        <v>-10</v>
      </c>
    </row>
    <row r="125" ht="14.25" customHeight="1">
      <c r="A125" s="165" t="s">
        <v>197</v>
      </c>
      <c r="B125" s="219">
        <v>45152.0</v>
      </c>
      <c r="C125" s="220"/>
      <c r="D125" s="220"/>
      <c r="E125" s="220">
        <f t="shared" si="18"/>
        <v>0</v>
      </c>
      <c r="F125" s="220">
        <f t="shared" si="19"/>
        <v>-10</v>
      </c>
    </row>
    <row r="126" ht="14.25" customHeight="1">
      <c r="A126" s="165" t="s">
        <v>197</v>
      </c>
      <c r="B126" s="219">
        <v>45153.0</v>
      </c>
      <c r="C126" s="220"/>
      <c r="D126" s="220"/>
      <c r="E126" s="220">
        <f t="shared" si="18"/>
        <v>0</v>
      </c>
      <c r="F126" s="220">
        <f t="shared" si="19"/>
        <v>-10</v>
      </c>
    </row>
    <row r="127" ht="14.25" customHeight="1">
      <c r="B127" s="219">
        <v>45154.0</v>
      </c>
      <c r="C127" s="220">
        <v>1030.7</v>
      </c>
      <c r="D127" s="220">
        <v>1040.0</v>
      </c>
      <c r="E127" s="220">
        <f t="shared" si="18"/>
        <v>9.3</v>
      </c>
      <c r="F127" s="220">
        <f t="shared" si="19"/>
        <v>-0.7</v>
      </c>
    </row>
    <row r="128" ht="14.25" customHeight="1">
      <c r="B128" s="219">
        <v>45155.0</v>
      </c>
      <c r="C128" s="220">
        <f>D127</f>
        <v>1040</v>
      </c>
      <c r="D128" s="220">
        <v>1048.6</v>
      </c>
      <c r="E128" s="220">
        <f t="shared" si="18"/>
        <v>8.6</v>
      </c>
      <c r="F128" s="220">
        <f t="shared" si="19"/>
        <v>-1.4</v>
      </c>
    </row>
    <row r="129" ht="14.25" customHeight="1">
      <c r="B129" s="219">
        <v>45156.0</v>
      </c>
      <c r="C129" s="220">
        <v>1048.6</v>
      </c>
      <c r="D129" s="220">
        <v>1058.4</v>
      </c>
      <c r="E129" s="220">
        <f t="shared" si="18"/>
        <v>9.8</v>
      </c>
      <c r="F129" s="220">
        <f t="shared" si="19"/>
        <v>-0.2</v>
      </c>
    </row>
    <row r="130" ht="14.25" customHeight="1">
      <c r="B130" s="259">
        <v>45157.0</v>
      </c>
      <c r="C130" s="273">
        <f>D129</f>
        <v>1058.4</v>
      </c>
      <c r="D130" s="273">
        <v>1061.4</v>
      </c>
      <c r="E130" s="273">
        <f t="shared" si="18"/>
        <v>3</v>
      </c>
      <c r="F130" s="273">
        <f t="shared" si="19"/>
        <v>-7</v>
      </c>
    </row>
    <row r="131" ht="14.25" customHeight="1">
      <c r="B131" s="259">
        <v>45158.0</v>
      </c>
      <c r="C131" s="273"/>
      <c r="D131" s="273"/>
      <c r="E131" s="273">
        <f t="shared" si="18"/>
        <v>0</v>
      </c>
      <c r="F131" s="273">
        <f t="shared" si="19"/>
        <v>-10</v>
      </c>
    </row>
    <row r="132" ht="14.25" customHeight="1">
      <c r="B132" s="219">
        <v>45159.0</v>
      </c>
      <c r="C132" s="220">
        <v>1061.4</v>
      </c>
      <c r="D132" s="220">
        <v>1068.9</v>
      </c>
      <c r="E132" s="220">
        <f t="shared" si="18"/>
        <v>7.5</v>
      </c>
      <c r="F132" s="220">
        <f t="shared" si="19"/>
        <v>-2.5</v>
      </c>
    </row>
    <row r="133" ht="14.25" customHeight="1">
      <c r="B133" s="219">
        <v>45160.0</v>
      </c>
      <c r="C133" s="220">
        <f t="shared" ref="C133:C137" si="22">D132</f>
        <v>1068.9</v>
      </c>
      <c r="D133" s="220">
        <v>1078.4</v>
      </c>
      <c r="E133" s="220">
        <f t="shared" si="18"/>
        <v>9.5</v>
      </c>
      <c r="F133" s="220">
        <f t="shared" si="19"/>
        <v>-0.5</v>
      </c>
    </row>
    <row r="134" ht="14.25" customHeight="1">
      <c r="B134" s="219">
        <v>45161.0</v>
      </c>
      <c r="C134" s="220">
        <f t="shared" si="22"/>
        <v>1078.4</v>
      </c>
      <c r="D134" s="220">
        <v>1087.3</v>
      </c>
      <c r="E134" s="220">
        <f t="shared" si="18"/>
        <v>8.9</v>
      </c>
      <c r="F134" s="220">
        <f t="shared" si="19"/>
        <v>-1.1</v>
      </c>
    </row>
    <row r="135" ht="14.25" customHeight="1">
      <c r="B135" s="219">
        <v>45162.0</v>
      </c>
      <c r="C135" s="220">
        <f t="shared" si="22"/>
        <v>1087.3</v>
      </c>
      <c r="D135" s="220">
        <v>1096.3</v>
      </c>
      <c r="E135" s="220">
        <f t="shared" si="18"/>
        <v>9</v>
      </c>
      <c r="F135" s="220">
        <f t="shared" si="19"/>
        <v>-1</v>
      </c>
    </row>
    <row r="136" ht="14.25" customHeight="1">
      <c r="B136" s="219">
        <v>45163.0</v>
      </c>
      <c r="C136" s="220">
        <f t="shared" si="22"/>
        <v>1096.3</v>
      </c>
      <c r="D136" s="220">
        <v>1105.7</v>
      </c>
      <c r="E136" s="220">
        <f t="shared" si="18"/>
        <v>9.4</v>
      </c>
      <c r="F136" s="220">
        <f t="shared" si="19"/>
        <v>-0.6</v>
      </c>
    </row>
    <row r="137" ht="14.25" customHeight="1">
      <c r="B137" s="259">
        <v>45164.0</v>
      </c>
      <c r="C137" s="273">
        <f t="shared" si="22"/>
        <v>1105.7</v>
      </c>
      <c r="D137" s="273">
        <v>1114.3</v>
      </c>
      <c r="E137" s="273">
        <f t="shared" si="18"/>
        <v>8.6</v>
      </c>
      <c r="F137" s="273">
        <f t="shared" si="19"/>
        <v>-1.4</v>
      </c>
    </row>
    <row r="138" ht="14.25" customHeight="1">
      <c r="B138" s="259">
        <v>45165.0</v>
      </c>
      <c r="C138" s="273"/>
      <c r="D138" s="273"/>
      <c r="E138" s="273">
        <f t="shared" si="18"/>
        <v>0</v>
      </c>
      <c r="F138" s="273">
        <f t="shared" si="19"/>
        <v>-10</v>
      </c>
    </row>
    <row r="139" ht="14.25" customHeight="1">
      <c r="B139" s="219">
        <v>45166.0</v>
      </c>
      <c r="C139" s="220">
        <v>1114.3</v>
      </c>
      <c r="D139" s="220">
        <v>1119.9</v>
      </c>
      <c r="E139" s="220">
        <f t="shared" si="18"/>
        <v>5.6</v>
      </c>
      <c r="F139" s="220">
        <f t="shared" si="19"/>
        <v>-4.4</v>
      </c>
    </row>
    <row r="140" ht="14.25" customHeight="1">
      <c r="B140" s="219">
        <v>45167.0</v>
      </c>
      <c r="C140" s="220">
        <f t="shared" ref="C140:C142" si="23">D139</f>
        <v>1119.9</v>
      </c>
      <c r="D140" s="220">
        <v>1128.3</v>
      </c>
      <c r="E140" s="220">
        <f t="shared" si="18"/>
        <v>8.4</v>
      </c>
      <c r="F140" s="220">
        <f t="shared" si="19"/>
        <v>-1.6</v>
      </c>
    </row>
    <row r="141" ht="14.25" customHeight="1">
      <c r="B141" s="219">
        <v>45168.0</v>
      </c>
      <c r="C141" s="220">
        <f t="shared" si="23"/>
        <v>1128.3</v>
      </c>
      <c r="D141" s="220">
        <v>1137.7</v>
      </c>
      <c r="E141" s="220">
        <f t="shared" si="18"/>
        <v>9.4</v>
      </c>
      <c r="F141" s="220">
        <f t="shared" si="19"/>
        <v>-0.6</v>
      </c>
    </row>
    <row r="142" ht="14.25" customHeight="1">
      <c r="B142" s="219">
        <v>45169.0</v>
      </c>
      <c r="C142" s="220">
        <f t="shared" si="23"/>
        <v>1137.7</v>
      </c>
      <c r="D142" s="220">
        <v>1147.4</v>
      </c>
      <c r="E142" s="220">
        <f t="shared" si="18"/>
        <v>9.7</v>
      </c>
      <c r="F142" s="220">
        <f t="shared" si="19"/>
        <v>-0.3</v>
      </c>
    </row>
    <row r="143" ht="14.25" customHeight="1">
      <c r="B143" s="216"/>
      <c r="C143" s="223" t="s">
        <v>221</v>
      </c>
      <c r="D143" s="223"/>
      <c r="E143" s="216">
        <f>SUM(E112:E142)</f>
        <v>199.8</v>
      </c>
      <c r="F143" s="216">
        <f t="shared" si="19"/>
        <v>189.8</v>
      </c>
    </row>
    <row r="144" ht="14.25" customHeight="1"/>
    <row r="145" ht="14.25" customHeight="1">
      <c r="A145" s="249" t="s">
        <v>275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1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275</v>
      </c>
      <c r="L147" s="231"/>
    </row>
    <row r="148" ht="14.25" customHeight="1">
      <c r="B148" s="219">
        <v>45078.0</v>
      </c>
      <c r="C148" s="220"/>
      <c r="D148" s="220"/>
      <c r="E148" s="220">
        <f t="shared" ref="E148:E178" si="24">D148-C148</f>
        <v>0</v>
      </c>
      <c r="F148" s="220">
        <f t="shared" ref="F148:F179" si="25">E148-10</f>
        <v>-10</v>
      </c>
      <c r="H148" s="216" t="s">
        <v>245</v>
      </c>
      <c r="I148" s="216"/>
      <c r="K148" s="216" t="s">
        <v>244</v>
      </c>
      <c r="L148" s="232">
        <v>2000.0</v>
      </c>
    </row>
    <row r="149" ht="14.25" customHeight="1">
      <c r="B149" s="219">
        <v>45079.0</v>
      </c>
      <c r="C149" s="220" t="str">
        <f t="shared" ref="C149:C178" si="26">D148</f>
        <v/>
      </c>
      <c r="D149" s="220"/>
      <c r="E149" s="220">
        <f t="shared" si="24"/>
        <v>0</v>
      </c>
      <c r="F149" s="220">
        <f t="shared" si="25"/>
        <v>-10</v>
      </c>
      <c r="H149" s="216" t="s">
        <v>247</v>
      </c>
      <c r="I149" s="216"/>
      <c r="K149" s="216" t="s">
        <v>266</v>
      </c>
      <c r="L149" s="232"/>
    </row>
    <row r="150" ht="14.25" customHeight="1">
      <c r="B150" s="254">
        <v>45080.0</v>
      </c>
      <c r="C150" s="255" t="str">
        <f t="shared" si="26"/>
        <v/>
      </c>
      <c r="D150" s="255"/>
      <c r="E150" s="255">
        <f t="shared" si="24"/>
        <v>0</v>
      </c>
      <c r="F150" s="255">
        <f t="shared" si="25"/>
        <v>-10</v>
      </c>
      <c r="H150" s="216" t="s">
        <v>249</v>
      </c>
      <c r="I150" s="232"/>
      <c r="K150" s="216" t="s">
        <v>246</v>
      </c>
      <c r="L150" s="232">
        <f>O150*O151</f>
        <v>0</v>
      </c>
    </row>
    <row r="151" ht="14.25" customHeight="1">
      <c r="B151" s="254">
        <v>45081.0</v>
      </c>
      <c r="C151" s="255" t="str">
        <f t="shared" si="26"/>
        <v/>
      </c>
      <c r="D151" s="255"/>
      <c r="E151" s="255">
        <f t="shared" si="24"/>
        <v>0</v>
      </c>
      <c r="F151" s="255">
        <f t="shared" si="25"/>
        <v>-10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19">
        <v>45082.0</v>
      </c>
      <c r="C152" s="220" t="str">
        <f t="shared" si="26"/>
        <v/>
      </c>
      <c r="D152" s="220"/>
      <c r="E152" s="220">
        <f t="shared" si="24"/>
        <v>0</v>
      </c>
      <c r="F152" s="220">
        <f t="shared" si="25"/>
        <v>-10</v>
      </c>
      <c r="H152" s="216" t="s">
        <v>249</v>
      </c>
      <c r="I152" s="232"/>
      <c r="K152" s="216" t="s">
        <v>250</v>
      </c>
      <c r="L152" s="232">
        <f>O154*100</f>
        <v>0</v>
      </c>
    </row>
    <row r="153" ht="14.25" customHeight="1">
      <c r="B153" s="219">
        <v>45083.0</v>
      </c>
      <c r="C153" s="220" t="str">
        <f t="shared" si="26"/>
        <v/>
      </c>
      <c r="D153" s="220"/>
      <c r="E153" s="220">
        <f t="shared" si="24"/>
        <v>0</v>
      </c>
      <c r="F153" s="220">
        <f t="shared" si="25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45084.0</v>
      </c>
      <c r="C154" s="220" t="str">
        <f t="shared" si="26"/>
        <v/>
      </c>
      <c r="D154" s="220"/>
      <c r="E154" s="220">
        <f t="shared" si="24"/>
        <v>0</v>
      </c>
      <c r="F154" s="220">
        <f t="shared" si="25"/>
        <v>-10</v>
      </c>
      <c r="K154" s="216" t="s">
        <v>268</v>
      </c>
      <c r="L154" s="232">
        <f>L148+L150+L151+L152-L149-L153</f>
        <v>2000</v>
      </c>
    </row>
    <row r="155" ht="14.25" customHeight="1">
      <c r="B155" s="219">
        <v>45085.0</v>
      </c>
      <c r="C155" s="220" t="str">
        <f t="shared" si="26"/>
        <v/>
      </c>
      <c r="D155" s="220"/>
      <c r="E155" s="220">
        <f t="shared" si="24"/>
        <v>0</v>
      </c>
      <c r="F155" s="220">
        <f t="shared" si="25"/>
        <v>-10</v>
      </c>
      <c r="K155" s="216" t="s">
        <v>269</v>
      </c>
      <c r="L155" s="229"/>
    </row>
    <row r="156" ht="14.25" customHeight="1">
      <c r="B156" s="219">
        <v>45086.0</v>
      </c>
      <c r="C156" s="220" t="str">
        <f t="shared" si="26"/>
        <v/>
      </c>
      <c r="D156" s="220"/>
      <c r="E156" s="220">
        <f t="shared" si="24"/>
        <v>0</v>
      </c>
      <c r="F156" s="220">
        <f t="shared" si="25"/>
        <v>-10</v>
      </c>
    </row>
    <row r="157" ht="14.25" customHeight="1">
      <c r="B157" s="254">
        <v>45087.0</v>
      </c>
      <c r="C157" s="255" t="str">
        <f t="shared" si="26"/>
        <v/>
      </c>
      <c r="D157" s="255"/>
      <c r="E157" s="255">
        <f t="shared" si="24"/>
        <v>0</v>
      </c>
      <c r="F157" s="255">
        <f t="shared" si="25"/>
        <v>-10</v>
      </c>
    </row>
    <row r="158" ht="14.25" customHeight="1">
      <c r="B158" s="254">
        <v>45088.0</v>
      </c>
      <c r="C158" s="255" t="str">
        <f t="shared" si="26"/>
        <v/>
      </c>
      <c r="D158" s="255"/>
      <c r="E158" s="255">
        <f t="shared" si="24"/>
        <v>0</v>
      </c>
      <c r="F158" s="255">
        <f t="shared" si="25"/>
        <v>-10</v>
      </c>
    </row>
    <row r="159" ht="14.25" customHeight="1">
      <c r="B159" s="219">
        <v>45089.0</v>
      </c>
      <c r="C159" s="220" t="str">
        <f t="shared" si="26"/>
        <v/>
      </c>
      <c r="D159" s="220"/>
      <c r="E159" s="220">
        <f t="shared" si="24"/>
        <v>0</v>
      </c>
      <c r="F159" s="220">
        <f t="shared" si="25"/>
        <v>-10</v>
      </c>
    </row>
    <row r="160" ht="14.25" customHeight="1">
      <c r="B160" s="219">
        <v>45090.0</v>
      </c>
      <c r="C160" s="220" t="str">
        <f t="shared" si="26"/>
        <v/>
      </c>
      <c r="D160" s="220"/>
      <c r="E160" s="220">
        <f t="shared" si="24"/>
        <v>0</v>
      </c>
      <c r="F160" s="220">
        <f t="shared" si="25"/>
        <v>-10</v>
      </c>
    </row>
    <row r="161" ht="14.25" customHeight="1">
      <c r="B161" s="219">
        <v>45091.0</v>
      </c>
      <c r="C161" s="220" t="str">
        <f t="shared" si="26"/>
        <v/>
      </c>
      <c r="D161" s="220"/>
      <c r="E161" s="220">
        <f t="shared" si="24"/>
        <v>0</v>
      </c>
      <c r="F161" s="220">
        <f t="shared" si="25"/>
        <v>-10</v>
      </c>
    </row>
    <row r="162" ht="14.25" customHeight="1">
      <c r="B162" s="219">
        <v>45092.0</v>
      </c>
      <c r="C162" s="220" t="str">
        <f t="shared" si="26"/>
        <v/>
      </c>
      <c r="D162" s="220"/>
      <c r="E162" s="220">
        <f t="shared" si="24"/>
        <v>0</v>
      </c>
      <c r="F162" s="220">
        <f t="shared" si="25"/>
        <v>-10</v>
      </c>
    </row>
    <row r="163" ht="14.25" customHeight="1">
      <c r="B163" s="219">
        <v>45093.0</v>
      </c>
      <c r="C163" s="220" t="str">
        <f t="shared" si="26"/>
        <v/>
      </c>
      <c r="D163" s="220"/>
      <c r="E163" s="220">
        <f t="shared" si="24"/>
        <v>0</v>
      </c>
      <c r="F163" s="220">
        <f t="shared" si="25"/>
        <v>-10</v>
      </c>
    </row>
    <row r="164" ht="14.25" customHeight="1">
      <c r="B164" s="254">
        <v>45094.0</v>
      </c>
      <c r="C164" s="255" t="str">
        <f t="shared" si="26"/>
        <v/>
      </c>
      <c r="D164" s="255"/>
      <c r="E164" s="255">
        <f t="shared" si="24"/>
        <v>0</v>
      </c>
      <c r="F164" s="255">
        <f t="shared" si="25"/>
        <v>-10</v>
      </c>
    </row>
    <row r="165" ht="14.25" customHeight="1">
      <c r="B165" s="254">
        <v>45095.0</v>
      </c>
      <c r="C165" s="255" t="str">
        <f t="shared" si="26"/>
        <v/>
      </c>
      <c r="D165" s="255"/>
      <c r="E165" s="255">
        <f t="shared" si="24"/>
        <v>0</v>
      </c>
      <c r="F165" s="255">
        <f t="shared" si="25"/>
        <v>-10</v>
      </c>
    </row>
    <row r="166" ht="14.25" customHeight="1">
      <c r="B166" s="219">
        <v>45096.0</v>
      </c>
      <c r="C166" s="220" t="str">
        <f t="shared" si="26"/>
        <v/>
      </c>
      <c r="D166" s="220"/>
      <c r="E166" s="220">
        <f t="shared" si="24"/>
        <v>0</v>
      </c>
      <c r="F166" s="220">
        <f t="shared" si="25"/>
        <v>-10</v>
      </c>
    </row>
    <row r="167" ht="14.25" customHeight="1">
      <c r="B167" s="219">
        <v>45097.0</v>
      </c>
      <c r="C167" s="220" t="str">
        <f t="shared" si="26"/>
        <v/>
      </c>
      <c r="D167" s="220"/>
      <c r="E167" s="220">
        <f t="shared" si="24"/>
        <v>0</v>
      </c>
      <c r="F167" s="220">
        <f t="shared" si="25"/>
        <v>-10</v>
      </c>
    </row>
    <row r="168" ht="14.25" customHeight="1">
      <c r="B168" s="219">
        <v>45098.0</v>
      </c>
      <c r="C168" s="220" t="str">
        <f t="shared" si="26"/>
        <v/>
      </c>
      <c r="D168" s="220"/>
      <c r="E168" s="220">
        <f t="shared" si="24"/>
        <v>0</v>
      </c>
      <c r="F168" s="220">
        <f t="shared" si="25"/>
        <v>-10</v>
      </c>
    </row>
    <row r="169" ht="14.25" customHeight="1">
      <c r="B169" s="219">
        <v>45099.0</v>
      </c>
      <c r="C169" s="220" t="str">
        <f t="shared" si="26"/>
        <v/>
      </c>
      <c r="D169" s="220"/>
      <c r="E169" s="220">
        <f t="shared" si="24"/>
        <v>0</v>
      </c>
      <c r="F169" s="220">
        <f t="shared" si="25"/>
        <v>-10</v>
      </c>
    </row>
    <row r="170" ht="14.25" customHeight="1">
      <c r="B170" s="219">
        <v>45100.0</v>
      </c>
      <c r="C170" s="220" t="str">
        <f t="shared" si="26"/>
        <v/>
      </c>
      <c r="D170" s="220"/>
      <c r="E170" s="220">
        <f t="shared" si="24"/>
        <v>0</v>
      </c>
      <c r="F170" s="220">
        <f t="shared" si="25"/>
        <v>-10</v>
      </c>
    </row>
    <row r="171" ht="14.25" customHeight="1">
      <c r="B171" s="254">
        <v>45101.0</v>
      </c>
      <c r="C171" s="255" t="str">
        <f t="shared" si="26"/>
        <v/>
      </c>
      <c r="D171" s="255"/>
      <c r="E171" s="255">
        <f t="shared" si="24"/>
        <v>0</v>
      </c>
      <c r="F171" s="255">
        <f t="shared" si="25"/>
        <v>-10</v>
      </c>
    </row>
    <row r="172" ht="14.25" customHeight="1">
      <c r="B172" s="254">
        <v>45102.0</v>
      </c>
      <c r="C172" s="255" t="str">
        <f t="shared" si="26"/>
        <v/>
      </c>
      <c r="D172" s="255"/>
      <c r="E172" s="255">
        <f t="shared" si="24"/>
        <v>0</v>
      </c>
      <c r="F172" s="255">
        <f t="shared" si="25"/>
        <v>-10</v>
      </c>
    </row>
    <row r="173" ht="14.25" customHeight="1">
      <c r="B173" s="219">
        <v>45103.0</v>
      </c>
      <c r="C173" s="220" t="str">
        <f t="shared" si="26"/>
        <v/>
      </c>
      <c r="D173" s="220"/>
      <c r="E173" s="220">
        <f t="shared" si="24"/>
        <v>0</v>
      </c>
      <c r="F173" s="220">
        <f t="shared" si="25"/>
        <v>-10</v>
      </c>
    </row>
    <row r="174" ht="14.25" customHeight="1">
      <c r="B174" s="219">
        <v>45104.0</v>
      </c>
      <c r="C174" s="220" t="str">
        <f t="shared" si="26"/>
        <v/>
      </c>
      <c r="D174" s="220"/>
      <c r="E174" s="220">
        <f t="shared" si="24"/>
        <v>0</v>
      </c>
      <c r="F174" s="220">
        <f t="shared" si="25"/>
        <v>-10</v>
      </c>
    </row>
    <row r="175" ht="14.25" customHeight="1">
      <c r="B175" s="219">
        <v>45105.0</v>
      </c>
      <c r="C175" s="220" t="str">
        <f t="shared" si="26"/>
        <v/>
      </c>
      <c r="D175" s="220"/>
      <c r="E175" s="220">
        <f t="shared" si="24"/>
        <v>0</v>
      </c>
      <c r="F175" s="220">
        <f t="shared" si="25"/>
        <v>-10</v>
      </c>
    </row>
    <row r="176" ht="14.25" customHeight="1">
      <c r="B176" s="219">
        <v>45106.0</v>
      </c>
      <c r="C176" s="220" t="str">
        <f t="shared" si="26"/>
        <v/>
      </c>
      <c r="D176" s="220"/>
      <c r="E176" s="220">
        <f t="shared" si="24"/>
        <v>0</v>
      </c>
      <c r="F176" s="220">
        <f t="shared" si="25"/>
        <v>-10</v>
      </c>
    </row>
    <row r="177" ht="14.25" customHeight="1">
      <c r="B177" s="219">
        <v>45107.0</v>
      </c>
      <c r="C177" s="220" t="str">
        <f t="shared" si="26"/>
        <v/>
      </c>
      <c r="D177" s="220"/>
      <c r="E177" s="220">
        <f t="shared" si="24"/>
        <v>0</v>
      </c>
      <c r="F177" s="220">
        <f t="shared" si="25"/>
        <v>-10</v>
      </c>
    </row>
    <row r="178" ht="14.25" customHeight="1">
      <c r="B178" s="229"/>
      <c r="C178" s="220" t="str">
        <f t="shared" si="26"/>
        <v/>
      </c>
      <c r="D178" s="220"/>
      <c r="E178" s="220">
        <f t="shared" si="24"/>
        <v>0</v>
      </c>
      <c r="F178" s="220">
        <f t="shared" si="25"/>
        <v>-10</v>
      </c>
    </row>
    <row r="179" ht="14.25" customHeight="1">
      <c r="B179" s="216"/>
      <c r="C179" s="223" t="s">
        <v>221</v>
      </c>
      <c r="D179" s="223"/>
      <c r="E179" s="216">
        <f>SUM(E148:E178)</f>
        <v>0</v>
      </c>
      <c r="F179" s="216">
        <f t="shared" si="25"/>
        <v>-10</v>
      </c>
    </row>
    <row r="180" ht="14.25" customHeight="1"/>
    <row r="181" ht="14.25" customHeight="1">
      <c r="A181" s="249" t="s">
        <v>235</v>
      </c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1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4.25" customHeight="1"/>
    <row r="183" ht="14.25" customHeight="1">
      <c r="B183" s="216" t="s">
        <v>214</v>
      </c>
      <c r="C183" s="216" t="s">
        <v>215</v>
      </c>
      <c r="D183" s="216" t="s">
        <v>216</v>
      </c>
      <c r="E183" s="216" t="s">
        <v>217</v>
      </c>
      <c r="F183" s="216" t="s">
        <v>218</v>
      </c>
      <c r="H183" s="216" t="s">
        <v>238</v>
      </c>
      <c r="I183" s="216"/>
      <c r="K183" s="253" t="s">
        <v>235</v>
      </c>
      <c r="L183" s="231"/>
    </row>
    <row r="184" ht="14.25" customHeight="1">
      <c r="B184" s="219">
        <v>45078.0</v>
      </c>
      <c r="C184" s="220"/>
      <c r="D184" s="220"/>
      <c r="E184" s="220">
        <f t="shared" ref="E184:E214" si="27">D184-C184</f>
        <v>0</v>
      </c>
      <c r="F184" s="220">
        <f t="shared" ref="F184:F215" si="28">E184-10</f>
        <v>-10</v>
      </c>
      <c r="H184" s="216" t="s">
        <v>245</v>
      </c>
      <c r="I184" s="216"/>
      <c r="K184" s="216" t="s">
        <v>244</v>
      </c>
      <c r="L184" s="232">
        <v>2000.0</v>
      </c>
    </row>
    <row r="185" ht="14.25" customHeight="1">
      <c r="B185" s="219">
        <v>45079.0</v>
      </c>
      <c r="C185" s="220" t="str">
        <f t="shared" ref="C185:C214" si="29">D184</f>
        <v/>
      </c>
      <c r="D185" s="220"/>
      <c r="E185" s="220">
        <f t="shared" si="27"/>
        <v>0</v>
      </c>
      <c r="F185" s="220">
        <f t="shared" si="28"/>
        <v>-10</v>
      </c>
      <c r="H185" s="216" t="s">
        <v>247</v>
      </c>
      <c r="I185" s="216"/>
      <c r="K185" s="216" t="s">
        <v>266</v>
      </c>
      <c r="L185" s="232"/>
    </row>
    <row r="186" ht="14.25" customHeight="1">
      <c r="B186" s="254">
        <v>45080.0</v>
      </c>
      <c r="C186" s="255" t="str">
        <f t="shared" si="29"/>
        <v/>
      </c>
      <c r="D186" s="255"/>
      <c r="E186" s="255">
        <f t="shared" si="27"/>
        <v>0</v>
      </c>
      <c r="F186" s="255">
        <f t="shared" si="28"/>
        <v>-10</v>
      </c>
      <c r="H186" s="216" t="s">
        <v>249</v>
      </c>
      <c r="I186" s="232"/>
      <c r="K186" s="216" t="s">
        <v>246</v>
      </c>
      <c r="L186" s="232">
        <f>O186*O187</f>
        <v>0</v>
      </c>
    </row>
    <row r="187" ht="14.25" customHeight="1">
      <c r="B187" s="254">
        <v>45081.0</v>
      </c>
      <c r="C187" s="255" t="str">
        <f t="shared" si="29"/>
        <v/>
      </c>
      <c r="D187" s="255"/>
      <c r="E187" s="255">
        <f t="shared" si="27"/>
        <v>0</v>
      </c>
      <c r="F187" s="255">
        <f t="shared" si="28"/>
        <v>-10</v>
      </c>
      <c r="H187" s="216" t="s">
        <v>251</v>
      </c>
      <c r="I187" s="216"/>
      <c r="K187" s="216" t="s">
        <v>248</v>
      </c>
      <c r="L187" s="232">
        <f>O188*O189</f>
        <v>0</v>
      </c>
    </row>
    <row r="188" ht="14.25" customHeight="1">
      <c r="B188" s="219">
        <v>45082.0</v>
      </c>
      <c r="C188" s="220" t="str">
        <f t="shared" si="29"/>
        <v/>
      </c>
      <c r="D188" s="220"/>
      <c r="E188" s="220">
        <f t="shared" si="27"/>
        <v>0</v>
      </c>
      <c r="F188" s="220">
        <f t="shared" si="28"/>
        <v>-10</v>
      </c>
      <c r="H188" s="216" t="s">
        <v>249</v>
      </c>
      <c r="I188" s="232"/>
      <c r="K188" s="216" t="s">
        <v>250</v>
      </c>
      <c r="L188" s="232">
        <f>O190*100</f>
        <v>0</v>
      </c>
    </row>
    <row r="189" ht="14.25" customHeight="1">
      <c r="B189" s="219">
        <v>45083.0</v>
      </c>
      <c r="C189" s="220" t="str">
        <f t="shared" si="29"/>
        <v/>
      </c>
      <c r="D189" s="220"/>
      <c r="E189" s="220">
        <f t="shared" si="27"/>
        <v>0</v>
      </c>
      <c r="F189" s="220">
        <f t="shared" si="28"/>
        <v>-10</v>
      </c>
      <c r="H189" s="216" t="s">
        <v>250</v>
      </c>
      <c r="I189" s="216"/>
      <c r="K189" s="216" t="s">
        <v>252</v>
      </c>
      <c r="L189" s="232"/>
    </row>
    <row r="190" ht="14.25" customHeight="1">
      <c r="B190" s="219">
        <v>45084.0</v>
      </c>
      <c r="C190" s="220" t="str">
        <f t="shared" si="29"/>
        <v/>
      </c>
      <c r="D190" s="220"/>
      <c r="E190" s="220">
        <f t="shared" si="27"/>
        <v>0</v>
      </c>
      <c r="F190" s="220">
        <f t="shared" si="28"/>
        <v>-10</v>
      </c>
      <c r="K190" s="216" t="s">
        <v>268</v>
      </c>
      <c r="L190" s="232">
        <f>L184+L186+L187+L188-L185-L189</f>
        <v>2000</v>
      </c>
    </row>
    <row r="191" ht="14.25" customHeight="1">
      <c r="B191" s="219">
        <v>45085.0</v>
      </c>
      <c r="C191" s="220" t="str">
        <f t="shared" si="29"/>
        <v/>
      </c>
      <c r="D191" s="220"/>
      <c r="E191" s="220">
        <f t="shared" si="27"/>
        <v>0</v>
      </c>
      <c r="F191" s="220">
        <f t="shared" si="28"/>
        <v>-10</v>
      </c>
      <c r="K191" s="216" t="s">
        <v>269</v>
      </c>
      <c r="L191" s="229"/>
    </row>
    <row r="192" ht="14.25" customHeight="1">
      <c r="B192" s="219">
        <v>45086.0</v>
      </c>
      <c r="C192" s="220" t="str">
        <f t="shared" si="29"/>
        <v/>
      </c>
      <c r="D192" s="220"/>
      <c r="E192" s="220">
        <f t="shared" si="27"/>
        <v>0</v>
      </c>
      <c r="F192" s="220">
        <f t="shared" si="28"/>
        <v>-10</v>
      </c>
    </row>
    <row r="193" ht="14.25" customHeight="1">
      <c r="B193" s="254">
        <v>45087.0</v>
      </c>
      <c r="C193" s="255" t="str">
        <f t="shared" si="29"/>
        <v/>
      </c>
      <c r="D193" s="255"/>
      <c r="E193" s="255">
        <f t="shared" si="27"/>
        <v>0</v>
      </c>
      <c r="F193" s="255">
        <f t="shared" si="28"/>
        <v>-10</v>
      </c>
    </row>
    <row r="194" ht="14.25" customHeight="1">
      <c r="B194" s="254">
        <v>45088.0</v>
      </c>
      <c r="C194" s="255" t="str">
        <f t="shared" si="29"/>
        <v/>
      </c>
      <c r="D194" s="255"/>
      <c r="E194" s="255">
        <f t="shared" si="27"/>
        <v>0</v>
      </c>
      <c r="F194" s="255">
        <f t="shared" si="28"/>
        <v>-10</v>
      </c>
    </row>
    <row r="195" ht="14.25" customHeight="1">
      <c r="B195" s="219">
        <v>45089.0</v>
      </c>
      <c r="C195" s="220" t="str">
        <f t="shared" si="29"/>
        <v/>
      </c>
      <c r="D195" s="220"/>
      <c r="E195" s="220">
        <f t="shared" si="27"/>
        <v>0</v>
      </c>
      <c r="F195" s="220">
        <f t="shared" si="28"/>
        <v>-10</v>
      </c>
    </row>
    <row r="196" ht="14.25" customHeight="1">
      <c r="B196" s="219">
        <v>45090.0</v>
      </c>
      <c r="C196" s="220" t="str">
        <f t="shared" si="29"/>
        <v/>
      </c>
      <c r="D196" s="220"/>
      <c r="E196" s="220">
        <f t="shared" si="27"/>
        <v>0</v>
      </c>
      <c r="F196" s="220">
        <f t="shared" si="28"/>
        <v>-10</v>
      </c>
    </row>
    <row r="197" ht="14.25" customHeight="1">
      <c r="B197" s="219">
        <v>45091.0</v>
      </c>
      <c r="C197" s="220" t="str">
        <f t="shared" si="29"/>
        <v/>
      </c>
      <c r="D197" s="220"/>
      <c r="E197" s="220">
        <f t="shared" si="27"/>
        <v>0</v>
      </c>
      <c r="F197" s="220">
        <f t="shared" si="28"/>
        <v>-10</v>
      </c>
    </row>
    <row r="198" ht="14.25" customHeight="1">
      <c r="B198" s="219">
        <v>45092.0</v>
      </c>
      <c r="C198" s="220" t="str">
        <f t="shared" si="29"/>
        <v/>
      </c>
      <c r="D198" s="220"/>
      <c r="E198" s="220">
        <f t="shared" si="27"/>
        <v>0</v>
      </c>
      <c r="F198" s="220">
        <f t="shared" si="28"/>
        <v>-10</v>
      </c>
    </row>
    <row r="199" ht="14.25" customHeight="1">
      <c r="B199" s="219">
        <v>45093.0</v>
      </c>
      <c r="C199" s="220" t="str">
        <f t="shared" si="29"/>
        <v/>
      </c>
      <c r="D199" s="220"/>
      <c r="E199" s="220">
        <f t="shared" si="27"/>
        <v>0</v>
      </c>
      <c r="F199" s="220">
        <f t="shared" si="28"/>
        <v>-10</v>
      </c>
    </row>
    <row r="200" ht="14.25" customHeight="1">
      <c r="B200" s="254">
        <v>45094.0</v>
      </c>
      <c r="C200" s="255" t="str">
        <f t="shared" si="29"/>
        <v/>
      </c>
      <c r="D200" s="255"/>
      <c r="E200" s="255">
        <f t="shared" si="27"/>
        <v>0</v>
      </c>
      <c r="F200" s="255">
        <f t="shared" si="28"/>
        <v>-10</v>
      </c>
    </row>
    <row r="201" ht="14.25" customHeight="1">
      <c r="B201" s="254">
        <v>45095.0</v>
      </c>
      <c r="C201" s="255" t="str">
        <f t="shared" si="29"/>
        <v/>
      </c>
      <c r="D201" s="255"/>
      <c r="E201" s="255">
        <f t="shared" si="27"/>
        <v>0</v>
      </c>
      <c r="F201" s="255">
        <f t="shared" si="28"/>
        <v>-10</v>
      </c>
    </row>
    <row r="202" ht="14.25" customHeight="1">
      <c r="B202" s="219">
        <v>45096.0</v>
      </c>
      <c r="C202" s="220" t="str">
        <f t="shared" si="29"/>
        <v/>
      </c>
      <c r="D202" s="220"/>
      <c r="E202" s="220">
        <f t="shared" si="27"/>
        <v>0</v>
      </c>
      <c r="F202" s="220">
        <f t="shared" si="28"/>
        <v>-10</v>
      </c>
    </row>
    <row r="203" ht="14.25" customHeight="1">
      <c r="B203" s="219">
        <v>45097.0</v>
      </c>
      <c r="C203" s="220" t="str">
        <f t="shared" si="29"/>
        <v/>
      </c>
      <c r="D203" s="220"/>
      <c r="E203" s="220">
        <f t="shared" si="27"/>
        <v>0</v>
      </c>
      <c r="F203" s="220">
        <f t="shared" si="28"/>
        <v>-10</v>
      </c>
    </row>
    <row r="204" ht="14.25" customHeight="1">
      <c r="B204" s="219">
        <v>45098.0</v>
      </c>
      <c r="C204" s="220" t="str">
        <f t="shared" si="29"/>
        <v/>
      </c>
      <c r="D204" s="220"/>
      <c r="E204" s="220">
        <f t="shared" si="27"/>
        <v>0</v>
      </c>
      <c r="F204" s="220">
        <f t="shared" si="28"/>
        <v>-10</v>
      </c>
    </row>
    <row r="205" ht="14.25" customHeight="1">
      <c r="B205" s="219">
        <v>45099.0</v>
      </c>
      <c r="C205" s="220" t="str">
        <f t="shared" si="29"/>
        <v/>
      </c>
      <c r="D205" s="220"/>
      <c r="E205" s="220">
        <f t="shared" si="27"/>
        <v>0</v>
      </c>
      <c r="F205" s="220">
        <f t="shared" si="28"/>
        <v>-10</v>
      </c>
    </row>
    <row r="206" ht="14.25" customHeight="1">
      <c r="B206" s="219">
        <v>45100.0</v>
      </c>
      <c r="C206" s="220" t="str">
        <f t="shared" si="29"/>
        <v/>
      </c>
      <c r="D206" s="220"/>
      <c r="E206" s="220">
        <f t="shared" si="27"/>
        <v>0</v>
      </c>
      <c r="F206" s="220">
        <f t="shared" si="28"/>
        <v>-10</v>
      </c>
    </row>
    <row r="207" ht="14.25" customHeight="1">
      <c r="B207" s="254">
        <v>45101.0</v>
      </c>
      <c r="C207" s="255" t="str">
        <f t="shared" si="29"/>
        <v/>
      </c>
      <c r="D207" s="255"/>
      <c r="E207" s="255">
        <f t="shared" si="27"/>
        <v>0</v>
      </c>
      <c r="F207" s="255">
        <f t="shared" si="28"/>
        <v>-10</v>
      </c>
    </row>
    <row r="208" ht="14.25" customHeight="1">
      <c r="B208" s="254">
        <v>45102.0</v>
      </c>
      <c r="C208" s="255" t="str">
        <f t="shared" si="29"/>
        <v/>
      </c>
      <c r="D208" s="255"/>
      <c r="E208" s="255">
        <f t="shared" si="27"/>
        <v>0</v>
      </c>
      <c r="F208" s="255">
        <f t="shared" si="28"/>
        <v>-10</v>
      </c>
    </row>
    <row r="209" ht="14.25" customHeight="1">
      <c r="B209" s="219">
        <v>45103.0</v>
      </c>
      <c r="C209" s="220" t="str">
        <f t="shared" si="29"/>
        <v/>
      </c>
      <c r="D209" s="220"/>
      <c r="E209" s="220">
        <f t="shared" si="27"/>
        <v>0</v>
      </c>
      <c r="F209" s="220">
        <f t="shared" si="28"/>
        <v>-10</v>
      </c>
    </row>
    <row r="210" ht="14.25" customHeight="1">
      <c r="B210" s="219">
        <v>45104.0</v>
      </c>
      <c r="C210" s="220" t="str">
        <f t="shared" si="29"/>
        <v/>
      </c>
      <c r="D210" s="220"/>
      <c r="E210" s="220">
        <f t="shared" si="27"/>
        <v>0</v>
      </c>
      <c r="F210" s="220">
        <f t="shared" si="28"/>
        <v>-10</v>
      </c>
    </row>
    <row r="211" ht="14.25" customHeight="1">
      <c r="B211" s="219">
        <v>45105.0</v>
      </c>
      <c r="C211" s="220" t="str">
        <f t="shared" si="29"/>
        <v/>
      </c>
      <c r="D211" s="220"/>
      <c r="E211" s="220">
        <f t="shared" si="27"/>
        <v>0</v>
      </c>
      <c r="F211" s="220">
        <f t="shared" si="28"/>
        <v>-10</v>
      </c>
    </row>
    <row r="212" ht="14.25" customHeight="1">
      <c r="B212" s="219">
        <v>45106.0</v>
      </c>
      <c r="C212" s="220" t="str">
        <f t="shared" si="29"/>
        <v/>
      </c>
      <c r="D212" s="220"/>
      <c r="E212" s="220">
        <f t="shared" si="27"/>
        <v>0</v>
      </c>
      <c r="F212" s="220">
        <f t="shared" si="28"/>
        <v>-10</v>
      </c>
    </row>
    <row r="213" ht="14.25" customHeight="1">
      <c r="B213" s="219">
        <v>45107.0</v>
      </c>
      <c r="C213" s="220" t="str">
        <f t="shared" si="29"/>
        <v/>
      </c>
      <c r="D213" s="220"/>
      <c r="E213" s="220">
        <f t="shared" si="27"/>
        <v>0</v>
      </c>
      <c r="F213" s="220">
        <f t="shared" si="28"/>
        <v>-10</v>
      </c>
    </row>
    <row r="214" ht="14.25" customHeight="1">
      <c r="B214" s="229"/>
      <c r="C214" s="220" t="str">
        <f t="shared" si="29"/>
        <v/>
      </c>
      <c r="D214" s="220"/>
      <c r="E214" s="220">
        <f t="shared" si="27"/>
        <v>0</v>
      </c>
      <c r="F214" s="220">
        <f t="shared" si="28"/>
        <v>-10</v>
      </c>
    </row>
    <row r="215" ht="14.25" customHeight="1">
      <c r="B215" s="216"/>
      <c r="C215" s="223" t="s">
        <v>221</v>
      </c>
      <c r="D215" s="223"/>
      <c r="E215" s="216">
        <f>SUM(E184:E214)</f>
        <v>0</v>
      </c>
      <c r="F215" s="216">
        <f t="shared" si="28"/>
        <v>-10</v>
      </c>
    </row>
    <row r="216" ht="14.25" customHeight="1"/>
    <row r="217" ht="14.25" customHeight="1">
      <c r="A217" s="249" t="s">
        <v>276</v>
      </c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1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4.25" customHeight="1"/>
    <row r="219" ht="14.25" customHeight="1">
      <c r="B219" s="216" t="s">
        <v>214</v>
      </c>
      <c r="C219" s="216" t="s">
        <v>215</v>
      </c>
      <c r="D219" s="216" t="s">
        <v>216</v>
      </c>
      <c r="E219" s="216" t="s">
        <v>217</v>
      </c>
      <c r="F219" s="216" t="s">
        <v>218</v>
      </c>
      <c r="H219" s="216" t="s">
        <v>238</v>
      </c>
      <c r="I219" s="216"/>
      <c r="K219" s="253" t="s">
        <v>236</v>
      </c>
      <c r="L219" s="231"/>
    </row>
    <row r="220" ht="14.25" customHeight="1">
      <c r="B220" s="219">
        <v>45078.0</v>
      </c>
      <c r="C220" s="220"/>
      <c r="D220" s="220"/>
      <c r="E220" s="220">
        <f t="shared" ref="E220:E250" si="30">D220-C220</f>
        <v>0</v>
      </c>
      <c r="F220" s="220">
        <f t="shared" ref="F220:F251" si="31">E220-10</f>
        <v>-10</v>
      </c>
      <c r="H220" s="216" t="s">
        <v>245</v>
      </c>
      <c r="I220" s="216"/>
      <c r="K220" s="216" t="s">
        <v>244</v>
      </c>
      <c r="L220" s="232">
        <v>2000.0</v>
      </c>
    </row>
    <row r="221" ht="14.25" customHeight="1">
      <c r="B221" s="219">
        <v>45079.0</v>
      </c>
      <c r="C221" s="220" t="str">
        <f t="shared" ref="C221:C250" si="32">D220</f>
        <v/>
      </c>
      <c r="D221" s="220"/>
      <c r="E221" s="220">
        <f t="shared" si="30"/>
        <v>0</v>
      </c>
      <c r="F221" s="220">
        <f t="shared" si="31"/>
        <v>-10</v>
      </c>
      <c r="H221" s="216" t="s">
        <v>247</v>
      </c>
      <c r="I221" s="216"/>
      <c r="K221" s="216" t="s">
        <v>266</v>
      </c>
      <c r="L221" s="232"/>
    </row>
    <row r="222" ht="14.25" customHeight="1">
      <c r="B222" s="254">
        <v>45080.0</v>
      </c>
      <c r="C222" s="255" t="str">
        <f t="shared" si="32"/>
        <v/>
      </c>
      <c r="D222" s="255"/>
      <c r="E222" s="255">
        <f t="shared" si="30"/>
        <v>0</v>
      </c>
      <c r="F222" s="255">
        <f t="shared" si="31"/>
        <v>-10</v>
      </c>
      <c r="H222" s="216" t="s">
        <v>249</v>
      </c>
      <c r="I222" s="232"/>
      <c r="K222" s="216" t="s">
        <v>246</v>
      </c>
      <c r="L222" s="232">
        <f>O222*O223</f>
        <v>0</v>
      </c>
    </row>
    <row r="223" ht="14.25" customHeight="1">
      <c r="B223" s="254">
        <v>45081.0</v>
      </c>
      <c r="C223" s="255" t="str">
        <f t="shared" si="32"/>
        <v/>
      </c>
      <c r="D223" s="255"/>
      <c r="E223" s="255">
        <f t="shared" si="30"/>
        <v>0</v>
      </c>
      <c r="F223" s="255">
        <f t="shared" si="31"/>
        <v>-10</v>
      </c>
      <c r="H223" s="216" t="s">
        <v>251</v>
      </c>
      <c r="I223" s="216"/>
      <c r="K223" s="216" t="s">
        <v>248</v>
      </c>
      <c r="L223" s="232">
        <f>O224*O225</f>
        <v>0</v>
      </c>
    </row>
    <row r="224" ht="14.25" customHeight="1">
      <c r="B224" s="219">
        <v>45082.0</v>
      </c>
      <c r="C224" s="220" t="str">
        <f t="shared" si="32"/>
        <v/>
      </c>
      <c r="D224" s="220"/>
      <c r="E224" s="220">
        <f t="shared" si="30"/>
        <v>0</v>
      </c>
      <c r="F224" s="220">
        <f t="shared" si="31"/>
        <v>-10</v>
      </c>
      <c r="H224" s="216" t="s">
        <v>249</v>
      </c>
      <c r="I224" s="232"/>
      <c r="K224" s="216" t="s">
        <v>250</v>
      </c>
      <c r="L224" s="232">
        <f>O226*100</f>
        <v>0</v>
      </c>
    </row>
    <row r="225" ht="14.25" customHeight="1">
      <c r="B225" s="219">
        <v>45083.0</v>
      </c>
      <c r="C225" s="220" t="str">
        <f t="shared" si="32"/>
        <v/>
      </c>
      <c r="D225" s="220"/>
      <c r="E225" s="220">
        <f t="shared" si="30"/>
        <v>0</v>
      </c>
      <c r="F225" s="220">
        <f t="shared" si="31"/>
        <v>-10</v>
      </c>
      <c r="H225" s="216" t="s">
        <v>250</v>
      </c>
      <c r="I225" s="216"/>
      <c r="K225" s="216" t="s">
        <v>252</v>
      </c>
      <c r="L225" s="232"/>
    </row>
    <row r="226" ht="14.25" customHeight="1">
      <c r="B226" s="219">
        <v>45084.0</v>
      </c>
      <c r="C226" s="220" t="str">
        <f t="shared" si="32"/>
        <v/>
      </c>
      <c r="D226" s="220"/>
      <c r="E226" s="220">
        <f t="shared" si="30"/>
        <v>0</v>
      </c>
      <c r="F226" s="220">
        <f t="shared" si="31"/>
        <v>-10</v>
      </c>
      <c r="K226" s="216" t="s">
        <v>268</v>
      </c>
      <c r="L226" s="232">
        <f>L220+L222+L223+L224-L221-L225</f>
        <v>2000</v>
      </c>
    </row>
    <row r="227" ht="14.25" customHeight="1">
      <c r="B227" s="219">
        <v>45085.0</v>
      </c>
      <c r="C227" s="220" t="str">
        <f t="shared" si="32"/>
        <v/>
      </c>
      <c r="D227" s="220"/>
      <c r="E227" s="220">
        <f t="shared" si="30"/>
        <v>0</v>
      </c>
      <c r="F227" s="220">
        <f t="shared" si="31"/>
        <v>-10</v>
      </c>
      <c r="K227" s="216" t="s">
        <v>269</v>
      </c>
      <c r="L227" s="229"/>
    </row>
    <row r="228" ht="14.25" customHeight="1">
      <c r="B228" s="219">
        <v>45086.0</v>
      </c>
      <c r="C228" s="220" t="str">
        <f t="shared" si="32"/>
        <v/>
      </c>
      <c r="D228" s="220"/>
      <c r="E228" s="220">
        <f t="shared" si="30"/>
        <v>0</v>
      </c>
      <c r="F228" s="220">
        <f t="shared" si="31"/>
        <v>-10</v>
      </c>
    </row>
    <row r="229" ht="14.25" customHeight="1">
      <c r="B229" s="254">
        <v>45087.0</v>
      </c>
      <c r="C229" s="255" t="str">
        <f t="shared" si="32"/>
        <v/>
      </c>
      <c r="D229" s="255"/>
      <c r="E229" s="255">
        <f t="shared" si="30"/>
        <v>0</v>
      </c>
      <c r="F229" s="255">
        <f t="shared" si="31"/>
        <v>-10</v>
      </c>
    </row>
    <row r="230" ht="14.25" customHeight="1">
      <c r="B230" s="254">
        <v>45088.0</v>
      </c>
      <c r="C230" s="255" t="str">
        <f t="shared" si="32"/>
        <v/>
      </c>
      <c r="D230" s="255"/>
      <c r="E230" s="255">
        <f t="shared" si="30"/>
        <v>0</v>
      </c>
      <c r="F230" s="255">
        <f t="shared" si="31"/>
        <v>-10</v>
      </c>
    </row>
    <row r="231" ht="14.25" customHeight="1">
      <c r="B231" s="219">
        <v>45089.0</v>
      </c>
      <c r="C231" s="220" t="str">
        <f t="shared" si="32"/>
        <v/>
      </c>
      <c r="D231" s="220"/>
      <c r="E231" s="220">
        <f t="shared" si="30"/>
        <v>0</v>
      </c>
      <c r="F231" s="220">
        <f t="shared" si="31"/>
        <v>-10</v>
      </c>
    </row>
    <row r="232" ht="14.25" customHeight="1">
      <c r="B232" s="219">
        <v>45090.0</v>
      </c>
      <c r="C232" s="220" t="str">
        <f t="shared" si="32"/>
        <v/>
      </c>
      <c r="D232" s="220"/>
      <c r="E232" s="220">
        <f t="shared" si="30"/>
        <v>0</v>
      </c>
      <c r="F232" s="220">
        <f t="shared" si="31"/>
        <v>-10</v>
      </c>
    </row>
    <row r="233" ht="14.25" customHeight="1">
      <c r="B233" s="219">
        <v>45091.0</v>
      </c>
      <c r="C233" s="220" t="str">
        <f t="shared" si="32"/>
        <v/>
      </c>
      <c r="D233" s="220"/>
      <c r="E233" s="220">
        <f t="shared" si="30"/>
        <v>0</v>
      </c>
      <c r="F233" s="220">
        <f t="shared" si="31"/>
        <v>-10</v>
      </c>
    </row>
    <row r="234" ht="14.25" customHeight="1">
      <c r="B234" s="219">
        <v>45092.0</v>
      </c>
      <c r="C234" s="220" t="str">
        <f t="shared" si="32"/>
        <v/>
      </c>
      <c r="D234" s="220"/>
      <c r="E234" s="220">
        <f t="shared" si="30"/>
        <v>0</v>
      </c>
      <c r="F234" s="220">
        <f t="shared" si="31"/>
        <v>-10</v>
      </c>
    </row>
    <row r="235" ht="14.25" customHeight="1">
      <c r="B235" s="219">
        <v>45093.0</v>
      </c>
      <c r="C235" s="220" t="str">
        <f t="shared" si="32"/>
        <v/>
      </c>
      <c r="D235" s="220"/>
      <c r="E235" s="220">
        <f t="shared" si="30"/>
        <v>0</v>
      </c>
      <c r="F235" s="220">
        <f t="shared" si="31"/>
        <v>-10</v>
      </c>
    </row>
    <row r="236" ht="14.25" customHeight="1">
      <c r="B236" s="254">
        <v>45094.0</v>
      </c>
      <c r="C236" s="255" t="str">
        <f t="shared" si="32"/>
        <v/>
      </c>
      <c r="D236" s="255"/>
      <c r="E236" s="255">
        <f t="shared" si="30"/>
        <v>0</v>
      </c>
      <c r="F236" s="255">
        <f t="shared" si="31"/>
        <v>-10</v>
      </c>
    </row>
    <row r="237" ht="14.25" customHeight="1">
      <c r="B237" s="254">
        <v>45095.0</v>
      </c>
      <c r="C237" s="255" t="str">
        <f t="shared" si="32"/>
        <v/>
      </c>
      <c r="D237" s="255"/>
      <c r="E237" s="255">
        <f t="shared" si="30"/>
        <v>0</v>
      </c>
      <c r="F237" s="255">
        <f t="shared" si="31"/>
        <v>-10</v>
      </c>
    </row>
    <row r="238" ht="14.25" customHeight="1">
      <c r="B238" s="219">
        <v>45096.0</v>
      </c>
      <c r="C238" s="220" t="str">
        <f t="shared" si="32"/>
        <v/>
      </c>
      <c r="D238" s="220"/>
      <c r="E238" s="220">
        <f t="shared" si="30"/>
        <v>0</v>
      </c>
      <c r="F238" s="220">
        <f t="shared" si="31"/>
        <v>-10</v>
      </c>
    </row>
    <row r="239" ht="14.25" customHeight="1">
      <c r="B239" s="219">
        <v>45097.0</v>
      </c>
      <c r="C239" s="220" t="str">
        <f t="shared" si="32"/>
        <v/>
      </c>
      <c r="D239" s="220"/>
      <c r="E239" s="220">
        <f t="shared" si="30"/>
        <v>0</v>
      </c>
      <c r="F239" s="220">
        <f t="shared" si="31"/>
        <v>-10</v>
      </c>
    </row>
    <row r="240" ht="14.25" customHeight="1">
      <c r="B240" s="219">
        <v>45098.0</v>
      </c>
      <c r="C240" s="220" t="str">
        <f t="shared" si="32"/>
        <v/>
      </c>
      <c r="D240" s="220"/>
      <c r="E240" s="220">
        <f t="shared" si="30"/>
        <v>0</v>
      </c>
      <c r="F240" s="220">
        <f t="shared" si="31"/>
        <v>-10</v>
      </c>
    </row>
    <row r="241" ht="14.25" customHeight="1">
      <c r="B241" s="219">
        <v>45099.0</v>
      </c>
      <c r="C241" s="220" t="str">
        <f t="shared" si="32"/>
        <v/>
      </c>
      <c r="D241" s="220"/>
      <c r="E241" s="220">
        <f t="shared" si="30"/>
        <v>0</v>
      </c>
      <c r="F241" s="220">
        <f t="shared" si="31"/>
        <v>-10</v>
      </c>
    </row>
    <row r="242" ht="14.25" customHeight="1">
      <c r="B242" s="219">
        <v>45100.0</v>
      </c>
      <c r="C242" s="220" t="str">
        <f t="shared" si="32"/>
        <v/>
      </c>
      <c r="D242" s="220"/>
      <c r="E242" s="220">
        <f t="shared" si="30"/>
        <v>0</v>
      </c>
      <c r="F242" s="220">
        <f t="shared" si="31"/>
        <v>-10</v>
      </c>
    </row>
    <row r="243" ht="14.25" customHeight="1">
      <c r="B243" s="254">
        <v>45101.0</v>
      </c>
      <c r="C243" s="255" t="str">
        <f t="shared" si="32"/>
        <v/>
      </c>
      <c r="D243" s="255"/>
      <c r="E243" s="255">
        <f t="shared" si="30"/>
        <v>0</v>
      </c>
      <c r="F243" s="255">
        <f t="shared" si="31"/>
        <v>-10</v>
      </c>
    </row>
    <row r="244" ht="14.25" customHeight="1">
      <c r="B244" s="254">
        <v>45102.0</v>
      </c>
      <c r="C244" s="255" t="str">
        <f t="shared" si="32"/>
        <v/>
      </c>
      <c r="D244" s="255"/>
      <c r="E244" s="255">
        <f t="shared" si="30"/>
        <v>0</v>
      </c>
      <c r="F244" s="255">
        <f t="shared" si="31"/>
        <v>-10</v>
      </c>
    </row>
    <row r="245" ht="14.25" customHeight="1">
      <c r="B245" s="219">
        <v>45103.0</v>
      </c>
      <c r="C245" s="220" t="str">
        <f t="shared" si="32"/>
        <v/>
      </c>
      <c r="D245" s="220"/>
      <c r="E245" s="220">
        <f t="shared" si="30"/>
        <v>0</v>
      </c>
      <c r="F245" s="220">
        <f t="shared" si="31"/>
        <v>-10</v>
      </c>
    </row>
    <row r="246" ht="14.25" customHeight="1">
      <c r="B246" s="219">
        <v>45104.0</v>
      </c>
      <c r="C246" s="220" t="str">
        <f t="shared" si="32"/>
        <v/>
      </c>
      <c r="D246" s="220"/>
      <c r="E246" s="220">
        <f t="shared" si="30"/>
        <v>0</v>
      </c>
      <c r="F246" s="220">
        <f t="shared" si="31"/>
        <v>-10</v>
      </c>
    </row>
    <row r="247" ht="14.25" customHeight="1">
      <c r="B247" s="219">
        <v>45105.0</v>
      </c>
      <c r="C247" s="220" t="str">
        <f t="shared" si="32"/>
        <v/>
      </c>
      <c r="D247" s="220"/>
      <c r="E247" s="220">
        <f t="shared" si="30"/>
        <v>0</v>
      </c>
      <c r="F247" s="220">
        <f t="shared" si="31"/>
        <v>-10</v>
      </c>
    </row>
    <row r="248" ht="14.25" customHeight="1">
      <c r="B248" s="219">
        <v>45106.0</v>
      </c>
      <c r="C248" s="220" t="str">
        <f t="shared" si="32"/>
        <v/>
      </c>
      <c r="D248" s="220"/>
      <c r="E248" s="220">
        <f t="shared" si="30"/>
        <v>0</v>
      </c>
      <c r="F248" s="220">
        <f t="shared" si="31"/>
        <v>-10</v>
      </c>
    </row>
    <row r="249" ht="14.25" customHeight="1">
      <c r="B249" s="219">
        <v>45107.0</v>
      </c>
      <c r="C249" s="220" t="str">
        <f t="shared" si="32"/>
        <v/>
      </c>
      <c r="D249" s="220"/>
      <c r="E249" s="220">
        <f t="shared" si="30"/>
        <v>0</v>
      </c>
      <c r="F249" s="220">
        <f t="shared" si="31"/>
        <v>-10</v>
      </c>
    </row>
    <row r="250" ht="14.25" customHeight="1">
      <c r="B250" s="229"/>
      <c r="C250" s="220" t="str">
        <f t="shared" si="32"/>
        <v/>
      </c>
      <c r="D250" s="220"/>
      <c r="E250" s="220">
        <f t="shared" si="30"/>
        <v>0</v>
      </c>
      <c r="F250" s="220">
        <f t="shared" si="31"/>
        <v>-10</v>
      </c>
    </row>
    <row r="251" ht="14.25" customHeight="1">
      <c r="B251" s="216"/>
      <c r="C251" s="223" t="s">
        <v>221</v>
      </c>
      <c r="D251" s="223"/>
      <c r="E251" s="216">
        <f>SUM(E220:E250)</f>
        <v>0</v>
      </c>
      <c r="F251" s="216">
        <f t="shared" si="31"/>
        <v>-10</v>
      </c>
    </row>
    <row r="252" ht="14.25" customHeight="1"/>
    <row r="253" ht="14.25" customHeight="1">
      <c r="A253" s="249" t="s">
        <v>226</v>
      </c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1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4.25" customHeight="1"/>
    <row r="255" ht="14.25" customHeight="1">
      <c r="B255" s="216" t="s">
        <v>214</v>
      </c>
      <c r="C255" s="216" t="s">
        <v>215</v>
      </c>
      <c r="D255" s="216" t="s">
        <v>216</v>
      </c>
      <c r="E255" s="216" t="s">
        <v>217</v>
      </c>
      <c r="F255" s="216" t="s">
        <v>218</v>
      </c>
      <c r="H255" s="216" t="s">
        <v>238</v>
      </c>
      <c r="I255" s="216"/>
      <c r="K255" s="253" t="s">
        <v>226</v>
      </c>
      <c r="L255" s="231"/>
    </row>
    <row r="256" ht="14.25" customHeight="1">
      <c r="B256" s="219">
        <v>45078.0</v>
      </c>
      <c r="C256" s="220"/>
      <c r="D256" s="220"/>
      <c r="E256" s="220">
        <f t="shared" ref="E256:E286" si="33">D256-C256</f>
        <v>0</v>
      </c>
      <c r="F256" s="220">
        <f t="shared" ref="F256:F287" si="34">E256-10</f>
        <v>-10</v>
      </c>
      <c r="H256" s="216" t="s">
        <v>245</v>
      </c>
      <c r="I256" s="216"/>
      <c r="K256" s="216" t="s">
        <v>244</v>
      </c>
      <c r="L256" s="232">
        <v>2000.0</v>
      </c>
    </row>
    <row r="257" ht="14.25" customHeight="1">
      <c r="B257" s="219">
        <v>45079.0</v>
      </c>
      <c r="C257" s="220" t="str">
        <f t="shared" ref="C257:C286" si="35">D256</f>
        <v/>
      </c>
      <c r="D257" s="220"/>
      <c r="E257" s="220">
        <f t="shared" si="33"/>
        <v>0</v>
      </c>
      <c r="F257" s="220">
        <f t="shared" si="34"/>
        <v>-10</v>
      </c>
      <c r="H257" s="216" t="s">
        <v>247</v>
      </c>
      <c r="I257" s="216"/>
      <c r="K257" s="216" t="s">
        <v>266</v>
      </c>
      <c r="L257" s="232"/>
    </row>
    <row r="258" ht="14.25" customHeight="1">
      <c r="B258" s="254">
        <v>45080.0</v>
      </c>
      <c r="C258" s="255" t="str">
        <f t="shared" si="35"/>
        <v/>
      </c>
      <c r="D258" s="255"/>
      <c r="E258" s="255">
        <f t="shared" si="33"/>
        <v>0</v>
      </c>
      <c r="F258" s="255">
        <f t="shared" si="34"/>
        <v>-10</v>
      </c>
      <c r="H258" s="216" t="s">
        <v>249</v>
      </c>
      <c r="I258" s="232"/>
      <c r="K258" s="216" t="s">
        <v>246</v>
      </c>
      <c r="L258" s="232">
        <f>O258*O259</f>
        <v>0</v>
      </c>
    </row>
    <row r="259" ht="14.25" customHeight="1">
      <c r="B259" s="254">
        <v>45081.0</v>
      </c>
      <c r="C259" s="255" t="str">
        <f t="shared" si="35"/>
        <v/>
      </c>
      <c r="D259" s="255"/>
      <c r="E259" s="255">
        <f t="shared" si="33"/>
        <v>0</v>
      </c>
      <c r="F259" s="255">
        <f t="shared" si="34"/>
        <v>-10</v>
      </c>
      <c r="H259" s="216" t="s">
        <v>251</v>
      </c>
      <c r="I259" s="216"/>
      <c r="K259" s="216" t="s">
        <v>248</v>
      </c>
      <c r="L259" s="232">
        <f>O260*O261</f>
        <v>0</v>
      </c>
    </row>
    <row r="260" ht="14.25" customHeight="1">
      <c r="B260" s="219">
        <v>45082.0</v>
      </c>
      <c r="C260" s="220" t="str">
        <f t="shared" si="35"/>
        <v/>
      </c>
      <c r="D260" s="220"/>
      <c r="E260" s="220">
        <f t="shared" si="33"/>
        <v>0</v>
      </c>
      <c r="F260" s="220">
        <f t="shared" si="34"/>
        <v>-10</v>
      </c>
      <c r="H260" s="216" t="s">
        <v>249</v>
      </c>
      <c r="I260" s="232"/>
      <c r="K260" s="216" t="s">
        <v>250</v>
      </c>
      <c r="L260" s="232">
        <f>O262*100</f>
        <v>0</v>
      </c>
    </row>
    <row r="261" ht="14.25" customHeight="1">
      <c r="B261" s="219">
        <v>45083.0</v>
      </c>
      <c r="C261" s="220" t="str">
        <f t="shared" si="35"/>
        <v/>
      </c>
      <c r="D261" s="220"/>
      <c r="E261" s="220">
        <f t="shared" si="33"/>
        <v>0</v>
      </c>
      <c r="F261" s="220">
        <f t="shared" si="34"/>
        <v>-10</v>
      </c>
      <c r="H261" s="216" t="s">
        <v>250</v>
      </c>
      <c r="I261" s="216"/>
      <c r="K261" s="216" t="s">
        <v>252</v>
      </c>
      <c r="L261" s="232"/>
    </row>
    <row r="262" ht="14.25" customHeight="1">
      <c r="B262" s="219">
        <v>45084.0</v>
      </c>
      <c r="C262" s="220" t="str">
        <f t="shared" si="35"/>
        <v/>
      </c>
      <c r="D262" s="220"/>
      <c r="E262" s="220">
        <f t="shared" si="33"/>
        <v>0</v>
      </c>
      <c r="F262" s="220">
        <f t="shared" si="34"/>
        <v>-10</v>
      </c>
      <c r="K262" s="216" t="s">
        <v>268</v>
      </c>
      <c r="L262" s="232">
        <f>L256+L258+L259+L260-L257-L261</f>
        <v>2000</v>
      </c>
    </row>
    <row r="263" ht="14.25" customHeight="1">
      <c r="B263" s="219">
        <v>45085.0</v>
      </c>
      <c r="C263" s="220" t="str">
        <f t="shared" si="35"/>
        <v/>
      </c>
      <c r="D263" s="220"/>
      <c r="E263" s="220">
        <f t="shared" si="33"/>
        <v>0</v>
      </c>
      <c r="F263" s="220">
        <f t="shared" si="34"/>
        <v>-10</v>
      </c>
      <c r="K263" s="216" t="s">
        <v>269</v>
      </c>
      <c r="L263" s="229"/>
    </row>
    <row r="264" ht="14.25" customHeight="1">
      <c r="B264" s="219">
        <v>45086.0</v>
      </c>
      <c r="C264" s="220" t="str">
        <f t="shared" si="35"/>
        <v/>
      </c>
      <c r="D264" s="220"/>
      <c r="E264" s="220">
        <f t="shared" si="33"/>
        <v>0</v>
      </c>
      <c r="F264" s="220">
        <f t="shared" si="34"/>
        <v>-10</v>
      </c>
    </row>
    <row r="265" ht="14.25" customHeight="1">
      <c r="B265" s="254">
        <v>45087.0</v>
      </c>
      <c r="C265" s="255" t="str">
        <f t="shared" si="35"/>
        <v/>
      </c>
      <c r="D265" s="255"/>
      <c r="E265" s="255">
        <f t="shared" si="33"/>
        <v>0</v>
      </c>
      <c r="F265" s="255">
        <f t="shared" si="34"/>
        <v>-10</v>
      </c>
    </row>
    <row r="266" ht="14.25" customHeight="1">
      <c r="B266" s="254">
        <v>45088.0</v>
      </c>
      <c r="C266" s="255" t="str">
        <f t="shared" si="35"/>
        <v/>
      </c>
      <c r="D266" s="255"/>
      <c r="E266" s="255">
        <f t="shared" si="33"/>
        <v>0</v>
      </c>
      <c r="F266" s="255">
        <f t="shared" si="34"/>
        <v>-10</v>
      </c>
    </row>
    <row r="267" ht="14.25" customHeight="1">
      <c r="B267" s="219">
        <v>45089.0</v>
      </c>
      <c r="C267" s="220" t="str">
        <f t="shared" si="35"/>
        <v/>
      </c>
      <c r="D267" s="220"/>
      <c r="E267" s="220">
        <f t="shared" si="33"/>
        <v>0</v>
      </c>
      <c r="F267" s="220">
        <f t="shared" si="34"/>
        <v>-10</v>
      </c>
    </row>
    <row r="268" ht="14.25" customHeight="1">
      <c r="B268" s="219">
        <v>45090.0</v>
      </c>
      <c r="C268" s="220" t="str">
        <f t="shared" si="35"/>
        <v/>
      </c>
      <c r="D268" s="220"/>
      <c r="E268" s="220">
        <f t="shared" si="33"/>
        <v>0</v>
      </c>
      <c r="F268" s="220">
        <f t="shared" si="34"/>
        <v>-10</v>
      </c>
    </row>
    <row r="269" ht="14.25" customHeight="1">
      <c r="B269" s="219">
        <v>45091.0</v>
      </c>
      <c r="C269" s="220" t="str">
        <f t="shared" si="35"/>
        <v/>
      </c>
      <c r="D269" s="220"/>
      <c r="E269" s="220">
        <f t="shared" si="33"/>
        <v>0</v>
      </c>
      <c r="F269" s="220">
        <f t="shared" si="34"/>
        <v>-10</v>
      </c>
    </row>
    <row r="270" ht="14.25" customHeight="1">
      <c r="B270" s="219">
        <v>45092.0</v>
      </c>
      <c r="C270" s="220" t="str">
        <f t="shared" si="35"/>
        <v/>
      </c>
      <c r="D270" s="220"/>
      <c r="E270" s="220">
        <f t="shared" si="33"/>
        <v>0</v>
      </c>
      <c r="F270" s="220">
        <f t="shared" si="34"/>
        <v>-10</v>
      </c>
    </row>
    <row r="271" ht="14.25" customHeight="1">
      <c r="B271" s="219">
        <v>45093.0</v>
      </c>
      <c r="C271" s="220" t="str">
        <f t="shared" si="35"/>
        <v/>
      </c>
      <c r="D271" s="220"/>
      <c r="E271" s="220">
        <f t="shared" si="33"/>
        <v>0</v>
      </c>
      <c r="F271" s="220">
        <f t="shared" si="34"/>
        <v>-10</v>
      </c>
    </row>
    <row r="272" ht="14.25" customHeight="1">
      <c r="B272" s="254">
        <v>45094.0</v>
      </c>
      <c r="C272" s="255" t="str">
        <f t="shared" si="35"/>
        <v/>
      </c>
      <c r="D272" s="255"/>
      <c r="E272" s="255">
        <f t="shared" si="33"/>
        <v>0</v>
      </c>
      <c r="F272" s="255">
        <f t="shared" si="34"/>
        <v>-10</v>
      </c>
    </row>
    <row r="273" ht="14.25" customHeight="1">
      <c r="B273" s="254">
        <v>45095.0</v>
      </c>
      <c r="C273" s="255" t="str">
        <f t="shared" si="35"/>
        <v/>
      </c>
      <c r="D273" s="255"/>
      <c r="E273" s="255">
        <f t="shared" si="33"/>
        <v>0</v>
      </c>
      <c r="F273" s="255">
        <f t="shared" si="34"/>
        <v>-10</v>
      </c>
    </row>
    <row r="274" ht="14.25" customHeight="1">
      <c r="B274" s="219">
        <v>45096.0</v>
      </c>
      <c r="C274" s="220" t="str">
        <f t="shared" si="35"/>
        <v/>
      </c>
      <c r="D274" s="220"/>
      <c r="E274" s="220">
        <f t="shared" si="33"/>
        <v>0</v>
      </c>
      <c r="F274" s="220">
        <f t="shared" si="34"/>
        <v>-10</v>
      </c>
    </row>
    <row r="275" ht="14.25" customHeight="1">
      <c r="B275" s="219">
        <v>45097.0</v>
      </c>
      <c r="C275" s="220" t="str">
        <f t="shared" si="35"/>
        <v/>
      </c>
      <c r="D275" s="220"/>
      <c r="E275" s="220">
        <f t="shared" si="33"/>
        <v>0</v>
      </c>
      <c r="F275" s="220">
        <f t="shared" si="34"/>
        <v>-10</v>
      </c>
    </row>
    <row r="276" ht="14.25" customHeight="1">
      <c r="B276" s="219">
        <v>45098.0</v>
      </c>
      <c r="C276" s="220" t="str">
        <f t="shared" si="35"/>
        <v/>
      </c>
      <c r="D276" s="220"/>
      <c r="E276" s="220">
        <f t="shared" si="33"/>
        <v>0</v>
      </c>
      <c r="F276" s="220">
        <f t="shared" si="34"/>
        <v>-10</v>
      </c>
    </row>
    <row r="277" ht="14.25" customHeight="1">
      <c r="B277" s="219">
        <v>45099.0</v>
      </c>
      <c r="C277" s="220" t="str">
        <f t="shared" si="35"/>
        <v/>
      </c>
      <c r="D277" s="220"/>
      <c r="E277" s="220">
        <f t="shared" si="33"/>
        <v>0</v>
      </c>
      <c r="F277" s="220">
        <f t="shared" si="34"/>
        <v>-10</v>
      </c>
    </row>
    <row r="278" ht="14.25" customHeight="1">
      <c r="B278" s="219">
        <v>45100.0</v>
      </c>
      <c r="C278" s="220" t="str">
        <f t="shared" si="35"/>
        <v/>
      </c>
      <c r="D278" s="220"/>
      <c r="E278" s="220">
        <f t="shared" si="33"/>
        <v>0</v>
      </c>
      <c r="F278" s="220">
        <f t="shared" si="34"/>
        <v>-10</v>
      </c>
    </row>
    <row r="279" ht="14.25" customHeight="1">
      <c r="B279" s="254">
        <v>45101.0</v>
      </c>
      <c r="C279" s="255" t="str">
        <f t="shared" si="35"/>
        <v/>
      </c>
      <c r="D279" s="255"/>
      <c r="E279" s="255">
        <f t="shared" si="33"/>
        <v>0</v>
      </c>
      <c r="F279" s="255">
        <f t="shared" si="34"/>
        <v>-10</v>
      </c>
    </row>
    <row r="280" ht="14.25" customHeight="1">
      <c r="B280" s="254">
        <v>45102.0</v>
      </c>
      <c r="C280" s="255" t="str">
        <f t="shared" si="35"/>
        <v/>
      </c>
      <c r="D280" s="255"/>
      <c r="E280" s="255">
        <f t="shared" si="33"/>
        <v>0</v>
      </c>
      <c r="F280" s="255">
        <f t="shared" si="34"/>
        <v>-10</v>
      </c>
    </row>
    <row r="281" ht="14.25" customHeight="1">
      <c r="B281" s="219">
        <v>45103.0</v>
      </c>
      <c r="C281" s="220" t="str">
        <f t="shared" si="35"/>
        <v/>
      </c>
      <c r="D281" s="220"/>
      <c r="E281" s="220">
        <f t="shared" si="33"/>
        <v>0</v>
      </c>
      <c r="F281" s="220">
        <f t="shared" si="34"/>
        <v>-10</v>
      </c>
    </row>
    <row r="282" ht="14.25" customHeight="1">
      <c r="B282" s="219">
        <v>45104.0</v>
      </c>
      <c r="C282" s="220" t="str">
        <f t="shared" si="35"/>
        <v/>
      </c>
      <c r="D282" s="220"/>
      <c r="E282" s="220">
        <f t="shared" si="33"/>
        <v>0</v>
      </c>
      <c r="F282" s="220">
        <f t="shared" si="34"/>
        <v>-10</v>
      </c>
    </row>
    <row r="283" ht="14.25" customHeight="1">
      <c r="B283" s="219">
        <v>45105.0</v>
      </c>
      <c r="C283" s="220" t="str">
        <f t="shared" si="35"/>
        <v/>
      </c>
      <c r="D283" s="220"/>
      <c r="E283" s="220">
        <f t="shared" si="33"/>
        <v>0</v>
      </c>
      <c r="F283" s="220">
        <f t="shared" si="34"/>
        <v>-10</v>
      </c>
    </row>
    <row r="284" ht="14.25" customHeight="1">
      <c r="B284" s="219">
        <v>45106.0</v>
      </c>
      <c r="C284" s="220" t="str">
        <f t="shared" si="35"/>
        <v/>
      </c>
      <c r="D284" s="220"/>
      <c r="E284" s="220">
        <f t="shared" si="33"/>
        <v>0</v>
      </c>
      <c r="F284" s="220">
        <f t="shared" si="34"/>
        <v>-10</v>
      </c>
    </row>
    <row r="285" ht="14.25" customHeight="1">
      <c r="B285" s="219">
        <v>45107.0</v>
      </c>
      <c r="C285" s="220" t="str">
        <f t="shared" si="35"/>
        <v/>
      </c>
      <c r="D285" s="220"/>
      <c r="E285" s="220">
        <f t="shared" si="33"/>
        <v>0</v>
      </c>
      <c r="F285" s="220">
        <f t="shared" si="34"/>
        <v>-10</v>
      </c>
    </row>
    <row r="286" ht="14.25" customHeight="1">
      <c r="B286" s="229"/>
      <c r="C286" s="220" t="str">
        <f t="shared" si="35"/>
        <v/>
      </c>
      <c r="D286" s="220"/>
      <c r="E286" s="220">
        <f t="shared" si="33"/>
        <v>0</v>
      </c>
      <c r="F286" s="220">
        <f t="shared" si="34"/>
        <v>-10</v>
      </c>
    </row>
    <row r="287" ht="14.25" customHeight="1">
      <c r="B287" s="216"/>
      <c r="C287" s="223" t="s">
        <v>221</v>
      </c>
      <c r="D287" s="223"/>
      <c r="E287" s="216">
        <f>SUM(E256:E286)</f>
        <v>0</v>
      </c>
      <c r="F287" s="216">
        <f t="shared" si="34"/>
        <v>-10</v>
      </c>
    </row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K147:L147"/>
    <mergeCell ref="A181:L181"/>
    <mergeCell ref="K183:L183"/>
    <mergeCell ref="A217:L217"/>
    <mergeCell ref="K219:L219"/>
    <mergeCell ref="A253:L253"/>
    <mergeCell ref="K255:L255"/>
    <mergeCell ref="K3:L3"/>
    <mergeCell ref="K39:L39"/>
    <mergeCell ref="A73:L73"/>
    <mergeCell ref="K75:L75"/>
    <mergeCell ref="A109:L109"/>
    <mergeCell ref="K111:L111"/>
    <mergeCell ref="A145:L14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5.29"/>
    <col customWidth="1" min="3" max="3" width="13.29"/>
    <col customWidth="1" min="4" max="4" width="13.0"/>
    <col customWidth="1" min="5" max="5" width="12.71"/>
    <col customWidth="1" min="6" max="6" width="12.57"/>
    <col customWidth="1" min="7" max="7" width="4.0"/>
    <col customWidth="1" min="8" max="8" width="18.0"/>
    <col customWidth="1" min="9" max="9" width="11.29"/>
    <col customWidth="1" min="10" max="10" width="5.86"/>
    <col customWidth="1" min="11" max="11" width="18.29"/>
    <col customWidth="1" min="12" max="12" width="16.43"/>
    <col customWidth="1" min="13" max="26" width="8.71"/>
  </cols>
  <sheetData>
    <row r="1" ht="14.25" customHeight="1">
      <c r="A1" s="249" t="s">
        <v>230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1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4.25" customHeight="1"/>
    <row r="3" ht="14.25" customHeight="1">
      <c r="B3" s="216" t="s">
        <v>214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/>
      <c r="K3" s="253" t="s">
        <v>406</v>
      </c>
      <c r="L3" s="231"/>
    </row>
    <row r="4" ht="14.25" customHeight="1">
      <c r="B4" s="254">
        <v>45017.0</v>
      </c>
      <c r="C4" s="255"/>
      <c r="D4" s="255"/>
      <c r="E4" s="255">
        <f t="shared" ref="E4:E34" si="1">D4-C4</f>
        <v>0</v>
      </c>
      <c r="F4" s="255">
        <f t="shared" ref="F4:F35" si="2">E4-10</f>
        <v>-10</v>
      </c>
      <c r="H4" s="216" t="s">
        <v>245</v>
      </c>
      <c r="I4" s="216"/>
      <c r="K4" s="216" t="s">
        <v>244</v>
      </c>
      <c r="L4" s="232"/>
    </row>
    <row r="5" ht="14.25" customHeight="1">
      <c r="B5" s="254">
        <v>45018.0</v>
      </c>
      <c r="C5" s="255" t="str">
        <f t="shared" ref="C5:C34" si="3">D4</f>
        <v/>
      </c>
      <c r="D5" s="255"/>
      <c r="E5" s="255">
        <f t="shared" si="1"/>
        <v>0</v>
      </c>
      <c r="F5" s="255">
        <f t="shared" si="2"/>
        <v>-10</v>
      </c>
      <c r="H5" s="216" t="s">
        <v>247</v>
      </c>
      <c r="I5" s="216"/>
      <c r="K5" s="216" t="s">
        <v>266</v>
      </c>
      <c r="L5" s="232"/>
    </row>
    <row r="6" ht="14.25" customHeight="1">
      <c r="B6" s="229">
        <v>45019.0</v>
      </c>
      <c r="C6" s="220" t="str">
        <f t="shared" si="3"/>
        <v/>
      </c>
      <c r="D6" s="220"/>
      <c r="E6" s="220">
        <f t="shared" si="1"/>
        <v>0</v>
      </c>
      <c r="F6" s="220">
        <f t="shared" si="2"/>
        <v>-10</v>
      </c>
      <c r="H6" s="216" t="s">
        <v>249</v>
      </c>
      <c r="I6" s="232">
        <v>10.0</v>
      </c>
      <c r="K6" s="216" t="s">
        <v>246</v>
      </c>
      <c r="L6" s="232">
        <f>O6*O7</f>
        <v>0</v>
      </c>
    </row>
    <row r="7" ht="14.25" customHeight="1">
      <c r="B7" s="229">
        <v>45020.0</v>
      </c>
      <c r="C7" s="220" t="str">
        <f t="shared" si="3"/>
        <v/>
      </c>
      <c r="D7" s="220"/>
      <c r="E7" s="220">
        <f t="shared" si="1"/>
        <v>0</v>
      </c>
      <c r="F7" s="220">
        <f t="shared" si="2"/>
        <v>-10</v>
      </c>
      <c r="H7" s="216" t="s">
        <v>251</v>
      </c>
      <c r="I7" s="216"/>
      <c r="K7" s="216" t="s">
        <v>248</v>
      </c>
      <c r="L7" s="232">
        <f>O8*O9</f>
        <v>0</v>
      </c>
    </row>
    <row r="8" ht="14.25" customHeight="1">
      <c r="B8" s="229">
        <v>45021.0</v>
      </c>
      <c r="C8" s="220" t="str">
        <f t="shared" si="3"/>
        <v/>
      </c>
      <c r="D8" s="220"/>
      <c r="E8" s="220">
        <f t="shared" si="1"/>
        <v>0</v>
      </c>
      <c r="F8" s="220">
        <f t="shared" si="2"/>
        <v>-10</v>
      </c>
      <c r="H8" s="216" t="s">
        <v>249</v>
      </c>
      <c r="I8" s="232">
        <v>10.0</v>
      </c>
      <c r="K8" s="216" t="s">
        <v>250</v>
      </c>
      <c r="L8" s="232">
        <f>O10*100</f>
        <v>0</v>
      </c>
    </row>
    <row r="9" ht="14.25" customHeight="1">
      <c r="B9" s="229">
        <v>45022.0</v>
      </c>
      <c r="C9" s="220" t="str">
        <f t="shared" si="3"/>
        <v/>
      </c>
      <c r="D9" s="220"/>
      <c r="E9" s="220">
        <f t="shared" si="1"/>
        <v>0</v>
      </c>
      <c r="F9" s="220">
        <f t="shared" si="2"/>
        <v>-10</v>
      </c>
      <c r="H9" s="216" t="s">
        <v>250</v>
      </c>
      <c r="I9" s="216"/>
      <c r="K9" s="216" t="s">
        <v>252</v>
      </c>
      <c r="L9" s="232"/>
    </row>
    <row r="10" ht="14.25" customHeight="1">
      <c r="B10" s="229">
        <v>45023.0</v>
      </c>
      <c r="C10" s="220" t="str">
        <f t="shared" si="3"/>
        <v/>
      </c>
      <c r="D10" s="220"/>
      <c r="E10" s="220">
        <f t="shared" si="1"/>
        <v>0</v>
      </c>
      <c r="F10" s="220">
        <f t="shared" si="2"/>
        <v>-10</v>
      </c>
      <c r="K10" s="216" t="s">
        <v>268</v>
      </c>
      <c r="L10" s="232">
        <f>L4+L6+L7+L8-L5-L9</f>
        <v>0</v>
      </c>
    </row>
    <row r="11" ht="14.25" customHeight="1">
      <c r="B11" s="254">
        <v>45024.0</v>
      </c>
      <c r="C11" s="255" t="str">
        <f t="shared" si="3"/>
        <v/>
      </c>
      <c r="D11" s="255"/>
      <c r="E11" s="255">
        <f t="shared" si="1"/>
        <v>0</v>
      </c>
      <c r="F11" s="255">
        <f t="shared" si="2"/>
        <v>-10</v>
      </c>
      <c r="K11" s="216" t="s">
        <v>269</v>
      </c>
      <c r="L11" s="229"/>
    </row>
    <row r="12" ht="14.25" customHeight="1">
      <c r="B12" s="254">
        <v>45025.0</v>
      </c>
      <c r="C12" s="255" t="str">
        <f t="shared" si="3"/>
        <v/>
      </c>
      <c r="D12" s="255"/>
      <c r="E12" s="255">
        <f t="shared" si="1"/>
        <v>0</v>
      </c>
      <c r="F12" s="255">
        <f t="shared" si="2"/>
        <v>-10</v>
      </c>
    </row>
    <row r="13" ht="14.25" customHeight="1">
      <c r="B13" s="229">
        <v>45026.0</v>
      </c>
      <c r="C13" s="220" t="str">
        <f t="shared" si="3"/>
        <v/>
      </c>
      <c r="D13" s="220"/>
      <c r="E13" s="220">
        <f t="shared" si="1"/>
        <v>0</v>
      </c>
      <c r="F13" s="220">
        <f t="shared" si="2"/>
        <v>-10</v>
      </c>
    </row>
    <row r="14" ht="14.25" customHeight="1">
      <c r="B14" s="229">
        <v>45027.0</v>
      </c>
      <c r="C14" s="220" t="str">
        <f t="shared" si="3"/>
        <v/>
      </c>
      <c r="D14" s="220"/>
      <c r="E14" s="220">
        <f t="shared" si="1"/>
        <v>0</v>
      </c>
      <c r="F14" s="220">
        <f t="shared" si="2"/>
        <v>-10</v>
      </c>
    </row>
    <row r="15" ht="14.25" customHeight="1">
      <c r="B15" s="229">
        <v>45028.0</v>
      </c>
      <c r="C15" s="220" t="str">
        <f t="shared" si="3"/>
        <v/>
      </c>
      <c r="D15" s="220"/>
      <c r="E15" s="220">
        <f t="shared" si="1"/>
        <v>0</v>
      </c>
      <c r="F15" s="220">
        <f t="shared" si="2"/>
        <v>-10</v>
      </c>
    </row>
    <row r="16" ht="14.25" customHeight="1">
      <c r="B16" s="229">
        <v>45029.0</v>
      </c>
      <c r="C16" s="220" t="str">
        <f t="shared" si="3"/>
        <v/>
      </c>
      <c r="D16" s="220"/>
      <c r="E16" s="220">
        <f t="shared" si="1"/>
        <v>0</v>
      </c>
      <c r="F16" s="220">
        <f t="shared" si="2"/>
        <v>-10</v>
      </c>
    </row>
    <row r="17" ht="14.25" customHeight="1">
      <c r="B17" s="229">
        <v>45030.0</v>
      </c>
      <c r="C17" s="220" t="str">
        <f t="shared" si="3"/>
        <v/>
      </c>
      <c r="D17" s="220"/>
      <c r="E17" s="220">
        <f t="shared" si="1"/>
        <v>0</v>
      </c>
      <c r="F17" s="220">
        <f t="shared" si="2"/>
        <v>-10</v>
      </c>
    </row>
    <row r="18" ht="14.25" customHeight="1">
      <c r="B18" s="254">
        <v>45031.0</v>
      </c>
      <c r="C18" s="255" t="str">
        <f t="shared" si="3"/>
        <v/>
      </c>
      <c r="D18" s="255"/>
      <c r="E18" s="255">
        <f t="shared" si="1"/>
        <v>0</v>
      </c>
      <c r="F18" s="255">
        <f t="shared" si="2"/>
        <v>-10</v>
      </c>
      <c r="K18" s="233">
        <v>45020.0</v>
      </c>
      <c r="L18" s="165" t="s">
        <v>407</v>
      </c>
    </row>
    <row r="19" ht="14.25" customHeight="1">
      <c r="B19" s="254">
        <v>45032.0</v>
      </c>
      <c r="C19" s="255" t="str">
        <f t="shared" si="3"/>
        <v/>
      </c>
      <c r="D19" s="255"/>
      <c r="E19" s="255">
        <f t="shared" si="1"/>
        <v>0</v>
      </c>
      <c r="F19" s="255">
        <f t="shared" si="2"/>
        <v>-10</v>
      </c>
      <c r="K19" s="247">
        <v>45068.0</v>
      </c>
      <c r="L19" s="165">
        <v>559.1</v>
      </c>
    </row>
    <row r="20" ht="14.25" customHeight="1">
      <c r="B20" s="229">
        <v>45033.0</v>
      </c>
      <c r="C20" s="220" t="str">
        <f t="shared" si="3"/>
        <v/>
      </c>
      <c r="D20" s="220"/>
      <c r="E20" s="220">
        <f t="shared" si="1"/>
        <v>0</v>
      </c>
      <c r="F20" s="220">
        <f t="shared" si="2"/>
        <v>-10</v>
      </c>
    </row>
    <row r="21" ht="14.25" customHeight="1">
      <c r="B21" s="229">
        <v>45034.0</v>
      </c>
      <c r="C21" s="220" t="str">
        <f t="shared" si="3"/>
        <v/>
      </c>
      <c r="D21" s="220"/>
      <c r="E21" s="220">
        <f t="shared" si="1"/>
        <v>0</v>
      </c>
      <c r="F21" s="220">
        <f t="shared" si="2"/>
        <v>-10</v>
      </c>
    </row>
    <row r="22" ht="14.25" customHeight="1">
      <c r="B22" s="229">
        <v>45035.0</v>
      </c>
      <c r="C22" s="220" t="str">
        <f t="shared" si="3"/>
        <v/>
      </c>
      <c r="D22" s="220"/>
      <c r="E22" s="220">
        <f t="shared" si="1"/>
        <v>0</v>
      </c>
      <c r="F22" s="220">
        <f t="shared" si="2"/>
        <v>-10</v>
      </c>
    </row>
    <row r="23" ht="14.25" customHeight="1">
      <c r="B23" s="229">
        <v>45036.0</v>
      </c>
      <c r="C23" s="220" t="str">
        <f t="shared" si="3"/>
        <v/>
      </c>
      <c r="D23" s="220"/>
      <c r="E23" s="220">
        <f t="shared" si="1"/>
        <v>0</v>
      </c>
      <c r="F23" s="220">
        <f t="shared" si="2"/>
        <v>-10</v>
      </c>
      <c r="K23" s="4" t="s">
        <v>408</v>
      </c>
    </row>
    <row r="24" ht="14.25" customHeight="1">
      <c r="B24" s="254">
        <v>45037.0</v>
      </c>
      <c r="C24" s="255" t="str">
        <f t="shared" si="3"/>
        <v/>
      </c>
      <c r="D24" s="255"/>
      <c r="E24" s="255">
        <f t="shared" si="1"/>
        <v>0</v>
      </c>
      <c r="F24" s="255">
        <f t="shared" si="2"/>
        <v>-10</v>
      </c>
    </row>
    <row r="25" ht="14.25" customHeight="1">
      <c r="B25" s="254">
        <v>45038.0</v>
      </c>
      <c r="C25" s="255" t="str">
        <f t="shared" si="3"/>
        <v/>
      </c>
      <c r="D25" s="255"/>
      <c r="E25" s="255">
        <f t="shared" si="1"/>
        <v>0</v>
      </c>
      <c r="F25" s="255">
        <f t="shared" si="2"/>
        <v>-10</v>
      </c>
    </row>
    <row r="26" ht="14.25" customHeight="1">
      <c r="B26" s="254">
        <v>45039.0</v>
      </c>
      <c r="C26" s="255" t="str">
        <f t="shared" si="3"/>
        <v/>
      </c>
      <c r="D26" s="255"/>
      <c r="E26" s="255">
        <f t="shared" si="1"/>
        <v>0</v>
      </c>
      <c r="F26" s="255">
        <f t="shared" si="2"/>
        <v>-10</v>
      </c>
    </row>
    <row r="27" ht="14.25" customHeight="1">
      <c r="B27" s="229">
        <v>45040.0</v>
      </c>
      <c r="C27" s="220" t="str">
        <f t="shared" si="3"/>
        <v/>
      </c>
      <c r="D27" s="220"/>
      <c r="E27" s="216">
        <f t="shared" si="1"/>
        <v>0</v>
      </c>
      <c r="F27" s="216">
        <f t="shared" si="2"/>
        <v>-10</v>
      </c>
    </row>
    <row r="28" ht="14.25" customHeight="1">
      <c r="B28" s="229">
        <v>45041.0</v>
      </c>
      <c r="C28" s="220" t="str">
        <f t="shared" si="3"/>
        <v/>
      </c>
      <c r="D28" s="220"/>
      <c r="E28" s="216">
        <f t="shared" si="1"/>
        <v>0</v>
      </c>
      <c r="F28" s="216">
        <f t="shared" si="2"/>
        <v>-10</v>
      </c>
    </row>
    <row r="29" ht="15.0" customHeight="1">
      <c r="B29" s="229">
        <v>45042.0</v>
      </c>
      <c r="C29" s="220" t="str">
        <f t="shared" si="3"/>
        <v/>
      </c>
      <c r="D29" s="220"/>
      <c r="E29" s="216">
        <f t="shared" si="1"/>
        <v>0</v>
      </c>
      <c r="F29" s="216">
        <f t="shared" si="2"/>
        <v>-10</v>
      </c>
    </row>
    <row r="30" ht="15.0" customHeight="1">
      <c r="B30" s="229">
        <v>45043.0</v>
      </c>
      <c r="C30" s="220" t="str">
        <f t="shared" si="3"/>
        <v/>
      </c>
      <c r="D30" s="220"/>
      <c r="E30" s="216">
        <f t="shared" si="1"/>
        <v>0</v>
      </c>
      <c r="F30" s="216">
        <f t="shared" si="2"/>
        <v>-10</v>
      </c>
    </row>
    <row r="31" ht="15.0" customHeight="1">
      <c r="B31" s="229">
        <v>45044.0</v>
      </c>
      <c r="C31" s="220" t="str">
        <f t="shared" si="3"/>
        <v/>
      </c>
      <c r="D31" s="220"/>
      <c r="E31" s="216">
        <f t="shared" si="1"/>
        <v>0</v>
      </c>
      <c r="F31" s="216">
        <f t="shared" si="2"/>
        <v>-10</v>
      </c>
    </row>
    <row r="32" ht="15.0" customHeight="1">
      <c r="B32" s="254">
        <v>45045.0</v>
      </c>
      <c r="C32" s="255" t="str">
        <f t="shared" si="3"/>
        <v/>
      </c>
      <c r="D32" s="255"/>
      <c r="E32" s="255">
        <f t="shared" si="1"/>
        <v>0</v>
      </c>
      <c r="F32" s="255">
        <f t="shared" si="2"/>
        <v>-10</v>
      </c>
    </row>
    <row r="33" ht="15.0" customHeight="1">
      <c r="B33" s="254">
        <v>45046.0</v>
      </c>
      <c r="C33" s="255" t="str">
        <f t="shared" si="3"/>
        <v/>
      </c>
      <c r="D33" s="255"/>
      <c r="E33" s="255">
        <f t="shared" si="1"/>
        <v>0</v>
      </c>
      <c r="F33" s="255">
        <f t="shared" si="2"/>
        <v>-10</v>
      </c>
    </row>
    <row r="34" ht="15.0" customHeight="1">
      <c r="B34" s="229"/>
      <c r="C34" s="220" t="str">
        <f t="shared" si="3"/>
        <v/>
      </c>
      <c r="D34" s="220"/>
      <c r="E34" s="216">
        <f t="shared" si="1"/>
        <v>0</v>
      </c>
      <c r="F34" s="216">
        <f t="shared" si="2"/>
        <v>-10</v>
      </c>
    </row>
    <row r="35" ht="14.25" customHeight="1">
      <c r="B35" s="216"/>
      <c r="C35" s="223" t="s">
        <v>221</v>
      </c>
      <c r="D35" s="223"/>
      <c r="E35" s="216">
        <f>SUM(E4:E34)</f>
        <v>0</v>
      </c>
      <c r="F35" s="216">
        <f t="shared" si="2"/>
        <v>-10</v>
      </c>
    </row>
    <row r="36" ht="14.25" customHeight="1"/>
    <row r="37" ht="14.25" customHeight="1">
      <c r="A37" s="249" t="s">
        <v>231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1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4.25" customHeight="1"/>
    <row r="39" ht="14.25" customHeight="1">
      <c r="B39" s="216" t="s">
        <v>214</v>
      </c>
      <c r="C39" s="216" t="s">
        <v>215</v>
      </c>
      <c r="D39" s="216" t="s">
        <v>216</v>
      </c>
      <c r="E39" s="216" t="s">
        <v>217</v>
      </c>
      <c r="F39" s="216" t="s">
        <v>218</v>
      </c>
      <c r="H39" s="216" t="s">
        <v>238</v>
      </c>
      <c r="I39" s="216"/>
      <c r="K39" s="253" t="s">
        <v>409</v>
      </c>
      <c r="L39" s="231"/>
    </row>
    <row r="40" ht="14.25" customHeight="1">
      <c r="B40" s="219">
        <v>45047.0</v>
      </c>
      <c r="C40" s="220"/>
      <c r="D40" s="220"/>
      <c r="E40" s="220">
        <f t="shared" ref="E40:E70" si="4">D40-C40</f>
        <v>0</v>
      </c>
      <c r="F40" s="220">
        <f t="shared" ref="F40:F71" si="5">E40-10</f>
        <v>-10</v>
      </c>
      <c r="H40" s="216" t="s">
        <v>245</v>
      </c>
      <c r="I40" s="216"/>
      <c r="K40" s="216" t="s">
        <v>244</v>
      </c>
      <c r="L40" s="232"/>
    </row>
    <row r="41" ht="14.25" customHeight="1">
      <c r="B41" s="219">
        <v>45048.0</v>
      </c>
      <c r="C41" s="220" t="str">
        <f t="shared" ref="C41:C43" si="6">D40</f>
        <v/>
      </c>
      <c r="D41" s="220"/>
      <c r="E41" s="220">
        <f t="shared" si="4"/>
        <v>0</v>
      </c>
      <c r="F41" s="220">
        <f t="shared" si="5"/>
        <v>-10</v>
      </c>
      <c r="H41" s="216" t="s">
        <v>247</v>
      </c>
      <c r="I41" s="216"/>
      <c r="K41" s="216" t="s">
        <v>266</v>
      </c>
      <c r="L41" s="232"/>
    </row>
    <row r="42" ht="14.25" customHeight="1">
      <c r="B42" s="219">
        <v>45049.0</v>
      </c>
      <c r="C42" s="220" t="str">
        <f t="shared" si="6"/>
        <v/>
      </c>
      <c r="D42" s="220"/>
      <c r="E42" s="220">
        <f t="shared" si="4"/>
        <v>0</v>
      </c>
      <c r="F42" s="220">
        <f t="shared" si="5"/>
        <v>-10</v>
      </c>
      <c r="H42" s="216" t="s">
        <v>249</v>
      </c>
      <c r="I42" s="232">
        <v>10.0</v>
      </c>
      <c r="K42" s="216" t="s">
        <v>246</v>
      </c>
      <c r="L42" s="232">
        <f>O42*O43</f>
        <v>0</v>
      </c>
    </row>
    <row r="43" ht="14.25" customHeight="1">
      <c r="B43" s="219">
        <v>45050.0</v>
      </c>
      <c r="C43" s="220" t="str">
        <f t="shared" si="6"/>
        <v/>
      </c>
      <c r="D43" s="220"/>
      <c r="E43" s="220">
        <f t="shared" si="4"/>
        <v>0</v>
      </c>
      <c r="F43" s="220">
        <f t="shared" si="5"/>
        <v>-10</v>
      </c>
      <c r="H43" s="216" t="s">
        <v>251</v>
      </c>
      <c r="I43" s="216"/>
      <c r="K43" s="216" t="s">
        <v>248</v>
      </c>
      <c r="L43" s="232">
        <f>O44*O45</f>
        <v>0</v>
      </c>
    </row>
    <row r="44" ht="14.25" customHeight="1">
      <c r="B44" s="219">
        <v>45051.0</v>
      </c>
      <c r="C44" s="220">
        <v>102.2</v>
      </c>
      <c r="D44" s="220">
        <v>110.8</v>
      </c>
      <c r="E44" s="220">
        <f t="shared" si="4"/>
        <v>8.6</v>
      </c>
      <c r="F44" s="220">
        <f t="shared" si="5"/>
        <v>-1.4</v>
      </c>
      <c r="H44" s="216" t="s">
        <v>249</v>
      </c>
      <c r="I44" s="232">
        <v>10.0</v>
      </c>
      <c r="K44" s="216" t="s">
        <v>250</v>
      </c>
      <c r="L44" s="232">
        <f>O46*100</f>
        <v>0</v>
      </c>
    </row>
    <row r="45" ht="14.25" customHeight="1">
      <c r="B45" s="254">
        <v>45052.0</v>
      </c>
      <c r="C45" s="255">
        <f t="shared" ref="C45:C47" si="7">D44</f>
        <v>110.8</v>
      </c>
      <c r="D45" s="255">
        <v>118.5</v>
      </c>
      <c r="E45" s="255">
        <f t="shared" si="4"/>
        <v>7.7</v>
      </c>
      <c r="F45" s="255">
        <f t="shared" si="5"/>
        <v>-2.3</v>
      </c>
      <c r="H45" s="216" t="s">
        <v>250</v>
      </c>
      <c r="I45" s="216"/>
      <c r="K45" s="216" t="s">
        <v>252</v>
      </c>
      <c r="L45" s="232"/>
    </row>
    <row r="46" ht="14.25" customHeight="1">
      <c r="B46" s="254">
        <v>45053.0</v>
      </c>
      <c r="C46" s="255">
        <f t="shared" si="7"/>
        <v>118.5</v>
      </c>
      <c r="D46" s="255">
        <v>127.3</v>
      </c>
      <c r="E46" s="255">
        <f t="shared" si="4"/>
        <v>8.8</v>
      </c>
      <c r="F46" s="255">
        <f t="shared" si="5"/>
        <v>-1.2</v>
      </c>
      <c r="K46" s="216" t="s">
        <v>268</v>
      </c>
      <c r="L46" s="232">
        <f>L40+L42+L43+L44-L41-L45</f>
        <v>0</v>
      </c>
    </row>
    <row r="47" ht="14.25" customHeight="1">
      <c r="B47" s="219">
        <v>45054.0</v>
      </c>
      <c r="C47" s="220">
        <f t="shared" si="7"/>
        <v>127.3</v>
      </c>
      <c r="D47" s="220">
        <v>135.3</v>
      </c>
      <c r="E47" s="220">
        <f t="shared" si="4"/>
        <v>8</v>
      </c>
      <c r="F47" s="220">
        <f t="shared" si="5"/>
        <v>-2</v>
      </c>
      <c r="K47" s="216" t="s">
        <v>269</v>
      </c>
      <c r="L47" s="229"/>
    </row>
    <row r="48" ht="14.25" customHeight="1">
      <c r="B48" s="219">
        <v>45055.0</v>
      </c>
      <c r="C48" s="220"/>
      <c r="D48" s="220"/>
      <c r="E48" s="220">
        <f t="shared" si="4"/>
        <v>0</v>
      </c>
      <c r="F48" s="220">
        <f t="shared" si="5"/>
        <v>-10</v>
      </c>
    </row>
    <row r="49" ht="14.25" customHeight="1">
      <c r="B49" s="219">
        <v>45056.0</v>
      </c>
      <c r="C49" s="220">
        <v>135.3</v>
      </c>
      <c r="D49" s="220">
        <v>144.5</v>
      </c>
      <c r="E49" s="220">
        <f t="shared" si="4"/>
        <v>9.2</v>
      </c>
      <c r="F49" s="220">
        <f t="shared" si="5"/>
        <v>-0.8</v>
      </c>
    </row>
    <row r="50" ht="14.25" customHeight="1">
      <c r="B50" s="219">
        <v>45057.0</v>
      </c>
      <c r="C50" s="220">
        <f t="shared" ref="C50:C54" si="8">D49</f>
        <v>144.5</v>
      </c>
      <c r="D50" s="220">
        <v>152.0</v>
      </c>
      <c r="E50" s="220">
        <f t="shared" si="4"/>
        <v>7.5</v>
      </c>
      <c r="F50" s="220">
        <f t="shared" si="5"/>
        <v>-2.5</v>
      </c>
      <c r="K50" s="165" t="s">
        <v>410</v>
      </c>
      <c r="L50" s="247">
        <v>45075.0</v>
      </c>
    </row>
    <row r="51" ht="14.25" customHeight="1">
      <c r="B51" s="219">
        <v>45058.0</v>
      </c>
      <c r="C51" s="220">
        <f t="shared" si="8"/>
        <v>152</v>
      </c>
      <c r="D51" s="220">
        <v>161.8</v>
      </c>
      <c r="E51" s="220">
        <f t="shared" si="4"/>
        <v>9.8</v>
      </c>
      <c r="F51" s="220">
        <f t="shared" si="5"/>
        <v>-0.2</v>
      </c>
    </row>
    <row r="52" ht="14.25" customHeight="1">
      <c r="B52" s="254">
        <v>45059.0</v>
      </c>
      <c r="C52" s="255">
        <f t="shared" si="8"/>
        <v>161.8</v>
      </c>
      <c r="D52" s="255">
        <v>172.0</v>
      </c>
      <c r="E52" s="255">
        <f t="shared" si="4"/>
        <v>10.2</v>
      </c>
      <c r="F52" s="255">
        <f t="shared" si="5"/>
        <v>0.2</v>
      </c>
      <c r="L52" s="243">
        <f>-----------------------L46</f>
        <v>0</v>
      </c>
    </row>
    <row r="53" ht="14.25" customHeight="1">
      <c r="B53" s="254">
        <v>45060.0</v>
      </c>
      <c r="C53" s="255">
        <f t="shared" si="8"/>
        <v>172</v>
      </c>
      <c r="D53" s="255">
        <v>179.8</v>
      </c>
      <c r="E53" s="255">
        <f t="shared" si="4"/>
        <v>7.8</v>
      </c>
      <c r="F53" s="255">
        <f t="shared" si="5"/>
        <v>-2.2</v>
      </c>
    </row>
    <row r="54" ht="14.25" customHeight="1">
      <c r="B54" s="219">
        <v>45061.0</v>
      </c>
      <c r="C54" s="220">
        <f t="shared" si="8"/>
        <v>179.8</v>
      </c>
      <c r="D54" s="220">
        <v>186.6</v>
      </c>
      <c r="E54" s="220">
        <f t="shared" si="4"/>
        <v>6.8</v>
      </c>
      <c r="F54" s="220">
        <f t="shared" si="5"/>
        <v>-3.2</v>
      </c>
    </row>
    <row r="55" ht="14.25" customHeight="1">
      <c r="B55" s="219">
        <v>45062.0</v>
      </c>
      <c r="C55" s="220"/>
      <c r="D55" s="220"/>
      <c r="E55" s="220">
        <f t="shared" si="4"/>
        <v>0</v>
      </c>
      <c r="F55" s="220">
        <f t="shared" si="5"/>
        <v>-10</v>
      </c>
    </row>
    <row r="56" ht="14.25" customHeight="1">
      <c r="B56" s="219">
        <v>45063.0</v>
      </c>
      <c r="C56" s="220">
        <v>186.6</v>
      </c>
      <c r="D56" s="220">
        <v>195.8</v>
      </c>
      <c r="E56" s="220">
        <f t="shared" si="4"/>
        <v>9.2</v>
      </c>
      <c r="F56" s="220">
        <f t="shared" si="5"/>
        <v>-0.8</v>
      </c>
    </row>
    <row r="57" ht="14.25" customHeight="1">
      <c r="B57" s="219">
        <v>45064.0</v>
      </c>
      <c r="C57" s="220">
        <f t="shared" ref="C57:C70" si="9">D56</f>
        <v>195.8</v>
      </c>
      <c r="D57" s="220"/>
      <c r="E57" s="220">
        <f t="shared" si="4"/>
        <v>-195.8</v>
      </c>
      <c r="F57" s="220">
        <f t="shared" si="5"/>
        <v>-205.8</v>
      </c>
    </row>
    <row r="58" ht="14.25" customHeight="1">
      <c r="B58" s="219">
        <v>45065.0</v>
      </c>
      <c r="C58" s="220" t="str">
        <f t="shared" si="9"/>
        <v/>
      </c>
      <c r="D58" s="220"/>
      <c r="E58" s="220">
        <f t="shared" si="4"/>
        <v>0</v>
      </c>
      <c r="F58" s="220">
        <f t="shared" si="5"/>
        <v>-10</v>
      </c>
    </row>
    <row r="59" ht="14.25" customHeight="1">
      <c r="B59" s="254">
        <v>45066.0</v>
      </c>
      <c r="C59" s="255" t="str">
        <f t="shared" si="9"/>
        <v/>
      </c>
      <c r="D59" s="255"/>
      <c r="E59" s="255">
        <f t="shared" si="4"/>
        <v>0</v>
      </c>
      <c r="F59" s="255">
        <f t="shared" si="5"/>
        <v>-10</v>
      </c>
    </row>
    <row r="60" ht="14.25" customHeight="1">
      <c r="B60" s="254">
        <v>45067.0</v>
      </c>
      <c r="C60" s="255" t="str">
        <f t="shared" si="9"/>
        <v/>
      </c>
      <c r="D60" s="255"/>
      <c r="E60" s="255">
        <f t="shared" si="4"/>
        <v>0</v>
      </c>
      <c r="F60" s="255">
        <f t="shared" si="5"/>
        <v>-10</v>
      </c>
    </row>
    <row r="61" ht="14.25" customHeight="1">
      <c r="B61" s="219">
        <v>45068.0</v>
      </c>
      <c r="C61" s="220" t="str">
        <f t="shared" si="9"/>
        <v/>
      </c>
      <c r="D61" s="220"/>
      <c r="E61" s="220">
        <f t="shared" si="4"/>
        <v>0</v>
      </c>
      <c r="F61" s="220">
        <f t="shared" si="5"/>
        <v>-10</v>
      </c>
    </row>
    <row r="62" ht="14.25" customHeight="1">
      <c r="B62" s="219">
        <v>45069.0</v>
      </c>
      <c r="C62" s="220" t="str">
        <f t="shared" si="9"/>
        <v/>
      </c>
      <c r="D62" s="220"/>
      <c r="E62" s="220">
        <f t="shared" si="4"/>
        <v>0</v>
      </c>
      <c r="F62" s="220">
        <f t="shared" si="5"/>
        <v>-10</v>
      </c>
    </row>
    <row r="63" ht="14.25" customHeight="1">
      <c r="B63" s="219">
        <v>45070.0</v>
      </c>
      <c r="C63" s="220" t="str">
        <f t="shared" si="9"/>
        <v/>
      </c>
      <c r="D63" s="220"/>
      <c r="E63" s="220">
        <f t="shared" si="4"/>
        <v>0</v>
      </c>
      <c r="F63" s="220">
        <f t="shared" si="5"/>
        <v>-10</v>
      </c>
    </row>
    <row r="64" ht="14.25" customHeight="1">
      <c r="B64" s="219">
        <v>45071.0</v>
      </c>
      <c r="C64" s="220" t="str">
        <f t="shared" si="9"/>
        <v/>
      </c>
      <c r="D64" s="220"/>
      <c r="E64" s="220">
        <f t="shared" si="4"/>
        <v>0</v>
      </c>
      <c r="F64" s="220">
        <f t="shared" si="5"/>
        <v>-10</v>
      </c>
    </row>
    <row r="65" ht="14.25" customHeight="1">
      <c r="B65" s="219">
        <v>45072.0</v>
      </c>
      <c r="C65" s="220" t="str">
        <f t="shared" si="9"/>
        <v/>
      </c>
      <c r="D65" s="220"/>
      <c r="E65" s="220">
        <f t="shared" si="4"/>
        <v>0</v>
      </c>
      <c r="F65" s="220">
        <f t="shared" si="5"/>
        <v>-10</v>
      </c>
    </row>
    <row r="66" ht="14.25" customHeight="1">
      <c r="B66" s="254">
        <v>45073.0</v>
      </c>
      <c r="C66" s="255" t="str">
        <f t="shared" si="9"/>
        <v/>
      </c>
      <c r="D66" s="255"/>
      <c r="E66" s="255">
        <f t="shared" si="4"/>
        <v>0</v>
      </c>
      <c r="F66" s="255">
        <f t="shared" si="5"/>
        <v>-10</v>
      </c>
    </row>
    <row r="67" ht="14.25" customHeight="1">
      <c r="B67" s="254">
        <v>45074.0</v>
      </c>
      <c r="C67" s="255" t="str">
        <f t="shared" si="9"/>
        <v/>
      </c>
      <c r="D67" s="255"/>
      <c r="E67" s="255">
        <f t="shared" si="4"/>
        <v>0</v>
      </c>
      <c r="F67" s="255">
        <f t="shared" si="5"/>
        <v>-10</v>
      </c>
    </row>
    <row r="68" ht="14.25" customHeight="1">
      <c r="B68" s="219">
        <v>45075.0</v>
      </c>
      <c r="C68" s="220" t="str">
        <f t="shared" si="9"/>
        <v/>
      </c>
      <c r="D68" s="220"/>
      <c r="E68" s="220">
        <f t="shared" si="4"/>
        <v>0</v>
      </c>
      <c r="F68" s="220">
        <f t="shared" si="5"/>
        <v>-10</v>
      </c>
    </row>
    <row r="69" ht="14.25" customHeight="1">
      <c r="B69" s="219">
        <v>45076.0</v>
      </c>
      <c r="C69" s="220" t="str">
        <f t="shared" si="9"/>
        <v/>
      </c>
      <c r="D69" s="220"/>
      <c r="E69" s="220">
        <f t="shared" si="4"/>
        <v>0</v>
      </c>
      <c r="F69" s="220">
        <f t="shared" si="5"/>
        <v>-10</v>
      </c>
    </row>
    <row r="70" ht="14.25" customHeight="1">
      <c r="B70" s="219">
        <v>45077.0</v>
      </c>
      <c r="C70" s="220" t="str">
        <f t="shared" si="9"/>
        <v/>
      </c>
      <c r="D70" s="220"/>
      <c r="E70" s="220">
        <f t="shared" si="4"/>
        <v>0</v>
      </c>
      <c r="F70" s="220">
        <f t="shared" si="5"/>
        <v>-10</v>
      </c>
    </row>
    <row r="71" ht="14.25" customHeight="1">
      <c r="B71" s="216"/>
      <c r="C71" s="223" t="s">
        <v>221</v>
      </c>
      <c r="D71" s="223"/>
      <c r="E71" s="216">
        <f>SUM(E40:E70)</f>
        <v>-102.2</v>
      </c>
      <c r="F71" s="216">
        <f t="shared" si="5"/>
        <v>-112.2</v>
      </c>
    </row>
    <row r="72" ht="13.5" customHeight="1"/>
    <row r="73" ht="14.25" customHeight="1">
      <c r="A73" s="249" t="s">
        <v>405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1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411</v>
      </c>
      <c r="L75" s="231"/>
    </row>
    <row r="76" ht="14.25" customHeight="1">
      <c r="B76" s="219">
        <v>45078.0</v>
      </c>
      <c r="C76" s="220">
        <v>3917.0</v>
      </c>
      <c r="D76" s="220">
        <v>3923.0</v>
      </c>
      <c r="E76" s="220">
        <f t="shared" ref="E76:E80" si="10">D76-C76</f>
        <v>6</v>
      </c>
      <c r="F76" s="220">
        <f t="shared" ref="F76:F107" si="11">E76-10</f>
        <v>-4</v>
      </c>
      <c r="H76" s="216" t="s">
        <v>245</v>
      </c>
      <c r="I76" s="216"/>
      <c r="K76" s="216" t="s">
        <v>244</v>
      </c>
      <c r="L76" s="232"/>
    </row>
    <row r="77" ht="14.25" customHeight="1">
      <c r="B77" s="219">
        <v>45079.0</v>
      </c>
      <c r="C77" s="220">
        <f t="shared" ref="C77:C78" si="12">D76</f>
        <v>3923</v>
      </c>
      <c r="D77" s="220">
        <v>3929.0</v>
      </c>
      <c r="E77" s="220">
        <f t="shared" si="10"/>
        <v>6</v>
      </c>
      <c r="F77" s="220">
        <f t="shared" si="11"/>
        <v>-4</v>
      </c>
      <c r="H77" s="216" t="s">
        <v>247</v>
      </c>
      <c r="I77" s="216"/>
      <c r="K77" s="216" t="s">
        <v>266</v>
      </c>
      <c r="L77" s="232"/>
    </row>
    <row r="78" ht="14.25" customHeight="1">
      <c r="B78" s="254">
        <v>45080.0</v>
      </c>
      <c r="C78" s="255">
        <f t="shared" si="12"/>
        <v>3929</v>
      </c>
      <c r="D78" s="255">
        <v>3935.6</v>
      </c>
      <c r="E78" s="255">
        <f t="shared" si="10"/>
        <v>6.6</v>
      </c>
      <c r="F78" s="255">
        <f t="shared" si="11"/>
        <v>-3.4</v>
      </c>
      <c r="H78" s="216" t="s">
        <v>249</v>
      </c>
      <c r="I78" s="232">
        <v>10.0</v>
      </c>
      <c r="K78" s="216" t="s">
        <v>246</v>
      </c>
      <c r="L78" s="232">
        <f>O78*O79</f>
        <v>0</v>
      </c>
    </row>
    <row r="79" ht="14.25" customHeight="1">
      <c r="B79" s="254">
        <v>45081.0</v>
      </c>
      <c r="C79" s="255"/>
      <c r="D79" s="255"/>
      <c r="E79" s="255">
        <f t="shared" si="10"/>
        <v>0</v>
      </c>
      <c r="F79" s="255">
        <f t="shared" si="11"/>
        <v>-10</v>
      </c>
      <c r="H79" s="216" t="s">
        <v>251</v>
      </c>
      <c r="I79" s="216"/>
      <c r="K79" s="216" t="s">
        <v>248</v>
      </c>
      <c r="L79" s="232">
        <f>O80*O81</f>
        <v>0</v>
      </c>
    </row>
    <row r="80" ht="14.25" customHeight="1">
      <c r="B80" s="219">
        <v>45082.0</v>
      </c>
      <c r="C80" s="220">
        <v>3935.6</v>
      </c>
      <c r="D80" s="220">
        <v>3939.6</v>
      </c>
      <c r="E80" s="220">
        <f t="shared" si="10"/>
        <v>4</v>
      </c>
      <c r="F80" s="220">
        <f t="shared" si="11"/>
        <v>-6</v>
      </c>
      <c r="H80" s="216" t="s">
        <v>249</v>
      </c>
      <c r="I80" s="232">
        <v>10.0</v>
      </c>
      <c r="K80" s="216" t="s">
        <v>250</v>
      </c>
      <c r="L80" s="232">
        <f>O82*100</f>
        <v>0</v>
      </c>
    </row>
    <row r="81" ht="14.25" customHeight="1">
      <c r="B81" s="219">
        <v>45083.0</v>
      </c>
      <c r="C81" s="220"/>
      <c r="D81" s="220"/>
      <c r="E81" s="220">
        <v>8.7</v>
      </c>
      <c r="F81" s="220">
        <f t="shared" si="11"/>
        <v>-1.3</v>
      </c>
      <c r="H81" s="216" t="s">
        <v>250</v>
      </c>
      <c r="I81" s="216"/>
      <c r="K81" s="216" t="s">
        <v>252</v>
      </c>
      <c r="L81" s="232"/>
    </row>
    <row r="82" ht="14.25" customHeight="1">
      <c r="B82" s="219">
        <v>45084.0</v>
      </c>
      <c r="C82" s="220" t="str">
        <f t="shared" ref="C82:C90" si="13">D81</f>
        <v/>
      </c>
      <c r="D82" s="220"/>
      <c r="E82" s="220">
        <v>8.5</v>
      </c>
      <c r="F82" s="220">
        <f t="shared" si="11"/>
        <v>-1.5</v>
      </c>
      <c r="K82" s="216" t="s">
        <v>268</v>
      </c>
      <c r="L82" s="232">
        <f>L76+L78+L79+L80-L77-L81</f>
        <v>0</v>
      </c>
    </row>
    <row r="83" ht="14.25" customHeight="1">
      <c r="B83" s="219">
        <v>45085.0</v>
      </c>
      <c r="C83" s="220" t="str">
        <f t="shared" si="13"/>
        <v/>
      </c>
      <c r="D83" s="220"/>
      <c r="E83" s="220">
        <f>D83-C83</f>
        <v>0</v>
      </c>
      <c r="F83" s="220">
        <f t="shared" si="11"/>
        <v>-10</v>
      </c>
      <c r="K83" s="216" t="s">
        <v>269</v>
      </c>
      <c r="L83" s="229"/>
    </row>
    <row r="84" ht="14.25" customHeight="1">
      <c r="B84" s="219">
        <v>45086.0</v>
      </c>
      <c r="C84" s="220" t="str">
        <f t="shared" si="13"/>
        <v/>
      </c>
      <c r="D84" s="220"/>
      <c r="E84" s="220">
        <v>8.2</v>
      </c>
      <c r="F84" s="220">
        <f t="shared" si="11"/>
        <v>-1.8</v>
      </c>
    </row>
    <row r="85" ht="14.25" customHeight="1">
      <c r="B85" s="254">
        <v>45087.0</v>
      </c>
      <c r="C85" s="255" t="str">
        <f t="shared" si="13"/>
        <v/>
      </c>
      <c r="D85" s="255"/>
      <c r="E85" s="255">
        <v>7.0</v>
      </c>
      <c r="F85" s="255">
        <f t="shared" si="11"/>
        <v>-3</v>
      </c>
      <c r="K85" s="165" t="s">
        <v>410</v>
      </c>
      <c r="L85" s="247">
        <v>45075.0</v>
      </c>
    </row>
    <row r="86" ht="14.25" customHeight="1">
      <c r="B86" s="254">
        <v>45088.0</v>
      </c>
      <c r="C86" s="255" t="str">
        <f t="shared" si="13"/>
        <v/>
      </c>
      <c r="D86" s="255"/>
      <c r="E86" s="255">
        <v>0.0</v>
      </c>
      <c r="F86" s="255">
        <f t="shared" si="11"/>
        <v>-10</v>
      </c>
      <c r="K86" s="165" t="s">
        <v>412</v>
      </c>
      <c r="L86" s="165">
        <v>218.96</v>
      </c>
    </row>
    <row r="87" ht="14.25" customHeight="1">
      <c r="B87" s="219">
        <v>45089.0</v>
      </c>
      <c r="C87" s="220" t="str">
        <f t="shared" si="13"/>
        <v/>
      </c>
      <c r="D87" s="220"/>
      <c r="E87" s="220">
        <v>8.8</v>
      </c>
      <c r="F87" s="220">
        <f t="shared" si="11"/>
        <v>-1.2</v>
      </c>
      <c r="K87" s="165" t="s">
        <v>413</v>
      </c>
      <c r="L87" s="165">
        <v>168.09</v>
      </c>
    </row>
    <row r="88" ht="14.25" customHeight="1">
      <c r="B88" s="219">
        <v>45090.0</v>
      </c>
      <c r="C88" s="220" t="str">
        <f t="shared" si="13"/>
        <v/>
      </c>
      <c r="D88" s="220"/>
      <c r="E88" s="220">
        <v>8.6</v>
      </c>
      <c r="F88" s="220">
        <f t="shared" si="11"/>
        <v>-1.4</v>
      </c>
      <c r="L88" s="165">
        <v>170.98</v>
      </c>
    </row>
    <row r="89" ht="14.25" customHeight="1">
      <c r="B89" s="219">
        <v>45091.0</v>
      </c>
      <c r="C89" s="220" t="str">
        <f t="shared" si="13"/>
        <v/>
      </c>
      <c r="D89" s="220"/>
      <c r="E89" s="220">
        <v>8.2</v>
      </c>
      <c r="F89" s="220">
        <f t="shared" si="11"/>
        <v>-1.8</v>
      </c>
    </row>
    <row r="90" ht="14.25" customHeight="1">
      <c r="B90" s="219">
        <v>45092.0</v>
      </c>
      <c r="C90" s="220" t="str">
        <f t="shared" si="13"/>
        <v/>
      </c>
      <c r="D90" s="220"/>
      <c r="E90" s="220">
        <v>6.0</v>
      </c>
      <c r="F90" s="220">
        <f t="shared" si="11"/>
        <v>-4</v>
      </c>
    </row>
    <row r="91" ht="14.25" customHeight="1">
      <c r="B91" s="219">
        <v>45093.0</v>
      </c>
      <c r="C91" s="220">
        <v>3.7</v>
      </c>
      <c r="D91" s="220">
        <v>10.7</v>
      </c>
      <c r="E91" s="220">
        <f t="shared" ref="E91:E106" si="14">D91-C91</f>
        <v>7</v>
      </c>
      <c r="F91" s="220">
        <f t="shared" si="11"/>
        <v>-3</v>
      </c>
    </row>
    <row r="92" ht="14.25" customHeight="1">
      <c r="B92" s="254">
        <v>45094.0</v>
      </c>
      <c r="C92" s="255">
        <f>D91</f>
        <v>10.7</v>
      </c>
      <c r="D92" s="255">
        <v>16.3</v>
      </c>
      <c r="E92" s="255">
        <f t="shared" si="14"/>
        <v>5.6</v>
      </c>
      <c r="F92" s="255">
        <f t="shared" si="11"/>
        <v>-4.4</v>
      </c>
    </row>
    <row r="93" ht="14.25" customHeight="1">
      <c r="B93" s="254">
        <v>45095.0</v>
      </c>
      <c r="C93" s="255"/>
      <c r="D93" s="255"/>
      <c r="E93" s="255">
        <f t="shared" si="14"/>
        <v>0</v>
      </c>
      <c r="F93" s="255">
        <f t="shared" si="11"/>
        <v>-10</v>
      </c>
    </row>
    <row r="94" ht="14.25" customHeight="1">
      <c r="B94" s="219">
        <v>45096.0</v>
      </c>
      <c r="C94" s="220">
        <v>16.3</v>
      </c>
      <c r="D94" s="220">
        <v>24.9</v>
      </c>
      <c r="E94" s="220">
        <f t="shared" si="14"/>
        <v>8.6</v>
      </c>
      <c r="F94" s="220">
        <f t="shared" si="11"/>
        <v>-1.4</v>
      </c>
    </row>
    <row r="95" ht="14.25" customHeight="1">
      <c r="B95" s="219">
        <v>45097.0</v>
      </c>
      <c r="C95" s="220">
        <f t="shared" ref="C95:C99" si="15">D94</f>
        <v>24.9</v>
      </c>
      <c r="D95" s="220">
        <v>27.4</v>
      </c>
      <c r="E95" s="220">
        <f t="shared" si="14"/>
        <v>2.5</v>
      </c>
      <c r="F95" s="220">
        <f t="shared" si="11"/>
        <v>-7.5</v>
      </c>
    </row>
    <row r="96" ht="14.25" customHeight="1">
      <c r="B96" s="219">
        <v>45098.0</v>
      </c>
      <c r="C96" s="220">
        <f t="shared" si="15"/>
        <v>27.4</v>
      </c>
      <c r="D96" s="220">
        <v>36.6</v>
      </c>
      <c r="E96" s="220">
        <f t="shared" si="14"/>
        <v>9.2</v>
      </c>
      <c r="F96" s="220">
        <f t="shared" si="11"/>
        <v>-0.8</v>
      </c>
    </row>
    <row r="97" ht="14.25" customHeight="1">
      <c r="B97" s="219">
        <v>45099.0</v>
      </c>
      <c r="C97" s="220">
        <f t="shared" si="15"/>
        <v>36.6</v>
      </c>
      <c r="D97" s="220">
        <v>45.3</v>
      </c>
      <c r="E97" s="220">
        <f t="shared" si="14"/>
        <v>8.7</v>
      </c>
      <c r="F97" s="220">
        <f t="shared" si="11"/>
        <v>-1.3</v>
      </c>
      <c r="P97" s="165" t="s">
        <v>414</v>
      </c>
    </row>
    <row r="98" ht="14.25" customHeight="1">
      <c r="B98" s="219">
        <v>45100.0</v>
      </c>
      <c r="C98" s="220">
        <f t="shared" si="15"/>
        <v>45.3</v>
      </c>
      <c r="D98" s="220">
        <v>50.3</v>
      </c>
      <c r="E98" s="220">
        <f t="shared" si="14"/>
        <v>5</v>
      </c>
      <c r="F98" s="220">
        <f t="shared" si="11"/>
        <v>-5</v>
      </c>
    </row>
    <row r="99" ht="14.25" customHeight="1">
      <c r="B99" s="254">
        <v>45101.0</v>
      </c>
      <c r="C99" s="255">
        <f t="shared" si="15"/>
        <v>50.3</v>
      </c>
      <c r="D99" s="255">
        <v>56.7</v>
      </c>
      <c r="E99" s="255">
        <f t="shared" si="14"/>
        <v>6.4</v>
      </c>
      <c r="F99" s="255">
        <f t="shared" si="11"/>
        <v>-3.6</v>
      </c>
    </row>
    <row r="100" ht="14.25" customHeight="1">
      <c r="B100" s="254">
        <v>45102.0</v>
      </c>
      <c r="C100" s="255"/>
      <c r="D100" s="255"/>
      <c r="E100" s="255">
        <f t="shared" si="14"/>
        <v>0</v>
      </c>
      <c r="F100" s="255">
        <f t="shared" si="11"/>
        <v>-10</v>
      </c>
    </row>
    <row r="101" ht="14.25" customHeight="1">
      <c r="B101" s="219">
        <v>45103.0</v>
      </c>
      <c r="C101" s="220">
        <v>56.7</v>
      </c>
      <c r="D101" s="220">
        <v>65.7</v>
      </c>
      <c r="E101" s="220">
        <f t="shared" si="14"/>
        <v>9</v>
      </c>
      <c r="F101" s="220">
        <f t="shared" si="11"/>
        <v>-1</v>
      </c>
    </row>
    <row r="102" ht="14.25" customHeight="1">
      <c r="B102" s="219">
        <v>45104.0</v>
      </c>
      <c r="C102" s="220">
        <f t="shared" ref="C102:C106" si="16">D101</f>
        <v>65.7</v>
      </c>
      <c r="D102" s="220">
        <v>74.7</v>
      </c>
      <c r="E102" s="220">
        <f t="shared" si="14"/>
        <v>9</v>
      </c>
      <c r="F102" s="220">
        <f t="shared" si="11"/>
        <v>-1</v>
      </c>
    </row>
    <row r="103" ht="14.25" customHeight="1">
      <c r="B103" s="219">
        <v>45105.0</v>
      </c>
      <c r="C103" s="220">
        <f t="shared" si="16"/>
        <v>74.7</v>
      </c>
      <c r="D103" s="220">
        <v>82.7</v>
      </c>
      <c r="E103" s="220">
        <f t="shared" si="14"/>
        <v>8</v>
      </c>
      <c r="F103" s="220">
        <f t="shared" si="11"/>
        <v>-2</v>
      </c>
    </row>
    <row r="104" ht="14.25" customHeight="1">
      <c r="B104" s="219">
        <v>45106.0</v>
      </c>
      <c r="C104" s="220">
        <f t="shared" si="16"/>
        <v>82.7</v>
      </c>
      <c r="D104" s="220"/>
      <c r="E104" s="220">
        <f t="shared" si="14"/>
        <v>-82.7</v>
      </c>
      <c r="F104" s="220">
        <f t="shared" si="11"/>
        <v>-92.7</v>
      </c>
    </row>
    <row r="105" ht="14.25" customHeight="1">
      <c r="B105" s="219">
        <v>45107.0</v>
      </c>
      <c r="C105" s="220" t="str">
        <f t="shared" si="16"/>
        <v/>
      </c>
      <c r="D105" s="220"/>
      <c r="E105" s="220">
        <f t="shared" si="14"/>
        <v>0</v>
      </c>
      <c r="F105" s="220">
        <f t="shared" si="11"/>
        <v>-10</v>
      </c>
    </row>
    <row r="106" ht="14.25" customHeight="1">
      <c r="B106" s="229"/>
      <c r="C106" s="220" t="str">
        <f t="shared" si="16"/>
        <v/>
      </c>
      <c r="D106" s="220"/>
      <c r="E106" s="220">
        <f t="shared" si="14"/>
        <v>0</v>
      </c>
      <c r="F106" s="220">
        <f t="shared" si="11"/>
        <v>-10</v>
      </c>
    </row>
    <row r="107" ht="14.25" customHeight="1">
      <c r="B107" s="216"/>
      <c r="C107" s="223" t="s">
        <v>221</v>
      </c>
      <c r="D107" s="223"/>
      <c r="E107" s="216">
        <f>SUM(E76:E106)</f>
        <v>82.9</v>
      </c>
      <c r="F107" s="216">
        <f t="shared" si="11"/>
        <v>72.9</v>
      </c>
    </row>
    <row r="108" ht="14.25" customHeight="1"/>
    <row r="109" ht="14.25" customHeight="1">
      <c r="A109" s="249" t="s">
        <v>274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1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>
        <v>102.2</v>
      </c>
      <c r="K111" s="253" t="s">
        <v>411</v>
      </c>
      <c r="L111" s="231"/>
    </row>
    <row r="112" ht="14.25" customHeight="1">
      <c r="B112" s="257">
        <v>45108.0</v>
      </c>
      <c r="C112" s="258"/>
      <c r="D112" s="258"/>
      <c r="E112" s="258">
        <f t="shared" ref="E112:E142" si="17">D112-C112</f>
        <v>0</v>
      </c>
      <c r="F112" s="258">
        <f t="shared" ref="F112:F143" si="18">E112-10</f>
        <v>-10</v>
      </c>
      <c r="H112" s="216" t="s">
        <v>245</v>
      </c>
      <c r="I112" s="216">
        <v>304.2</v>
      </c>
      <c r="K112" s="216" t="s">
        <v>244</v>
      </c>
      <c r="L112" s="232"/>
    </row>
    <row r="113" ht="14.25" customHeight="1">
      <c r="B113" s="257">
        <v>45109.0</v>
      </c>
      <c r="C113" s="220"/>
      <c r="D113" s="220"/>
      <c r="E113" s="220">
        <f t="shared" si="17"/>
        <v>0</v>
      </c>
      <c r="F113" s="220">
        <f t="shared" si="18"/>
        <v>-10</v>
      </c>
      <c r="H113" s="216" t="s">
        <v>247</v>
      </c>
      <c r="I113" s="216">
        <v>202.0</v>
      </c>
      <c r="K113" s="216" t="s">
        <v>266</v>
      </c>
      <c r="L113" s="232"/>
    </row>
    <row r="114" ht="14.25" customHeight="1">
      <c r="B114" s="257">
        <v>45110.0</v>
      </c>
      <c r="C114" s="220" t="str">
        <f t="shared" ref="C114:C115" si="19">D113</f>
        <v/>
      </c>
      <c r="D114" s="220"/>
      <c r="E114" s="220">
        <f t="shared" si="17"/>
        <v>0</v>
      </c>
      <c r="F114" s="220">
        <f t="shared" si="18"/>
        <v>-10</v>
      </c>
      <c r="H114" s="216" t="s">
        <v>249</v>
      </c>
      <c r="I114" s="232">
        <v>10.0</v>
      </c>
      <c r="K114" s="216" t="s">
        <v>246</v>
      </c>
      <c r="L114" s="232">
        <f>O114*O115</f>
        <v>0</v>
      </c>
    </row>
    <row r="115" ht="14.25" customHeight="1">
      <c r="B115" s="257">
        <v>45111.0</v>
      </c>
      <c r="C115" s="220" t="str">
        <f t="shared" si="19"/>
        <v/>
      </c>
      <c r="D115" s="220"/>
      <c r="E115" s="220">
        <f t="shared" si="17"/>
        <v>0</v>
      </c>
      <c r="F115" s="220">
        <f t="shared" si="18"/>
        <v>-10</v>
      </c>
      <c r="H115" s="216" t="s">
        <v>251</v>
      </c>
      <c r="I115" s="216">
        <v>0.9</v>
      </c>
      <c r="K115" s="216" t="s">
        <v>248</v>
      </c>
      <c r="L115" s="232">
        <f>O116*O117</f>
        <v>0</v>
      </c>
    </row>
    <row r="116" ht="14.25" customHeight="1">
      <c r="B116" s="257">
        <v>45112.0</v>
      </c>
      <c r="C116" s="220">
        <v>102.2</v>
      </c>
      <c r="D116" s="220">
        <v>110.8</v>
      </c>
      <c r="E116" s="220">
        <f t="shared" si="17"/>
        <v>8.6</v>
      </c>
      <c r="F116" s="220">
        <f t="shared" si="18"/>
        <v>-1.4</v>
      </c>
      <c r="H116" s="216" t="s">
        <v>249</v>
      </c>
      <c r="I116" s="232">
        <v>10.0</v>
      </c>
      <c r="K116" s="216" t="s">
        <v>250</v>
      </c>
      <c r="L116" s="232">
        <f>O118*100</f>
        <v>0</v>
      </c>
    </row>
    <row r="117" ht="14.25" customHeight="1">
      <c r="B117" s="257">
        <v>45113.0</v>
      </c>
      <c r="C117" s="220">
        <f t="shared" ref="C117:C119" si="20">D116</f>
        <v>110.8</v>
      </c>
      <c r="D117" s="220">
        <v>118.5</v>
      </c>
      <c r="E117" s="220">
        <f t="shared" si="17"/>
        <v>7.7</v>
      </c>
      <c r="F117" s="220">
        <f t="shared" si="18"/>
        <v>-2.3</v>
      </c>
      <c r="H117" s="216" t="s">
        <v>250</v>
      </c>
      <c r="I117" s="216">
        <v>4.0</v>
      </c>
      <c r="K117" s="216" t="s">
        <v>252</v>
      </c>
      <c r="L117" s="232"/>
    </row>
    <row r="118" ht="14.25" customHeight="1">
      <c r="B118" s="257">
        <v>45114.0</v>
      </c>
      <c r="C118" s="220">
        <f t="shared" si="20"/>
        <v>118.5</v>
      </c>
      <c r="D118" s="220">
        <v>127.3</v>
      </c>
      <c r="E118" s="220">
        <f t="shared" si="17"/>
        <v>8.8</v>
      </c>
      <c r="F118" s="220">
        <f t="shared" si="18"/>
        <v>-1.2</v>
      </c>
      <c r="K118" s="216" t="s">
        <v>268</v>
      </c>
      <c r="L118" s="232">
        <f>L112+L114+L115+L116-L113-L117</f>
        <v>0</v>
      </c>
    </row>
    <row r="119" ht="14.25" customHeight="1">
      <c r="B119" s="257">
        <v>45115.0</v>
      </c>
      <c r="C119" s="258">
        <f t="shared" si="20"/>
        <v>127.3</v>
      </c>
      <c r="D119" s="258">
        <v>135.3</v>
      </c>
      <c r="E119" s="258">
        <f t="shared" si="17"/>
        <v>8</v>
      </c>
      <c r="F119" s="258">
        <f t="shared" si="18"/>
        <v>-2</v>
      </c>
      <c r="K119" s="216" t="s">
        <v>269</v>
      </c>
      <c r="L119" s="229"/>
    </row>
    <row r="120" ht="14.25" customHeight="1">
      <c r="B120" s="257">
        <v>45116.0</v>
      </c>
      <c r="C120" s="258"/>
      <c r="D120" s="258"/>
      <c r="E120" s="258">
        <f t="shared" si="17"/>
        <v>0</v>
      </c>
      <c r="F120" s="258">
        <f t="shared" si="18"/>
        <v>-10</v>
      </c>
      <c r="K120" s="246" t="s">
        <v>415</v>
      </c>
      <c r="L120" s="165">
        <v>6200.0</v>
      </c>
    </row>
    <row r="121" ht="14.25" customHeight="1">
      <c r="B121" s="257">
        <v>45117.0</v>
      </c>
      <c r="C121" s="220">
        <v>135.3</v>
      </c>
      <c r="D121" s="220">
        <v>144.5</v>
      </c>
      <c r="E121" s="220">
        <f t="shared" si="17"/>
        <v>9.2</v>
      </c>
      <c r="F121" s="220">
        <f t="shared" si="18"/>
        <v>-0.8</v>
      </c>
    </row>
    <row r="122" ht="14.25" customHeight="1">
      <c r="B122" s="257">
        <v>45118.0</v>
      </c>
      <c r="C122" s="220">
        <f t="shared" ref="C122:C126" si="21">D121</f>
        <v>144.5</v>
      </c>
      <c r="D122" s="220">
        <v>152.0</v>
      </c>
      <c r="E122" s="220">
        <f t="shared" si="17"/>
        <v>7.5</v>
      </c>
      <c r="F122" s="220">
        <f t="shared" si="18"/>
        <v>-2.5</v>
      </c>
    </row>
    <row r="123" ht="14.25" customHeight="1">
      <c r="B123" s="257">
        <v>45119.0</v>
      </c>
      <c r="C123" s="220">
        <f t="shared" si="21"/>
        <v>152</v>
      </c>
      <c r="D123" s="220">
        <v>161.8</v>
      </c>
      <c r="E123" s="220">
        <f t="shared" si="17"/>
        <v>9.8</v>
      </c>
      <c r="F123" s="220">
        <f t="shared" si="18"/>
        <v>-0.2</v>
      </c>
    </row>
    <row r="124" ht="14.25" customHeight="1">
      <c r="B124" s="257">
        <v>45120.0</v>
      </c>
      <c r="C124" s="220">
        <f t="shared" si="21"/>
        <v>161.8</v>
      </c>
      <c r="D124" s="220">
        <v>172.0</v>
      </c>
      <c r="E124" s="220">
        <f t="shared" si="17"/>
        <v>10.2</v>
      </c>
      <c r="F124" s="220">
        <f t="shared" si="18"/>
        <v>0.2</v>
      </c>
    </row>
    <row r="125" ht="14.25" customHeight="1">
      <c r="B125" s="257">
        <v>45121.0</v>
      </c>
      <c r="C125" s="220">
        <f t="shared" si="21"/>
        <v>172</v>
      </c>
      <c r="D125" s="220">
        <v>179.8</v>
      </c>
      <c r="E125" s="220">
        <f t="shared" si="17"/>
        <v>7.8</v>
      </c>
      <c r="F125" s="220">
        <f t="shared" si="18"/>
        <v>-2.2</v>
      </c>
    </row>
    <row r="126" ht="14.25" customHeight="1">
      <c r="B126" s="257">
        <v>45122.0</v>
      </c>
      <c r="C126" s="258">
        <f t="shared" si="21"/>
        <v>179.8</v>
      </c>
      <c r="D126" s="258">
        <v>186.6</v>
      </c>
      <c r="E126" s="258">
        <f t="shared" si="17"/>
        <v>6.8</v>
      </c>
      <c r="F126" s="258">
        <f t="shared" si="18"/>
        <v>-3.2</v>
      </c>
    </row>
    <row r="127" ht="14.25" customHeight="1">
      <c r="B127" s="257">
        <v>45123.0</v>
      </c>
      <c r="C127" s="258"/>
      <c r="D127" s="258"/>
      <c r="E127" s="258">
        <f t="shared" si="17"/>
        <v>0</v>
      </c>
      <c r="F127" s="258">
        <f t="shared" si="18"/>
        <v>-10</v>
      </c>
    </row>
    <row r="128" ht="14.25" customHeight="1">
      <c r="B128" s="257">
        <v>45124.0</v>
      </c>
      <c r="C128" s="220">
        <v>186.6</v>
      </c>
      <c r="D128" s="220">
        <v>195.8</v>
      </c>
      <c r="E128" s="220">
        <f t="shared" si="17"/>
        <v>9.2</v>
      </c>
      <c r="F128" s="220">
        <f t="shared" si="18"/>
        <v>-0.8</v>
      </c>
      <c r="L128" s="165" t="s">
        <v>416</v>
      </c>
    </row>
    <row r="129" ht="14.25" customHeight="1">
      <c r="B129" s="257">
        <v>45125.0</v>
      </c>
      <c r="C129" s="220">
        <f t="shared" ref="C129:C133" si="22">D128</f>
        <v>195.8</v>
      </c>
      <c r="D129" s="220">
        <v>206.0</v>
      </c>
      <c r="E129" s="220">
        <f t="shared" si="17"/>
        <v>10.2</v>
      </c>
      <c r="F129" s="220">
        <f t="shared" si="18"/>
        <v>0.2</v>
      </c>
    </row>
    <row r="130" ht="14.25" customHeight="1">
      <c r="B130" s="257">
        <v>45126.0</v>
      </c>
      <c r="C130" s="220">
        <f t="shared" si="22"/>
        <v>206</v>
      </c>
      <c r="D130" s="220">
        <v>216.3</v>
      </c>
      <c r="E130" s="220">
        <f t="shared" si="17"/>
        <v>10.3</v>
      </c>
      <c r="F130" s="220">
        <f t="shared" si="18"/>
        <v>0.3</v>
      </c>
    </row>
    <row r="131" ht="14.25" customHeight="1">
      <c r="B131" s="257">
        <v>45127.0</v>
      </c>
      <c r="C131" s="220">
        <f t="shared" si="22"/>
        <v>216.3</v>
      </c>
      <c r="D131" s="220">
        <v>226.0</v>
      </c>
      <c r="E131" s="220">
        <f t="shared" si="17"/>
        <v>9.7</v>
      </c>
      <c r="F131" s="220">
        <f t="shared" si="18"/>
        <v>-0.3</v>
      </c>
    </row>
    <row r="132" ht="14.25" customHeight="1">
      <c r="B132" s="257">
        <v>45128.0</v>
      </c>
      <c r="C132" s="220">
        <f t="shared" si="22"/>
        <v>226</v>
      </c>
      <c r="D132" s="220">
        <v>236.0</v>
      </c>
      <c r="E132" s="220">
        <f t="shared" si="17"/>
        <v>10</v>
      </c>
      <c r="F132" s="220">
        <f t="shared" si="18"/>
        <v>0</v>
      </c>
    </row>
    <row r="133" ht="14.25" customHeight="1">
      <c r="B133" s="257">
        <v>45129.0</v>
      </c>
      <c r="C133" s="258">
        <f t="shared" si="22"/>
        <v>236</v>
      </c>
      <c r="D133" s="258">
        <v>243.0</v>
      </c>
      <c r="E133" s="258">
        <f t="shared" si="17"/>
        <v>7</v>
      </c>
      <c r="F133" s="258">
        <f t="shared" si="18"/>
        <v>-3</v>
      </c>
    </row>
    <row r="134" ht="14.25" customHeight="1">
      <c r="B134" s="257">
        <v>45130.0</v>
      </c>
      <c r="C134" s="258"/>
      <c r="D134" s="258"/>
      <c r="E134" s="258">
        <f t="shared" si="17"/>
        <v>0</v>
      </c>
      <c r="F134" s="258">
        <f t="shared" si="18"/>
        <v>-10</v>
      </c>
    </row>
    <row r="135" ht="14.25" customHeight="1">
      <c r="B135" s="257">
        <v>45131.0</v>
      </c>
      <c r="C135" s="220">
        <v>243.0</v>
      </c>
      <c r="D135" s="220">
        <v>252.6</v>
      </c>
      <c r="E135" s="220">
        <f t="shared" si="17"/>
        <v>9.6</v>
      </c>
      <c r="F135" s="220">
        <f t="shared" si="18"/>
        <v>-0.4</v>
      </c>
    </row>
    <row r="136" ht="14.25" customHeight="1">
      <c r="B136" s="257">
        <v>45132.0</v>
      </c>
      <c r="C136" s="220">
        <f t="shared" ref="C136:C140" si="23">D135</f>
        <v>252.6</v>
      </c>
      <c r="D136" s="220">
        <v>262.7</v>
      </c>
      <c r="E136" s="220">
        <f t="shared" si="17"/>
        <v>10.1</v>
      </c>
      <c r="F136" s="220">
        <f t="shared" si="18"/>
        <v>0.1</v>
      </c>
    </row>
    <row r="137" ht="14.25" customHeight="1">
      <c r="B137" s="257">
        <v>45133.0</v>
      </c>
      <c r="C137" s="220">
        <f t="shared" si="23"/>
        <v>262.7</v>
      </c>
      <c r="D137" s="220">
        <v>272.4</v>
      </c>
      <c r="E137" s="220">
        <f t="shared" si="17"/>
        <v>9.7</v>
      </c>
      <c r="F137" s="220">
        <f t="shared" si="18"/>
        <v>-0.3</v>
      </c>
    </row>
    <row r="138" ht="14.25" customHeight="1">
      <c r="B138" s="257">
        <v>45134.0</v>
      </c>
      <c r="C138" s="220">
        <f t="shared" si="23"/>
        <v>272.4</v>
      </c>
      <c r="D138" s="220">
        <v>283.0</v>
      </c>
      <c r="E138" s="220">
        <f t="shared" si="17"/>
        <v>10.6</v>
      </c>
      <c r="F138" s="220">
        <f t="shared" si="18"/>
        <v>0.6</v>
      </c>
    </row>
    <row r="139" ht="14.25" customHeight="1">
      <c r="B139" s="257">
        <v>45135.0</v>
      </c>
      <c r="C139" s="220">
        <f t="shared" si="23"/>
        <v>283</v>
      </c>
      <c r="D139" s="220">
        <v>292.5</v>
      </c>
      <c r="E139" s="220">
        <f t="shared" si="17"/>
        <v>9.5</v>
      </c>
      <c r="F139" s="220">
        <f t="shared" si="18"/>
        <v>-0.5</v>
      </c>
    </row>
    <row r="140" ht="14.25" customHeight="1">
      <c r="B140" s="257">
        <v>45136.0</v>
      </c>
      <c r="C140" s="258">
        <f t="shared" si="23"/>
        <v>292.5</v>
      </c>
      <c r="D140" s="258">
        <v>299.4</v>
      </c>
      <c r="E140" s="258">
        <f t="shared" si="17"/>
        <v>6.9</v>
      </c>
      <c r="F140" s="258">
        <f t="shared" si="18"/>
        <v>-3.1</v>
      </c>
    </row>
    <row r="141" ht="14.25" customHeight="1">
      <c r="B141" s="257">
        <v>45137.0</v>
      </c>
      <c r="C141" s="258"/>
      <c r="D141" s="258"/>
      <c r="E141" s="258">
        <f t="shared" si="17"/>
        <v>0</v>
      </c>
      <c r="F141" s="258">
        <f t="shared" si="18"/>
        <v>-10</v>
      </c>
    </row>
    <row r="142" ht="14.25" customHeight="1">
      <c r="B142" s="257">
        <v>45138.0</v>
      </c>
      <c r="C142" s="220">
        <v>299.4</v>
      </c>
      <c r="D142" s="220">
        <v>304.2</v>
      </c>
      <c r="E142" s="220">
        <f t="shared" si="17"/>
        <v>4.8</v>
      </c>
      <c r="F142" s="220">
        <f t="shared" si="18"/>
        <v>-5.2</v>
      </c>
    </row>
    <row r="143" ht="14.25" customHeight="1">
      <c r="B143" s="216"/>
      <c r="C143" s="223" t="s">
        <v>221</v>
      </c>
      <c r="D143" s="223"/>
      <c r="E143" s="216">
        <f>SUM(E112:E142)</f>
        <v>202</v>
      </c>
      <c r="F143" s="216">
        <f t="shared" si="18"/>
        <v>192</v>
      </c>
    </row>
    <row r="144" ht="14.25" customHeight="1"/>
    <row r="145" ht="14.25" customHeight="1">
      <c r="A145" s="249" t="s">
        <v>234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1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411</v>
      </c>
      <c r="L147" s="231"/>
    </row>
    <row r="148" ht="14.25" customHeight="1">
      <c r="B148" s="219">
        <v>45139.0</v>
      </c>
      <c r="C148" s="220">
        <v>304.2</v>
      </c>
      <c r="D148" s="220">
        <v>314.3</v>
      </c>
      <c r="E148" s="220">
        <f t="shared" ref="E148:E178" si="24">D148-C148</f>
        <v>10.1</v>
      </c>
      <c r="F148" s="220">
        <f t="shared" ref="F148:F179" si="25">E148-10</f>
        <v>0.1</v>
      </c>
      <c r="H148" s="216" t="s">
        <v>245</v>
      </c>
      <c r="I148" s="216"/>
      <c r="K148" s="216" t="s">
        <v>244</v>
      </c>
      <c r="L148" s="232"/>
    </row>
    <row r="149" ht="14.25" customHeight="1">
      <c r="B149" s="219">
        <v>45140.0</v>
      </c>
      <c r="C149" s="220">
        <f t="shared" ref="C149:C152" si="26">D148</f>
        <v>314.3</v>
      </c>
      <c r="D149" s="220">
        <v>324.1</v>
      </c>
      <c r="E149" s="220">
        <f t="shared" si="24"/>
        <v>9.8</v>
      </c>
      <c r="F149" s="220">
        <f t="shared" si="25"/>
        <v>-0.2</v>
      </c>
      <c r="H149" s="216" t="s">
        <v>247</v>
      </c>
      <c r="I149" s="216"/>
      <c r="K149" s="216" t="s">
        <v>266</v>
      </c>
      <c r="L149" s="232"/>
    </row>
    <row r="150" ht="14.25" customHeight="1">
      <c r="B150" s="219">
        <v>45141.0</v>
      </c>
      <c r="C150" s="220">
        <f t="shared" si="26"/>
        <v>324.1</v>
      </c>
      <c r="D150" s="220">
        <v>334.2</v>
      </c>
      <c r="E150" s="220">
        <f t="shared" si="24"/>
        <v>10.1</v>
      </c>
      <c r="F150" s="220">
        <f t="shared" si="25"/>
        <v>0.1</v>
      </c>
      <c r="H150" s="216" t="s">
        <v>249</v>
      </c>
      <c r="I150" s="232">
        <v>10.0</v>
      </c>
      <c r="K150" s="216" t="s">
        <v>246</v>
      </c>
      <c r="L150" s="232">
        <f>O150*O151</f>
        <v>0</v>
      </c>
    </row>
    <row r="151" ht="14.25" customHeight="1">
      <c r="B151" s="219">
        <v>45142.0</v>
      </c>
      <c r="C151" s="220">
        <f t="shared" si="26"/>
        <v>334.2</v>
      </c>
      <c r="D151" s="220">
        <v>344.1</v>
      </c>
      <c r="E151" s="220">
        <f t="shared" si="24"/>
        <v>9.9</v>
      </c>
      <c r="F151" s="220">
        <f t="shared" si="25"/>
        <v>-0.1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59">
        <v>45143.0</v>
      </c>
      <c r="C152" s="273">
        <f t="shared" si="26"/>
        <v>344.1</v>
      </c>
      <c r="D152" s="273">
        <v>353.2</v>
      </c>
      <c r="E152" s="273">
        <f t="shared" si="24"/>
        <v>9.1</v>
      </c>
      <c r="F152" s="273">
        <f t="shared" si="25"/>
        <v>-0.9</v>
      </c>
      <c r="H152" s="216" t="s">
        <v>249</v>
      </c>
      <c r="I152" s="232">
        <v>10.0</v>
      </c>
      <c r="K152" s="216" t="s">
        <v>250</v>
      </c>
      <c r="L152" s="232">
        <f>O154*100</f>
        <v>0</v>
      </c>
    </row>
    <row r="153" ht="14.25" customHeight="1">
      <c r="B153" s="259">
        <v>45144.0</v>
      </c>
      <c r="C153" s="273"/>
      <c r="D153" s="273"/>
      <c r="E153" s="273">
        <f t="shared" si="24"/>
        <v>0</v>
      </c>
      <c r="F153" s="273">
        <f t="shared" si="25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45145.0</v>
      </c>
      <c r="C154" s="220">
        <v>353.2</v>
      </c>
      <c r="D154" s="220">
        <v>363.2</v>
      </c>
      <c r="E154" s="220">
        <f t="shared" si="24"/>
        <v>10</v>
      </c>
      <c r="F154" s="220">
        <f t="shared" si="25"/>
        <v>0</v>
      </c>
      <c r="K154" s="216" t="s">
        <v>268</v>
      </c>
      <c r="L154" s="232">
        <f>L148+L150+L151+L152-L149-L153</f>
        <v>0</v>
      </c>
    </row>
    <row r="155" ht="14.25" customHeight="1">
      <c r="B155" s="219">
        <v>45146.0</v>
      </c>
      <c r="C155" s="220">
        <f t="shared" ref="C155:C159" si="27">D154</f>
        <v>363.2</v>
      </c>
      <c r="D155" s="220">
        <v>373.0</v>
      </c>
      <c r="E155" s="220">
        <f t="shared" si="24"/>
        <v>9.8</v>
      </c>
      <c r="F155" s="220">
        <f t="shared" si="25"/>
        <v>-0.2</v>
      </c>
      <c r="K155" s="216" t="s">
        <v>269</v>
      </c>
      <c r="L155" s="229"/>
    </row>
    <row r="156" ht="14.25" customHeight="1">
      <c r="B156" s="219">
        <v>45147.0</v>
      </c>
      <c r="C156" s="220">
        <f t="shared" si="27"/>
        <v>373</v>
      </c>
      <c r="D156" s="220">
        <v>383.0</v>
      </c>
      <c r="E156" s="220">
        <f t="shared" si="24"/>
        <v>10</v>
      </c>
      <c r="F156" s="220">
        <f t="shared" si="25"/>
        <v>0</v>
      </c>
    </row>
    <row r="157" ht="14.25" customHeight="1">
      <c r="B157" s="219">
        <v>45148.0</v>
      </c>
      <c r="C157" s="220">
        <f t="shared" si="27"/>
        <v>383</v>
      </c>
      <c r="D157" s="220">
        <v>392.0</v>
      </c>
      <c r="E157" s="220">
        <f t="shared" si="24"/>
        <v>9</v>
      </c>
      <c r="F157" s="220">
        <f t="shared" si="25"/>
        <v>-1</v>
      </c>
    </row>
    <row r="158" ht="14.25" customHeight="1">
      <c r="B158" s="219">
        <v>45149.0</v>
      </c>
      <c r="C158" s="220">
        <f t="shared" si="27"/>
        <v>392</v>
      </c>
      <c r="D158" s="220">
        <v>402.2</v>
      </c>
      <c r="E158" s="220">
        <f t="shared" si="24"/>
        <v>10.2</v>
      </c>
      <c r="F158" s="220">
        <f t="shared" si="25"/>
        <v>0.2</v>
      </c>
    </row>
    <row r="159" ht="14.25" customHeight="1">
      <c r="B159" s="259">
        <v>45150.0</v>
      </c>
      <c r="C159" s="273">
        <f t="shared" si="27"/>
        <v>402.2</v>
      </c>
      <c r="D159" s="273">
        <v>409.0</v>
      </c>
      <c r="E159" s="273">
        <f t="shared" si="24"/>
        <v>6.8</v>
      </c>
      <c r="F159" s="273">
        <f t="shared" si="25"/>
        <v>-3.2</v>
      </c>
    </row>
    <row r="160" ht="14.25" customHeight="1">
      <c r="B160" s="259">
        <v>45151.0</v>
      </c>
      <c r="C160" s="273"/>
      <c r="D160" s="273"/>
      <c r="E160" s="273">
        <f t="shared" si="24"/>
        <v>0</v>
      </c>
      <c r="F160" s="273">
        <f t="shared" si="25"/>
        <v>-10</v>
      </c>
    </row>
    <row r="161" ht="14.25" customHeight="1">
      <c r="B161" s="219">
        <v>45152.0</v>
      </c>
      <c r="C161" s="220">
        <v>409.0</v>
      </c>
      <c r="D161" s="220">
        <v>418.2</v>
      </c>
      <c r="E161" s="220">
        <f t="shared" si="24"/>
        <v>9.2</v>
      </c>
      <c r="F161" s="220">
        <f t="shared" si="25"/>
        <v>-0.8</v>
      </c>
    </row>
    <row r="162" ht="14.25" customHeight="1">
      <c r="B162" s="219">
        <v>45153.0</v>
      </c>
      <c r="C162" s="220">
        <f t="shared" ref="C162:C166" si="28">D161</f>
        <v>418.2</v>
      </c>
      <c r="D162" s="220">
        <v>428.7</v>
      </c>
      <c r="E162" s="220">
        <f t="shared" si="24"/>
        <v>10.5</v>
      </c>
      <c r="F162" s="220">
        <f t="shared" si="25"/>
        <v>0.5</v>
      </c>
    </row>
    <row r="163" ht="14.25" customHeight="1">
      <c r="B163" s="219">
        <v>45154.0</v>
      </c>
      <c r="C163" s="220">
        <f t="shared" si="28"/>
        <v>428.7</v>
      </c>
      <c r="D163" s="220">
        <v>439.0</v>
      </c>
      <c r="E163" s="220">
        <f t="shared" si="24"/>
        <v>10.3</v>
      </c>
      <c r="F163" s="220">
        <f t="shared" si="25"/>
        <v>0.3</v>
      </c>
    </row>
    <row r="164" ht="14.25" customHeight="1">
      <c r="B164" s="219">
        <v>45155.0</v>
      </c>
      <c r="C164" s="220">
        <f t="shared" si="28"/>
        <v>439</v>
      </c>
      <c r="D164" s="220">
        <v>449.0</v>
      </c>
      <c r="E164" s="220">
        <f t="shared" si="24"/>
        <v>10</v>
      </c>
      <c r="F164" s="220">
        <f t="shared" si="25"/>
        <v>0</v>
      </c>
    </row>
    <row r="165" ht="14.25" customHeight="1">
      <c r="B165" s="219">
        <v>45156.0</v>
      </c>
      <c r="C165" s="220">
        <f t="shared" si="28"/>
        <v>449</v>
      </c>
      <c r="D165" s="220">
        <v>457.2</v>
      </c>
      <c r="E165" s="220">
        <f t="shared" si="24"/>
        <v>8.2</v>
      </c>
      <c r="F165" s="220">
        <f t="shared" si="25"/>
        <v>-1.8</v>
      </c>
    </row>
    <row r="166" ht="14.25" customHeight="1">
      <c r="B166" s="259">
        <v>45157.0</v>
      </c>
      <c r="C166" s="273">
        <f t="shared" si="28"/>
        <v>457.2</v>
      </c>
      <c r="D166" s="273">
        <v>464.3</v>
      </c>
      <c r="E166" s="273">
        <f t="shared" si="24"/>
        <v>7.1</v>
      </c>
      <c r="F166" s="273">
        <f t="shared" si="25"/>
        <v>-2.9</v>
      </c>
    </row>
    <row r="167" ht="14.25" customHeight="1">
      <c r="B167" s="259">
        <v>45158.0</v>
      </c>
      <c r="C167" s="273"/>
      <c r="D167" s="273"/>
      <c r="E167" s="273">
        <f t="shared" si="24"/>
        <v>0</v>
      </c>
      <c r="F167" s="273">
        <f t="shared" si="25"/>
        <v>-10</v>
      </c>
    </row>
    <row r="168" ht="14.25" customHeight="1">
      <c r="B168" s="219">
        <v>45159.0</v>
      </c>
      <c r="C168" s="220">
        <v>464.3</v>
      </c>
      <c r="D168" s="220">
        <v>474.1</v>
      </c>
      <c r="E168" s="220">
        <f t="shared" si="24"/>
        <v>9.8</v>
      </c>
      <c r="F168" s="220">
        <f t="shared" si="25"/>
        <v>-0.2</v>
      </c>
    </row>
    <row r="169" ht="14.25" customHeight="1">
      <c r="B169" s="219">
        <v>45160.0</v>
      </c>
      <c r="C169" s="220">
        <f t="shared" ref="C169:C171" si="29">D168</f>
        <v>474.1</v>
      </c>
      <c r="D169" s="220">
        <v>484.3</v>
      </c>
      <c r="E169" s="220">
        <f t="shared" si="24"/>
        <v>10.2</v>
      </c>
      <c r="F169" s="220">
        <f t="shared" si="25"/>
        <v>0.2</v>
      </c>
    </row>
    <row r="170" ht="14.25" customHeight="1">
      <c r="B170" s="219">
        <v>45161.0</v>
      </c>
      <c r="C170" s="220">
        <f t="shared" si="29"/>
        <v>484.3</v>
      </c>
      <c r="D170" s="220">
        <v>494.0</v>
      </c>
      <c r="E170" s="220">
        <f t="shared" si="24"/>
        <v>9.7</v>
      </c>
      <c r="F170" s="220">
        <f t="shared" si="25"/>
        <v>-0.3</v>
      </c>
    </row>
    <row r="171" ht="14.25" customHeight="1">
      <c r="B171" s="219">
        <v>45162.0</v>
      </c>
      <c r="C171" s="220">
        <f t="shared" si="29"/>
        <v>494</v>
      </c>
      <c r="D171" s="220">
        <v>502.0</v>
      </c>
      <c r="E171" s="220">
        <f t="shared" si="24"/>
        <v>8</v>
      </c>
      <c r="F171" s="220">
        <f t="shared" si="25"/>
        <v>-2</v>
      </c>
    </row>
    <row r="172" ht="14.25" customHeight="1">
      <c r="B172" s="219">
        <v>45163.0</v>
      </c>
      <c r="C172" s="220"/>
      <c r="D172" s="220"/>
      <c r="E172" s="220">
        <f t="shared" si="24"/>
        <v>0</v>
      </c>
      <c r="F172" s="220">
        <f t="shared" si="25"/>
        <v>-10</v>
      </c>
    </row>
    <row r="173" ht="14.25" customHeight="1">
      <c r="B173" s="259">
        <v>45164.0</v>
      </c>
      <c r="C173" s="273" t="str">
        <f t="shared" ref="C173:C174" si="30">D172</f>
        <v/>
      </c>
      <c r="D173" s="273"/>
      <c r="E173" s="273">
        <f t="shared" si="24"/>
        <v>0</v>
      </c>
      <c r="F173" s="273">
        <f t="shared" si="25"/>
        <v>-10</v>
      </c>
    </row>
    <row r="174" ht="14.25" customHeight="1">
      <c r="B174" s="259">
        <v>45165.0</v>
      </c>
      <c r="C174" s="273" t="str">
        <f t="shared" si="30"/>
        <v/>
      </c>
      <c r="D174" s="273"/>
      <c r="E174" s="273">
        <f t="shared" si="24"/>
        <v>0</v>
      </c>
      <c r="F174" s="273">
        <f t="shared" si="25"/>
        <v>-10</v>
      </c>
    </row>
    <row r="175" ht="14.25" customHeight="1">
      <c r="B175" s="219">
        <v>45166.0</v>
      </c>
      <c r="C175" s="220">
        <v>502.0</v>
      </c>
      <c r="D175" s="220">
        <v>510.1</v>
      </c>
      <c r="E175" s="220">
        <f t="shared" si="24"/>
        <v>8.1</v>
      </c>
      <c r="F175" s="220">
        <f t="shared" si="25"/>
        <v>-1.9</v>
      </c>
    </row>
    <row r="176" ht="14.25" customHeight="1">
      <c r="B176" s="219">
        <v>45167.0</v>
      </c>
      <c r="C176" s="220">
        <f t="shared" ref="C176:C178" si="31">D175</f>
        <v>510.1</v>
      </c>
      <c r="D176" s="220">
        <v>518.7</v>
      </c>
      <c r="E176" s="220">
        <f t="shared" si="24"/>
        <v>8.6</v>
      </c>
      <c r="F176" s="220">
        <f t="shared" si="25"/>
        <v>-1.4</v>
      </c>
    </row>
    <row r="177" ht="14.25" customHeight="1">
      <c r="B177" s="219">
        <v>45168.0</v>
      </c>
      <c r="C177" s="220">
        <f t="shared" si="31"/>
        <v>518.7</v>
      </c>
      <c r="D177" s="220">
        <v>529.6</v>
      </c>
      <c r="E177" s="220">
        <f t="shared" si="24"/>
        <v>10.9</v>
      </c>
      <c r="F177" s="220">
        <f t="shared" si="25"/>
        <v>0.9</v>
      </c>
    </row>
    <row r="178" ht="14.25" customHeight="1">
      <c r="B178" s="219">
        <v>45169.0</v>
      </c>
      <c r="C178" s="220">
        <f t="shared" si="31"/>
        <v>529.6</v>
      </c>
      <c r="D178" s="220">
        <v>535.2</v>
      </c>
      <c r="E178" s="220">
        <f t="shared" si="24"/>
        <v>5.6</v>
      </c>
      <c r="F178" s="220">
        <f t="shared" si="25"/>
        <v>-4.4</v>
      </c>
    </row>
    <row r="179" ht="14.25" customHeight="1">
      <c r="B179" s="216"/>
      <c r="C179" s="223" t="s">
        <v>221</v>
      </c>
      <c r="D179" s="223"/>
      <c r="E179" s="216">
        <f>SUM(E148:E178)</f>
        <v>231</v>
      </c>
      <c r="F179" s="216">
        <f t="shared" si="25"/>
        <v>221</v>
      </c>
    </row>
    <row r="180" ht="14.25" customHeight="1"/>
    <row r="181" ht="14.25" customHeight="1">
      <c r="A181" s="249" t="s">
        <v>275</v>
      </c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1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4.25" customHeight="1"/>
    <row r="183" ht="14.25" customHeight="1">
      <c r="B183" s="216" t="s">
        <v>214</v>
      </c>
      <c r="C183" s="216" t="s">
        <v>215</v>
      </c>
      <c r="D183" s="216" t="s">
        <v>216</v>
      </c>
      <c r="E183" s="216" t="s">
        <v>217</v>
      </c>
      <c r="F183" s="216" t="s">
        <v>218</v>
      </c>
      <c r="H183" s="216" t="s">
        <v>238</v>
      </c>
      <c r="I183" s="216"/>
      <c r="K183" s="253" t="s">
        <v>411</v>
      </c>
      <c r="L183" s="231"/>
    </row>
    <row r="184" ht="14.25" customHeight="1">
      <c r="B184" s="219">
        <v>45078.0</v>
      </c>
      <c r="C184" s="220"/>
      <c r="D184" s="220"/>
      <c r="E184" s="220">
        <f t="shared" ref="E184:E214" si="32">D184-C184</f>
        <v>0</v>
      </c>
      <c r="F184" s="220">
        <f t="shared" ref="F184:F215" si="33">E184-10</f>
        <v>-10</v>
      </c>
      <c r="H184" s="216" t="s">
        <v>245</v>
      </c>
      <c r="I184" s="216"/>
      <c r="K184" s="216" t="s">
        <v>244</v>
      </c>
      <c r="L184" s="232"/>
    </row>
    <row r="185" ht="14.25" customHeight="1">
      <c r="B185" s="219">
        <v>45079.0</v>
      </c>
      <c r="C185" s="220" t="str">
        <f t="shared" ref="C185:C214" si="34">D184</f>
        <v/>
      </c>
      <c r="D185" s="220"/>
      <c r="E185" s="220">
        <f t="shared" si="32"/>
        <v>0</v>
      </c>
      <c r="F185" s="220">
        <f t="shared" si="33"/>
        <v>-10</v>
      </c>
      <c r="H185" s="216" t="s">
        <v>247</v>
      </c>
      <c r="I185" s="216"/>
      <c r="K185" s="216" t="s">
        <v>266</v>
      </c>
      <c r="L185" s="232"/>
    </row>
    <row r="186" ht="14.25" customHeight="1">
      <c r="B186" s="254">
        <v>45080.0</v>
      </c>
      <c r="C186" s="255" t="str">
        <f t="shared" si="34"/>
        <v/>
      </c>
      <c r="D186" s="255"/>
      <c r="E186" s="255">
        <f t="shared" si="32"/>
        <v>0</v>
      </c>
      <c r="F186" s="255">
        <f t="shared" si="33"/>
        <v>-10</v>
      </c>
      <c r="H186" s="216" t="s">
        <v>249</v>
      </c>
      <c r="I186" s="232">
        <v>10.0</v>
      </c>
      <c r="K186" s="216" t="s">
        <v>246</v>
      </c>
      <c r="L186" s="232">
        <f>O186*O187</f>
        <v>0</v>
      </c>
    </row>
    <row r="187" ht="14.25" customHeight="1">
      <c r="B187" s="254">
        <v>45081.0</v>
      </c>
      <c r="C187" s="255" t="str">
        <f t="shared" si="34"/>
        <v/>
      </c>
      <c r="D187" s="255"/>
      <c r="E187" s="255">
        <f t="shared" si="32"/>
        <v>0</v>
      </c>
      <c r="F187" s="255">
        <f t="shared" si="33"/>
        <v>-10</v>
      </c>
      <c r="H187" s="216" t="s">
        <v>251</v>
      </c>
      <c r="I187" s="216"/>
      <c r="K187" s="216" t="s">
        <v>248</v>
      </c>
      <c r="L187" s="232">
        <f>O188*O189</f>
        <v>0</v>
      </c>
    </row>
    <row r="188" ht="14.25" customHeight="1">
      <c r="B188" s="219">
        <v>45082.0</v>
      </c>
      <c r="C188" s="220" t="str">
        <f t="shared" si="34"/>
        <v/>
      </c>
      <c r="D188" s="220"/>
      <c r="E188" s="220">
        <f t="shared" si="32"/>
        <v>0</v>
      </c>
      <c r="F188" s="220">
        <f t="shared" si="33"/>
        <v>-10</v>
      </c>
      <c r="H188" s="216" t="s">
        <v>249</v>
      </c>
      <c r="I188" s="232">
        <v>10.0</v>
      </c>
      <c r="K188" s="216" t="s">
        <v>250</v>
      </c>
      <c r="L188" s="232">
        <f>O190*100</f>
        <v>0</v>
      </c>
    </row>
    <row r="189" ht="14.25" customHeight="1">
      <c r="B189" s="219">
        <v>45083.0</v>
      </c>
      <c r="C189" s="220" t="str">
        <f t="shared" si="34"/>
        <v/>
      </c>
      <c r="D189" s="220"/>
      <c r="E189" s="220">
        <f t="shared" si="32"/>
        <v>0</v>
      </c>
      <c r="F189" s="220">
        <f t="shared" si="33"/>
        <v>-10</v>
      </c>
      <c r="H189" s="216" t="s">
        <v>250</v>
      </c>
      <c r="I189" s="216"/>
      <c r="K189" s="216" t="s">
        <v>252</v>
      </c>
      <c r="L189" s="232"/>
    </row>
    <row r="190" ht="14.25" customHeight="1">
      <c r="B190" s="219">
        <v>45084.0</v>
      </c>
      <c r="C190" s="220" t="str">
        <f t="shared" si="34"/>
        <v/>
      </c>
      <c r="D190" s="220"/>
      <c r="E190" s="220">
        <f t="shared" si="32"/>
        <v>0</v>
      </c>
      <c r="F190" s="220">
        <f t="shared" si="33"/>
        <v>-10</v>
      </c>
      <c r="K190" s="216" t="s">
        <v>268</v>
      </c>
      <c r="L190" s="232">
        <f>L184+L186+L187+L188-L185-L189</f>
        <v>0</v>
      </c>
    </row>
    <row r="191" ht="14.25" customHeight="1">
      <c r="B191" s="219">
        <v>45085.0</v>
      </c>
      <c r="C191" s="220" t="str">
        <f t="shared" si="34"/>
        <v/>
      </c>
      <c r="D191" s="220"/>
      <c r="E191" s="220">
        <f t="shared" si="32"/>
        <v>0</v>
      </c>
      <c r="F191" s="220">
        <f t="shared" si="33"/>
        <v>-10</v>
      </c>
      <c r="K191" s="216" t="s">
        <v>269</v>
      </c>
      <c r="L191" s="229"/>
    </row>
    <row r="192" ht="14.25" customHeight="1">
      <c r="B192" s="219">
        <v>45086.0</v>
      </c>
      <c r="C192" s="220" t="str">
        <f t="shared" si="34"/>
        <v/>
      </c>
      <c r="D192" s="220"/>
      <c r="E192" s="220">
        <f t="shared" si="32"/>
        <v>0</v>
      </c>
      <c r="F192" s="220">
        <f t="shared" si="33"/>
        <v>-10</v>
      </c>
    </row>
    <row r="193" ht="14.25" customHeight="1">
      <c r="B193" s="254">
        <v>45087.0</v>
      </c>
      <c r="C193" s="255" t="str">
        <f t="shared" si="34"/>
        <v/>
      </c>
      <c r="D193" s="255"/>
      <c r="E193" s="255">
        <f t="shared" si="32"/>
        <v>0</v>
      </c>
      <c r="F193" s="255">
        <f t="shared" si="33"/>
        <v>-10</v>
      </c>
    </row>
    <row r="194" ht="14.25" customHeight="1">
      <c r="B194" s="254">
        <v>45088.0</v>
      </c>
      <c r="C194" s="255" t="str">
        <f t="shared" si="34"/>
        <v/>
      </c>
      <c r="D194" s="255"/>
      <c r="E194" s="255">
        <f t="shared" si="32"/>
        <v>0</v>
      </c>
      <c r="F194" s="255">
        <f t="shared" si="33"/>
        <v>-10</v>
      </c>
    </row>
    <row r="195" ht="14.25" customHeight="1">
      <c r="B195" s="219">
        <v>45089.0</v>
      </c>
      <c r="C195" s="220" t="str">
        <f t="shared" si="34"/>
        <v/>
      </c>
      <c r="D195" s="220"/>
      <c r="E195" s="220">
        <f t="shared" si="32"/>
        <v>0</v>
      </c>
      <c r="F195" s="220">
        <f t="shared" si="33"/>
        <v>-10</v>
      </c>
    </row>
    <row r="196" ht="14.25" customHeight="1">
      <c r="B196" s="219">
        <v>45090.0</v>
      </c>
      <c r="C196" s="220" t="str">
        <f t="shared" si="34"/>
        <v/>
      </c>
      <c r="D196" s="220"/>
      <c r="E196" s="220">
        <f t="shared" si="32"/>
        <v>0</v>
      </c>
      <c r="F196" s="220">
        <f t="shared" si="33"/>
        <v>-10</v>
      </c>
    </row>
    <row r="197" ht="14.25" customHeight="1">
      <c r="B197" s="219">
        <v>45091.0</v>
      </c>
      <c r="C197" s="220" t="str">
        <f t="shared" si="34"/>
        <v/>
      </c>
      <c r="D197" s="220"/>
      <c r="E197" s="220">
        <f t="shared" si="32"/>
        <v>0</v>
      </c>
      <c r="F197" s="220">
        <f t="shared" si="33"/>
        <v>-10</v>
      </c>
    </row>
    <row r="198" ht="14.25" customHeight="1">
      <c r="B198" s="219">
        <v>45092.0</v>
      </c>
      <c r="C198" s="220" t="str">
        <f t="shared" si="34"/>
        <v/>
      </c>
      <c r="D198" s="220"/>
      <c r="E198" s="220">
        <f t="shared" si="32"/>
        <v>0</v>
      </c>
      <c r="F198" s="220">
        <f t="shared" si="33"/>
        <v>-10</v>
      </c>
    </row>
    <row r="199" ht="14.25" customHeight="1">
      <c r="B199" s="219">
        <v>45093.0</v>
      </c>
      <c r="C199" s="220" t="str">
        <f t="shared" si="34"/>
        <v/>
      </c>
      <c r="D199" s="220"/>
      <c r="E199" s="220">
        <f t="shared" si="32"/>
        <v>0</v>
      </c>
      <c r="F199" s="220">
        <f t="shared" si="33"/>
        <v>-10</v>
      </c>
    </row>
    <row r="200" ht="14.25" customHeight="1">
      <c r="B200" s="254">
        <v>45094.0</v>
      </c>
      <c r="C200" s="255" t="str">
        <f t="shared" si="34"/>
        <v/>
      </c>
      <c r="D200" s="255"/>
      <c r="E200" s="255">
        <f t="shared" si="32"/>
        <v>0</v>
      </c>
      <c r="F200" s="255">
        <f t="shared" si="33"/>
        <v>-10</v>
      </c>
    </row>
    <row r="201" ht="14.25" customHeight="1">
      <c r="B201" s="254">
        <v>45095.0</v>
      </c>
      <c r="C201" s="255" t="str">
        <f t="shared" si="34"/>
        <v/>
      </c>
      <c r="D201" s="255"/>
      <c r="E201" s="255">
        <f t="shared" si="32"/>
        <v>0</v>
      </c>
      <c r="F201" s="255">
        <f t="shared" si="33"/>
        <v>-10</v>
      </c>
    </row>
    <row r="202" ht="14.25" customHeight="1">
      <c r="B202" s="219">
        <v>45096.0</v>
      </c>
      <c r="C202" s="220" t="str">
        <f t="shared" si="34"/>
        <v/>
      </c>
      <c r="D202" s="220"/>
      <c r="E202" s="220">
        <f t="shared" si="32"/>
        <v>0</v>
      </c>
      <c r="F202" s="220">
        <f t="shared" si="33"/>
        <v>-10</v>
      </c>
    </row>
    <row r="203" ht="14.25" customHeight="1">
      <c r="B203" s="219">
        <v>45097.0</v>
      </c>
      <c r="C203" s="220" t="str">
        <f t="shared" si="34"/>
        <v/>
      </c>
      <c r="D203" s="220"/>
      <c r="E203" s="220">
        <f t="shared" si="32"/>
        <v>0</v>
      </c>
      <c r="F203" s="220">
        <f t="shared" si="33"/>
        <v>-10</v>
      </c>
    </row>
    <row r="204" ht="14.25" customHeight="1">
      <c r="B204" s="219">
        <v>45098.0</v>
      </c>
      <c r="C204" s="220" t="str">
        <f t="shared" si="34"/>
        <v/>
      </c>
      <c r="D204" s="220"/>
      <c r="E204" s="220">
        <f t="shared" si="32"/>
        <v>0</v>
      </c>
      <c r="F204" s="220">
        <f t="shared" si="33"/>
        <v>-10</v>
      </c>
    </row>
    <row r="205" ht="14.25" customHeight="1">
      <c r="B205" s="219">
        <v>45099.0</v>
      </c>
      <c r="C205" s="220" t="str">
        <f t="shared" si="34"/>
        <v/>
      </c>
      <c r="D205" s="220"/>
      <c r="E205" s="220">
        <f t="shared" si="32"/>
        <v>0</v>
      </c>
      <c r="F205" s="220">
        <f t="shared" si="33"/>
        <v>-10</v>
      </c>
    </row>
    <row r="206" ht="14.25" customHeight="1">
      <c r="B206" s="219">
        <v>45100.0</v>
      </c>
      <c r="C206" s="220" t="str">
        <f t="shared" si="34"/>
        <v/>
      </c>
      <c r="D206" s="220"/>
      <c r="E206" s="220">
        <f t="shared" si="32"/>
        <v>0</v>
      </c>
      <c r="F206" s="220">
        <f t="shared" si="33"/>
        <v>-10</v>
      </c>
    </row>
    <row r="207" ht="14.25" customHeight="1">
      <c r="B207" s="254">
        <v>45101.0</v>
      </c>
      <c r="C207" s="255" t="str">
        <f t="shared" si="34"/>
        <v/>
      </c>
      <c r="D207" s="255"/>
      <c r="E207" s="255">
        <f t="shared" si="32"/>
        <v>0</v>
      </c>
      <c r="F207" s="255">
        <f t="shared" si="33"/>
        <v>-10</v>
      </c>
    </row>
    <row r="208" ht="14.25" customHeight="1">
      <c r="B208" s="254">
        <v>45102.0</v>
      </c>
      <c r="C208" s="255" t="str">
        <f t="shared" si="34"/>
        <v/>
      </c>
      <c r="D208" s="255"/>
      <c r="E208" s="255">
        <f t="shared" si="32"/>
        <v>0</v>
      </c>
      <c r="F208" s="255">
        <f t="shared" si="33"/>
        <v>-10</v>
      </c>
    </row>
    <row r="209" ht="14.25" customHeight="1">
      <c r="B209" s="219">
        <v>45103.0</v>
      </c>
      <c r="C209" s="220" t="str">
        <f t="shared" si="34"/>
        <v/>
      </c>
      <c r="D209" s="220"/>
      <c r="E209" s="220">
        <f t="shared" si="32"/>
        <v>0</v>
      </c>
      <c r="F209" s="220">
        <f t="shared" si="33"/>
        <v>-10</v>
      </c>
    </row>
    <row r="210" ht="14.25" customHeight="1">
      <c r="B210" s="219">
        <v>45104.0</v>
      </c>
      <c r="C210" s="220" t="str">
        <f t="shared" si="34"/>
        <v/>
      </c>
      <c r="D210" s="220"/>
      <c r="E210" s="220">
        <f t="shared" si="32"/>
        <v>0</v>
      </c>
      <c r="F210" s="220">
        <f t="shared" si="33"/>
        <v>-10</v>
      </c>
    </row>
    <row r="211" ht="14.25" customHeight="1">
      <c r="B211" s="219">
        <v>45105.0</v>
      </c>
      <c r="C211" s="220" t="str">
        <f t="shared" si="34"/>
        <v/>
      </c>
      <c r="D211" s="220"/>
      <c r="E211" s="220">
        <f t="shared" si="32"/>
        <v>0</v>
      </c>
      <c r="F211" s="220">
        <f t="shared" si="33"/>
        <v>-10</v>
      </c>
    </row>
    <row r="212" ht="14.25" customHeight="1">
      <c r="B212" s="219">
        <v>45106.0</v>
      </c>
      <c r="C212" s="220" t="str">
        <f t="shared" si="34"/>
        <v/>
      </c>
      <c r="D212" s="220"/>
      <c r="E212" s="220">
        <f t="shared" si="32"/>
        <v>0</v>
      </c>
      <c r="F212" s="220">
        <f t="shared" si="33"/>
        <v>-10</v>
      </c>
    </row>
    <row r="213" ht="14.25" customHeight="1">
      <c r="B213" s="219">
        <v>45107.0</v>
      </c>
      <c r="C213" s="220" t="str">
        <f t="shared" si="34"/>
        <v/>
      </c>
      <c r="D213" s="220"/>
      <c r="E213" s="220">
        <f t="shared" si="32"/>
        <v>0</v>
      </c>
      <c r="F213" s="220">
        <f t="shared" si="33"/>
        <v>-10</v>
      </c>
    </row>
    <row r="214" ht="14.25" customHeight="1">
      <c r="B214" s="229"/>
      <c r="C214" s="220" t="str">
        <f t="shared" si="34"/>
        <v/>
      </c>
      <c r="D214" s="220"/>
      <c r="E214" s="220">
        <f t="shared" si="32"/>
        <v>0</v>
      </c>
      <c r="F214" s="220">
        <f t="shared" si="33"/>
        <v>-10</v>
      </c>
    </row>
    <row r="215" ht="14.25" customHeight="1">
      <c r="B215" s="216"/>
      <c r="C215" s="223" t="s">
        <v>221</v>
      </c>
      <c r="D215" s="223"/>
      <c r="E215" s="216">
        <f>SUM(E184:E214)</f>
        <v>0</v>
      </c>
      <c r="F215" s="216">
        <f t="shared" si="33"/>
        <v>-10</v>
      </c>
    </row>
    <row r="216" ht="14.25" customHeight="1"/>
    <row r="217" ht="14.25" customHeight="1">
      <c r="A217" s="249" t="s">
        <v>235</v>
      </c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1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4.25" customHeight="1"/>
    <row r="219" ht="14.25" customHeight="1">
      <c r="B219" s="216" t="s">
        <v>214</v>
      </c>
      <c r="C219" s="216" t="s">
        <v>215</v>
      </c>
      <c r="D219" s="216" t="s">
        <v>216</v>
      </c>
      <c r="E219" s="216" t="s">
        <v>217</v>
      </c>
      <c r="F219" s="216" t="s">
        <v>218</v>
      </c>
      <c r="H219" s="216" t="s">
        <v>238</v>
      </c>
      <c r="I219" s="216"/>
      <c r="K219" s="253" t="s">
        <v>411</v>
      </c>
      <c r="L219" s="231"/>
    </row>
    <row r="220" ht="14.25" customHeight="1">
      <c r="B220" s="219">
        <v>45078.0</v>
      </c>
      <c r="C220" s="220"/>
      <c r="D220" s="220"/>
      <c r="E220" s="220">
        <f t="shared" ref="E220:E250" si="35">D220-C220</f>
        <v>0</v>
      </c>
      <c r="F220" s="220">
        <f t="shared" ref="F220:F251" si="36">E220-10</f>
        <v>-10</v>
      </c>
      <c r="H220" s="216" t="s">
        <v>245</v>
      </c>
      <c r="I220" s="216"/>
      <c r="K220" s="216" t="s">
        <v>244</v>
      </c>
      <c r="L220" s="232"/>
    </row>
    <row r="221" ht="14.25" customHeight="1">
      <c r="B221" s="219">
        <v>45079.0</v>
      </c>
      <c r="C221" s="220" t="str">
        <f t="shared" ref="C221:C250" si="37">D220</f>
        <v/>
      </c>
      <c r="D221" s="220"/>
      <c r="E221" s="220">
        <f t="shared" si="35"/>
        <v>0</v>
      </c>
      <c r="F221" s="220">
        <f t="shared" si="36"/>
        <v>-10</v>
      </c>
      <c r="H221" s="216" t="s">
        <v>247</v>
      </c>
      <c r="I221" s="216"/>
      <c r="K221" s="216" t="s">
        <v>266</v>
      </c>
      <c r="L221" s="232"/>
    </row>
    <row r="222" ht="14.25" customHeight="1">
      <c r="B222" s="254">
        <v>45080.0</v>
      </c>
      <c r="C222" s="255" t="str">
        <f t="shared" si="37"/>
        <v/>
      </c>
      <c r="D222" s="255"/>
      <c r="E222" s="255">
        <f t="shared" si="35"/>
        <v>0</v>
      </c>
      <c r="F222" s="255">
        <f t="shared" si="36"/>
        <v>-10</v>
      </c>
      <c r="H222" s="216" t="s">
        <v>249</v>
      </c>
      <c r="I222" s="232">
        <v>10.0</v>
      </c>
      <c r="K222" s="216" t="s">
        <v>246</v>
      </c>
      <c r="L222" s="232">
        <f>O222*O223</f>
        <v>0</v>
      </c>
    </row>
    <row r="223" ht="14.25" customHeight="1">
      <c r="B223" s="254">
        <v>45081.0</v>
      </c>
      <c r="C223" s="255" t="str">
        <f t="shared" si="37"/>
        <v/>
      </c>
      <c r="D223" s="255"/>
      <c r="E223" s="255">
        <f t="shared" si="35"/>
        <v>0</v>
      </c>
      <c r="F223" s="255">
        <f t="shared" si="36"/>
        <v>-10</v>
      </c>
      <c r="H223" s="216" t="s">
        <v>251</v>
      </c>
      <c r="I223" s="216"/>
      <c r="K223" s="216" t="s">
        <v>248</v>
      </c>
      <c r="L223" s="232">
        <f>O224*O225</f>
        <v>0</v>
      </c>
    </row>
    <row r="224" ht="14.25" customHeight="1">
      <c r="B224" s="219">
        <v>45082.0</v>
      </c>
      <c r="C224" s="220" t="str">
        <f t="shared" si="37"/>
        <v/>
      </c>
      <c r="D224" s="220"/>
      <c r="E224" s="220">
        <f t="shared" si="35"/>
        <v>0</v>
      </c>
      <c r="F224" s="220">
        <f t="shared" si="36"/>
        <v>-10</v>
      </c>
      <c r="H224" s="216" t="s">
        <v>249</v>
      </c>
      <c r="I224" s="232">
        <v>10.0</v>
      </c>
      <c r="K224" s="216" t="s">
        <v>250</v>
      </c>
      <c r="L224" s="232">
        <f>O226*100</f>
        <v>0</v>
      </c>
    </row>
    <row r="225" ht="14.25" customHeight="1">
      <c r="B225" s="219">
        <v>45083.0</v>
      </c>
      <c r="C225" s="220" t="str">
        <f t="shared" si="37"/>
        <v/>
      </c>
      <c r="D225" s="220"/>
      <c r="E225" s="220">
        <f t="shared" si="35"/>
        <v>0</v>
      </c>
      <c r="F225" s="220">
        <f t="shared" si="36"/>
        <v>-10</v>
      </c>
      <c r="H225" s="216" t="s">
        <v>250</v>
      </c>
      <c r="I225" s="216"/>
      <c r="K225" s="216" t="s">
        <v>252</v>
      </c>
      <c r="L225" s="232"/>
    </row>
    <row r="226" ht="14.25" customHeight="1">
      <c r="B226" s="219">
        <v>45084.0</v>
      </c>
      <c r="C226" s="220" t="str">
        <f t="shared" si="37"/>
        <v/>
      </c>
      <c r="D226" s="220"/>
      <c r="E226" s="220">
        <f t="shared" si="35"/>
        <v>0</v>
      </c>
      <c r="F226" s="220">
        <f t="shared" si="36"/>
        <v>-10</v>
      </c>
      <c r="K226" s="216" t="s">
        <v>268</v>
      </c>
      <c r="L226" s="232">
        <f>L220+L222+L223+L224-L221-L225</f>
        <v>0</v>
      </c>
    </row>
    <row r="227" ht="14.25" customHeight="1">
      <c r="B227" s="219">
        <v>45085.0</v>
      </c>
      <c r="C227" s="220" t="str">
        <f t="shared" si="37"/>
        <v/>
      </c>
      <c r="D227" s="220"/>
      <c r="E227" s="220">
        <f t="shared" si="35"/>
        <v>0</v>
      </c>
      <c r="F227" s="220">
        <f t="shared" si="36"/>
        <v>-10</v>
      </c>
      <c r="K227" s="216" t="s">
        <v>269</v>
      </c>
      <c r="L227" s="229"/>
    </row>
    <row r="228" ht="14.25" customHeight="1">
      <c r="B228" s="219">
        <v>45086.0</v>
      </c>
      <c r="C228" s="220" t="str">
        <f t="shared" si="37"/>
        <v/>
      </c>
      <c r="D228" s="220"/>
      <c r="E228" s="220">
        <f t="shared" si="35"/>
        <v>0</v>
      </c>
      <c r="F228" s="220">
        <f t="shared" si="36"/>
        <v>-10</v>
      </c>
    </row>
    <row r="229" ht="14.25" customHeight="1">
      <c r="B229" s="254">
        <v>45087.0</v>
      </c>
      <c r="C229" s="255" t="str">
        <f t="shared" si="37"/>
        <v/>
      </c>
      <c r="D229" s="255"/>
      <c r="E229" s="255">
        <f t="shared" si="35"/>
        <v>0</v>
      </c>
      <c r="F229" s="255">
        <f t="shared" si="36"/>
        <v>-10</v>
      </c>
    </row>
    <row r="230" ht="14.25" customHeight="1">
      <c r="B230" s="254">
        <v>45088.0</v>
      </c>
      <c r="C230" s="255" t="str">
        <f t="shared" si="37"/>
        <v/>
      </c>
      <c r="D230" s="255"/>
      <c r="E230" s="255">
        <f t="shared" si="35"/>
        <v>0</v>
      </c>
      <c r="F230" s="255">
        <f t="shared" si="36"/>
        <v>-10</v>
      </c>
    </row>
    <row r="231" ht="14.25" customHeight="1">
      <c r="B231" s="219">
        <v>45089.0</v>
      </c>
      <c r="C231" s="220" t="str">
        <f t="shared" si="37"/>
        <v/>
      </c>
      <c r="D231" s="220"/>
      <c r="E231" s="220">
        <f t="shared" si="35"/>
        <v>0</v>
      </c>
      <c r="F231" s="220">
        <f t="shared" si="36"/>
        <v>-10</v>
      </c>
    </row>
    <row r="232" ht="14.25" customHeight="1">
      <c r="B232" s="219">
        <v>45090.0</v>
      </c>
      <c r="C232" s="220" t="str">
        <f t="shared" si="37"/>
        <v/>
      </c>
      <c r="D232" s="220"/>
      <c r="E232" s="220">
        <f t="shared" si="35"/>
        <v>0</v>
      </c>
      <c r="F232" s="220">
        <f t="shared" si="36"/>
        <v>-10</v>
      </c>
    </row>
    <row r="233" ht="14.25" customHeight="1">
      <c r="B233" s="219">
        <v>45091.0</v>
      </c>
      <c r="C233" s="220" t="str">
        <f t="shared" si="37"/>
        <v/>
      </c>
      <c r="D233" s="220"/>
      <c r="E233" s="220">
        <f t="shared" si="35"/>
        <v>0</v>
      </c>
      <c r="F233" s="220">
        <f t="shared" si="36"/>
        <v>-10</v>
      </c>
    </row>
    <row r="234" ht="14.25" customHeight="1">
      <c r="B234" s="219">
        <v>45092.0</v>
      </c>
      <c r="C234" s="220" t="str">
        <f t="shared" si="37"/>
        <v/>
      </c>
      <c r="D234" s="220"/>
      <c r="E234" s="220">
        <f t="shared" si="35"/>
        <v>0</v>
      </c>
      <c r="F234" s="220">
        <f t="shared" si="36"/>
        <v>-10</v>
      </c>
    </row>
    <row r="235" ht="14.25" customHeight="1">
      <c r="B235" s="219">
        <v>45093.0</v>
      </c>
      <c r="C235" s="220" t="str">
        <f t="shared" si="37"/>
        <v/>
      </c>
      <c r="D235" s="220"/>
      <c r="E235" s="220">
        <f t="shared" si="35"/>
        <v>0</v>
      </c>
      <c r="F235" s="220">
        <f t="shared" si="36"/>
        <v>-10</v>
      </c>
    </row>
    <row r="236" ht="14.25" customHeight="1">
      <c r="B236" s="254">
        <v>45094.0</v>
      </c>
      <c r="C236" s="255" t="str">
        <f t="shared" si="37"/>
        <v/>
      </c>
      <c r="D236" s="255"/>
      <c r="E236" s="255">
        <f t="shared" si="35"/>
        <v>0</v>
      </c>
      <c r="F236" s="255">
        <f t="shared" si="36"/>
        <v>-10</v>
      </c>
    </row>
    <row r="237" ht="14.25" customHeight="1">
      <c r="B237" s="254">
        <v>45095.0</v>
      </c>
      <c r="C237" s="255" t="str">
        <f t="shared" si="37"/>
        <v/>
      </c>
      <c r="D237" s="255"/>
      <c r="E237" s="255">
        <f t="shared" si="35"/>
        <v>0</v>
      </c>
      <c r="F237" s="255">
        <f t="shared" si="36"/>
        <v>-10</v>
      </c>
    </row>
    <row r="238" ht="14.25" customHeight="1">
      <c r="B238" s="219">
        <v>45096.0</v>
      </c>
      <c r="C238" s="220" t="str">
        <f t="shared" si="37"/>
        <v/>
      </c>
      <c r="D238" s="220"/>
      <c r="E238" s="220">
        <f t="shared" si="35"/>
        <v>0</v>
      </c>
      <c r="F238" s="220">
        <f t="shared" si="36"/>
        <v>-10</v>
      </c>
    </row>
    <row r="239" ht="14.25" customHeight="1">
      <c r="B239" s="219">
        <v>45097.0</v>
      </c>
      <c r="C239" s="220" t="str">
        <f t="shared" si="37"/>
        <v/>
      </c>
      <c r="D239" s="220"/>
      <c r="E239" s="220">
        <f t="shared" si="35"/>
        <v>0</v>
      </c>
      <c r="F239" s="220">
        <f t="shared" si="36"/>
        <v>-10</v>
      </c>
    </row>
    <row r="240" ht="14.25" customHeight="1">
      <c r="B240" s="219">
        <v>45098.0</v>
      </c>
      <c r="C240" s="220" t="str">
        <f t="shared" si="37"/>
        <v/>
      </c>
      <c r="D240" s="220"/>
      <c r="E240" s="220">
        <f t="shared" si="35"/>
        <v>0</v>
      </c>
      <c r="F240" s="220">
        <f t="shared" si="36"/>
        <v>-10</v>
      </c>
    </row>
    <row r="241" ht="14.25" customHeight="1">
      <c r="B241" s="219">
        <v>45099.0</v>
      </c>
      <c r="C241" s="220" t="str">
        <f t="shared" si="37"/>
        <v/>
      </c>
      <c r="D241" s="220"/>
      <c r="E241" s="220">
        <f t="shared" si="35"/>
        <v>0</v>
      </c>
      <c r="F241" s="220">
        <f t="shared" si="36"/>
        <v>-10</v>
      </c>
    </row>
    <row r="242" ht="14.25" customHeight="1">
      <c r="B242" s="219">
        <v>45100.0</v>
      </c>
      <c r="C242" s="220" t="str">
        <f t="shared" si="37"/>
        <v/>
      </c>
      <c r="D242" s="220"/>
      <c r="E242" s="220">
        <f t="shared" si="35"/>
        <v>0</v>
      </c>
      <c r="F242" s="220">
        <f t="shared" si="36"/>
        <v>-10</v>
      </c>
    </row>
    <row r="243" ht="14.25" customHeight="1">
      <c r="B243" s="254">
        <v>45101.0</v>
      </c>
      <c r="C243" s="255" t="str">
        <f t="shared" si="37"/>
        <v/>
      </c>
      <c r="D243" s="255"/>
      <c r="E243" s="255">
        <f t="shared" si="35"/>
        <v>0</v>
      </c>
      <c r="F243" s="255">
        <f t="shared" si="36"/>
        <v>-10</v>
      </c>
    </row>
    <row r="244" ht="14.25" customHeight="1">
      <c r="B244" s="254">
        <v>45102.0</v>
      </c>
      <c r="C244" s="255" t="str">
        <f t="shared" si="37"/>
        <v/>
      </c>
      <c r="D244" s="255"/>
      <c r="E244" s="255">
        <f t="shared" si="35"/>
        <v>0</v>
      </c>
      <c r="F244" s="255">
        <f t="shared" si="36"/>
        <v>-10</v>
      </c>
    </row>
    <row r="245" ht="14.25" customHeight="1">
      <c r="B245" s="219">
        <v>45103.0</v>
      </c>
      <c r="C245" s="220" t="str">
        <f t="shared" si="37"/>
        <v/>
      </c>
      <c r="D245" s="220"/>
      <c r="E245" s="220">
        <f t="shared" si="35"/>
        <v>0</v>
      </c>
      <c r="F245" s="220">
        <f t="shared" si="36"/>
        <v>-10</v>
      </c>
    </row>
    <row r="246" ht="14.25" customHeight="1">
      <c r="B246" s="219">
        <v>45104.0</v>
      </c>
      <c r="C246" s="220" t="str">
        <f t="shared" si="37"/>
        <v/>
      </c>
      <c r="D246" s="220"/>
      <c r="E246" s="220">
        <f t="shared" si="35"/>
        <v>0</v>
      </c>
      <c r="F246" s="220">
        <f t="shared" si="36"/>
        <v>-10</v>
      </c>
    </row>
    <row r="247" ht="14.25" customHeight="1">
      <c r="B247" s="219">
        <v>45105.0</v>
      </c>
      <c r="C247" s="220" t="str">
        <f t="shared" si="37"/>
        <v/>
      </c>
      <c r="D247" s="220"/>
      <c r="E247" s="220">
        <f t="shared" si="35"/>
        <v>0</v>
      </c>
      <c r="F247" s="220">
        <f t="shared" si="36"/>
        <v>-10</v>
      </c>
    </row>
    <row r="248" ht="14.25" customHeight="1">
      <c r="B248" s="219">
        <v>45106.0</v>
      </c>
      <c r="C248" s="220" t="str">
        <f t="shared" si="37"/>
        <v/>
      </c>
      <c r="D248" s="220"/>
      <c r="E248" s="220">
        <f t="shared" si="35"/>
        <v>0</v>
      </c>
      <c r="F248" s="220">
        <f t="shared" si="36"/>
        <v>-10</v>
      </c>
    </row>
    <row r="249" ht="14.25" customHeight="1">
      <c r="B249" s="219">
        <v>45107.0</v>
      </c>
      <c r="C249" s="220" t="str">
        <f t="shared" si="37"/>
        <v/>
      </c>
      <c r="D249" s="220"/>
      <c r="E249" s="220">
        <f t="shared" si="35"/>
        <v>0</v>
      </c>
      <c r="F249" s="220">
        <f t="shared" si="36"/>
        <v>-10</v>
      </c>
    </row>
    <row r="250" ht="14.25" customHeight="1">
      <c r="B250" s="229"/>
      <c r="C250" s="220" t="str">
        <f t="shared" si="37"/>
        <v/>
      </c>
      <c r="D250" s="220"/>
      <c r="E250" s="220">
        <f t="shared" si="35"/>
        <v>0</v>
      </c>
      <c r="F250" s="220">
        <f t="shared" si="36"/>
        <v>-10</v>
      </c>
    </row>
    <row r="251" ht="14.25" customHeight="1">
      <c r="B251" s="216"/>
      <c r="C251" s="223" t="s">
        <v>221</v>
      </c>
      <c r="D251" s="223"/>
      <c r="E251" s="216">
        <f>SUM(E220:E250)</f>
        <v>0</v>
      </c>
      <c r="F251" s="216">
        <f t="shared" si="36"/>
        <v>-10</v>
      </c>
    </row>
    <row r="252" ht="14.25" customHeight="1"/>
    <row r="253" ht="14.25" customHeight="1">
      <c r="A253" s="249" t="s">
        <v>236</v>
      </c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1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4.25" customHeight="1"/>
    <row r="255" ht="14.25" customHeight="1">
      <c r="B255" s="216" t="s">
        <v>214</v>
      </c>
      <c r="C255" s="216" t="s">
        <v>215</v>
      </c>
      <c r="D255" s="216" t="s">
        <v>216</v>
      </c>
      <c r="E255" s="216" t="s">
        <v>217</v>
      </c>
      <c r="F255" s="216" t="s">
        <v>218</v>
      </c>
      <c r="H255" s="216" t="s">
        <v>238</v>
      </c>
      <c r="I255" s="216"/>
      <c r="K255" s="253" t="s">
        <v>411</v>
      </c>
      <c r="L255" s="231"/>
    </row>
    <row r="256" ht="14.25" customHeight="1">
      <c r="B256" s="219">
        <v>45078.0</v>
      </c>
      <c r="C256" s="220"/>
      <c r="D256" s="220"/>
      <c r="E256" s="220">
        <f t="shared" ref="E256:E286" si="38">D256-C256</f>
        <v>0</v>
      </c>
      <c r="F256" s="220">
        <f t="shared" ref="F256:F287" si="39">E256-10</f>
        <v>-10</v>
      </c>
      <c r="H256" s="216" t="s">
        <v>245</v>
      </c>
      <c r="I256" s="216"/>
      <c r="K256" s="216" t="s">
        <v>244</v>
      </c>
      <c r="L256" s="232"/>
    </row>
    <row r="257" ht="14.25" customHeight="1">
      <c r="B257" s="219">
        <v>45079.0</v>
      </c>
      <c r="C257" s="220" t="str">
        <f t="shared" ref="C257:C286" si="40">D256</f>
        <v/>
      </c>
      <c r="D257" s="220"/>
      <c r="E257" s="220">
        <f t="shared" si="38"/>
        <v>0</v>
      </c>
      <c r="F257" s="220">
        <f t="shared" si="39"/>
        <v>-10</v>
      </c>
      <c r="H257" s="216" t="s">
        <v>247</v>
      </c>
      <c r="I257" s="216"/>
      <c r="K257" s="216" t="s">
        <v>266</v>
      </c>
      <c r="L257" s="232"/>
    </row>
    <row r="258" ht="14.25" customHeight="1">
      <c r="B258" s="254">
        <v>45080.0</v>
      </c>
      <c r="C258" s="255" t="str">
        <f t="shared" si="40"/>
        <v/>
      </c>
      <c r="D258" s="255"/>
      <c r="E258" s="255">
        <f t="shared" si="38"/>
        <v>0</v>
      </c>
      <c r="F258" s="255">
        <f t="shared" si="39"/>
        <v>-10</v>
      </c>
      <c r="H258" s="216" t="s">
        <v>249</v>
      </c>
      <c r="I258" s="232">
        <v>10.0</v>
      </c>
      <c r="K258" s="216" t="s">
        <v>246</v>
      </c>
      <c r="L258" s="232">
        <f>O258*O259</f>
        <v>0</v>
      </c>
    </row>
    <row r="259" ht="14.25" customHeight="1">
      <c r="B259" s="254">
        <v>45081.0</v>
      </c>
      <c r="C259" s="255" t="str">
        <f t="shared" si="40"/>
        <v/>
      </c>
      <c r="D259" s="255"/>
      <c r="E259" s="255">
        <f t="shared" si="38"/>
        <v>0</v>
      </c>
      <c r="F259" s="255">
        <f t="shared" si="39"/>
        <v>-10</v>
      </c>
      <c r="H259" s="216" t="s">
        <v>251</v>
      </c>
      <c r="I259" s="216"/>
      <c r="K259" s="216" t="s">
        <v>248</v>
      </c>
      <c r="L259" s="232">
        <f>O260*O261</f>
        <v>0</v>
      </c>
    </row>
    <row r="260" ht="14.25" customHeight="1">
      <c r="B260" s="219">
        <v>45082.0</v>
      </c>
      <c r="C260" s="220" t="str">
        <f t="shared" si="40"/>
        <v/>
      </c>
      <c r="D260" s="220"/>
      <c r="E260" s="220">
        <f t="shared" si="38"/>
        <v>0</v>
      </c>
      <c r="F260" s="220">
        <f t="shared" si="39"/>
        <v>-10</v>
      </c>
      <c r="H260" s="216" t="s">
        <v>249</v>
      </c>
      <c r="I260" s="232">
        <v>10.0</v>
      </c>
      <c r="K260" s="216" t="s">
        <v>250</v>
      </c>
      <c r="L260" s="232">
        <f>O262*100</f>
        <v>0</v>
      </c>
    </row>
    <row r="261" ht="14.25" customHeight="1">
      <c r="B261" s="219">
        <v>45083.0</v>
      </c>
      <c r="C261" s="220" t="str">
        <f t="shared" si="40"/>
        <v/>
      </c>
      <c r="D261" s="220"/>
      <c r="E261" s="220">
        <f t="shared" si="38"/>
        <v>0</v>
      </c>
      <c r="F261" s="220">
        <f t="shared" si="39"/>
        <v>-10</v>
      </c>
      <c r="H261" s="216" t="s">
        <v>250</v>
      </c>
      <c r="I261" s="216"/>
      <c r="K261" s="216" t="s">
        <v>252</v>
      </c>
      <c r="L261" s="232"/>
    </row>
    <row r="262" ht="14.25" customHeight="1">
      <c r="B262" s="219">
        <v>45084.0</v>
      </c>
      <c r="C262" s="220" t="str">
        <f t="shared" si="40"/>
        <v/>
      </c>
      <c r="D262" s="220"/>
      <c r="E262" s="220">
        <f t="shared" si="38"/>
        <v>0</v>
      </c>
      <c r="F262" s="220">
        <f t="shared" si="39"/>
        <v>-10</v>
      </c>
      <c r="K262" s="216" t="s">
        <v>268</v>
      </c>
      <c r="L262" s="232">
        <f>L256+L258+L259+L260-L257-L261</f>
        <v>0</v>
      </c>
    </row>
    <row r="263" ht="14.25" customHeight="1">
      <c r="B263" s="219">
        <v>45085.0</v>
      </c>
      <c r="C263" s="220" t="str">
        <f t="shared" si="40"/>
        <v/>
      </c>
      <c r="D263" s="220"/>
      <c r="E263" s="220">
        <f t="shared" si="38"/>
        <v>0</v>
      </c>
      <c r="F263" s="220">
        <f t="shared" si="39"/>
        <v>-10</v>
      </c>
      <c r="K263" s="216" t="s">
        <v>269</v>
      </c>
      <c r="L263" s="229"/>
    </row>
    <row r="264" ht="14.25" customHeight="1">
      <c r="B264" s="219">
        <v>45086.0</v>
      </c>
      <c r="C264" s="220" t="str">
        <f t="shared" si="40"/>
        <v/>
      </c>
      <c r="D264" s="220"/>
      <c r="E264" s="220">
        <f t="shared" si="38"/>
        <v>0</v>
      </c>
      <c r="F264" s="220">
        <f t="shared" si="39"/>
        <v>-10</v>
      </c>
    </row>
    <row r="265" ht="14.25" customHeight="1">
      <c r="B265" s="254">
        <v>45087.0</v>
      </c>
      <c r="C265" s="255" t="str">
        <f t="shared" si="40"/>
        <v/>
      </c>
      <c r="D265" s="255"/>
      <c r="E265" s="255">
        <f t="shared" si="38"/>
        <v>0</v>
      </c>
      <c r="F265" s="255">
        <f t="shared" si="39"/>
        <v>-10</v>
      </c>
    </row>
    <row r="266" ht="14.25" customHeight="1">
      <c r="B266" s="254">
        <v>45088.0</v>
      </c>
      <c r="C266" s="255" t="str">
        <f t="shared" si="40"/>
        <v/>
      </c>
      <c r="D266" s="255"/>
      <c r="E266" s="255">
        <f t="shared" si="38"/>
        <v>0</v>
      </c>
      <c r="F266" s="255">
        <f t="shared" si="39"/>
        <v>-10</v>
      </c>
    </row>
    <row r="267" ht="14.25" customHeight="1">
      <c r="B267" s="219">
        <v>45089.0</v>
      </c>
      <c r="C267" s="220" t="str">
        <f t="shared" si="40"/>
        <v/>
      </c>
      <c r="D267" s="220"/>
      <c r="E267" s="220">
        <f t="shared" si="38"/>
        <v>0</v>
      </c>
      <c r="F267" s="220">
        <f t="shared" si="39"/>
        <v>-10</v>
      </c>
    </row>
    <row r="268" ht="14.25" customHeight="1">
      <c r="B268" s="219">
        <v>45090.0</v>
      </c>
      <c r="C268" s="220" t="str">
        <f t="shared" si="40"/>
        <v/>
      </c>
      <c r="D268" s="220"/>
      <c r="E268" s="220">
        <f t="shared" si="38"/>
        <v>0</v>
      </c>
      <c r="F268" s="220">
        <f t="shared" si="39"/>
        <v>-10</v>
      </c>
    </row>
    <row r="269" ht="14.25" customHeight="1">
      <c r="B269" s="219">
        <v>45091.0</v>
      </c>
      <c r="C269" s="220" t="str">
        <f t="shared" si="40"/>
        <v/>
      </c>
      <c r="D269" s="220"/>
      <c r="E269" s="220">
        <f t="shared" si="38"/>
        <v>0</v>
      </c>
      <c r="F269" s="220">
        <f t="shared" si="39"/>
        <v>-10</v>
      </c>
    </row>
    <row r="270" ht="14.25" customHeight="1">
      <c r="B270" s="219">
        <v>45092.0</v>
      </c>
      <c r="C270" s="220" t="str">
        <f t="shared" si="40"/>
        <v/>
      </c>
      <c r="D270" s="220"/>
      <c r="E270" s="220">
        <f t="shared" si="38"/>
        <v>0</v>
      </c>
      <c r="F270" s="220">
        <f t="shared" si="39"/>
        <v>-10</v>
      </c>
    </row>
    <row r="271" ht="14.25" customHeight="1">
      <c r="B271" s="219">
        <v>45093.0</v>
      </c>
      <c r="C271" s="220" t="str">
        <f t="shared" si="40"/>
        <v/>
      </c>
      <c r="D271" s="220"/>
      <c r="E271" s="220">
        <f t="shared" si="38"/>
        <v>0</v>
      </c>
      <c r="F271" s="220">
        <f t="shared" si="39"/>
        <v>-10</v>
      </c>
    </row>
    <row r="272" ht="14.25" customHeight="1">
      <c r="B272" s="254">
        <v>45094.0</v>
      </c>
      <c r="C272" s="255" t="str">
        <f t="shared" si="40"/>
        <v/>
      </c>
      <c r="D272" s="255"/>
      <c r="E272" s="255">
        <f t="shared" si="38"/>
        <v>0</v>
      </c>
      <c r="F272" s="255">
        <f t="shared" si="39"/>
        <v>-10</v>
      </c>
    </row>
    <row r="273" ht="14.25" customHeight="1">
      <c r="B273" s="254">
        <v>45095.0</v>
      </c>
      <c r="C273" s="255" t="str">
        <f t="shared" si="40"/>
        <v/>
      </c>
      <c r="D273" s="255"/>
      <c r="E273" s="255">
        <f t="shared" si="38"/>
        <v>0</v>
      </c>
      <c r="F273" s="255">
        <f t="shared" si="39"/>
        <v>-10</v>
      </c>
    </row>
    <row r="274" ht="14.25" customHeight="1">
      <c r="B274" s="219">
        <v>45096.0</v>
      </c>
      <c r="C274" s="220" t="str">
        <f t="shared" si="40"/>
        <v/>
      </c>
      <c r="D274" s="220"/>
      <c r="E274" s="220">
        <f t="shared" si="38"/>
        <v>0</v>
      </c>
      <c r="F274" s="220">
        <f t="shared" si="39"/>
        <v>-10</v>
      </c>
    </row>
    <row r="275" ht="14.25" customHeight="1">
      <c r="B275" s="219">
        <v>45097.0</v>
      </c>
      <c r="C275" s="220" t="str">
        <f t="shared" si="40"/>
        <v/>
      </c>
      <c r="D275" s="220"/>
      <c r="E275" s="220">
        <f t="shared" si="38"/>
        <v>0</v>
      </c>
      <c r="F275" s="220">
        <f t="shared" si="39"/>
        <v>-10</v>
      </c>
    </row>
    <row r="276" ht="14.25" customHeight="1">
      <c r="B276" s="219">
        <v>45098.0</v>
      </c>
      <c r="C276" s="220" t="str">
        <f t="shared" si="40"/>
        <v/>
      </c>
      <c r="D276" s="220"/>
      <c r="E276" s="220">
        <f t="shared" si="38"/>
        <v>0</v>
      </c>
      <c r="F276" s="220">
        <f t="shared" si="39"/>
        <v>-10</v>
      </c>
    </row>
    <row r="277" ht="14.25" customHeight="1">
      <c r="B277" s="219">
        <v>45099.0</v>
      </c>
      <c r="C277" s="220" t="str">
        <f t="shared" si="40"/>
        <v/>
      </c>
      <c r="D277" s="220"/>
      <c r="E277" s="220">
        <f t="shared" si="38"/>
        <v>0</v>
      </c>
      <c r="F277" s="220">
        <f t="shared" si="39"/>
        <v>-10</v>
      </c>
    </row>
    <row r="278" ht="14.25" customHeight="1">
      <c r="B278" s="219">
        <v>45100.0</v>
      </c>
      <c r="C278" s="220" t="str">
        <f t="shared" si="40"/>
        <v/>
      </c>
      <c r="D278" s="220"/>
      <c r="E278" s="220">
        <f t="shared" si="38"/>
        <v>0</v>
      </c>
      <c r="F278" s="220">
        <f t="shared" si="39"/>
        <v>-10</v>
      </c>
    </row>
    <row r="279" ht="14.25" customHeight="1">
      <c r="B279" s="254">
        <v>45101.0</v>
      </c>
      <c r="C279" s="255" t="str">
        <f t="shared" si="40"/>
        <v/>
      </c>
      <c r="D279" s="255"/>
      <c r="E279" s="255">
        <f t="shared" si="38"/>
        <v>0</v>
      </c>
      <c r="F279" s="255">
        <f t="shared" si="39"/>
        <v>-10</v>
      </c>
    </row>
    <row r="280" ht="14.25" customHeight="1">
      <c r="B280" s="254">
        <v>45102.0</v>
      </c>
      <c r="C280" s="255" t="str">
        <f t="shared" si="40"/>
        <v/>
      </c>
      <c r="D280" s="255"/>
      <c r="E280" s="255">
        <f t="shared" si="38"/>
        <v>0</v>
      </c>
      <c r="F280" s="255">
        <f t="shared" si="39"/>
        <v>-10</v>
      </c>
    </row>
    <row r="281" ht="14.25" customHeight="1">
      <c r="B281" s="219">
        <v>45103.0</v>
      </c>
      <c r="C281" s="220" t="str">
        <f t="shared" si="40"/>
        <v/>
      </c>
      <c r="D281" s="220"/>
      <c r="E281" s="220">
        <f t="shared" si="38"/>
        <v>0</v>
      </c>
      <c r="F281" s="220">
        <f t="shared" si="39"/>
        <v>-10</v>
      </c>
    </row>
    <row r="282" ht="14.25" customHeight="1">
      <c r="B282" s="219">
        <v>45104.0</v>
      </c>
      <c r="C282" s="220" t="str">
        <f t="shared" si="40"/>
        <v/>
      </c>
      <c r="D282" s="220"/>
      <c r="E282" s="220">
        <f t="shared" si="38"/>
        <v>0</v>
      </c>
      <c r="F282" s="220">
        <f t="shared" si="39"/>
        <v>-10</v>
      </c>
    </row>
    <row r="283" ht="14.25" customHeight="1">
      <c r="B283" s="219">
        <v>45105.0</v>
      </c>
      <c r="C283" s="220" t="str">
        <f t="shared" si="40"/>
        <v/>
      </c>
      <c r="D283" s="220"/>
      <c r="E283" s="220">
        <f t="shared" si="38"/>
        <v>0</v>
      </c>
      <c r="F283" s="220">
        <f t="shared" si="39"/>
        <v>-10</v>
      </c>
    </row>
    <row r="284" ht="14.25" customHeight="1">
      <c r="B284" s="219">
        <v>45106.0</v>
      </c>
      <c r="C284" s="220" t="str">
        <f t="shared" si="40"/>
        <v/>
      </c>
      <c r="D284" s="220"/>
      <c r="E284" s="220">
        <f t="shared" si="38"/>
        <v>0</v>
      </c>
      <c r="F284" s="220">
        <f t="shared" si="39"/>
        <v>-10</v>
      </c>
    </row>
    <row r="285" ht="14.25" customHeight="1">
      <c r="B285" s="219">
        <v>45107.0</v>
      </c>
      <c r="C285" s="220" t="str">
        <f t="shared" si="40"/>
        <v/>
      </c>
      <c r="D285" s="220"/>
      <c r="E285" s="220">
        <f t="shared" si="38"/>
        <v>0</v>
      </c>
      <c r="F285" s="220">
        <f t="shared" si="39"/>
        <v>-10</v>
      </c>
    </row>
    <row r="286" ht="14.25" customHeight="1">
      <c r="B286" s="229"/>
      <c r="C286" s="220" t="str">
        <f t="shared" si="40"/>
        <v/>
      </c>
      <c r="D286" s="220"/>
      <c r="E286" s="220">
        <f t="shared" si="38"/>
        <v>0</v>
      </c>
      <c r="F286" s="220">
        <f t="shared" si="39"/>
        <v>-10</v>
      </c>
    </row>
    <row r="287" ht="14.25" customHeight="1">
      <c r="B287" s="216"/>
      <c r="C287" s="223" t="s">
        <v>221</v>
      </c>
      <c r="D287" s="223"/>
      <c r="E287" s="216">
        <f>SUM(E256:E286)</f>
        <v>0</v>
      </c>
      <c r="F287" s="216">
        <f t="shared" si="39"/>
        <v>-10</v>
      </c>
    </row>
    <row r="288" ht="14.25" customHeight="1"/>
    <row r="289" ht="14.25" customHeight="1">
      <c r="A289" s="249" t="s">
        <v>226</v>
      </c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1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4.25" customHeight="1"/>
    <row r="291" ht="14.25" customHeight="1">
      <c r="B291" s="216" t="s">
        <v>214</v>
      </c>
      <c r="C291" s="216" t="s">
        <v>215</v>
      </c>
      <c r="D291" s="216" t="s">
        <v>216</v>
      </c>
      <c r="E291" s="216" t="s">
        <v>217</v>
      </c>
      <c r="F291" s="216" t="s">
        <v>218</v>
      </c>
      <c r="H291" s="216" t="s">
        <v>238</v>
      </c>
      <c r="I291" s="216"/>
      <c r="K291" s="253" t="s">
        <v>411</v>
      </c>
      <c r="L291" s="231"/>
    </row>
    <row r="292" ht="14.25" customHeight="1">
      <c r="B292" s="219">
        <v>45078.0</v>
      </c>
      <c r="C292" s="220"/>
      <c r="D292" s="220"/>
      <c r="E292" s="220">
        <f t="shared" ref="E292:E322" si="41">D292-C292</f>
        <v>0</v>
      </c>
      <c r="F292" s="220">
        <f t="shared" ref="F292:F323" si="42">E292-10</f>
        <v>-10</v>
      </c>
      <c r="H292" s="216" t="s">
        <v>245</v>
      </c>
      <c r="I292" s="216"/>
      <c r="K292" s="216" t="s">
        <v>244</v>
      </c>
      <c r="L292" s="232"/>
    </row>
    <row r="293" ht="14.25" customHeight="1">
      <c r="B293" s="219">
        <v>45079.0</v>
      </c>
      <c r="C293" s="220" t="str">
        <f t="shared" ref="C293:C322" si="43">D292</f>
        <v/>
      </c>
      <c r="D293" s="220"/>
      <c r="E293" s="220">
        <f t="shared" si="41"/>
        <v>0</v>
      </c>
      <c r="F293" s="220">
        <f t="shared" si="42"/>
        <v>-10</v>
      </c>
      <c r="H293" s="216" t="s">
        <v>247</v>
      </c>
      <c r="I293" s="216"/>
      <c r="K293" s="216" t="s">
        <v>266</v>
      </c>
      <c r="L293" s="232"/>
    </row>
    <row r="294" ht="14.25" customHeight="1">
      <c r="B294" s="254">
        <v>45080.0</v>
      </c>
      <c r="C294" s="255" t="str">
        <f t="shared" si="43"/>
        <v/>
      </c>
      <c r="D294" s="255"/>
      <c r="E294" s="255">
        <f t="shared" si="41"/>
        <v>0</v>
      </c>
      <c r="F294" s="255">
        <f t="shared" si="42"/>
        <v>-10</v>
      </c>
      <c r="H294" s="216" t="s">
        <v>249</v>
      </c>
      <c r="I294" s="232">
        <v>10.0</v>
      </c>
      <c r="K294" s="216" t="s">
        <v>246</v>
      </c>
      <c r="L294" s="232">
        <f>O294*O295</f>
        <v>0</v>
      </c>
    </row>
    <row r="295" ht="14.25" customHeight="1">
      <c r="B295" s="254">
        <v>45081.0</v>
      </c>
      <c r="C295" s="255" t="str">
        <f t="shared" si="43"/>
        <v/>
      </c>
      <c r="D295" s="255"/>
      <c r="E295" s="255">
        <f t="shared" si="41"/>
        <v>0</v>
      </c>
      <c r="F295" s="255">
        <f t="shared" si="42"/>
        <v>-10</v>
      </c>
      <c r="H295" s="216" t="s">
        <v>251</v>
      </c>
      <c r="I295" s="216"/>
      <c r="K295" s="216" t="s">
        <v>248</v>
      </c>
      <c r="L295" s="232">
        <f>O296*O297</f>
        <v>0</v>
      </c>
    </row>
    <row r="296" ht="14.25" customHeight="1">
      <c r="B296" s="219">
        <v>45082.0</v>
      </c>
      <c r="C296" s="220" t="str">
        <f t="shared" si="43"/>
        <v/>
      </c>
      <c r="D296" s="220"/>
      <c r="E296" s="220">
        <f t="shared" si="41"/>
        <v>0</v>
      </c>
      <c r="F296" s="220">
        <f t="shared" si="42"/>
        <v>-10</v>
      </c>
      <c r="H296" s="216" t="s">
        <v>249</v>
      </c>
      <c r="I296" s="232">
        <v>10.0</v>
      </c>
      <c r="K296" s="216" t="s">
        <v>250</v>
      </c>
      <c r="L296" s="232">
        <f>O298*100</f>
        <v>0</v>
      </c>
    </row>
    <row r="297" ht="14.25" customHeight="1">
      <c r="B297" s="219">
        <v>45083.0</v>
      </c>
      <c r="C297" s="220" t="str">
        <f t="shared" si="43"/>
        <v/>
      </c>
      <c r="D297" s="220"/>
      <c r="E297" s="220">
        <f t="shared" si="41"/>
        <v>0</v>
      </c>
      <c r="F297" s="220">
        <f t="shared" si="42"/>
        <v>-10</v>
      </c>
      <c r="H297" s="216" t="s">
        <v>250</v>
      </c>
      <c r="I297" s="216"/>
      <c r="K297" s="216" t="s">
        <v>252</v>
      </c>
      <c r="L297" s="232"/>
    </row>
    <row r="298" ht="14.25" customHeight="1">
      <c r="B298" s="219">
        <v>45084.0</v>
      </c>
      <c r="C298" s="220" t="str">
        <f t="shared" si="43"/>
        <v/>
      </c>
      <c r="D298" s="220"/>
      <c r="E298" s="220">
        <f t="shared" si="41"/>
        <v>0</v>
      </c>
      <c r="F298" s="220">
        <f t="shared" si="42"/>
        <v>-10</v>
      </c>
      <c r="K298" s="216" t="s">
        <v>268</v>
      </c>
      <c r="L298" s="232">
        <f>L292+L294+L295+L296-L293-L297</f>
        <v>0</v>
      </c>
    </row>
    <row r="299" ht="14.25" customHeight="1">
      <c r="B299" s="219">
        <v>45085.0</v>
      </c>
      <c r="C299" s="220" t="str">
        <f t="shared" si="43"/>
        <v/>
      </c>
      <c r="D299" s="220"/>
      <c r="E299" s="220">
        <f t="shared" si="41"/>
        <v>0</v>
      </c>
      <c r="F299" s="220">
        <f t="shared" si="42"/>
        <v>-10</v>
      </c>
      <c r="K299" s="216" t="s">
        <v>269</v>
      </c>
      <c r="L299" s="229"/>
    </row>
    <row r="300" ht="14.25" customHeight="1">
      <c r="B300" s="219">
        <v>45086.0</v>
      </c>
      <c r="C300" s="220" t="str">
        <f t="shared" si="43"/>
        <v/>
      </c>
      <c r="D300" s="220"/>
      <c r="E300" s="220">
        <f t="shared" si="41"/>
        <v>0</v>
      </c>
      <c r="F300" s="220">
        <f t="shared" si="42"/>
        <v>-10</v>
      </c>
    </row>
    <row r="301" ht="14.25" customHeight="1">
      <c r="B301" s="254">
        <v>45087.0</v>
      </c>
      <c r="C301" s="255" t="str">
        <f t="shared" si="43"/>
        <v/>
      </c>
      <c r="D301" s="255"/>
      <c r="E301" s="255">
        <f t="shared" si="41"/>
        <v>0</v>
      </c>
      <c r="F301" s="255">
        <f t="shared" si="42"/>
        <v>-10</v>
      </c>
    </row>
    <row r="302" ht="14.25" customHeight="1">
      <c r="B302" s="254">
        <v>45088.0</v>
      </c>
      <c r="C302" s="255" t="str">
        <f t="shared" si="43"/>
        <v/>
      </c>
      <c r="D302" s="255"/>
      <c r="E302" s="255">
        <f t="shared" si="41"/>
        <v>0</v>
      </c>
      <c r="F302" s="255">
        <f t="shared" si="42"/>
        <v>-10</v>
      </c>
    </row>
    <row r="303" ht="14.25" customHeight="1">
      <c r="B303" s="219">
        <v>45089.0</v>
      </c>
      <c r="C303" s="220" t="str">
        <f t="shared" si="43"/>
        <v/>
      </c>
      <c r="D303" s="220"/>
      <c r="E303" s="220">
        <f t="shared" si="41"/>
        <v>0</v>
      </c>
      <c r="F303" s="220">
        <f t="shared" si="42"/>
        <v>-10</v>
      </c>
    </row>
    <row r="304" ht="14.25" customHeight="1">
      <c r="B304" s="219">
        <v>45090.0</v>
      </c>
      <c r="C304" s="220" t="str">
        <f t="shared" si="43"/>
        <v/>
      </c>
      <c r="D304" s="220"/>
      <c r="E304" s="220">
        <f t="shared" si="41"/>
        <v>0</v>
      </c>
      <c r="F304" s="220">
        <f t="shared" si="42"/>
        <v>-10</v>
      </c>
    </row>
    <row r="305" ht="14.25" customHeight="1">
      <c r="B305" s="219">
        <v>45091.0</v>
      </c>
      <c r="C305" s="220" t="str">
        <f t="shared" si="43"/>
        <v/>
      </c>
      <c r="D305" s="220"/>
      <c r="E305" s="220">
        <f t="shared" si="41"/>
        <v>0</v>
      </c>
      <c r="F305" s="220">
        <f t="shared" si="42"/>
        <v>-10</v>
      </c>
    </row>
    <row r="306" ht="14.25" customHeight="1">
      <c r="B306" s="219">
        <v>45092.0</v>
      </c>
      <c r="C306" s="220" t="str">
        <f t="shared" si="43"/>
        <v/>
      </c>
      <c r="D306" s="220"/>
      <c r="E306" s="220">
        <f t="shared" si="41"/>
        <v>0</v>
      </c>
      <c r="F306" s="220">
        <f t="shared" si="42"/>
        <v>-10</v>
      </c>
    </row>
    <row r="307" ht="14.25" customHeight="1">
      <c r="B307" s="219">
        <v>45093.0</v>
      </c>
      <c r="C307" s="220" t="str">
        <f t="shared" si="43"/>
        <v/>
      </c>
      <c r="D307" s="220"/>
      <c r="E307" s="220">
        <f t="shared" si="41"/>
        <v>0</v>
      </c>
      <c r="F307" s="220">
        <f t="shared" si="42"/>
        <v>-10</v>
      </c>
    </row>
    <row r="308" ht="14.25" customHeight="1">
      <c r="B308" s="254">
        <v>45094.0</v>
      </c>
      <c r="C308" s="255" t="str">
        <f t="shared" si="43"/>
        <v/>
      </c>
      <c r="D308" s="255"/>
      <c r="E308" s="255">
        <f t="shared" si="41"/>
        <v>0</v>
      </c>
      <c r="F308" s="255">
        <f t="shared" si="42"/>
        <v>-10</v>
      </c>
    </row>
    <row r="309" ht="14.25" customHeight="1">
      <c r="B309" s="254">
        <v>45095.0</v>
      </c>
      <c r="C309" s="255" t="str">
        <f t="shared" si="43"/>
        <v/>
      </c>
      <c r="D309" s="255"/>
      <c r="E309" s="255">
        <f t="shared" si="41"/>
        <v>0</v>
      </c>
      <c r="F309" s="255">
        <f t="shared" si="42"/>
        <v>-10</v>
      </c>
    </row>
    <row r="310" ht="14.25" customHeight="1">
      <c r="B310" s="219">
        <v>45096.0</v>
      </c>
      <c r="C310" s="220" t="str">
        <f t="shared" si="43"/>
        <v/>
      </c>
      <c r="D310" s="220"/>
      <c r="E310" s="220">
        <f t="shared" si="41"/>
        <v>0</v>
      </c>
      <c r="F310" s="220">
        <f t="shared" si="42"/>
        <v>-10</v>
      </c>
    </row>
    <row r="311" ht="14.25" customHeight="1">
      <c r="B311" s="219">
        <v>45097.0</v>
      </c>
      <c r="C311" s="220" t="str">
        <f t="shared" si="43"/>
        <v/>
      </c>
      <c r="D311" s="220"/>
      <c r="E311" s="220">
        <f t="shared" si="41"/>
        <v>0</v>
      </c>
      <c r="F311" s="220">
        <f t="shared" si="42"/>
        <v>-10</v>
      </c>
    </row>
    <row r="312" ht="14.25" customHeight="1">
      <c r="B312" s="219">
        <v>45098.0</v>
      </c>
      <c r="C312" s="220" t="str">
        <f t="shared" si="43"/>
        <v/>
      </c>
      <c r="D312" s="220"/>
      <c r="E312" s="220">
        <f t="shared" si="41"/>
        <v>0</v>
      </c>
      <c r="F312" s="220">
        <f t="shared" si="42"/>
        <v>-10</v>
      </c>
    </row>
    <row r="313" ht="14.25" customHeight="1">
      <c r="B313" s="219">
        <v>45099.0</v>
      </c>
      <c r="C313" s="220" t="str">
        <f t="shared" si="43"/>
        <v/>
      </c>
      <c r="D313" s="220"/>
      <c r="E313" s="220">
        <f t="shared" si="41"/>
        <v>0</v>
      </c>
      <c r="F313" s="220">
        <f t="shared" si="42"/>
        <v>-10</v>
      </c>
    </row>
    <row r="314" ht="14.25" customHeight="1">
      <c r="B314" s="219">
        <v>45100.0</v>
      </c>
      <c r="C314" s="220" t="str">
        <f t="shared" si="43"/>
        <v/>
      </c>
      <c r="D314" s="220"/>
      <c r="E314" s="220">
        <f t="shared" si="41"/>
        <v>0</v>
      </c>
      <c r="F314" s="220">
        <f t="shared" si="42"/>
        <v>-10</v>
      </c>
    </row>
    <row r="315" ht="14.25" customHeight="1">
      <c r="B315" s="254">
        <v>45101.0</v>
      </c>
      <c r="C315" s="255" t="str">
        <f t="shared" si="43"/>
        <v/>
      </c>
      <c r="D315" s="255"/>
      <c r="E315" s="255">
        <f t="shared" si="41"/>
        <v>0</v>
      </c>
      <c r="F315" s="255">
        <f t="shared" si="42"/>
        <v>-10</v>
      </c>
    </row>
    <row r="316" ht="14.25" customHeight="1">
      <c r="B316" s="254">
        <v>45102.0</v>
      </c>
      <c r="C316" s="255" t="str">
        <f t="shared" si="43"/>
        <v/>
      </c>
      <c r="D316" s="255"/>
      <c r="E316" s="255">
        <f t="shared" si="41"/>
        <v>0</v>
      </c>
      <c r="F316" s="255">
        <f t="shared" si="42"/>
        <v>-10</v>
      </c>
    </row>
    <row r="317" ht="14.25" customHeight="1">
      <c r="B317" s="219">
        <v>45103.0</v>
      </c>
      <c r="C317" s="220" t="str">
        <f t="shared" si="43"/>
        <v/>
      </c>
      <c r="D317" s="220"/>
      <c r="E317" s="220">
        <f t="shared" si="41"/>
        <v>0</v>
      </c>
      <c r="F317" s="220">
        <f t="shared" si="42"/>
        <v>-10</v>
      </c>
    </row>
    <row r="318" ht="14.25" customHeight="1">
      <c r="B318" s="219">
        <v>45104.0</v>
      </c>
      <c r="C318" s="220" t="str">
        <f t="shared" si="43"/>
        <v/>
      </c>
      <c r="D318" s="220"/>
      <c r="E318" s="220">
        <f t="shared" si="41"/>
        <v>0</v>
      </c>
      <c r="F318" s="220">
        <f t="shared" si="42"/>
        <v>-10</v>
      </c>
    </row>
    <row r="319" ht="14.25" customHeight="1">
      <c r="B319" s="219">
        <v>45105.0</v>
      </c>
      <c r="C319" s="220" t="str">
        <f t="shared" si="43"/>
        <v/>
      </c>
      <c r="D319" s="220"/>
      <c r="E319" s="220">
        <f t="shared" si="41"/>
        <v>0</v>
      </c>
      <c r="F319" s="220">
        <f t="shared" si="42"/>
        <v>-10</v>
      </c>
    </row>
    <row r="320" ht="14.25" customHeight="1">
      <c r="B320" s="219">
        <v>45106.0</v>
      </c>
      <c r="C320" s="220" t="str">
        <f t="shared" si="43"/>
        <v/>
      </c>
      <c r="D320" s="220"/>
      <c r="E320" s="220">
        <f t="shared" si="41"/>
        <v>0</v>
      </c>
      <c r="F320" s="220">
        <f t="shared" si="42"/>
        <v>-10</v>
      </c>
    </row>
    <row r="321" ht="14.25" customHeight="1">
      <c r="B321" s="219">
        <v>45107.0</v>
      </c>
      <c r="C321" s="220" t="str">
        <f t="shared" si="43"/>
        <v/>
      </c>
      <c r="D321" s="220"/>
      <c r="E321" s="220">
        <f t="shared" si="41"/>
        <v>0</v>
      </c>
      <c r="F321" s="220">
        <f t="shared" si="42"/>
        <v>-10</v>
      </c>
    </row>
    <row r="322" ht="14.25" customHeight="1">
      <c r="B322" s="229"/>
      <c r="C322" s="220" t="str">
        <f t="shared" si="43"/>
        <v/>
      </c>
      <c r="D322" s="220"/>
      <c r="E322" s="220">
        <f t="shared" si="41"/>
        <v>0</v>
      </c>
      <c r="F322" s="220">
        <f t="shared" si="42"/>
        <v>-10</v>
      </c>
    </row>
    <row r="323" ht="14.25" customHeight="1">
      <c r="B323" s="216"/>
      <c r="C323" s="223" t="s">
        <v>221</v>
      </c>
      <c r="D323" s="223"/>
      <c r="E323" s="216">
        <f>SUM(E292:E322)</f>
        <v>0</v>
      </c>
      <c r="F323" s="216">
        <f t="shared" si="42"/>
        <v>-10</v>
      </c>
    </row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P1"/>
    <mergeCell ref="K3:L3"/>
    <mergeCell ref="K23:L24"/>
    <mergeCell ref="A37:P37"/>
    <mergeCell ref="K39:L39"/>
    <mergeCell ref="A73:P73"/>
    <mergeCell ref="K75:L75"/>
    <mergeCell ref="K219:L219"/>
    <mergeCell ref="A253:P253"/>
    <mergeCell ref="K255:L255"/>
    <mergeCell ref="A289:P289"/>
    <mergeCell ref="K291:L291"/>
    <mergeCell ref="A109:P109"/>
    <mergeCell ref="K111:L111"/>
    <mergeCell ref="A145:P145"/>
    <mergeCell ref="K147:L147"/>
    <mergeCell ref="A181:P181"/>
    <mergeCell ref="K183:L183"/>
    <mergeCell ref="A217:P217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4.29"/>
    <col customWidth="1" min="3" max="3" width="9.71"/>
    <col customWidth="1" min="4" max="4" width="11.29"/>
    <col customWidth="1" min="5" max="7" width="8.71"/>
    <col customWidth="1" min="8" max="8" width="17.86"/>
    <col customWidth="1" min="9" max="10" width="8.71"/>
    <col customWidth="1" min="11" max="11" width="14.71"/>
    <col customWidth="1" min="12" max="12" width="12.71"/>
    <col customWidth="1" min="13" max="26" width="8.71"/>
  </cols>
  <sheetData>
    <row r="1" ht="14.25" customHeight="1">
      <c r="A1" s="249" t="s">
        <v>274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1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4.25" customHeight="1"/>
    <row r="3" ht="14.25" customHeight="1">
      <c r="B3" s="216" t="s">
        <v>417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/>
      <c r="K3" s="253" t="s">
        <v>234</v>
      </c>
      <c r="L3" s="231"/>
    </row>
    <row r="4" ht="14.25" customHeight="1">
      <c r="B4" s="219">
        <v>45139.0</v>
      </c>
      <c r="C4" s="220"/>
      <c r="D4" s="220"/>
      <c r="E4" s="220">
        <f t="shared" ref="E4:E34" si="1">D4-C4</f>
        <v>0</v>
      </c>
      <c r="F4" s="220">
        <f t="shared" ref="F4:F35" si="2">E4-10</f>
        <v>-10</v>
      </c>
      <c r="H4" s="216" t="s">
        <v>245</v>
      </c>
      <c r="I4" s="216"/>
      <c r="K4" s="216" t="s">
        <v>244</v>
      </c>
      <c r="L4" s="232"/>
    </row>
    <row r="5" ht="14.25" customHeight="1">
      <c r="B5" s="219">
        <v>45140.0</v>
      </c>
      <c r="C5" s="220" t="str">
        <f t="shared" ref="C5:C19" si="3">D4</f>
        <v/>
      </c>
      <c r="D5" s="220"/>
      <c r="E5" s="220">
        <f t="shared" si="1"/>
        <v>0</v>
      </c>
      <c r="F5" s="220">
        <f t="shared" si="2"/>
        <v>-10</v>
      </c>
      <c r="H5" s="216" t="s">
        <v>247</v>
      </c>
      <c r="I5" s="216">
        <v>111.5</v>
      </c>
      <c r="K5" s="216" t="s">
        <v>266</v>
      </c>
      <c r="L5" s="232"/>
    </row>
    <row r="6" ht="14.25" customHeight="1">
      <c r="B6" s="219">
        <v>45141.0</v>
      </c>
      <c r="C6" s="220" t="str">
        <f t="shared" si="3"/>
        <v/>
      </c>
      <c r="D6" s="220"/>
      <c r="E6" s="220">
        <f t="shared" si="1"/>
        <v>0</v>
      </c>
      <c r="F6" s="220">
        <f t="shared" si="2"/>
        <v>-10</v>
      </c>
      <c r="H6" s="216" t="s">
        <v>249</v>
      </c>
      <c r="I6" s="232">
        <v>18.0</v>
      </c>
      <c r="K6" s="216" t="s">
        <v>246</v>
      </c>
      <c r="L6" s="232">
        <f>I5*I6</f>
        <v>2007</v>
      </c>
    </row>
    <row r="7" ht="14.25" customHeight="1">
      <c r="B7" s="219">
        <v>45142.0</v>
      </c>
      <c r="C7" s="220" t="str">
        <f t="shared" si="3"/>
        <v/>
      </c>
      <c r="D7" s="220"/>
      <c r="E7" s="220">
        <f t="shared" si="1"/>
        <v>0</v>
      </c>
      <c r="F7" s="220">
        <f t="shared" si="2"/>
        <v>-10</v>
      </c>
      <c r="H7" s="216" t="s">
        <v>251</v>
      </c>
      <c r="I7" s="216">
        <v>1.7</v>
      </c>
      <c r="K7" s="216" t="s">
        <v>248</v>
      </c>
      <c r="L7" s="232">
        <f>I7*I8</f>
        <v>17</v>
      </c>
    </row>
    <row r="8" ht="14.25" customHeight="1">
      <c r="B8" s="219">
        <v>45143.0</v>
      </c>
      <c r="C8" s="220" t="str">
        <f t="shared" si="3"/>
        <v/>
      </c>
      <c r="D8" s="220"/>
      <c r="E8" s="220">
        <f t="shared" si="1"/>
        <v>0</v>
      </c>
      <c r="F8" s="220">
        <f t="shared" si="2"/>
        <v>-10</v>
      </c>
      <c r="H8" s="216" t="s">
        <v>249</v>
      </c>
      <c r="I8" s="232">
        <v>10.0</v>
      </c>
      <c r="K8" s="216" t="s">
        <v>250</v>
      </c>
      <c r="L8" s="232">
        <f>I9*100</f>
        <v>0</v>
      </c>
    </row>
    <row r="9" ht="14.25" customHeight="1">
      <c r="B9" s="219">
        <v>45144.0</v>
      </c>
      <c r="C9" s="220" t="str">
        <f t="shared" si="3"/>
        <v/>
      </c>
      <c r="D9" s="220"/>
      <c r="E9" s="220">
        <f t="shared" si="1"/>
        <v>0</v>
      </c>
      <c r="F9" s="220">
        <f t="shared" si="2"/>
        <v>-10</v>
      </c>
      <c r="H9" s="216" t="s">
        <v>267</v>
      </c>
      <c r="I9" s="216"/>
      <c r="K9" s="216" t="s">
        <v>252</v>
      </c>
      <c r="L9" s="232"/>
    </row>
    <row r="10" ht="14.25" customHeight="1">
      <c r="B10" s="219">
        <v>45145.0</v>
      </c>
      <c r="C10" s="220" t="str">
        <f t="shared" si="3"/>
        <v/>
      </c>
      <c r="D10" s="220"/>
      <c r="E10" s="220">
        <f t="shared" si="1"/>
        <v>0</v>
      </c>
      <c r="F10" s="220">
        <f t="shared" si="2"/>
        <v>-10</v>
      </c>
      <c r="K10" s="216" t="s">
        <v>268</v>
      </c>
      <c r="L10" s="232">
        <f>L4+L6+L7+L8-L5-L9</f>
        <v>2024</v>
      </c>
    </row>
    <row r="11" ht="14.25" customHeight="1">
      <c r="B11" s="219">
        <v>45146.0</v>
      </c>
      <c r="C11" s="220" t="str">
        <f t="shared" si="3"/>
        <v/>
      </c>
      <c r="D11" s="220"/>
      <c r="E11" s="220">
        <f t="shared" si="1"/>
        <v>0</v>
      </c>
      <c r="F11" s="220">
        <f t="shared" si="2"/>
        <v>-10</v>
      </c>
      <c r="K11" s="216" t="s">
        <v>269</v>
      </c>
      <c r="L11" s="229"/>
    </row>
    <row r="12" ht="14.25" customHeight="1">
      <c r="B12" s="219">
        <v>45147.0</v>
      </c>
      <c r="C12" s="220" t="str">
        <f t="shared" si="3"/>
        <v/>
      </c>
      <c r="D12" s="220"/>
      <c r="E12" s="220">
        <f t="shared" si="1"/>
        <v>0</v>
      </c>
      <c r="F12" s="220">
        <f t="shared" si="2"/>
        <v>-10</v>
      </c>
      <c r="K12" s="246" t="s">
        <v>418</v>
      </c>
    </row>
    <row r="13" ht="14.25" customHeight="1">
      <c r="B13" s="219">
        <v>45148.0</v>
      </c>
      <c r="C13" s="220" t="str">
        <f t="shared" si="3"/>
        <v/>
      </c>
      <c r="D13" s="220"/>
      <c r="E13" s="220">
        <f t="shared" si="1"/>
        <v>0</v>
      </c>
      <c r="F13" s="220">
        <f t="shared" si="2"/>
        <v>-10</v>
      </c>
    </row>
    <row r="14" ht="14.25" customHeight="1">
      <c r="B14" s="219">
        <v>45149.0</v>
      </c>
      <c r="C14" s="220" t="str">
        <f t="shared" si="3"/>
        <v/>
      </c>
      <c r="D14" s="220"/>
      <c r="E14" s="220">
        <f t="shared" si="1"/>
        <v>0</v>
      </c>
      <c r="F14" s="220">
        <f t="shared" si="2"/>
        <v>-10</v>
      </c>
    </row>
    <row r="15" ht="14.25" customHeight="1">
      <c r="B15" s="219">
        <v>45150.0</v>
      </c>
      <c r="C15" s="220" t="str">
        <f t="shared" si="3"/>
        <v/>
      </c>
      <c r="D15" s="220"/>
      <c r="E15" s="220">
        <f t="shared" si="1"/>
        <v>0</v>
      </c>
      <c r="F15" s="220">
        <f t="shared" si="2"/>
        <v>-10</v>
      </c>
    </row>
    <row r="16" ht="14.25" customHeight="1">
      <c r="B16" s="219">
        <v>45151.0</v>
      </c>
      <c r="C16" s="220" t="str">
        <f t="shared" si="3"/>
        <v/>
      </c>
      <c r="D16" s="220"/>
      <c r="E16" s="220">
        <f t="shared" si="1"/>
        <v>0</v>
      </c>
      <c r="F16" s="220">
        <f t="shared" si="2"/>
        <v>-10</v>
      </c>
    </row>
    <row r="17" ht="14.25" customHeight="1">
      <c r="B17" s="219">
        <v>45152.0</v>
      </c>
      <c r="C17" s="220" t="str">
        <f t="shared" si="3"/>
        <v/>
      </c>
      <c r="D17" s="220"/>
      <c r="E17" s="220">
        <f t="shared" si="1"/>
        <v>0</v>
      </c>
      <c r="F17" s="220">
        <f t="shared" si="2"/>
        <v>-10</v>
      </c>
    </row>
    <row r="18" ht="14.25" customHeight="1">
      <c r="B18" s="219">
        <v>45153.0</v>
      </c>
      <c r="C18" s="220" t="str">
        <f t="shared" si="3"/>
        <v/>
      </c>
      <c r="D18" s="220"/>
      <c r="E18" s="220">
        <f t="shared" si="1"/>
        <v>0</v>
      </c>
      <c r="F18" s="220">
        <f t="shared" si="2"/>
        <v>-10</v>
      </c>
    </row>
    <row r="19" ht="14.25" customHeight="1">
      <c r="B19" s="219">
        <v>45154.0</v>
      </c>
      <c r="C19" s="220" t="str">
        <f t="shared" si="3"/>
        <v/>
      </c>
      <c r="D19" s="220"/>
      <c r="E19" s="220">
        <f t="shared" si="1"/>
        <v>0</v>
      </c>
      <c r="F19" s="220">
        <f t="shared" si="2"/>
        <v>-10</v>
      </c>
    </row>
    <row r="20" ht="14.25" customHeight="1">
      <c r="B20" s="219">
        <v>45155.0</v>
      </c>
      <c r="C20" s="220">
        <v>10044.5</v>
      </c>
      <c r="D20" s="220">
        <v>10047.5</v>
      </c>
      <c r="E20" s="220">
        <f t="shared" si="1"/>
        <v>3</v>
      </c>
      <c r="F20" s="220">
        <f t="shared" si="2"/>
        <v>-7</v>
      </c>
    </row>
    <row r="21" ht="14.25" customHeight="1">
      <c r="B21" s="219">
        <v>45156.0</v>
      </c>
      <c r="C21" s="220">
        <f t="shared" ref="C21:C25" si="4">D20</f>
        <v>10047.5</v>
      </c>
      <c r="D21" s="220">
        <v>10057.6</v>
      </c>
      <c r="E21" s="220">
        <f t="shared" si="1"/>
        <v>10.1</v>
      </c>
      <c r="F21" s="220">
        <f t="shared" si="2"/>
        <v>0.1</v>
      </c>
    </row>
    <row r="22" ht="14.25" customHeight="1">
      <c r="B22" s="219">
        <v>45157.0</v>
      </c>
      <c r="C22" s="220">
        <f t="shared" si="4"/>
        <v>10057.6</v>
      </c>
      <c r="D22" s="220">
        <v>10068.0</v>
      </c>
      <c r="E22" s="220">
        <f t="shared" si="1"/>
        <v>10.4</v>
      </c>
      <c r="F22" s="220">
        <f t="shared" si="2"/>
        <v>0.4</v>
      </c>
    </row>
    <row r="23" ht="14.25" customHeight="1">
      <c r="B23" s="219">
        <v>45158.0</v>
      </c>
      <c r="C23" s="220">
        <f t="shared" si="4"/>
        <v>10068</v>
      </c>
      <c r="D23" s="220">
        <v>10078.0</v>
      </c>
      <c r="E23" s="220">
        <f t="shared" si="1"/>
        <v>10</v>
      </c>
      <c r="F23" s="220">
        <f t="shared" si="2"/>
        <v>0</v>
      </c>
    </row>
    <row r="24" ht="14.25" customHeight="1">
      <c r="B24" s="219">
        <v>45159.0</v>
      </c>
      <c r="C24" s="220">
        <f t="shared" si="4"/>
        <v>10078</v>
      </c>
      <c r="D24" s="220">
        <v>10087.0</v>
      </c>
      <c r="E24" s="220">
        <f t="shared" si="1"/>
        <v>9</v>
      </c>
      <c r="F24" s="220">
        <f t="shared" si="2"/>
        <v>-1</v>
      </c>
    </row>
    <row r="25" ht="14.25" customHeight="1">
      <c r="B25" s="219">
        <v>45160.0</v>
      </c>
      <c r="C25" s="220">
        <f t="shared" si="4"/>
        <v>10087</v>
      </c>
      <c r="D25" s="220">
        <v>10096.0</v>
      </c>
      <c r="E25" s="220">
        <f t="shared" si="1"/>
        <v>9</v>
      </c>
      <c r="F25" s="220">
        <f t="shared" si="2"/>
        <v>-1</v>
      </c>
    </row>
    <row r="26" ht="14.25" customHeight="1">
      <c r="B26" s="219">
        <v>45161.0</v>
      </c>
      <c r="C26" s="220"/>
      <c r="D26" s="220"/>
      <c r="E26" s="220">
        <f t="shared" si="1"/>
        <v>0</v>
      </c>
      <c r="F26" s="220">
        <f t="shared" si="2"/>
        <v>-10</v>
      </c>
    </row>
    <row r="27" ht="14.25" customHeight="1">
      <c r="B27" s="219">
        <v>45162.0</v>
      </c>
      <c r="C27" s="220">
        <v>10096.0</v>
      </c>
      <c r="D27" s="220">
        <v>10106.0</v>
      </c>
      <c r="E27" s="220">
        <f t="shared" si="1"/>
        <v>10</v>
      </c>
      <c r="F27" s="220">
        <f t="shared" si="2"/>
        <v>0</v>
      </c>
    </row>
    <row r="28" ht="14.25" customHeight="1">
      <c r="B28" s="219">
        <v>45163.0</v>
      </c>
      <c r="C28" s="220">
        <f t="shared" ref="C28:C32" si="5">D27</f>
        <v>10106</v>
      </c>
      <c r="D28" s="220">
        <v>10117.2</v>
      </c>
      <c r="E28" s="220">
        <f t="shared" si="1"/>
        <v>11.2</v>
      </c>
      <c r="F28" s="220">
        <f t="shared" si="2"/>
        <v>1.2</v>
      </c>
    </row>
    <row r="29" ht="14.25" customHeight="1">
      <c r="B29" s="219">
        <v>45164.0</v>
      </c>
      <c r="C29" s="220">
        <f t="shared" si="5"/>
        <v>10117.2</v>
      </c>
      <c r="D29" s="220">
        <v>10127.2</v>
      </c>
      <c r="E29" s="220">
        <f t="shared" si="1"/>
        <v>10</v>
      </c>
      <c r="F29" s="220">
        <f t="shared" si="2"/>
        <v>0</v>
      </c>
    </row>
    <row r="30" ht="14.25" customHeight="1">
      <c r="B30" s="219">
        <v>45165.0</v>
      </c>
      <c r="C30" s="220">
        <f t="shared" si="5"/>
        <v>10127.2</v>
      </c>
      <c r="D30" s="220">
        <v>10137.0</v>
      </c>
      <c r="E30" s="220">
        <f t="shared" si="1"/>
        <v>9.8</v>
      </c>
      <c r="F30" s="220">
        <f t="shared" si="2"/>
        <v>-0.2</v>
      </c>
    </row>
    <row r="31" ht="14.25" customHeight="1">
      <c r="B31" s="219">
        <v>45166.0</v>
      </c>
      <c r="C31" s="220">
        <f t="shared" si="5"/>
        <v>10137</v>
      </c>
      <c r="D31" s="220">
        <v>10147.2</v>
      </c>
      <c r="E31" s="220">
        <f t="shared" si="1"/>
        <v>10.2</v>
      </c>
      <c r="F31" s="220">
        <f t="shared" si="2"/>
        <v>0.2</v>
      </c>
    </row>
    <row r="32" ht="14.25" customHeight="1">
      <c r="B32" s="219">
        <v>45167.0</v>
      </c>
      <c r="C32" s="220">
        <f t="shared" si="5"/>
        <v>10147.2</v>
      </c>
      <c r="D32" s="220">
        <v>10152.2</v>
      </c>
      <c r="E32" s="220">
        <f t="shared" si="1"/>
        <v>5</v>
      </c>
      <c r="F32" s="220">
        <f t="shared" si="2"/>
        <v>-5</v>
      </c>
    </row>
    <row r="33" ht="14.25" customHeight="1">
      <c r="B33" s="219">
        <v>45168.0</v>
      </c>
      <c r="C33" s="220"/>
      <c r="D33" s="220"/>
      <c r="E33" s="220">
        <f t="shared" si="1"/>
        <v>0</v>
      </c>
      <c r="F33" s="220">
        <f t="shared" si="2"/>
        <v>-10</v>
      </c>
      <c r="G33" s="165">
        <v>25.1</v>
      </c>
      <c r="H33" s="165" t="s">
        <v>419</v>
      </c>
      <c r="I33" s="165">
        <v>18.0</v>
      </c>
      <c r="J33" s="165">
        <f>I33*G33</f>
        <v>451.8</v>
      </c>
    </row>
    <row r="34" ht="14.25" customHeight="1">
      <c r="B34" s="219">
        <v>45169.0</v>
      </c>
      <c r="C34" s="220">
        <v>10152.2</v>
      </c>
      <c r="D34" s="220">
        <v>10156.0</v>
      </c>
      <c r="E34" s="220">
        <f t="shared" si="1"/>
        <v>3.8</v>
      </c>
      <c r="F34" s="220">
        <f t="shared" si="2"/>
        <v>-6.2</v>
      </c>
    </row>
    <row r="35" ht="14.25" customHeight="1">
      <c r="B35" s="216"/>
      <c r="C35" s="223" t="s">
        <v>221</v>
      </c>
      <c r="D35" s="223"/>
      <c r="E35" s="216">
        <f>SUM(E4:E34)</f>
        <v>111.5</v>
      </c>
      <c r="F35" s="216">
        <f t="shared" si="2"/>
        <v>101.5</v>
      </c>
      <c r="G35" s="165">
        <v>40.2</v>
      </c>
      <c r="H35" s="165" t="s">
        <v>420</v>
      </c>
      <c r="I35" s="165" t="s">
        <v>421</v>
      </c>
    </row>
    <row r="36" ht="14.25" customHeight="1"/>
    <row r="37" ht="14.25" customHeight="1">
      <c r="A37" s="249" t="s">
        <v>422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4.25" customHeight="1"/>
    <row r="39" ht="14.25" customHeight="1">
      <c r="B39" s="216" t="s">
        <v>423</v>
      </c>
      <c r="C39" s="216" t="s">
        <v>215</v>
      </c>
      <c r="D39" s="216" t="s">
        <v>216</v>
      </c>
      <c r="E39" s="216" t="s">
        <v>217</v>
      </c>
      <c r="F39" s="216" t="s">
        <v>218</v>
      </c>
      <c r="H39" s="216" t="s">
        <v>238</v>
      </c>
      <c r="I39" s="216"/>
      <c r="K39" s="253" t="s">
        <v>234</v>
      </c>
      <c r="L39" s="231"/>
    </row>
    <row r="40" ht="14.25" customHeight="1">
      <c r="B40" s="219">
        <v>45139.0</v>
      </c>
      <c r="C40" s="220">
        <v>10156.0</v>
      </c>
      <c r="D40" s="220">
        <v>10166.05</v>
      </c>
      <c r="E40" s="220">
        <f t="shared" ref="E40:E70" si="6">D40-C40</f>
        <v>10.05</v>
      </c>
      <c r="F40" s="220">
        <f t="shared" ref="F40:F71" si="7">E40-10</f>
        <v>0.05</v>
      </c>
      <c r="H40" s="216" t="s">
        <v>245</v>
      </c>
      <c r="I40" s="216"/>
      <c r="K40" s="216" t="s">
        <v>244</v>
      </c>
      <c r="L40" s="232"/>
    </row>
    <row r="41" ht="14.25" customHeight="1">
      <c r="B41" s="219">
        <v>45140.0</v>
      </c>
      <c r="C41" s="220">
        <f t="shared" ref="C41:C44" si="8">D40</f>
        <v>10166.05</v>
      </c>
      <c r="D41" s="220">
        <v>10176.1</v>
      </c>
      <c r="E41" s="220">
        <f t="shared" si="6"/>
        <v>10.05</v>
      </c>
      <c r="F41" s="220">
        <f t="shared" si="7"/>
        <v>0.05</v>
      </c>
      <c r="H41" s="216" t="s">
        <v>247</v>
      </c>
      <c r="I41" s="216"/>
      <c r="K41" s="216" t="s">
        <v>266</v>
      </c>
      <c r="L41" s="232"/>
    </row>
    <row r="42" ht="14.25" customHeight="1">
      <c r="B42" s="219">
        <v>45141.0</v>
      </c>
      <c r="C42" s="220">
        <f t="shared" si="8"/>
        <v>10176.1</v>
      </c>
      <c r="D42" s="220">
        <v>10187.2</v>
      </c>
      <c r="E42" s="220">
        <f t="shared" si="6"/>
        <v>11.1</v>
      </c>
      <c r="F42" s="220">
        <f t="shared" si="7"/>
        <v>1.1</v>
      </c>
      <c r="H42" s="216" t="s">
        <v>249</v>
      </c>
      <c r="I42" s="232">
        <v>18.0</v>
      </c>
      <c r="K42" s="216" t="s">
        <v>246</v>
      </c>
      <c r="L42" s="232">
        <f>I41*I42</f>
        <v>0</v>
      </c>
    </row>
    <row r="43" ht="14.25" customHeight="1">
      <c r="B43" s="219">
        <v>45142.0</v>
      </c>
      <c r="C43" s="220">
        <f t="shared" si="8"/>
        <v>10187.2</v>
      </c>
      <c r="D43" s="220">
        <v>10197.2</v>
      </c>
      <c r="E43" s="220">
        <f t="shared" si="6"/>
        <v>10</v>
      </c>
      <c r="F43" s="220">
        <f t="shared" si="7"/>
        <v>0</v>
      </c>
      <c r="H43" s="216" t="s">
        <v>251</v>
      </c>
      <c r="I43" s="216"/>
      <c r="K43" s="216" t="s">
        <v>248</v>
      </c>
      <c r="L43" s="232">
        <f>I43*I44</f>
        <v>0</v>
      </c>
    </row>
    <row r="44" ht="14.25" customHeight="1">
      <c r="B44" s="259">
        <v>45143.0</v>
      </c>
      <c r="C44" s="273">
        <f t="shared" si="8"/>
        <v>10197.2</v>
      </c>
      <c r="D44" s="273">
        <v>10202.0</v>
      </c>
      <c r="E44" s="273">
        <f t="shared" si="6"/>
        <v>4.8</v>
      </c>
      <c r="F44" s="273">
        <f t="shared" si="7"/>
        <v>-5.2</v>
      </c>
      <c r="H44" s="216" t="s">
        <v>249</v>
      </c>
      <c r="I44" s="232">
        <v>10.0</v>
      </c>
      <c r="K44" s="216" t="s">
        <v>250</v>
      </c>
      <c r="L44" s="232">
        <f>I45*100</f>
        <v>0</v>
      </c>
    </row>
    <row r="45" ht="14.25" customHeight="1">
      <c r="B45" s="259">
        <v>45144.0</v>
      </c>
      <c r="C45" s="273"/>
      <c r="D45" s="273"/>
      <c r="E45" s="273">
        <f t="shared" si="6"/>
        <v>0</v>
      </c>
      <c r="F45" s="273">
        <f t="shared" si="7"/>
        <v>-10</v>
      </c>
      <c r="H45" s="216" t="s">
        <v>267</v>
      </c>
      <c r="I45" s="216"/>
      <c r="K45" s="216" t="s">
        <v>252</v>
      </c>
      <c r="L45" s="232"/>
    </row>
    <row r="46" ht="14.25" customHeight="1">
      <c r="B46" s="219">
        <v>45145.0</v>
      </c>
      <c r="C46" s="220">
        <v>10202.0</v>
      </c>
      <c r="D46" s="220">
        <v>10213.0</v>
      </c>
      <c r="E46" s="220">
        <f t="shared" si="6"/>
        <v>11</v>
      </c>
      <c r="F46" s="220">
        <f t="shared" si="7"/>
        <v>1</v>
      </c>
      <c r="K46" s="216" t="s">
        <v>268</v>
      </c>
      <c r="L46" s="232">
        <f>L40+L42+L43+L44-L41-L45</f>
        <v>0</v>
      </c>
    </row>
    <row r="47" ht="14.25" customHeight="1">
      <c r="B47" s="219">
        <v>45146.0</v>
      </c>
      <c r="C47" s="220">
        <f t="shared" ref="C47:C50" si="9">D46</f>
        <v>10213</v>
      </c>
      <c r="D47" s="220">
        <v>10223.0</v>
      </c>
      <c r="E47" s="220">
        <f t="shared" si="6"/>
        <v>10</v>
      </c>
      <c r="F47" s="220">
        <f t="shared" si="7"/>
        <v>0</v>
      </c>
      <c r="K47" s="216" t="s">
        <v>269</v>
      </c>
      <c r="L47" s="229"/>
    </row>
    <row r="48" ht="14.25" customHeight="1">
      <c r="B48" s="219">
        <v>45147.0</v>
      </c>
      <c r="C48" s="220">
        <f t="shared" si="9"/>
        <v>10223</v>
      </c>
      <c r="D48" s="220">
        <v>10233.0</v>
      </c>
      <c r="E48" s="220">
        <f t="shared" si="6"/>
        <v>10</v>
      </c>
      <c r="F48" s="220">
        <f t="shared" si="7"/>
        <v>0</v>
      </c>
      <c r="K48" s="246" t="s">
        <v>418</v>
      </c>
    </row>
    <row r="49" ht="14.25" customHeight="1">
      <c r="B49" s="219">
        <v>45148.0</v>
      </c>
      <c r="C49" s="220">
        <f t="shared" si="9"/>
        <v>10233</v>
      </c>
      <c r="D49" s="220">
        <v>10244.0</v>
      </c>
      <c r="E49" s="220">
        <f t="shared" si="6"/>
        <v>11</v>
      </c>
      <c r="F49" s="220">
        <f t="shared" si="7"/>
        <v>1</v>
      </c>
    </row>
    <row r="50" ht="14.25" customHeight="1">
      <c r="B50" s="219">
        <v>45149.0</v>
      </c>
      <c r="C50" s="220">
        <f t="shared" si="9"/>
        <v>10244</v>
      </c>
      <c r="D50" s="220">
        <v>10254.0</v>
      </c>
      <c r="E50" s="220">
        <f t="shared" si="6"/>
        <v>10</v>
      </c>
      <c r="F50" s="220">
        <f t="shared" si="7"/>
        <v>0</v>
      </c>
    </row>
    <row r="51" ht="14.25" customHeight="1">
      <c r="B51" s="259">
        <v>45150.0</v>
      </c>
      <c r="C51" s="273"/>
      <c r="D51" s="273"/>
      <c r="E51" s="273">
        <f t="shared" si="6"/>
        <v>0</v>
      </c>
      <c r="F51" s="273">
        <f t="shared" si="7"/>
        <v>-10</v>
      </c>
    </row>
    <row r="52" ht="14.25" customHeight="1">
      <c r="B52" s="259">
        <v>45151.0</v>
      </c>
      <c r="C52" s="273" t="str">
        <f>D51</f>
        <v/>
      </c>
      <c r="D52" s="273"/>
      <c r="E52" s="273">
        <f t="shared" si="6"/>
        <v>0</v>
      </c>
      <c r="F52" s="273">
        <f t="shared" si="7"/>
        <v>-10</v>
      </c>
    </row>
    <row r="53" ht="14.25" customHeight="1">
      <c r="B53" s="219">
        <v>45152.0</v>
      </c>
      <c r="C53" s="220">
        <v>10254.0</v>
      </c>
      <c r="D53" s="220">
        <v>10264.0</v>
      </c>
      <c r="E53" s="220">
        <f t="shared" si="6"/>
        <v>10</v>
      </c>
      <c r="F53" s="220">
        <f t="shared" si="7"/>
        <v>0</v>
      </c>
    </row>
    <row r="54" ht="14.25" customHeight="1">
      <c r="B54" s="219">
        <v>45153.0</v>
      </c>
      <c r="C54" s="220">
        <f t="shared" ref="C54:C57" si="10">D53</f>
        <v>10264</v>
      </c>
      <c r="D54" s="220">
        <v>10270.0</v>
      </c>
      <c r="E54" s="220">
        <f t="shared" si="6"/>
        <v>6</v>
      </c>
      <c r="F54" s="220">
        <f t="shared" si="7"/>
        <v>-4</v>
      </c>
    </row>
    <row r="55" ht="14.25" customHeight="1">
      <c r="B55" s="219">
        <v>45154.0</v>
      </c>
      <c r="C55" s="220">
        <f t="shared" si="10"/>
        <v>10270</v>
      </c>
      <c r="D55" s="220">
        <v>10278.0</v>
      </c>
      <c r="E55" s="220">
        <f t="shared" si="6"/>
        <v>8</v>
      </c>
      <c r="F55" s="220">
        <f t="shared" si="7"/>
        <v>-2</v>
      </c>
      <c r="H55" s="165" t="s">
        <v>424</v>
      </c>
    </row>
    <row r="56" ht="14.25" customHeight="1">
      <c r="B56" s="219">
        <v>45155.0</v>
      </c>
      <c r="C56" s="220">
        <f t="shared" si="10"/>
        <v>10278</v>
      </c>
      <c r="D56" s="220">
        <v>10288.0</v>
      </c>
      <c r="E56" s="220">
        <f t="shared" si="6"/>
        <v>10</v>
      </c>
      <c r="F56" s="220">
        <f t="shared" si="7"/>
        <v>0</v>
      </c>
    </row>
    <row r="57" ht="14.25" customHeight="1">
      <c r="B57" s="219">
        <v>45156.0</v>
      </c>
      <c r="C57" s="220">
        <f t="shared" si="10"/>
        <v>10288</v>
      </c>
      <c r="D57" s="220">
        <v>10297.0</v>
      </c>
      <c r="E57" s="220">
        <f t="shared" si="6"/>
        <v>9</v>
      </c>
      <c r="F57" s="220">
        <f t="shared" si="7"/>
        <v>-1</v>
      </c>
    </row>
    <row r="58" ht="14.25" customHeight="1">
      <c r="B58" s="259">
        <v>45157.0</v>
      </c>
      <c r="C58" s="220">
        <v>10297.0</v>
      </c>
      <c r="D58" s="273">
        <v>10304.8</v>
      </c>
      <c r="E58" s="273">
        <f t="shared" si="6"/>
        <v>7.8</v>
      </c>
      <c r="F58" s="273">
        <f t="shared" si="7"/>
        <v>-2.2</v>
      </c>
    </row>
    <row r="59" ht="14.25" customHeight="1">
      <c r="B59" s="259">
        <v>45158.0</v>
      </c>
      <c r="C59" s="220"/>
      <c r="D59" s="273"/>
      <c r="E59" s="273">
        <f t="shared" si="6"/>
        <v>0</v>
      </c>
      <c r="F59" s="273">
        <f t="shared" si="7"/>
        <v>-10</v>
      </c>
    </row>
    <row r="60" ht="14.25" customHeight="1">
      <c r="B60" s="219">
        <v>45159.0</v>
      </c>
      <c r="C60" s="220">
        <v>10304.8</v>
      </c>
      <c r="D60" s="220">
        <v>10314.0</v>
      </c>
      <c r="E60" s="220">
        <f t="shared" si="6"/>
        <v>9.2</v>
      </c>
      <c r="F60" s="220">
        <f t="shared" si="7"/>
        <v>-0.8</v>
      </c>
    </row>
    <row r="61" ht="14.25" customHeight="1">
      <c r="B61" s="219">
        <v>45160.0</v>
      </c>
      <c r="C61" s="220">
        <f t="shared" ref="C61:C65" si="11">D60</f>
        <v>10314</v>
      </c>
      <c r="D61" s="220">
        <v>10324.0</v>
      </c>
      <c r="E61" s="220">
        <f t="shared" si="6"/>
        <v>10</v>
      </c>
      <c r="F61" s="220">
        <f t="shared" si="7"/>
        <v>0</v>
      </c>
    </row>
    <row r="62" ht="14.25" customHeight="1">
      <c r="B62" s="219">
        <v>45161.0</v>
      </c>
      <c r="C62" s="220">
        <f t="shared" si="11"/>
        <v>10324</v>
      </c>
      <c r="D62" s="220">
        <v>10334.1</v>
      </c>
      <c r="E62" s="220">
        <f t="shared" si="6"/>
        <v>10.1</v>
      </c>
      <c r="F62" s="220">
        <f t="shared" si="7"/>
        <v>0.1</v>
      </c>
    </row>
    <row r="63" ht="14.25" customHeight="1">
      <c r="B63" s="219">
        <v>45162.0</v>
      </c>
      <c r="C63" s="220">
        <f t="shared" si="11"/>
        <v>10334.1</v>
      </c>
      <c r="D63" s="220">
        <v>10343.1</v>
      </c>
      <c r="E63" s="220">
        <f t="shared" si="6"/>
        <v>9</v>
      </c>
      <c r="F63" s="220">
        <f t="shared" si="7"/>
        <v>-1</v>
      </c>
    </row>
    <row r="64" ht="14.25" customHeight="1">
      <c r="B64" s="219">
        <v>45163.0</v>
      </c>
      <c r="C64" s="220">
        <f t="shared" si="11"/>
        <v>10343.1</v>
      </c>
      <c r="D64" s="220">
        <v>10352.1</v>
      </c>
      <c r="E64" s="220">
        <f t="shared" si="6"/>
        <v>9</v>
      </c>
      <c r="F64" s="220">
        <f t="shared" si="7"/>
        <v>-1</v>
      </c>
    </row>
    <row r="65" ht="14.25" customHeight="1">
      <c r="B65" s="259">
        <v>45164.0</v>
      </c>
      <c r="C65" s="220">
        <f t="shared" si="11"/>
        <v>10352.1</v>
      </c>
      <c r="D65" s="273">
        <v>10354.0</v>
      </c>
      <c r="E65" s="273">
        <f t="shared" si="6"/>
        <v>1.9</v>
      </c>
      <c r="F65" s="273">
        <f t="shared" si="7"/>
        <v>-8.1</v>
      </c>
    </row>
    <row r="66" ht="14.25" customHeight="1">
      <c r="B66" s="259">
        <v>45165.0</v>
      </c>
      <c r="C66" s="220"/>
      <c r="D66" s="273"/>
      <c r="E66" s="273">
        <f t="shared" si="6"/>
        <v>0</v>
      </c>
      <c r="F66" s="273">
        <f t="shared" si="7"/>
        <v>-10</v>
      </c>
    </row>
    <row r="67" ht="14.25" customHeight="1">
      <c r="B67" s="219">
        <v>45166.0</v>
      </c>
      <c r="C67" s="220" t="str">
        <f t="shared" ref="C67:C70" si="12">D66</f>
        <v/>
      </c>
      <c r="D67" s="220"/>
      <c r="E67" s="220">
        <f t="shared" si="6"/>
        <v>0</v>
      </c>
      <c r="F67" s="220">
        <f t="shared" si="7"/>
        <v>-10</v>
      </c>
    </row>
    <row r="68" ht="14.25" customHeight="1">
      <c r="B68" s="219">
        <v>45167.0</v>
      </c>
      <c r="C68" s="220" t="str">
        <f t="shared" si="12"/>
        <v/>
      </c>
      <c r="D68" s="220"/>
      <c r="E68" s="220">
        <f t="shared" si="6"/>
        <v>0</v>
      </c>
      <c r="F68" s="220">
        <f t="shared" si="7"/>
        <v>-10</v>
      </c>
    </row>
    <row r="69" ht="14.25" customHeight="1">
      <c r="B69" s="219">
        <v>45168.0</v>
      </c>
      <c r="C69" s="220" t="str">
        <f t="shared" si="12"/>
        <v/>
      </c>
      <c r="D69" s="220"/>
      <c r="E69" s="220">
        <f t="shared" si="6"/>
        <v>0</v>
      </c>
      <c r="F69" s="220">
        <f t="shared" si="7"/>
        <v>-10</v>
      </c>
    </row>
    <row r="70" ht="14.25" customHeight="1">
      <c r="B70" s="219">
        <v>45169.0</v>
      </c>
      <c r="C70" s="220" t="str">
        <f t="shared" si="12"/>
        <v/>
      </c>
      <c r="D70" s="220"/>
      <c r="E70" s="220">
        <f t="shared" si="6"/>
        <v>0</v>
      </c>
      <c r="F70" s="220">
        <f t="shared" si="7"/>
        <v>-10</v>
      </c>
    </row>
    <row r="71" ht="14.25" customHeight="1">
      <c r="B71" s="216"/>
      <c r="C71" s="223" t="s">
        <v>221</v>
      </c>
      <c r="D71" s="223"/>
      <c r="E71" s="216">
        <f>SUM(E40:E70)</f>
        <v>198</v>
      </c>
      <c r="F71" s="216">
        <f t="shared" si="7"/>
        <v>188</v>
      </c>
      <c r="G71" s="165">
        <v>40.2</v>
      </c>
      <c r="H71" s="165" t="s">
        <v>420</v>
      </c>
      <c r="I71" s="165" t="s">
        <v>421</v>
      </c>
    </row>
    <row r="72" ht="14.25" customHeight="1"/>
    <row r="73" ht="14.25" customHeight="1">
      <c r="A73" s="249" t="s">
        <v>275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1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275</v>
      </c>
      <c r="L75" s="231"/>
    </row>
    <row r="76" ht="14.25" customHeight="1">
      <c r="B76" s="219">
        <v>45078.0</v>
      </c>
      <c r="C76" s="220"/>
      <c r="D76" s="220"/>
      <c r="E76" s="220">
        <f t="shared" ref="E76:E106" si="13">D76-C76</f>
        <v>0</v>
      </c>
      <c r="F76" s="220">
        <f t="shared" ref="F76:F107" si="14">E76-10</f>
        <v>-10</v>
      </c>
      <c r="H76" s="216" t="s">
        <v>245</v>
      </c>
      <c r="I76" s="216"/>
      <c r="K76" s="216" t="s">
        <v>244</v>
      </c>
      <c r="L76" s="232">
        <v>2000.0</v>
      </c>
    </row>
    <row r="77" ht="14.25" customHeight="1">
      <c r="B77" s="219">
        <v>45079.0</v>
      </c>
      <c r="C77" s="220" t="str">
        <f t="shared" ref="C77:C106" si="15">D76</f>
        <v/>
      </c>
      <c r="D77" s="220"/>
      <c r="E77" s="220">
        <f t="shared" si="13"/>
        <v>0</v>
      </c>
      <c r="F77" s="220">
        <f t="shared" si="14"/>
        <v>-10</v>
      </c>
      <c r="H77" s="216" t="s">
        <v>247</v>
      </c>
      <c r="I77" s="216"/>
      <c r="K77" s="216" t="s">
        <v>266</v>
      </c>
      <c r="L77" s="232"/>
    </row>
    <row r="78" ht="14.25" customHeight="1">
      <c r="B78" s="254">
        <v>45080.0</v>
      </c>
      <c r="C78" s="255" t="str">
        <f t="shared" si="15"/>
        <v/>
      </c>
      <c r="D78" s="255"/>
      <c r="E78" s="255">
        <f t="shared" si="13"/>
        <v>0</v>
      </c>
      <c r="F78" s="255">
        <f t="shared" si="14"/>
        <v>-10</v>
      </c>
      <c r="H78" s="216" t="s">
        <v>249</v>
      </c>
      <c r="I78" s="232">
        <v>18.0</v>
      </c>
      <c r="K78" s="216" t="s">
        <v>246</v>
      </c>
      <c r="L78" s="232">
        <f>O78*O79</f>
        <v>0</v>
      </c>
    </row>
    <row r="79" ht="14.25" customHeight="1">
      <c r="B79" s="254">
        <v>45081.0</v>
      </c>
      <c r="C79" s="255" t="str">
        <f t="shared" si="15"/>
        <v/>
      </c>
      <c r="D79" s="255"/>
      <c r="E79" s="255">
        <f t="shared" si="13"/>
        <v>0</v>
      </c>
      <c r="F79" s="255">
        <f t="shared" si="14"/>
        <v>-10</v>
      </c>
      <c r="H79" s="216" t="s">
        <v>251</v>
      </c>
      <c r="I79" s="216"/>
      <c r="K79" s="216" t="s">
        <v>248</v>
      </c>
      <c r="L79" s="232">
        <f>O80*O81</f>
        <v>0</v>
      </c>
    </row>
    <row r="80" ht="14.25" customHeight="1">
      <c r="B80" s="219">
        <v>45082.0</v>
      </c>
      <c r="C80" s="220" t="str">
        <f t="shared" si="15"/>
        <v/>
      </c>
      <c r="D80" s="220"/>
      <c r="E80" s="220">
        <f t="shared" si="13"/>
        <v>0</v>
      </c>
      <c r="F80" s="220">
        <f t="shared" si="14"/>
        <v>-10</v>
      </c>
      <c r="H80" s="216" t="s">
        <v>249</v>
      </c>
      <c r="I80" s="232">
        <v>10.0</v>
      </c>
      <c r="K80" s="216" t="s">
        <v>250</v>
      </c>
      <c r="L80" s="232">
        <f>O82*100</f>
        <v>0</v>
      </c>
    </row>
    <row r="81" ht="14.25" customHeight="1">
      <c r="B81" s="219">
        <v>45083.0</v>
      </c>
      <c r="C81" s="220" t="str">
        <f t="shared" si="15"/>
        <v/>
      </c>
      <c r="D81" s="220"/>
      <c r="E81" s="220">
        <f t="shared" si="13"/>
        <v>0</v>
      </c>
      <c r="F81" s="220">
        <f t="shared" si="14"/>
        <v>-10</v>
      </c>
      <c r="H81" s="216" t="s">
        <v>267</v>
      </c>
      <c r="I81" s="216"/>
      <c r="K81" s="216" t="s">
        <v>252</v>
      </c>
      <c r="L81" s="232"/>
    </row>
    <row r="82" ht="14.25" customHeight="1">
      <c r="B82" s="219">
        <v>45084.0</v>
      </c>
      <c r="C82" s="220" t="str">
        <f t="shared" si="15"/>
        <v/>
      </c>
      <c r="D82" s="220"/>
      <c r="E82" s="220">
        <f t="shared" si="13"/>
        <v>0</v>
      </c>
      <c r="F82" s="220">
        <f t="shared" si="14"/>
        <v>-10</v>
      </c>
      <c r="K82" s="216" t="s">
        <v>268</v>
      </c>
      <c r="L82" s="232">
        <f>L76+L78+L79+L80-L77-L81</f>
        <v>2000</v>
      </c>
    </row>
    <row r="83" ht="14.25" customHeight="1">
      <c r="B83" s="219">
        <v>45085.0</v>
      </c>
      <c r="C83" s="220" t="str">
        <f t="shared" si="15"/>
        <v/>
      </c>
      <c r="D83" s="220"/>
      <c r="E83" s="220">
        <f t="shared" si="13"/>
        <v>0</v>
      </c>
      <c r="F83" s="220">
        <f t="shared" si="14"/>
        <v>-10</v>
      </c>
      <c r="K83" s="216" t="s">
        <v>269</v>
      </c>
      <c r="L83" s="229"/>
    </row>
    <row r="84" ht="14.25" customHeight="1">
      <c r="B84" s="219">
        <v>45086.0</v>
      </c>
      <c r="C84" s="220" t="str">
        <f t="shared" si="15"/>
        <v/>
      </c>
      <c r="D84" s="220"/>
      <c r="E84" s="220">
        <f t="shared" si="13"/>
        <v>0</v>
      </c>
      <c r="F84" s="220">
        <f t="shared" si="14"/>
        <v>-10</v>
      </c>
    </row>
    <row r="85" ht="14.25" customHeight="1">
      <c r="B85" s="254">
        <v>45087.0</v>
      </c>
      <c r="C85" s="255" t="str">
        <f t="shared" si="15"/>
        <v/>
      </c>
      <c r="D85" s="255"/>
      <c r="E85" s="255">
        <f t="shared" si="13"/>
        <v>0</v>
      </c>
      <c r="F85" s="255">
        <f t="shared" si="14"/>
        <v>-10</v>
      </c>
    </row>
    <row r="86" ht="14.25" customHeight="1">
      <c r="B86" s="254">
        <v>45088.0</v>
      </c>
      <c r="C86" s="255" t="str">
        <f t="shared" si="15"/>
        <v/>
      </c>
      <c r="D86" s="255"/>
      <c r="E86" s="255">
        <f t="shared" si="13"/>
        <v>0</v>
      </c>
      <c r="F86" s="255">
        <f t="shared" si="14"/>
        <v>-10</v>
      </c>
    </row>
    <row r="87" ht="14.25" customHeight="1">
      <c r="B87" s="219">
        <v>45089.0</v>
      </c>
      <c r="C87" s="220" t="str">
        <f t="shared" si="15"/>
        <v/>
      </c>
      <c r="D87" s="220"/>
      <c r="E87" s="220">
        <f t="shared" si="13"/>
        <v>0</v>
      </c>
      <c r="F87" s="220">
        <f t="shared" si="14"/>
        <v>-10</v>
      </c>
    </row>
    <row r="88" ht="14.25" customHeight="1">
      <c r="B88" s="219">
        <v>45090.0</v>
      </c>
      <c r="C88" s="220" t="str">
        <f t="shared" si="15"/>
        <v/>
      </c>
      <c r="D88" s="220"/>
      <c r="E88" s="220">
        <f t="shared" si="13"/>
        <v>0</v>
      </c>
      <c r="F88" s="220">
        <f t="shared" si="14"/>
        <v>-10</v>
      </c>
    </row>
    <row r="89" ht="14.25" customHeight="1">
      <c r="B89" s="219">
        <v>45091.0</v>
      </c>
      <c r="C89" s="220" t="str">
        <f t="shared" si="15"/>
        <v/>
      </c>
      <c r="D89" s="220"/>
      <c r="E89" s="220">
        <f t="shared" si="13"/>
        <v>0</v>
      </c>
      <c r="F89" s="220">
        <f t="shared" si="14"/>
        <v>-10</v>
      </c>
    </row>
    <row r="90" ht="14.25" customHeight="1">
      <c r="B90" s="219">
        <v>45092.0</v>
      </c>
      <c r="C90" s="220" t="str">
        <f t="shared" si="15"/>
        <v/>
      </c>
      <c r="D90" s="220"/>
      <c r="E90" s="220">
        <f t="shared" si="13"/>
        <v>0</v>
      </c>
      <c r="F90" s="220">
        <f t="shared" si="14"/>
        <v>-10</v>
      </c>
    </row>
    <row r="91" ht="14.25" customHeight="1">
      <c r="B91" s="219">
        <v>45093.0</v>
      </c>
      <c r="C91" s="220" t="str">
        <f t="shared" si="15"/>
        <v/>
      </c>
      <c r="D91" s="220"/>
      <c r="E91" s="220">
        <f t="shared" si="13"/>
        <v>0</v>
      </c>
      <c r="F91" s="220">
        <f t="shared" si="14"/>
        <v>-10</v>
      </c>
    </row>
    <row r="92" ht="14.25" customHeight="1">
      <c r="B92" s="254">
        <v>45094.0</v>
      </c>
      <c r="C92" s="255" t="str">
        <f t="shared" si="15"/>
        <v/>
      </c>
      <c r="D92" s="255"/>
      <c r="E92" s="255">
        <f t="shared" si="13"/>
        <v>0</v>
      </c>
      <c r="F92" s="255">
        <f t="shared" si="14"/>
        <v>-10</v>
      </c>
    </row>
    <row r="93" ht="14.25" customHeight="1">
      <c r="B93" s="254">
        <v>45095.0</v>
      </c>
      <c r="C93" s="255" t="str">
        <f t="shared" si="15"/>
        <v/>
      </c>
      <c r="D93" s="255"/>
      <c r="E93" s="255">
        <f t="shared" si="13"/>
        <v>0</v>
      </c>
      <c r="F93" s="255">
        <f t="shared" si="14"/>
        <v>-10</v>
      </c>
    </row>
    <row r="94" ht="14.25" customHeight="1">
      <c r="B94" s="219">
        <v>45096.0</v>
      </c>
      <c r="C94" s="220" t="str">
        <f t="shared" si="15"/>
        <v/>
      </c>
      <c r="D94" s="220"/>
      <c r="E94" s="220">
        <f t="shared" si="13"/>
        <v>0</v>
      </c>
      <c r="F94" s="220">
        <f t="shared" si="14"/>
        <v>-10</v>
      </c>
    </row>
    <row r="95" ht="14.25" customHeight="1">
      <c r="B95" s="219">
        <v>45097.0</v>
      </c>
      <c r="C95" s="220" t="str">
        <f t="shared" si="15"/>
        <v/>
      </c>
      <c r="D95" s="220"/>
      <c r="E95" s="220">
        <f t="shared" si="13"/>
        <v>0</v>
      </c>
      <c r="F95" s="220">
        <f t="shared" si="14"/>
        <v>-10</v>
      </c>
    </row>
    <row r="96" ht="14.25" customHeight="1">
      <c r="B96" s="219">
        <v>45098.0</v>
      </c>
      <c r="C96" s="220" t="str">
        <f t="shared" si="15"/>
        <v/>
      </c>
      <c r="D96" s="220"/>
      <c r="E96" s="220">
        <f t="shared" si="13"/>
        <v>0</v>
      </c>
      <c r="F96" s="220">
        <f t="shared" si="14"/>
        <v>-10</v>
      </c>
    </row>
    <row r="97" ht="14.25" customHeight="1">
      <c r="B97" s="219">
        <v>45099.0</v>
      </c>
      <c r="C97" s="220" t="str">
        <f t="shared" si="15"/>
        <v/>
      </c>
      <c r="D97" s="220"/>
      <c r="E97" s="220">
        <f t="shared" si="13"/>
        <v>0</v>
      </c>
      <c r="F97" s="220">
        <f t="shared" si="14"/>
        <v>-10</v>
      </c>
    </row>
    <row r="98" ht="14.25" customHeight="1">
      <c r="B98" s="219">
        <v>45100.0</v>
      </c>
      <c r="C98" s="220" t="str">
        <f t="shared" si="15"/>
        <v/>
      </c>
      <c r="D98" s="220"/>
      <c r="E98" s="220">
        <f t="shared" si="13"/>
        <v>0</v>
      </c>
      <c r="F98" s="220">
        <f t="shared" si="14"/>
        <v>-10</v>
      </c>
    </row>
    <row r="99" ht="14.25" customHeight="1">
      <c r="B99" s="254">
        <v>45101.0</v>
      </c>
      <c r="C99" s="255" t="str">
        <f t="shared" si="15"/>
        <v/>
      </c>
      <c r="D99" s="255"/>
      <c r="E99" s="255">
        <f t="shared" si="13"/>
        <v>0</v>
      </c>
      <c r="F99" s="255">
        <f t="shared" si="14"/>
        <v>-10</v>
      </c>
    </row>
    <row r="100" ht="14.25" customHeight="1">
      <c r="B100" s="254">
        <v>45102.0</v>
      </c>
      <c r="C100" s="255" t="str">
        <f t="shared" si="15"/>
        <v/>
      </c>
      <c r="D100" s="255"/>
      <c r="E100" s="255">
        <f t="shared" si="13"/>
        <v>0</v>
      </c>
      <c r="F100" s="255">
        <f t="shared" si="14"/>
        <v>-10</v>
      </c>
    </row>
    <row r="101" ht="14.25" customHeight="1">
      <c r="B101" s="219">
        <v>45103.0</v>
      </c>
      <c r="C101" s="220" t="str">
        <f t="shared" si="15"/>
        <v/>
      </c>
      <c r="D101" s="220"/>
      <c r="E101" s="220">
        <f t="shared" si="13"/>
        <v>0</v>
      </c>
      <c r="F101" s="220">
        <f t="shared" si="14"/>
        <v>-10</v>
      </c>
    </row>
    <row r="102" ht="14.25" customHeight="1">
      <c r="B102" s="219">
        <v>45104.0</v>
      </c>
      <c r="C102" s="220" t="str">
        <f t="shared" si="15"/>
        <v/>
      </c>
      <c r="D102" s="220"/>
      <c r="E102" s="220">
        <f t="shared" si="13"/>
        <v>0</v>
      </c>
      <c r="F102" s="220">
        <f t="shared" si="14"/>
        <v>-10</v>
      </c>
    </row>
    <row r="103" ht="14.25" customHeight="1">
      <c r="B103" s="219">
        <v>45105.0</v>
      </c>
      <c r="C103" s="220" t="str">
        <f t="shared" si="15"/>
        <v/>
      </c>
      <c r="D103" s="220"/>
      <c r="E103" s="220">
        <f t="shared" si="13"/>
        <v>0</v>
      </c>
      <c r="F103" s="220">
        <f t="shared" si="14"/>
        <v>-10</v>
      </c>
    </row>
    <row r="104" ht="14.25" customHeight="1">
      <c r="B104" s="219">
        <v>45106.0</v>
      </c>
      <c r="C104" s="220" t="str">
        <f t="shared" si="15"/>
        <v/>
      </c>
      <c r="D104" s="220"/>
      <c r="E104" s="220">
        <f t="shared" si="13"/>
        <v>0</v>
      </c>
      <c r="F104" s="220">
        <f t="shared" si="14"/>
        <v>-10</v>
      </c>
    </row>
    <row r="105" ht="14.25" customHeight="1">
      <c r="B105" s="219">
        <v>45107.0</v>
      </c>
      <c r="C105" s="220" t="str">
        <f t="shared" si="15"/>
        <v/>
      </c>
      <c r="D105" s="220"/>
      <c r="E105" s="220">
        <f t="shared" si="13"/>
        <v>0</v>
      </c>
      <c r="F105" s="220">
        <f t="shared" si="14"/>
        <v>-10</v>
      </c>
    </row>
    <row r="106" ht="14.25" customHeight="1">
      <c r="B106" s="229"/>
      <c r="C106" s="220" t="str">
        <f t="shared" si="15"/>
        <v/>
      </c>
      <c r="D106" s="220"/>
      <c r="E106" s="220">
        <f t="shared" si="13"/>
        <v>0</v>
      </c>
      <c r="F106" s="220">
        <f t="shared" si="14"/>
        <v>-10</v>
      </c>
    </row>
    <row r="107" ht="14.25" customHeight="1">
      <c r="B107" s="216"/>
      <c r="C107" s="223" t="s">
        <v>221</v>
      </c>
      <c r="D107" s="223"/>
      <c r="E107" s="216">
        <f>SUM(E76:E106)</f>
        <v>0</v>
      </c>
      <c r="F107" s="216">
        <f t="shared" si="14"/>
        <v>-10</v>
      </c>
    </row>
    <row r="108" ht="14.25" customHeight="1"/>
    <row r="109" ht="14.25" customHeight="1">
      <c r="A109" s="249" t="s">
        <v>235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1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/>
      <c r="K111" s="253" t="s">
        <v>235</v>
      </c>
      <c r="L111" s="231"/>
    </row>
    <row r="112" ht="14.25" customHeight="1">
      <c r="B112" s="219">
        <v>45078.0</v>
      </c>
      <c r="C112" s="220"/>
      <c r="D112" s="220"/>
      <c r="E112" s="220">
        <f t="shared" ref="E112:E142" si="16">D112-C112</f>
        <v>0</v>
      </c>
      <c r="F112" s="220">
        <f t="shared" ref="F112:F143" si="17">E112-10</f>
        <v>-10</v>
      </c>
      <c r="H112" s="216" t="s">
        <v>245</v>
      </c>
      <c r="I112" s="216"/>
      <c r="K112" s="216" t="s">
        <v>244</v>
      </c>
      <c r="L112" s="232">
        <v>2000.0</v>
      </c>
    </row>
    <row r="113" ht="14.25" customHeight="1">
      <c r="B113" s="219">
        <v>45079.0</v>
      </c>
      <c r="C113" s="220" t="str">
        <f t="shared" ref="C113:C142" si="18">D112</f>
        <v/>
      </c>
      <c r="D113" s="220"/>
      <c r="E113" s="220">
        <f t="shared" si="16"/>
        <v>0</v>
      </c>
      <c r="F113" s="220">
        <f t="shared" si="17"/>
        <v>-10</v>
      </c>
      <c r="H113" s="216" t="s">
        <v>247</v>
      </c>
      <c r="I113" s="216"/>
      <c r="K113" s="216" t="s">
        <v>266</v>
      </c>
      <c r="L113" s="232"/>
    </row>
    <row r="114" ht="14.25" customHeight="1">
      <c r="B114" s="254">
        <v>45080.0</v>
      </c>
      <c r="C114" s="255" t="str">
        <f t="shared" si="18"/>
        <v/>
      </c>
      <c r="D114" s="255"/>
      <c r="E114" s="255">
        <f t="shared" si="16"/>
        <v>0</v>
      </c>
      <c r="F114" s="255">
        <f t="shared" si="17"/>
        <v>-10</v>
      </c>
      <c r="H114" s="216" t="s">
        <v>249</v>
      </c>
      <c r="I114" s="232">
        <v>18.0</v>
      </c>
      <c r="K114" s="216" t="s">
        <v>246</v>
      </c>
      <c r="L114" s="232">
        <f>O114*O115</f>
        <v>0</v>
      </c>
    </row>
    <row r="115" ht="14.25" customHeight="1">
      <c r="B115" s="254">
        <v>45081.0</v>
      </c>
      <c r="C115" s="255" t="str">
        <f t="shared" si="18"/>
        <v/>
      </c>
      <c r="D115" s="255"/>
      <c r="E115" s="255">
        <f t="shared" si="16"/>
        <v>0</v>
      </c>
      <c r="F115" s="255">
        <f t="shared" si="17"/>
        <v>-10</v>
      </c>
      <c r="H115" s="216" t="s">
        <v>251</v>
      </c>
      <c r="I115" s="216"/>
      <c r="K115" s="216" t="s">
        <v>248</v>
      </c>
      <c r="L115" s="232">
        <f>O116*O117</f>
        <v>0</v>
      </c>
    </row>
    <row r="116" ht="14.25" customHeight="1">
      <c r="B116" s="219">
        <v>45082.0</v>
      </c>
      <c r="C116" s="220" t="str">
        <f t="shared" si="18"/>
        <v/>
      </c>
      <c r="D116" s="220"/>
      <c r="E116" s="220">
        <f t="shared" si="16"/>
        <v>0</v>
      </c>
      <c r="F116" s="220">
        <f t="shared" si="17"/>
        <v>-10</v>
      </c>
      <c r="H116" s="216" t="s">
        <v>249</v>
      </c>
      <c r="I116" s="232">
        <v>10.0</v>
      </c>
      <c r="K116" s="216" t="s">
        <v>250</v>
      </c>
      <c r="L116" s="232">
        <f>O118*100</f>
        <v>0</v>
      </c>
    </row>
    <row r="117" ht="14.25" customHeight="1">
      <c r="B117" s="219">
        <v>45083.0</v>
      </c>
      <c r="C117" s="220" t="str">
        <f t="shared" si="18"/>
        <v/>
      </c>
      <c r="D117" s="220"/>
      <c r="E117" s="220">
        <f t="shared" si="16"/>
        <v>0</v>
      </c>
      <c r="F117" s="220">
        <f t="shared" si="17"/>
        <v>-10</v>
      </c>
      <c r="H117" s="216" t="s">
        <v>250</v>
      </c>
      <c r="I117" s="216"/>
      <c r="K117" s="216" t="s">
        <v>252</v>
      </c>
      <c r="L117" s="232"/>
    </row>
    <row r="118" ht="14.25" customHeight="1">
      <c r="B118" s="219">
        <v>45084.0</v>
      </c>
      <c r="C118" s="220" t="str">
        <f t="shared" si="18"/>
        <v/>
      </c>
      <c r="D118" s="220"/>
      <c r="E118" s="220">
        <f t="shared" si="16"/>
        <v>0</v>
      </c>
      <c r="F118" s="220">
        <f t="shared" si="17"/>
        <v>-10</v>
      </c>
      <c r="K118" s="216" t="s">
        <v>268</v>
      </c>
      <c r="L118" s="232">
        <f>L112+L114+L115+L116-L113-L117</f>
        <v>2000</v>
      </c>
    </row>
    <row r="119" ht="14.25" customHeight="1">
      <c r="B119" s="219">
        <v>45085.0</v>
      </c>
      <c r="C119" s="220" t="str">
        <f t="shared" si="18"/>
        <v/>
      </c>
      <c r="D119" s="220"/>
      <c r="E119" s="220">
        <f t="shared" si="16"/>
        <v>0</v>
      </c>
      <c r="F119" s="220">
        <f t="shared" si="17"/>
        <v>-10</v>
      </c>
      <c r="K119" s="216" t="s">
        <v>269</v>
      </c>
      <c r="L119" s="229"/>
    </row>
    <row r="120" ht="14.25" customHeight="1">
      <c r="B120" s="219">
        <v>45086.0</v>
      </c>
      <c r="C120" s="220" t="str">
        <f t="shared" si="18"/>
        <v/>
      </c>
      <c r="D120" s="220"/>
      <c r="E120" s="220">
        <f t="shared" si="16"/>
        <v>0</v>
      </c>
      <c r="F120" s="220">
        <f t="shared" si="17"/>
        <v>-10</v>
      </c>
    </row>
    <row r="121" ht="14.25" customHeight="1">
      <c r="B121" s="254">
        <v>45087.0</v>
      </c>
      <c r="C121" s="255" t="str">
        <f t="shared" si="18"/>
        <v/>
      </c>
      <c r="D121" s="255"/>
      <c r="E121" s="255">
        <f t="shared" si="16"/>
        <v>0</v>
      </c>
      <c r="F121" s="255">
        <f t="shared" si="17"/>
        <v>-10</v>
      </c>
    </row>
    <row r="122" ht="14.25" customHeight="1">
      <c r="B122" s="254">
        <v>45088.0</v>
      </c>
      <c r="C122" s="255" t="str">
        <f t="shared" si="18"/>
        <v/>
      </c>
      <c r="D122" s="255"/>
      <c r="E122" s="255">
        <f t="shared" si="16"/>
        <v>0</v>
      </c>
      <c r="F122" s="255">
        <f t="shared" si="17"/>
        <v>-10</v>
      </c>
    </row>
    <row r="123" ht="14.25" customHeight="1">
      <c r="B123" s="219">
        <v>45089.0</v>
      </c>
      <c r="C123" s="220" t="str">
        <f t="shared" si="18"/>
        <v/>
      </c>
      <c r="D123" s="220"/>
      <c r="E123" s="220">
        <f t="shared" si="16"/>
        <v>0</v>
      </c>
      <c r="F123" s="220">
        <f t="shared" si="17"/>
        <v>-10</v>
      </c>
    </row>
    <row r="124" ht="14.25" customHeight="1">
      <c r="B124" s="219">
        <v>45090.0</v>
      </c>
      <c r="C124" s="220" t="str">
        <f t="shared" si="18"/>
        <v/>
      </c>
      <c r="D124" s="220"/>
      <c r="E124" s="220">
        <f t="shared" si="16"/>
        <v>0</v>
      </c>
      <c r="F124" s="220">
        <f t="shared" si="17"/>
        <v>-10</v>
      </c>
    </row>
    <row r="125" ht="14.25" customHeight="1">
      <c r="B125" s="219">
        <v>45091.0</v>
      </c>
      <c r="C125" s="220" t="str">
        <f t="shared" si="18"/>
        <v/>
      </c>
      <c r="D125" s="220"/>
      <c r="E125" s="220">
        <f t="shared" si="16"/>
        <v>0</v>
      </c>
      <c r="F125" s="220">
        <f t="shared" si="17"/>
        <v>-10</v>
      </c>
    </row>
    <row r="126" ht="14.25" customHeight="1">
      <c r="B126" s="219">
        <v>45092.0</v>
      </c>
      <c r="C126" s="220" t="str">
        <f t="shared" si="18"/>
        <v/>
      </c>
      <c r="D126" s="220"/>
      <c r="E126" s="220">
        <f t="shared" si="16"/>
        <v>0</v>
      </c>
      <c r="F126" s="220">
        <f t="shared" si="17"/>
        <v>-10</v>
      </c>
    </row>
    <row r="127" ht="14.25" customHeight="1">
      <c r="B127" s="219">
        <v>45093.0</v>
      </c>
      <c r="C127" s="220" t="str">
        <f t="shared" si="18"/>
        <v/>
      </c>
      <c r="D127" s="220"/>
      <c r="E127" s="220">
        <f t="shared" si="16"/>
        <v>0</v>
      </c>
      <c r="F127" s="220">
        <f t="shared" si="17"/>
        <v>-10</v>
      </c>
    </row>
    <row r="128" ht="14.25" customHeight="1">
      <c r="B128" s="254">
        <v>45094.0</v>
      </c>
      <c r="C128" s="255" t="str">
        <f t="shared" si="18"/>
        <v/>
      </c>
      <c r="D128" s="255"/>
      <c r="E128" s="255">
        <f t="shared" si="16"/>
        <v>0</v>
      </c>
      <c r="F128" s="255">
        <f t="shared" si="17"/>
        <v>-10</v>
      </c>
    </row>
    <row r="129" ht="14.25" customHeight="1">
      <c r="B129" s="254">
        <v>45095.0</v>
      </c>
      <c r="C129" s="255" t="str">
        <f t="shared" si="18"/>
        <v/>
      </c>
      <c r="D129" s="255"/>
      <c r="E129" s="255">
        <f t="shared" si="16"/>
        <v>0</v>
      </c>
      <c r="F129" s="255">
        <f t="shared" si="17"/>
        <v>-10</v>
      </c>
    </row>
    <row r="130" ht="14.25" customHeight="1">
      <c r="B130" s="219">
        <v>45096.0</v>
      </c>
      <c r="C130" s="220" t="str">
        <f t="shared" si="18"/>
        <v/>
      </c>
      <c r="D130" s="220"/>
      <c r="E130" s="220">
        <f t="shared" si="16"/>
        <v>0</v>
      </c>
      <c r="F130" s="220">
        <f t="shared" si="17"/>
        <v>-10</v>
      </c>
    </row>
    <row r="131" ht="14.25" customHeight="1">
      <c r="B131" s="219">
        <v>45097.0</v>
      </c>
      <c r="C131" s="220" t="str">
        <f t="shared" si="18"/>
        <v/>
      </c>
      <c r="D131" s="220"/>
      <c r="E131" s="220">
        <f t="shared" si="16"/>
        <v>0</v>
      </c>
      <c r="F131" s="220">
        <f t="shared" si="17"/>
        <v>-10</v>
      </c>
    </row>
    <row r="132" ht="14.25" customHeight="1">
      <c r="B132" s="219">
        <v>45098.0</v>
      </c>
      <c r="C132" s="220" t="str">
        <f t="shared" si="18"/>
        <v/>
      </c>
      <c r="D132" s="220"/>
      <c r="E132" s="220">
        <f t="shared" si="16"/>
        <v>0</v>
      </c>
      <c r="F132" s="220">
        <f t="shared" si="17"/>
        <v>-10</v>
      </c>
    </row>
    <row r="133" ht="14.25" customHeight="1">
      <c r="B133" s="219">
        <v>45099.0</v>
      </c>
      <c r="C133" s="220" t="str">
        <f t="shared" si="18"/>
        <v/>
      </c>
      <c r="D133" s="220"/>
      <c r="E133" s="220">
        <f t="shared" si="16"/>
        <v>0</v>
      </c>
      <c r="F133" s="220">
        <f t="shared" si="17"/>
        <v>-10</v>
      </c>
    </row>
    <row r="134" ht="14.25" customHeight="1">
      <c r="B134" s="219">
        <v>45100.0</v>
      </c>
      <c r="C134" s="220" t="str">
        <f t="shared" si="18"/>
        <v/>
      </c>
      <c r="D134" s="220"/>
      <c r="E134" s="220">
        <f t="shared" si="16"/>
        <v>0</v>
      </c>
      <c r="F134" s="220">
        <f t="shared" si="17"/>
        <v>-10</v>
      </c>
    </row>
    <row r="135" ht="14.25" customHeight="1">
      <c r="B135" s="254">
        <v>45101.0</v>
      </c>
      <c r="C135" s="255" t="str">
        <f t="shared" si="18"/>
        <v/>
      </c>
      <c r="D135" s="255"/>
      <c r="E135" s="255">
        <f t="shared" si="16"/>
        <v>0</v>
      </c>
      <c r="F135" s="255">
        <f t="shared" si="17"/>
        <v>-10</v>
      </c>
    </row>
    <row r="136" ht="14.25" customHeight="1">
      <c r="B136" s="254">
        <v>45102.0</v>
      </c>
      <c r="C136" s="255" t="str">
        <f t="shared" si="18"/>
        <v/>
      </c>
      <c r="D136" s="255"/>
      <c r="E136" s="255">
        <f t="shared" si="16"/>
        <v>0</v>
      </c>
      <c r="F136" s="255">
        <f t="shared" si="17"/>
        <v>-10</v>
      </c>
    </row>
    <row r="137" ht="14.25" customHeight="1">
      <c r="B137" s="219">
        <v>45103.0</v>
      </c>
      <c r="C137" s="220" t="str">
        <f t="shared" si="18"/>
        <v/>
      </c>
      <c r="D137" s="220"/>
      <c r="E137" s="220">
        <f t="shared" si="16"/>
        <v>0</v>
      </c>
      <c r="F137" s="220">
        <f t="shared" si="17"/>
        <v>-10</v>
      </c>
    </row>
    <row r="138" ht="14.25" customHeight="1">
      <c r="B138" s="219">
        <v>45104.0</v>
      </c>
      <c r="C138" s="220" t="str">
        <f t="shared" si="18"/>
        <v/>
      </c>
      <c r="D138" s="220"/>
      <c r="E138" s="220">
        <f t="shared" si="16"/>
        <v>0</v>
      </c>
      <c r="F138" s="220">
        <f t="shared" si="17"/>
        <v>-10</v>
      </c>
    </row>
    <row r="139" ht="14.25" customHeight="1">
      <c r="B139" s="219">
        <v>45105.0</v>
      </c>
      <c r="C139" s="220" t="str">
        <f t="shared" si="18"/>
        <v/>
      </c>
      <c r="D139" s="220"/>
      <c r="E139" s="220">
        <f t="shared" si="16"/>
        <v>0</v>
      </c>
      <c r="F139" s="220">
        <f t="shared" si="17"/>
        <v>-10</v>
      </c>
    </row>
    <row r="140" ht="14.25" customHeight="1">
      <c r="B140" s="219">
        <v>45106.0</v>
      </c>
      <c r="C140" s="220" t="str">
        <f t="shared" si="18"/>
        <v/>
      </c>
      <c r="D140" s="220"/>
      <c r="E140" s="220">
        <f t="shared" si="16"/>
        <v>0</v>
      </c>
      <c r="F140" s="220">
        <f t="shared" si="17"/>
        <v>-10</v>
      </c>
    </row>
    <row r="141" ht="14.25" customHeight="1">
      <c r="B141" s="219">
        <v>45107.0</v>
      </c>
      <c r="C141" s="220" t="str">
        <f t="shared" si="18"/>
        <v/>
      </c>
      <c r="D141" s="220"/>
      <c r="E141" s="220">
        <f t="shared" si="16"/>
        <v>0</v>
      </c>
      <c r="F141" s="220">
        <f t="shared" si="17"/>
        <v>-10</v>
      </c>
    </row>
    <row r="142" ht="14.25" customHeight="1">
      <c r="B142" s="229"/>
      <c r="C142" s="220" t="str">
        <f t="shared" si="18"/>
        <v/>
      </c>
      <c r="D142" s="220"/>
      <c r="E142" s="220">
        <f t="shared" si="16"/>
        <v>0</v>
      </c>
      <c r="F142" s="220">
        <f t="shared" si="17"/>
        <v>-10</v>
      </c>
    </row>
    <row r="143" ht="14.25" customHeight="1">
      <c r="B143" s="216"/>
      <c r="C143" s="223" t="s">
        <v>221</v>
      </c>
      <c r="D143" s="223"/>
      <c r="E143" s="216">
        <f>SUM(E112:E142)</f>
        <v>0</v>
      </c>
      <c r="F143" s="216">
        <f t="shared" si="17"/>
        <v>-10</v>
      </c>
    </row>
    <row r="144" ht="14.25" customHeight="1"/>
    <row r="145" ht="14.25" customHeight="1">
      <c r="A145" s="249" t="s">
        <v>276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1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236</v>
      </c>
      <c r="L147" s="231"/>
    </row>
    <row r="148" ht="14.25" customHeight="1">
      <c r="B148" s="219">
        <v>45078.0</v>
      </c>
      <c r="C148" s="220"/>
      <c r="D148" s="220"/>
      <c r="E148" s="220">
        <f t="shared" ref="E148:E178" si="19">D148-C148</f>
        <v>0</v>
      </c>
      <c r="F148" s="220">
        <f t="shared" ref="F148:F179" si="20">E148-10</f>
        <v>-10</v>
      </c>
      <c r="H148" s="216" t="s">
        <v>245</v>
      </c>
      <c r="I148" s="216"/>
      <c r="K148" s="216" t="s">
        <v>244</v>
      </c>
      <c r="L148" s="232">
        <v>2000.0</v>
      </c>
    </row>
    <row r="149" ht="14.25" customHeight="1">
      <c r="B149" s="219">
        <v>45079.0</v>
      </c>
      <c r="C149" s="220" t="str">
        <f t="shared" ref="C149:C178" si="21">D148</f>
        <v/>
      </c>
      <c r="D149" s="220"/>
      <c r="E149" s="220">
        <f t="shared" si="19"/>
        <v>0</v>
      </c>
      <c r="F149" s="220">
        <f t="shared" si="20"/>
        <v>-10</v>
      </c>
      <c r="H149" s="216" t="s">
        <v>247</v>
      </c>
      <c r="I149" s="216"/>
      <c r="K149" s="216" t="s">
        <v>266</v>
      </c>
      <c r="L149" s="232"/>
    </row>
    <row r="150" ht="14.25" customHeight="1">
      <c r="B150" s="254">
        <v>45080.0</v>
      </c>
      <c r="C150" s="255" t="str">
        <f t="shared" si="21"/>
        <v/>
      </c>
      <c r="D150" s="255"/>
      <c r="E150" s="255">
        <f t="shared" si="19"/>
        <v>0</v>
      </c>
      <c r="F150" s="255">
        <f t="shared" si="20"/>
        <v>-10</v>
      </c>
      <c r="H150" s="216" t="s">
        <v>249</v>
      </c>
      <c r="I150" s="232">
        <v>18.0</v>
      </c>
      <c r="K150" s="216" t="s">
        <v>246</v>
      </c>
      <c r="L150" s="232">
        <f>O150*O151</f>
        <v>0</v>
      </c>
    </row>
    <row r="151" ht="14.25" customHeight="1">
      <c r="B151" s="254">
        <v>45081.0</v>
      </c>
      <c r="C151" s="255" t="str">
        <f t="shared" si="21"/>
        <v/>
      </c>
      <c r="D151" s="255"/>
      <c r="E151" s="255">
        <f t="shared" si="19"/>
        <v>0</v>
      </c>
      <c r="F151" s="255">
        <f t="shared" si="20"/>
        <v>-10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19">
        <v>45082.0</v>
      </c>
      <c r="C152" s="220" t="str">
        <f t="shared" si="21"/>
        <v/>
      </c>
      <c r="D152" s="220"/>
      <c r="E152" s="220">
        <f t="shared" si="19"/>
        <v>0</v>
      </c>
      <c r="F152" s="220">
        <f t="shared" si="20"/>
        <v>-10</v>
      </c>
      <c r="H152" s="216" t="s">
        <v>249</v>
      </c>
      <c r="I152" s="232">
        <v>10.0</v>
      </c>
      <c r="K152" s="216" t="s">
        <v>250</v>
      </c>
      <c r="L152" s="232">
        <f>O154*100</f>
        <v>0</v>
      </c>
    </row>
    <row r="153" ht="14.25" customHeight="1">
      <c r="B153" s="219">
        <v>45083.0</v>
      </c>
      <c r="C153" s="220" t="str">
        <f t="shared" si="21"/>
        <v/>
      </c>
      <c r="D153" s="220"/>
      <c r="E153" s="220">
        <f t="shared" si="19"/>
        <v>0</v>
      </c>
      <c r="F153" s="220">
        <f t="shared" si="20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45084.0</v>
      </c>
      <c r="C154" s="220" t="str">
        <f t="shared" si="21"/>
        <v/>
      </c>
      <c r="D154" s="220"/>
      <c r="E154" s="220">
        <f t="shared" si="19"/>
        <v>0</v>
      </c>
      <c r="F154" s="220">
        <f t="shared" si="20"/>
        <v>-10</v>
      </c>
      <c r="K154" s="216" t="s">
        <v>268</v>
      </c>
      <c r="L154" s="232">
        <f>L148+L150+L151+L152-L149-L153</f>
        <v>2000</v>
      </c>
    </row>
    <row r="155" ht="14.25" customHeight="1">
      <c r="B155" s="219">
        <v>45085.0</v>
      </c>
      <c r="C155" s="220" t="str">
        <f t="shared" si="21"/>
        <v/>
      </c>
      <c r="D155" s="220"/>
      <c r="E155" s="220">
        <f t="shared" si="19"/>
        <v>0</v>
      </c>
      <c r="F155" s="220">
        <f t="shared" si="20"/>
        <v>-10</v>
      </c>
      <c r="K155" s="216" t="s">
        <v>269</v>
      </c>
      <c r="L155" s="229"/>
    </row>
    <row r="156" ht="14.25" customHeight="1">
      <c r="B156" s="219">
        <v>45086.0</v>
      </c>
      <c r="C156" s="220" t="str">
        <f t="shared" si="21"/>
        <v/>
      </c>
      <c r="D156" s="220"/>
      <c r="E156" s="220">
        <f t="shared" si="19"/>
        <v>0</v>
      </c>
      <c r="F156" s="220">
        <f t="shared" si="20"/>
        <v>-10</v>
      </c>
    </row>
    <row r="157" ht="14.25" customHeight="1">
      <c r="B157" s="254">
        <v>45087.0</v>
      </c>
      <c r="C157" s="255" t="str">
        <f t="shared" si="21"/>
        <v/>
      </c>
      <c r="D157" s="255"/>
      <c r="E157" s="255">
        <f t="shared" si="19"/>
        <v>0</v>
      </c>
      <c r="F157" s="255">
        <f t="shared" si="20"/>
        <v>-10</v>
      </c>
    </row>
    <row r="158" ht="14.25" customHeight="1">
      <c r="B158" s="254">
        <v>45088.0</v>
      </c>
      <c r="C158" s="255" t="str">
        <f t="shared" si="21"/>
        <v/>
      </c>
      <c r="D158" s="255"/>
      <c r="E158" s="255">
        <f t="shared" si="19"/>
        <v>0</v>
      </c>
      <c r="F158" s="255">
        <f t="shared" si="20"/>
        <v>-10</v>
      </c>
    </row>
    <row r="159" ht="14.25" customHeight="1">
      <c r="B159" s="219">
        <v>45089.0</v>
      </c>
      <c r="C159" s="220" t="str">
        <f t="shared" si="21"/>
        <v/>
      </c>
      <c r="D159" s="220"/>
      <c r="E159" s="220">
        <f t="shared" si="19"/>
        <v>0</v>
      </c>
      <c r="F159" s="220">
        <f t="shared" si="20"/>
        <v>-10</v>
      </c>
    </row>
    <row r="160" ht="14.25" customHeight="1">
      <c r="B160" s="219">
        <v>45090.0</v>
      </c>
      <c r="C160" s="220" t="str">
        <f t="shared" si="21"/>
        <v/>
      </c>
      <c r="D160" s="220"/>
      <c r="E160" s="220">
        <f t="shared" si="19"/>
        <v>0</v>
      </c>
      <c r="F160" s="220">
        <f t="shared" si="20"/>
        <v>-10</v>
      </c>
    </row>
    <row r="161" ht="14.25" customHeight="1">
      <c r="B161" s="219">
        <v>45091.0</v>
      </c>
      <c r="C161" s="220" t="str">
        <f t="shared" si="21"/>
        <v/>
      </c>
      <c r="D161" s="220"/>
      <c r="E161" s="220">
        <f t="shared" si="19"/>
        <v>0</v>
      </c>
      <c r="F161" s="220">
        <f t="shared" si="20"/>
        <v>-10</v>
      </c>
    </row>
    <row r="162" ht="14.25" customHeight="1">
      <c r="B162" s="219">
        <v>45092.0</v>
      </c>
      <c r="C162" s="220" t="str">
        <f t="shared" si="21"/>
        <v/>
      </c>
      <c r="D162" s="220"/>
      <c r="E162" s="220">
        <f t="shared" si="19"/>
        <v>0</v>
      </c>
      <c r="F162" s="220">
        <f t="shared" si="20"/>
        <v>-10</v>
      </c>
    </row>
    <row r="163" ht="14.25" customHeight="1">
      <c r="B163" s="219">
        <v>45093.0</v>
      </c>
      <c r="C163" s="220" t="str">
        <f t="shared" si="21"/>
        <v/>
      </c>
      <c r="D163" s="220"/>
      <c r="E163" s="220">
        <f t="shared" si="19"/>
        <v>0</v>
      </c>
      <c r="F163" s="220">
        <f t="shared" si="20"/>
        <v>-10</v>
      </c>
    </row>
    <row r="164" ht="14.25" customHeight="1">
      <c r="B164" s="254">
        <v>45094.0</v>
      </c>
      <c r="C164" s="255" t="str">
        <f t="shared" si="21"/>
        <v/>
      </c>
      <c r="D164" s="255"/>
      <c r="E164" s="255">
        <f t="shared" si="19"/>
        <v>0</v>
      </c>
      <c r="F164" s="255">
        <f t="shared" si="20"/>
        <v>-10</v>
      </c>
    </row>
    <row r="165" ht="14.25" customHeight="1">
      <c r="B165" s="254">
        <v>45095.0</v>
      </c>
      <c r="C165" s="255" t="str">
        <f t="shared" si="21"/>
        <v/>
      </c>
      <c r="D165" s="255"/>
      <c r="E165" s="255">
        <f t="shared" si="19"/>
        <v>0</v>
      </c>
      <c r="F165" s="255">
        <f t="shared" si="20"/>
        <v>-10</v>
      </c>
    </row>
    <row r="166" ht="14.25" customHeight="1">
      <c r="B166" s="219">
        <v>45096.0</v>
      </c>
      <c r="C166" s="220" t="str">
        <f t="shared" si="21"/>
        <v/>
      </c>
      <c r="D166" s="220"/>
      <c r="E166" s="220">
        <f t="shared" si="19"/>
        <v>0</v>
      </c>
      <c r="F166" s="220">
        <f t="shared" si="20"/>
        <v>-10</v>
      </c>
    </row>
    <row r="167" ht="14.25" customHeight="1">
      <c r="B167" s="219">
        <v>45097.0</v>
      </c>
      <c r="C167" s="220" t="str">
        <f t="shared" si="21"/>
        <v/>
      </c>
      <c r="D167" s="220"/>
      <c r="E167" s="220">
        <f t="shared" si="19"/>
        <v>0</v>
      </c>
      <c r="F167" s="220">
        <f t="shared" si="20"/>
        <v>-10</v>
      </c>
    </row>
    <row r="168" ht="14.25" customHeight="1">
      <c r="B168" s="219">
        <v>45098.0</v>
      </c>
      <c r="C168" s="220" t="str">
        <f t="shared" si="21"/>
        <v/>
      </c>
      <c r="D168" s="220"/>
      <c r="E168" s="220">
        <f t="shared" si="19"/>
        <v>0</v>
      </c>
      <c r="F168" s="220">
        <f t="shared" si="20"/>
        <v>-10</v>
      </c>
    </row>
    <row r="169" ht="14.25" customHeight="1">
      <c r="B169" s="219">
        <v>45099.0</v>
      </c>
      <c r="C169" s="220" t="str">
        <f t="shared" si="21"/>
        <v/>
      </c>
      <c r="D169" s="220"/>
      <c r="E169" s="220">
        <f t="shared" si="19"/>
        <v>0</v>
      </c>
      <c r="F169" s="220">
        <f t="shared" si="20"/>
        <v>-10</v>
      </c>
    </row>
    <row r="170" ht="14.25" customHeight="1">
      <c r="B170" s="219">
        <v>45100.0</v>
      </c>
      <c r="C170" s="220" t="str">
        <f t="shared" si="21"/>
        <v/>
      </c>
      <c r="D170" s="220"/>
      <c r="E170" s="220">
        <f t="shared" si="19"/>
        <v>0</v>
      </c>
      <c r="F170" s="220">
        <f t="shared" si="20"/>
        <v>-10</v>
      </c>
    </row>
    <row r="171" ht="14.25" customHeight="1">
      <c r="B171" s="254">
        <v>45101.0</v>
      </c>
      <c r="C171" s="255" t="str">
        <f t="shared" si="21"/>
        <v/>
      </c>
      <c r="D171" s="255"/>
      <c r="E171" s="255">
        <f t="shared" si="19"/>
        <v>0</v>
      </c>
      <c r="F171" s="255">
        <f t="shared" si="20"/>
        <v>-10</v>
      </c>
    </row>
    <row r="172" ht="14.25" customHeight="1">
      <c r="B172" s="254">
        <v>45102.0</v>
      </c>
      <c r="C172" s="255" t="str">
        <f t="shared" si="21"/>
        <v/>
      </c>
      <c r="D172" s="255"/>
      <c r="E172" s="255">
        <f t="shared" si="19"/>
        <v>0</v>
      </c>
      <c r="F172" s="255">
        <f t="shared" si="20"/>
        <v>-10</v>
      </c>
    </row>
    <row r="173" ht="14.25" customHeight="1">
      <c r="B173" s="219">
        <v>45103.0</v>
      </c>
      <c r="C173" s="220" t="str">
        <f t="shared" si="21"/>
        <v/>
      </c>
      <c r="D173" s="220"/>
      <c r="E173" s="220">
        <f t="shared" si="19"/>
        <v>0</v>
      </c>
      <c r="F173" s="220">
        <f t="shared" si="20"/>
        <v>-10</v>
      </c>
    </row>
    <row r="174" ht="14.25" customHeight="1">
      <c r="B174" s="219">
        <v>45104.0</v>
      </c>
      <c r="C174" s="220" t="str">
        <f t="shared" si="21"/>
        <v/>
      </c>
      <c r="D174" s="220"/>
      <c r="E174" s="220">
        <f t="shared" si="19"/>
        <v>0</v>
      </c>
      <c r="F174" s="220">
        <f t="shared" si="20"/>
        <v>-10</v>
      </c>
    </row>
    <row r="175" ht="14.25" customHeight="1">
      <c r="B175" s="219">
        <v>45105.0</v>
      </c>
      <c r="C175" s="220" t="str">
        <f t="shared" si="21"/>
        <v/>
      </c>
      <c r="D175" s="220"/>
      <c r="E175" s="220">
        <f t="shared" si="19"/>
        <v>0</v>
      </c>
      <c r="F175" s="220">
        <f t="shared" si="20"/>
        <v>-10</v>
      </c>
    </row>
    <row r="176" ht="14.25" customHeight="1">
      <c r="B176" s="219">
        <v>45106.0</v>
      </c>
      <c r="C176" s="220" t="str">
        <f t="shared" si="21"/>
        <v/>
      </c>
      <c r="D176" s="220"/>
      <c r="E176" s="220">
        <f t="shared" si="19"/>
        <v>0</v>
      </c>
      <c r="F176" s="220">
        <f t="shared" si="20"/>
        <v>-10</v>
      </c>
    </row>
    <row r="177" ht="14.25" customHeight="1">
      <c r="B177" s="219">
        <v>45107.0</v>
      </c>
      <c r="C177" s="220" t="str">
        <f t="shared" si="21"/>
        <v/>
      </c>
      <c r="D177" s="220"/>
      <c r="E177" s="220">
        <f t="shared" si="19"/>
        <v>0</v>
      </c>
      <c r="F177" s="220">
        <f t="shared" si="20"/>
        <v>-10</v>
      </c>
    </row>
    <row r="178" ht="14.25" customHeight="1">
      <c r="B178" s="229"/>
      <c r="C178" s="220" t="str">
        <f t="shared" si="21"/>
        <v/>
      </c>
      <c r="D178" s="220"/>
      <c r="E178" s="220">
        <f t="shared" si="19"/>
        <v>0</v>
      </c>
      <c r="F178" s="220">
        <f t="shared" si="20"/>
        <v>-10</v>
      </c>
    </row>
    <row r="179" ht="14.25" customHeight="1">
      <c r="B179" s="216"/>
      <c r="C179" s="223" t="s">
        <v>221</v>
      </c>
      <c r="D179" s="223"/>
      <c r="E179" s="216">
        <f>SUM(E148:E178)</f>
        <v>0</v>
      </c>
      <c r="F179" s="216">
        <f t="shared" si="20"/>
        <v>-10</v>
      </c>
    </row>
    <row r="180" ht="14.25" customHeight="1"/>
    <row r="181" ht="14.25" customHeight="1">
      <c r="A181" s="249" t="s">
        <v>226</v>
      </c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1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4.25" customHeight="1"/>
    <row r="183" ht="14.25" customHeight="1">
      <c r="B183" s="216" t="s">
        <v>214</v>
      </c>
      <c r="C183" s="216" t="s">
        <v>215</v>
      </c>
      <c r="D183" s="216" t="s">
        <v>216</v>
      </c>
      <c r="E183" s="216" t="s">
        <v>217</v>
      </c>
      <c r="F183" s="216" t="s">
        <v>218</v>
      </c>
      <c r="H183" s="216" t="s">
        <v>238</v>
      </c>
      <c r="I183" s="216"/>
      <c r="K183" s="253" t="s">
        <v>226</v>
      </c>
      <c r="L183" s="231"/>
    </row>
    <row r="184" ht="14.25" customHeight="1">
      <c r="B184" s="219">
        <v>45078.0</v>
      </c>
      <c r="C184" s="220"/>
      <c r="D184" s="220"/>
      <c r="E184" s="220">
        <f t="shared" ref="E184:E214" si="22">D184-C184</f>
        <v>0</v>
      </c>
      <c r="F184" s="220">
        <f t="shared" ref="F184:F215" si="23">E184-10</f>
        <v>-10</v>
      </c>
      <c r="H184" s="216" t="s">
        <v>245</v>
      </c>
      <c r="I184" s="216"/>
      <c r="K184" s="216" t="s">
        <v>244</v>
      </c>
      <c r="L184" s="232">
        <v>2000.0</v>
      </c>
    </row>
    <row r="185" ht="14.25" customHeight="1">
      <c r="B185" s="219">
        <v>45079.0</v>
      </c>
      <c r="C185" s="220" t="str">
        <f t="shared" ref="C185:C214" si="24">D184</f>
        <v/>
      </c>
      <c r="D185" s="220"/>
      <c r="E185" s="220">
        <f t="shared" si="22"/>
        <v>0</v>
      </c>
      <c r="F185" s="220">
        <f t="shared" si="23"/>
        <v>-10</v>
      </c>
      <c r="H185" s="216" t="s">
        <v>247</v>
      </c>
      <c r="I185" s="216"/>
      <c r="K185" s="216" t="s">
        <v>266</v>
      </c>
      <c r="L185" s="232"/>
    </row>
    <row r="186" ht="14.25" customHeight="1">
      <c r="B186" s="254">
        <v>45080.0</v>
      </c>
      <c r="C186" s="255" t="str">
        <f t="shared" si="24"/>
        <v/>
      </c>
      <c r="D186" s="255"/>
      <c r="E186" s="255">
        <f t="shared" si="22"/>
        <v>0</v>
      </c>
      <c r="F186" s="255">
        <f t="shared" si="23"/>
        <v>-10</v>
      </c>
      <c r="H186" s="216" t="s">
        <v>249</v>
      </c>
      <c r="I186" s="232">
        <v>18.0</v>
      </c>
      <c r="K186" s="216" t="s">
        <v>246</v>
      </c>
      <c r="L186" s="232">
        <f>O186*O187</f>
        <v>0</v>
      </c>
    </row>
    <row r="187" ht="14.25" customHeight="1">
      <c r="B187" s="254">
        <v>45081.0</v>
      </c>
      <c r="C187" s="255" t="str">
        <f t="shared" si="24"/>
        <v/>
      </c>
      <c r="D187" s="255"/>
      <c r="E187" s="255">
        <f t="shared" si="22"/>
        <v>0</v>
      </c>
      <c r="F187" s="255">
        <f t="shared" si="23"/>
        <v>-10</v>
      </c>
      <c r="H187" s="216" t="s">
        <v>251</v>
      </c>
      <c r="I187" s="216"/>
      <c r="K187" s="216" t="s">
        <v>248</v>
      </c>
      <c r="L187" s="232">
        <f>O188*O189</f>
        <v>0</v>
      </c>
    </row>
    <row r="188" ht="14.25" customHeight="1">
      <c r="B188" s="219">
        <v>45082.0</v>
      </c>
      <c r="C188" s="220" t="str">
        <f t="shared" si="24"/>
        <v/>
      </c>
      <c r="D188" s="220"/>
      <c r="E188" s="220">
        <f t="shared" si="22"/>
        <v>0</v>
      </c>
      <c r="F188" s="220">
        <f t="shared" si="23"/>
        <v>-10</v>
      </c>
      <c r="H188" s="216" t="s">
        <v>249</v>
      </c>
      <c r="I188" s="232">
        <v>10.0</v>
      </c>
      <c r="K188" s="216" t="s">
        <v>250</v>
      </c>
      <c r="L188" s="232">
        <f>O190*100</f>
        <v>0</v>
      </c>
    </row>
    <row r="189" ht="14.25" customHeight="1">
      <c r="B189" s="219">
        <v>45083.0</v>
      </c>
      <c r="C189" s="220" t="str">
        <f t="shared" si="24"/>
        <v/>
      </c>
      <c r="D189" s="220"/>
      <c r="E189" s="220">
        <f t="shared" si="22"/>
        <v>0</v>
      </c>
      <c r="F189" s="220">
        <f t="shared" si="23"/>
        <v>-10</v>
      </c>
      <c r="H189" s="216" t="s">
        <v>250</v>
      </c>
      <c r="I189" s="216"/>
      <c r="K189" s="216" t="s">
        <v>252</v>
      </c>
      <c r="L189" s="232"/>
    </row>
    <row r="190" ht="14.25" customHeight="1">
      <c r="B190" s="219">
        <v>45084.0</v>
      </c>
      <c r="C190" s="220" t="str">
        <f t="shared" si="24"/>
        <v/>
      </c>
      <c r="D190" s="220"/>
      <c r="E190" s="220">
        <f t="shared" si="22"/>
        <v>0</v>
      </c>
      <c r="F190" s="220">
        <f t="shared" si="23"/>
        <v>-10</v>
      </c>
      <c r="K190" s="216" t="s">
        <v>268</v>
      </c>
      <c r="L190" s="232">
        <f>L184+L186+L187+L188-L185-L189</f>
        <v>2000</v>
      </c>
    </row>
    <row r="191" ht="14.25" customHeight="1">
      <c r="B191" s="219">
        <v>45085.0</v>
      </c>
      <c r="C191" s="220" t="str">
        <f t="shared" si="24"/>
        <v/>
      </c>
      <c r="D191" s="220"/>
      <c r="E191" s="220">
        <f t="shared" si="22"/>
        <v>0</v>
      </c>
      <c r="F191" s="220">
        <f t="shared" si="23"/>
        <v>-10</v>
      </c>
      <c r="K191" s="216" t="s">
        <v>269</v>
      </c>
      <c r="L191" s="229"/>
    </row>
    <row r="192" ht="14.25" customHeight="1">
      <c r="B192" s="219">
        <v>45086.0</v>
      </c>
      <c r="C192" s="220" t="str">
        <f t="shared" si="24"/>
        <v/>
      </c>
      <c r="D192" s="220"/>
      <c r="E192" s="220">
        <f t="shared" si="22"/>
        <v>0</v>
      </c>
      <c r="F192" s="220">
        <f t="shared" si="23"/>
        <v>-10</v>
      </c>
    </row>
    <row r="193" ht="14.25" customHeight="1">
      <c r="B193" s="254">
        <v>45087.0</v>
      </c>
      <c r="C193" s="255" t="str">
        <f t="shared" si="24"/>
        <v/>
      </c>
      <c r="D193" s="255"/>
      <c r="E193" s="255">
        <f t="shared" si="22"/>
        <v>0</v>
      </c>
      <c r="F193" s="255">
        <f t="shared" si="23"/>
        <v>-10</v>
      </c>
    </row>
    <row r="194" ht="14.25" customHeight="1">
      <c r="B194" s="254">
        <v>45088.0</v>
      </c>
      <c r="C194" s="255" t="str">
        <f t="shared" si="24"/>
        <v/>
      </c>
      <c r="D194" s="255"/>
      <c r="E194" s="255">
        <f t="shared" si="22"/>
        <v>0</v>
      </c>
      <c r="F194" s="255">
        <f t="shared" si="23"/>
        <v>-10</v>
      </c>
    </row>
    <row r="195" ht="14.25" customHeight="1">
      <c r="B195" s="219">
        <v>45089.0</v>
      </c>
      <c r="C195" s="220" t="str">
        <f t="shared" si="24"/>
        <v/>
      </c>
      <c r="D195" s="220"/>
      <c r="E195" s="220">
        <f t="shared" si="22"/>
        <v>0</v>
      </c>
      <c r="F195" s="220">
        <f t="shared" si="23"/>
        <v>-10</v>
      </c>
    </row>
    <row r="196" ht="14.25" customHeight="1">
      <c r="B196" s="219">
        <v>45090.0</v>
      </c>
      <c r="C196" s="220" t="str">
        <f t="shared" si="24"/>
        <v/>
      </c>
      <c r="D196" s="220"/>
      <c r="E196" s="220">
        <f t="shared" si="22"/>
        <v>0</v>
      </c>
      <c r="F196" s="220">
        <f t="shared" si="23"/>
        <v>-10</v>
      </c>
    </row>
    <row r="197" ht="14.25" customHeight="1">
      <c r="B197" s="219">
        <v>45091.0</v>
      </c>
      <c r="C197" s="220" t="str">
        <f t="shared" si="24"/>
        <v/>
      </c>
      <c r="D197" s="220"/>
      <c r="E197" s="220">
        <f t="shared" si="22"/>
        <v>0</v>
      </c>
      <c r="F197" s="220">
        <f t="shared" si="23"/>
        <v>-10</v>
      </c>
    </row>
    <row r="198" ht="14.25" customHeight="1">
      <c r="B198" s="219">
        <v>45092.0</v>
      </c>
      <c r="C198" s="220" t="str">
        <f t="shared" si="24"/>
        <v/>
      </c>
      <c r="D198" s="220"/>
      <c r="E198" s="220">
        <f t="shared" si="22"/>
        <v>0</v>
      </c>
      <c r="F198" s="220">
        <f t="shared" si="23"/>
        <v>-10</v>
      </c>
    </row>
    <row r="199" ht="14.25" customHeight="1">
      <c r="B199" s="219">
        <v>45093.0</v>
      </c>
      <c r="C199" s="220" t="str">
        <f t="shared" si="24"/>
        <v/>
      </c>
      <c r="D199" s="220"/>
      <c r="E199" s="220">
        <f t="shared" si="22"/>
        <v>0</v>
      </c>
      <c r="F199" s="220">
        <f t="shared" si="23"/>
        <v>-10</v>
      </c>
    </row>
    <row r="200" ht="14.25" customHeight="1">
      <c r="B200" s="254">
        <v>45094.0</v>
      </c>
      <c r="C200" s="255" t="str">
        <f t="shared" si="24"/>
        <v/>
      </c>
      <c r="D200" s="255"/>
      <c r="E200" s="255">
        <f t="shared" si="22"/>
        <v>0</v>
      </c>
      <c r="F200" s="255">
        <f t="shared" si="23"/>
        <v>-10</v>
      </c>
    </row>
    <row r="201" ht="14.25" customHeight="1">
      <c r="B201" s="254">
        <v>45095.0</v>
      </c>
      <c r="C201" s="255" t="str">
        <f t="shared" si="24"/>
        <v/>
      </c>
      <c r="D201" s="255"/>
      <c r="E201" s="255">
        <f t="shared" si="22"/>
        <v>0</v>
      </c>
      <c r="F201" s="255">
        <f t="shared" si="23"/>
        <v>-10</v>
      </c>
    </row>
    <row r="202" ht="14.25" customHeight="1">
      <c r="B202" s="219">
        <v>45096.0</v>
      </c>
      <c r="C202" s="220" t="str">
        <f t="shared" si="24"/>
        <v/>
      </c>
      <c r="D202" s="220"/>
      <c r="E202" s="220">
        <f t="shared" si="22"/>
        <v>0</v>
      </c>
      <c r="F202" s="220">
        <f t="shared" si="23"/>
        <v>-10</v>
      </c>
    </row>
    <row r="203" ht="14.25" customHeight="1">
      <c r="B203" s="219">
        <v>45097.0</v>
      </c>
      <c r="C203" s="220" t="str">
        <f t="shared" si="24"/>
        <v/>
      </c>
      <c r="D203" s="220"/>
      <c r="E203" s="220">
        <f t="shared" si="22"/>
        <v>0</v>
      </c>
      <c r="F203" s="220">
        <f t="shared" si="23"/>
        <v>-10</v>
      </c>
    </row>
    <row r="204" ht="14.25" customHeight="1">
      <c r="B204" s="219">
        <v>45098.0</v>
      </c>
      <c r="C204" s="220" t="str">
        <f t="shared" si="24"/>
        <v/>
      </c>
      <c r="D204" s="220"/>
      <c r="E204" s="220">
        <f t="shared" si="22"/>
        <v>0</v>
      </c>
      <c r="F204" s="220">
        <f t="shared" si="23"/>
        <v>-10</v>
      </c>
    </row>
    <row r="205" ht="14.25" customHeight="1">
      <c r="B205" s="219">
        <v>45099.0</v>
      </c>
      <c r="C205" s="220" t="str">
        <f t="shared" si="24"/>
        <v/>
      </c>
      <c r="D205" s="220"/>
      <c r="E205" s="220">
        <f t="shared" si="22"/>
        <v>0</v>
      </c>
      <c r="F205" s="220">
        <f t="shared" si="23"/>
        <v>-10</v>
      </c>
    </row>
    <row r="206" ht="14.25" customHeight="1">
      <c r="B206" s="219">
        <v>45100.0</v>
      </c>
      <c r="C206" s="220" t="str">
        <f t="shared" si="24"/>
        <v/>
      </c>
      <c r="D206" s="220"/>
      <c r="E206" s="220">
        <f t="shared" si="22"/>
        <v>0</v>
      </c>
      <c r="F206" s="220">
        <f t="shared" si="23"/>
        <v>-10</v>
      </c>
    </row>
    <row r="207" ht="14.25" customHeight="1">
      <c r="B207" s="254">
        <v>45101.0</v>
      </c>
      <c r="C207" s="255" t="str">
        <f t="shared" si="24"/>
        <v/>
      </c>
      <c r="D207" s="255"/>
      <c r="E207" s="255">
        <f t="shared" si="22"/>
        <v>0</v>
      </c>
      <c r="F207" s="255">
        <f t="shared" si="23"/>
        <v>-10</v>
      </c>
    </row>
    <row r="208" ht="14.25" customHeight="1">
      <c r="B208" s="254">
        <v>45102.0</v>
      </c>
      <c r="C208" s="255" t="str">
        <f t="shared" si="24"/>
        <v/>
      </c>
      <c r="D208" s="255"/>
      <c r="E208" s="255">
        <f t="shared" si="22"/>
        <v>0</v>
      </c>
      <c r="F208" s="255">
        <f t="shared" si="23"/>
        <v>-10</v>
      </c>
    </row>
    <row r="209" ht="14.25" customHeight="1">
      <c r="B209" s="219">
        <v>45103.0</v>
      </c>
      <c r="C209" s="220" t="str">
        <f t="shared" si="24"/>
        <v/>
      </c>
      <c r="D209" s="220"/>
      <c r="E209" s="220">
        <f t="shared" si="22"/>
        <v>0</v>
      </c>
      <c r="F209" s="220">
        <f t="shared" si="23"/>
        <v>-10</v>
      </c>
    </row>
    <row r="210" ht="14.25" customHeight="1">
      <c r="B210" s="219">
        <v>45104.0</v>
      </c>
      <c r="C210" s="220" t="str">
        <f t="shared" si="24"/>
        <v/>
      </c>
      <c r="D210" s="220"/>
      <c r="E210" s="220">
        <f t="shared" si="22"/>
        <v>0</v>
      </c>
      <c r="F210" s="220">
        <f t="shared" si="23"/>
        <v>-10</v>
      </c>
    </row>
    <row r="211" ht="14.25" customHeight="1">
      <c r="B211" s="219">
        <v>45105.0</v>
      </c>
      <c r="C211" s="220" t="str">
        <f t="shared" si="24"/>
        <v/>
      </c>
      <c r="D211" s="220"/>
      <c r="E211" s="220">
        <f t="shared" si="22"/>
        <v>0</v>
      </c>
      <c r="F211" s="220">
        <f t="shared" si="23"/>
        <v>-10</v>
      </c>
    </row>
    <row r="212" ht="14.25" customHeight="1">
      <c r="B212" s="219">
        <v>45106.0</v>
      </c>
      <c r="C212" s="220" t="str">
        <f t="shared" si="24"/>
        <v/>
      </c>
      <c r="D212" s="220"/>
      <c r="E212" s="220">
        <f t="shared" si="22"/>
        <v>0</v>
      </c>
      <c r="F212" s="220">
        <f t="shared" si="23"/>
        <v>-10</v>
      </c>
    </row>
    <row r="213" ht="14.25" customHeight="1">
      <c r="B213" s="219">
        <v>45107.0</v>
      </c>
      <c r="C213" s="220" t="str">
        <f t="shared" si="24"/>
        <v/>
      </c>
      <c r="D213" s="220"/>
      <c r="E213" s="220">
        <f t="shared" si="22"/>
        <v>0</v>
      </c>
      <c r="F213" s="220">
        <f t="shared" si="23"/>
        <v>-10</v>
      </c>
    </row>
    <row r="214" ht="14.25" customHeight="1">
      <c r="B214" s="229"/>
      <c r="C214" s="220" t="str">
        <f t="shared" si="24"/>
        <v/>
      </c>
      <c r="D214" s="220"/>
      <c r="E214" s="220">
        <f t="shared" si="22"/>
        <v>0</v>
      </c>
      <c r="F214" s="220">
        <f t="shared" si="23"/>
        <v>-10</v>
      </c>
    </row>
    <row r="215" ht="14.25" customHeight="1">
      <c r="B215" s="216"/>
      <c r="C215" s="223" t="s">
        <v>221</v>
      </c>
      <c r="D215" s="223"/>
      <c r="E215" s="216">
        <f>SUM(E184:E214)</f>
        <v>0</v>
      </c>
      <c r="F215" s="216">
        <f t="shared" si="23"/>
        <v>-10</v>
      </c>
    </row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K111:L111"/>
    <mergeCell ref="A145:L145"/>
    <mergeCell ref="K147:L147"/>
    <mergeCell ref="A181:L181"/>
    <mergeCell ref="K183:L183"/>
    <mergeCell ref="A1:L1"/>
    <mergeCell ref="K3:L3"/>
    <mergeCell ref="A37:L37"/>
    <mergeCell ref="K39:L39"/>
    <mergeCell ref="A73:L73"/>
    <mergeCell ref="K75:L75"/>
    <mergeCell ref="A109:L109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0.57"/>
    <col customWidth="1" min="3" max="10" width="8.71"/>
    <col customWidth="1" min="11" max="11" width="15.57"/>
    <col customWidth="1" min="12" max="12" width="13.43"/>
    <col customWidth="1" min="13" max="26" width="8.71"/>
  </cols>
  <sheetData>
    <row r="1" ht="14.25" customHeight="1">
      <c r="A1" s="249" t="s">
        <v>234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1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4.25" customHeight="1"/>
    <row r="3" ht="14.25" customHeight="1">
      <c r="B3" s="216" t="s">
        <v>214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/>
      <c r="K3" s="253" t="s">
        <v>234</v>
      </c>
      <c r="L3" s="231"/>
    </row>
    <row r="4" ht="14.25" customHeight="1">
      <c r="B4" s="219">
        <v>45078.0</v>
      </c>
      <c r="C4" s="220"/>
      <c r="D4" s="220"/>
      <c r="E4" s="220">
        <f t="shared" ref="E4:E34" si="1">D4-C4</f>
        <v>0</v>
      </c>
      <c r="F4" s="220">
        <f t="shared" ref="F4:F35" si="2">E4-10</f>
        <v>-10</v>
      </c>
      <c r="H4" s="216" t="s">
        <v>245</v>
      </c>
      <c r="I4" s="216"/>
      <c r="K4" s="216" t="s">
        <v>244</v>
      </c>
      <c r="L4" s="232">
        <v>2000.0</v>
      </c>
    </row>
    <row r="5" ht="14.25" customHeight="1">
      <c r="B5" s="219">
        <v>45079.0</v>
      </c>
      <c r="C5" s="220" t="str">
        <f t="shared" ref="C5:C34" si="3">D4</f>
        <v/>
      </c>
      <c r="D5" s="220"/>
      <c r="E5" s="220">
        <f t="shared" si="1"/>
        <v>0</v>
      </c>
      <c r="F5" s="220">
        <f t="shared" si="2"/>
        <v>-10</v>
      </c>
      <c r="H5" s="216" t="s">
        <v>247</v>
      </c>
      <c r="I5" s="216"/>
      <c r="K5" s="216" t="s">
        <v>266</v>
      </c>
      <c r="L5" s="232"/>
    </row>
    <row r="6" ht="14.25" customHeight="1">
      <c r="B6" s="254">
        <v>45080.0</v>
      </c>
      <c r="C6" s="255" t="str">
        <f t="shared" si="3"/>
        <v/>
      </c>
      <c r="D6" s="255"/>
      <c r="E6" s="255">
        <f t="shared" si="1"/>
        <v>0</v>
      </c>
      <c r="F6" s="255">
        <f t="shared" si="2"/>
        <v>-10</v>
      </c>
      <c r="H6" s="216" t="s">
        <v>249</v>
      </c>
      <c r="I6" s="232">
        <v>18.0</v>
      </c>
      <c r="K6" s="216" t="s">
        <v>246</v>
      </c>
      <c r="L6" s="232">
        <f>O6*O7</f>
        <v>0</v>
      </c>
    </row>
    <row r="7" ht="14.25" customHeight="1">
      <c r="B7" s="254">
        <v>45081.0</v>
      </c>
      <c r="C7" s="255" t="str">
        <f t="shared" si="3"/>
        <v/>
      </c>
      <c r="D7" s="255"/>
      <c r="E7" s="255">
        <f t="shared" si="1"/>
        <v>0</v>
      </c>
      <c r="F7" s="255">
        <f t="shared" si="2"/>
        <v>-10</v>
      </c>
      <c r="H7" s="216" t="s">
        <v>251</v>
      </c>
      <c r="I7" s="216"/>
      <c r="K7" s="216" t="s">
        <v>248</v>
      </c>
      <c r="L7" s="232">
        <f>O8*O9</f>
        <v>0</v>
      </c>
    </row>
    <row r="8" ht="14.25" customHeight="1">
      <c r="B8" s="219">
        <v>45082.0</v>
      </c>
      <c r="C8" s="220" t="str">
        <f t="shared" si="3"/>
        <v/>
      </c>
      <c r="D8" s="220"/>
      <c r="E8" s="220">
        <f t="shared" si="1"/>
        <v>0</v>
      </c>
      <c r="F8" s="220">
        <f t="shared" si="2"/>
        <v>-10</v>
      </c>
      <c r="H8" s="216" t="s">
        <v>249</v>
      </c>
      <c r="I8" s="232">
        <v>10.0</v>
      </c>
      <c r="K8" s="216" t="s">
        <v>250</v>
      </c>
      <c r="L8" s="232">
        <f>O10*100</f>
        <v>0</v>
      </c>
    </row>
    <row r="9" ht="14.25" customHeight="1">
      <c r="B9" s="219">
        <v>45083.0</v>
      </c>
      <c r="C9" s="220" t="str">
        <f t="shared" si="3"/>
        <v/>
      </c>
      <c r="D9" s="220"/>
      <c r="E9" s="220">
        <f t="shared" si="1"/>
        <v>0</v>
      </c>
      <c r="F9" s="220">
        <f t="shared" si="2"/>
        <v>-10</v>
      </c>
      <c r="H9" s="216" t="s">
        <v>250</v>
      </c>
      <c r="I9" s="216"/>
      <c r="K9" s="216" t="s">
        <v>252</v>
      </c>
      <c r="L9" s="232"/>
    </row>
    <row r="10" ht="14.25" customHeight="1">
      <c r="B10" s="219">
        <v>45084.0</v>
      </c>
      <c r="C10" s="220" t="str">
        <f t="shared" si="3"/>
        <v/>
      </c>
      <c r="D10" s="220"/>
      <c r="E10" s="220">
        <f t="shared" si="1"/>
        <v>0</v>
      </c>
      <c r="F10" s="220">
        <f t="shared" si="2"/>
        <v>-10</v>
      </c>
      <c r="K10" s="216" t="s">
        <v>268</v>
      </c>
      <c r="L10" s="232">
        <f>L4+L6+L7+L8-L5-L9</f>
        <v>2000</v>
      </c>
    </row>
    <row r="11" ht="14.25" customHeight="1">
      <c r="B11" s="219">
        <v>45085.0</v>
      </c>
      <c r="C11" s="220" t="str">
        <f t="shared" si="3"/>
        <v/>
      </c>
      <c r="D11" s="220"/>
      <c r="E11" s="220">
        <f t="shared" si="1"/>
        <v>0</v>
      </c>
      <c r="F11" s="220">
        <f t="shared" si="2"/>
        <v>-10</v>
      </c>
      <c r="K11" s="216" t="s">
        <v>269</v>
      </c>
      <c r="L11" s="229"/>
    </row>
    <row r="12" ht="14.25" customHeight="1">
      <c r="B12" s="219">
        <v>45086.0</v>
      </c>
      <c r="C12" s="220" t="str">
        <f t="shared" si="3"/>
        <v/>
      </c>
      <c r="D12" s="220"/>
      <c r="E12" s="220">
        <f t="shared" si="1"/>
        <v>0</v>
      </c>
      <c r="F12" s="220">
        <f t="shared" si="2"/>
        <v>-10</v>
      </c>
    </row>
    <row r="13" ht="14.25" customHeight="1">
      <c r="B13" s="254">
        <v>45087.0</v>
      </c>
      <c r="C13" s="255" t="str">
        <f t="shared" si="3"/>
        <v/>
      </c>
      <c r="D13" s="255"/>
      <c r="E13" s="255">
        <f t="shared" si="1"/>
        <v>0</v>
      </c>
      <c r="F13" s="255">
        <f t="shared" si="2"/>
        <v>-10</v>
      </c>
    </row>
    <row r="14" ht="14.25" customHeight="1">
      <c r="B14" s="254">
        <v>45088.0</v>
      </c>
      <c r="C14" s="255" t="str">
        <f t="shared" si="3"/>
        <v/>
      </c>
      <c r="D14" s="255"/>
      <c r="E14" s="255">
        <f t="shared" si="1"/>
        <v>0</v>
      </c>
      <c r="F14" s="255">
        <f t="shared" si="2"/>
        <v>-10</v>
      </c>
    </row>
    <row r="15" ht="14.25" customHeight="1">
      <c r="B15" s="219">
        <v>45089.0</v>
      </c>
      <c r="C15" s="220" t="str">
        <f t="shared" si="3"/>
        <v/>
      </c>
      <c r="D15" s="220"/>
      <c r="E15" s="220">
        <f t="shared" si="1"/>
        <v>0</v>
      </c>
      <c r="F15" s="220">
        <f t="shared" si="2"/>
        <v>-10</v>
      </c>
    </row>
    <row r="16" ht="14.25" customHeight="1">
      <c r="B16" s="219">
        <v>45090.0</v>
      </c>
      <c r="C16" s="220" t="str">
        <f t="shared" si="3"/>
        <v/>
      </c>
      <c r="D16" s="220"/>
      <c r="E16" s="220">
        <f t="shared" si="1"/>
        <v>0</v>
      </c>
      <c r="F16" s="220">
        <f t="shared" si="2"/>
        <v>-10</v>
      </c>
    </row>
    <row r="17" ht="14.25" customHeight="1">
      <c r="B17" s="219">
        <v>45091.0</v>
      </c>
      <c r="C17" s="220" t="str">
        <f t="shared" si="3"/>
        <v/>
      </c>
      <c r="D17" s="220"/>
      <c r="E17" s="220">
        <f t="shared" si="1"/>
        <v>0</v>
      </c>
      <c r="F17" s="220">
        <f t="shared" si="2"/>
        <v>-10</v>
      </c>
    </row>
    <row r="18" ht="14.25" customHeight="1">
      <c r="B18" s="219">
        <v>45092.0</v>
      </c>
      <c r="C18" s="220" t="str">
        <f t="shared" si="3"/>
        <v/>
      </c>
      <c r="D18" s="220"/>
      <c r="E18" s="220">
        <f t="shared" si="1"/>
        <v>0</v>
      </c>
      <c r="F18" s="220">
        <f t="shared" si="2"/>
        <v>-10</v>
      </c>
    </row>
    <row r="19" ht="14.25" customHeight="1">
      <c r="B19" s="219">
        <v>45093.0</v>
      </c>
      <c r="C19" s="220" t="str">
        <f t="shared" si="3"/>
        <v/>
      </c>
      <c r="D19" s="220"/>
      <c r="E19" s="220">
        <f t="shared" si="1"/>
        <v>0</v>
      </c>
      <c r="F19" s="220">
        <f t="shared" si="2"/>
        <v>-10</v>
      </c>
    </row>
    <row r="20" ht="14.25" customHeight="1">
      <c r="B20" s="254">
        <v>45094.0</v>
      </c>
      <c r="C20" s="255" t="str">
        <f t="shared" si="3"/>
        <v/>
      </c>
      <c r="D20" s="255"/>
      <c r="E20" s="255">
        <f t="shared" si="1"/>
        <v>0</v>
      </c>
      <c r="F20" s="255">
        <f t="shared" si="2"/>
        <v>-10</v>
      </c>
    </row>
    <row r="21" ht="14.25" customHeight="1">
      <c r="B21" s="254">
        <v>45095.0</v>
      </c>
      <c r="C21" s="255" t="str">
        <f t="shared" si="3"/>
        <v/>
      </c>
      <c r="D21" s="255"/>
      <c r="E21" s="255">
        <f t="shared" si="1"/>
        <v>0</v>
      </c>
      <c r="F21" s="255">
        <f t="shared" si="2"/>
        <v>-10</v>
      </c>
    </row>
    <row r="22" ht="14.25" customHeight="1">
      <c r="B22" s="219">
        <v>45096.0</v>
      </c>
      <c r="C22" s="220" t="str">
        <f t="shared" si="3"/>
        <v/>
      </c>
      <c r="D22" s="220"/>
      <c r="E22" s="220">
        <f t="shared" si="1"/>
        <v>0</v>
      </c>
      <c r="F22" s="220">
        <f t="shared" si="2"/>
        <v>-10</v>
      </c>
    </row>
    <row r="23" ht="14.25" customHeight="1">
      <c r="B23" s="219">
        <v>45097.0</v>
      </c>
      <c r="C23" s="220" t="str">
        <f t="shared" si="3"/>
        <v/>
      </c>
      <c r="D23" s="220"/>
      <c r="E23" s="220">
        <f t="shared" si="1"/>
        <v>0</v>
      </c>
      <c r="F23" s="220">
        <f t="shared" si="2"/>
        <v>-10</v>
      </c>
    </row>
    <row r="24" ht="14.25" customHeight="1">
      <c r="B24" s="219">
        <v>45098.0</v>
      </c>
      <c r="C24" s="220" t="str">
        <f t="shared" si="3"/>
        <v/>
      </c>
      <c r="D24" s="220"/>
      <c r="E24" s="220">
        <f t="shared" si="1"/>
        <v>0</v>
      </c>
      <c r="F24" s="220">
        <f t="shared" si="2"/>
        <v>-10</v>
      </c>
    </row>
    <row r="25" ht="14.25" customHeight="1">
      <c r="B25" s="219">
        <v>45099.0</v>
      </c>
      <c r="C25" s="220" t="str">
        <f t="shared" si="3"/>
        <v/>
      </c>
      <c r="D25" s="220"/>
      <c r="E25" s="220">
        <f t="shared" si="1"/>
        <v>0</v>
      </c>
      <c r="F25" s="220">
        <f t="shared" si="2"/>
        <v>-10</v>
      </c>
    </row>
    <row r="26" ht="14.25" customHeight="1">
      <c r="B26" s="219">
        <v>45100.0</v>
      </c>
      <c r="C26" s="220" t="str">
        <f t="shared" si="3"/>
        <v/>
      </c>
      <c r="D26" s="220"/>
      <c r="E26" s="220">
        <f t="shared" si="1"/>
        <v>0</v>
      </c>
      <c r="F26" s="220">
        <f t="shared" si="2"/>
        <v>-10</v>
      </c>
    </row>
    <row r="27" ht="14.25" customHeight="1">
      <c r="B27" s="254">
        <v>45101.0</v>
      </c>
      <c r="C27" s="255" t="str">
        <f t="shared" si="3"/>
        <v/>
      </c>
      <c r="D27" s="255"/>
      <c r="E27" s="255">
        <f t="shared" si="1"/>
        <v>0</v>
      </c>
      <c r="F27" s="255">
        <f t="shared" si="2"/>
        <v>-10</v>
      </c>
    </row>
    <row r="28" ht="14.25" customHeight="1">
      <c r="B28" s="254">
        <v>45102.0</v>
      </c>
      <c r="C28" s="255" t="str">
        <f t="shared" si="3"/>
        <v/>
      </c>
      <c r="D28" s="255"/>
      <c r="E28" s="255">
        <f t="shared" si="1"/>
        <v>0</v>
      </c>
      <c r="F28" s="255">
        <f t="shared" si="2"/>
        <v>-10</v>
      </c>
    </row>
    <row r="29" ht="14.25" customHeight="1">
      <c r="B29" s="219">
        <v>45103.0</v>
      </c>
      <c r="C29" s="220" t="str">
        <f t="shared" si="3"/>
        <v/>
      </c>
      <c r="D29" s="220"/>
      <c r="E29" s="220">
        <f t="shared" si="1"/>
        <v>0</v>
      </c>
      <c r="F29" s="220">
        <f t="shared" si="2"/>
        <v>-10</v>
      </c>
    </row>
    <row r="30" ht="14.25" customHeight="1">
      <c r="B30" s="219">
        <v>45104.0</v>
      </c>
      <c r="C30" s="220" t="str">
        <f t="shared" si="3"/>
        <v/>
      </c>
      <c r="D30" s="220"/>
      <c r="E30" s="220">
        <f t="shared" si="1"/>
        <v>0</v>
      </c>
      <c r="F30" s="220">
        <f t="shared" si="2"/>
        <v>-10</v>
      </c>
    </row>
    <row r="31" ht="14.25" customHeight="1">
      <c r="B31" s="219">
        <v>45105.0</v>
      </c>
      <c r="C31" s="220" t="str">
        <f t="shared" si="3"/>
        <v/>
      </c>
      <c r="D31" s="220"/>
      <c r="E31" s="220">
        <f t="shared" si="1"/>
        <v>0</v>
      </c>
      <c r="F31" s="220">
        <f t="shared" si="2"/>
        <v>-10</v>
      </c>
    </row>
    <row r="32" ht="14.25" customHeight="1">
      <c r="B32" s="219">
        <v>45106.0</v>
      </c>
      <c r="C32" s="220" t="str">
        <f t="shared" si="3"/>
        <v/>
      </c>
      <c r="D32" s="220"/>
      <c r="E32" s="220">
        <f t="shared" si="1"/>
        <v>0</v>
      </c>
      <c r="F32" s="220">
        <f t="shared" si="2"/>
        <v>-10</v>
      </c>
    </row>
    <row r="33" ht="14.25" customHeight="1">
      <c r="B33" s="219">
        <v>45107.0</v>
      </c>
      <c r="C33" s="220" t="str">
        <f t="shared" si="3"/>
        <v/>
      </c>
      <c r="D33" s="220"/>
      <c r="E33" s="220">
        <f t="shared" si="1"/>
        <v>0</v>
      </c>
      <c r="F33" s="220">
        <f t="shared" si="2"/>
        <v>-10</v>
      </c>
    </row>
    <row r="34" ht="14.25" customHeight="1">
      <c r="B34" s="229"/>
      <c r="C34" s="220" t="str">
        <f t="shared" si="3"/>
        <v/>
      </c>
      <c r="D34" s="220"/>
      <c r="E34" s="220">
        <f t="shared" si="1"/>
        <v>0</v>
      </c>
      <c r="F34" s="220">
        <f t="shared" si="2"/>
        <v>-10</v>
      </c>
    </row>
    <row r="35" ht="14.25" customHeight="1">
      <c r="B35" s="216"/>
      <c r="C35" s="223" t="s">
        <v>221</v>
      </c>
      <c r="D35" s="223"/>
      <c r="E35" s="216">
        <f>SUM(E4:E34)</f>
        <v>0</v>
      </c>
      <c r="F35" s="216">
        <f t="shared" si="2"/>
        <v>-10</v>
      </c>
    </row>
    <row r="36" ht="14.25" customHeight="1"/>
    <row r="37" ht="14.25" customHeight="1">
      <c r="A37" s="249" t="s">
        <v>275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4.25" customHeight="1"/>
    <row r="39" ht="14.25" customHeight="1">
      <c r="B39" s="216" t="s">
        <v>214</v>
      </c>
      <c r="C39" s="216" t="s">
        <v>215</v>
      </c>
      <c r="D39" s="216" t="s">
        <v>216</v>
      </c>
      <c r="E39" s="216" t="s">
        <v>217</v>
      </c>
      <c r="F39" s="216" t="s">
        <v>218</v>
      </c>
      <c r="H39" s="216" t="s">
        <v>238</v>
      </c>
      <c r="I39" s="216"/>
      <c r="K39" s="253" t="s">
        <v>275</v>
      </c>
      <c r="L39" s="231"/>
    </row>
    <row r="40" ht="14.25" customHeight="1">
      <c r="B40" s="219">
        <v>45078.0</v>
      </c>
      <c r="C40" s="220"/>
      <c r="D40" s="220"/>
      <c r="E40" s="220">
        <f t="shared" ref="E40:E70" si="4">D40-C40</f>
        <v>0</v>
      </c>
      <c r="F40" s="220">
        <f t="shared" ref="F40:F71" si="5">E40-10</f>
        <v>-10</v>
      </c>
      <c r="H40" s="216" t="s">
        <v>245</v>
      </c>
      <c r="I40" s="216"/>
      <c r="K40" s="216" t="s">
        <v>244</v>
      </c>
      <c r="L40" s="232">
        <v>2000.0</v>
      </c>
    </row>
    <row r="41" ht="14.25" customHeight="1">
      <c r="B41" s="219">
        <v>45079.0</v>
      </c>
      <c r="C41" s="220" t="str">
        <f t="shared" ref="C41:C70" si="6">D40</f>
        <v/>
      </c>
      <c r="D41" s="220"/>
      <c r="E41" s="220">
        <f t="shared" si="4"/>
        <v>0</v>
      </c>
      <c r="F41" s="220">
        <f t="shared" si="5"/>
        <v>-10</v>
      </c>
      <c r="H41" s="216" t="s">
        <v>247</v>
      </c>
      <c r="I41" s="216"/>
      <c r="K41" s="216" t="s">
        <v>266</v>
      </c>
      <c r="L41" s="232"/>
    </row>
    <row r="42" ht="14.25" customHeight="1">
      <c r="B42" s="254">
        <v>45080.0</v>
      </c>
      <c r="C42" s="255" t="str">
        <f t="shared" si="6"/>
        <v/>
      </c>
      <c r="D42" s="255"/>
      <c r="E42" s="255">
        <f t="shared" si="4"/>
        <v>0</v>
      </c>
      <c r="F42" s="255">
        <f t="shared" si="5"/>
        <v>-10</v>
      </c>
      <c r="H42" s="216" t="s">
        <v>249</v>
      </c>
      <c r="I42" s="232">
        <v>18.0</v>
      </c>
      <c r="K42" s="216" t="s">
        <v>246</v>
      </c>
      <c r="L42" s="232">
        <f>O42*O43</f>
        <v>0</v>
      </c>
    </row>
    <row r="43" ht="14.25" customHeight="1">
      <c r="B43" s="254">
        <v>45081.0</v>
      </c>
      <c r="C43" s="255" t="str">
        <f t="shared" si="6"/>
        <v/>
      </c>
      <c r="D43" s="255"/>
      <c r="E43" s="255">
        <f t="shared" si="4"/>
        <v>0</v>
      </c>
      <c r="F43" s="255">
        <f t="shared" si="5"/>
        <v>-10</v>
      </c>
      <c r="H43" s="216" t="s">
        <v>251</v>
      </c>
      <c r="I43" s="216"/>
      <c r="K43" s="216" t="s">
        <v>248</v>
      </c>
      <c r="L43" s="232">
        <f>O44*O45</f>
        <v>0</v>
      </c>
    </row>
    <row r="44" ht="14.25" customHeight="1">
      <c r="B44" s="219">
        <v>45082.0</v>
      </c>
      <c r="C44" s="220" t="str">
        <f t="shared" si="6"/>
        <v/>
      </c>
      <c r="D44" s="220"/>
      <c r="E44" s="220">
        <f t="shared" si="4"/>
        <v>0</v>
      </c>
      <c r="F44" s="220">
        <f t="shared" si="5"/>
        <v>-10</v>
      </c>
      <c r="H44" s="216" t="s">
        <v>249</v>
      </c>
      <c r="I44" s="232">
        <v>10.0</v>
      </c>
      <c r="K44" s="216" t="s">
        <v>250</v>
      </c>
      <c r="L44" s="232">
        <f>O46*100</f>
        <v>0</v>
      </c>
    </row>
    <row r="45" ht="14.25" customHeight="1">
      <c r="B45" s="219">
        <v>45083.0</v>
      </c>
      <c r="C45" s="220" t="str">
        <f t="shared" si="6"/>
        <v/>
      </c>
      <c r="D45" s="220"/>
      <c r="E45" s="220">
        <f t="shared" si="4"/>
        <v>0</v>
      </c>
      <c r="F45" s="220">
        <f t="shared" si="5"/>
        <v>-10</v>
      </c>
      <c r="H45" s="216" t="s">
        <v>250</v>
      </c>
      <c r="I45" s="216"/>
      <c r="K45" s="216" t="s">
        <v>252</v>
      </c>
      <c r="L45" s="232"/>
    </row>
    <row r="46" ht="14.25" customHeight="1">
      <c r="B46" s="219">
        <v>45084.0</v>
      </c>
      <c r="C46" s="220" t="str">
        <f t="shared" si="6"/>
        <v/>
      </c>
      <c r="D46" s="220"/>
      <c r="E46" s="220">
        <f t="shared" si="4"/>
        <v>0</v>
      </c>
      <c r="F46" s="220">
        <f t="shared" si="5"/>
        <v>-10</v>
      </c>
      <c r="K46" s="216" t="s">
        <v>268</v>
      </c>
      <c r="L46" s="232">
        <f>L40+L42+L43+L44-L41-L45</f>
        <v>2000</v>
      </c>
    </row>
    <row r="47" ht="14.25" customHeight="1">
      <c r="B47" s="219">
        <v>45085.0</v>
      </c>
      <c r="C47" s="220" t="str">
        <f t="shared" si="6"/>
        <v/>
      </c>
      <c r="D47" s="220"/>
      <c r="E47" s="220">
        <f t="shared" si="4"/>
        <v>0</v>
      </c>
      <c r="F47" s="220">
        <f t="shared" si="5"/>
        <v>-10</v>
      </c>
      <c r="K47" s="216" t="s">
        <v>269</v>
      </c>
      <c r="L47" s="229"/>
    </row>
    <row r="48" ht="14.25" customHeight="1">
      <c r="B48" s="219">
        <v>45086.0</v>
      </c>
      <c r="C48" s="220" t="str">
        <f t="shared" si="6"/>
        <v/>
      </c>
      <c r="D48" s="220"/>
      <c r="E48" s="220">
        <f t="shared" si="4"/>
        <v>0</v>
      </c>
      <c r="F48" s="220">
        <f t="shared" si="5"/>
        <v>-10</v>
      </c>
    </row>
    <row r="49" ht="14.25" customHeight="1">
      <c r="B49" s="254">
        <v>45087.0</v>
      </c>
      <c r="C49" s="255" t="str">
        <f t="shared" si="6"/>
        <v/>
      </c>
      <c r="D49" s="255"/>
      <c r="E49" s="255">
        <f t="shared" si="4"/>
        <v>0</v>
      </c>
      <c r="F49" s="255">
        <f t="shared" si="5"/>
        <v>-10</v>
      </c>
    </row>
    <row r="50" ht="14.25" customHeight="1">
      <c r="B50" s="254">
        <v>45088.0</v>
      </c>
      <c r="C50" s="255" t="str">
        <f t="shared" si="6"/>
        <v/>
      </c>
      <c r="D50" s="255"/>
      <c r="E50" s="255">
        <f t="shared" si="4"/>
        <v>0</v>
      </c>
      <c r="F50" s="255">
        <f t="shared" si="5"/>
        <v>-10</v>
      </c>
    </row>
    <row r="51" ht="14.25" customHeight="1">
      <c r="B51" s="219">
        <v>45089.0</v>
      </c>
      <c r="C51" s="220" t="str">
        <f t="shared" si="6"/>
        <v/>
      </c>
      <c r="D51" s="220"/>
      <c r="E51" s="220">
        <f t="shared" si="4"/>
        <v>0</v>
      </c>
      <c r="F51" s="220">
        <f t="shared" si="5"/>
        <v>-10</v>
      </c>
    </row>
    <row r="52" ht="14.25" customHeight="1">
      <c r="B52" s="219">
        <v>45090.0</v>
      </c>
      <c r="C52" s="220" t="str">
        <f t="shared" si="6"/>
        <v/>
      </c>
      <c r="D52" s="220"/>
      <c r="E52" s="220">
        <f t="shared" si="4"/>
        <v>0</v>
      </c>
      <c r="F52" s="220">
        <f t="shared" si="5"/>
        <v>-10</v>
      </c>
    </row>
    <row r="53" ht="14.25" customHeight="1">
      <c r="B53" s="219">
        <v>45091.0</v>
      </c>
      <c r="C53" s="220" t="str">
        <f t="shared" si="6"/>
        <v/>
      </c>
      <c r="D53" s="220"/>
      <c r="E53" s="220">
        <f t="shared" si="4"/>
        <v>0</v>
      </c>
      <c r="F53" s="220">
        <f t="shared" si="5"/>
        <v>-10</v>
      </c>
    </row>
    <row r="54" ht="14.25" customHeight="1">
      <c r="B54" s="219">
        <v>45092.0</v>
      </c>
      <c r="C54" s="220" t="str">
        <f t="shared" si="6"/>
        <v/>
      </c>
      <c r="D54" s="220"/>
      <c r="E54" s="220">
        <f t="shared" si="4"/>
        <v>0</v>
      </c>
      <c r="F54" s="220">
        <f t="shared" si="5"/>
        <v>-10</v>
      </c>
    </row>
    <row r="55" ht="14.25" customHeight="1">
      <c r="B55" s="219">
        <v>45093.0</v>
      </c>
      <c r="C55" s="220" t="str">
        <f t="shared" si="6"/>
        <v/>
      </c>
      <c r="D55" s="220"/>
      <c r="E55" s="220">
        <f t="shared" si="4"/>
        <v>0</v>
      </c>
      <c r="F55" s="220">
        <f t="shared" si="5"/>
        <v>-10</v>
      </c>
    </row>
    <row r="56" ht="14.25" customHeight="1">
      <c r="B56" s="254">
        <v>45094.0</v>
      </c>
      <c r="C56" s="255" t="str">
        <f t="shared" si="6"/>
        <v/>
      </c>
      <c r="D56" s="255"/>
      <c r="E56" s="255">
        <f t="shared" si="4"/>
        <v>0</v>
      </c>
      <c r="F56" s="255">
        <f t="shared" si="5"/>
        <v>-10</v>
      </c>
    </row>
    <row r="57" ht="14.25" customHeight="1">
      <c r="B57" s="254">
        <v>45095.0</v>
      </c>
      <c r="C57" s="255" t="str">
        <f t="shared" si="6"/>
        <v/>
      </c>
      <c r="D57" s="255"/>
      <c r="E57" s="255">
        <f t="shared" si="4"/>
        <v>0</v>
      </c>
      <c r="F57" s="255">
        <f t="shared" si="5"/>
        <v>-10</v>
      </c>
    </row>
    <row r="58" ht="14.25" customHeight="1">
      <c r="B58" s="219">
        <v>45096.0</v>
      </c>
      <c r="C58" s="220" t="str">
        <f t="shared" si="6"/>
        <v/>
      </c>
      <c r="D58" s="220"/>
      <c r="E58" s="220">
        <f t="shared" si="4"/>
        <v>0</v>
      </c>
      <c r="F58" s="220">
        <f t="shared" si="5"/>
        <v>-10</v>
      </c>
    </row>
    <row r="59" ht="14.25" customHeight="1">
      <c r="B59" s="219">
        <v>45097.0</v>
      </c>
      <c r="C59" s="220" t="str">
        <f t="shared" si="6"/>
        <v/>
      </c>
      <c r="D59" s="220"/>
      <c r="E59" s="220">
        <f t="shared" si="4"/>
        <v>0</v>
      </c>
      <c r="F59" s="220">
        <f t="shared" si="5"/>
        <v>-10</v>
      </c>
    </row>
    <row r="60" ht="14.25" customHeight="1">
      <c r="B60" s="219">
        <v>45098.0</v>
      </c>
      <c r="C60" s="220" t="str">
        <f t="shared" si="6"/>
        <v/>
      </c>
      <c r="D60" s="220"/>
      <c r="E60" s="220">
        <f t="shared" si="4"/>
        <v>0</v>
      </c>
      <c r="F60" s="220">
        <f t="shared" si="5"/>
        <v>-10</v>
      </c>
    </row>
    <row r="61" ht="14.25" customHeight="1">
      <c r="B61" s="219">
        <v>45099.0</v>
      </c>
      <c r="C61" s="220" t="str">
        <f t="shared" si="6"/>
        <v/>
      </c>
      <c r="D61" s="220"/>
      <c r="E61" s="220">
        <f t="shared" si="4"/>
        <v>0</v>
      </c>
      <c r="F61" s="220">
        <f t="shared" si="5"/>
        <v>-10</v>
      </c>
    </row>
    <row r="62" ht="14.25" customHeight="1">
      <c r="B62" s="219">
        <v>45100.0</v>
      </c>
      <c r="C62" s="220" t="str">
        <f t="shared" si="6"/>
        <v/>
      </c>
      <c r="D62" s="220"/>
      <c r="E62" s="220">
        <f t="shared" si="4"/>
        <v>0</v>
      </c>
      <c r="F62" s="220">
        <f t="shared" si="5"/>
        <v>-10</v>
      </c>
    </row>
    <row r="63" ht="14.25" customHeight="1">
      <c r="B63" s="254">
        <v>45101.0</v>
      </c>
      <c r="C63" s="255" t="str">
        <f t="shared" si="6"/>
        <v/>
      </c>
      <c r="D63" s="255"/>
      <c r="E63" s="255">
        <f t="shared" si="4"/>
        <v>0</v>
      </c>
      <c r="F63" s="255">
        <f t="shared" si="5"/>
        <v>-10</v>
      </c>
    </row>
    <row r="64" ht="14.25" customHeight="1">
      <c r="B64" s="254">
        <v>45102.0</v>
      </c>
      <c r="C64" s="255" t="str">
        <f t="shared" si="6"/>
        <v/>
      </c>
      <c r="D64" s="255"/>
      <c r="E64" s="255">
        <f t="shared" si="4"/>
        <v>0</v>
      </c>
      <c r="F64" s="255">
        <f t="shared" si="5"/>
        <v>-10</v>
      </c>
    </row>
    <row r="65" ht="14.25" customHeight="1">
      <c r="B65" s="219">
        <v>45103.0</v>
      </c>
      <c r="C65" s="220" t="str">
        <f t="shared" si="6"/>
        <v/>
      </c>
      <c r="D65" s="220"/>
      <c r="E65" s="220">
        <f t="shared" si="4"/>
        <v>0</v>
      </c>
      <c r="F65" s="220">
        <f t="shared" si="5"/>
        <v>-10</v>
      </c>
    </row>
    <row r="66" ht="14.25" customHeight="1">
      <c r="B66" s="219">
        <v>45104.0</v>
      </c>
      <c r="C66" s="220" t="str">
        <f t="shared" si="6"/>
        <v/>
      </c>
      <c r="D66" s="220"/>
      <c r="E66" s="220">
        <f t="shared" si="4"/>
        <v>0</v>
      </c>
      <c r="F66" s="220">
        <f t="shared" si="5"/>
        <v>-10</v>
      </c>
    </row>
    <row r="67" ht="14.25" customHeight="1">
      <c r="B67" s="219">
        <v>45105.0</v>
      </c>
      <c r="C67" s="220" t="str">
        <f t="shared" si="6"/>
        <v/>
      </c>
      <c r="D67" s="220"/>
      <c r="E67" s="220">
        <f t="shared" si="4"/>
        <v>0</v>
      </c>
      <c r="F67" s="220">
        <f t="shared" si="5"/>
        <v>-10</v>
      </c>
    </row>
    <row r="68" ht="14.25" customHeight="1">
      <c r="B68" s="219">
        <v>45106.0</v>
      </c>
      <c r="C68" s="220" t="str">
        <f t="shared" si="6"/>
        <v/>
      </c>
      <c r="D68" s="220"/>
      <c r="E68" s="220">
        <f t="shared" si="4"/>
        <v>0</v>
      </c>
      <c r="F68" s="220">
        <f t="shared" si="5"/>
        <v>-10</v>
      </c>
    </row>
    <row r="69" ht="14.25" customHeight="1">
      <c r="B69" s="219">
        <v>45107.0</v>
      </c>
      <c r="C69" s="220" t="str">
        <f t="shared" si="6"/>
        <v/>
      </c>
      <c r="D69" s="220"/>
      <c r="E69" s="220">
        <f t="shared" si="4"/>
        <v>0</v>
      </c>
      <c r="F69" s="220">
        <f t="shared" si="5"/>
        <v>-10</v>
      </c>
    </row>
    <row r="70" ht="14.25" customHeight="1">
      <c r="B70" s="229"/>
      <c r="C70" s="220" t="str">
        <f t="shared" si="6"/>
        <v/>
      </c>
      <c r="D70" s="220"/>
      <c r="E70" s="220">
        <f t="shared" si="4"/>
        <v>0</v>
      </c>
      <c r="F70" s="220">
        <f t="shared" si="5"/>
        <v>-10</v>
      </c>
    </row>
    <row r="71" ht="14.25" customHeight="1">
      <c r="B71" s="216"/>
      <c r="C71" s="223" t="s">
        <v>221</v>
      </c>
      <c r="D71" s="223"/>
      <c r="E71" s="216">
        <f>SUM(E40:E70)</f>
        <v>0</v>
      </c>
      <c r="F71" s="216">
        <f t="shared" si="5"/>
        <v>-10</v>
      </c>
    </row>
    <row r="72" ht="14.25" customHeight="1"/>
    <row r="73" ht="14.25" customHeight="1">
      <c r="A73" s="249" t="s">
        <v>235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1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235</v>
      </c>
      <c r="L75" s="231"/>
    </row>
    <row r="76" ht="14.25" customHeight="1">
      <c r="B76" s="219">
        <v>45078.0</v>
      </c>
      <c r="C76" s="220"/>
      <c r="D76" s="220"/>
      <c r="E76" s="220">
        <f t="shared" ref="E76:E106" si="7">D76-C76</f>
        <v>0</v>
      </c>
      <c r="F76" s="220">
        <f t="shared" ref="F76:F107" si="8">E76-10</f>
        <v>-10</v>
      </c>
      <c r="H76" s="216" t="s">
        <v>245</v>
      </c>
      <c r="I76" s="216"/>
      <c r="K76" s="216" t="s">
        <v>244</v>
      </c>
      <c r="L76" s="232">
        <v>2000.0</v>
      </c>
    </row>
    <row r="77" ht="14.25" customHeight="1">
      <c r="B77" s="219">
        <v>45079.0</v>
      </c>
      <c r="C77" s="220" t="str">
        <f t="shared" ref="C77:C106" si="9">D76</f>
        <v/>
      </c>
      <c r="D77" s="220"/>
      <c r="E77" s="220">
        <f t="shared" si="7"/>
        <v>0</v>
      </c>
      <c r="F77" s="220">
        <f t="shared" si="8"/>
        <v>-10</v>
      </c>
      <c r="H77" s="216" t="s">
        <v>247</v>
      </c>
      <c r="I77" s="216"/>
      <c r="K77" s="216" t="s">
        <v>266</v>
      </c>
      <c r="L77" s="232"/>
    </row>
    <row r="78" ht="14.25" customHeight="1">
      <c r="B78" s="254">
        <v>45080.0</v>
      </c>
      <c r="C78" s="255" t="str">
        <f t="shared" si="9"/>
        <v/>
      </c>
      <c r="D78" s="255"/>
      <c r="E78" s="255">
        <f t="shared" si="7"/>
        <v>0</v>
      </c>
      <c r="F78" s="255">
        <f t="shared" si="8"/>
        <v>-10</v>
      </c>
      <c r="H78" s="216" t="s">
        <v>249</v>
      </c>
      <c r="I78" s="232">
        <v>18.0</v>
      </c>
      <c r="K78" s="216" t="s">
        <v>246</v>
      </c>
      <c r="L78" s="232">
        <f>O78*O79</f>
        <v>0</v>
      </c>
    </row>
    <row r="79" ht="14.25" customHeight="1">
      <c r="B79" s="254">
        <v>45081.0</v>
      </c>
      <c r="C79" s="255" t="str">
        <f t="shared" si="9"/>
        <v/>
      </c>
      <c r="D79" s="255"/>
      <c r="E79" s="255">
        <f t="shared" si="7"/>
        <v>0</v>
      </c>
      <c r="F79" s="255">
        <f t="shared" si="8"/>
        <v>-10</v>
      </c>
      <c r="H79" s="216" t="s">
        <v>251</v>
      </c>
      <c r="I79" s="216"/>
      <c r="K79" s="216" t="s">
        <v>248</v>
      </c>
      <c r="L79" s="232">
        <f>O80*O81</f>
        <v>0</v>
      </c>
    </row>
    <row r="80" ht="14.25" customHeight="1">
      <c r="B80" s="219">
        <v>45082.0</v>
      </c>
      <c r="C80" s="220" t="str">
        <f t="shared" si="9"/>
        <v/>
      </c>
      <c r="D80" s="220"/>
      <c r="E80" s="220">
        <f t="shared" si="7"/>
        <v>0</v>
      </c>
      <c r="F80" s="220">
        <f t="shared" si="8"/>
        <v>-10</v>
      </c>
      <c r="H80" s="216" t="s">
        <v>249</v>
      </c>
      <c r="I80" s="232">
        <v>10.0</v>
      </c>
      <c r="K80" s="216" t="s">
        <v>250</v>
      </c>
      <c r="L80" s="232">
        <f>O82*100</f>
        <v>0</v>
      </c>
    </row>
    <row r="81" ht="14.25" customHeight="1">
      <c r="B81" s="219">
        <v>45083.0</v>
      </c>
      <c r="C81" s="220" t="str">
        <f t="shared" si="9"/>
        <v/>
      </c>
      <c r="D81" s="220"/>
      <c r="E81" s="220">
        <f t="shared" si="7"/>
        <v>0</v>
      </c>
      <c r="F81" s="220">
        <f t="shared" si="8"/>
        <v>-10</v>
      </c>
      <c r="H81" s="216" t="s">
        <v>250</v>
      </c>
      <c r="I81" s="216"/>
      <c r="K81" s="216" t="s">
        <v>252</v>
      </c>
      <c r="L81" s="232"/>
    </row>
    <row r="82" ht="14.25" customHeight="1">
      <c r="B82" s="219">
        <v>45084.0</v>
      </c>
      <c r="C82" s="220" t="str">
        <f t="shared" si="9"/>
        <v/>
      </c>
      <c r="D82" s="220"/>
      <c r="E82" s="220">
        <f t="shared" si="7"/>
        <v>0</v>
      </c>
      <c r="F82" s="220">
        <f t="shared" si="8"/>
        <v>-10</v>
      </c>
      <c r="K82" s="216" t="s">
        <v>268</v>
      </c>
      <c r="L82" s="232">
        <f>L76+L78+L79+L80-L77-L81</f>
        <v>2000</v>
      </c>
    </row>
    <row r="83" ht="14.25" customHeight="1">
      <c r="B83" s="219">
        <v>45085.0</v>
      </c>
      <c r="C83" s="220" t="str">
        <f t="shared" si="9"/>
        <v/>
      </c>
      <c r="D83" s="220"/>
      <c r="E83" s="220">
        <f t="shared" si="7"/>
        <v>0</v>
      </c>
      <c r="F83" s="220">
        <f t="shared" si="8"/>
        <v>-10</v>
      </c>
      <c r="K83" s="216" t="s">
        <v>269</v>
      </c>
      <c r="L83" s="229"/>
    </row>
    <row r="84" ht="14.25" customHeight="1">
      <c r="B84" s="219">
        <v>45086.0</v>
      </c>
      <c r="C84" s="220" t="str">
        <f t="shared" si="9"/>
        <v/>
      </c>
      <c r="D84" s="220"/>
      <c r="E84" s="220">
        <f t="shared" si="7"/>
        <v>0</v>
      </c>
      <c r="F84" s="220">
        <f t="shared" si="8"/>
        <v>-10</v>
      </c>
    </row>
    <row r="85" ht="14.25" customHeight="1">
      <c r="B85" s="254">
        <v>45087.0</v>
      </c>
      <c r="C85" s="255" t="str">
        <f t="shared" si="9"/>
        <v/>
      </c>
      <c r="D85" s="255"/>
      <c r="E85" s="255">
        <f t="shared" si="7"/>
        <v>0</v>
      </c>
      <c r="F85" s="255">
        <f t="shared" si="8"/>
        <v>-10</v>
      </c>
    </row>
    <row r="86" ht="14.25" customHeight="1">
      <c r="B86" s="254">
        <v>45088.0</v>
      </c>
      <c r="C86" s="255" t="str">
        <f t="shared" si="9"/>
        <v/>
      </c>
      <c r="D86" s="255"/>
      <c r="E86" s="255">
        <f t="shared" si="7"/>
        <v>0</v>
      </c>
      <c r="F86" s="255">
        <f t="shared" si="8"/>
        <v>-10</v>
      </c>
    </row>
    <row r="87" ht="14.25" customHeight="1">
      <c r="B87" s="219">
        <v>45089.0</v>
      </c>
      <c r="C87" s="220" t="str">
        <f t="shared" si="9"/>
        <v/>
      </c>
      <c r="D87" s="220"/>
      <c r="E87" s="220">
        <f t="shared" si="7"/>
        <v>0</v>
      </c>
      <c r="F87" s="220">
        <f t="shared" si="8"/>
        <v>-10</v>
      </c>
    </row>
    <row r="88" ht="14.25" customHeight="1">
      <c r="B88" s="219">
        <v>45090.0</v>
      </c>
      <c r="C88" s="220" t="str">
        <f t="shared" si="9"/>
        <v/>
      </c>
      <c r="D88" s="220"/>
      <c r="E88" s="220">
        <f t="shared" si="7"/>
        <v>0</v>
      </c>
      <c r="F88" s="220">
        <f t="shared" si="8"/>
        <v>-10</v>
      </c>
    </row>
    <row r="89" ht="14.25" customHeight="1">
      <c r="B89" s="219">
        <v>45091.0</v>
      </c>
      <c r="C89" s="220" t="str">
        <f t="shared" si="9"/>
        <v/>
      </c>
      <c r="D89" s="220"/>
      <c r="E89" s="220">
        <f t="shared" si="7"/>
        <v>0</v>
      </c>
      <c r="F89" s="220">
        <f t="shared" si="8"/>
        <v>-10</v>
      </c>
    </row>
    <row r="90" ht="14.25" customHeight="1">
      <c r="B90" s="219">
        <v>45092.0</v>
      </c>
      <c r="C90" s="220" t="str">
        <f t="shared" si="9"/>
        <v/>
      </c>
      <c r="D90" s="220"/>
      <c r="E90" s="220">
        <f t="shared" si="7"/>
        <v>0</v>
      </c>
      <c r="F90" s="220">
        <f t="shared" si="8"/>
        <v>-10</v>
      </c>
    </row>
    <row r="91" ht="14.25" customHeight="1">
      <c r="B91" s="219">
        <v>45093.0</v>
      </c>
      <c r="C91" s="220" t="str">
        <f t="shared" si="9"/>
        <v/>
      </c>
      <c r="D91" s="220"/>
      <c r="E91" s="220">
        <f t="shared" si="7"/>
        <v>0</v>
      </c>
      <c r="F91" s="220">
        <f t="shared" si="8"/>
        <v>-10</v>
      </c>
    </row>
    <row r="92" ht="14.25" customHeight="1">
      <c r="B92" s="254">
        <v>45094.0</v>
      </c>
      <c r="C92" s="255" t="str">
        <f t="shared" si="9"/>
        <v/>
      </c>
      <c r="D92" s="255"/>
      <c r="E92" s="255">
        <f t="shared" si="7"/>
        <v>0</v>
      </c>
      <c r="F92" s="255">
        <f t="shared" si="8"/>
        <v>-10</v>
      </c>
    </row>
    <row r="93" ht="14.25" customHeight="1">
      <c r="B93" s="254">
        <v>45095.0</v>
      </c>
      <c r="C93" s="255" t="str">
        <f t="shared" si="9"/>
        <v/>
      </c>
      <c r="D93" s="255"/>
      <c r="E93" s="255">
        <f t="shared" si="7"/>
        <v>0</v>
      </c>
      <c r="F93" s="255">
        <f t="shared" si="8"/>
        <v>-10</v>
      </c>
    </row>
    <row r="94" ht="14.25" customHeight="1">
      <c r="B94" s="219">
        <v>45096.0</v>
      </c>
      <c r="C94" s="220" t="str">
        <f t="shared" si="9"/>
        <v/>
      </c>
      <c r="D94" s="220"/>
      <c r="E94" s="220">
        <f t="shared" si="7"/>
        <v>0</v>
      </c>
      <c r="F94" s="220">
        <f t="shared" si="8"/>
        <v>-10</v>
      </c>
    </row>
    <row r="95" ht="14.25" customHeight="1">
      <c r="B95" s="219">
        <v>45097.0</v>
      </c>
      <c r="C95" s="220" t="str">
        <f t="shared" si="9"/>
        <v/>
      </c>
      <c r="D95" s="220"/>
      <c r="E95" s="220">
        <f t="shared" si="7"/>
        <v>0</v>
      </c>
      <c r="F95" s="220">
        <f t="shared" si="8"/>
        <v>-10</v>
      </c>
    </row>
    <row r="96" ht="14.25" customHeight="1">
      <c r="B96" s="219">
        <v>45098.0</v>
      </c>
      <c r="C96" s="220" t="str">
        <f t="shared" si="9"/>
        <v/>
      </c>
      <c r="D96" s="220"/>
      <c r="E96" s="220">
        <f t="shared" si="7"/>
        <v>0</v>
      </c>
      <c r="F96" s="220">
        <f t="shared" si="8"/>
        <v>-10</v>
      </c>
    </row>
    <row r="97" ht="14.25" customHeight="1">
      <c r="B97" s="219">
        <v>45099.0</v>
      </c>
      <c r="C97" s="220" t="str">
        <f t="shared" si="9"/>
        <v/>
      </c>
      <c r="D97" s="220"/>
      <c r="E97" s="220">
        <f t="shared" si="7"/>
        <v>0</v>
      </c>
      <c r="F97" s="220">
        <f t="shared" si="8"/>
        <v>-10</v>
      </c>
    </row>
    <row r="98" ht="14.25" customHeight="1">
      <c r="B98" s="219">
        <v>45100.0</v>
      </c>
      <c r="C98" s="220" t="str">
        <f t="shared" si="9"/>
        <v/>
      </c>
      <c r="D98" s="220"/>
      <c r="E98" s="220">
        <f t="shared" si="7"/>
        <v>0</v>
      </c>
      <c r="F98" s="220">
        <f t="shared" si="8"/>
        <v>-10</v>
      </c>
    </row>
    <row r="99" ht="14.25" customHeight="1">
      <c r="B99" s="254">
        <v>45101.0</v>
      </c>
      <c r="C99" s="255" t="str">
        <f t="shared" si="9"/>
        <v/>
      </c>
      <c r="D99" s="255"/>
      <c r="E99" s="255">
        <f t="shared" si="7"/>
        <v>0</v>
      </c>
      <c r="F99" s="255">
        <f t="shared" si="8"/>
        <v>-10</v>
      </c>
    </row>
    <row r="100" ht="14.25" customHeight="1">
      <c r="B100" s="254">
        <v>45102.0</v>
      </c>
      <c r="C100" s="255" t="str">
        <f t="shared" si="9"/>
        <v/>
      </c>
      <c r="D100" s="255"/>
      <c r="E100" s="255">
        <f t="shared" si="7"/>
        <v>0</v>
      </c>
      <c r="F100" s="255">
        <f t="shared" si="8"/>
        <v>-10</v>
      </c>
    </row>
    <row r="101" ht="14.25" customHeight="1">
      <c r="B101" s="219">
        <v>45103.0</v>
      </c>
      <c r="C101" s="220" t="str">
        <f t="shared" si="9"/>
        <v/>
      </c>
      <c r="D101" s="220"/>
      <c r="E101" s="220">
        <f t="shared" si="7"/>
        <v>0</v>
      </c>
      <c r="F101" s="220">
        <f t="shared" si="8"/>
        <v>-10</v>
      </c>
    </row>
    <row r="102" ht="14.25" customHeight="1">
      <c r="B102" s="219">
        <v>45104.0</v>
      </c>
      <c r="C102" s="220" t="str">
        <f t="shared" si="9"/>
        <v/>
      </c>
      <c r="D102" s="220"/>
      <c r="E102" s="220">
        <f t="shared" si="7"/>
        <v>0</v>
      </c>
      <c r="F102" s="220">
        <f t="shared" si="8"/>
        <v>-10</v>
      </c>
    </row>
    <row r="103" ht="14.25" customHeight="1">
      <c r="B103" s="219">
        <v>45105.0</v>
      </c>
      <c r="C103" s="220" t="str">
        <f t="shared" si="9"/>
        <v/>
      </c>
      <c r="D103" s="220"/>
      <c r="E103" s="220">
        <f t="shared" si="7"/>
        <v>0</v>
      </c>
      <c r="F103" s="220">
        <f t="shared" si="8"/>
        <v>-10</v>
      </c>
    </row>
    <row r="104" ht="14.25" customHeight="1">
      <c r="B104" s="219">
        <v>45106.0</v>
      </c>
      <c r="C104" s="220" t="str">
        <f t="shared" si="9"/>
        <v/>
      </c>
      <c r="D104" s="220"/>
      <c r="E104" s="220">
        <f t="shared" si="7"/>
        <v>0</v>
      </c>
      <c r="F104" s="220">
        <f t="shared" si="8"/>
        <v>-10</v>
      </c>
    </row>
    <row r="105" ht="14.25" customHeight="1">
      <c r="B105" s="219">
        <v>45107.0</v>
      </c>
      <c r="C105" s="220" t="str">
        <f t="shared" si="9"/>
        <v/>
      </c>
      <c r="D105" s="220"/>
      <c r="E105" s="220">
        <f t="shared" si="7"/>
        <v>0</v>
      </c>
      <c r="F105" s="220">
        <f t="shared" si="8"/>
        <v>-10</v>
      </c>
    </row>
    <row r="106" ht="14.25" customHeight="1">
      <c r="B106" s="229"/>
      <c r="C106" s="220" t="str">
        <f t="shared" si="9"/>
        <v/>
      </c>
      <c r="D106" s="220"/>
      <c r="E106" s="220">
        <f t="shared" si="7"/>
        <v>0</v>
      </c>
      <c r="F106" s="220">
        <f t="shared" si="8"/>
        <v>-10</v>
      </c>
    </row>
    <row r="107" ht="14.25" customHeight="1">
      <c r="B107" s="216"/>
      <c r="C107" s="223" t="s">
        <v>221</v>
      </c>
      <c r="D107" s="223"/>
      <c r="E107" s="216">
        <f>SUM(E76:E106)</f>
        <v>0</v>
      </c>
      <c r="F107" s="216">
        <f t="shared" si="8"/>
        <v>-10</v>
      </c>
    </row>
    <row r="108" ht="14.25" customHeight="1"/>
    <row r="109" ht="14.25" customHeight="1">
      <c r="A109" s="249" t="s">
        <v>276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1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/>
      <c r="K111" s="253" t="s">
        <v>236</v>
      </c>
      <c r="L111" s="231"/>
    </row>
    <row r="112" ht="14.25" customHeight="1">
      <c r="B112" s="219">
        <v>45078.0</v>
      </c>
      <c r="C112" s="220"/>
      <c r="D112" s="220"/>
      <c r="E112" s="220">
        <f t="shared" ref="E112:E142" si="10">D112-C112</f>
        <v>0</v>
      </c>
      <c r="F112" s="220">
        <f t="shared" ref="F112:F143" si="11">E112-10</f>
        <v>-10</v>
      </c>
      <c r="H112" s="216" t="s">
        <v>245</v>
      </c>
      <c r="I112" s="216"/>
      <c r="K112" s="216" t="s">
        <v>244</v>
      </c>
      <c r="L112" s="232">
        <v>2000.0</v>
      </c>
    </row>
    <row r="113" ht="14.25" customHeight="1">
      <c r="B113" s="219">
        <v>45079.0</v>
      </c>
      <c r="C113" s="220" t="str">
        <f t="shared" ref="C113:C142" si="12">D112</f>
        <v/>
      </c>
      <c r="D113" s="220"/>
      <c r="E113" s="220">
        <f t="shared" si="10"/>
        <v>0</v>
      </c>
      <c r="F113" s="220">
        <f t="shared" si="11"/>
        <v>-10</v>
      </c>
      <c r="H113" s="216" t="s">
        <v>247</v>
      </c>
      <c r="I113" s="216"/>
      <c r="K113" s="216" t="s">
        <v>266</v>
      </c>
      <c r="L113" s="232"/>
    </row>
    <row r="114" ht="14.25" customHeight="1">
      <c r="B114" s="254">
        <v>45080.0</v>
      </c>
      <c r="C114" s="255" t="str">
        <f t="shared" si="12"/>
        <v/>
      </c>
      <c r="D114" s="255"/>
      <c r="E114" s="255">
        <f t="shared" si="10"/>
        <v>0</v>
      </c>
      <c r="F114" s="255">
        <f t="shared" si="11"/>
        <v>-10</v>
      </c>
      <c r="H114" s="216" t="s">
        <v>249</v>
      </c>
      <c r="I114" s="232">
        <v>18.0</v>
      </c>
      <c r="K114" s="216" t="s">
        <v>246</v>
      </c>
      <c r="L114" s="232">
        <f>O114*O115</f>
        <v>0</v>
      </c>
    </row>
    <row r="115" ht="14.25" customHeight="1">
      <c r="B115" s="254">
        <v>45081.0</v>
      </c>
      <c r="C115" s="255" t="str">
        <f t="shared" si="12"/>
        <v/>
      </c>
      <c r="D115" s="255"/>
      <c r="E115" s="255">
        <f t="shared" si="10"/>
        <v>0</v>
      </c>
      <c r="F115" s="255">
        <f t="shared" si="11"/>
        <v>-10</v>
      </c>
      <c r="H115" s="216" t="s">
        <v>251</v>
      </c>
      <c r="I115" s="216"/>
      <c r="K115" s="216" t="s">
        <v>248</v>
      </c>
      <c r="L115" s="232">
        <f>O116*O117</f>
        <v>0</v>
      </c>
    </row>
    <row r="116" ht="14.25" customHeight="1">
      <c r="B116" s="219">
        <v>45082.0</v>
      </c>
      <c r="C116" s="220" t="str">
        <f t="shared" si="12"/>
        <v/>
      </c>
      <c r="D116" s="220"/>
      <c r="E116" s="220">
        <f t="shared" si="10"/>
        <v>0</v>
      </c>
      <c r="F116" s="220">
        <f t="shared" si="11"/>
        <v>-10</v>
      </c>
      <c r="H116" s="216" t="s">
        <v>249</v>
      </c>
      <c r="I116" s="232">
        <v>10.0</v>
      </c>
      <c r="K116" s="216" t="s">
        <v>250</v>
      </c>
      <c r="L116" s="232">
        <f>O118*100</f>
        <v>0</v>
      </c>
    </row>
    <row r="117" ht="14.25" customHeight="1">
      <c r="B117" s="219">
        <v>45083.0</v>
      </c>
      <c r="C117" s="220" t="str">
        <f t="shared" si="12"/>
        <v/>
      </c>
      <c r="D117" s="220"/>
      <c r="E117" s="220">
        <f t="shared" si="10"/>
        <v>0</v>
      </c>
      <c r="F117" s="220">
        <f t="shared" si="11"/>
        <v>-10</v>
      </c>
      <c r="H117" s="216" t="s">
        <v>250</v>
      </c>
      <c r="I117" s="216"/>
      <c r="K117" s="216" t="s">
        <v>252</v>
      </c>
      <c r="L117" s="232"/>
    </row>
    <row r="118" ht="14.25" customHeight="1">
      <c r="B118" s="219">
        <v>45084.0</v>
      </c>
      <c r="C118" s="220" t="str">
        <f t="shared" si="12"/>
        <v/>
      </c>
      <c r="D118" s="220"/>
      <c r="E118" s="220">
        <f t="shared" si="10"/>
        <v>0</v>
      </c>
      <c r="F118" s="220">
        <f t="shared" si="11"/>
        <v>-10</v>
      </c>
      <c r="K118" s="216" t="s">
        <v>268</v>
      </c>
      <c r="L118" s="232">
        <f>L112+L114+L115+L116-L113-L117</f>
        <v>2000</v>
      </c>
    </row>
    <row r="119" ht="14.25" customHeight="1">
      <c r="B119" s="219">
        <v>45085.0</v>
      </c>
      <c r="C119" s="220" t="str">
        <f t="shared" si="12"/>
        <v/>
      </c>
      <c r="D119" s="220"/>
      <c r="E119" s="220">
        <f t="shared" si="10"/>
        <v>0</v>
      </c>
      <c r="F119" s="220">
        <f t="shared" si="11"/>
        <v>-10</v>
      </c>
      <c r="K119" s="216" t="s">
        <v>269</v>
      </c>
      <c r="L119" s="229"/>
    </row>
    <row r="120" ht="14.25" customHeight="1">
      <c r="B120" s="219">
        <v>45086.0</v>
      </c>
      <c r="C120" s="220" t="str">
        <f t="shared" si="12"/>
        <v/>
      </c>
      <c r="D120" s="220"/>
      <c r="E120" s="220">
        <f t="shared" si="10"/>
        <v>0</v>
      </c>
      <c r="F120" s="220">
        <f t="shared" si="11"/>
        <v>-10</v>
      </c>
    </row>
    <row r="121" ht="14.25" customHeight="1">
      <c r="B121" s="254">
        <v>45087.0</v>
      </c>
      <c r="C121" s="255" t="str">
        <f t="shared" si="12"/>
        <v/>
      </c>
      <c r="D121" s="255"/>
      <c r="E121" s="255">
        <f t="shared" si="10"/>
        <v>0</v>
      </c>
      <c r="F121" s="255">
        <f t="shared" si="11"/>
        <v>-10</v>
      </c>
    </row>
    <row r="122" ht="14.25" customHeight="1">
      <c r="B122" s="254">
        <v>45088.0</v>
      </c>
      <c r="C122" s="255" t="str">
        <f t="shared" si="12"/>
        <v/>
      </c>
      <c r="D122" s="255"/>
      <c r="E122" s="255">
        <f t="shared" si="10"/>
        <v>0</v>
      </c>
      <c r="F122" s="255">
        <f t="shared" si="11"/>
        <v>-10</v>
      </c>
    </row>
    <row r="123" ht="14.25" customHeight="1">
      <c r="B123" s="219">
        <v>45089.0</v>
      </c>
      <c r="C123" s="220" t="str">
        <f t="shared" si="12"/>
        <v/>
      </c>
      <c r="D123" s="220"/>
      <c r="E123" s="220">
        <f t="shared" si="10"/>
        <v>0</v>
      </c>
      <c r="F123" s="220">
        <f t="shared" si="11"/>
        <v>-10</v>
      </c>
    </row>
    <row r="124" ht="14.25" customHeight="1">
      <c r="B124" s="219">
        <v>45090.0</v>
      </c>
      <c r="C124" s="220" t="str">
        <f t="shared" si="12"/>
        <v/>
      </c>
      <c r="D124" s="220"/>
      <c r="E124" s="220">
        <f t="shared" si="10"/>
        <v>0</v>
      </c>
      <c r="F124" s="220">
        <f t="shared" si="11"/>
        <v>-10</v>
      </c>
    </row>
    <row r="125" ht="14.25" customHeight="1">
      <c r="B125" s="219">
        <v>45091.0</v>
      </c>
      <c r="C125" s="220" t="str">
        <f t="shared" si="12"/>
        <v/>
      </c>
      <c r="D125" s="220"/>
      <c r="E125" s="220">
        <f t="shared" si="10"/>
        <v>0</v>
      </c>
      <c r="F125" s="220">
        <f t="shared" si="11"/>
        <v>-10</v>
      </c>
    </row>
    <row r="126" ht="14.25" customHeight="1">
      <c r="B126" s="219">
        <v>45092.0</v>
      </c>
      <c r="C126" s="220" t="str">
        <f t="shared" si="12"/>
        <v/>
      </c>
      <c r="D126" s="220"/>
      <c r="E126" s="220">
        <f t="shared" si="10"/>
        <v>0</v>
      </c>
      <c r="F126" s="220">
        <f t="shared" si="11"/>
        <v>-10</v>
      </c>
    </row>
    <row r="127" ht="14.25" customHeight="1">
      <c r="B127" s="219">
        <v>45093.0</v>
      </c>
      <c r="C127" s="220" t="str">
        <f t="shared" si="12"/>
        <v/>
      </c>
      <c r="D127" s="220"/>
      <c r="E127" s="220">
        <f t="shared" si="10"/>
        <v>0</v>
      </c>
      <c r="F127" s="220">
        <f t="shared" si="11"/>
        <v>-10</v>
      </c>
    </row>
    <row r="128" ht="14.25" customHeight="1">
      <c r="B128" s="254">
        <v>45094.0</v>
      </c>
      <c r="C128" s="255" t="str">
        <f t="shared" si="12"/>
        <v/>
      </c>
      <c r="D128" s="255"/>
      <c r="E128" s="255">
        <f t="shared" si="10"/>
        <v>0</v>
      </c>
      <c r="F128" s="255">
        <f t="shared" si="11"/>
        <v>-10</v>
      </c>
    </row>
    <row r="129" ht="14.25" customHeight="1">
      <c r="B129" s="254">
        <v>45095.0</v>
      </c>
      <c r="C129" s="255" t="str">
        <f t="shared" si="12"/>
        <v/>
      </c>
      <c r="D129" s="255"/>
      <c r="E129" s="255">
        <f t="shared" si="10"/>
        <v>0</v>
      </c>
      <c r="F129" s="255">
        <f t="shared" si="11"/>
        <v>-10</v>
      </c>
    </row>
    <row r="130" ht="14.25" customHeight="1">
      <c r="B130" s="219">
        <v>45096.0</v>
      </c>
      <c r="C130" s="220" t="str">
        <f t="shared" si="12"/>
        <v/>
      </c>
      <c r="D130" s="220"/>
      <c r="E130" s="220">
        <f t="shared" si="10"/>
        <v>0</v>
      </c>
      <c r="F130" s="220">
        <f t="shared" si="11"/>
        <v>-10</v>
      </c>
    </row>
    <row r="131" ht="14.25" customHeight="1">
      <c r="B131" s="219">
        <v>45097.0</v>
      </c>
      <c r="C131" s="220" t="str">
        <f t="shared" si="12"/>
        <v/>
      </c>
      <c r="D131" s="220"/>
      <c r="E131" s="220">
        <f t="shared" si="10"/>
        <v>0</v>
      </c>
      <c r="F131" s="220">
        <f t="shared" si="11"/>
        <v>-10</v>
      </c>
    </row>
    <row r="132" ht="14.25" customHeight="1">
      <c r="B132" s="219">
        <v>45098.0</v>
      </c>
      <c r="C132" s="220" t="str">
        <f t="shared" si="12"/>
        <v/>
      </c>
      <c r="D132" s="220"/>
      <c r="E132" s="220">
        <f t="shared" si="10"/>
        <v>0</v>
      </c>
      <c r="F132" s="220">
        <f t="shared" si="11"/>
        <v>-10</v>
      </c>
    </row>
    <row r="133" ht="14.25" customHeight="1">
      <c r="B133" s="219">
        <v>45099.0</v>
      </c>
      <c r="C133" s="220" t="str">
        <f t="shared" si="12"/>
        <v/>
      </c>
      <c r="D133" s="220"/>
      <c r="E133" s="220">
        <f t="shared" si="10"/>
        <v>0</v>
      </c>
      <c r="F133" s="220">
        <f t="shared" si="11"/>
        <v>-10</v>
      </c>
    </row>
    <row r="134" ht="14.25" customHeight="1">
      <c r="B134" s="219">
        <v>45100.0</v>
      </c>
      <c r="C134" s="220" t="str">
        <f t="shared" si="12"/>
        <v/>
      </c>
      <c r="D134" s="220"/>
      <c r="E134" s="220">
        <f t="shared" si="10"/>
        <v>0</v>
      </c>
      <c r="F134" s="220">
        <f t="shared" si="11"/>
        <v>-10</v>
      </c>
    </row>
    <row r="135" ht="14.25" customHeight="1">
      <c r="B135" s="254">
        <v>45101.0</v>
      </c>
      <c r="C135" s="255" t="str">
        <f t="shared" si="12"/>
        <v/>
      </c>
      <c r="D135" s="255"/>
      <c r="E135" s="255">
        <f t="shared" si="10"/>
        <v>0</v>
      </c>
      <c r="F135" s="255">
        <f t="shared" si="11"/>
        <v>-10</v>
      </c>
    </row>
    <row r="136" ht="14.25" customHeight="1">
      <c r="B136" s="254">
        <v>45102.0</v>
      </c>
      <c r="C136" s="255" t="str">
        <f t="shared" si="12"/>
        <v/>
      </c>
      <c r="D136" s="255"/>
      <c r="E136" s="255">
        <f t="shared" si="10"/>
        <v>0</v>
      </c>
      <c r="F136" s="255">
        <f t="shared" si="11"/>
        <v>-10</v>
      </c>
    </row>
    <row r="137" ht="14.25" customHeight="1">
      <c r="B137" s="219">
        <v>45103.0</v>
      </c>
      <c r="C137" s="220" t="str">
        <f t="shared" si="12"/>
        <v/>
      </c>
      <c r="D137" s="220"/>
      <c r="E137" s="220">
        <f t="shared" si="10"/>
        <v>0</v>
      </c>
      <c r="F137" s="220">
        <f t="shared" si="11"/>
        <v>-10</v>
      </c>
    </row>
    <row r="138" ht="14.25" customHeight="1">
      <c r="B138" s="219">
        <v>45104.0</v>
      </c>
      <c r="C138" s="220" t="str">
        <f t="shared" si="12"/>
        <v/>
      </c>
      <c r="D138" s="220"/>
      <c r="E138" s="220">
        <f t="shared" si="10"/>
        <v>0</v>
      </c>
      <c r="F138" s="220">
        <f t="shared" si="11"/>
        <v>-10</v>
      </c>
    </row>
    <row r="139" ht="14.25" customHeight="1">
      <c r="B139" s="219">
        <v>45105.0</v>
      </c>
      <c r="C139" s="220" t="str">
        <f t="shared" si="12"/>
        <v/>
      </c>
      <c r="D139" s="220"/>
      <c r="E139" s="220">
        <f t="shared" si="10"/>
        <v>0</v>
      </c>
      <c r="F139" s="220">
        <f t="shared" si="11"/>
        <v>-10</v>
      </c>
    </row>
    <row r="140" ht="14.25" customHeight="1">
      <c r="B140" s="219">
        <v>45106.0</v>
      </c>
      <c r="C140" s="220" t="str">
        <f t="shared" si="12"/>
        <v/>
      </c>
      <c r="D140" s="220"/>
      <c r="E140" s="220">
        <f t="shared" si="10"/>
        <v>0</v>
      </c>
      <c r="F140" s="220">
        <f t="shared" si="11"/>
        <v>-10</v>
      </c>
    </row>
    <row r="141" ht="14.25" customHeight="1">
      <c r="B141" s="219">
        <v>45107.0</v>
      </c>
      <c r="C141" s="220" t="str">
        <f t="shared" si="12"/>
        <v/>
      </c>
      <c r="D141" s="220"/>
      <c r="E141" s="220">
        <f t="shared" si="10"/>
        <v>0</v>
      </c>
      <c r="F141" s="220">
        <f t="shared" si="11"/>
        <v>-10</v>
      </c>
    </row>
    <row r="142" ht="14.25" customHeight="1">
      <c r="B142" s="229"/>
      <c r="C142" s="220" t="str">
        <f t="shared" si="12"/>
        <v/>
      </c>
      <c r="D142" s="220"/>
      <c r="E142" s="220">
        <f t="shared" si="10"/>
        <v>0</v>
      </c>
      <c r="F142" s="220">
        <f t="shared" si="11"/>
        <v>-10</v>
      </c>
    </row>
    <row r="143" ht="14.25" customHeight="1">
      <c r="B143" s="216"/>
      <c r="C143" s="223" t="s">
        <v>221</v>
      </c>
      <c r="D143" s="223"/>
      <c r="E143" s="216">
        <f>SUM(E112:E142)</f>
        <v>0</v>
      </c>
      <c r="F143" s="216">
        <f t="shared" si="11"/>
        <v>-10</v>
      </c>
    </row>
    <row r="144" ht="14.25" customHeight="1"/>
    <row r="145" ht="14.25" customHeight="1">
      <c r="A145" s="249" t="s">
        <v>226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1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226</v>
      </c>
      <c r="L147" s="231"/>
    </row>
    <row r="148" ht="14.25" customHeight="1">
      <c r="B148" s="219">
        <v>45078.0</v>
      </c>
      <c r="C148" s="220"/>
      <c r="D148" s="220"/>
      <c r="E148" s="220">
        <f t="shared" ref="E148:E178" si="13">D148-C148</f>
        <v>0</v>
      </c>
      <c r="F148" s="220">
        <f t="shared" ref="F148:F179" si="14">E148-10</f>
        <v>-10</v>
      </c>
      <c r="H148" s="216" t="s">
        <v>245</v>
      </c>
      <c r="I148" s="216"/>
      <c r="K148" s="216" t="s">
        <v>244</v>
      </c>
      <c r="L148" s="232">
        <v>2000.0</v>
      </c>
    </row>
    <row r="149" ht="14.25" customHeight="1">
      <c r="B149" s="219">
        <v>45079.0</v>
      </c>
      <c r="C149" s="220" t="str">
        <f t="shared" ref="C149:C178" si="15">D148</f>
        <v/>
      </c>
      <c r="D149" s="220"/>
      <c r="E149" s="220">
        <f t="shared" si="13"/>
        <v>0</v>
      </c>
      <c r="F149" s="220">
        <f t="shared" si="14"/>
        <v>-10</v>
      </c>
      <c r="H149" s="216" t="s">
        <v>247</v>
      </c>
      <c r="I149" s="216"/>
      <c r="K149" s="216" t="s">
        <v>266</v>
      </c>
      <c r="L149" s="232"/>
    </row>
    <row r="150" ht="14.25" customHeight="1">
      <c r="B150" s="254">
        <v>45080.0</v>
      </c>
      <c r="C150" s="255" t="str">
        <f t="shared" si="15"/>
        <v/>
      </c>
      <c r="D150" s="255"/>
      <c r="E150" s="255">
        <f t="shared" si="13"/>
        <v>0</v>
      </c>
      <c r="F150" s="255">
        <f t="shared" si="14"/>
        <v>-10</v>
      </c>
      <c r="H150" s="216" t="s">
        <v>249</v>
      </c>
      <c r="I150" s="232">
        <v>18.0</v>
      </c>
      <c r="K150" s="216" t="s">
        <v>246</v>
      </c>
      <c r="L150" s="232">
        <f>O150*O151</f>
        <v>0</v>
      </c>
    </row>
    <row r="151" ht="14.25" customHeight="1">
      <c r="B151" s="254">
        <v>45081.0</v>
      </c>
      <c r="C151" s="255" t="str">
        <f t="shared" si="15"/>
        <v/>
      </c>
      <c r="D151" s="255"/>
      <c r="E151" s="255">
        <f t="shared" si="13"/>
        <v>0</v>
      </c>
      <c r="F151" s="255">
        <f t="shared" si="14"/>
        <v>-10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19">
        <v>45082.0</v>
      </c>
      <c r="C152" s="220" t="str">
        <f t="shared" si="15"/>
        <v/>
      </c>
      <c r="D152" s="220"/>
      <c r="E152" s="220">
        <f t="shared" si="13"/>
        <v>0</v>
      </c>
      <c r="F152" s="220">
        <f t="shared" si="14"/>
        <v>-10</v>
      </c>
      <c r="H152" s="216" t="s">
        <v>249</v>
      </c>
      <c r="I152" s="232">
        <v>10.0</v>
      </c>
      <c r="K152" s="216" t="s">
        <v>250</v>
      </c>
      <c r="L152" s="232">
        <f>O154*100</f>
        <v>0</v>
      </c>
    </row>
    <row r="153" ht="14.25" customHeight="1">
      <c r="B153" s="219">
        <v>45083.0</v>
      </c>
      <c r="C153" s="220" t="str">
        <f t="shared" si="15"/>
        <v/>
      </c>
      <c r="D153" s="220"/>
      <c r="E153" s="220">
        <f t="shared" si="13"/>
        <v>0</v>
      </c>
      <c r="F153" s="220">
        <f t="shared" si="14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45084.0</v>
      </c>
      <c r="C154" s="220" t="str">
        <f t="shared" si="15"/>
        <v/>
      </c>
      <c r="D154" s="220"/>
      <c r="E154" s="220">
        <f t="shared" si="13"/>
        <v>0</v>
      </c>
      <c r="F154" s="220">
        <f t="shared" si="14"/>
        <v>-10</v>
      </c>
      <c r="K154" s="216" t="s">
        <v>268</v>
      </c>
      <c r="L154" s="232">
        <f>L148+L150+L151+L152-L149-L153</f>
        <v>2000</v>
      </c>
    </row>
    <row r="155" ht="14.25" customHeight="1">
      <c r="B155" s="219">
        <v>45085.0</v>
      </c>
      <c r="C155" s="220" t="str">
        <f t="shared" si="15"/>
        <v/>
      </c>
      <c r="D155" s="220"/>
      <c r="E155" s="220">
        <f t="shared" si="13"/>
        <v>0</v>
      </c>
      <c r="F155" s="220">
        <f t="shared" si="14"/>
        <v>-10</v>
      </c>
      <c r="K155" s="216" t="s">
        <v>269</v>
      </c>
      <c r="L155" s="229"/>
    </row>
    <row r="156" ht="14.25" customHeight="1">
      <c r="B156" s="219">
        <v>45086.0</v>
      </c>
      <c r="C156" s="220" t="str">
        <f t="shared" si="15"/>
        <v/>
      </c>
      <c r="D156" s="220"/>
      <c r="E156" s="220">
        <f t="shared" si="13"/>
        <v>0</v>
      </c>
      <c r="F156" s="220">
        <f t="shared" si="14"/>
        <v>-10</v>
      </c>
    </row>
    <row r="157" ht="14.25" customHeight="1">
      <c r="B157" s="254">
        <v>45087.0</v>
      </c>
      <c r="C157" s="255" t="str">
        <f t="shared" si="15"/>
        <v/>
      </c>
      <c r="D157" s="255"/>
      <c r="E157" s="255">
        <f t="shared" si="13"/>
        <v>0</v>
      </c>
      <c r="F157" s="255">
        <f t="shared" si="14"/>
        <v>-10</v>
      </c>
    </row>
    <row r="158" ht="14.25" customHeight="1">
      <c r="B158" s="254">
        <v>45088.0</v>
      </c>
      <c r="C158" s="255" t="str">
        <f t="shared" si="15"/>
        <v/>
      </c>
      <c r="D158" s="255"/>
      <c r="E158" s="255">
        <f t="shared" si="13"/>
        <v>0</v>
      </c>
      <c r="F158" s="255">
        <f t="shared" si="14"/>
        <v>-10</v>
      </c>
    </row>
    <row r="159" ht="14.25" customHeight="1">
      <c r="B159" s="219">
        <v>45089.0</v>
      </c>
      <c r="C159" s="220" t="str">
        <f t="shared" si="15"/>
        <v/>
      </c>
      <c r="D159" s="220"/>
      <c r="E159" s="220">
        <f t="shared" si="13"/>
        <v>0</v>
      </c>
      <c r="F159" s="220">
        <f t="shared" si="14"/>
        <v>-10</v>
      </c>
    </row>
    <row r="160" ht="14.25" customHeight="1">
      <c r="B160" s="219">
        <v>45090.0</v>
      </c>
      <c r="C160" s="220" t="str">
        <f t="shared" si="15"/>
        <v/>
      </c>
      <c r="D160" s="220"/>
      <c r="E160" s="220">
        <f t="shared" si="13"/>
        <v>0</v>
      </c>
      <c r="F160" s="220">
        <f t="shared" si="14"/>
        <v>-10</v>
      </c>
    </row>
    <row r="161" ht="14.25" customHeight="1">
      <c r="B161" s="219">
        <v>45091.0</v>
      </c>
      <c r="C161" s="220" t="str">
        <f t="shared" si="15"/>
        <v/>
      </c>
      <c r="D161" s="220"/>
      <c r="E161" s="220">
        <f t="shared" si="13"/>
        <v>0</v>
      </c>
      <c r="F161" s="220">
        <f t="shared" si="14"/>
        <v>-10</v>
      </c>
    </row>
    <row r="162" ht="14.25" customHeight="1">
      <c r="B162" s="219">
        <v>45092.0</v>
      </c>
      <c r="C162" s="220" t="str">
        <f t="shared" si="15"/>
        <v/>
      </c>
      <c r="D162" s="220"/>
      <c r="E162" s="220">
        <f t="shared" si="13"/>
        <v>0</v>
      </c>
      <c r="F162" s="220">
        <f t="shared" si="14"/>
        <v>-10</v>
      </c>
    </row>
    <row r="163" ht="14.25" customHeight="1">
      <c r="B163" s="219">
        <v>45093.0</v>
      </c>
      <c r="C163" s="220" t="str">
        <f t="shared" si="15"/>
        <v/>
      </c>
      <c r="D163" s="220"/>
      <c r="E163" s="220">
        <f t="shared" si="13"/>
        <v>0</v>
      </c>
      <c r="F163" s="220">
        <f t="shared" si="14"/>
        <v>-10</v>
      </c>
    </row>
    <row r="164" ht="14.25" customHeight="1">
      <c r="B164" s="254">
        <v>45094.0</v>
      </c>
      <c r="C164" s="255" t="str">
        <f t="shared" si="15"/>
        <v/>
      </c>
      <c r="D164" s="255"/>
      <c r="E164" s="255">
        <f t="shared" si="13"/>
        <v>0</v>
      </c>
      <c r="F164" s="255">
        <f t="shared" si="14"/>
        <v>-10</v>
      </c>
    </row>
    <row r="165" ht="14.25" customHeight="1">
      <c r="B165" s="254">
        <v>45095.0</v>
      </c>
      <c r="C165" s="255" t="str">
        <f t="shared" si="15"/>
        <v/>
      </c>
      <c r="D165" s="255"/>
      <c r="E165" s="255">
        <f t="shared" si="13"/>
        <v>0</v>
      </c>
      <c r="F165" s="255">
        <f t="shared" si="14"/>
        <v>-10</v>
      </c>
    </row>
    <row r="166" ht="14.25" customHeight="1">
      <c r="B166" s="219">
        <v>45096.0</v>
      </c>
      <c r="C166" s="220" t="str">
        <f t="shared" si="15"/>
        <v/>
      </c>
      <c r="D166" s="220"/>
      <c r="E166" s="220">
        <f t="shared" si="13"/>
        <v>0</v>
      </c>
      <c r="F166" s="220">
        <f t="shared" si="14"/>
        <v>-10</v>
      </c>
    </row>
    <row r="167" ht="14.25" customHeight="1">
      <c r="B167" s="219">
        <v>45097.0</v>
      </c>
      <c r="C167" s="220" t="str">
        <f t="shared" si="15"/>
        <v/>
      </c>
      <c r="D167" s="220"/>
      <c r="E167" s="220">
        <f t="shared" si="13"/>
        <v>0</v>
      </c>
      <c r="F167" s="220">
        <f t="shared" si="14"/>
        <v>-10</v>
      </c>
    </row>
    <row r="168" ht="14.25" customHeight="1">
      <c r="B168" s="219">
        <v>45098.0</v>
      </c>
      <c r="C168" s="220" t="str">
        <f t="shared" si="15"/>
        <v/>
      </c>
      <c r="D168" s="220"/>
      <c r="E168" s="220">
        <f t="shared" si="13"/>
        <v>0</v>
      </c>
      <c r="F168" s="220">
        <f t="shared" si="14"/>
        <v>-10</v>
      </c>
    </row>
    <row r="169" ht="14.25" customHeight="1">
      <c r="B169" s="219">
        <v>45099.0</v>
      </c>
      <c r="C169" s="220" t="str">
        <f t="shared" si="15"/>
        <v/>
      </c>
      <c r="D169" s="220"/>
      <c r="E169" s="220">
        <f t="shared" si="13"/>
        <v>0</v>
      </c>
      <c r="F169" s="220">
        <f t="shared" si="14"/>
        <v>-10</v>
      </c>
    </row>
    <row r="170" ht="14.25" customHeight="1">
      <c r="B170" s="219">
        <v>45100.0</v>
      </c>
      <c r="C170" s="220" t="str">
        <f t="shared" si="15"/>
        <v/>
      </c>
      <c r="D170" s="220"/>
      <c r="E170" s="220">
        <f t="shared" si="13"/>
        <v>0</v>
      </c>
      <c r="F170" s="220">
        <f t="shared" si="14"/>
        <v>-10</v>
      </c>
    </row>
    <row r="171" ht="14.25" customHeight="1">
      <c r="B171" s="254">
        <v>45101.0</v>
      </c>
      <c r="C171" s="255" t="str">
        <f t="shared" si="15"/>
        <v/>
      </c>
      <c r="D171" s="255"/>
      <c r="E171" s="255">
        <f t="shared" si="13"/>
        <v>0</v>
      </c>
      <c r="F171" s="255">
        <f t="shared" si="14"/>
        <v>-10</v>
      </c>
    </row>
    <row r="172" ht="14.25" customHeight="1">
      <c r="B172" s="254">
        <v>45102.0</v>
      </c>
      <c r="C172" s="255" t="str">
        <f t="shared" si="15"/>
        <v/>
      </c>
      <c r="D172" s="255"/>
      <c r="E172" s="255">
        <f t="shared" si="13"/>
        <v>0</v>
      </c>
      <c r="F172" s="255">
        <f t="shared" si="14"/>
        <v>-10</v>
      </c>
    </row>
    <row r="173" ht="14.25" customHeight="1">
      <c r="B173" s="219">
        <v>45103.0</v>
      </c>
      <c r="C173" s="220" t="str">
        <f t="shared" si="15"/>
        <v/>
      </c>
      <c r="D173" s="220"/>
      <c r="E173" s="220">
        <f t="shared" si="13"/>
        <v>0</v>
      </c>
      <c r="F173" s="220">
        <f t="shared" si="14"/>
        <v>-10</v>
      </c>
    </row>
    <row r="174" ht="14.25" customHeight="1">
      <c r="B174" s="219">
        <v>45104.0</v>
      </c>
      <c r="C174" s="220" t="str">
        <f t="shared" si="15"/>
        <v/>
      </c>
      <c r="D174" s="220"/>
      <c r="E174" s="220">
        <f t="shared" si="13"/>
        <v>0</v>
      </c>
      <c r="F174" s="220">
        <f t="shared" si="14"/>
        <v>-10</v>
      </c>
    </row>
    <row r="175" ht="14.25" customHeight="1">
      <c r="B175" s="219">
        <v>45105.0</v>
      </c>
      <c r="C175" s="220" t="str">
        <f t="shared" si="15"/>
        <v/>
      </c>
      <c r="D175" s="220"/>
      <c r="E175" s="220">
        <f t="shared" si="13"/>
        <v>0</v>
      </c>
      <c r="F175" s="220">
        <f t="shared" si="14"/>
        <v>-10</v>
      </c>
    </row>
    <row r="176" ht="14.25" customHeight="1">
      <c r="B176" s="219">
        <v>45106.0</v>
      </c>
      <c r="C176" s="220" t="str">
        <f t="shared" si="15"/>
        <v/>
      </c>
      <c r="D176" s="220"/>
      <c r="E176" s="220">
        <f t="shared" si="13"/>
        <v>0</v>
      </c>
      <c r="F176" s="220">
        <f t="shared" si="14"/>
        <v>-10</v>
      </c>
    </row>
    <row r="177" ht="14.25" customHeight="1">
      <c r="B177" s="219">
        <v>45107.0</v>
      </c>
      <c r="C177" s="220" t="str">
        <f t="shared" si="15"/>
        <v/>
      </c>
      <c r="D177" s="220"/>
      <c r="E177" s="220">
        <f t="shared" si="13"/>
        <v>0</v>
      </c>
      <c r="F177" s="220">
        <f t="shared" si="14"/>
        <v>-10</v>
      </c>
    </row>
    <row r="178" ht="14.25" customHeight="1">
      <c r="B178" s="229"/>
      <c r="C178" s="220" t="str">
        <f t="shared" si="15"/>
        <v/>
      </c>
      <c r="D178" s="220"/>
      <c r="E178" s="220">
        <f t="shared" si="13"/>
        <v>0</v>
      </c>
      <c r="F178" s="220">
        <f t="shared" si="14"/>
        <v>-10</v>
      </c>
    </row>
    <row r="179" ht="14.25" customHeight="1">
      <c r="B179" s="216"/>
      <c r="C179" s="223" t="s">
        <v>221</v>
      </c>
      <c r="D179" s="223"/>
      <c r="E179" s="216">
        <f>SUM(E148:E178)</f>
        <v>0</v>
      </c>
      <c r="F179" s="216">
        <f t="shared" si="14"/>
        <v>-10</v>
      </c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K111:L111"/>
    <mergeCell ref="A145:L145"/>
    <mergeCell ref="K147:L147"/>
    <mergeCell ref="A1:L1"/>
    <mergeCell ref="K3:L3"/>
    <mergeCell ref="A37:L37"/>
    <mergeCell ref="K39:L39"/>
    <mergeCell ref="A73:L73"/>
    <mergeCell ref="K75:L75"/>
    <mergeCell ref="A109:L109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7.29"/>
    <col customWidth="1" min="3" max="3" width="13.86"/>
    <col customWidth="1" min="4" max="4" width="13.71"/>
    <col customWidth="1" min="5" max="5" width="11.57"/>
    <col customWidth="1" min="6" max="7" width="8.71"/>
    <col customWidth="1" min="8" max="8" width="18.14"/>
    <col customWidth="1" min="9" max="9" width="10.43"/>
    <col customWidth="1" min="10" max="10" width="8.71"/>
    <col customWidth="1" min="11" max="11" width="19.43"/>
    <col customWidth="1" min="12" max="12" width="17.57"/>
    <col customWidth="1" min="13" max="26" width="8.71"/>
  </cols>
  <sheetData>
    <row r="1" ht="14.25" customHeight="1">
      <c r="A1" s="249" t="s">
        <v>274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1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4.25" customHeight="1"/>
    <row r="3" ht="14.25" customHeight="1">
      <c r="B3" s="216" t="s">
        <v>423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/>
      <c r="K3" s="253" t="s">
        <v>227</v>
      </c>
      <c r="L3" s="231"/>
    </row>
    <row r="4" ht="14.25" customHeight="1">
      <c r="B4" s="219">
        <v>45108.0</v>
      </c>
      <c r="C4" s="220"/>
      <c r="D4" s="220"/>
      <c r="E4" s="220">
        <f t="shared" ref="E4:E34" si="1">D4-C4</f>
        <v>0</v>
      </c>
      <c r="F4" s="220">
        <f t="shared" ref="F4:F35" si="2">E4-10</f>
        <v>-10</v>
      </c>
      <c r="H4" s="216" t="s">
        <v>245</v>
      </c>
      <c r="I4" s="216"/>
      <c r="K4" s="216" t="s">
        <v>244</v>
      </c>
      <c r="L4" s="232">
        <v>2000.0</v>
      </c>
    </row>
    <row r="5" ht="14.25" customHeight="1">
      <c r="B5" s="219">
        <v>45109.0</v>
      </c>
      <c r="C5" s="220" t="str">
        <f t="shared" ref="C5:C19" si="3">D4</f>
        <v/>
      </c>
      <c r="D5" s="220"/>
      <c r="E5" s="220">
        <f t="shared" si="1"/>
        <v>0</v>
      </c>
      <c r="F5" s="220">
        <f t="shared" si="2"/>
        <v>-10</v>
      </c>
      <c r="H5" s="216" t="s">
        <v>247</v>
      </c>
      <c r="I5" s="216">
        <v>31.0</v>
      </c>
      <c r="K5" s="216" t="s">
        <v>266</v>
      </c>
      <c r="L5" s="232"/>
    </row>
    <row r="6" ht="14.25" customHeight="1">
      <c r="B6" s="219">
        <v>45110.0</v>
      </c>
      <c r="C6" s="220" t="str">
        <f t="shared" si="3"/>
        <v/>
      </c>
      <c r="D6" s="220"/>
      <c r="E6" s="220">
        <f t="shared" si="1"/>
        <v>0</v>
      </c>
      <c r="F6" s="220">
        <f t="shared" si="2"/>
        <v>-10</v>
      </c>
      <c r="H6" s="216" t="s">
        <v>249</v>
      </c>
      <c r="I6" s="232">
        <v>18.0</v>
      </c>
      <c r="K6" s="216" t="s">
        <v>246</v>
      </c>
      <c r="L6" s="232">
        <f>O6*O7</f>
        <v>0</v>
      </c>
    </row>
    <row r="7" ht="14.25" customHeight="1">
      <c r="B7" s="219">
        <v>45111.0</v>
      </c>
      <c r="C7" s="220" t="str">
        <f t="shared" si="3"/>
        <v/>
      </c>
      <c r="D7" s="220"/>
      <c r="E7" s="220">
        <f t="shared" si="1"/>
        <v>0</v>
      </c>
      <c r="F7" s="220">
        <f t="shared" si="2"/>
        <v>-10</v>
      </c>
      <c r="H7" s="216" t="s">
        <v>251</v>
      </c>
      <c r="I7" s="216"/>
      <c r="K7" s="216" t="s">
        <v>248</v>
      </c>
      <c r="L7" s="232">
        <f>O8*O9</f>
        <v>0</v>
      </c>
    </row>
    <row r="8" ht="14.25" customHeight="1">
      <c r="B8" s="219">
        <v>45112.0</v>
      </c>
      <c r="C8" s="220" t="str">
        <f t="shared" si="3"/>
        <v/>
      </c>
      <c r="D8" s="220"/>
      <c r="E8" s="220">
        <f t="shared" si="1"/>
        <v>0</v>
      </c>
      <c r="F8" s="220">
        <f t="shared" si="2"/>
        <v>-10</v>
      </c>
      <c r="H8" s="216" t="s">
        <v>249</v>
      </c>
      <c r="I8" s="232">
        <v>10.0</v>
      </c>
      <c r="K8" s="216" t="s">
        <v>250</v>
      </c>
      <c r="L8" s="232">
        <f>O10*100</f>
        <v>0</v>
      </c>
    </row>
    <row r="9" ht="14.25" customHeight="1">
      <c r="B9" s="219">
        <v>45113.0</v>
      </c>
      <c r="C9" s="220" t="str">
        <f t="shared" si="3"/>
        <v/>
      </c>
      <c r="D9" s="220"/>
      <c r="E9" s="220">
        <f t="shared" si="1"/>
        <v>0</v>
      </c>
      <c r="F9" s="220">
        <f t="shared" si="2"/>
        <v>-10</v>
      </c>
      <c r="H9" s="216" t="s">
        <v>250</v>
      </c>
      <c r="I9" s="216"/>
      <c r="K9" s="216" t="s">
        <v>252</v>
      </c>
      <c r="L9" s="232"/>
    </row>
    <row r="10" ht="14.25" customHeight="1">
      <c r="B10" s="219">
        <v>45114.0</v>
      </c>
      <c r="C10" s="220" t="str">
        <f t="shared" si="3"/>
        <v/>
      </c>
      <c r="D10" s="220"/>
      <c r="E10" s="220">
        <f t="shared" si="1"/>
        <v>0</v>
      </c>
      <c r="F10" s="220">
        <f t="shared" si="2"/>
        <v>-10</v>
      </c>
      <c r="K10" s="216" t="s">
        <v>268</v>
      </c>
      <c r="L10" s="232">
        <f>L4+L6+L7+L8-L5-L9</f>
        <v>2000</v>
      </c>
    </row>
    <row r="11" ht="14.25" customHeight="1">
      <c r="B11" s="219">
        <v>45115.0</v>
      </c>
      <c r="C11" s="220" t="str">
        <f t="shared" si="3"/>
        <v/>
      </c>
      <c r="D11" s="220"/>
      <c r="E11" s="220">
        <f t="shared" si="1"/>
        <v>0</v>
      </c>
      <c r="F11" s="220">
        <f t="shared" si="2"/>
        <v>-10</v>
      </c>
      <c r="K11" s="216" t="s">
        <v>269</v>
      </c>
      <c r="L11" s="229"/>
    </row>
    <row r="12" ht="14.25" customHeight="1">
      <c r="B12" s="219">
        <v>45116.0</v>
      </c>
      <c r="C12" s="220" t="str">
        <f t="shared" si="3"/>
        <v/>
      </c>
      <c r="D12" s="220"/>
      <c r="E12" s="220">
        <f t="shared" si="1"/>
        <v>0</v>
      </c>
      <c r="F12" s="220">
        <f t="shared" si="2"/>
        <v>-10</v>
      </c>
    </row>
    <row r="13" ht="14.25" customHeight="1">
      <c r="B13" s="219">
        <v>45117.0</v>
      </c>
      <c r="C13" s="220" t="str">
        <f t="shared" si="3"/>
        <v/>
      </c>
      <c r="D13" s="220"/>
      <c r="E13" s="220">
        <f t="shared" si="1"/>
        <v>0</v>
      </c>
      <c r="F13" s="220">
        <f t="shared" si="2"/>
        <v>-10</v>
      </c>
    </row>
    <row r="14" ht="14.25" customHeight="1">
      <c r="B14" s="219">
        <v>45118.0</v>
      </c>
      <c r="C14" s="220" t="str">
        <f t="shared" si="3"/>
        <v/>
      </c>
      <c r="D14" s="220"/>
      <c r="E14" s="220">
        <f t="shared" si="1"/>
        <v>0</v>
      </c>
      <c r="F14" s="220">
        <f t="shared" si="2"/>
        <v>-10</v>
      </c>
    </row>
    <row r="15" ht="14.25" customHeight="1">
      <c r="B15" s="219">
        <v>45119.0</v>
      </c>
      <c r="C15" s="220" t="str">
        <f t="shared" si="3"/>
        <v/>
      </c>
      <c r="D15" s="220"/>
      <c r="E15" s="220">
        <f t="shared" si="1"/>
        <v>0</v>
      </c>
      <c r="F15" s="220">
        <f t="shared" si="2"/>
        <v>-10</v>
      </c>
    </row>
    <row r="16" ht="14.25" customHeight="1">
      <c r="B16" s="219">
        <v>45120.0</v>
      </c>
      <c r="C16" s="220" t="str">
        <f t="shared" si="3"/>
        <v/>
      </c>
      <c r="D16" s="220"/>
      <c r="E16" s="220">
        <f t="shared" si="1"/>
        <v>0</v>
      </c>
      <c r="F16" s="220">
        <f t="shared" si="2"/>
        <v>-10</v>
      </c>
    </row>
    <row r="17" ht="14.25" customHeight="1">
      <c r="B17" s="219">
        <v>45121.0</v>
      </c>
      <c r="C17" s="220" t="str">
        <f t="shared" si="3"/>
        <v/>
      </c>
      <c r="D17" s="220"/>
      <c r="E17" s="220">
        <f t="shared" si="1"/>
        <v>0</v>
      </c>
      <c r="F17" s="220">
        <f t="shared" si="2"/>
        <v>-10</v>
      </c>
    </row>
    <row r="18" ht="14.25" customHeight="1">
      <c r="B18" s="219">
        <v>45122.0</v>
      </c>
      <c r="C18" s="220" t="str">
        <f t="shared" si="3"/>
        <v/>
      </c>
      <c r="D18" s="220"/>
      <c r="E18" s="220">
        <f t="shared" si="1"/>
        <v>0</v>
      </c>
      <c r="F18" s="220">
        <f t="shared" si="2"/>
        <v>-10</v>
      </c>
    </row>
    <row r="19" ht="14.25" customHeight="1">
      <c r="B19" s="219">
        <v>45123.0</v>
      </c>
      <c r="C19" s="220" t="str">
        <f t="shared" si="3"/>
        <v/>
      </c>
      <c r="D19" s="220"/>
      <c r="E19" s="220">
        <f t="shared" si="1"/>
        <v>0</v>
      </c>
      <c r="F19" s="220">
        <f t="shared" si="2"/>
        <v>-10</v>
      </c>
    </row>
    <row r="20" ht="14.25" customHeight="1">
      <c r="B20" s="219">
        <v>45124.0</v>
      </c>
      <c r="C20" s="220">
        <v>10044.5</v>
      </c>
      <c r="D20" s="220">
        <v>10047.5</v>
      </c>
      <c r="E20" s="220">
        <f t="shared" si="1"/>
        <v>3</v>
      </c>
      <c r="F20" s="220">
        <f t="shared" si="2"/>
        <v>-7</v>
      </c>
    </row>
    <row r="21" ht="14.25" customHeight="1">
      <c r="B21" s="219">
        <v>45125.0</v>
      </c>
      <c r="C21" s="220">
        <f t="shared" ref="C21:C25" si="4">D20</f>
        <v>10047.5</v>
      </c>
      <c r="D21" s="220">
        <v>10057.6</v>
      </c>
      <c r="E21" s="220">
        <f t="shared" si="1"/>
        <v>10.1</v>
      </c>
      <c r="F21" s="220">
        <f t="shared" si="2"/>
        <v>0.1</v>
      </c>
    </row>
    <row r="22" ht="14.25" customHeight="1">
      <c r="B22" s="219">
        <v>45126.0</v>
      </c>
      <c r="C22" s="220">
        <f t="shared" si="4"/>
        <v>10057.6</v>
      </c>
      <c r="D22" s="220">
        <v>10068.0</v>
      </c>
      <c r="E22" s="220">
        <f t="shared" si="1"/>
        <v>10.4</v>
      </c>
      <c r="F22" s="220">
        <f t="shared" si="2"/>
        <v>0.4</v>
      </c>
    </row>
    <row r="23" ht="14.25" customHeight="1">
      <c r="B23" s="219">
        <v>45127.0</v>
      </c>
      <c r="C23" s="220">
        <f t="shared" si="4"/>
        <v>10068</v>
      </c>
      <c r="D23" s="220">
        <v>10078.0</v>
      </c>
      <c r="E23" s="220">
        <f t="shared" si="1"/>
        <v>10</v>
      </c>
      <c r="F23" s="220">
        <f t="shared" si="2"/>
        <v>0</v>
      </c>
    </row>
    <row r="24" ht="14.25" customHeight="1">
      <c r="B24" s="219">
        <v>45128.0</v>
      </c>
      <c r="C24" s="220">
        <f t="shared" si="4"/>
        <v>10078</v>
      </c>
      <c r="D24" s="220">
        <v>10097.0</v>
      </c>
      <c r="E24" s="220">
        <f t="shared" si="1"/>
        <v>19</v>
      </c>
      <c r="F24" s="220">
        <f t="shared" si="2"/>
        <v>9</v>
      </c>
    </row>
    <row r="25" ht="14.25" customHeight="1">
      <c r="B25" s="219">
        <v>45129.0</v>
      </c>
      <c r="C25" s="220">
        <f t="shared" si="4"/>
        <v>10097</v>
      </c>
      <c r="D25" s="220">
        <v>10096.0</v>
      </c>
      <c r="E25" s="220">
        <f t="shared" si="1"/>
        <v>-1</v>
      </c>
      <c r="F25" s="220">
        <f t="shared" si="2"/>
        <v>-11</v>
      </c>
    </row>
    <row r="26" ht="14.25" customHeight="1">
      <c r="B26" s="219">
        <v>45130.0</v>
      </c>
      <c r="C26" s="220"/>
      <c r="D26" s="220"/>
      <c r="E26" s="220">
        <f t="shared" si="1"/>
        <v>0</v>
      </c>
      <c r="F26" s="220">
        <f t="shared" si="2"/>
        <v>-10</v>
      </c>
    </row>
    <row r="27" ht="14.25" customHeight="1">
      <c r="B27" s="219">
        <v>45131.0</v>
      </c>
      <c r="C27" s="220">
        <v>10096.0</v>
      </c>
      <c r="D27" s="220">
        <v>10106.0</v>
      </c>
      <c r="E27" s="220">
        <f t="shared" si="1"/>
        <v>10</v>
      </c>
      <c r="F27" s="220">
        <f t="shared" si="2"/>
        <v>0</v>
      </c>
    </row>
    <row r="28" ht="14.25" customHeight="1">
      <c r="B28" s="219">
        <v>45132.0</v>
      </c>
      <c r="C28" s="220">
        <f t="shared" ref="C28:C32" si="5">D27</f>
        <v>10106</v>
      </c>
      <c r="D28" s="220">
        <v>10117.2</v>
      </c>
      <c r="E28" s="220">
        <f t="shared" si="1"/>
        <v>11.2</v>
      </c>
      <c r="F28" s="220">
        <f t="shared" si="2"/>
        <v>1.2</v>
      </c>
    </row>
    <row r="29" ht="14.25" customHeight="1">
      <c r="B29" s="219">
        <v>45133.0</v>
      </c>
      <c r="C29" s="220">
        <f t="shared" si="5"/>
        <v>10117.2</v>
      </c>
      <c r="D29" s="220">
        <v>10127.2</v>
      </c>
      <c r="E29" s="220">
        <f t="shared" si="1"/>
        <v>10</v>
      </c>
      <c r="F29" s="220">
        <f t="shared" si="2"/>
        <v>0</v>
      </c>
    </row>
    <row r="30" ht="14.25" customHeight="1">
      <c r="B30" s="219">
        <v>45134.0</v>
      </c>
      <c r="C30" s="220">
        <f t="shared" si="5"/>
        <v>10127.2</v>
      </c>
      <c r="D30" s="220">
        <v>101367.0</v>
      </c>
      <c r="E30" s="220">
        <f t="shared" si="1"/>
        <v>91239.8</v>
      </c>
      <c r="F30" s="220">
        <f t="shared" si="2"/>
        <v>91229.8</v>
      </c>
    </row>
    <row r="31" ht="14.25" customHeight="1">
      <c r="B31" s="219">
        <v>45135.0</v>
      </c>
      <c r="C31" s="220">
        <f t="shared" si="5"/>
        <v>101367</v>
      </c>
      <c r="D31" s="220">
        <v>10147.2</v>
      </c>
      <c r="E31" s="220">
        <f t="shared" si="1"/>
        <v>-91219.8</v>
      </c>
      <c r="F31" s="220">
        <f t="shared" si="2"/>
        <v>-91229.8</v>
      </c>
    </row>
    <row r="32" ht="14.25" customHeight="1">
      <c r="B32" s="219">
        <v>45136.0</v>
      </c>
      <c r="C32" s="220">
        <f t="shared" si="5"/>
        <v>10147.2</v>
      </c>
      <c r="D32" s="220">
        <v>10152.2</v>
      </c>
      <c r="E32" s="220">
        <f t="shared" si="1"/>
        <v>5</v>
      </c>
      <c r="F32" s="220">
        <f t="shared" si="2"/>
        <v>-5</v>
      </c>
    </row>
    <row r="33" ht="14.25" customHeight="1">
      <c r="B33" s="219">
        <v>45137.0</v>
      </c>
      <c r="C33" s="220"/>
      <c r="D33" s="220"/>
      <c r="E33" s="220">
        <f t="shared" si="1"/>
        <v>0</v>
      </c>
      <c r="F33" s="220">
        <f t="shared" si="2"/>
        <v>-10</v>
      </c>
    </row>
    <row r="34" ht="14.25" customHeight="1">
      <c r="B34" s="219">
        <v>45138.0</v>
      </c>
      <c r="C34" s="220">
        <v>10152.2</v>
      </c>
      <c r="D34" s="220">
        <v>10156.0</v>
      </c>
      <c r="E34" s="220">
        <f t="shared" si="1"/>
        <v>3.8</v>
      </c>
      <c r="F34" s="220">
        <f t="shared" si="2"/>
        <v>-6.2</v>
      </c>
    </row>
    <row r="35" ht="14.25" customHeight="1">
      <c r="B35" s="216"/>
      <c r="C35" s="223" t="s">
        <v>221</v>
      </c>
      <c r="D35" s="223"/>
      <c r="E35" s="216">
        <f>SUM(E4:E34)</f>
        <v>111.5</v>
      </c>
      <c r="F35" s="216">
        <f t="shared" si="2"/>
        <v>101.5</v>
      </c>
    </row>
    <row r="36" ht="14.25" customHeight="1"/>
    <row r="37" ht="14.25" customHeight="1">
      <c r="A37" s="249" t="s">
        <v>234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4.25" customHeight="1"/>
    <row r="39" ht="14.25" customHeight="1">
      <c r="B39" s="216" t="s">
        <v>214</v>
      </c>
      <c r="C39" s="216" t="s">
        <v>215</v>
      </c>
      <c r="D39" s="216" t="s">
        <v>216</v>
      </c>
      <c r="E39" s="216" t="s">
        <v>217</v>
      </c>
      <c r="F39" s="216" t="s">
        <v>218</v>
      </c>
      <c r="H39" s="216" t="s">
        <v>238</v>
      </c>
      <c r="I39" s="216"/>
      <c r="K39" s="253" t="s">
        <v>228</v>
      </c>
      <c r="L39" s="231"/>
    </row>
    <row r="40" ht="14.25" customHeight="1">
      <c r="B40" s="219">
        <v>45139.0</v>
      </c>
      <c r="C40" s="220"/>
      <c r="D40" s="220"/>
      <c r="E40" s="220">
        <f t="shared" ref="E40:E70" si="6">D40-C40</f>
        <v>0</v>
      </c>
      <c r="F40" s="220">
        <f t="shared" ref="F40:F71" si="7">E40-10</f>
        <v>-10</v>
      </c>
      <c r="H40" s="216" t="s">
        <v>245</v>
      </c>
      <c r="I40" s="216"/>
      <c r="K40" s="216" t="s">
        <v>244</v>
      </c>
      <c r="L40" s="232">
        <v>2000.0</v>
      </c>
    </row>
    <row r="41" ht="14.25" customHeight="1">
      <c r="B41" s="219">
        <v>45140.0</v>
      </c>
      <c r="C41" s="220" t="str">
        <f t="shared" ref="C41:C70" si="8">D40</f>
        <v/>
      </c>
      <c r="D41" s="220"/>
      <c r="E41" s="220">
        <f t="shared" si="6"/>
        <v>0</v>
      </c>
      <c r="F41" s="220">
        <f t="shared" si="7"/>
        <v>-10</v>
      </c>
      <c r="H41" s="216" t="s">
        <v>247</v>
      </c>
      <c r="I41" s="216"/>
      <c r="K41" s="216" t="s">
        <v>266</v>
      </c>
      <c r="L41" s="232"/>
    </row>
    <row r="42" ht="14.25" customHeight="1">
      <c r="B42" s="219">
        <v>45141.0</v>
      </c>
      <c r="C42" s="255" t="str">
        <f t="shared" si="8"/>
        <v/>
      </c>
      <c r="D42" s="255"/>
      <c r="E42" s="255">
        <f t="shared" si="6"/>
        <v>0</v>
      </c>
      <c r="F42" s="255">
        <f t="shared" si="7"/>
        <v>-10</v>
      </c>
      <c r="H42" s="216" t="s">
        <v>249</v>
      </c>
      <c r="I42" s="232">
        <v>18.0</v>
      </c>
      <c r="K42" s="216" t="s">
        <v>246</v>
      </c>
      <c r="L42" s="232">
        <f>O42*O43</f>
        <v>0</v>
      </c>
    </row>
    <row r="43" ht="14.25" customHeight="1">
      <c r="B43" s="219">
        <v>45142.0</v>
      </c>
      <c r="C43" s="255" t="str">
        <f t="shared" si="8"/>
        <v/>
      </c>
      <c r="D43" s="255"/>
      <c r="E43" s="255">
        <f t="shared" si="6"/>
        <v>0</v>
      </c>
      <c r="F43" s="255">
        <f t="shared" si="7"/>
        <v>-10</v>
      </c>
      <c r="H43" s="216" t="s">
        <v>251</v>
      </c>
      <c r="I43" s="216"/>
      <c r="K43" s="216" t="s">
        <v>248</v>
      </c>
      <c r="L43" s="232">
        <f>O44*O45</f>
        <v>0</v>
      </c>
    </row>
    <row r="44" ht="14.25" customHeight="1">
      <c r="B44" s="259">
        <v>45143.0</v>
      </c>
      <c r="C44" s="220" t="str">
        <f t="shared" si="8"/>
        <v/>
      </c>
      <c r="D44" s="220"/>
      <c r="E44" s="220">
        <f t="shared" si="6"/>
        <v>0</v>
      </c>
      <c r="F44" s="220">
        <f t="shared" si="7"/>
        <v>-10</v>
      </c>
      <c r="H44" s="216" t="s">
        <v>249</v>
      </c>
      <c r="I44" s="232">
        <v>10.0</v>
      </c>
      <c r="K44" s="216" t="s">
        <v>250</v>
      </c>
      <c r="L44" s="232">
        <f>O46*100</f>
        <v>0</v>
      </c>
    </row>
    <row r="45" ht="14.25" customHeight="1">
      <c r="B45" s="259">
        <v>45144.0</v>
      </c>
      <c r="C45" s="220" t="str">
        <f t="shared" si="8"/>
        <v/>
      </c>
      <c r="D45" s="220"/>
      <c r="E45" s="220">
        <f t="shared" si="6"/>
        <v>0</v>
      </c>
      <c r="F45" s="220">
        <f t="shared" si="7"/>
        <v>-10</v>
      </c>
      <c r="H45" s="216" t="s">
        <v>250</v>
      </c>
      <c r="I45" s="216"/>
      <c r="K45" s="216" t="s">
        <v>252</v>
      </c>
      <c r="L45" s="232"/>
    </row>
    <row r="46" ht="14.25" customHeight="1">
      <c r="B46" s="219">
        <v>45145.0</v>
      </c>
      <c r="C46" s="220" t="str">
        <f t="shared" si="8"/>
        <v/>
      </c>
      <c r="D46" s="220"/>
      <c r="E46" s="220">
        <f t="shared" si="6"/>
        <v>0</v>
      </c>
      <c r="F46" s="220">
        <f t="shared" si="7"/>
        <v>-10</v>
      </c>
      <c r="K46" s="216" t="s">
        <v>268</v>
      </c>
      <c r="L46" s="232">
        <f>L40+L42+L43+L44-L41-L45</f>
        <v>2000</v>
      </c>
    </row>
    <row r="47" ht="14.25" customHeight="1">
      <c r="B47" s="219">
        <v>45146.0</v>
      </c>
      <c r="C47" s="220" t="str">
        <f t="shared" si="8"/>
        <v/>
      </c>
      <c r="D47" s="220"/>
      <c r="E47" s="220">
        <f t="shared" si="6"/>
        <v>0</v>
      </c>
      <c r="F47" s="220">
        <f t="shared" si="7"/>
        <v>-10</v>
      </c>
      <c r="K47" s="216" t="s">
        <v>269</v>
      </c>
      <c r="L47" s="229"/>
    </row>
    <row r="48" ht="14.25" customHeight="1">
      <c r="B48" s="219">
        <v>45147.0</v>
      </c>
      <c r="C48" s="220" t="str">
        <f t="shared" si="8"/>
        <v/>
      </c>
      <c r="D48" s="220"/>
      <c r="E48" s="220">
        <f t="shared" si="6"/>
        <v>0</v>
      </c>
      <c r="F48" s="220">
        <f t="shared" si="7"/>
        <v>-10</v>
      </c>
    </row>
    <row r="49" ht="14.25" customHeight="1">
      <c r="B49" s="219">
        <v>45148.0</v>
      </c>
      <c r="C49" s="255" t="str">
        <f t="shared" si="8"/>
        <v/>
      </c>
      <c r="D49" s="255"/>
      <c r="E49" s="255">
        <f t="shared" si="6"/>
        <v>0</v>
      </c>
      <c r="F49" s="255">
        <f t="shared" si="7"/>
        <v>-10</v>
      </c>
    </row>
    <row r="50" ht="14.25" customHeight="1">
      <c r="B50" s="219">
        <v>45149.0</v>
      </c>
      <c r="C50" s="255" t="str">
        <f t="shared" si="8"/>
        <v/>
      </c>
      <c r="D50" s="255"/>
      <c r="E50" s="255">
        <f t="shared" si="6"/>
        <v>0</v>
      </c>
      <c r="F50" s="255">
        <f t="shared" si="7"/>
        <v>-10</v>
      </c>
    </row>
    <row r="51" ht="14.25" customHeight="1">
      <c r="B51" s="259">
        <v>45150.0</v>
      </c>
      <c r="C51" s="220" t="str">
        <f t="shared" si="8"/>
        <v/>
      </c>
      <c r="D51" s="220"/>
      <c r="E51" s="220">
        <f t="shared" si="6"/>
        <v>0</v>
      </c>
      <c r="F51" s="220">
        <f t="shared" si="7"/>
        <v>-10</v>
      </c>
    </row>
    <row r="52" ht="14.25" customHeight="1">
      <c r="B52" s="259">
        <v>45151.0</v>
      </c>
      <c r="C52" s="220" t="str">
        <f t="shared" si="8"/>
        <v/>
      </c>
      <c r="D52" s="220"/>
      <c r="E52" s="220">
        <f t="shared" si="6"/>
        <v>0</v>
      </c>
      <c r="F52" s="220">
        <f t="shared" si="7"/>
        <v>-10</v>
      </c>
    </row>
    <row r="53" ht="14.25" customHeight="1">
      <c r="B53" s="219">
        <v>45152.0</v>
      </c>
      <c r="C53" s="220" t="str">
        <f t="shared" si="8"/>
        <v/>
      </c>
      <c r="D53" s="220"/>
      <c r="E53" s="220">
        <f t="shared" si="6"/>
        <v>0</v>
      </c>
      <c r="F53" s="220">
        <f t="shared" si="7"/>
        <v>-10</v>
      </c>
    </row>
    <row r="54" ht="14.25" customHeight="1">
      <c r="B54" s="219">
        <v>45153.0</v>
      </c>
      <c r="C54" s="220" t="str">
        <f t="shared" si="8"/>
        <v/>
      </c>
      <c r="D54" s="220"/>
      <c r="E54" s="220">
        <f t="shared" si="6"/>
        <v>0</v>
      </c>
      <c r="F54" s="220">
        <f t="shared" si="7"/>
        <v>-10</v>
      </c>
    </row>
    <row r="55" ht="14.25" customHeight="1">
      <c r="B55" s="219">
        <v>45154.0</v>
      </c>
      <c r="C55" s="220" t="str">
        <f t="shared" si="8"/>
        <v/>
      </c>
      <c r="D55" s="220"/>
      <c r="E55" s="220">
        <f t="shared" si="6"/>
        <v>0</v>
      </c>
      <c r="F55" s="220">
        <f t="shared" si="7"/>
        <v>-10</v>
      </c>
    </row>
    <row r="56" ht="14.25" customHeight="1">
      <c r="B56" s="219">
        <v>45155.0</v>
      </c>
      <c r="C56" s="255" t="str">
        <f t="shared" si="8"/>
        <v/>
      </c>
      <c r="D56" s="255"/>
      <c r="E56" s="255">
        <f t="shared" si="6"/>
        <v>0</v>
      </c>
      <c r="F56" s="255">
        <f t="shared" si="7"/>
        <v>-10</v>
      </c>
    </row>
    <row r="57" ht="14.25" customHeight="1">
      <c r="B57" s="219">
        <v>45156.0</v>
      </c>
      <c r="C57" s="255" t="str">
        <f t="shared" si="8"/>
        <v/>
      </c>
      <c r="D57" s="255"/>
      <c r="E57" s="255">
        <f t="shared" si="6"/>
        <v>0</v>
      </c>
      <c r="F57" s="255">
        <f t="shared" si="7"/>
        <v>-10</v>
      </c>
    </row>
    <row r="58" ht="14.25" customHeight="1">
      <c r="B58" s="259">
        <v>45157.0</v>
      </c>
      <c r="C58" s="220" t="str">
        <f t="shared" si="8"/>
        <v/>
      </c>
      <c r="D58" s="220"/>
      <c r="E58" s="220">
        <f t="shared" si="6"/>
        <v>0</v>
      </c>
      <c r="F58" s="220">
        <f t="shared" si="7"/>
        <v>-10</v>
      </c>
    </row>
    <row r="59" ht="14.25" customHeight="1">
      <c r="B59" s="259">
        <v>45158.0</v>
      </c>
      <c r="C59" s="220" t="str">
        <f t="shared" si="8"/>
        <v/>
      </c>
      <c r="D59" s="220"/>
      <c r="E59" s="220">
        <f t="shared" si="6"/>
        <v>0</v>
      </c>
      <c r="F59" s="220">
        <f t="shared" si="7"/>
        <v>-10</v>
      </c>
    </row>
    <row r="60" ht="14.25" customHeight="1">
      <c r="B60" s="219">
        <v>45159.0</v>
      </c>
      <c r="C60" s="220" t="str">
        <f t="shared" si="8"/>
        <v/>
      </c>
      <c r="D60" s="220"/>
      <c r="E60" s="220">
        <f t="shared" si="6"/>
        <v>0</v>
      </c>
      <c r="F60" s="220">
        <f t="shared" si="7"/>
        <v>-10</v>
      </c>
    </row>
    <row r="61" ht="14.25" customHeight="1">
      <c r="B61" s="219">
        <v>45160.0</v>
      </c>
      <c r="C61" s="220" t="str">
        <f t="shared" si="8"/>
        <v/>
      </c>
      <c r="D61" s="220"/>
      <c r="E61" s="220">
        <f t="shared" si="6"/>
        <v>0</v>
      </c>
      <c r="F61" s="220">
        <f t="shared" si="7"/>
        <v>-10</v>
      </c>
    </row>
    <row r="62" ht="14.25" customHeight="1">
      <c r="B62" s="219">
        <v>45161.0</v>
      </c>
      <c r="C62" s="220" t="str">
        <f t="shared" si="8"/>
        <v/>
      </c>
      <c r="D62" s="220"/>
      <c r="E62" s="220">
        <f t="shared" si="6"/>
        <v>0</v>
      </c>
      <c r="F62" s="220">
        <f t="shared" si="7"/>
        <v>-10</v>
      </c>
    </row>
    <row r="63" ht="14.25" customHeight="1">
      <c r="B63" s="219">
        <v>45162.0</v>
      </c>
      <c r="C63" s="255" t="str">
        <f t="shared" si="8"/>
        <v/>
      </c>
      <c r="D63" s="255"/>
      <c r="E63" s="255">
        <f t="shared" si="6"/>
        <v>0</v>
      </c>
      <c r="F63" s="255">
        <f t="shared" si="7"/>
        <v>-10</v>
      </c>
    </row>
    <row r="64" ht="14.25" customHeight="1">
      <c r="B64" s="219">
        <v>45163.0</v>
      </c>
      <c r="C64" s="255" t="str">
        <f t="shared" si="8"/>
        <v/>
      </c>
      <c r="D64" s="255"/>
      <c r="E64" s="255">
        <f t="shared" si="6"/>
        <v>0</v>
      </c>
      <c r="F64" s="255">
        <f t="shared" si="7"/>
        <v>-10</v>
      </c>
    </row>
    <row r="65" ht="14.25" customHeight="1">
      <c r="B65" s="259">
        <v>45164.0</v>
      </c>
      <c r="C65" s="220" t="str">
        <f t="shared" si="8"/>
        <v/>
      </c>
      <c r="D65" s="220"/>
      <c r="E65" s="220">
        <f t="shared" si="6"/>
        <v>0</v>
      </c>
      <c r="F65" s="220">
        <f t="shared" si="7"/>
        <v>-10</v>
      </c>
    </row>
    <row r="66" ht="14.25" customHeight="1">
      <c r="B66" s="259">
        <v>45165.0</v>
      </c>
      <c r="C66" s="220" t="str">
        <f t="shared" si="8"/>
        <v/>
      </c>
      <c r="D66" s="220"/>
      <c r="E66" s="220">
        <f t="shared" si="6"/>
        <v>0</v>
      </c>
      <c r="F66" s="220">
        <f t="shared" si="7"/>
        <v>-10</v>
      </c>
    </row>
    <row r="67" ht="14.25" customHeight="1">
      <c r="B67" s="219">
        <v>45166.0</v>
      </c>
      <c r="C67" s="220" t="str">
        <f t="shared" si="8"/>
        <v/>
      </c>
      <c r="D67" s="220"/>
      <c r="E67" s="220">
        <f t="shared" si="6"/>
        <v>0</v>
      </c>
      <c r="F67" s="220">
        <f t="shared" si="7"/>
        <v>-10</v>
      </c>
    </row>
    <row r="68" ht="14.25" customHeight="1">
      <c r="B68" s="219">
        <v>45167.0</v>
      </c>
      <c r="C68" s="220" t="str">
        <f t="shared" si="8"/>
        <v/>
      </c>
      <c r="D68" s="220"/>
      <c r="E68" s="220">
        <f t="shared" si="6"/>
        <v>0</v>
      </c>
      <c r="F68" s="220">
        <f t="shared" si="7"/>
        <v>-10</v>
      </c>
    </row>
    <row r="69" ht="14.25" customHeight="1">
      <c r="B69" s="219">
        <v>45168.0</v>
      </c>
      <c r="C69" s="220" t="str">
        <f t="shared" si="8"/>
        <v/>
      </c>
      <c r="D69" s="220"/>
      <c r="E69" s="220">
        <f t="shared" si="6"/>
        <v>0</v>
      </c>
      <c r="F69" s="220">
        <f t="shared" si="7"/>
        <v>-10</v>
      </c>
    </row>
    <row r="70" ht="14.25" customHeight="1">
      <c r="B70" s="219">
        <v>45169.0</v>
      </c>
      <c r="C70" s="220" t="str">
        <f t="shared" si="8"/>
        <v/>
      </c>
      <c r="D70" s="220"/>
      <c r="E70" s="220">
        <f t="shared" si="6"/>
        <v>0</v>
      </c>
      <c r="F70" s="220">
        <f t="shared" si="7"/>
        <v>-10</v>
      </c>
    </row>
    <row r="71" ht="14.25" customHeight="1">
      <c r="B71" s="216"/>
      <c r="C71" s="223" t="s">
        <v>221</v>
      </c>
      <c r="D71" s="223"/>
      <c r="E71" s="216">
        <f>SUM(E40:E70)</f>
        <v>0</v>
      </c>
      <c r="F71" s="216">
        <f t="shared" si="7"/>
        <v>-10</v>
      </c>
    </row>
    <row r="72" ht="14.25" customHeight="1"/>
    <row r="73" ht="14.25" customHeight="1">
      <c r="A73" s="249" t="s">
        <v>229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1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229</v>
      </c>
      <c r="L75" s="231"/>
    </row>
    <row r="76" ht="14.25" customHeight="1">
      <c r="B76" s="219">
        <v>45078.0</v>
      </c>
      <c r="C76" s="220"/>
      <c r="D76" s="220"/>
      <c r="E76" s="220">
        <f t="shared" ref="E76:E106" si="9">D76-C76</f>
        <v>0</v>
      </c>
      <c r="F76" s="220">
        <f t="shared" ref="F76:F107" si="10">E76-10</f>
        <v>-10</v>
      </c>
      <c r="H76" s="216" t="s">
        <v>245</v>
      </c>
      <c r="I76" s="216"/>
      <c r="K76" s="216" t="s">
        <v>244</v>
      </c>
      <c r="L76" s="232">
        <v>2000.0</v>
      </c>
    </row>
    <row r="77" ht="14.25" customHeight="1">
      <c r="B77" s="219">
        <v>45079.0</v>
      </c>
      <c r="C77" s="220" t="str">
        <f t="shared" ref="C77:C106" si="11">D76</f>
        <v/>
      </c>
      <c r="D77" s="220"/>
      <c r="E77" s="220">
        <f t="shared" si="9"/>
        <v>0</v>
      </c>
      <c r="F77" s="220">
        <f t="shared" si="10"/>
        <v>-10</v>
      </c>
      <c r="H77" s="216" t="s">
        <v>247</v>
      </c>
      <c r="I77" s="216"/>
      <c r="K77" s="216" t="s">
        <v>266</v>
      </c>
      <c r="L77" s="232"/>
    </row>
    <row r="78" ht="14.25" customHeight="1">
      <c r="B78" s="254">
        <v>45080.0</v>
      </c>
      <c r="C78" s="255" t="str">
        <f t="shared" si="11"/>
        <v/>
      </c>
      <c r="D78" s="255"/>
      <c r="E78" s="255">
        <f t="shared" si="9"/>
        <v>0</v>
      </c>
      <c r="F78" s="255">
        <f t="shared" si="10"/>
        <v>-10</v>
      </c>
      <c r="H78" s="216" t="s">
        <v>249</v>
      </c>
      <c r="I78" s="232">
        <v>18.0</v>
      </c>
      <c r="K78" s="216" t="s">
        <v>246</v>
      </c>
      <c r="L78" s="232">
        <f>O78*O79</f>
        <v>0</v>
      </c>
    </row>
    <row r="79" ht="14.25" customHeight="1">
      <c r="B79" s="254">
        <v>45081.0</v>
      </c>
      <c r="C79" s="255" t="str">
        <f t="shared" si="11"/>
        <v/>
      </c>
      <c r="D79" s="255"/>
      <c r="E79" s="255">
        <f t="shared" si="9"/>
        <v>0</v>
      </c>
      <c r="F79" s="255">
        <f t="shared" si="10"/>
        <v>-10</v>
      </c>
      <c r="H79" s="216" t="s">
        <v>251</v>
      </c>
      <c r="I79" s="216"/>
      <c r="K79" s="216" t="s">
        <v>248</v>
      </c>
      <c r="L79" s="232">
        <f>O80*O81</f>
        <v>0</v>
      </c>
    </row>
    <row r="80" ht="14.25" customHeight="1">
      <c r="B80" s="219">
        <v>45082.0</v>
      </c>
      <c r="C80" s="220" t="str">
        <f t="shared" si="11"/>
        <v/>
      </c>
      <c r="D80" s="220"/>
      <c r="E80" s="220">
        <f t="shared" si="9"/>
        <v>0</v>
      </c>
      <c r="F80" s="220">
        <f t="shared" si="10"/>
        <v>-10</v>
      </c>
      <c r="H80" s="216" t="s">
        <v>249</v>
      </c>
      <c r="I80" s="232">
        <v>10.0</v>
      </c>
      <c r="K80" s="216" t="s">
        <v>250</v>
      </c>
      <c r="L80" s="232">
        <f>O82*100</f>
        <v>0</v>
      </c>
    </row>
    <row r="81" ht="14.25" customHeight="1">
      <c r="B81" s="219">
        <v>45083.0</v>
      </c>
      <c r="C81" s="220" t="str">
        <f t="shared" si="11"/>
        <v/>
      </c>
      <c r="D81" s="220"/>
      <c r="E81" s="220">
        <f t="shared" si="9"/>
        <v>0</v>
      </c>
      <c r="F81" s="220">
        <f t="shared" si="10"/>
        <v>-10</v>
      </c>
      <c r="H81" s="216" t="s">
        <v>250</v>
      </c>
      <c r="I81" s="216"/>
      <c r="K81" s="216" t="s">
        <v>252</v>
      </c>
      <c r="L81" s="232"/>
    </row>
    <row r="82" ht="14.25" customHeight="1">
      <c r="B82" s="219">
        <v>45084.0</v>
      </c>
      <c r="C82" s="220" t="str">
        <f t="shared" si="11"/>
        <v/>
      </c>
      <c r="D82" s="220"/>
      <c r="E82" s="220">
        <f t="shared" si="9"/>
        <v>0</v>
      </c>
      <c r="F82" s="220">
        <f t="shared" si="10"/>
        <v>-10</v>
      </c>
      <c r="K82" s="216" t="s">
        <v>268</v>
      </c>
      <c r="L82" s="232">
        <f>L76+L78+L79+L80-L77-L81</f>
        <v>2000</v>
      </c>
    </row>
    <row r="83" ht="14.25" customHeight="1">
      <c r="B83" s="219">
        <v>45085.0</v>
      </c>
      <c r="C83" s="220" t="str">
        <f t="shared" si="11"/>
        <v/>
      </c>
      <c r="D83" s="220"/>
      <c r="E83" s="220">
        <f t="shared" si="9"/>
        <v>0</v>
      </c>
      <c r="F83" s="220">
        <f t="shared" si="10"/>
        <v>-10</v>
      </c>
      <c r="K83" s="216" t="s">
        <v>269</v>
      </c>
      <c r="L83" s="229"/>
    </row>
    <row r="84" ht="14.25" customHeight="1">
      <c r="B84" s="219">
        <v>45086.0</v>
      </c>
      <c r="C84" s="220" t="str">
        <f t="shared" si="11"/>
        <v/>
      </c>
      <c r="D84" s="220"/>
      <c r="E84" s="220">
        <f t="shared" si="9"/>
        <v>0</v>
      </c>
      <c r="F84" s="220">
        <f t="shared" si="10"/>
        <v>-10</v>
      </c>
    </row>
    <row r="85" ht="14.25" customHeight="1">
      <c r="B85" s="254">
        <v>45087.0</v>
      </c>
      <c r="C85" s="255" t="str">
        <f t="shared" si="11"/>
        <v/>
      </c>
      <c r="D85" s="255"/>
      <c r="E85" s="255">
        <f t="shared" si="9"/>
        <v>0</v>
      </c>
      <c r="F85" s="255">
        <f t="shared" si="10"/>
        <v>-10</v>
      </c>
    </row>
    <row r="86" ht="14.25" customHeight="1">
      <c r="B86" s="254">
        <v>45088.0</v>
      </c>
      <c r="C86" s="255" t="str">
        <f t="shared" si="11"/>
        <v/>
      </c>
      <c r="D86" s="255"/>
      <c r="E86" s="255">
        <f t="shared" si="9"/>
        <v>0</v>
      </c>
      <c r="F86" s="255">
        <f t="shared" si="10"/>
        <v>-10</v>
      </c>
    </row>
    <row r="87" ht="14.25" customHeight="1">
      <c r="B87" s="219">
        <v>45089.0</v>
      </c>
      <c r="C87" s="220" t="str">
        <f t="shared" si="11"/>
        <v/>
      </c>
      <c r="D87" s="220"/>
      <c r="E87" s="220">
        <f t="shared" si="9"/>
        <v>0</v>
      </c>
      <c r="F87" s="220">
        <f t="shared" si="10"/>
        <v>-10</v>
      </c>
    </row>
    <row r="88" ht="14.25" customHeight="1">
      <c r="B88" s="219">
        <v>45090.0</v>
      </c>
      <c r="C88" s="220" t="str">
        <f t="shared" si="11"/>
        <v/>
      </c>
      <c r="D88" s="220"/>
      <c r="E88" s="220">
        <f t="shared" si="9"/>
        <v>0</v>
      </c>
      <c r="F88" s="220">
        <f t="shared" si="10"/>
        <v>-10</v>
      </c>
    </row>
    <row r="89" ht="14.25" customHeight="1">
      <c r="B89" s="219">
        <v>45091.0</v>
      </c>
      <c r="C89" s="220" t="str">
        <f t="shared" si="11"/>
        <v/>
      </c>
      <c r="D89" s="220"/>
      <c r="E89" s="220">
        <f t="shared" si="9"/>
        <v>0</v>
      </c>
      <c r="F89" s="220">
        <f t="shared" si="10"/>
        <v>-10</v>
      </c>
    </row>
    <row r="90" ht="14.25" customHeight="1">
      <c r="B90" s="219">
        <v>45092.0</v>
      </c>
      <c r="C90" s="220" t="str">
        <f t="shared" si="11"/>
        <v/>
      </c>
      <c r="D90" s="220"/>
      <c r="E90" s="220">
        <f t="shared" si="9"/>
        <v>0</v>
      </c>
      <c r="F90" s="220">
        <f t="shared" si="10"/>
        <v>-10</v>
      </c>
    </row>
    <row r="91" ht="14.25" customHeight="1">
      <c r="B91" s="219">
        <v>45093.0</v>
      </c>
      <c r="C91" s="220" t="str">
        <f t="shared" si="11"/>
        <v/>
      </c>
      <c r="D91" s="220"/>
      <c r="E91" s="220">
        <f t="shared" si="9"/>
        <v>0</v>
      </c>
      <c r="F91" s="220">
        <f t="shared" si="10"/>
        <v>-10</v>
      </c>
    </row>
    <row r="92" ht="14.25" customHeight="1">
      <c r="B92" s="254">
        <v>45094.0</v>
      </c>
      <c r="C92" s="255" t="str">
        <f t="shared" si="11"/>
        <v/>
      </c>
      <c r="D92" s="255"/>
      <c r="E92" s="255">
        <f t="shared" si="9"/>
        <v>0</v>
      </c>
      <c r="F92" s="255">
        <f t="shared" si="10"/>
        <v>-10</v>
      </c>
    </row>
    <row r="93" ht="14.25" customHeight="1">
      <c r="B93" s="254">
        <v>45095.0</v>
      </c>
      <c r="C93" s="255" t="str">
        <f t="shared" si="11"/>
        <v/>
      </c>
      <c r="D93" s="255"/>
      <c r="E93" s="255">
        <f t="shared" si="9"/>
        <v>0</v>
      </c>
      <c r="F93" s="255">
        <f t="shared" si="10"/>
        <v>-10</v>
      </c>
    </row>
    <row r="94" ht="14.25" customHeight="1">
      <c r="B94" s="219">
        <v>45096.0</v>
      </c>
      <c r="C94" s="220" t="str">
        <f t="shared" si="11"/>
        <v/>
      </c>
      <c r="D94" s="220"/>
      <c r="E94" s="220">
        <f t="shared" si="9"/>
        <v>0</v>
      </c>
      <c r="F94" s="220">
        <f t="shared" si="10"/>
        <v>-10</v>
      </c>
    </row>
    <row r="95" ht="14.25" customHeight="1">
      <c r="B95" s="219">
        <v>45097.0</v>
      </c>
      <c r="C95" s="220" t="str">
        <f t="shared" si="11"/>
        <v/>
      </c>
      <c r="D95" s="220"/>
      <c r="E95" s="220">
        <f t="shared" si="9"/>
        <v>0</v>
      </c>
      <c r="F95" s="220">
        <f t="shared" si="10"/>
        <v>-10</v>
      </c>
    </row>
    <row r="96" ht="14.25" customHeight="1">
      <c r="B96" s="219">
        <v>45098.0</v>
      </c>
      <c r="C96" s="220" t="str">
        <f t="shared" si="11"/>
        <v/>
      </c>
      <c r="D96" s="220"/>
      <c r="E96" s="220">
        <f t="shared" si="9"/>
        <v>0</v>
      </c>
      <c r="F96" s="220">
        <f t="shared" si="10"/>
        <v>-10</v>
      </c>
    </row>
    <row r="97" ht="14.25" customHeight="1">
      <c r="B97" s="219">
        <v>45099.0</v>
      </c>
      <c r="C97" s="220" t="str">
        <f t="shared" si="11"/>
        <v/>
      </c>
      <c r="D97" s="220"/>
      <c r="E97" s="220">
        <f t="shared" si="9"/>
        <v>0</v>
      </c>
      <c r="F97" s="220">
        <f t="shared" si="10"/>
        <v>-10</v>
      </c>
    </row>
    <row r="98" ht="14.25" customHeight="1">
      <c r="B98" s="219">
        <v>45100.0</v>
      </c>
      <c r="C98" s="220" t="str">
        <f t="shared" si="11"/>
        <v/>
      </c>
      <c r="D98" s="220"/>
      <c r="E98" s="220">
        <f t="shared" si="9"/>
        <v>0</v>
      </c>
      <c r="F98" s="220">
        <f t="shared" si="10"/>
        <v>-10</v>
      </c>
    </row>
    <row r="99" ht="14.25" customHeight="1">
      <c r="B99" s="254">
        <v>45101.0</v>
      </c>
      <c r="C99" s="255" t="str">
        <f t="shared" si="11"/>
        <v/>
      </c>
      <c r="D99" s="255"/>
      <c r="E99" s="255">
        <f t="shared" si="9"/>
        <v>0</v>
      </c>
      <c r="F99" s="255">
        <f t="shared" si="10"/>
        <v>-10</v>
      </c>
    </row>
    <row r="100" ht="14.25" customHeight="1">
      <c r="B100" s="254">
        <v>45102.0</v>
      </c>
      <c r="C100" s="255" t="str">
        <f t="shared" si="11"/>
        <v/>
      </c>
      <c r="D100" s="255"/>
      <c r="E100" s="255">
        <f t="shared" si="9"/>
        <v>0</v>
      </c>
      <c r="F100" s="255">
        <f t="shared" si="10"/>
        <v>-10</v>
      </c>
    </row>
    <row r="101" ht="14.25" customHeight="1">
      <c r="B101" s="219">
        <v>45103.0</v>
      </c>
      <c r="C101" s="220" t="str">
        <f t="shared" si="11"/>
        <v/>
      </c>
      <c r="D101" s="220"/>
      <c r="E101" s="220">
        <f t="shared" si="9"/>
        <v>0</v>
      </c>
      <c r="F101" s="220">
        <f t="shared" si="10"/>
        <v>-10</v>
      </c>
    </row>
    <row r="102" ht="14.25" customHeight="1">
      <c r="B102" s="219">
        <v>45104.0</v>
      </c>
      <c r="C102" s="220" t="str">
        <f t="shared" si="11"/>
        <v/>
      </c>
      <c r="D102" s="220"/>
      <c r="E102" s="220">
        <f t="shared" si="9"/>
        <v>0</v>
      </c>
      <c r="F102" s="220">
        <f t="shared" si="10"/>
        <v>-10</v>
      </c>
    </row>
    <row r="103" ht="14.25" customHeight="1">
      <c r="B103" s="219">
        <v>45105.0</v>
      </c>
      <c r="C103" s="220" t="str">
        <f t="shared" si="11"/>
        <v/>
      </c>
      <c r="D103" s="220"/>
      <c r="E103" s="220">
        <f t="shared" si="9"/>
        <v>0</v>
      </c>
      <c r="F103" s="220">
        <f t="shared" si="10"/>
        <v>-10</v>
      </c>
    </row>
    <row r="104" ht="14.25" customHeight="1">
      <c r="B104" s="219">
        <v>45106.0</v>
      </c>
      <c r="C104" s="220" t="str">
        <f t="shared" si="11"/>
        <v/>
      </c>
      <c r="D104" s="220"/>
      <c r="E104" s="220">
        <f t="shared" si="9"/>
        <v>0</v>
      </c>
      <c r="F104" s="220">
        <f t="shared" si="10"/>
        <v>-10</v>
      </c>
    </row>
    <row r="105" ht="14.25" customHeight="1">
      <c r="B105" s="219">
        <v>45107.0</v>
      </c>
      <c r="C105" s="220" t="str">
        <f t="shared" si="11"/>
        <v/>
      </c>
      <c r="D105" s="220"/>
      <c r="E105" s="220">
        <f t="shared" si="9"/>
        <v>0</v>
      </c>
      <c r="F105" s="220">
        <f t="shared" si="10"/>
        <v>-10</v>
      </c>
    </row>
    <row r="106" ht="14.25" customHeight="1">
      <c r="B106" s="229"/>
      <c r="C106" s="220" t="str">
        <f t="shared" si="11"/>
        <v/>
      </c>
      <c r="D106" s="220"/>
      <c r="E106" s="220">
        <f t="shared" si="9"/>
        <v>0</v>
      </c>
      <c r="F106" s="220">
        <f t="shared" si="10"/>
        <v>-10</v>
      </c>
    </row>
    <row r="107" ht="14.25" customHeight="1">
      <c r="B107" s="216"/>
      <c r="C107" s="223" t="s">
        <v>221</v>
      </c>
      <c r="D107" s="223"/>
      <c r="E107" s="216">
        <f>SUM(E76:E106)</f>
        <v>0</v>
      </c>
      <c r="F107" s="216">
        <f t="shared" si="10"/>
        <v>-10</v>
      </c>
    </row>
    <row r="108" ht="14.25" customHeight="1"/>
    <row r="109" ht="14.25" customHeight="1">
      <c r="A109" s="249" t="s">
        <v>425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1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/>
      <c r="K111" s="253" t="s">
        <v>425</v>
      </c>
      <c r="L111" s="231"/>
    </row>
    <row r="112" ht="14.25" customHeight="1">
      <c r="B112" s="219">
        <v>45078.0</v>
      </c>
      <c r="C112" s="220"/>
      <c r="D112" s="220"/>
      <c r="E112" s="220">
        <f t="shared" ref="E112:E142" si="12">D112-C112</f>
        <v>0</v>
      </c>
      <c r="F112" s="220">
        <f t="shared" ref="F112:F143" si="13">E112-10</f>
        <v>-10</v>
      </c>
      <c r="H112" s="216" t="s">
        <v>245</v>
      </c>
      <c r="I112" s="216"/>
      <c r="K112" s="216" t="s">
        <v>244</v>
      </c>
      <c r="L112" s="232">
        <v>2000.0</v>
      </c>
    </row>
    <row r="113" ht="14.25" customHeight="1">
      <c r="B113" s="219">
        <v>45079.0</v>
      </c>
      <c r="C113" s="220" t="str">
        <f t="shared" ref="C113:C142" si="14">D112</f>
        <v/>
      </c>
      <c r="D113" s="220"/>
      <c r="E113" s="220">
        <f t="shared" si="12"/>
        <v>0</v>
      </c>
      <c r="F113" s="220">
        <f t="shared" si="13"/>
        <v>-10</v>
      </c>
      <c r="H113" s="216" t="s">
        <v>247</v>
      </c>
      <c r="I113" s="216"/>
      <c r="K113" s="216" t="s">
        <v>266</v>
      </c>
      <c r="L113" s="232"/>
    </row>
    <row r="114" ht="14.25" customHeight="1">
      <c r="B114" s="254">
        <v>45080.0</v>
      </c>
      <c r="C114" s="255" t="str">
        <f t="shared" si="14"/>
        <v/>
      </c>
      <c r="D114" s="255"/>
      <c r="E114" s="255">
        <f t="shared" si="12"/>
        <v>0</v>
      </c>
      <c r="F114" s="255">
        <f t="shared" si="13"/>
        <v>-10</v>
      </c>
      <c r="H114" s="216" t="s">
        <v>249</v>
      </c>
      <c r="I114" s="232">
        <v>18.0</v>
      </c>
      <c r="K114" s="216" t="s">
        <v>246</v>
      </c>
      <c r="L114" s="232">
        <f>O114*O115</f>
        <v>0</v>
      </c>
    </row>
    <row r="115" ht="14.25" customHeight="1">
      <c r="B115" s="254">
        <v>45081.0</v>
      </c>
      <c r="C115" s="255" t="str">
        <f t="shared" si="14"/>
        <v/>
      </c>
      <c r="D115" s="255"/>
      <c r="E115" s="255">
        <f t="shared" si="12"/>
        <v>0</v>
      </c>
      <c r="F115" s="255">
        <f t="shared" si="13"/>
        <v>-10</v>
      </c>
      <c r="H115" s="216" t="s">
        <v>251</v>
      </c>
      <c r="I115" s="216"/>
      <c r="K115" s="216" t="s">
        <v>248</v>
      </c>
      <c r="L115" s="232">
        <f>O116*O117</f>
        <v>0</v>
      </c>
    </row>
    <row r="116" ht="14.25" customHeight="1">
      <c r="B116" s="219">
        <v>45082.0</v>
      </c>
      <c r="C116" s="220" t="str">
        <f t="shared" si="14"/>
        <v/>
      </c>
      <c r="D116" s="220"/>
      <c r="E116" s="220">
        <f t="shared" si="12"/>
        <v>0</v>
      </c>
      <c r="F116" s="220">
        <f t="shared" si="13"/>
        <v>-10</v>
      </c>
      <c r="H116" s="216" t="s">
        <v>249</v>
      </c>
      <c r="I116" s="232">
        <v>10.0</v>
      </c>
      <c r="K116" s="216" t="s">
        <v>250</v>
      </c>
      <c r="L116" s="232">
        <f>O118*100</f>
        <v>0</v>
      </c>
    </row>
    <row r="117" ht="14.25" customHeight="1">
      <c r="B117" s="219">
        <v>45083.0</v>
      </c>
      <c r="C117" s="220" t="str">
        <f t="shared" si="14"/>
        <v/>
      </c>
      <c r="D117" s="220"/>
      <c r="E117" s="220">
        <f t="shared" si="12"/>
        <v>0</v>
      </c>
      <c r="F117" s="220">
        <f t="shared" si="13"/>
        <v>-10</v>
      </c>
      <c r="H117" s="216" t="s">
        <v>250</v>
      </c>
      <c r="I117" s="216"/>
      <c r="K117" s="216" t="s">
        <v>252</v>
      </c>
      <c r="L117" s="232"/>
    </row>
    <row r="118" ht="14.25" customHeight="1">
      <c r="B118" s="219">
        <v>45084.0</v>
      </c>
      <c r="C118" s="220" t="str">
        <f t="shared" si="14"/>
        <v/>
      </c>
      <c r="D118" s="220"/>
      <c r="E118" s="220">
        <f t="shared" si="12"/>
        <v>0</v>
      </c>
      <c r="F118" s="220">
        <f t="shared" si="13"/>
        <v>-10</v>
      </c>
      <c r="K118" s="216" t="s">
        <v>268</v>
      </c>
      <c r="L118" s="232">
        <f>L112+L114+L115+L116-L113-L117</f>
        <v>2000</v>
      </c>
    </row>
    <row r="119" ht="14.25" customHeight="1">
      <c r="B119" s="219">
        <v>45085.0</v>
      </c>
      <c r="C119" s="220" t="str">
        <f t="shared" si="14"/>
        <v/>
      </c>
      <c r="D119" s="220"/>
      <c r="E119" s="220">
        <f t="shared" si="12"/>
        <v>0</v>
      </c>
      <c r="F119" s="220">
        <f t="shared" si="13"/>
        <v>-10</v>
      </c>
      <c r="K119" s="216" t="s">
        <v>269</v>
      </c>
      <c r="L119" s="229"/>
    </row>
    <row r="120" ht="14.25" customHeight="1">
      <c r="B120" s="219">
        <v>45086.0</v>
      </c>
      <c r="C120" s="220" t="str">
        <f t="shared" si="14"/>
        <v/>
      </c>
      <c r="D120" s="220"/>
      <c r="E120" s="220">
        <f t="shared" si="12"/>
        <v>0</v>
      </c>
      <c r="F120" s="220">
        <f t="shared" si="13"/>
        <v>-10</v>
      </c>
    </row>
    <row r="121" ht="14.25" customHeight="1">
      <c r="B121" s="254">
        <v>45087.0</v>
      </c>
      <c r="C121" s="255" t="str">
        <f t="shared" si="14"/>
        <v/>
      </c>
      <c r="D121" s="255"/>
      <c r="E121" s="255">
        <f t="shared" si="12"/>
        <v>0</v>
      </c>
      <c r="F121" s="255">
        <f t="shared" si="13"/>
        <v>-10</v>
      </c>
    </row>
    <row r="122" ht="14.25" customHeight="1">
      <c r="B122" s="254">
        <v>45088.0</v>
      </c>
      <c r="C122" s="255" t="str">
        <f t="shared" si="14"/>
        <v/>
      </c>
      <c r="D122" s="255"/>
      <c r="E122" s="255">
        <f t="shared" si="12"/>
        <v>0</v>
      </c>
      <c r="F122" s="255">
        <f t="shared" si="13"/>
        <v>-10</v>
      </c>
    </row>
    <row r="123" ht="14.25" customHeight="1">
      <c r="B123" s="219">
        <v>45089.0</v>
      </c>
      <c r="C123" s="220" t="str">
        <f t="shared" si="14"/>
        <v/>
      </c>
      <c r="D123" s="220"/>
      <c r="E123" s="220">
        <f t="shared" si="12"/>
        <v>0</v>
      </c>
      <c r="F123" s="220">
        <f t="shared" si="13"/>
        <v>-10</v>
      </c>
    </row>
    <row r="124" ht="14.25" customHeight="1">
      <c r="B124" s="219">
        <v>45090.0</v>
      </c>
      <c r="C124" s="220" t="str">
        <f t="shared" si="14"/>
        <v/>
      </c>
      <c r="D124" s="220"/>
      <c r="E124" s="220">
        <f t="shared" si="12"/>
        <v>0</v>
      </c>
      <c r="F124" s="220">
        <f t="shared" si="13"/>
        <v>-10</v>
      </c>
    </row>
    <row r="125" ht="14.25" customHeight="1">
      <c r="B125" s="219">
        <v>45091.0</v>
      </c>
      <c r="C125" s="220" t="str">
        <f t="shared" si="14"/>
        <v/>
      </c>
      <c r="D125" s="220"/>
      <c r="E125" s="220">
        <f t="shared" si="12"/>
        <v>0</v>
      </c>
      <c r="F125" s="220">
        <f t="shared" si="13"/>
        <v>-10</v>
      </c>
    </row>
    <row r="126" ht="14.25" customHeight="1">
      <c r="B126" s="219">
        <v>45092.0</v>
      </c>
      <c r="C126" s="220" t="str">
        <f t="shared" si="14"/>
        <v/>
      </c>
      <c r="D126" s="220"/>
      <c r="E126" s="220">
        <f t="shared" si="12"/>
        <v>0</v>
      </c>
      <c r="F126" s="220">
        <f t="shared" si="13"/>
        <v>-10</v>
      </c>
    </row>
    <row r="127" ht="14.25" customHeight="1">
      <c r="B127" s="219">
        <v>45093.0</v>
      </c>
      <c r="C127" s="220" t="str">
        <f t="shared" si="14"/>
        <v/>
      </c>
      <c r="D127" s="220"/>
      <c r="E127" s="220">
        <f t="shared" si="12"/>
        <v>0</v>
      </c>
      <c r="F127" s="220">
        <f t="shared" si="13"/>
        <v>-10</v>
      </c>
    </row>
    <row r="128" ht="14.25" customHeight="1">
      <c r="B128" s="254">
        <v>45094.0</v>
      </c>
      <c r="C128" s="255" t="str">
        <f t="shared" si="14"/>
        <v/>
      </c>
      <c r="D128" s="255"/>
      <c r="E128" s="255">
        <f t="shared" si="12"/>
        <v>0</v>
      </c>
      <c r="F128" s="255">
        <f t="shared" si="13"/>
        <v>-10</v>
      </c>
    </row>
    <row r="129" ht="14.25" customHeight="1">
      <c r="B129" s="254">
        <v>45095.0</v>
      </c>
      <c r="C129" s="255" t="str">
        <f t="shared" si="14"/>
        <v/>
      </c>
      <c r="D129" s="255"/>
      <c r="E129" s="255">
        <f t="shared" si="12"/>
        <v>0</v>
      </c>
      <c r="F129" s="255">
        <f t="shared" si="13"/>
        <v>-10</v>
      </c>
    </row>
    <row r="130" ht="14.25" customHeight="1">
      <c r="B130" s="219">
        <v>45096.0</v>
      </c>
      <c r="C130" s="220" t="str">
        <f t="shared" si="14"/>
        <v/>
      </c>
      <c r="D130" s="220"/>
      <c r="E130" s="220">
        <f t="shared" si="12"/>
        <v>0</v>
      </c>
      <c r="F130" s="220">
        <f t="shared" si="13"/>
        <v>-10</v>
      </c>
    </row>
    <row r="131" ht="14.25" customHeight="1">
      <c r="B131" s="219">
        <v>45097.0</v>
      </c>
      <c r="C131" s="220" t="str">
        <f t="shared" si="14"/>
        <v/>
      </c>
      <c r="D131" s="220"/>
      <c r="E131" s="220">
        <f t="shared" si="12"/>
        <v>0</v>
      </c>
      <c r="F131" s="220">
        <f t="shared" si="13"/>
        <v>-10</v>
      </c>
    </row>
    <row r="132" ht="14.25" customHeight="1">
      <c r="B132" s="219">
        <v>45098.0</v>
      </c>
      <c r="C132" s="220" t="str">
        <f t="shared" si="14"/>
        <v/>
      </c>
      <c r="D132" s="220"/>
      <c r="E132" s="220">
        <f t="shared" si="12"/>
        <v>0</v>
      </c>
      <c r="F132" s="220">
        <f t="shared" si="13"/>
        <v>-10</v>
      </c>
    </row>
    <row r="133" ht="14.25" customHeight="1">
      <c r="B133" s="219">
        <v>45099.0</v>
      </c>
      <c r="C133" s="220" t="str">
        <f t="shared" si="14"/>
        <v/>
      </c>
      <c r="D133" s="220"/>
      <c r="E133" s="220">
        <f t="shared" si="12"/>
        <v>0</v>
      </c>
      <c r="F133" s="220">
        <f t="shared" si="13"/>
        <v>-10</v>
      </c>
    </row>
    <row r="134" ht="14.25" customHeight="1">
      <c r="B134" s="219">
        <v>45100.0</v>
      </c>
      <c r="C134" s="220" t="str">
        <f t="shared" si="14"/>
        <v/>
      </c>
      <c r="D134" s="220"/>
      <c r="E134" s="220">
        <f t="shared" si="12"/>
        <v>0</v>
      </c>
      <c r="F134" s="220">
        <f t="shared" si="13"/>
        <v>-10</v>
      </c>
    </row>
    <row r="135" ht="14.25" customHeight="1">
      <c r="B135" s="254">
        <v>45101.0</v>
      </c>
      <c r="C135" s="255" t="str">
        <f t="shared" si="14"/>
        <v/>
      </c>
      <c r="D135" s="255"/>
      <c r="E135" s="255">
        <f t="shared" si="12"/>
        <v>0</v>
      </c>
      <c r="F135" s="255">
        <f t="shared" si="13"/>
        <v>-10</v>
      </c>
    </row>
    <row r="136" ht="14.25" customHeight="1">
      <c r="B136" s="254">
        <v>45102.0</v>
      </c>
      <c r="C136" s="255" t="str">
        <f t="shared" si="14"/>
        <v/>
      </c>
      <c r="D136" s="255"/>
      <c r="E136" s="255">
        <f t="shared" si="12"/>
        <v>0</v>
      </c>
      <c r="F136" s="255">
        <f t="shared" si="13"/>
        <v>-10</v>
      </c>
    </row>
    <row r="137" ht="14.25" customHeight="1">
      <c r="B137" s="219">
        <v>45103.0</v>
      </c>
      <c r="C137" s="220" t="str">
        <f t="shared" si="14"/>
        <v/>
      </c>
      <c r="D137" s="220"/>
      <c r="E137" s="220">
        <f t="shared" si="12"/>
        <v>0</v>
      </c>
      <c r="F137" s="220">
        <f t="shared" si="13"/>
        <v>-10</v>
      </c>
    </row>
    <row r="138" ht="14.25" customHeight="1">
      <c r="B138" s="219">
        <v>45104.0</v>
      </c>
      <c r="C138" s="220" t="str">
        <f t="shared" si="14"/>
        <v/>
      </c>
      <c r="D138" s="220"/>
      <c r="E138" s="220">
        <f t="shared" si="12"/>
        <v>0</v>
      </c>
      <c r="F138" s="220">
        <f t="shared" si="13"/>
        <v>-10</v>
      </c>
    </row>
    <row r="139" ht="14.25" customHeight="1">
      <c r="B139" s="219">
        <v>45105.0</v>
      </c>
      <c r="C139" s="220" t="str">
        <f t="shared" si="14"/>
        <v/>
      </c>
      <c r="D139" s="220"/>
      <c r="E139" s="220">
        <f t="shared" si="12"/>
        <v>0</v>
      </c>
      <c r="F139" s="220">
        <f t="shared" si="13"/>
        <v>-10</v>
      </c>
    </row>
    <row r="140" ht="14.25" customHeight="1">
      <c r="B140" s="219">
        <v>45106.0</v>
      </c>
      <c r="C140" s="220" t="str">
        <f t="shared" si="14"/>
        <v/>
      </c>
      <c r="D140" s="220"/>
      <c r="E140" s="220">
        <f t="shared" si="12"/>
        <v>0</v>
      </c>
      <c r="F140" s="220">
        <f t="shared" si="13"/>
        <v>-10</v>
      </c>
    </row>
    <row r="141" ht="14.25" customHeight="1">
      <c r="B141" s="219">
        <v>45107.0</v>
      </c>
      <c r="C141" s="220" t="str">
        <f t="shared" si="14"/>
        <v/>
      </c>
      <c r="D141" s="220"/>
      <c r="E141" s="220">
        <f t="shared" si="12"/>
        <v>0</v>
      </c>
      <c r="F141" s="220">
        <f t="shared" si="13"/>
        <v>-10</v>
      </c>
    </row>
    <row r="142" ht="14.25" customHeight="1">
      <c r="B142" s="229"/>
      <c r="C142" s="220" t="str">
        <f t="shared" si="14"/>
        <v/>
      </c>
      <c r="D142" s="220"/>
      <c r="E142" s="220">
        <f t="shared" si="12"/>
        <v>0</v>
      </c>
      <c r="F142" s="220">
        <f t="shared" si="13"/>
        <v>-10</v>
      </c>
    </row>
    <row r="143" ht="14.25" customHeight="1">
      <c r="B143" s="216"/>
      <c r="C143" s="223" t="s">
        <v>221</v>
      </c>
      <c r="D143" s="223"/>
      <c r="E143" s="216">
        <f>SUM(E112:E142)</f>
        <v>0</v>
      </c>
      <c r="F143" s="216">
        <f t="shared" si="13"/>
        <v>-10</v>
      </c>
    </row>
    <row r="144" ht="14.25" customHeight="1"/>
    <row r="145" ht="14.25" customHeight="1">
      <c r="A145" s="249" t="s">
        <v>231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1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231</v>
      </c>
      <c r="L147" s="231"/>
    </row>
    <row r="148" ht="14.25" customHeight="1">
      <c r="B148" s="219">
        <v>45078.0</v>
      </c>
      <c r="C148" s="220"/>
      <c r="D148" s="220"/>
      <c r="E148" s="220">
        <f t="shared" ref="E148:E178" si="15">D148-C148</f>
        <v>0</v>
      </c>
      <c r="F148" s="220">
        <f t="shared" ref="F148:F179" si="16">E148-10</f>
        <v>-10</v>
      </c>
      <c r="H148" s="216" t="s">
        <v>245</v>
      </c>
      <c r="I148" s="216"/>
      <c r="K148" s="216" t="s">
        <v>244</v>
      </c>
      <c r="L148" s="232">
        <v>2000.0</v>
      </c>
    </row>
    <row r="149" ht="14.25" customHeight="1">
      <c r="B149" s="219">
        <v>45079.0</v>
      </c>
      <c r="C149" s="220" t="str">
        <f t="shared" ref="C149:C178" si="17">D148</f>
        <v/>
      </c>
      <c r="D149" s="220"/>
      <c r="E149" s="220">
        <f t="shared" si="15"/>
        <v>0</v>
      </c>
      <c r="F149" s="220">
        <f t="shared" si="16"/>
        <v>-10</v>
      </c>
      <c r="H149" s="216" t="s">
        <v>247</v>
      </c>
      <c r="I149" s="216"/>
      <c r="K149" s="216" t="s">
        <v>266</v>
      </c>
      <c r="L149" s="232"/>
    </row>
    <row r="150" ht="14.25" customHeight="1">
      <c r="B150" s="254">
        <v>45080.0</v>
      </c>
      <c r="C150" s="255" t="str">
        <f t="shared" si="17"/>
        <v/>
      </c>
      <c r="D150" s="255"/>
      <c r="E150" s="255">
        <f t="shared" si="15"/>
        <v>0</v>
      </c>
      <c r="F150" s="255">
        <f t="shared" si="16"/>
        <v>-10</v>
      </c>
      <c r="H150" s="216" t="s">
        <v>249</v>
      </c>
      <c r="I150" s="232">
        <v>18.0</v>
      </c>
      <c r="K150" s="216" t="s">
        <v>246</v>
      </c>
      <c r="L150" s="232">
        <f>O150*O151</f>
        <v>0</v>
      </c>
    </row>
    <row r="151" ht="14.25" customHeight="1">
      <c r="B151" s="254">
        <v>45081.0</v>
      </c>
      <c r="C151" s="255" t="str">
        <f t="shared" si="17"/>
        <v/>
      </c>
      <c r="D151" s="255"/>
      <c r="E151" s="255">
        <f t="shared" si="15"/>
        <v>0</v>
      </c>
      <c r="F151" s="255">
        <f t="shared" si="16"/>
        <v>-10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19">
        <v>45082.0</v>
      </c>
      <c r="C152" s="220" t="str">
        <f t="shared" si="17"/>
        <v/>
      </c>
      <c r="D152" s="220"/>
      <c r="E152" s="220">
        <f t="shared" si="15"/>
        <v>0</v>
      </c>
      <c r="F152" s="220">
        <f t="shared" si="16"/>
        <v>-10</v>
      </c>
      <c r="H152" s="216" t="s">
        <v>249</v>
      </c>
      <c r="I152" s="232">
        <v>10.0</v>
      </c>
      <c r="K152" s="216" t="s">
        <v>250</v>
      </c>
      <c r="L152" s="232">
        <f>O154*100</f>
        <v>0</v>
      </c>
    </row>
    <row r="153" ht="14.25" customHeight="1">
      <c r="B153" s="219">
        <v>45083.0</v>
      </c>
      <c r="C153" s="220" t="str">
        <f t="shared" si="17"/>
        <v/>
      </c>
      <c r="D153" s="220"/>
      <c r="E153" s="220">
        <f t="shared" si="15"/>
        <v>0</v>
      </c>
      <c r="F153" s="220">
        <f t="shared" si="16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45084.0</v>
      </c>
      <c r="C154" s="220" t="str">
        <f t="shared" si="17"/>
        <v/>
      </c>
      <c r="D154" s="220"/>
      <c r="E154" s="220">
        <f t="shared" si="15"/>
        <v>0</v>
      </c>
      <c r="F154" s="220">
        <f t="shared" si="16"/>
        <v>-10</v>
      </c>
      <c r="K154" s="216" t="s">
        <v>268</v>
      </c>
      <c r="L154" s="232">
        <f>L148+L150+L151+L152-L149-L153</f>
        <v>2000</v>
      </c>
    </row>
    <row r="155" ht="14.25" customHeight="1">
      <c r="B155" s="219">
        <v>45085.0</v>
      </c>
      <c r="C155" s="220" t="str">
        <f t="shared" si="17"/>
        <v/>
      </c>
      <c r="D155" s="220"/>
      <c r="E155" s="220">
        <f t="shared" si="15"/>
        <v>0</v>
      </c>
      <c r="F155" s="220">
        <f t="shared" si="16"/>
        <v>-10</v>
      </c>
      <c r="K155" s="216" t="s">
        <v>269</v>
      </c>
      <c r="L155" s="229"/>
    </row>
    <row r="156" ht="14.25" customHeight="1">
      <c r="B156" s="219">
        <v>45086.0</v>
      </c>
      <c r="C156" s="220" t="str">
        <f t="shared" si="17"/>
        <v/>
      </c>
      <c r="D156" s="220"/>
      <c r="E156" s="220">
        <f t="shared" si="15"/>
        <v>0</v>
      </c>
      <c r="F156" s="220">
        <f t="shared" si="16"/>
        <v>-10</v>
      </c>
    </row>
    <row r="157" ht="14.25" customHeight="1">
      <c r="B157" s="254">
        <v>45087.0</v>
      </c>
      <c r="C157" s="255" t="str">
        <f t="shared" si="17"/>
        <v/>
      </c>
      <c r="D157" s="255"/>
      <c r="E157" s="255">
        <f t="shared" si="15"/>
        <v>0</v>
      </c>
      <c r="F157" s="255">
        <f t="shared" si="16"/>
        <v>-10</v>
      </c>
    </row>
    <row r="158" ht="14.25" customHeight="1">
      <c r="B158" s="254">
        <v>45088.0</v>
      </c>
      <c r="C158" s="255" t="str">
        <f t="shared" si="17"/>
        <v/>
      </c>
      <c r="D158" s="255"/>
      <c r="E158" s="255">
        <f t="shared" si="15"/>
        <v>0</v>
      </c>
      <c r="F158" s="255">
        <f t="shared" si="16"/>
        <v>-10</v>
      </c>
    </row>
    <row r="159" ht="14.25" customHeight="1">
      <c r="B159" s="219">
        <v>45089.0</v>
      </c>
      <c r="C159" s="220" t="str">
        <f t="shared" si="17"/>
        <v/>
      </c>
      <c r="D159" s="220"/>
      <c r="E159" s="220">
        <f t="shared" si="15"/>
        <v>0</v>
      </c>
      <c r="F159" s="220">
        <f t="shared" si="16"/>
        <v>-10</v>
      </c>
    </row>
    <row r="160" ht="14.25" customHeight="1">
      <c r="B160" s="219">
        <v>45090.0</v>
      </c>
      <c r="C160" s="220" t="str">
        <f t="shared" si="17"/>
        <v/>
      </c>
      <c r="D160" s="220"/>
      <c r="E160" s="220">
        <f t="shared" si="15"/>
        <v>0</v>
      </c>
      <c r="F160" s="220">
        <f t="shared" si="16"/>
        <v>-10</v>
      </c>
    </row>
    <row r="161" ht="14.25" customHeight="1">
      <c r="B161" s="219">
        <v>45091.0</v>
      </c>
      <c r="C161" s="220" t="str">
        <f t="shared" si="17"/>
        <v/>
      </c>
      <c r="D161" s="220"/>
      <c r="E161" s="220">
        <f t="shared" si="15"/>
        <v>0</v>
      </c>
      <c r="F161" s="220">
        <f t="shared" si="16"/>
        <v>-10</v>
      </c>
    </row>
    <row r="162" ht="14.25" customHeight="1">
      <c r="B162" s="219">
        <v>45092.0</v>
      </c>
      <c r="C162" s="220" t="str">
        <f t="shared" si="17"/>
        <v/>
      </c>
      <c r="D162" s="220"/>
      <c r="E162" s="220">
        <f t="shared" si="15"/>
        <v>0</v>
      </c>
      <c r="F162" s="220">
        <f t="shared" si="16"/>
        <v>-10</v>
      </c>
    </row>
    <row r="163" ht="14.25" customHeight="1">
      <c r="B163" s="219">
        <v>45093.0</v>
      </c>
      <c r="C163" s="220" t="str">
        <f t="shared" si="17"/>
        <v/>
      </c>
      <c r="D163" s="220"/>
      <c r="E163" s="220">
        <f t="shared" si="15"/>
        <v>0</v>
      </c>
      <c r="F163" s="220">
        <f t="shared" si="16"/>
        <v>-10</v>
      </c>
    </row>
    <row r="164" ht="14.25" customHeight="1">
      <c r="B164" s="254">
        <v>45094.0</v>
      </c>
      <c r="C164" s="255" t="str">
        <f t="shared" si="17"/>
        <v/>
      </c>
      <c r="D164" s="255"/>
      <c r="E164" s="255">
        <f t="shared" si="15"/>
        <v>0</v>
      </c>
      <c r="F164" s="255">
        <f t="shared" si="16"/>
        <v>-10</v>
      </c>
    </row>
    <row r="165" ht="14.25" customHeight="1">
      <c r="B165" s="254">
        <v>45095.0</v>
      </c>
      <c r="C165" s="255" t="str">
        <f t="shared" si="17"/>
        <v/>
      </c>
      <c r="D165" s="255"/>
      <c r="E165" s="255">
        <f t="shared" si="15"/>
        <v>0</v>
      </c>
      <c r="F165" s="255">
        <f t="shared" si="16"/>
        <v>-10</v>
      </c>
    </row>
    <row r="166" ht="14.25" customHeight="1">
      <c r="B166" s="219">
        <v>45096.0</v>
      </c>
      <c r="C166" s="220" t="str">
        <f t="shared" si="17"/>
        <v/>
      </c>
      <c r="D166" s="220"/>
      <c r="E166" s="220">
        <f t="shared" si="15"/>
        <v>0</v>
      </c>
      <c r="F166" s="220">
        <f t="shared" si="16"/>
        <v>-10</v>
      </c>
    </row>
    <row r="167" ht="14.25" customHeight="1">
      <c r="B167" s="219">
        <v>45097.0</v>
      </c>
      <c r="C167" s="220" t="str">
        <f t="shared" si="17"/>
        <v/>
      </c>
      <c r="D167" s="220"/>
      <c r="E167" s="220">
        <f t="shared" si="15"/>
        <v>0</v>
      </c>
      <c r="F167" s="220">
        <f t="shared" si="16"/>
        <v>-10</v>
      </c>
    </row>
    <row r="168" ht="14.25" customHeight="1">
      <c r="B168" s="219">
        <v>45098.0</v>
      </c>
      <c r="C168" s="220" t="str">
        <f t="shared" si="17"/>
        <v/>
      </c>
      <c r="D168" s="220"/>
      <c r="E168" s="220">
        <f t="shared" si="15"/>
        <v>0</v>
      </c>
      <c r="F168" s="220">
        <f t="shared" si="16"/>
        <v>-10</v>
      </c>
    </row>
    <row r="169" ht="14.25" customHeight="1">
      <c r="B169" s="219">
        <v>45099.0</v>
      </c>
      <c r="C169" s="220" t="str">
        <f t="shared" si="17"/>
        <v/>
      </c>
      <c r="D169" s="220"/>
      <c r="E169" s="220">
        <f t="shared" si="15"/>
        <v>0</v>
      </c>
      <c r="F169" s="220">
        <f t="shared" si="16"/>
        <v>-10</v>
      </c>
    </row>
    <row r="170" ht="14.25" customHeight="1">
      <c r="B170" s="219">
        <v>45100.0</v>
      </c>
      <c r="C170" s="220" t="str">
        <f t="shared" si="17"/>
        <v/>
      </c>
      <c r="D170" s="220"/>
      <c r="E170" s="220">
        <f t="shared" si="15"/>
        <v>0</v>
      </c>
      <c r="F170" s="220">
        <f t="shared" si="16"/>
        <v>-10</v>
      </c>
    </row>
    <row r="171" ht="14.25" customHeight="1">
      <c r="B171" s="254">
        <v>45101.0</v>
      </c>
      <c r="C171" s="255" t="str">
        <f t="shared" si="17"/>
        <v/>
      </c>
      <c r="D171" s="255"/>
      <c r="E171" s="255">
        <f t="shared" si="15"/>
        <v>0</v>
      </c>
      <c r="F171" s="255">
        <f t="shared" si="16"/>
        <v>-10</v>
      </c>
    </row>
    <row r="172" ht="14.25" customHeight="1">
      <c r="B172" s="254">
        <v>45102.0</v>
      </c>
      <c r="C172" s="255" t="str">
        <f t="shared" si="17"/>
        <v/>
      </c>
      <c r="D172" s="255"/>
      <c r="E172" s="255">
        <f t="shared" si="15"/>
        <v>0</v>
      </c>
      <c r="F172" s="255">
        <f t="shared" si="16"/>
        <v>-10</v>
      </c>
    </row>
    <row r="173" ht="14.25" customHeight="1">
      <c r="B173" s="219">
        <v>45103.0</v>
      </c>
      <c r="C173" s="220" t="str">
        <f t="shared" si="17"/>
        <v/>
      </c>
      <c r="D173" s="220"/>
      <c r="E173" s="220">
        <f t="shared" si="15"/>
        <v>0</v>
      </c>
      <c r="F173" s="220">
        <f t="shared" si="16"/>
        <v>-10</v>
      </c>
    </row>
    <row r="174" ht="14.25" customHeight="1">
      <c r="B174" s="219">
        <v>45104.0</v>
      </c>
      <c r="C174" s="220" t="str">
        <f t="shared" si="17"/>
        <v/>
      </c>
      <c r="D174" s="220"/>
      <c r="E174" s="220">
        <f t="shared" si="15"/>
        <v>0</v>
      </c>
      <c r="F174" s="220">
        <f t="shared" si="16"/>
        <v>-10</v>
      </c>
    </row>
    <row r="175" ht="14.25" customHeight="1">
      <c r="B175" s="219">
        <v>45105.0</v>
      </c>
      <c r="C175" s="220" t="str">
        <f t="shared" si="17"/>
        <v/>
      </c>
      <c r="D175" s="220"/>
      <c r="E175" s="220">
        <f t="shared" si="15"/>
        <v>0</v>
      </c>
      <c r="F175" s="220">
        <f t="shared" si="16"/>
        <v>-10</v>
      </c>
    </row>
    <row r="176" ht="14.25" customHeight="1">
      <c r="B176" s="219">
        <v>45106.0</v>
      </c>
      <c r="C176" s="220" t="str">
        <f t="shared" si="17"/>
        <v/>
      </c>
      <c r="D176" s="220"/>
      <c r="E176" s="220">
        <f t="shared" si="15"/>
        <v>0</v>
      </c>
      <c r="F176" s="220">
        <f t="shared" si="16"/>
        <v>-10</v>
      </c>
    </row>
    <row r="177" ht="14.25" customHeight="1">
      <c r="B177" s="219">
        <v>45107.0</v>
      </c>
      <c r="C177" s="220" t="str">
        <f t="shared" si="17"/>
        <v/>
      </c>
      <c r="D177" s="220"/>
      <c r="E177" s="220">
        <f t="shared" si="15"/>
        <v>0</v>
      </c>
      <c r="F177" s="220">
        <f t="shared" si="16"/>
        <v>-10</v>
      </c>
    </row>
    <row r="178" ht="14.25" customHeight="1">
      <c r="B178" s="229"/>
      <c r="C178" s="220" t="str">
        <f t="shared" si="17"/>
        <v/>
      </c>
      <c r="D178" s="220"/>
      <c r="E178" s="220">
        <f t="shared" si="15"/>
        <v>0</v>
      </c>
      <c r="F178" s="220">
        <f t="shared" si="16"/>
        <v>-10</v>
      </c>
    </row>
    <row r="179" ht="14.25" customHeight="1">
      <c r="B179" s="216"/>
      <c r="C179" s="223" t="s">
        <v>221</v>
      </c>
      <c r="D179" s="223"/>
      <c r="E179" s="216">
        <f>SUM(E148:E178)</f>
        <v>0</v>
      </c>
      <c r="F179" s="216">
        <f t="shared" si="16"/>
        <v>-10</v>
      </c>
    </row>
    <row r="180" ht="14.25" customHeight="1"/>
    <row r="181" ht="14.25" customHeight="1">
      <c r="A181" s="249" t="s">
        <v>232</v>
      </c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1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4.25" customHeight="1"/>
    <row r="183" ht="14.25" customHeight="1">
      <c r="B183" s="216" t="s">
        <v>214</v>
      </c>
      <c r="C183" s="216" t="s">
        <v>215</v>
      </c>
      <c r="D183" s="216" t="s">
        <v>216</v>
      </c>
      <c r="E183" s="216" t="s">
        <v>217</v>
      </c>
      <c r="F183" s="216" t="s">
        <v>218</v>
      </c>
      <c r="H183" s="216" t="s">
        <v>238</v>
      </c>
      <c r="I183" s="216"/>
      <c r="K183" s="253" t="s">
        <v>232</v>
      </c>
      <c r="L183" s="231"/>
    </row>
    <row r="184" ht="14.25" customHeight="1">
      <c r="B184" s="219">
        <v>45078.0</v>
      </c>
      <c r="C184" s="220"/>
      <c r="D184" s="220"/>
      <c r="E184" s="220">
        <f t="shared" ref="E184:E214" si="18">D184-C184</f>
        <v>0</v>
      </c>
      <c r="F184" s="220">
        <f t="shared" ref="F184:F215" si="19">E184-10</f>
        <v>-10</v>
      </c>
      <c r="H184" s="216" t="s">
        <v>245</v>
      </c>
      <c r="I184" s="216"/>
      <c r="K184" s="216" t="s">
        <v>244</v>
      </c>
      <c r="L184" s="232">
        <v>2000.0</v>
      </c>
    </row>
    <row r="185" ht="14.25" customHeight="1">
      <c r="B185" s="219">
        <v>45079.0</v>
      </c>
      <c r="C185" s="220" t="str">
        <f t="shared" ref="C185:C214" si="20">D184</f>
        <v/>
      </c>
      <c r="D185" s="220"/>
      <c r="E185" s="220">
        <f t="shared" si="18"/>
        <v>0</v>
      </c>
      <c r="F185" s="220">
        <f t="shared" si="19"/>
        <v>-10</v>
      </c>
      <c r="H185" s="216" t="s">
        <v>247</v>
      </c>
      <c r="I185" s="216"/>
      <c r="K185" s="216" t="s">
        <v>266</v>
      </c>
      <c r="L185" s="232"/>
    </row>
    <row r="186" ht="14.25" customHeight="1">
      <c r="B186" s="254">
        <v>45080.0</v>
      </c>
      <c r="C186" s="255" t="str">
        <f t="shared" si="20"/>
        <v/>
      </c>
      <c r="D186" s="255"/>
      <c r="E186" s="255">
        <f t="shared" si="18"/>
        <v>0</v>
      </c>
      <c r="F186" s="255">
        <f t="shared" si="19"/>
        <v>-10</v>
      </c>
      <c r="H186" s="216" t="s">
        <v>249</v>
      </c>
      <c r="I186" s="232">
        <v>18.0</v>
      </c>
      <c r="K186" s="216" t="s">
        <v>246</v>
      </c>
      <c r="L186" s="232">
        <f>O186*O187</f>
        <v>0</v>
      </c>
    </row>
    <row r="187" ht="14.25" customHeight="1">
      <c r="B187" s="254">
        <v>45081.0</v>
      </c>
      <c r="C187" s="255" t="str">
        <f t="shared" si="20"/>
        <v/>
      </c>
      <c r="D187" s="255"/>
      <c r="E187" s="255">
        <f t="shared" si="18"/>
        <v>0</v>
      </c>
      <c r="F187" s="255">
        <f t="shared" si="19"/>
        <v>-10</v>
      </c>
      <c r="H187" s="216" t="s">
        <v>251</v>
      </c>
      <c r="I187" s="216"/>
      <c r="K187" s="216" t="s">
        <v>248</v>
      </c>
      <c r="L187" s="232">
        <f>O188*O189</f>
        <v>0</v>
      </c>
    </row>
    <row r="188" ht="14.25" customHeight="1">
      <c r="B188" s="219">
        <v>45082.0</v>
      </c>
      <c r="C188" s="220" t="str">
        <f t="shared" si="20"/>
        <v/>
      </c>
      <c r="D188" s="220"/>
      <c r="E188" s="220">
        <f t="shared" si="18"/>
        <v>0</v>
      </c>
      <c r="F188" s="220">
        <f t="shared" si="19"/>
        <v>-10</v>
      </c>
      <c r="H188" s="216" t="s">
        <v>249</v>
      </c>
      <c r="I188" s="232">
        <v>10.0</v>
      </c>
      <c r="K188" s="216" t="s">
        <v>250</v>
      </c>
      <c r="L188" s="232">
        <f>O190*100</f>
        <v>0</v>
      </c>
    </row>
    <row r="189" ht="14.25" customHeight="1">
      <c r="B189" s="219">
        <v>45083.0</v>
      </c>
      <c r="C189" s="220" t="str">
        <f t="shared" si="20"/>
        <v/>
      </c>
      <c r="D189" s="220"/>
      <c r="E189" s="220">
        <f t="shared" si="18"/>
        <v>0</v>
      </c>
      <c r="F189" s="220">
        <f t="shared" si="19"/>
        <v>-10</v>
      </c>
      <c r="H189" s="216" t="s">
        <v>250</v>
      </c>
      <c r="I189" s="216"/>
      <c r="K189" s="216" t="s">
        <v>252</v>
      </c>
      <c r="L189" s="232"/>
    </row>
    <row r="190" ht="14.25" customHeight="1">
      <c r="B190" s="219">
        <v>45084.0</v>
      </c>
      <c r="C190" s="220" t="str">
        <f t="shared" si="20"/>
        <v/>
      </c>
      <c r="D190" s="220"/>
      <c r="E190" s="220">
        <f t="shared" si="18"/>
        <v>0</v>
      </c>
      <c r="F190" s="220">
        <f t="shared" si="19"/>
        <v>-10</v>
      </c>
      <c r="K190" s="216" t="s">
        <v>268</v>
      </c>
      <c r="L190" s="232">
        <f>L184+L186+L187+L188-L185-L189</f>
        <v>2000</v>
      </c>
    </row>
    <row r="191" ht="14.25" customHeight="1">
      <c r="B191" s="219">
        <v>45085.0</v>
      </c>
      <c r="C191" s="220" t="str">
        <f t="shared" si="20"/>
        <v/>
      </c>
      <c r="D191" s="220"/>
      <c r="E191" s="220">
        <f t="shared" si="18"/>
        <v>0</v>
      </c>
      <c r="F191" s="220">
        <f t="shared" si="19"/>
        <v>-10</v>
      </c>
      <c r="K191" s="216" t="s">
        <v>269</v>
      </c>
      <c r="L191" s="229"/>
    </row>
    <row r="192" ht="14.25" customHeight="1">
      <c r="B192" s="219">
        <v>45086.0</v>
      </c>
      <c r="C192" s="220" t="str">
        <f t="shared" si="20"/>
        <v/>
      </c>
      <c r="D192" s="220"/>
      <c r="E192" s="220">
        <f t="shared" si="18"/>
        <v>0</v>
      </c>
      <c r="F192" s="220">
        <f t="shared" si="19"/>
        <v>-10</v>
      </c>
    </row>
    <row r="193" ht="14.25" customHeight="1">
      <c r="B193" s="254">
        <v>45087.0</v>
      </c>
      <c r="C193" s="255" t="str">
        <f t="shared" si="20"/>
        <v/>
      </c>
      <c r="D193" s="255"/>
      <c r="E193" s="255">
        <f t="shared" si="18"/>
        <v>0</v>
      </c>
      <c r="F193" s="255">
        <f t="shared" si="19"/>
        <v>-10</v>
      </c>
    </row>
    <row r="194" ht="14.25" customHeight="1">
      <c r="B194" s="254">
        <v>45088.0</v>
      </c>
      <c r="C194" s="255" t="str">
        <f t="shared" si="20"/>
        <v/>
      </c>
      <c r="D194" s="255"/>
      <c r="E194" s="255">
        <f t="shared" si="18"/>
        <v>0</v>
      </c>
      <c r="F194" s="255">
        <f t="shared" si="19"/>
        <v>-10</v>
      </c>
    </row>
    <row r="195" ht="14.25" customHeight="1">
      <c r="B195" s="219">
        <v>45089.0</v>
      </c>
      <c r="C195" s="220" t="str">
        <f t="shared" si="20"/>
        <v/>
      </c>
      <c r="D195" s="220"/>
      <c r="E195" s="220">
        <f t="shared" si="18"/>
        <v>0</v>
      </c>
      <c r="F195" s="220">
        <f t="shared" si="19"/>
        <v>-10</v>
      </c>
    </row>
    <row r="196" ht="14.25" customHeight="1">
      <c r="B196" s="219">
        <v>45090.0</v>
      </c>
      <c r="C196" s="220" t="str">
        <f t="shared" si="20"/>
        <v/>
      </c>
      <c r="D196" s="220"/>
      <c r="E196" s="220">
        <f t="shared" si="18"/>
        <v>0</v>
      </c>
      <c r="F196" s="220">
        <f t="shared" si="19"/>
        <v>-10</v>
      </c>
    </row>
    <row r="197" ht="14.25" customHeight="1">
      <c r="B197" s="219">
        <v>45091.0</v>
      </c>
      <c r="C197" s="220" t="str">
        <f t="shared" si="20"/>
        <v/>
      </c>
      <c r="D197" s="220"/>
      <c r="E197" s="220">
        <f t="shared" si="18"/>
        <v>0</v>
      </c>
      <c r="F197" s="220">
        <f t="shared" si="19"/>
        <v>-10</v>
      </c>
    </row>
    <row r="198" ht="14.25" customHeight="1">
      <c r="B198" s="219">
        <v>45092.0</v>
      </c>
      <c r="C198" s="220" t="str">
        <f t="shared" si="20"/>
        <v/>
      </c>
      <c r="D198" s="220"/>
      <c r="E198" s="220">
        <f t="shared" si="18"/>
        <v>0</v>
      </c>
      <c r="F198" s="220">
        <f t="shared" si="19"/>
        <v>-10</v>
      </c>
    </row>
    <row r="199" ht="14.25" customHeight="1">
      <c r="B199" s="219">
        <v>45093.0</v>
      </c>
      <c r="C199" s="220" t="str">
        <f t="shared" si="20"/>
        <v/>
      </c>
      <c r="D199" s="220"/>
      <c r="E199" s="220">
        <f t="shared" si="18"/>
        <v>0</v>
      </c>
      <c r="F199" s="220">
        <f t="shared" si="19"/>
        <v>-10</v>
      </c>
    </row>
    <row r="200" ht="14.25" customHeight="1">
      <c r="B200" s="254">
        <v>45094.0</v>
      </c>
      <c r="C200" s="255" t="str">
        <f t="shared" si="20"/>
        <v/>
      </c>
      <c r="D200" s="255"/>
      <c r="E200" s="255">
        <f t="shared" si="18"/>
        <v>0</v>
      </c>
      <c r="F200" s="255">
        <f t="shared" si="19"/>
        <v>-10</v>
      </c>
    </row>
    <row r="201" ht="14.25" customHeight="1">
      <c r="B201" s="254">
        <v>45095.0</v>
      </c>
      <c r="C201" s="255" t="str">
        <f t="shared" si="20"/>
        <v/>
      </c>
      <c r="D201" s="255"/>
      <c r="E201" s="255">
        <f t="shared" si="18"/>
        <v>0</v>
      </c>
      <c r="F201" s="255">
        <f t="shared" si="19"/>
        <v>-10</v>
      </c>
    </row>
    <row r="202" ht="14.25" customHeight="1">
      <c r="B202" s="219">
        <v>45096.0</v>
      </c>
      <c r="C202" s="220" t="str">
        <f t="shared" si="20"/>
        <v/>
      </c>
      <c r="D202" s="220"/>
      <c r="E202" s="220">
        <f t="shared" si="18"/>
        <v>0</v>
      </c>
      <c r="F202" s="220">
        <f t="shared" si="19"/>
        <v>-10</v>
      </c>
    </row>
    <row r="203" ht="14.25" customHeight="1">
      <c r="B203" s="219">
        <v>45097.0</v>
      </c>
      <c r="C203" s="220" t="str">
        <f t="shared" si="20"/>
        <v/>
      </c>
      <c r="D203" s="220"/>
      <c r="E203" s="220">
        <f t="shared" si="18"/>
        <v>0</v>
      </c>
      <c r="F203" s="220">
        <f t="shared" si="19"/>
        <v>-10</v>
      </c>
    </row>
    <row r="204" ht="14.25" customHeight="1">
      <c r="B204" s="219">
        <v>45098.0</v>
      </c>
      <c r="C204" s="220" t="str">
        <f t="shared" si="20"/>
        <v/>
      </c>
      <c r="D204" s="220"/>
      <c r="E204" s="220">
        <f t="shared" si="18"/>
        <v>0</v>
      </c>
      <c r="F204" s="220">
        <f t="shared" si="19"/>
        <v>-10</v>
      </c>
    </row>
    <row r="205" ht="14.25" customHeight="1">
      <c r="B205" s="219">
        <v>45099.0</v>
      </c>
      <c r="C205" s="220" t="str">
        <f t="shared" si="20"/>
        <v/>
      </c>
      <c r="D205" s="220"/>
      <c r="E205" s="220">
        <f t="shared" si="18"/>
        <v>0</v>
      </c>
      <c r="F205" s="220">
        <f t="shared" si="19"/>
        <v>-10</v>
      </c>
    </row>
    <row r="206" ht="14.25" customHeight="1">
      <c r="B206" s="219">
        <v>45100.0</v>
      </c>
      <c r="C206" s="220" t="str">
        <f t="shared" si="20"/>
        <v/>
      </c>
      <c r="D206" s="220"/>
      <c r="E206" s="220">
        <f t="shared" si="18"/>
        <v>0</v>
      </c>
      <c r="F206" s="220">
        <f t="shared" si="19"/>
        <v>-10</v>
      </c>
    </row>
    <row r="207" ht="14.25" customHeight="1">
      <c r="B207" s="254">
        <v>45101.0</v>
      </c>
      <c r="C207" s="255" t="str">
        <f t="shared" si="20"/>
        <v/>
      </c>
      <c r="D207" s="255"/>
      <c r="E207" s="255">
        <f t="shared" si="18"/>
        <v>0</v>
      </c>
      <c r="F207" s="255">
        <f t="shared" si="19"/>
        <v>-10</v>
      </c>
    </row>
    <row r="208" ht="14.25" customHeight="1">
      <c r="B208" s="254">
        <v>45102.0</v>
      </c>
      <c r="C208" s="255" t="str">
        <f t="shared" si="20"/>
        <v/>
      </c>
      <c r="D208" s="255"/>
      <c r="E208" s="255">
        <f t="shared" si="18"/>
        <v>0</v>
      </c>
      <c r="F208" s="255">
        <f t="shared" si="19"/>
        <v>-10</v>
      </c>
    </row>
    <row r="209" ht="14.25" customHeight="1">
      <c r="B209" s="219">
        <v>45103.0</v>
      </c>
      <c r="C209" s="220" t="str">
        <f t="shared" si="20"/>
        <v/>
      </c>
      <c r="D209" s="220"/>
      <c r="E209" s="220">
        <f t="shared" si="18"/>
        <v>0</v>
      </c>
      <c r="F209" s="220">
        <f t="shared" si="19"/>
        <v>-10</v>
      </c>
    </row>
    <row r="210" ht="14.25" customHeight="1">
      <c r="B210" s="219">
        <v>45104.0</v>
      </c>
      <c r="C210" s="220" t="str">
        <f t="shared" si="20"/>
        <v/>
      </c>
      <c r="D210" s="220"/>
      <c r="E210" s="220">
        <f t="shared" si="18"/>
        <v>0</v>
      </c>
      <c r="F210" s="220">
        <f t="shared" si="19"/>
        <v>-10</v>
      </c>
    </row>
    <row r="211" ht="14.25" customHeight="1">
      <c r="B211" s="219">
        <v>45105.0</v>
      </c>
      <c r="C211" s="220" t="str">
        <f t="shared" si="20"/>
        <v/>
      </c>
      <c r="D211" s="220"/>
      <c r="E211" s="220">
        <f t="shared" si="18"/>
        <v>0</v>
      </c>
      <c r="F211" s="220">
        <f t="shared" si="19"/>
        <v>-10</v>
      </c>
    </row>
    <row r="212" ht="14.25" customHeight="1">
      <c r="B212" s="219">
        <v>45106.0</v>
      </c>
      <c r="C212" s="220" t="str">
        <f t="shared" si="20"/>
        <v/>
      </c>
      <c r="D212" s="220"/>
      <c r="E212" s="220">
        <f t="shared" si="18"/>
        <v>0</v>
      </c>
      <c r="F212" s="220">
        <f t="shared" si="19"/>
        <v>-10</v>
      </c>
    </row>
    <row r="213" ht="14.25" customHeight="1">
      <c r="B213" s="219">
        <v>45107.0</v>
      </c>
      <c r="C213" s="220" t="str">
        <f t="shared" si="20"/>
        <v/>
      </c>
      <c r="D213" s="220"/>
      <c r="E213" s="220">
        <f t="shared" si="18"/>
        <v>0</v>
      </c>
      <c r="F213" s="220">
        <f t="shared" si="19"/>
        <v>-10</v>
      </c>
    </row>
    <row r="214" ht="14.25" customHeight="1">
      <c r="B214" s="229"/>
      <c r="C214" s="220" t="str">
        <f t="shared" si="20"/>
        <v/>
      </c>
      <c r="D214" s="220"/>
      <c r="E214" s="220">
        <f t="shared" si="18"/>
        <v>0</v>
      </c>
      <c r="F214" s="220">
        <f t="shared" si="19"/>
        <v>-10</v>
      </c>
    </row>
    <row r="215" ht="14.25" customHeight="1">
      <c r="B215" s="216"/>
      <c r="C215" s="223" t="s">
        <v>221</v>
      </c>
      <c r="D215" s="223"/>
      <c r="E215" s="216">
        <f>SUM(E184:E214)</f>
        <v>0</v>
      </c>
      <c r="F215" s="216">
        <f t="shared" si="19"/>
        <v>-10</v>
      </c>
    </row>
    <row r="216" ht="14.25" customHeight="1"/>
    <row r="217" ht="14.25" customHeight="1">
      <c r="A217" s="249" t="s">
        <v>274</v>
      </c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1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4.25" customHeight="1"/>
    <row r="219" ht="14.25" customHeight="1">
      <c r="B219" s="216" t="s">
        <v>214</v>
      </c>
      <c r="C219" s="216" t="s">
        <v>215</v>
      </c>
      <c r="D219" s="216" t="s">
        <v>216</v>
      </c>
      <c r="E219" s="216" t="s">
        <v>217</v>
      </c>
      <c r="F219" s="216" t="s">
        <v>218</v>
      </c>
      <c r="H219" s="216" t="s">
        <v>238</v>
      </c>
      <c r="I219" s="216"/>
      <c r="K219" s="253" t="s">
        <v>274</v>
      </c>
      <c r="L219" s="231"/>
    </row>
    <row r="220" ht="14.25" customHeight="1">
      <c r="B220" s="219">
        <v>45078.0</v>
      </c>
      <c r="C220" s="220"/>
      <c r="D220" s="220"/>
      <c r="E220" s="220">
        <f t="shared" ref="E220:E250" si="21">D220-C220</f>
        <v>0</v>
      </c>
      <c r="F220" s="220">
        <f t="shared" ref="F220:F251" si="22">E220-10</f>
        <v>-10</v>
      </c>
      <c r="H220" s="216" t="s">
        <v>245</v>
      </c>
      <c r="I220" s="216"/>
      <c r="K220" s="216" t="s">
        <v>244</v>
      </c>
      <c r="L220" s="232">
        <v>2000.0</v>
      </c>
    </row>
    <row r="221" ht="14.25" customHeight="1">
      <c r="B221" s="219">
        <v>45079.0</v>
      </c>
      <c r="C221" s="220" t="str">
        <f t="shared" ref="C221:C250" si="23">D220</f>
        <v/>
      </c>
      <c r="D221" s="220"/>
      <c r="E221" s="220">
        <f t="shared" si="21"/>
        <v>0</v>
      </c>
      <c r="F221" s="220">
        <f t="shared" si="22"/>
        <v>-10</v>
      </c>
      <c r="H221" s="216" t="s">
        <v>247</v>
      </c>
      <c r="I221" s="216"/>
      <c r="K221" s="216" t="s">
        <v>266</v>
      </c>
      <c r="L221" s="232"/>
    </row>
    <row r="222" ht="14.25" customHeight="1">
      <c r="B222" s="254">
        <v>45080.0</v>
      </c>
      <c r="C222" s="255" t="str">
        <f t="shared" si="23"/>
        <v/>
      </c>
      <c r="D222" s="255"/>
      <c r="E222" s="255">
        <f t="shared" si="21"/>
        <v>0</v>
      </c>
      <c r="F222" s="255">
        <f t="shared" si="22"/>
        <v>-10</v>
      </c>
      <c r="H222" s="216" t="s">
        <v>249</v>
      </c>
      <c r="I222" s="232">
        <v>18.0</v>
      </c>
      <c r="K222" s="216" t="s">
        <v>246</v>
      </c>
      <c r="L222" s="232">
        <f>O222*O223</f>
        <v>0</v>
      </c>
    </row>
    <row r="223" ht="14.25" customHeight="1">
      <c r="B223" s="254">
        <v>45081.0</v>
      </c>
      <c r="C223" s="255" t="str">
        <f t="shared" si="23"/>
        <v/>
      </c>
      <c r="D223" s="255"/>
      <c r="E223" s="255">
        <f t="shared" si="21"/>
        <v>0</v>
      </c>
      <c r="F223" s="255">
        <f t="shared" si="22"/>
        <v>-10</v>
      </c>
      <c r="H223" s="216" t="s">
        <v>251</v>
      </c>
      <c r="I223" s="216"/>
      <c r="K223" s="216" t="s">
        <v>248</v>
      </c>
      <c r="L223" s="232">
        <f>O224*O225</f>
        <v>0</v>
      </c>
    </row>
    <row r="224" ht="14.25" customHeight="1">
      <c r="B224" s="219">
        <v>45082.0</v>
      </c>
      <c r="C224" s="220" t="str">
        <f t="shared" si="23"/>
        <v/>
      </c>
      <c r="D224" s="220"/>
      <c r="E224" s="220">
        <f t="shared" si="21"/>
        <v>0</v>
      </c>
      <c r="F224" s="220">
        <f t="shared" si="22"/>
        <v>-10</v>
      </c>
      <c r="H224" s="216" t="s">
        <v>249</v>
      </c>
      <c r="I224" s="232">
        <v>10.0</v>
      </c>
      <c r="K224" s="216" t="s">
        <v>250</v>
      </c>
      <c r="L224" s="232">
        <f>O226*100</f>
        <v>0</v>
      </c>
    </row>
    <row r="225" ht="14.25" customHeight="1">
      <c r="B225" s="219">
        <v>45083.0</v>
      </c>
      <c r="C225" s="220" t="str">
        <f t="shared" si="23"/>
        <v/>
      </c>
      <c r="D225" s="220"/>
      <c r="E225" s="220">
        <f t="shared" si="21"/>
        <v>0</v>
      </c>
      <c r="F225" s="220">
        <f t="shared" si="22"/>
        <v>-10</v>
      </c>
      <c r="H225" s="216" t="s">
        <v>250</v>
      </c>
      <c r="I225" s="216"/>
      <c r="K225" s="216" t="s">
        <v>252</v>
      </c>
      <c r="L225" s="232"/>
    </row>
    <row r="226" ht="14.25" customHeight="1">
      <c r="B226" s="219">
        <v>45084.0</v>
      </c>
      <c r="C226" s="220" t="str">
        <f t="shared" si="23"/>
        <v/>
      </c>
      <c r="D226" s="220"/>
      <c r="E226" s="220">
        <f t="shared" si="21"/>
        <v>0</v>
      </c>
      <c r="F226" s="220">
        <f t="shared" si="22"/>
        <v>-10</v>
      </c>
      <c r="K226" s="216" t="s">
        <v>268</v>
      </c>
      <c r="L226" s="232">
        <f>L220+L222+L223+L224-L221-L225</f>
        <v>2000</v>
      </c>
    </row>
    <row r="227" ht="14.25" customHeight="1">
      <c r="B227" s="219">
        <v>45085.0</v>
      </c>
      <c r="C227" s="220" t="str">
        <f t="shared" si="23"/>
        <v/>
      </c>
      <c r="D227" s="220"/>
      <c r="E227" s="220">
        <f t="shared" si="21"/>
        <v>0</v>
      </c>
      <c r="F227" s="220">
        <f t="shared" si="22"/>
        <v>-10</v>
      </c>
      <c r="K227" s="216" t="s">
        <v>269</v>
      </c>
      <c r="L227" s="229"/>
    </row>
    <row r="228" ht="14.25" customHeight="1">
      <c r="B228" s="219">
        <v>45086.0</v>
      </c>
      <c r="C228" s="220" t="str">
        <f t="shared" si="23"/>
        <v/>
      </c>
      <c r="D228" s="220"/>
      <c r="E228" s="220">
        <f t="shared" si="21"/>
        <v>0</v>
      </c>
      <c r="F228" s="220">
        <f t="shared" si="22"/>
        <v>-10</v>
      </c>
    </row>
    <row r="229" ht="14.25" customHeight="1">
      <c r="B229" s="254">
        <v>45087.0</v>
      </c>
      <c r="C229" s="255" t="str">
        <f t="shared" si="23"/>
        <v/>
      </c>
      <c r="D229" s="255"/>
      <c r="E229" s="255">
        <f t="shared" si="21"/>
        <v>0</v>
      </c>
      <c r="F229" s="255">
        <f t="shared" si="22"/>
        <v>-10</v>
      </c>
    </row>
    <row r="230" ht="14.25" customHeight="1">
      <c r="B230" s="254">
        <v>45088.0</v>
      </c>
      <c r="C230" s="255" t="str">
        <f t="shared" si="23"/>
        <v/>
      </c>
      <c r="D230" s="255"/>
      <c r="E230" s="255">
        <f t="shared" si="21"/>
        <v>0</v>
      </c>
      <c r="F230" s="255">
        <f t="shared" si="22"/>
        <v>-10</v>
      </c>
    </row>
    <row r="231" ht="14.25" customHeight="1">
      <c r="B231" s="219">
        <v>45089.0</v>
      </c>
      <c r="C231" s="220" t="str">
        <f t="shared" si="23"/>
        <v/>
      </c>
      <c r="D231" s="220"/>
      <c r="E231" s="220">
        <f t="shared" si="21"/>
        <v>0</v>
      </c>
      <c r="F231" s="220">
        <f t="shared" si="22"/>
        <v>-10</v>
      </c>
    </row>
    <row r="232" ht="14.25" customHeight="1">
      <c r="B232" s="219">
        <v>45090.0</v>
      </c>
      <c r="C232" s="220" t="str">
        <f t="shared" si="23"/>
        <v/>
      </c>
      <c r="D232" s="220"/>
      <c r="E232" s="220">
        <f t="shared" si="21"/>
        <v>0</v>
      </c>
      <c r="F232" s="220">
        <f t="shared" si="22"/>
        <v>-10</v>
      </c>
    </row>
    <row r="233" ht="14.25" customHeight="1">
      <c r="B233" s="219">
        <v>45091.0</v>
      </c>
      <c r="C233" s="220" t="str">
        <f t="shared" si="23"/>
        <v/>
      </c>
      <c r="D233" s="220"/>
      <c r="E233" s="220">
        <f t="shared" si="21"/>
        <v>0</v>
      </c>
      <c r="F233" s="220">
        <f t="shared" si="22"/>
        <v>-10</v>
      </c>
    </row>
    <row r="234" ht="14.25" customHeight="1">
      <c r="B234" s="219">
        <v>45092.0</v>
      </c>
      <c r="C234" s="220" t="str">
        <f t="shared" si="23"/>
        <v/>
      </c>
      <c r="D234" s="220"/>
      <c r="E234" s="220">
        <f t="shared" si="21"/>
        <v>0</v>
      </c>
      <c r="F234" s="220">
        <f t="shared" si="22"/>
        <v>-10</v>
      </c>
    </row>
    <row r="235" ht="14.25" customHeight="1">
      <c r="B235" s="219">
        <v>45093.0</v>
      </c>
      <c r="C235" s="220" t="str">
        <f t="shared" si="23"/>
        <v/>
      </c>
      <c r="D235" s="220"/>
      <c r="E235" s="220">
        <f t="shared" si="21"/>
        <v>0</v>
      </c>
      <c r="F235" s="220">
        <f t="shared" si="22"/>
        <v>-10</v>
      </c>
    </row>
    <row r="236" ht="14.25" customHeight="1">
      <c r="B236" s="254">
        <v>45094.0</v>
      </c>
      <c r="C236" s="255" t="str">
        <f t="shared" si="23"/>
        <v/>
      </c>
      <c r="D236" s="255"/>
      <c r="E236" s="255">
        <f t="shared" si="21"/>
        <v>0</v>
      </c>
      <c r="F236" s="255">
        <f t="shared" si="22"/>
        <v>-10</v>
      </c>
    </row>
    <row r="237" ht="14.25" customHeight="1">
      <c r="B237" s="254">
        <v>45095.0</v>
      </c>
      <c r="C237" s="255" t="str">
        <f t="shared" si="23"/>
        <v/>
      </c>
      <c r="D237" s="255"/>
      <c r="E237" s="255">
        <f t="shared" si="21"/>
        <v>0</v>
      </c>
      <c r="F237" s="255">
        <f t="shared" si="22"/>
        <v>-10</v>
      </c>
    </row>
    <row r="238" ht="14.25" customHeight="1">
      <c r="B238" s="219">
        <v>45096.0</v>
      </c>
      <c r="C238" s="220" t="str">
        <f t="shared" si="23"/>
        <v/>
      </c>
      <c r="D238" s="220"/>
      <c r="E238" s="220">
        <f t="shared" si="21"/>
        <v>0</v>
      </c>
      <c r="F238" s="220">
        <f t="shared" si="22"/>
        <v>-10</v>
      </c>
    </row>
    <row r="239" ht="14.25" customHeight="1">
      <c r="B239" s="219">
        <v>45097.0</v>
      </c>
      <c r="C239" s="220" t="str">
        <f t="shared" si="23"/>
        <v/>
      </c>
      <c r="D239" s="220"/>
      <c r="E239" s="220">
        <f t="shared" si="21"/>
        <v>0</v>
      </c>
      <c r="F239" s="220">
        <f t="shared" si="22"/>
        <v>-10</v>
      </c>
    </row>
    <row r="240" ht="14.25" customHeight="1">
      <c r="B240" s="219">
        <v>45098.0</v>
      </c>
      <c r="C240" s="220" t="str">
        <f t="shared" si="23"/>
        <v/>
      </c>
      <c r="D240" s="220"/>
      <c r="E240" s="220">
        <f t="shared" si="21"/>
        <v>0</v>
      </c>
      <c r="F240" s="220">
        <f t="shared" si="22"/>
        <v>-10</v>
      </c>
    </row>
    <row r="241" ht="14.25" customHeight="1">
      <c r="B241" s="219">
        <v>45099.0</v>
      </c>
      <c r="C241" s="220" t="str">
        <f t="shared" si="23"/>
        <v/>
      </c>
      <c r="D241" s="220"/>
      <c r="E241" s="220">
        <f t="shared" si="21"/>
        <v>0</v>
      </c>
      <c r="F241" s="220">
        <f t="shared" si="22"/>
        <v>-10</v>
      </c>
    </row>
    <row r="242" ht="14.25" customHeight="1">
      <c r="B242" s="219">
        <v>45100.0</v>
      </c>
      <c r="C242" s="220" t="str">
        <f t="shared" si="23"/>
        <v/>
      </c>
      <c r="D242" s="220"/>
      <c r="E242" s="220">
        <f t="shared" si="21"/>
        <v>0</v>
      </c>
      <c r="F242" s="220">
        <f t="shared" si="22"/>
        <v>-10</v>
      </c>
    </row>
    <row r="243" ht="14.25" customHeight="1">
      <c r="B243" s="254">
        <v>45101.0</v>
      </c>
      <c r="C243" s="255" t="str">
        <f t="shared" si="23"/>
        <v/>
      </c>
      <c r="D243" s="255"/>
      <c r="E243" s="255">
        <f t="shared" si="21"/>
        <v>0</v>
      </c>
      <c r="F243" s="255">
        <f t="shared" si="22"/>
        <v>-10</v>
      </c>
    </row>
    <row r="244" ht="14.25" customHeight="1">
      <c r="B244" s="254">
        <v>45102.0</v>
      </c>
      <c r="C244" s="255" t="str">
        <f t="shared" si="23"/>
        <v/>
      </c>
      <c r="D244" s="255"/>
      <c r="E244" s="255">
        <f t="shared" si="21"/>
        <v>0</v>
      </c>
      <c r="F244" s="255">
        <f t="shared" si="22"/>
        <v>-10</v>
      </c>
    </row>
    <row r="245" ht="14.25" customHeight="1">
      <c r="B245" s="219">
        <v>45103.0</v>
      </c>
      <c r="C245" s="220" t="str">
        <f t="shared" si="23"/>
        <v/>
      </c>
      <c r="D245" s="220"/>
      <c r="E245" s="220">
        <f t="shared" si="21"/>
        <v>0</v>
      </c>
      <c r="F245" s="220">
        <f t="shared" si="22"/>
        <v>-10</v>
      </c>
    </row>
    <row r="246" ht="14.25" customHeight="1">
      <c r="B246" s="219">
        <v>45104.0</v>
      </c>
      <c r="C246" s="220" t="str">
        <f t="shared" si="23"/>
        <v/>
      </c>
      <c r="D246" s="220"/>
      <c r="E246" s="220">
        <f t="shared" si="21"/>
        <v>0</v>
      </c>
      <c r="F246" s="220">
        <f t="shared" si="22"/>
        <v>-10</v>
      </c>
    </row>
    <row r="247" ht="14.25" customHeight="1">
      <c r="B247" s="219">
        <v>45105.0</v>
      </c>
      <c r="C247" s="220" t="str">
        <f t="shared" si="23"/>
        <v/>
      </c>
      <c r="D247" s="220"/>
      <c r="E247" s="220">
        <f t="shared" si="21"/>
        <v>0</v>
      </c>
      <c r="F247" s="220">
        <f t="shared" si="22"/>
        <v>-10</v>
      </c>
    </row>
    <row r="248" ht="14.25" customHeight="1">
      <c r="B248" s="219">
        <v>45106.0</v>
      </c>
      <c r="C248" s="220" t="str">
        <f t="shared" si="23"/>
        <v/>
      </c>
      <c r="D248" s="220"/>
      <c r="E248" s="220">
        <f t="shared" si="21"/>
        <v>0</v>
      </c>
      <c r="F248" s="220">
        <f t="shared" si="22"/>
        <v>-10</v>
      </c>
    </row>
    <row r="249" ht="14.25" customHeight="1">
      <c r="B249" s="219">
        <v>45107.0</v>
      </c>
      <c r="C249" s="220" t="str">
        <f t="shared" si="23"/>
        <v/>
      </c>
      <c r="D249" s="220"/>
      <c r="E249" s="220">
        <f t="shared" si="21"/>
        <v>0</v>
      </c>
      <c r="F249" s="220">
        <f t="shared" si="22"/>
        <v>-10</v>
      </c>
    </row>
    <row r="250" ht="14.25" customHeight="1">
      <c r="B250" s="229"/>
      <c r="C250" s="220" t="str">
        <f t="shared" si="23"/>
        <v/>
      </c>
      <c r="D250" s="220"/>
      <c r="E250" s="220">
        <f t="shared" si="21"/>
        <v>0</v>
      </c>
      <c r="F250" s="220">
        <f t="shared" si="22"/>
        <v>-10</v>
      </c>
    </row>
    <row r="251" ht="14.25" customHeight="1">
      <c r="B251" s="216"/>
      <c r="C251" s="223" t="s">
        <v>221</v>
      </c>
      <c r="D251" s="223"/>
      <c r="E251" s="216">
        <f>SUM(E220:E250)</f>
        <v>0</v>
      </c>
      <c r="F251" s="216">
        <f t="shared" si="22"/>
        <v>-10</v>
      </c>
    </row>
    <row r="252" ht="14.25" customHeight="1"/>
    <row r="253" ht="14.25" customHeight="1">
      <c r="A253" s="249" t="s">
        <v>234</v>
      </c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1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4.25" customHeight="1"/>
    <row r="255" ht="14.25" customHeight="1">
      <c r="B255" s="216" t="s">
        <v>214</v>
      </c>
      <c r="C255" s="216" t="s">
        <v>215</v>
      </c>
      <c r="D255" s="216" t="s">
        <v>216</v>
      </c>
      <c r="E255" s="216" t="s">
        <v>217</v>
      </c>
      <c r="F255" s="216" t="s">
        <v>218</v>
      </c>
      <c r="H255" s="216" t="s">
        <v>238</v>
      </c>
      <c r="I255" s="216"/>
      <c r="K255" s="253" t="s">
        <v>234</v>
      </c>
      <c r="L255" s="231"/>
    </row>
    <row r="256" ht="14.25" customHeight="1">
      <c r="B256" s="219">
        <v>45078.0</v>
      </c>
      <c r="C256" s="220"/>
      <c r="D256" s="220"/>
      <c r="E256" s="220">
        <f t="shared" ref="E256:E286" si="24">D256-C256</f>
        <v>0</v>
      </c>
      <c r="F256" s="220">
        <f t="shared" ref="F256:F287" si="25">E256-10</f>
        <v>-10</v>
      </c>
      <c r="H256" s="216" t="s">
        <v>245</v>
      </c>
      <c r="I256" s="216"/>
      <c r="K256" s="216" t="s">
        <v>244</v>
      </c>
      <c r="L256" s="232">
        <v>2000.0</v>
      </c>
    </row>
    <row r="257" ht="14.25" customHeight="1">
      <c r="B257" s="219">
        <v>45079.0</v>
      </c>
      <c r="C257" s="220" t="str">
        <f t="shared" ref="C257:C286" si="26">D256</f>
        <v/>
      </c>
      <c r="D257" s="220"/>
      <c r="E257" s="220">
        <f t="shared" si="24"/>
        <v>0</v>
      </c>
      <c r="F257" s="220">
        <f t="shared" si="25"/>
        <v>-10</v>
      </c>
      <c r="H257" s="216" t="s">
        <v>247</v>
      </c>
      <c r="I257" s="216"/>
      <c r="K257" s="216" t="s">
        <v>266</v>
      </c>
      <c r="L257" s="232"/>
    </row>
    <row r="258" ht="14.25" customHeight="1">
      <c r="B258" s="254">
        <v>45080.0</v>
      </c>
      <c r="C258" s="255" t="str">
        <f t="shared" si="26"/>
        <v/>
      </c>
      <c r="D258" s="255"/>
      <c r="E258" s="255">
        <f t="shared" si="24"/>
        <v>0</v>
      </c>
      <c r="F258" s="255">
        <f t="shared" si="25"/>
        <v>-10</v>
      </c>
      <c r="H258" s="216" t="s">
        <v>249</v>
      </c>
      <c r="I258" s="232">
        <v>18.0</v>
      </c>
      <c r="K258" s="216" t="s">
        <v>246</v>
      </c>
      <c r="L258" s="232">
        <f>O258*O259</f>
        <v>0</v>
      </c>
    </row>
    <row r="259" ht="14.25" customHeight="1">
      <c r="B259" s="254">
        <v>45081.0</v>
      </c>
      <c r="C259" s="255" t="str">
        <f t="shared" si="26"/>
        <v/>
      </c>
      <c r="D259" s="255"/>
      <c r="E259" s="255">
        <f t="shared" si="24"/>
        <v>0</v>
      </c>
      <c r="F259" s="255">
        <f t="shared" si="25"/>
        <v>-10</v>
      </c>
      <c r="H259" s="216" t="s">
        <v>251</v>
      </c>
      <c r="I259" s="216"/>
      <c r="K259" s="216" t="s">
        <v>248</v>
      </c>
      <c r="L259" s="232">
        <f>O260*O261</f>
        <v>0</v>
      </c>
    </row>
    <row r="260" ht="14.25" customHeight="1">
      <c r="B260" s="219">
        <v>45082.0</v>
      </c>
      <c r="C260" s="220" t="str">
        <f t="shared" si="26"/>
        <v/>
      </c>
      <c r="D260" s="220"/>
      <c r="E260" s="220">
        <f t="shared" si="24"/>
        <v>0</v>
      </c>
      <c r="F260" s="220">
        <f t="shared" si="25"/>
        <v>-10</v>
      </c>
      <c r="H260" s="216" t="s">
        <v>249</v>
      </c>
      <c r="I260" s="232">
        <v>10.0</v>
      </c>
      <c r="K260" s="216" t="s">
        <v>250</v>
      </c>
      <c r="L260" s="232">
        <f>O262*100</f>
        <v>0</v>
      </c>
    </row>
    <row r="261" ht="14.25" customHeight="1">
      <c r="B261" s="219">
        <v>45083.0</v>
      </c>
      <c r="C261" s="220" t="str">
        <f t="shared" si="26"/>
        <v/>
      </c>
      <c r="D261" s="220"/>
      <c r="E261" s="220">
        <f t="shared" si="24"/>
        <v>0</v>
      </c>
      <c r="F261" s="220">
        <f t="shared" si="25"/>
        <v>-10</v>
      </c>
      <c r="H261" s="216" t="s">
        <v>250</v>
      </c>
      <c r="I261" s="216"/>
      <c r="K261" s="216" t="s">
        <v>252</v>
      </c>
      <c r="L261" s="232"/>
    </row>
    <row r="262" ht="14.25" customHeight="1">
      <c r="B262" s="219">
        <v>45084.0</v>
      </c>
      <c r="C262" s="220" t="str">
        <f t="shared" si="26"/>
        <v/>
      </c>
      <c r="D262" s="220"/>
      <c r="E262" s="220">
        <f t="shared" si="24"/>
        <v>0</v>
      </c>
      <c r="F262" s="220">
        <f t="shared" si="25"/>
        <v>-10</v>
      </c>
      <c r="K262" s="216" t="s">
        <v>268</v>
      </c>
      <c r="L262" s="232">
        <f>L256+L258+L259+L260-L257-L261</f>
        <v>2000</v>
      </c>
    </row>
    <row r="263" ht="14.25" customHeight="1">
      <c r="B263" s="219">
        <v>45085.0</v>
      </c>
      <c r="C263" s="220" t="str">
        <f t="shared" si="26"/>
        <v/>
      </c>
      <c r="D263" s="220"/>
      <c r="E263" s="220">
        <f t="shared" si="24"/>
        <v>0</v>
      </c>
      <c r="F263" s="220">
        <f t="shared" si="25"/>
        <v>-10</v>
      </c>
      <c r="K263" s="216" t="s">
        <v>269</v>
      </c>
      <c r="L263" s="229"/>
    </row>
    <row r="264" ht="14.25" customHeight="1">
      <c r="B264" s="219">
        <v>45086.0</v>
      </c>
      <c r="C264" s="220" t="str">
        <f t="shared" si="26"/>
        <v/>
      </c>
      <c r="D264" s="220"/>
      <c r="E264" s="220">
        <f t="shared" si="24"/>
        <v>0</v>
      </c>
      <c r="F264" s="220">
        <f t="shared" si="25"/>
        <v>-10</v>
      </c>
    </row>
    <row r="265" ht="14.25" customHeight="1">
      <c r="B265" s="254">
        <v>45087.0</v>
      </c>
      <c r="C265" s="255" t="str">
        <f t="shared" si="26"/>
        <v/>
      </c>
      <c r="D265" s="255"/>
      <c r="E265" s="255">
        <f t="shared" si="24"/>
        <v>0</v>
      </c>
      <c r="F265" s="255">
        <f t="shared" si="25"/>
        <v>-10</v>
      </c>
    </row>
    <row r="266" ht="14.25" customHeight="1">
      <c r="B266" s="254">
        <v>45088.0</v>
      </c>
      <c r="C266" s="255" t="str">
        <f t="shared" si="26"/>
        <v/>
      </c>
      <c r="D266" s="255"/>
      <c r="E266" s="255">
        <f t="shared" si="24"/>
        <v>0</v>
      </c>
      <c r="F266" s="255">
        <f t="shared" si="25"/>
        <v>-10</v>
      </c>
    </row>
    <row r="267" ht="14.25" customHeight="1">
      <c r="B267" s="219">
        <v>45089.0</v>
      </c>
      <c r="C267" s="220" t="str">
        <f t="shared" si="26"/>
        <v/>
      </c>
      <c r="D267" s="220"/>
      <c r="E267" s="220">
        <f t="shared" si="24"/>
        <v>0</v>
      </c>
      <c r="F267" s="220">
        <f t="shared" si="25"/>
        <v>-10</v>
      </c>
    </row>
    <row r="268" ht="14.25" customHeight="1">
      <c r="B268" s="219">
        <v>45090.0</v>
      </c>
      <c r="C268" s="220" t="str">
        <f t="shared" si="26"/>
        <v/>
      </c>
      <c r="D268" s="220"/>
      <c r="E268" s="220">
        <f t="shared" si="24"/>
        <v>0</v>
      </c>
      <c r="F268" s="220">
        <f t="shared" si="25"/>
        <v>-10</v>
      </c>
    </row>
    <row r="269" ht="14.25" customHeight="1">
      <c r="B269" s="219">
        <v>45091.0</v>
      </c>
      <c r="C269" s="220" t="str">
        <f t="shared" si="26"/>
        <v/>
      </c>
      <c r="D269" s="220"/>
      <c r="E269" s="220">
        <f t="shared" si="24"/>
        <v>0</v>
      </c>
      <c r="F269" s="220">
        <f t="shared" si="25"/>
        <v>-10</v>
      </c>
    </row>
    <row r="270" ht="14.25" customHeight="1">
      <c r="B270" s="219">
        <v>45092.0</v>
      </c>
      <c r="C270" s="220" t="str">
        <f t="shared" si="26"/>
        <v/>
      </c>
      <c r="D270" s="220"/>
      <c r="E270" s="220">
        <f t="shared" si="24"/>
        <v>0</v>
      </c>
      <c r="F270" s="220">
        <f t="shared" si="25"/>
        <v>-10</v>
      </c>
    </row>
    <row r="271" ht="14.25" customHeight="1">
      <c r="B271" s="219">
        <v>45093.0</v>
      </c>
      <c r="C271" s="220" t="str">
        <f t="shared" si="26"/>
        <v/>
      </c>
      <c r="D271" s="220"/>
      <c r="E271" s="220">
        <f t="shared" si="24"/>
        <v>0</v>
      </c>
      <c r="F271" s="220">
        <f t="shared" si="25"/>
        <v>-10</v>
      </c>
    </row>
    <row r="272" ht="14.25" customHeight="1">
      <c r="B272" s="254">
        <v>45094.0</v>
      </c>
      <c r="C272" s="255" t="str">
        <f t="shared" si="26"/>
        <v/>
      </c>
      <c r="D272" s="255"/>
      <c r="E272" s="255">
        <f t="shared" si="24"/>
        <v>0</v>
      </c>
      <c r="F272" s="255">
        <f t="shared" si="25"/>
        <v>-10</v>
      </c>
    </row>
    <row r="273" ht="14.25" customHeight="1">
      <c r="B273" s="254">
        <v>45095.0</v>
      </c>
      <c r="C273" s="255" t="str">
        <f t="shared" si="26"/>
        <v/>
      </c>
      <c r="D273" s="255"/>
      <c r="E273" s="255">
        <f t="shared" si="24"/>
        <v>0</v>
      </c>
      <c r="F273" s="255">
        <f t="shared" si="25"/>
        <v>-10</v>
      </c>
    </row>
    <row r="274" ht="14.25" customHeight="1">
      <c r="B274" s="219">
        <v>45096.0</v>
      </c>
      <c r="C274" s="220" t="str">
        <f t="shared" si="26"/>
        <v/>
      </c>
      <c r="D274" s="220"/>
      <c r="E274" s="220">
        <f t="shared" si="24"/>
        <v>0</v>
      </c>
      <c r="F274" s="220">
        <f t="shared" si="25"/>
        <v>-10</v>
      </c>
    </row>
    <row r="275" ht="14.25" customHeight="1">
      <c r="B275" s="219">
        <v>45097.0</v>
      </c>
      <c r="C275" s="220" t="str">
        <f t="shared" si="26"/>
        <v/>
      </c>
      <c r="D275" s="220"/>
      <c r="E275" s="220">
        <f t="shared" si="24"/>
        <v>0</v>
      </c>
      <c r="F275" s="220">
        <f t="shared" si="25"/>
        <v>-10</v>
      </c>
    </row>
    <row r="276" ht="14.25" customHeight="1">
      <c r="B276" s="219">
        <v>45098.0</v>
      </c>
      <c r="C276" s="220" t="str">
        <f t="shared" si="26"/>
        <v/>
      </c>
      <c r="D276" s="220"/>
      <c r="E276" s="220">
        <f t="shared" si="24"/>
        <v>0</v>
      </c>
      <c r="F276" s="220">
        <f t="shared" si="25"/>
        <v>-10</v>
      </c>
    </row>
    <row r="277" ht="14.25" customHeight="1">
      <c r="B277" s="219">
        <v>45099.0</v>
      </c>
      <c r="C277" s="220" t="str">
        <f t="shared" si="26"/>
        <v/>
      </c>
      <c r="D277" s="220"/>
      <c r="E277" s="220">
        <f t="shared" si="24"/>
        <v>0</v>
      </c>
      <c r="F277" s="220">
        <f t="shared" si="25"/>
        <v>-10</v>
      </c>
    </row>
    <row r="278" ht="14.25" customHeight="1">
      <c r="B278" s="219">
        <v>45100.0</v>
      </c>
      <c r="C278" s="220" t="str">
        <f t="shared" si="26"/>
        <v/>
      </c>
      <c r="D278" s="220"/>
      <c r="E278" s="220">
        <f t="shared" si="24"/>
        <v>0</v>
      </c>
      <c r="F278" s="220">
        <f t="shared" si="25"/>
        <v>-10</v>
      </c>
    </row>
    <row r="279" ht="14.25" customHeight="1">
      <c r="B279" s="254">
        <v>45101.0</v>
      </c>
      <c r="C279" s="255" t="str">
        <f t="shared" si="26"/>
        <v/>
      </c>
      <c r="D279" s="255"/>
      <c r="E279" s="255">
        <f t="shared" si="24"/>
        <v>0</v>
      </c>
      <c r="F279" s="255">
        <f t="shared" si="25"/>
        <v>-10</v>
      </c>
    </row>
    <row r="280" ht="14.25" customHeight="1">
      <c r="B280" s="254">
        <v>45102.0</v>
      </c>
      <c r="C280" s="255" t="str">
        <f t="shared" si="26"/>
        <v/>
      </c>
      <c r="D280" s="255"/>
      <c r="E280" s="255">
        <f t="shared" si="24"/>
        <v>0</v>
      </c>
      <c r="F280" s="255">
        <f t="shared" si="25"/>
        <v>-10</v>
      </c>
    </row>
    <row r="281" ht="14.25" customHeight="1">
      <c r="B281" s="219">
        <v>45103.0</v>
      </c>
      <c r="C281" s="220" t="str">
        <f t="shared" si="26"/>
        <v/>
      </c>
      <c r="D281" s="220"/>
      <c r="E281" s="220">
        <f t="shared" si="24"/>
        <v>0</v>
      </c>
      <c r="F281" s="220">
        <f t="shared" si="25"/>
        <v>-10</v>
      </c>
    </row>
    <row r="282" ht="14.25" customHeight="1">
      <c r="B282" s="219">
        <v>45104.0</v>
      </c>
      <c r="C282" s="220" t="str">
        <f t="shared" si="26"/>
        <v/>
      </c>
      <c r="D282" s="220"/>
      <c r="E282" s="220">
        <f t="shared" si="24"/>
        <v>0</v>
      </c>
      <c r="F282" s="220">
        <f t="shared" si="25"/>
        <v>-10</v>
      </c>
    </row>
    <row r="283" ht="14.25" customHeight="1">
      <c r="B283" s="219">
        <v>45105.0</v>
      </c>
      <c r="C283" s="220" t="str">
        <f t="shared" si="26"/>
        <v/>
      </c>
      <c r="D283" s="220"/>
      <c r="E283" s="220">
        <f t="shared" si="24"/>
        <v>0</v>
      </c>
      <c r="F283" s="220">
        <f t="shared" si="25"/>
        <v>-10</v>
      </c>
    </row>
    <row r="284" ht="14.25" customHeight="1">
      <c r="B284" s="219">
        <v>45106.0</v>
      </c>
      <c r="C284" s="220" t="str">
        <f t="shared" si="26"/>
        <v/>
      </c>
      <c r="D284" s="220"/>
      <c r="E284" s="220">
        <f t="shared" si="24"/>
        <v>0</v>
      </c>
      <c r="F284" s="220">
        <f t="shared" si="25"/>
        <v>-10</v>
      </c>
    </row>
    <row r="285" ht="14.25" customHeight="1">
      <c r="B285" s="219">
        <v>45107.0</v>
      </c>
      <c r="C285" s="220" t="str">
        <f t="shared" si="26"/>
        <v/>
      </c>
      <c r="D285" s="220"/>
      <c r="E285" s="220">
        <f t="shared" si="24"/>
        <v>0</v>
      </c>
      <c r="F285" s="220">
        <f t="shared" si="25"/>
        <v>-10</v>
      </c>
    </row>
    <row r="286" ht="14.25" customHeight="1">
      <c r="B286" s="229"/>
      <c r="C286" s="220" t="str">
        <f t="shared" si="26"/>
        <v/>
      </c>
      <c r="D286" s="220"/>
      <c r="E286" s="220">
        <f t="shared" si="24"/>
        <v>0</v>
      </c>
      <c r="F286" s="220">
        <f t="shared" si="25"/>
        <v>-10</v>
      </c>
    </row>
    <row r="287" ht="14.25" customHeight="1">
      <c r="B287" s="216"/>
      <c r="C287" s="223" t="s">
        <v>221</v>
      </c>
      <c r="D287" s="223"/>
      <c r="E287" s="216">
        <f>SUM(E256:E286)</f>
        <v>0</v>
      </c>
      <c r="F287" s="216">
        <f t="shared" si="25"/>
        <v>-10</v>
      </c>
    </row>
    <row r="288" ht="14.25" customHeight="1"/>
    <row r="289" ht="14.25" customHeight="1">
      <c r="A289" s="249" t="s">
        <v>275</v>
      </c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1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4.25" customHeight="1"/>
    <row r="291" ht="14.25" customHeight="1">
      <c r="B291" s="216" t="s">
        <v>214</v>
      </c>
      <c r="C291" s="216" t="s">
        <v>215</v>
      </c>
      <c r="D291" s="216" t="s">
        <v>216</v>
      </c>
      <c r="E291" s="216" t="s">
        <v>217</v>
      </c>
      <c r="F291" s="216" t="s">
        <v>218</v>
      </c>
      <c r="H291" s="216" t="s">
        <v>238</v>
      </c>
      <c r="I291" s="216"/>
      <c r="K291" s="253" t="s">
        <v>275</v>
      </c>
      <c r="L291" s="231"/>
    </row>
    <row r="292" ht="14.25" customHeight="1">
      <c r="B292" s="219">
        <v>45078.0</v>
      </c>
      <c r="C292" s="220"/>
      <c r="D292" s="220"/>
      <c r="E292" s="220">
        <f t="shared" ref="E292:E322" si="27">D292-C292</f>
        <v>0</v>
      </c>
      <c r="F292" s="220">
        <f t="shared" ref="F292:F323" si="28">E292-10</f>
        <v>-10</v>
      </c>
      <c r="H292" s="216" t="s">
        <v>245</v>
      </c>
      <c r="I292" s="216"/>
      <c r="K292" s="216" t="s">
        <v>244</v>
      </c>
      <c r="L292" s="232">
        <v>2000.0</v>
      </c>
    </row>
    <row r="293" ht="14.25" customHeight="1">
      <c r="B293" s="219">
        <v>45079.0</v>
      </c>
      <c r="C293" s="220" t="str">
        <f t="shared" ref="C293:C322" si="29">D292</f>
        <v/>
      </c>
      <c r="D293" s="220"/>
      <c r="E293" s="220">
        <f t="shared" si="27"/>
        <v>0</v>
      </c>
      <c r="F293" s="220">
        <f t="shared" si="28"/>
        <v>-10</v>
      </c>
      <c r="H293" s="216" t="s">
        <v>247</v>
      </c>
      <c r="I293" s="216"/>
      <c r="K293" s="216" t="s">
        <v>266</v>
      </c>
      <c r="L293" s="232"/>
    </row>
    <row r="294" ht="14.25" customHeight="1">
      <c r="B294" s="254">
        <v>45080.0</v>
      </c>
      <c r="C294" s="255" t="str">
        <f t="shared" si="29"/>
        <v/>
      </c>
      <c r="D294" s="255"/>
      <c r="E294" s="255">
        <f t="shared" si="27"/>
        <v>0</v>
      </c>
      <c r="F294" s="255">
        <f t="shared" si="28"/>
        <v>-10</v>
      </c>
      <c r="H294" s="216" t="s">
        <v>249</v>
      </c>
      <c r="I294" s="232">
        <v>18.0</v>
      </c>
      <c r="K294" s="216" t="s">
        <v>246</v>
      </c>
      <c r="L294" s="232">
        <f>O294*O295</f>
        <v>0</v>
      </c>
    </row>
    <row r="295" ht="14.25" customHeight="1">
      <c r="B295" s="254">
        <v>45081.0</v>
      </c>
      <c r="C295" s="255" t="str">
        <f t="shared" si="29"/>
        <v/>
      </c>
      <c r="D295" s="255"/>
      <c r="E295" s="255">
        <f t="shared" si="27"/>
        <v>0</v>
      </c>
      <c r="F295" s="255">
        <f t="shared" si="28"/>
        <v>-10</v>
      </c>
      <c r="H295" s="216" t="s">
        <v>251</v>
      </c>
      <c r="I295" s="216"/>
      <c r="K295" s="216" t="s">
        <v>248</v>
      </c>
      <c r="L295" s="232">
        <f>O296*O297</f>
        <v>0</v>
      </c>
    </row>
    <row r="296" ht="14.25" customHeight="1">
      <c r="B296" s="219">
        <v>45082.0</v>
      </c>
      <c r="C296" s="220" t="str">
        <f t="shared" si="29"/>
        <v/>
      </c>
      <c r="D296" s="220"/>
      <c r="E296" s="220">
        <f t="shared" si="27"/>
        <v>0</v>
      </c>
      <c r="F296" s="220">
        <f t="shared" si="28"/>
        <v>-10</v>
      </c>
      <c r="H296" s="216" t="s">
        <v>249</v>
      </c>
      <c r="I296" s="232">
        <v>10.0</v>
      </c>
      <c r="K296" s="216" t="s">
        <v>250</v>
      </c>
      <c r="L296" s="232">
        <f>O298*100</f>
        <v>0</v>
      </c>
    </row>
    <row r="297" ht="14.25" customHeight="1">
      <c r="B297" s="219">
        <v>45083.0</v>
      </c>
      <c r="C297" s="220" t="str">
        <f t="shared" si="29"/>
        <v/>
      </c>
      <c r="D297" s="220"/>
      <c r="E297" s="220">
        <f t="shared" si="27"/>
        <v>0</v>
      </c>
      <c r="F297" s="220">
        <f t="shared" si="28"/>
        <v>-10</v>
      </c>
      <c r="H297" s="216" t="s">
        <v>250</v>
      </c>
      <c r="I297" s="216"/>
      <c r="K297" s="216" t="s">
        <v>252</v>
      </c>
      <c r="L297" s="232"/>
    </row>
    <row r="298" ht="14.25" customHeight="1">
      <c r="B298" s="219">
        <v>45084.0</v>
      </c>
      <c r="C298" s="220" t="str">
        <f t="shared" si="29"/>
        <v/>
      </c>
      <c r="D298" s="220"/>
      <c r="E298" s="220">
        <f t="shared" si="27"/>
        <v>0</v>
      </c>
      <c r="F298" s="220">
        <f t="shared" si="28"/>
        <v>-10</v>
      </c>
      <c r="K298" s="216" t="s">
        <v>268</v>
      </c>
      <c r="L298" s="232">
        <f>L292+L294+L295+L296-L293-L297</f>
        <v>2000</v>
      </c>
    </row>
    <row r="299" ht="14.25" customHeight="1">
      <c r="B299" s="219">
        <v>45085.0</v>
      </c>
      <c r="C299" s="220" t="str">
        <f t="shared" si="29"/>
        <v/>
      </c>
      <c r="D299" s="220"/>
      <c r="E299" s="220">
        <f t="shared" si="27"/>
        <v>0</v>
      </c>
      <c r="F299" s="220">
        <f t="shared" si="28"/>
        <v>-10</v>
      </c>
      <c r="K299" s="216" t="s">
        <v>269</v>
      </c>
      <c r="L299" s="229"/>
    </row>
    <row r="300" ht="14.25" customHeight="1">
      <c r="B300" s="219">
        <v>45086.0</v>
      </c>
      <c r="C300" s="220" t="str">
        <f t="shared" si="29"/>
        <v/>
      </c>
      <c r="D300" s="220"/>
      <c r="E300" s="220">
        <f t="shared" si="27"/>
        <v>0</v>
      </c>
      <c r="F300" s="220">
        <f t="shared" si="28"/>
        <v>-10</v>
      </c>
    </row>
    <row r="301" ht="14.25" customHeight="1">
      <c r="B301" s="254">
        <v>45087.0</v>
      </c>
      <c r="C301" s="255" t="str">
        <f t="shared" si="29"/>
        <v/>
      </c>
      <c r="D301" s="255"/>
      <c r="E301" s="255">
        <f t="shared" si="27"/>
        <v>0</v>
      </c>
      <c r="F301" s="255">
        <f t="shared" si="28"/>
        <v>-10</v>
      </c>
    </row>
    <row r="302" ht="14.25" customHeight="1">
      <c r="B302" s="254">
        <v>45088.0</v>
      </c>
      <c r="C302" s="255" t="str">
        <f t="shared" si="29"/>
        <v/>
      </c>
      <c r="D302" s="255"/>
      <c r="E302" s="255">
        <f t="shared" si="27"/>
        <v>0</v>
      </c>
      <c r="F302" s="255">
        <f t="shared" si="28"/>
        <v>-10</v>
      </c>
    </row>
    <row r="303" ht="14.25" customHeight="1">
      <c r="B303" s="219">
        <v>45089.0</v>
      </c>
      <c r="C303" s="220" t="str">
        <f t="shared" si="29"/>
        <v/>
      </c>
      <c r="D303" s="220"/>
      <c r="E303" s="220">
        <f t="shared" si="27"/>
        <v>0</v>
      </c>
      <c r="F303" s="220">
        <f t="shared" si="28"/>
        <v>-10</v>
      </c>
    </row>
    <row r="304" ht="14.25" customHeight="1">
      <c r="B304" s="219">
        <v>45090.0</v>
      </c>
      <c r="C304" s="220" t="str">
        <f t="shared" si="29"/>
        <v/>
      </c>
      <c r="D304" s="220"/>
      <c r="E304" s="220">
        <f t="shared" si="27"/>
        <v>0</v>
      </c>
      <c r="F304" s="220">
        <f t="shared" si="28"/>
        <v>-10</v>
      </c>
    </row>
    <row r="305" ht="14.25" customHeight="1">
      <c r="B305" s="219">
        <v>45091.0</v>
      </c>
      <c r="C305" s="220" t="str">
        <f t="shared" si="29"/>
        <v/>
      </c>
      <c r="D305" s="220"/>
      <c r="E305" s="220">
        <f t="shared" si="27"/>
        <v>0</v>
      </c>
      <c r="F305" s="220">
        <f t="shared" si="28"/>
        <v>-10</v>
      </c>
    </row>
    <row r="306" ht="14.25" customHeight="1">
      <c r="B306" s="219">
        <v>45092.0</v>
      </c>
      <c r="C306" s="220" t="str">
        <f t="shared" si="29"/>
        <v/>
      </c>
      <c r="D306" s="220"/>
      <c r="E306" s="220">
        <f t="shared" si="27"/>
        <v>0</v>
      </c>
      <c r="F306" s="220">
        <f t="shared" si="28"/>
        <v>-10</v>
      </c>
    </row>
    <row r="307" ht="14.25" customHeight="1">
      <c r="B307" s="219">
        <v>45093.0</v>
      </c>
      <c r="C307" s="220" t="str">
        <f t="shared" si="29"/>
        <v/>
      </c>
      <c r="D307" s="220"/>
      <c r="E307" s="220">
        <f t="shared" si="27"/>
        <v>0</v>
      </c>
      <c r="F307" s="220">
        <f t="shared" si="28"/>
        <v>-10</v>
      </c>
    </row>
    <row r="308" ht="14.25" customHeight="1">
      <c r="B308" s="254">
        <v>45094.0</v>
      </c>
      <c r="C308" s="255" t="str">
        <f t="shared" si="29"/>
        <v/>
      </c>
      <c r="D308" s="255"/>
      <c r="E308" s="255">
        <f t="shared" si="27"/>
        <v>0</v>
      </c>
      <c r="F308" s="255">
        <f t="shared" si="28"/>
        <v>-10</v>
      </c>
    </row>
    <row r="309" ht="14.25" customHeight="1">
      <c r="B309" s="254">
        <v>45095.0</v>
      </c>
      <c r="C309" s="255" t="str">
        <f t="shared" si="29"/>
        <v/>
      </c>
      <c r="D309" s="255"/>
      <c r="E309" s="255">
        <f t="shared" si="27"/>
        <v>0</v>
      </c>
      <c r="F309" s="255">
        <f t="shared" si="28"/>
        <v>-10</v>
      </c>
    </row>
    <row r="310" ht="14.25" customHeight="1">
      <c r="B310" s="219">
        <v>45096.0</v>
      </c>
      <c r="C310" s="220" t="str">
        <f t="shared" si="29"/>
        <v/>
      </c>
      <c r="D310" s="220"/>
      <c r="E310" s="220">
        <f t="shared" si="27"/>
        <v>0</v>
      </c>
      <c r="F310" s="220">
        <f t="shared" si="28"/>
        <v>-10</v>
      </c>
    </row>
    <row r="311" ht="14.25" customHeight="1">
      <c r="B311" s="219">
        <v>45097.0</v>
      </c>
      <c r="C311" s="220" t="str">
        <f t="shared" si="29"/>
        <v/>
      </c>
      <c r="D311" s="220"/>
      <c r="E311" s="220">
        <f t="shared" si="27"/>
        <v>0</v>
      </c>
      <c r="F311" s="220">
        <f t="shared" si="28"/>
        <v>-10</v>
      </c>
    </row>
    <row r="312" ht="14.25" customHeight="1">
      <c r="B312" s="219">
        <v>45098.0</v>
      </c>
      <c r="C312" s="220" t="str">
        <f t="shared" si="29"/>
        <v/>
      </c>
      <c r="D312" s="220"/>
      <c r="E312" s="220">
        <f t="shared" si="27"/>
        <v>0</v>
      </c>
      <c r="F312" s="220">
        <f t="shared" si="28"/>
        <v>-10</v>
      </c>
    </row>
    <row r="313" ht="14.25" customHeight="1">
      <c r="B313" s="219">
        <v>45099.0</v>
      </c>
      <c r="C313" s="220" t="str">
        <f t="shared" si="29"/>
        <v/>
      </c>
      <c r="D313" s="220"/>
      <c r="E313" s="220">
        <f t="shared" si="27"/>
        <v>0</v>
      </c>
      <c r="F313" s="220">
        <f t="shared" si="28"/>
        <v>-10</v>
      </c>
    </row>
    <row r="314" ht="14.25" customHeight="1">
      <c r="B314" s="219">
        <v>45100.0</v>
      </c>
      <c r="C314" s="220" t="str">
        <f t="shared" si="29"/>
        <v/>
      </c>
      <c r="D314" s="220"/>
      <c r="E314" s="220">
        <f t="shared" si="27"/>
        <v>0</v>
      </c>
      <c r="F314" s="220">
        <f t="shared" si="28"/>
        <v>-10</v>
      </c>
    </row>
    <row r="315" ht="14.25" customHeight="1">
      <c r="B315" s="254">
        <v>45101.0</v>
      </c>
      <c r="C315" s="255" t="str">
        <f t="shared" si="29"/>
        <v/>
      </c>
      <c r="D315" s="255"/>
      <c r="E315" s="255">
        <f t="shared" si="27"/>
        <v>0</v>
      </c>
      <c r="F315" s="255">
        <f t="shared" si="28"/>
        <v>-10</v>
      </c>
    </row>
    <row r="316" ht="14.25" customHeight="1">
      <c r="B316" s="254">
        <v>45102.0</v>
      </c>
      <c r="C316" s="255" t="str">
        <f t="shared" si="29"/>
        <v/>
      </c>
      <c r="D316" s="255"/>
      <c r="E316" s="255">
        <f t="shared" si="27"/>
        <v>0</v>
      </c>
      <c r="F316" s="255">
        <f t="shared" si="28"/>
        <v>-10</v>
      </c>
    </row>
    <row r="317" ht="14.25" customHeight="1">
      <c r="B317" s="219">
        <v>45103.0</v>
      </c>
      <c r="C317" s="220" t="str">
        <f t="shared" si="29"/>
        <v/>
      </c>
      <c r="D317" s="220"/>
      <c r="E317" s="220">
        <f t="shared" si="27"/>
        <v>0</v>
      </c>
      <c r="F317" s="220">
        <f t="shared" si="28"/>
        <v>-10</v>
      </c>
    </row>
    <row r="318" ht="14.25" customHeight="1">
      <c r="B318" s="219">
        <v>45104.0</v>
      </c>
      <c r="C318" s="220" t="str">
        <f t="shared" si="29"/>
        <v/>
      </c>
      <c r="D318" s="220"/>
      <c r="E318" s="220">
        <f t="shared" si="27"/>
        <v>0</v>
      </c>
      <c r="F318" s="220">
        <f t="shared" si="28"/>
        <v>-10</v>
      </c>
    </row>
    <row r="319" ht="14.25" customHeight="1">
      <c r="B319" s="219">
        <v>45105.0</v>
      </c>
      <c r="C319" s="220" t="str">
        <f t="shared" si="29"/>
        <v/>
      </c>
      <c r="D319" s="220"/>
      <c r="E319" s="220">
        <f t="shared" si="27"/>
        <v>0</v>
      </c>
      <c r="F319" s="220">
        <f t="shared" si="28"/>
        <v>-10</v>
      </c>
    </row>
    <row r="320" ht="14.25" customHeight="1">
      <c r="B320" s="219">
        <v>45106.0</v>
      </c>
      <c r="C320" s="220" t="str">
        <f t="shared" si="29"/>
        <v/>
      </c>
      <c r="D320" s="220"/>
      <c r="E320" s="220">
        <f t="shared" si="27"/>
        <v>0</v>
      </c>
      <c r="F320" s="220">
        <f t="shared" si="28"/>
        <v>-10</v>
      </c>
    </row>
    <row r="321" ht="14.25" customHeight="1">
      <c r="B321" s="219">
        <v>45107.0</v>
      </c>
      <c r="C321" s="220" t="str">
        <f t="shared" si="29"/>
        <v/>
      </c>
      <c r="D321" s="220"/>
      <c r="E321" s="220">
        <f t="shared" si="27"/>
        <v>0</v>
      </c>
      <c r="F321" s="220">
        <f t="shared" si="28"/>
        <v>-10</v>
      </c>
    </row>
    <row r="322" ht="14.25" customHeight="1">
      <c r="B322" s="229"/>
      <c r="C322" s="220" t="str">
        <f t="shared" si="29"/>
        <v/>
      </c>
      <c r="D322" s="220"/>
      <c r="E322" s="220">
        <f t="shared" si="27"/>
        <v>0</v>
      </c>
      <c r="F322" s="220">
        <f t="shared" si="28"/>
        <v>-10</v>
      </c>
    </row>
    <row r="323" ht="14.25" customHeight="1">
      <c r="B323" s="216"/>
      <c r="C323" s="223" t="s">
        <v>221</v>
      </c>
      <c r="D323" s="223"/>
      <c r="E323" s="216">
        <f>SUM(E292:E322)</f>
        <v>0</v>
      </c>
      <c r="F323" s="216">
        <f t="shared" si="28"/>
        <v>-10</v>
      </c>
    </row>
    <row r="324" ht="14.25" customHeight="1"/>
    <row r="325" ht="14.25" customHeight="1">
      <c r="A325" s="249" t="s">
        <v>235</v>
      </c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1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4.25" customHeight="1"/>
    <row r="327" ht="14.25" customHeight="1">
      <c r="B327" s="216" t="s">
        <v>214</v>
      </c>
      <c r="C327" s="216" t="s">
        <v>215</v>
      </c>
      <c r="D327" s="216" t="s">
        <v>216</v>
      </c>
      <c r="E327" s="216" t="s">
        <v>217</v>
      </c>
      <c r="F327" s="216" t="s">
        <v>218</v>
      </c>
      <c r="H327" s="216" t="s">
        <v>238</v>
      </c>
      <c r="I327" s="216"/>
      <c r="K327" s="253" t="s">
        <v>235</v>
      </c>
      <c r="L327" s="231"/>
    </row>
    <row r="328" ht="14.25" customHeight="1">
      <c r="B328" s="219">
        <v>45078.0</v>
      </c>
      <c r="C328" s="220"/>
      <c r="D328" s="220"/>
      <c r="E328" s="220">
        <f t="shared" ref="E328:E358" si="30">D328-C328</f>
        <v>0</v>
      </c>
      <c r="F328" s="220">
        <f t="shared" ref="F328:F359" si="31">E328-10</f>
        <v>-10</v>
      </c>
      <c r="H328" s="216" t="s">
        <v>245</v>
      </c>
      <c r="I328" s="216"/>
      <c r="K328" s="216" t="s">
        <v>244</v>
      </c>
      <c r="L328" s="232">
        <v>2000.0</v>
      </c>
    </row>
    <row r="329" ht="14.25" customHeight="1">
      <c r="B329" s="219">
        <v>45079.0</v>
      </c>
      <c r="C329" s="220" t="str">
        <f t="shared" ref="C329:C358" si="32">D328</f>
        <v/>
      </c>
      <c r="D329" s="220"/>
      <c r="E329" s="220">
        <f t="shared" si="30"/>
        <v>0</v>
      </c>
      <c r="F329" s="220">
        <f t="shared" si="31"/>
        <v>-10</v>
      </c>
      <c r="H329" s="216" t="s">
        <v>247</v>
      </c>
      <c r="I329" s="216"/>
      <c r="K329" s="216" t="s">
        <v>266</v>
      </c>
      <c r="L329" s="232"/>
    </row>
    <row r="330" ht="14.25" customHeight="1">
      <c r="B330" s="254">
        <v>45080.0</v>
      </c>
      <c r="C330" s="255" t="str">
        <f t="shared" si="32"/>
        <v/>
      </c>
      <c r="D330" s="255"/>
      <c r="E330" s="255">
        <f t="shared" si="30"/>
        <v>0</v>
      </c>
      <c r="F330" s="255">
        <f t="shared" si="31"/>
        <v>-10</v>
      </c>
      <c r="H330" s="216" t="s">
        <v>249</v>
      </c>
      <c r="I330" s="232">
        <v>18.0</v>
      </c>
      <c r="K330" s="216" t="s">
        <v>246</v>
      </c>
      <c r="L330" s="232">
        <f>O330*O331</f>
        <v>0</v>
      </c>
    </row>
    <row r="331" ht="14.25" customHeight="1">
      <c r="B331" s="254">
        <v>45081.0</v>
      </c>
      <c r="C331" s="255" t="str">
        <f t="shared" si="32"/>
        <v/>
      </c>
      <c r="D331" s="255"/>
      <c r="E331" s="255">
        <f t="shared" si="30"/>
        <v>0</v>
      </c>
      <c r="F331" s="255">
        <f t="shared" si="31"/>
        <v>-10</v>
      </c>
      <c r="H331" s="216" t="s">
        <v>251</v>
      </c>
      <c r="I331" s="216"/>
      <c r="K331" s="216" t="s">
        <v>248</v>
      </c>
      <c r="L331" s="232">
        <f>O332*O333</f>
        <v>0</v>
      </c>
    </row>
    <row r="332" ht="14.25" customHeight="1">
      <c r="B332" s="219">
        <v>45082.0</v>
      </c>
      <c r="C332" s="220" t="str">
        <f t="shared" si="32"/>
        <v/>
      </c>
      <c r="D332" s="220"/>
      <c r="E332" s="220">
        <f t="shared" si="30"/>
        <v>0</v>
      </c>
      <c r="F332" s="220">
        <f t="shared" si="31"/>
        <v>-10</v>
      </c>
      <c r="H332" s="216" t="s">
        <v>249</v>
      </c>
      <c r="I332" s="232">
        <v>10.0</v>
      </c>
      <c r="K332" s="216" t="s">
        <v>250</v>
      </c>
      <c r="L332" s="232">
        <f>O334*100</f>
        <v>0</v>
      </c>
    </row>
    <row r="333" ht="14.25" customHeight="1">
      <c r="B333" s="219">
        <v>45083.0</v>
      </c>
      <c r="C333" s="220" t="str">
        <f t="shared" si="32"/>
        <v/>
      </c>
      <c r="D333" s="220"/>
      <c r="E333" s="220">
        <f t="shared" si="30"/>
        <v>0</v>
      </c>
      <c r="F333" s="220">
        <f t="shared" si="31"/>
        <v>-10</v>
      </c>
      <c r="H333" s="216" t="s">
        <v>250</v>
      </c>
      <c r="I333" s="216"/>
      <c r="K333" s="216" t="s">
        <v>252</v>
      </c>
      <c r="L333" s="232"/>
    </row>
    <row r="334" ht="14.25" customHeight="1">
      <c r="B334" s="219">
        <v>45084.0</v>
      </c>
      <c r="C334" s="220" t="str">
        <f t="shared" si="32"/>
        <v/>
      </c>
      <c r="D334" s="220"/>
      <c r="E334" s="220">
        <f t="shared" si="30"/>
        <v>0</v>
      </c>
      <c r="F334" s="220">
        <f t="shared" si="31"/>
        <v>-10</v>
      </c>
      <c r="K334" s="216" t="s">
        <v>268</v>
      </c>
      <c r="L334" s="232">
        <f>L328+L330+L331+L332-L329-L333</f>
        <v>2000</v>
      </c>
    </row>
    <row r="335" ht="14.25" customHeight="1">
      <c r="B335" s="219">
        <v>45085.0</v>
      </c>
      <c r="C335" s="220" t="str">
        <f t="shared" si="32"/>
        <v/>
      </c>
      <c r="D335" s="220"/>
      <c r="E335" s="220">
        <f t="shared" si="30"/>
        <v>0</v>
      </c>
      <c r="F335" s="220">
        <f t="shared" si="31"/>
        <v>-10</v>
      </c>
      <c r="K335" s="216" t="s">
        <v>269</v>
      </c>
      <c r="L335" s="229"/>
    </row>
    <row r="336" ht="14.25" customHeight="1">
      <c r="B336" s="219">
        <v>45086.0</v>
      </c>
      <c r="C336" s="220" t="str">
        <f t="shared" si="32"/>
        <v/>
      </c>
      <c r="D336" s="220"/>
      <c r="E336" s="220">
        <f t="shared" si="30"/>
        <v>0</v>
      </c>
      <c r="F336" s="220">
        <f t="shared" si="31"/>
        <v>-10</v>
      </c>
    </row>
    <row r="337" ht="14.25" customHeight="1">
      <c r="B337" s="254">
        <v>45087.0</v>
      </c>
      <c r="C337" s="255" t="str">
        <f t="shared" si="32"/>
        <v/>
      </c>
      <c r="D337" s="255"/>
      <c r="E337" s="255">
        <f t="shared" si="30"/>
        <v>0</v>
      </c>
      <c r="F337" s="255">
        <f t="shared" si="31"/>
        <v>-10</v>
      </c>
    </row>
    <row r="338" ht="14.25" customHeight="1">
      <c r="B338" s="254">
        <v>45088.0</v>
      </c>
      <c r="C338" s="255" t="str">
        <f t="shared" si="32"/>
        <v/>
      </c>
      <c r="D338" s="255"/>
      <c r="E338" s="255">
        <f t="shared" si="30"/>
        <v>0</v>
      </c>
      <c r="F338" s="255">
        <f t="shared" si="31"/>
        <v>-10</v>
      </c>
    </row>
    <row r="339" ht="14.25" customHeight="1">
      <c r="B339" s="219">
        <v>45089.0</v>
      </c>
      <c r="C339" s="220" t="str">
        <f t="shared" si="32"/>
        <v/>
      </c>
      <c r="D339" s="220"/>
      <c r="E339" s="220">
        <f t="shared" si="30"/>
        <v>0</v>
      </c>
      <c r="F339" s="220">
        <f t="shared" si="31"/>
        <v>-10</v>
      </c>
    </row>
    <row r="340" ht="14.25" customHeight="1">
      <c r="B340" s="219">
        <v>45090.0</v>
      </c>
      <c r="C340" s="220" t="str">
        <f t="shared" si="32"/>
        <v/>
      </c>
      <c r="D340" s="220"/>
      <c r="E340" s="220">
        <f t="shared" si="30"/>
        <v>0</v>
      </c>
      <c r="F340" s="220">
        <f t="shared" si="31"/>
        <v>-10</v>
      </c>
    </row>
    <row r="341" ht="14.25" customHeight="1">
      <c r="B341" s="219">
        <v>45091.0</v>
      </c>
      <c r="C341" s="220" t="str">
        <f t="shared" si="32"/>
        <v/>
      </c>
      <c r="D341" s="220"/>
      <c r="E341" s="220">
        <f t="shared" si="30"/>
        <v>0</v>
      </c>
      <c r="F341" s="220">
        <f t="shared" si="31"/>
        <v>-10</v>
      </c>
    </row>
    <row r="342" ht="14.25" customHeight="1">
      <c r="B342" s="219">
        <v>45092.0</v>
      </c>
      <c r="C342" s="220" t="str">
        <f t="shared" si="32"/>
        <v/>
      </c>
      <c r="D342" s="220"/>
      <c r="E342" s="220">
        <f t="shared" si="30"/>
        <v>0</v>
      </c>
      <c r="F342" s="220">
        <f t="shared" si="31"/>
        <v>-10</v>
      </c>
    </row>
    <row r="343" ht="14.25" customHeight="1">
      <c r="B343" s="219">
        <v>45093.0</v>
      </c>
      <c r="C343" s="220" t="str">
        <f t="shared" si="32"/>
        <v/>
      </c>
      <c r="D343" s="220"/>
      <c r="E343" s="220">
        <f t="shared" si="30"/>
        <v>0</v>
      </c>
      <c r="F343" s="220">
        <f t="shared" si="31"/>
        <v>-10</v>
      </c>
    </row>
    <row r="344" ht="14.25" customHeight="1">
      <c r="B344" s="254">
        <v>45094.0</v>
      </c>
      <c r="C344" s="255" t="str">
        <f t="shared" si="32"/>
        <v/>
      </c>
      <c r="D344" s="255"/>
      <c r="E344" s="255">
        <f t="shared" si="30"/>
        <v>0</v>
      </c>
      <c r="F344" s="255">
        <f t="shared" si="31"/>
        <v>-10</v>
      </c>
    </row>
    <row r="345" ht="14.25" customHeight="1">
      <c r="B345" s="254">
        <v>45095.0</v>
      </c>
      <c r="C345" s="255" t="str">
        <f t="shared" si="32"/>
        <v/>
      </c>
      <c r="D345" s="255"/>
      <c r="E345" s="255">
        <f t="shared" si="30"/>
        <v>0</v>
      </c>
      <c r="F345" s="255">
        <f t="shared" si="31"/>
        <v>-10</v>
      </c>
    </row>
    <row r="346" ht="14.25" customHeight="1">
      <c r="B346" s="219">
        <v>45096.0</v>
      </c>
      <c r="C346" s="220" t="str">
        <f t="shared" si="32"/>
        <v/>
      </c>
      <c r="D346" s="220"/>
      <c r="E346" s="220">
        <f t="shared" si="30"/>
        <v>0</v>
      </c>
      <c r="F346" s="220">
        <f t="shared" si="31"/>
        <v>-10</v>
      </c>
    </row>
    <row r="347" ht="14.25" customHeight="1">
      <c r="B347" s="219">
        <v>45097.0</v>
      </c>
      <c r="C347" s="220" t="str">
        <f t="shared" si="32"/>
        <v/>
      </c>
      <c r="D347" s="220"/>
      <c r="E347" s="220">
        <f t="shared" si="30"/>
        <v>0</v>
      </c>
      <c r="F347" s="220">
        <f t="shared" si="31"/>
        <v>-10</v>
      </c>
    </row>
    <row r="348" ht="14.25" customHeight="1">
      <c r="B348" s="219">
        <v>45098.0</v>
      </c>
      <c r="C348" s="220" t="str">
        <f t="shared" si="32"/>
        <v/>
      </c>
      <c r="D348" s="220"/>
      <c r="E348" s="220">
        <f t="shared" si="30"/>
        <v>0</v>
      </c>
      <c r="F348" s="220">
        <f t="shared" si="31"/>
        <v>-10</v>
      </c>
    </row>
    <row r="349" ht="14.25" customHeight="1">
      <c r="B349" s="219">
        <v>45099.0</v>
      </c>
      <c r="C349" s="220" t="str">
        <f t="shared" si="32"/>
        <v/>
      </c>
      <c r="D349" s="220"/>
      <c r="E349" s="220">
        <f t="shared" si="30"/>
        <v>0</v>
      </c>
      <c r="F349" s="220">
        <f t="shared" si="31"/>
        <v>-10</v>
      </c>
    </row>
    <row r="350" ht="14.25" customHeight="1">
      <c r="B350" s="219">
        <v>45100.0</v>
      </c>
      <c r="C350" s="220" t="str">
        <f t="shared" si="32"/>
        <v/>
      </c>
      <c r="D350" s="220"/>
      <c r="E350" s="220">
        <f t="shared" si="30"/>
        <v>0</v>
      </c>
      <c r="F350" s="220">
        <f t="shared" si="31"/>
        <v>-10</v>
      </c>
    </row>
    <row r="351" ht="14.25" customHeight="1">
      <c r="B351" s="254">
        <v>45101.0</v>
      </c>
      <c r="C351" s="255" t="str">
        <f t="shared" si="32"/>
        <v/>
      </c>
      <c r="D351" s="255"/>
      <c r="E351" s="255">
        <f t="shared" si="30"/>
        <v>0</v>
      </c>
      <c r="F351" s="255">
        <f t="shared" si="31"/>
        <v>-10</v>
      </c>
    </row>
    <row r="352" ht="14.25" customHeight="1">
      <c r="B352" s="254">
        <v>45102.0</v>
      </c>
      <c r="C352" s="255" t="str">
        <f t="shared" si="32"/>
        <v/>
      </c>
      <c r="D352" s="255"/>
      <c r="E352" s="255">
        <f t="shared" si="30"/>
        <v>0</v>
      </c>
      <c r="F352" s="255">
        <f t="shared" si="31"/>
        <v>-10</v>
      </c>
    </row>
    <row r="353" ht="14.25" customHeight="1">
      <c r="B353" s="219">
        <v>45103.0</v>
      </c>
      <c r="C353" s="220" t="str">
        <f t="shared" si="32"/>
        <v/>
      </c>
      <c r="D353" s="220"/>
      <c r="E353" s="220">
        <f t="shared" si="30"/>
        <v>0</v>
      </c>
      <c r="F353" s="220">
        <f t="shared" si="31"/>
        <v>-10</v>
      </c>
    </row>
    <row r="354" ht="14.25" customHeight="1">
      <c r="B354" s="219">
        <v>45104.0</v>
      </c>
      <c r="C354" s="220" t="str">
        <f t="shared" si="32"/>
        <v/>
      </c>
      <c r="D354" s="220"/>
      <c r="E354" s="220">
        <f t="shared" si="30"/>
        <v>0</v>
      </c>
      <c r="F354" s="220">
        <f t="shared" si="31"/>
        <v>-10</v>
      </c>
    </row>
    <row r="355" ht="14.25" customHeight="1">
      <c r="B355" s="219">
        <v>45105.0</v>
      </c>
      <c r="C355" s="220" t="str">
        <f t="shared" si="32"/>
        <v/>
      </c>
      <c r="D355" s="220"/>
      <c r="E355" s="220">
        <f t="shared" si="30"/>
        <v>0</v>
      </c>
      <c r="F355" s="220">
        <f t="shared" si="31"/>
        <v>-10</v>
      </c>
    </row>
    <row r="356" ht="14.25" customHeight="1">
      <c r="B356" s="219">
        <v>45106.0</v>
      </c>
      <c r="C356" s="220" t="str">
        <f t="shared" si="32"/>
        <v/>
      </c>
      <c r="D356" s="220"/>
      <c r="E356" s="220">
        <f t="shared" si="30"/>
        <v>0</v>
      </c>
      <c r="F356" s="220">
        <f t="shared" si="31"/>
        <v>-10</v>
      </c>
    </row>
    <row r="357" ht="14.25" customHeight="1">
      <c r="B357" s="219">
        <v>45107.0</v>
      </c>
      <c r="C357" s="220" t="str">
        <f t="shared" si="32"/>
        <v/>
      </c>
      <c r="D357" s="220"/>
      <c r="E357" s="220">
        <f t="shared" si="30"/>
        <v>0</v>
      </c>
      <c r="F357" s="220">
        <f t="shared" si="31"/>
        <v>-10</v>
      </c>
    </row>
    <row r="358" ht="14.25" customHeight="1">
      <c r="B358" s="229"/>
      <c r="C358" s="220" t="str">
        <f t="shared" si="32"/>
        <v/>
      </c>
      <c r="D358" s="220"/>
      <c r="E358" s="220">
        <f t="shared" si="30"/>
        <v>0</v>
      </c>
      <c r="F358" s="220">
        <f t="shared" si="31"/>
        <v>-10</v>
      </c>
    </row>
    <row r="359" ht="14.25" customHeight="1">
      <c r="B359" s="216"/>
      <c r="C359" s="223" t="s">
        <v>221</v>
      </c>
      <c r="D359" s="223"/>
      <c r="E359" s="216">
        <f>SUM(E328:E358)</f>
        <v>0</v>
      </c>
      <c r="F359" s="216">
        <f t="shared" si="31"/>
        <v>-10</v>
      </c>
    </row>
    <row r="360" ht="14.25" customHeight="1"/>
    <row r="361" ht="14.25" customHeight="1">
      <c r="A361" s="249" t="s">
        <v>276</v>
      </c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1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4.25" customHeight="1"/>
    <row r="363" ht="14.25" customHeight="1">
      <c r="B363" s="216" t="s">
        <v>214</v>
      </c>
      <c r="C363" s="216" t="s">
        <v>215</v>
      </c>
      <c r="D363" s="216" t="s">
        <v>216</v>
      </c>
      <c r="E363" s="216" t="s">
        <v>217</v>
      </c>
      <c r="F363" s="216" t="s">
        <v>218</v>
      </c>
      <c r="H363" s="216" t="s">
        <v>238</v>
      </c>
      <c r="I363" s="216"/>
      <c r="K363" s="253" t="s">
        <v>236</v>
      </c>
      <c r="L363" s="231"/>
    </row>
    <row r="364" ht="14.25" customHeight="1">
      <c r="B364" s="219">
        <v>45078.0</v>
      </c>
      <c r="C364" s="220"/>
      <c r="D364" s="220"/>
      <c r="E364" s="220">
        <f t="shared" ref="E364:E394" si="33">D364-C364</f>
        <v>0</v>
      </c>
      <c r="F364" s="220">
        <f t="shared" ref="F364:F395" si="34">E364-10</f>
        <v>-10</v>
      </c>
      <c r="H364" s="216" t="s">
        <v>245</v>
      </c>
      <c r="I364" s="216"/>
      <c r="K364" s="216" t="s">
        <v>244</v>
      </c>
      <c r="L364" s="232">
        <v>2000.0</v>
      </c>
    </row>
    <row r="365" ht="14.25" customHeight="1">
      <c r="B365" s="219">
        <v>45079.0</v>
      </c>
      <c r="C365" s="220" t="str">
        <f t="shared" ref="C365:C394" si="35">D364</f>
        <v/>
      </c>
      <c r="D365" s="220"/>
      <c r="E365" s="220">
        <f t="shared" si="33"/>
        <v>0</v>
      </c>
      <c r="F365" s="220">
        <f t="shared" si="34"/>
        <v>-10</v>
      </c>
      <c r="H365" s="216" t="s">
        <v>247</v>
      </c>
      <c r="I365" s="216"/>
      <c r="K365" s="216" t="s">
        <v>266</v>
      </c>
      <c r="L365" s="232"/>
    </row>
    <row r="366" ht="14.25" customHeight="1">
      <c r="B366" s="254">
        <v>45080.0</v>
      </c>
      <c r="C366" s="255" t="str">
        <f t="shared" si="35"/>
        <v/>
      </c>
      <c r="D366" s="255"/>
      <c r="E366" s="255">
        <f t="shared" si="33"/>
        <v>0</v>
      </c>
      <c r="F366" s="255">
        <f t="shared" si="34"/>
        <v>-10</v>
      </c>
      <c r="H366" s="216" t="s">
        <v>249</v>
      </c>
      <c r="I366" s="232">
        <v>18.0</v>
      </c>
      <c r="K366" s="216" t="s">
        <v>246</v>
      </c>
      <c r="L366" s="232">
        <f>O366*O367</f>
        <v>0</v>
      </c>
    </row>
    <row r="367" ht="14.25" customHeight="1">
      <c r="B367" s="254">
        <v>45081.0</v>
      </c>
      <c r="C367" s="255" t="str">
        <f t="shared" si="35"/>
        <v/>
      </c>
      <c r="D367" s="255"/>
      <c r="E367" s="255">
        <f t="shared" si="33"/>
        <v>0</v>
      </c>
      <c r="F367" s="255">
        <f t="shared" si="34"/>
        <v>-10</v>
      </c>
      <c r="H367" s="216" t="s">
        <v>251</v>
      </c>
      <c r="I367" s="216"/>
      <c r="K367" s="216" t="s">
        <v>248</v>
      </c>
      <c r="L367" s="232">
        <f>O368*O369</f>
        <v>0</v>
      </c>
    </row>
    <row r="368" ht="14.25" customHeight="1">
      <c r="B368" s="219">
        <v>45082.0</v>
      </c>
      <c r="C368" s="220" t="str">
        <f t="shared" si="35"/>
        <v/>
      </c>
      <c r="D368" s="220"/>
      <c r="E368" s="220">
        <f t="shared" si="33"/>
        <v>0</v>
      </c>
      <c r="F368" s="220">
        <f t="shared" si="34"/>
        <v>-10</v>
      </c>
      <c r="H368" s="216" t="s">
        <v>249</v>
      </c>
      <c r="I368" s="232">
        <v>10.0</v>
      </c>
      <c r="K368" s="216" t="s">
        <v>250</v>
      </c>
      <c r="L368" s="232">
        <f>O370*100</f>
        <v>0</v>
      </c>
    </row>
    <row r="369" ht="14.25" customHeight="1">
      <c r="B369" s="219">
        <v>45083.0</v>
      </c>
      <c r="C369" s="220" t="str">
        <f t="shared" si="35"/>
        <v/>
      </c>
      <c r="D369" s="220"/>
      <c r="E369" s="220">
        <f t="shared" si="33"/>
        <v>0</v>
      </c>
      <c r="F369" s="220">
        <f t="shared" si="34"/>
        <v>-10</v>
      </c>
      <c r="H369" s="216" t="s">
        <v>250</v>
      </c>
      <c r="I369" s="216"/>
      <c r="K369" s="216" t="s">
        <v>252</v>
      </c>
      <c r="L369" s="232"/>
    </row>
    <row r="370" ht="14.25" customHeight="1">
      <c r="B370" s="219">
        <v>45084.0</v>
      </c>
      <c r="C370" s="220" t="str">
        <f t="shared" si="35"/>
        <v/>
      </c>
      <c r="D370" s="220"/>
      <c r="E370" s="220">
        <f t="shared" si="33"/>
        <v>0</v>
      </c>
      <c r="F370" s="220">
        <f t="shared" si="34"/>
        <v>-10</v>
      </c>
      <c r="K370" s="216" t="s">
        <v>268</v>
      </c>
      <c r="L370" s="232">
        <f>L364+L366+L367+L368-L365-L369</f>
        <v>2000</v>
      </c>
    </row>
    <row r="371" ht="14.25" customHeight="1">
      <c r="B371" s="219">
        <v>45085.0</v>
      </c>
      <c r="C371" s="220" t="str">
        <f t="shared" si="35"/>
        <v/>
      </c>
      <c r="D371" s="220"/>
      <c r="E371" s="220">
        <f t="shared" si="33"/>
        <v>0</v>
      </c>
      <c r="F371" s="220">
        <f t="shared" si="34"/>
        <v>-10</v>
      </c>
      <c r="K371" s="216" t="s">
        <v>269</v>
      </c>
      <c r="L371" s="229"/>
    </row>
    <row r="372" ht="14.25" customHeight="1">
      <c r="B372" s="219">
        <v>45086.0</v>
      </c>
      <c r="C372" s="220" t="str">
        <f t="shared" si="35"/>
        <v/>
      </c>
      <c r="D372" s="220"/>
      <c r="E372" s="220">
        <f t="shared" si="33"/>
        <v>0</v>
      </c>
      <c r="F372" s="220">
        <f t="shared" si="34"/>
        <v>-10</v>
      </c>
    </row>
    <row r="373" ht="14.25" customHeight="1">
      <c r="B373" s="254">
        <v>45087.0</v>
      </c>
      <c r="C373" s="255" t="str">
        <f t="shared" si="35"/>
        <v/>
      </c>
      <c r="D373" s="255"/>
      <c r="E373" s="255">
        <f t="shared" si="33"/>
        <v>0</v>
      </c>
      <c r="F373" s="255">
        <f t="shared" si="34"/>
        <v>-10</v>
      </c>
    </row>
    <row r="374" ht="14.25" customHeight="1">
      <c r="B374" s="254">
        <v>45088.0</v>
      </c>
      <c r="C374" s="255" t="str">
        <f t="shared" si="35"/>
        <v/>
      </c>
      <c r="D374" s="255"/>
      <c r="E374" s="255">
        <f t="shared" si="33"/>
        <v>0</v>
      </c>
      <c r="F374" s="255">
        <f t="shared" si="34"/>
        <v>-10</v>
      </c>
    </row>
    <row r="375" ht="14.25" customHeight="1">
      <c r="B375" s="219">
        <v>45089.0</v>
      </c>
      <c r="C375" s="220" t="str">
        <f t="shared" si="35"/>
        <v/>
      </c>
      <c r="D375" s="220"/>
      <c r="E375" s="220">
        <f t="shared" si="33"/>
        <v>0</v>
      </c>
      <c r="F375" s="220">
        <f t="shared" si="34"/>
        <v>-10</v>
      </c>
    </row>
    <row r="376" ht="14.25" customHeight="1">
      <c r="B376" s="219">
        <v>45090.0</v>
      </c>
      <c r="C376" s="220" t="str">
        <f t="shared" si="35"/>
        <v/>
      </c>
      <c r="D376" s="220"/>
      <c r="E376" s="220">
        <f t="shared" si="33"/>
        <v>0</v>
      </c>
      <c r="F376" s="220">
        <f t="shared" si="34"/>
        <v>-10</v>
      </c>
    </row>
    <row r="377" ht="14.25" customHeight="1">
      <c r="B377" s="219">
        <v>45091.0</v>
      </c>
      <c r="C377" s="220" t="str">
        <f t="shared" si="35"/>
        <v/>
      </c>
      <c r="D377" s="220"/>
      <c r="E377" s="220">
        <f t="shared" si="33"/>
        <v>0</v>
      </c>
      <c r="F377" s="220">
        <f t="shared" si="34"/>
        <v>-10</v>
      </c>
    </row>
    <row r="378" ht="14.25" customHeight="1">
      <c r="B378" s="219">
        <v>45092.0</v>
      </c>
      <c r="C378" s="220" t="str">
        <f t="shared" si="35"/>
        <v/>
      </c>
      <c r="D378" s="220"/>
      <c r="E378" s="220">
        <f t="shared" si="33"/>
        <v>0</v>
      </c>
      <c r="F378" s="220">
        <f t="shared" si="34"/>
        <v>-10</v>
      </c>
    </row>
    <row r="379" ht="14.25" customHeight="1">
      <c r="B379" s="219">
        <v>45093.0</v>
      </c>
      <c r="C379" s="220" t="str">
        <f t="shared" si="35"/>
        <v/>
      </c>
      <c r="D379" s="220"/>
      <c r="E379" s="220">
        <f t="shared" si="33"/>
        <v>0</v>
      </c>
      <c r="F379" s="220">
        <f t="shared" si="34"/>
        <v>-10</v>
      </c>
    </row>
    <row r="380" ht="14.25" customHeight="1">
      <c r="B380" s="254">
        <v>45094.0</v>
      </c>
      <c r="C380" s="255" t="str">
        <f t="shared" si="35"/>
        <v/>
      </c>
      <c r="D380" s="255"/>
      <c r="E380" s="255">
        <f t="shared" si="33"/>
        <v>0</v>
      </c>
      <c r="F380" s="255">
        <f t="shared" si="34"/>
        <v>-10</v>
      </c>
    </row>
    <row r="381" ht="14.25" customHeight="1">
      <c r="B381" s="254">
        <v>45095.0</v>
      </c>
      <c r="C381" s="255" t="str">
        <f t="shared" si="35"/>
        <v/>
      </c>
      <c r="D381" s="255"/>
      <c r="E381" s="255">
        <f t="shared" si="33"/>
        <v>0</v>
      </c>
      <c r="F381" s="255">
        <f t="shared" si="34"/>
        <v>-10</v>
      </c>
    </row>
    <row r="382" ht="14.25" customHeight="1">
      <c r="B382" s="219">
        <v>45096.0</v>
      </c>
      <c r="C382" s="220" t="str">
        <f t="shared" si="35"/>
        <v/>
      </c>
      <c r="D382" s="220"/>
      <c r="E382" s="220">
        <f t="shared" si="33"/>
        <v>0</v>
      </c>
      <c r="F382" s="220">
        <f t="shared" si="34"/>
        <v>-10</v>
      </c>
    </row>
    <row r="383" ht="14.25" customHeight="1">
      <c r="B383" s="219">
        <v>45097.0</v>
      </c>
      <c r="C383" s="220" t="str">
        <f t="shared" si="35"/>
        <v/>
      </c>
      <c r="D383" s="220"/>
      <c r="E383" s="220">
        <f t="shared" si="33"/>
        <v>0</v>
      </c>
      <c r="F383" s="220">
        <f t="shared" si="34"/>
        <v>-10</v>
      </c>
    </row>
    <row r="384" ht="14.25" customHeight="1">
      <c r="B384" s="219">
        <v>45098.0</v>
      </c>
      <c r="C384" s="220" t="str">
        <f t="shared" si="35"/>
        <v/>
      </c>
      <c r="D384" s="220"/>
      <c r="E384" s="220">
        <f t="shared" si="33"/>
        <v>0</v>
      </c>
      <c r="F384" s="220">
        <f t="shared" si="34"/>
        <v>-10</v>
      </c>
    </row>
    <row r="385" ht="14.25" customHeight="1">
      <c r="B385" s="219">
        <v>45099.0</v>
      </c>
      <c r="C385" s="220" t="str">
        <f t="shared" si="35"/>
        <v/>
      </c>
      <c r="D385" s="220"/>
      <c r="E385" s="220">
        <f t="shared" si="33"/>
        <v>0</v>
      </c>
      <c r="F385" s="220">
        <f t="shared" si="34"/>
        <v>-10</v>
      </c>
    </row>
    <row r="386" ht="14.25" customHeight="1">
      <c r="B386" s="219">
        <v>45100.0</v>
      </c>
      <c r="C386" s="220" t="str">
        <f t="shared" si="35"/>
        <v/>
      </c>
      <c r="D386" s="220"/>
      <c r="E386" s="220">
        <f t="shared" si="33"/>
        <v>0</v>
      </c>
      <c r="F386" s="220">
        <f t="shared" si="34"/>
        <v>-10</v>
      </c>
    </row>
    <row r="387" ht="14.25" customHeight="1">
      <c r="B387" s="254">
        <v>45101.0</v>
      </c>
      <c r="C387" s="255" t="str">
        <f t="shared" si="35"/>
        <v/>
      </c>
      <c r="D387" s="255"/>
      <c r="E387" s="255">
        <f t="shared" si="33"/>
        <v>0</v>
      </c>
      <c r="F387" s="255">
        <f t="shared" si="34"/>
        <v>-10</v>
      </c>
    </row>
    <row r="388" ht="14.25" customHeight="1">
      <c r="B388" s="254">
        <v>45102.0</v>
      </c>
      <c r="C388" s="255" t="str">
        <f t="shared" si="35"/>
        <v/>
      </c>
      <c r="D388" s="255"/>
      <c r="E388" s="255">
        <f t="shared" si="33"/>
        <v>0</v>
      </c>
      <c r="F388" s="255">
        <f t="shared" si="34"/>
        <v>-10</v>
      </c>
    </row>
    <row r="389" ht="14.25" customHeight="1">
      <c r="B389" s="219">
        <v>45103.0</v>
      </c>
      <c r="C389" s="220" t="str">
        <f t="shared" si="35"/>
        <v/>
      </c>
      <c r="D389" s="220"/>
      <c r="E389" s="220">
        <f t="shared" si="33"/>
        <v>0</v>
      </c>
      <c r="F389" s="220">
        <f t="shared" si="34"/>
        <v>-10</v>
      </c>
    </row>
    <row r="390" ht="14.25" customHeight="1">
      <c r="B390" s="219">
        <v>45104.0</v>
      </c>
      <c r="C390" s="220" t="str">
        <f t="shared" si="35"/>
        <v/>
      </c>
      <c r="D390" s="220"/>
      <c r="E390" s="220">
        <f t="shared" si="33"/>
        <v>0</v>
      </c>
      <c r="F390" s="220">
        <f t="shared" si="34"/>
        <v>-10</v>
      </c>
    </row>
    <row r="391" ht="14.25" customHeight="1">
      <c r="B391" s="219">
        <v>45105.0</v>
      </c>
      <c r="C391" s="220" t="str">
        <f t="shared" si="35"/>
        <v/>
      </c>
      <c r="D391" s="220"/>
      <c r="E391" s="220">
        <f t="shared" si="33"/>
        <v>0</v>
      </c>
      <c r="F391" s="220">
        <f t="shared" si="34"/>
        <v>-10</v>
      </c>
    </row>
    <row r="392" ht="14.25" customHeight="1">
      <c r="B392" s="219">
        <v>45106.0</v>
      </c>
      <c r="C392" s="220" t="str">
        <f t="shared" si="35"/>
        <v/>
      </c>
      <c r="D392" s="220"/>
      <c r="E392" s="220">
        <f t="shared" si="33"/>
        <v>0</v>
      </c>
      <c r="F392" s="220">
        <f t="shared" si="34"/>
        <v>-10</v>
      </c>
    </row>
    <row r="393" ht="14.25" customHeight="1">
      <c r="B393" s="219">
        <v>45107.0</v>
      </c>
      <c r="C393" s="220" t="str">
        <f t="shared" si="35"/>
        <v/>
      </c>
      <c r="D393" s="220"/>
      <c r="E393" s="220">
        <f t="shared" si="33"/>
        <v>0</v>
      </c>
      <c r="F393" s="220">
        <f t="shared" si="34"/>
        <v>-10</v>
      </c>
    </row>
    <row r="394" ht="14.25" customHeight="1">
      <c r="B394" s="229"/>
      <c r="C394" s="220" t="str">
        <f t="shared" si="35"/>
        <v/>
      </c>
      <c r="D394" s="220"/>
      <c r="E394" s="220">
        <f t="shared" si="33"/>
        <v>0</v>
      </c>
      <c r="F394" s="220">
        <f t="shared" si="34"/>
        <v>-10</v>
      </c>
    </row>
    <row r="395" ht="14.25" customHeight="1">
      <c r="B395" s="216"/>
      <c r="C395" s="223" t="s">
        <v>221</v>
      </c>
      <c r="D395" s="223"/>
      <c r="E395" s="216">
        <f>SUM(E364:E394)</f>
        <v>0</v>
      </c>
      <c r="F395" s="216">
        <f t="shared" si="34"/>
        <v>-10</v>
      </c>
    </row>
    <row r="396" ht="14.25" customHeight="1"/>
    <row r="397" ht="14.25" customHeight="1">
      <c r="A397" s="249" t="s">
        <v>226</v>
      </c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1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4.25" customHeight="1"/>
    <row r="399" ht="14.25" customHeight="1">
      <c r="B399" s="216" t="s">
        <v>214</v>
      </c>
      <c r="C399" s="216" t="s">
        <v>215</v>
      </c>
      <c r="D399" s="216" t="s">
        <v>216</v>
      </c>
      <c r="E399" s="216" t="s">
        <v>217</v>
      </c>
      <c r="F399" s="216" t="s">
        <v>218</v>
      </c>
      <c r="H399" s="216" t="s">
        <v>238</v>
      </c>
      <c r="I399" s="216"/>
      <c r="K399" s="253" t="s">
        <v>226</v>
      </c>
      <c r="L399" s="231"/>
    </row>
    <row r="400" ht="14.25" customHeight="1">
      <c r="B400" s="219">
        <v>45078.0</v>
      </c>
      <c r="C400" s="220"/>
      <c r="D400" s="220"/>
      <c r="E400" s="220">
        <f t="shared" ref="E400:E430" si="36">D400-C400</f>
        <v>0</v>
      </c>
      <c r="F400" s="220">
        <f t="shared" ref="F400:F431" si="37">E400-10</f>
        <v>-10</v>
      </c>
      <c r="H400" s="216" t="s">
        <v>245</v>
      </c>
      <c r="I400" s="216"/>
      <c r="K400" s="216" t="s">
        <v>244</v>
      </c>
      <c r="L400" s="232">
        <v>2000.0</v>
      </c>
    </row>
    <row r="401" ht="14.25" customHeight="1">
      <c r="B401" s="219">
        <v>45079.0</v>
      </c>
      <c r="C401" s="220" t="str">
        <f t="shared" ref="C401:C430" si="38">D400</f>
        <v/>
      </c>
      <c r="D401" s="220"/>
      <c r="E401" s="220">
        <f t="shared" si="36"/>
        <v>0</v>
      </c>
      <c r="F401" s="220">
        <f t="shared" si="37"/>
        <v>-10</v>
      </c>
      <c r="H401" s="216" t="s">
        <v>247</v>
      </c>
      <c r="I401" s="216"/>
      <c r="K401" s="216" t="s">
        <v>266</v>
      </c>
      <c r="L401" s="232"/>
    </row>
    <row r="402" ht="14.25" customHeight="1">
      <c r="B402" s="254">
        <v>45080.0</v>
      </c>
      <c r="C402" s="255" t="str">
        <f t="shared" si="38"/>
        <v/>
      </c>
      <c r="D402" s="255"/>
      <c r="E402" s="255">
        <f t="shared" si="36"/>
        <v>0</v>
      </c>
      <c r="F402" s="255">
        <f t="shared" si="37"/>
        <v>-10</v>
      </c>
      <c r="H402" s="216" t="s">
        <v>249</v>
      </c>
      <c r="I402" s="232">
        <v>18.0</v>
      </c>
      <c r="K402" s="216" t="s">
        <v>246</v>
      </c>
      <c r="L402" s="232">
        <f>O402*O403</f>
        <v>0</v>
      </c>
    </row>
    <row r="403" ht="14.25" customHeight="1">
      <c r="B403" s="254">
        <v>45081.0</v>
      </c>
      <c r="C403" s="255" t="str">
        <f t="shared" si="38"/>
        <v/>
      </c>
      <c r="D403" s="255"/>
      <c r="E403" s="255">
        <f t="shared" si="36"/>
        <v>0</v>
      </c>
      <c r="F403" s="255">
        <f t="shared" si="37"/>
        <v>-10</v>
      </c>
      <c r="H403" s="216" t="s">
        <v>251</v>
      </c>
      <c r="I403" s="216"/>
      <c r="K403" s="216" t="s">
        <v>248</v>
      </c>
      <c r="L403" s="232">
        <f>O404*O405</f>
        <v>0</v>
      </c>
    </row>
    <row r="404" ht="14.25" customHeight="1">
      <c r="B404" s="219">
        <v>45082.0</v>
      </c>
      <c r="C404" s="220" t="str">
        <f t="shared" si="38"/>
        <v/>
      </c>
      <c r="D404" s="220"/>
      <c r="E404" s="220">
        <f t="shared" si="36"/>
        <v>0</v>
      </c>
      <c r="F404" s="220">
        <f t="shared" si="37"/>
        <v>-10</v>
      </c>
      <c r="H404" s="216" t="s">
        <v>249</v>
      </c>
      <c r="I404" s="232">
        <v>10.0</v>
      </c>
      <c r="K404" s="216" t="s">
        <v>250</v>
      </c>
      <c r="L404" s="232">
        <f>O406*100</f>
        <v>0</v>
      </c>
    </row>
    <row r="405" ht="14.25" customHeight="1">
      <c r="B405" s="219">
        <v>45083.0</v>
      </c>
      <c r="C405" s="220" t="str">
        <f t="shared" si="38"/>
        <v/>
      </c>
      <c r="D405" s="220"/>
      <c r="E405" s="220">
        <f t="shared" si="36"/>
        <v>0</v>
      </c>
      <c r="F405" s="220">
        <f t="shared" si="37"/>
        <v>-10</v>
      </c>
      <c r="H405" s="216" t="s">
        <v>250</v>
      </c>
      <c r="I405" s="216"/>
      <c r="K405" s="216" t="s">
        <v>252</v>
      </c>
      <c r="L405" s="232"/>
    </row>
    <row r="406" ht="14.25" customHeight="1">
      <c r="B406" s="219">
        <v>45084.0</v>
      </c>
      <c r="C406" s="220" t="str">
        <f t="shared" si="38"/>
        <v/>
      </c>
      <c r="D406" s="220"/>
      <c r="E406" s="220">
        <f t="shared" si="36"/>
        <v>0</v>
      </c>
      <c r="F406" s="220">
        <f t="shared" si="37"/>
        <v>-10</v>
      </c>
      <c r="K406" s="216" t="s">
        <v>268</v>
      </c>
      <c r="L406" s="232">
        <f>L400+L402+L403+L404-L401-L405</f>
        <v>2000</v>
      </c>
    </row>
    <row r="407" ht="14.25" customHeight="1">
      <c r="B407" s="219">
        <v>45085.0</v>
      </c>
      <c r="C407" s="220" t="str">
        <f t="shared" si="38"/>
        <v/>
      </c>
      <c r="D407" s="220"/>
      <c r="E407" s="220">
        <f t="shared" si="36"/>
        <v>0</v>
      </c>
      <c r="F407" s="220">
        <f t="shared" si="37"/>
        <v>-10</v>
      </c>
      <c r="K407" s="216" t="s">
        <v>269</v>
      </c>
      <c r="L407" s="229"/>
    </row>
    <row r="408" ht="14.25" customHeight="1">
      <c r="B408" s="219">
        <v>45086.0</v>
      </c>
      <c r="C408" s="220" t="str">
        <f t="shared" si="38"/>
        <v/>
      </c>
      <c r="D408" s="220"/>
      <c r="E408" s="220">
        <f t="shared" si="36"/>
        <v>0</v>
      </c>
      <c r="F408" s="220">
        <f t="shared" si="37"/>
        <v>-10</v>
      </c>
    </row>
    <row r="409" ht="14.25" customHeight="1">
      <c r="B409" s="254">
        <v>45087.0</v>
      </c>
      <c r="C409" s="255" t="str">
        <f t="shared" si="38"/>
        <v/>
      </c>
      <c r="D409" s="255"/>
      <c r="E409" s="255">
        <f t="shared" si="36"/>
        <v>0</v>
      </c>
      <c r="F409" s="255">
        <f t="shared" si="37"/>
        <v>-10</v>
      </c>
    </row>
    <row r="410" ht="14.25" customHeight="1">
      <c r="B410" s="254">
        <v>45088.0</v>
      </c>
      <c r="C410" s="255" t="str">
        <f t="shared" si="38"/>
        <v/>
      </c>
      <c r="D410" s="255"/>
      <c r="E410" s="255">
        <f t="shared" si="36"/>
        <v>0</v>
      </c>
      <c r="F410" s="255">
        <f t="shared" si="37"/>
        <v>-10</v>
      </c>
    </row>
    <row r="411" ht="14.25" customHeight="1">
      <c r="B411" s="219">
        <v>45089.0</v>
      </c>
      <c r="C411" s="220" t="str">
        <f t="shared" si="38"/>
        <v/>
      </c>
      <c r="D411" s="220"/>
      <c r="E411" s="220">
        <f t="shared" si="36"/>
        <v>0</v>
      </c>
      <c r="F411" s="220">
        <f t="shared" si="37"/>
        <v>-10</v>
      </c>
    </row>
    <row r="412" ht="14.25" customHeight="1">
      <c r="B412" s="219">
        <v>45090.0</v>
      </c>
      <c r="C412" s="220" t="str">
        <f t="shared" si="38"/>
        <v/>
      </c>
      <c r="D412" s="220"/>
      <c r="E412" s="220">
        <f t="shared" si="36"/>
        <v>0</v>
      </c>
      <c r="F412" s="220">
        <f t="shared" si="37"/>
        <v>-10</v>
      </c>
    </row>
    <row r="413" ht="14.25" customHeight="1">
      <c r="B413" s="219">
        <v>45091.0</v>
      </c>
      <c r="C413" s="220" t="str">
        <f t="shared" si="38"/>
        <v/>
      </c>
      <c r="D413" s="220"/>
      <c r="E413" s="220">
        <f t="shared" si="36"/>
        <v>0</v>
      </c>
      <c r="F413" s="220">
        <f t="shared" si="37"/>
        <v>-10</v>
      </c>
    </row>
    <row r="414" ht="14.25" customHeight="1">
      <c r="B414" s="219">
        <v>45092.0</v>
      </c>
      <c r="C414" s="220" t="str">
        <f t="shared" si="38"/>
        <v/>
      </c>
      <c r="D414" s="220"/>
      <c r="E414" s="220">
        <f t="shared" si="36"/>
        <v>0</v>
      </c>
      <c r="F414" s="220">
        <f t="shared" si="37"/>
        <v>-10</v>
      </c>
    </row>
    <row r="415" ht="14.25" customHeight="1">
      <c r="B415" s="219">
        <v>45093.0</v>
      </c>
      <c r="C415" s="220" t="str">
        <f t="shared" si="38"/>
        <v/>
      </c>
      <c r="D415" s="220"/>
      <c r="E415" s="220">
        <f t="shared" si="36"/>
        <v>0</v>
      </c>
      <c r="F415" s="220">
        <f t="shared" si="37"/>
        <v>-10</v>
      </c>
    </row>
    <row r="416" ht="14.25" customHeight="1">
      <c r="B416" s="254">
        <v>45094.0</v>
      </c>
      <c r="C416" s="255" t="str">
        <f t="shared" si="38"/>
        <v/>
      </c>
      <c r="D416" s="255"/>
      <c r="E416" s="255">
        <f t="shared" si="36"/>
        <v>0</v>
      </c>
      <c r="F416" s="255">
        <f t="shared" si="37"/>
        <v>-10</v>
      </c>
    </row>
    <row r="417" ht="14.25" customHeight="1">
      <c r="B417" s="254">
        <v>45095.0</v>
      </c>
      <c r="C417" s="255" t="str">
        <f t="shared" si="38"/>
        <v/>
      </c>
      <c r="D417" s="255"/>
      <c r="E417" s="255">
        <f t="shared" si="36"/>
        <v>0</v>
      </c>
      <c r="F417" s="255">
        <f t="shared" si="37"/>
        <v>-10</v>
      </c>
    </row>
    <row r="418" ht="14.25" customHeight="1">
      <c r="B418" s="219">
        <v>45096.0</v>
      </c>
      <c r="C418" s="220" t="str">
        <f t="shared" si="38"/>
        <v/>
      </c>
      <c r="D418" s="220"/>
      <c r="E418" s="220">
        <f t="shared" si="36"/>
        <v>0</v>
      </c>
      <c r="F418" s="220">
        <f t="shared" si="37"/>
        <v>-10</v>
      </c>
    </row>
    <row r="419" ht="14.25" customHeight="1">
      <c r="B419" s="219">
        <v>45097.0</v>
      </c>
      <c r="C419" s="220" t="str">
        <f t="shared" si="38"/>
        <v/>
      </c>
      <c r="D419" s="220"/>
      <c r="E419" s="220">
        <f t="shared" si="36"/>
        <v>0</v>
      </c>
      <c r="F419" s="220">
        <f t="shared" si="37"/>
        <v>-10</v>
      </c>
    </row>
    <row r="420" ht="14.25" customHeight="1">
      <c r="B420" s="219">
        <v>45098.0</v>
      </c>
      <c r="C420" s="220" t="str">
        <f t="shared" si="38"/>
        <v/>
      </c>
      <c r="D420" s="220"/>
      <c r="E420" s="220">
        <f t="shared" si="36"/>
        <v>0</v>
      </c>
      <c r="F420" s="220">
        <f t="shared" si="37"/>
        <v>-10</v>
      </c>
    </row>
    <row r="421" ht="14.25" customHeight="1">
      <c r="B421" s="219">
        <v>45099.0</v>
      </c>
      <c r="C421" s="220" t="str">
        <f t="shared" si="38"/>
        <v/>
      </c>
      <c r="D421" s="220"/>
      <c r="E421" s="220">
        <f t="shared" si="36"/>
        <v>0</v>
      </c>
      <c r="F421" s="220">
        <f t="shared" si="37"/>
        <v>-10</v>
      </c>
    </row>
    <row r="422" ht="14.25" customHeight="1">
      <c r="B422" s="219">
        <v>45100.0</v>
      </c>
      <c r="C422" s="220" t="str">
        <f t="shared" si="38"/>
        <v/>
      </c>
      <c r="D422" s="220"/>
      <c r="E422" s="220">
        <f t="shared" si="36"/>
        <v>0</v>
      </c>
      <c r="F422" s="220">
        <f t="shared" si="37"/>
        <v>-10</v>
      </c>
    </row>
    <row r="423" ht="14.25" customHeight="1">
      <c r="B423" s="254">
        <v>45101.0</v>
      </c>
      <c r="C423" s="255" t="str">
        <f t="shared" si="38"/>
        <v/>
      </c>
      <c r="D423" s="255"/>
      <c r="E423" s="255">
        <f t="shared" si="36"/>
        <v>0</v>
      </c>
      <c r="F423" s="255">
        <f t="shared" si="37"/>
        <v>-10</v>
      </c>
    </row>
    <row r="424" ht="14.25" customHeight="1">
      <c r="B424" s="254">
        <v>45102.0</v>
      </c>
      <c r="C424" s="255" t="str">
        <f t="shared" si="38"/>
        <v/>
      </c>
      <c r="D424" s="255"/>
      <c r="E424" s="255">
        <f t="shared" si="36"/>
        <v>0</v>
      </c>
      <c r="F424" s="255">
        <f t="shared" si="37"/>
        <v>-10</v>
      </c>
    </row>
    <row r="425" ht="14.25" customHeight="1">
      <c r="B425" s="219">
        <v>45103.0</v>
      </c>
      <c r="C425" s="220" t="str">
        <f t="shared" si="38"/>
        <v/>
      </c>
      <c r="D425" s="220"/>
      <c r="E425" s="220">
        <f t="shared" si="36"/>
        <v>0</v>
      </c>
      <c r="F425" s="220">
        <f t="shared" si="37"/>
        <v>-10</v>
      </c>
    </row>
    <row r="426" ht="14.25" customHeight="1">
      <c r="B426" s="219">
        <v>45104.0</v>
      </c>
      <c r="C426" s="220" t="str">
        <f t="shared" si="38"/>
        <v/>
      </c>
      <c r="D426" s="220"/>
      <c r="E426" s="220">
        <f t="shared" si="36"/>
        <v>0</v>
      </c>
      <c r="F426" s="220">
        <f t="shared" si="37"/>
        <v>-10</v>
      </c>
    </row>
    <row r="427" ht="14.25" customHeight="1">
      <c r="B427" s="219">
        <v>45105.0</v>
      </c>
      <c r="C427" s="220" t="str">
        <f t="shared" si="38"/>
        <v/>
      </c>
      <c r="D427" s="220"/>
      <c r="E427" s="220">
        <f t="shared" si="36"/>
        <v>0</v>
      </c>
      <c r="F427" s="220">
        <f t="shared" si="37"/>
        <v>-10</v>
      </c>
    </row>
    <row r="428" ht="14.25" customHeight="1">
      <c r="B428" s="219">
        <v>45106.0</v>
      </c>
      <c r="C428" s="220" t="str">
        <f t="shared" si="38"/>
        <v/>
      </c>
      <c r="D428" s="220"/>
      <c r="E428" s="220">
        <f t="shared" si="36"/>
        <v>0</v>
      </c>
      <c r="F428" s="220">
        <f t="shared" si="37"/>
        <v>-10</v>
      </c>
    </row>
    <row r="429" ht="14.25" customHeight="1">
      <c r="B429" s="219">
        <v>45107.0</v>
      </c>
      <c r="C429" s="220" t="str">
        <f t="shared" si="38"/>
        <v/>
      </c>
      <c r="D429" s="220"/>
      <c r="E429" s="220">
        <f t="shared" si="36"/>
        <v>0</v>
      </c>
      <c r="F429" s="220">
        <f t="shared" si="37"/>
        <v>-10</v>
      </c>
    </row>
    <row r="430" ht="14.25" customHeight="1">
      <c r="B430" s="229"/>
      <c r="C430" s="220" t="str">
        <f t="shared" si="38"/>
        <v/>
      </c>
      <c r="D430" s="220"/>
      <c r="E430" s="220">
        <f t="shared" si="36"/>
        <v>0</v>
      </c>
      <c r="F430" s="220">
        <f t="shared" si="37"/>
        <v>-10</v>
      </c>
    </row>
    <row r="431" ht="14.25" customHeight="1">
      <c r="B431" s="216"/>
      <c r="C431" s="223" t="s">
        <v>221</v>
      </c>
      <c r="D431" s="223"/>
      <c r="E431" s="216">
        <f>SUM(E400:E430)</f>
        <v>0</v>
      </c>
      <c r="F431" s="216">
        <f t="shared" si="37"/>
        <v>-10</v>
      </c>
    </row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A1:L1"/>
    <mergeCell ref="K3:L3"/>
    <mergeCell ref="A37:L37"/>
    <mergeCell ref="K39:L39"/>
    <mergeCell ref="A73:L73"/>
    <mergeCell ref="K75:L75"/>
    <mergeCell ref="A109:L109"/>
    <mergeCell ref="K111:L111"/>
    <mergeCell ref="A145:L145"/>
    <mergeCell ref="K147:L147"/>
    <mergeCell ref="A181:L181"/>
    <mergeCell ref="K183:L183"/>
    <mergeCell ref="A217:L217"/>
    <mergeCell ref="K219:L219"/>
    <mergeCell ref="K363:L363"/>
    <mergeCell ref="A397:L397"/>
    <mergeCell ref="K399:L399"/>
    <mergeCell ref="A253:L253"/>
    <mergeCell ref="K255:L255"/>
    <mergeCell ref="A289:L289"/>
    <mergeCell ref="K291:L291"/>
    <mergeCell ref="A325:L325"/>
    <mergeCell ref="K327:L327"/>
    <mergeCell ref="A361:L361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0.57"/>
    <col customWidth="1" min="3" max="3" width="12.29"/>
    <col customWidth="1" min="4" max="4" width="7.0"/>
    <col customWidth="1" min="5" max="7" width="8.71"/>
    <col customWidth="1" min="8" max="8" width="18.14"/>
    <col customWidth="1" min="9" max="9" width="8.0"/>
    <col customWidth="1" min="10" max="10" width="8.71"/>
    <col customWidth="1" min="11" max="11" width="14.86"/>
    <col customWidth="1" min="12" max="12" width="10.57"/>
    <col customWidth="1" min="13" max="26" width="8.71"/>
  </cols>
  <sheetData>
    <row r="1" ht="14.25" customHeight="1"/>
    <row r="2" ht="14.25" customHeight="1">
      <c r="A2" s="249" t="s">
        <v>234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1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14.25" customHeight="1"/>
    <row r="4" ht="14.25" customHeight="1">
      <c r="B4" s="216" t="s">
        <v>214</v>
      </c>
      <c r="C4" s="216" t="s">
        <v>215</v>
      </c>
      <c r="D4" s="216" t="s">
        <v>216</v>
      </c>
      <c r="E4" s="216" t="s">
        <v>217</v>
      </c>
      <c r="F4" s="216" t="s">
        <v>218</v>
      </c>
      <c r="H4" s="216" t="s">
        <v>238</v>
      </c>
      <c r="I4" s="216">
        <v>1864.0</v>
      </c>
      <c r="K4" s="253" t="s">
        <v>234</v>
      </c>
      <c r="L4" s="231"/>
    </row>
    <row r="5" ht="14.25" customHeight="1">
      <c r="B5" s="219">
        <v>45139.0</v>
      </c>
      <c r="C5" s="220">
        <v>1864.0</v>
      </c>
      <c r="D5" s="220">
        <v>1869.0</v>
      </c>
      <c r="E5" s="220">
        <f t="shared" ref="E5:E35" si="1">D5-C5</f>
        <v>5</v>
      </c>
      <c r="F5" s="220">
        <f t="shared" ref="F5:F36" si="2">E5-10</f>
        <v>-5</v>
      </c>
      <c r="H5" s="216" t="s">
        <v>245</v>
      </c>
      <c r="I5" s="216">
        <v>2114.0</v>
      </c>
      <c r="K5" s="216" t="s">
        <v>244</v>
      </c>
      <c r="L5" s="232">
        <v>2000.0</v>
      </c>
    </row>
    <row r="6" ht="14.25" customHeight="1">
      <c r="B6" s="219">
        <v>45140.0</v>
      </c>
      <c r="C6" s="220">
        <f t="shared" ref="C6:C9" si="3">D5</f>
        <v>1869</v>
      </c>
      <c r="D6" s="220">
        <v>1880.0</v>
      </c>
      <c r="E6" s="220">
        <f t="shared" si="1"/>
        <v>11</v>
      </c>
      <c r="F6" s="220">
        <f t="shared" si="2"/>
        <v>1</v>
      </c>
      <c r="H6" s="216" t="s">
        <v>247</v>
      </c>
      <c r="I6" s="216">
        <v>250.0</v>
      </c>
      <c r="K6" s="216" t="s">
        <v>266</v>
      </c>
      <c r="L6" s="232">
        <v>1300.0</v>
      </c>
    </row>
    <row r="7" ht="14.25" customHeight="1">
      <c r="B7" s="219">
        <v>45141.0</v>
      </c>
      <c r="C7" s="220">
        <f t="shared" si="3"/>
        <v>1880</v>
      </c>
      <c r="D7" s="220">
        <v>1890.0</v>
      </c>
      <c r="E7" s="220">
        <f t="shared" si="1"/>
        <v>10</v>
      </c>
      <c r="F7" s="220">
        <f t="shared" si="2"/>
        <v>0</v>
      </c>
      <c r="H7" s="216" t="s">
        <v>249</v>
      </c>
      <c r="I7" s="232">
        <v>20.0</v>
      </c>
      <c r="K7" s="216" t="s">
        <v>246</v>
      </c>
      <c r="L7" s="232">
        <f>I6*I7</f>
        <v>5000</v>
      </c>
    </row>
    <row r="8" ht="14.25" customHeight="1">
      <c r="B8" s="219">
        <v>45142.0</v>
      </c>
      <c r="C8" s="220">
        <f t="shared" si="3"/>
        <v>1890</v>
      </c>
      <c r="D8" s="220">
        <v>1900.0</v>
      </c>
      <c r="E8" s="220">
        <f t="shared" si="1"/>
        <v>10</v>
      </c>
      <c r="F8" s="220">
        <f t="shared" si="2"/>
        <v>0</v>
      </c>
      <c r="H8" s="216" t="s">
        <v>251</v>
      </c>
      <c r="I8" s="216">
        <v>22.0</v>
      </c>
      <c r="K8" s="216" t="s">
        <v>248</v>
      </c>
      <c r="L8" s="232">
        <f>I8*I9</f>
        <v>440</v>
      </c>
    </row>
    <row r="9" ht="14.25" customHeight="1">
      <c r="B9" s="259">
        <v>45143.0</v>
      </c>
      <c r="C9" s="260">
        <f t="shared" si="3"/>
        <v>1900</v>
      </c>
      <c r="D9" s="260">
        <v>1905.0</v>
      </c>
      <c r="E9" s="260">
        <f t="shared" si="1"/>
        <v>5</v>
      </c>
      <c r="F9" s="260">
        <f t="shared" si="2"/>
        <v>-5</v>
      </c>
      <c r="H9" s="216" t="s">
        <v>249</v>
      </c>
      <c r="I9" s="232">
        <v>20.0</v>
      </c>
      <c r="K9" s="216" t="s">
        <v>250</v>
      </c>
      <c r="L9" s="232">
        <f>I10*100</f>
        <v>400</v>
      </c>
    </row>
    <row r="10" ht="14.25" customHeight="1">
      <c r="B10" s="259">
        <v>45144.0</v>
      </c>
      <c r="C10" s="260"/>
      <c r="D10" s="260"/>
      <c r="E10" s="260">
        <f t="shared" si="1"/>
        <v>0</v>
      </c>
      <c r="F10" s="260">
        <f t="shared" si="2"/>
        <v>-10</v>
      </c>
      <c r="H10" s="216" t="s">
        <v>267</v>
      </c>
      <c r="I10" s="216">
        <v>4.0</v>
      </c>
      <c r="K10" s="216" t="s">
        <v>252</v>
      </c>
      <c r="L10" s="232"/>
    </row>
    <row r="11" ht="14.25" customHeight="1">
      <c r="B11" s="219">
        <v>45145.0</v>
      </c>
      <c r="C11" s="220">
        <v>1905.0</v>
      </c>
      <c r="D11" s="220">
        <v>1916.0</v>
      </c>
      <c r="E11" s="220">
        <f t="shared" si="1"/>
        <v>11</v>
      </c>
      <c r="F11" s="220">
        <f t="shared" si="2"/>
        <v>1</v>
      </c>
      <c r="K11" s="216" t="s">
        <v>268</v>
      </c>
      <c r="L11" s="232">
        <f>L5+L7+L8+L9-L6-L10</f>
        <v>6540</v>
      </c>
    </row>
    <row r="12" ht="14.25" customHeight="1">
      <c r="B12" s="219">
        <v>45146.0</v>
      </c>
      <c r="C12" s="220">
        <f t="shared" ref="C12:C16" si="4">D11</f>
        <v>1916</v>
      </c>
      <c r="D12" s="220">
        <v>1923.0</v>
      </c>
      <c r="E12" s="220">
        <f t="shared" si="1"/>
        <v>7</v>
      </c>
      <c r="F12" s="220">
        <f t="shared" si="2"/>
        <v>-3</v>
      </c>
      <c r="K12" s="216" t="s">
        <v>269</v>
      </c>
      <c r="L12" s="229">
        <v>45171.0</v>
      </c>
    </row>
    <row r="13" ht="14.25" customHeight="1">
      <c r="B13" s="219">
        <v>45147.0</v>
      </c>
      <c r="C13" s="220">
        <f t="shared" si="4"/>
        <v>1923</v>
      </c>
      <c r="D13" s="220">
        <v>1933.0</v>
      </c>
      <c r="E13" s="220">
        <f t="shared" si="1"/>
        <v>10</v>
      </c>
      <c r="F13" s="220">
        <f t="shared" si="2"/>
        <v>0</v>
      </c>
      <c r="K13" s="246" t="s">
        <v>33</v>
      </c>
    </row>
    <row r="14" ht="14.25" customHeight="1">
      <c r="B14" s="219">
        <v>45148.0</v>
      </c>
      <c r="C14" s="220">
        <f t="shared" si="4"/>
        <v>1933</v>
      </c>
      <c r="D14" s="220">
        <v>1942.0</v>
      </c>
      <c r="E14" s="220">
        <f t="shared" si="1"/>
        <v>9</v>
      </c>
      <c r="F14" s="220">
        <f t="shared" si="2"/>
        <v>-1</v>
      </c>
    </row>
    <row r="15" ht="14.25" customHeight="1">
      <c r="B15" s="219">
        <v>45149.0</v>
      </c>
      <c r="C15" s="220">
        <f t="shared" si="4"/>
        <v>1942</v>
      </c>
      <c r="D15" s="220">
        <v>1947.0</v>
      </c>
      <c r="E15" s="220">
        <f t="shared" si="1"/>
        <v>5</v>
      </c>
      <c r="F15" s="220">
        <f t="shared" si="2"/>
        <v>-5</v>
      </c>
    </row>
    <row r="16" ht="14.25" customHeight="1">
      <c r="B16" s="259">
        <v>45150.0</v>
      </c>
      <c r="C16" s="260">
        <f t="shared" si="4"/>
        <v>1947</v>
      </c>
      <c r="D16" s="260">
        <v>1951.0</v>
      </c>
      <c r="E16" s="260">
        <f t="shared" si="1"/>
        <v>4</v>
      </c>
      <c r="F16" s="260">
        <f t="shared" si="2"/>
        <v>-6</v>
      </c>
    </row>
    <row r="17" ht="14.25" customHeight="1">
      <c r="B17" s="259">
        <v>45151.0</v>
      </c>
      <c r="C17" s="260"/>
      <c r="D17" s="260"/>
      <c r="E17" s="260">
        <f t="shared" si="1"/>
        <v>0</v>
      </c>
      <c r="F17" s="260">
        <f t="shared" si="2"/>
        <v>-10</v>
      </c>
    </row>
    <row r="18" ht="14.25" customHeight="1">
      <c r="B18" s="219">
        <v>45152.0</v>
      </c>
      <c r="C18" s="220">
        <v>1951.0</v>
      </c>
      <c r="D18" s="220">
        <v>1959.0</v>
      </c>
      <c r="E18" s="220">
        <f t="shared" si="1"/>
        <v>8</v>
      </c>
      <c r="F18" s="220">
        <f t="shared" si="2"/>
        <v>-2</v>
      </c>
    </row>
    <row r="19" ht="14.25" customHeight="1">
      <c r="B19" s="219">
        <v>45153.0</v>
      </c>
      <c r="C19" s="220">
        <f t="shared" ref="C19:C23" si="5">D18</f>
        <v>1959</v>
      </c>
      <c r="D19" s="220">
        <v>1970.0</v>
      </c>
      <c r="E19" s="220">
        <f t="shared" si="1"/>
        <v>11</v>
      </c>
      <c r="F19" s="220">
        <f t="shared" si="2"/>
        <v>1</v>
      </c>
    </row>
    <row r="20" ht="14.25" customHeight="1">
      <c r="B20" s="219">
        <v>45154.0</v>
      </c>
      <c r="C20" s="220">
        <f t="shared" si="5"/>
        <v>1970</v>
      </c>
      <c r="D20" s="220">
        <v>1981.0</v>
      </c>
      <c r="E20" s="220">
        <f t="shared" si="1"/>
        <v>11</v>
      </c>
      <c r="F20" s="220">
        <f t="shared" si="2"/>
        <v>1</v>
      </c>
    </row>
    <row r="21" ht="14.25" customHeight="1">
      <c r="B21" s="219">
        <v>45155.0</v>
      </c>
      <c r="C21" s="220">
        <f t="shared" si="5"/>
        <v>1981</v>
      </c>
      <c r="D21" s="220">
        <v>1993.0</v>
      </c>
      <c r="E21" s="220">
        <f t="shared" si="1"/>
        <v>12</v>
      </c>
      <c r="F21" s="220">
        <f t="shared" si="2"/>
        <v>2</v>
      </c>
    </row>
    <row r="22" ht="14.25" customHeight="1">
      <c r="B22" s="219">
        <v>45156.0</v>
      </c>
      <c r="C22" s="220">
        <f t="shared" si="5"/>
        <v>1993</v>
      </c>
      <c r="D22" s="220">
        <v>2002.0</v>
      </c>
      <c r="E22" s="220">
        <f t="shared" si="1"/>
        <v>9</v>
      </c>
      <c r="F22" s="220">
        <f t="shared" si="2"/>
        <v>-1</v>
      </c>
    </row>
    <row r="23" ht="14.25" customHeight="1">
      <c r="B23" s="259">
        <v>45157.0</v>
      </c>
      <c r="C23" s="260">
        <f t="shared" si="5"/>
        <v>2002</v>
      </c>
      <c r="D23" s="260">
        <v>2004.0</v>
      </c>
      <c r="E23" s="260">
        <f t="shared" si="1"/>
        <v>2</v>
      </c>
      <c r="F23" s="260">
        <f t="shared" si="2"/>
        <v>-8</v>
      </c>
    </row>
    <row r="24" ht="14.25" customHeight="1">
      <c r="B24" s="259">
        <v>45158.0</v>
      </c>
      <c r="C24" s="260"/>
      <c r="D24" s="260"/>
      <c r="E24" s="260">
        <f t="shared" si="1"/>
        <v>0</v>
      </c>
      <c r="F24" s="260">
        <f t="shared" si="2"/>
        <v>-10</v>
      </c>
    </row>
    <row r="25" ht="14.25" customHeight="1">
      <c r="B25" s="219">
        <v>45159.0</v>
      </c>
      <c r="C25" s="220">
        <v>2004.0</v>
      </c>
      <c r="D25" s="220">
        <v>2015.0</v>
      </c>
      <c r="E25" s="220">
        <f t="shared" si="1"/>
        <v>11</v>
      </c>
      <c r="F25" s="220">
        <f t="shared" si="2"/>
        <v>1</v>
      </c>
    </row>
    <row r="26" ht="14.25" customHeight="1">
      <c r="B26" s="219">
        <v>45160.0</v>
      </c>
      <c r="C26" s="220">
        <f t="shared" ref="C26:C30" si="6">D25</f>
        <v>2015</v>
      </c>
      <c r="D26" s="220">
        <v>2027.0</v>
      </c>
      <c r="E26" s="220">
        <f t="shared" si="1"/>
        <v>12</v>
      </c>
      <c r="F26" s="220">
        <f t="shared" si="2"/>
        <v>2</v>
      </c>
    </row>
    <row r="27" ht="14.25" customHeight="1">
      <c r="B27" s="219">
        <v>45161.0</v>
      </c>
      <c r="C27" s="220">
        <f t="shared" si="6"/>
        <v>2027</v>
      </c>
      <c r="D27" s="220">
        <v>2033.2</v>
      </c>
      <c r="E27" s="220">
        <f t="shared" si="1"/>
        <v>6.2</v>
      </c>
      <c r="F27" s="220">
        <f t="shared" si="2"/>
        <v>-3.8</v>
      </c>
    </row>
    <row r="28" ht="14.25" customHeight="1">
      <c r="B28" s="219">
        <v>45162.0</v>
      </c>
      <c r="C28" s="220">
        <f t="shared" si="6"/>
        <v>2033.2</v>
      </c>
      <c r="D28" s="220">
        <v>2046.2</v>
      </c>
      <c r="E28" s="220">
        <f t="shared" si="1"/>
        <v>13</v>
      </c>
      <c r="F28" s="220">
        <f t="shared" si="2"/>
        <v>3</v>
      </c>
    </row>
    <row r="29" ht="14.25" customHeight="1">
      <c r="B29" s="219">
        <v>45163.0</v>
      </c>
      <c r="C29" s="220">
        <f t="shared" si="6"/>
        <v>2046.2</v>
      </c>
      <c r="D29" s="220">
        <v>2058.2</v>
      </c>
      <c r="E29" s="220">
        <f t="shared" si="1"/>
        <v>12</v>
      </c>
      <c r="F29" s="220">
        <f t="shared" si="2"/>
        <v>2</v>
      </c>
    </row>
    <row r="30" ht="14.25" customHeight="1">
      <c r="B30" s="259">
        <v>45164.0</v>
      </c>
      <c r="C30" s="260">
        <f t="shared" si="6"/>
        <v>2058.2</v>
      </c>
      <c r="D30" s="260">
        <v>2066.0</v>
      </c>
      <c r="E30" s="260">
        <f t="shared" si="1"/>
        <v>7.8</v>
      </c>
      <c r="F30" s="260">
        <f t="shared" si="2"/>
        <v>-2.2</v>
      </c>
    </row>
    <row r="31" ht="14.25" customHeight="1">
      <c r="B31" s="259">
        <v>45165.0</v>
      </c>
      <c r="C31" s="260"/>
      <c r="D31" s="260"/>
      <c r="E31" s="260">
        <f t="shared" si="1"/>
        <v>0</v>
      </c>
      <c r="F31" s="260">
        <f t="shared" si="2"/>
        <v>-10</v>
      </c>
    </row>
    <row r="32" ht="14.25" customHeight="1">
      <c r="B32" s="219">
        <v>45166.0</v>
      </c>
      <c r="C32" s="220">
        <v>2066.0</v>
      </c>
      <c r="D32" s="220">
        <v>2077.0</v>
      </c>
      <c r="E32" s="220">
        <f t="shared" si="1"/>
        <v>11</v>
      </c>
      <c r="F32" s="220">
        <f t="shared" si="2"/>
        <v>1</v>
      </c>
    </row>
    <row r="33" ht="14.25" customHeight="1">
      <c r="B33" s="219">
        <v>45167.0</v>
      </c>
      <c r="C33" s="220">
        <f t="shared" ref="C33:C35" si="7">D32</f>
        <v>2077</v>
      </c>
      <c r="D33" s="220">
        <v>2090.0</v>
      </c>
      <c r="E33" s="220">
        <f t="shared" si="1"/>
        <v>13</v>
      </c>
      <c r="F33" s="220">
        <f t="shared" si="2"/>
        <v>3</v>
      </c>
    </row>
    <row r="34" ht="14.25" customHeight="1">
      <c r="B34" s="219">
        <v>45168.0</v>
      </c>
      <c r="C34" s="220">
        <f t="shared" si="7"/>
        <v>2090</v>
      </c>
      <c r="D34" s="220">
        <v>2102.0</v>
      </c>
      <c r="E34" s="220">
        <f t="shared" si="1"/>
        <v>12</v>
      </c>
      <c r="F34" s="220">
        <f t="shared" si="2"/>
        <v>2</v>
      </c>
    </row>
    <row r="35" ht="14.25" customHeight="1">
      <c r="B35" s="219">
        <v>45169.0</v>
      </c>
      <c r="C35" s="220">
        <f t="shared" si="7"/>
        <v>2102</v>
      </c>
      <c r="D35" s="220">
        <v>2114.0</v>
      </c>
      <c r="E35" s="220">
        <f t="shared" si="1"/>
        <v>12</v>
      </c>
      <c r="F35" s="220">
        <f t="shared" si="2"/>
        <v>2</v>
      </c>
    </row>
    <row r="36" ht="14.25" customHeight="1">
      <c r="B36" s="216"/>
      <c r="C36" s="223" t="s">
        <v>221</v>
      </c>
      <c r="D36" s="223"/>
      <c r="E36" s="216">
        <f>SUM(E5:E35)</f>
        <v>250</v>
      </c>
      <c r="F36" s="216">
        <f t="shared" si="2"/>
        <v>240</v>
      </c>
    </row>
    <row r="37" ht="14.25" customHeight="1"/>
    <row r="38" ht="14.25" customHeight="1">
      <c r="A38" s="249" t="s">
        <v>275</v>
      </c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1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 ht="14.25" customHeight="1"/>
    <row r="40" ht="14.25" customHeight="1">
      <c r="B40" s="216" t="s">
        <v>214</v>
      </c>
      <c r="C40" s="216" t="s">
        <v>215</v>
      </c>
      <c r="D40" s="216" t="s">
        <v>216</v>
      </c>
      <c r="E40" s="216" t="s">
        <v>217</v>
      </c>
      <c r="F40" s="216" t="s">
        <v>218</v>
      </c>
      <c r="H40" s="216" t="s">
        <v>238</v>
      </c>
      <c r="I40" s="216"/>
      <c r="K40" s="253" t="s">
        <v>275</v>
      </c>
      <c r="L40" s="231"/>
    </row>
    <row r="41" ht="14.25" customHeight="1">
      <c r="B41" s="219">
        <v>45078.0</v>
      </c>
      <c r="C41" s="220"/>
      <c r="D41" s="220"/>
      <c r="E41" s="220">
        <f t="shared" ref="E41:E71" si="8">D41-C41</f>
        <v>0</v>
      </c>
      <c r="F41" s="220">
        <f t="shared" ref="F41:F72" si="9">E41-10</f>
        <v>-10</v>
      </c>
      <c r="H41" s="216" t="s">
        <v>245</v>
      </c>
      <c r="I41" s="216"/>
      <c r="K41" s="216" t="s">
        <v>244</v>
      </c>
      <c r="L41" s="232">
        <v>2000.0</v>
      </c>
    </row>
    <row r="42" ht="14.25" customHeight="1">
      <c r="B42" s="219">
        <v>45079.0</v>
      </c>
      <c r="C42" s="220" t="str">
        <f t="shared" ref="C42:C71" si="10">D41</f>
        <v/>
      </c>
      <c r="D42" s="220"/>
      <c r="E42" s="220">
        <f t="shared" si="8"/>
        <v>0</v>
      </c>
      <c r="F42" s="220">
        <f t="shared" si="9"/>
        <v>-10</v>
      </c>
      <c r="H42" s="216" t="s">
        <v>247</v>
      </c>
      <c r="I42" s="216"/>
      <c r="K42" s="216" t="s">
        <v>266</v>
      </c>
      <c r="L42" s="232"/>
    </row>
    <row r="43" ht="14.25" customHeight="1">
      <c r="B43" s="254">
        <v>45080.0</v>
      </c>
      <c r="C43" s="255" t="str">
        <f t="shared" si="10"/>
        <v/>
      </c>
      <c r="D43" s="255"/>
      <c r="E43" s="255">
        <f t="shared" si="8"/>
        <v>0</v>
      </c>
      <c r="F43" s="255">
        <f t="shared" si="9"/>
        <v>-10</v>
      </c>
      <c r="H43" s="216" t="s">
        <v>249</v>
      </c>
      <c r="I43" s="232">
        <v>18.0</v>
      </c>
      <c r="K43" s="216" t="s">
        <v>246</v>
      </c>
      <c r="L43" s="232">
        <f>O43*O44</f>
        <v>0</v>
      </c>
    </row>
    <row r="44" ht="14.25" customHeight="1">
      <c r="B44" s="254">
        <v>45081.0</v>
      </c>
      <c r="C44" s="255" t="str">
        <f t="shared" si="10"/>
        <v/>
      </c>
      <c r="D44" s="255"/>
      <c r="E44" s="255">
        <f t="shared" si="8"/>
        <v>0</v>
      </c>
      <c r="F44" s="255">
        <f t="shared" si="9"/>
        <v>-10</v>
      </c>
      <c r="H44" s="216" t="s">
        <v>251</v>
      </c>
      <c r="I44" s="216"/>
      <c r="K44" s="216" t="s">
        <v>248</v>
      </c>
      <c r="L44" s="232">
        <f>O45*O46</f>
        <v>0</v>
      </c>
    </row>
    <row r="45" ht="14.25" customHeight="1">
      <c r="B45" s="219">
        <v>45082.0</v>
      </c>
      <c r="C45" s="220" t="str">
        <f t="shared" si="10"/>
        <v/>
      </c>
      <c r="D45" s="220"/>
      <c r="E45" s="220">
        <f t="shared" si="8"/>
        <v>0</v>
      </c>
      <c r="F45" s="220">
        <f t="shared" si="9"/>
        <v>-10</v>
      </c>
      <c r="H45" s="216" t="s">
        <v>249</v>
      </c>
      <c r="I45" s="232">
        <v>10.0</v>
      </c>
      <c r="K45" s="216" t="s">
        <v>250</v>
      </c>
      <c r="L45" s="232">
        <f>O47*100</f>
        <v>0</v>
      </c>
    </row>
    <row r="46" ht="14.25" customHeight="1">
      <c r="B46" s="219">
        <v>45083.0</v>
      </c>
      <c r="C46" s="220" t="str">
        <f t="shared" si="10"/>
        <v/>
      </c>
      <c r="D46" s="220"/>
      <c r="E46" s="220">
        <f t="shared" si="8"/>
        <v>0</v>
      </c>
      <c r="F46" s="220">
        <f t="shared" si="9"/>
        <v>-10</v>
      </c>
      <c r="H46" s="216" t="s">
        <v>267</v>
      </c>
      <c r="I46" s="216"/>
      <c r="K46" s="216" t="s">
        <v>252</v>
      </c>
      <c r="L46" s="232"/>
    </row>
    <row r="47" ht="14.25" customHeight="1">
      <c r="B47" s="219">
        <v>45084.0</v>
      </c>
      <c r="C47" s="220" t="str">
        <f t="shared" si="10"/>
        <v/>
      </c>
      <c r="D47" s="220"/>
      <c r="E47" s="220">
        <f t="shared" si="8"/>
        <v>0</v>
      </c>
      <c r="F47" s="220">
        <f t="shared" si="9"/>
        <v>-10</v>
      </c>
      <c r="K47" s="216" t="s">
        <v>268</v>
      </c>
      <c r="L47" s="232">
        <f>L41+L43+L44+L45-L42-L46</f>
        <v>2000</v>
      </c>
    </row>
    <row r="48" ht="14.25" customHeight="1">
      <c r="B48" s="219">
        <v>45085.0</v>
      </c>
      <c r="C48" s="220" t="str">
        <f t="shared" si="10"/>
        <v/>
      </c>
      <c r="D48" s="220"/>
      <c r="E48" s="220">
        <f t="shared" si="8"/>
        <v>0</v>
      </c>
      <c r="F48" s="220">
        <f t="shared" si="9"/>
        <v>-10</v>
      </c>
      <c r="K48" s="216" t="s">
        <v>269</v>
      </c>
      <c r="L48" s="229"/>
    </row>
    <row r="49" ht="14.25" customHeight="1">
      <c r="B49" s="219">
        <v>45086.0</v>
      </c>
      <c r="C49" s="220" t="str">
        <f t="shared" si="10"/>
        <v/>
      </c>
      <c r="D49" s="220"/>
      <c r="E49" s="220">
        <f t="shared" si="8"/>
        <v>0</v>
      </c>
      <c r="F49" s="220">
        <f t="shared" si="9"/>
        <v>-10</v>
      </c>
    </row>
    <row r="50" ht="14.25" customHeight="1">
      <c r="B50" s="254">
        <v>45087.0</v>
      </c>
      <c r="C50" s="255" t="str">
        <f t="shared" si="10"/>
        <v/>
      </c>
      <c r="D50" s="255"/>
      <c r="E50" s="255">
        <f t="shared" si="8"/>
        <v>0</v>
      </c>
      <c r="F50" s="255">
        <f t="shared" si="9"/>
        <v>-10</v>
      </c>
    </row>
    <row r="51" ht="14.25" customHeight="1">
      <c r="B51" s="254">
        <v>45088.0</v>
      </c>
      <c r="C51" s="255" t="str">
        <f t="shared" si="10"/>
        <v/>
      </c>
      <c r="D51" s="255"/>
      <c r="E51" s="255">
        <f t="shared" si="8"/>
        <v>0</v>
      </c>
      <c r="F51" s="255">
        <f t="shared" si="9"/>
        <v>-10</v>
      </c>
    </row>
    <row r="52" ht="14.25" customHeight="1">
      <c r="B52" s="219">
        <v>45089.0</v>
      </c>
      <c r="C52" s="220" t="str">
        <f t="shared" si="10"/>
        <v/>
      </c>
      <c r="D52" s="220"/>
      <c r="E52" s="220">
        <f t="shared" si="8"/>
        <v>0</v>
      </c>
      <c r="F52" s="220">
        <f t="shared" si="9"/>
        <v>-10</v>
      </c>
    </row>
    <row r="53" ht="14.25" customHeight="1">
      <c r="B53" s="219">
        <v>45090.0</v>
      </c>
      <c r="C53" s="220" t="str">
        <f t="shared" si="10"/>
        <v/>
      </c>
      <c r="D53" s="220"/>
      <c r="E53" s="220">
        <f t="shared" si="8"/>
        <v>0</v>
      </c>
      <c r="F53" s="220">
        <f t="shared" si="9"/>
        <v>-10</v>
      </c>
    </row>
    <row r="54" ht="14.25" customHeight="1">
      <c r="B54" s="219">
        <v>45091.0</v>
      </c>
      <c r="C54" s="220" t="str">
        <f t="shared" si="10"/>
        <v/>
      </c>
      <c r="D54" s="220"/>
      <c r="E54" s="220">
        <f t="shared" si="8"/>
        <v>0</v>
      </c>
      <c r="F54" s="220">
        <f t="shared" si="9"/>
        <v>-10</v>
      </c>
    </row>
    <row r="55" ht="14.25" customHeight="1">
      <c r="B55" s="219">
        <v>45092.0</v>
      </c>
      <c r="C55" s="220" t="str">
        <f t="shared" si="10"/>
        <v/>
      </c>
      <c r="D55" s="220"/>
      <c r="E55" s="220">
        <f t="shared" si="8"/>
        <v>0</v>
      </c>
      <c r="F55" s="220">
        <f t="shared" si="9"/>
        <v>-10</v>
      </c>
    </row>
    <row r="56" ht="14.25" customHeight="1">
      <c r="B56" s="219">
        <v>45093.0</v>
      </c>
      <c r="C56" s="220" t="str">
        <f t="shared" si="10"/>
        <v/>
      </c>
      <c r="D56" s="220"/>
      <c r="E56" s="220">
        <f t="shared" si="8"/>
        <v>0</v>
      </c>
      <c r="F56" s="220">
        <f t="shared" si="9"/>
        <v>-10</v>
      </c>
    </row>
    <row r="57" ht="14.25" customHeight="1">
      <c r="B57" s="254">
        <v>45094.0</v>
      </c>
      <c r="C57" s="255" t="str">
        <f t="shared" si="10"/>
        <v/>
      </c>
      <c r="D57" s="255"/>
      <c r="E57" s="255">
        <f t="shared" si="8"/>
        <v>0</v>
      </c>
      <c r="F57" s="255">
        <f t="shared" si="9"/>
        <v>-10</v>
      </c>
    </row>
    <row r="58" ht="14.25" customHeight="1">
      <c r="B58" s="254">
        <v>45095.0</v>
      </c>
      <c r="C58" s="255" t="str">
        <f t="shared" si="10"/>
        <v/>
      </c>
      <c r="D58" s="255"/>
      <c r="E58" s="255">
        <f t="shared" si="8"/>
        <v>0</v>
      </c>
      <c r="F58" s="255">
        <f t="shared" si="9"/>
        <v>-10</v>
      </c>
    </row>
    <row r="59" ht="14.25" customHeight="1">
      <c r="B59" s="219">
        <v>45096.0</v>
      </c>
      <c r="C59" s="220" t="str">
        <f t="shared" si="10"/>
        <v/>
      </c>
      <c r="D59" s="220"/>
      <c r="E59" s="220">
        <f t="shared" si="8"/>
        <v>0</v>
      </c>
      <c r="F59" s="220">
        <f t="shared" si="9"/>
        <v>-10</v>
      </c>
    </row>
    <row r="60" ht="14.25" customHeight="1">
      <c r="B60" s="219">
        <v>45097.0</v>
      </c>
      <c r="C60" s="220" t="str">
        <f t="shared" si="10"/>
        <v/>
      </c>
      <c r="D60" s="220"/>
      <c r="E60" s="220">
        <f t="shared" si="8"/>
        <v>0</v>
      </c>
      <c r="F60" s="220">
        <f t="shared" si="9"/>
        <v>-10</v>
      </c>
    </row>
    <row r="61" ht="14.25" customHeight="1">
      <c r="B61" s="219">
        <v>45098.0</v>
      </c>
      <c r="C61" s="220" t="str">
        <f t="shared" si="10"/>
        <v/>
      </c>
      <c r="D61" s="220"/>
      <c r="E61" s="220">
        <f t="shared" si="8"/>
        <v>0</v>
      </c>
      <c r="F61" s="220">
        <f t="shared" si="9"/>
        <v>-10</v>
      </c>
    </row>
    <row r="62" ht="14.25" customHeight="1">
      <c r="B62" s="219">
        <v>45099.0</v>
      </c>
      <c r="C62" s="220" t="str">
        <f t="shared" si="10"/>
        <v/>
      </c>
      <c r="D62" s="220"/>
      <c r="E62" s="220">
        <f t="shared" si="8"/>
        <v>0</v>
      </c>
      <c r="F62" s="220">
        <f t="shared" si="9"/>
        <v>-10</v>
      </c>
    </row>
    <row r="63" ht="14.25" customHeight="1">
      <c r="B63" s="219">
        <v>45100.0</v>
      </c>
      <c r="C63" s="220" t="str">
        <f t="shared" si="10"/>
        <v/>
      </c>
      <c r="D63" s="220"/>
      <c r="E63" s="220">
        <f t="shared" si="8"/>
        <v>0</v>
      </c>
      <c r="F63" s="220">
        <f t="shared" si="9"/>
        <v>-10</v>
      </c>
    </row>
    <row r="64" ht="14.25" customHeight="1">
      <c r="B64" s="254">
        <v>45101.0</v>
      </c>
      <c r="C64" s="255" t="str">
        <f t="shared" si="10"/>
        <v/>
      </c>
      <c r="D64" s="255"/>
      <c r="E64" s="255">
        <f t="shared" si="8"/>
        <v>0</v>
      </c>
      <c r="F64" s="255">
        <f t="shared" si="9"/>
        <v>-10</v>
      </c>
    </row>
    <row r="65" ht="14.25" customHeight="1">
      <c r="B65" s="254">
        <v>45102.0</v>
      </c>
      <c r="C65" s="255" t="str">
        <f t="shared" si="10"/>
        <v/>
      </c>
      <c r="D65" s="255"/>
      <c r="E65" s="255">
        <f t="shared" si="8"/>
        <v>0</v>
      </c>
      <c r="F65" s="255">
        <f t="shared" si="9"/>
        <v>-10</v>
      </c>
    </row>
    <row r="66" ht="14.25" customHeight="1">
      <c r="B66" s="219">
        <v>45103.0</v>
      </c>
      <c r="C66" s="220" t="str">
        <f t="shared" si="10"/>
        <v/>
      </c>
      <c r="D66" s="220"/>
      <c r="E66" s="220">
        <f t="shared" si="8"/>
        <v>0</v>
      </c>
      <c r="F66" s="220">
        <f t="shared" si="9"/>
        <v>-10</v>
      </c>
    </row>
    <row r="67" ht="14.25" customHeight="1">
      <c r="B67" s="219">
        <v>45104.0</v>
      </c>
      <c r="C67" s="220" t="str">
        <f t="shared" si="10"/>
        <v/>
      </c>
      <c r="D67" s="220"/>
      <c r="E67" s="220">
        <f t="shared" si="8"/>
        <v>0</v>
      </c>
      <c r="F67" s="220">
        <f t="shared" si="9"/>
        <v>-10</v>
      </c>
    </row>
    <row r="68" ht="14.25" customHeight="1">
      <c r="B68" s="219">
        <v>45105.0</v>
      </c>
      <c r="C68" s="220" t="str">
        <f t="shared" si="10"/>
        <v/>
      </c>
      <c r="D68" s="220"/>
      <c r="E68" s="220">
        <f t="shared" si="8"/>
        <v>0</v>
      </c>
      <c r="F68" s="220">
        <f t="shared" si="9"/>
        <v>-10</v>
      </c>
    </row>
    <row r="69" ht="14.25" customHeight="1">
      <c r="B69" s="219">
        <v>45106.0</v>
      </c>
      <c r="C69" s="220" t="str">
        <f t="shared" si="10"/>
        <v/>
      </c>
      <c r="D69" s="220"/>
      <c r="E69" s="220">
        <f t="shared" si="8"/>
        <v>0</v>
      </c>
      <c r="F69" s="220">
        <f t="shared" si="9"/>
        <v>-10</v>
      </c>
    </row>
    <row r="70" ht="14.25" customHeight="1">
      <c r="B70" s="219">
        <v>45107.0</v>
      </c>
      <c r="C70" s="220" t="str">
        <f t="shared" si="10"/>
        <v/>
      </c>
      <c r="D70" s="220"/>
      <c r="E70" s="220">
        <f t="shared" si="8"/>
        <v>0</v>
      </c>
      <c r="F70" s="220">
        <f t="shared" si="9"/>
        <v>-10</v>
      </c>
    </row>
    <row r="71" ht="14.25" customHeight="1">
      <c r="B71" s="229"/>
      <c r="C71" s="220" t="str">
        <f t="shared" si="10"/>
        <v/>
      </c>
      <c r="D71" s="220"/>
      <c r="E71" s="220">
        <f t="shared" si="8"/>
        <v>0</v>
      </c>
      <c r="F71" s="220">
        <f t="shared" si="9"/>
        <v>-10</v>
      </c>
    </row>
    <row r="72" ht="14.25" customHeight="1">
      <c r="B72" s="216"/>
      <c r="C72" s="223" t="s">
        <v>221</v>
      </c>
      <c r="D72" s="223"/>
      <c r="E72" s="216">
        <f>SUM(E41:E71)</f>
        <v>0</v>
      </c>
      <c r="F72" s="216">
        <f t="shared" si="9"/>
        <v>-10</v>
      </c>
    </row>
    <row r="73" ht="14.25" customHeight="1"/>
    <row r="74" ht="14.25" customHeight="1">
      <c r="A74" s="249" t="s">
        <v>235</v>
      </c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1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 ht="14.25" customHeight="1"/>
    <row r="76" ht="14.25" customHeight="1">
      <c r="B76" s="216" t="s">
        <v>214</v>
      </c>
      <c r="C76" s="216" t="s">
        <v>215</v>
      </c>
      <c r="D76" s="216" t="s">
        <v>216</v>
      </c>
      <c r="E76" s="216" t="s">
        <v>217</v>
      </c>
      <c r="F76" s="216" t="s">
        <v>218</v>
      </c>
      <c r="H76" s="216" t="s">
        <v>238</v>
      </c>
      <c r="I76" s="216"/>
      <c r="K76" s="253" t="s">
        <v>235</v>
      </c>
      <c r="L76" s="231"/>
    </row>
    <row r="77" ht="14.25" customHeight="1">
      <c r="B77" s="219">
        <v>45078.0</v>
      </c>
      <c r="C77" s="220"/>
      <c r="D77" s="220"/>
      <c r="E77" s="220">
        <f t="shared" ref="E77:E107" si="11">D77-C77</f>
        <v>0</v>
      </c>
      <c r="F77" s="220">
        <f t="shared" ref="F77:F108" si="12">E77-10</f>
        <v>-10</v>
      </c>
      <c r="H77" s="216" t="s">
        <v>245</v>
      </c>
      <c r="I77" s="216"/>
      <c r="K77" s="216" t="s">
        <v>244</v>
      </c>
      <c r="L77" s="232">
        <v>2000.0</v>
      </c>
    </row>
    <row r="78" ht="14.25" customHeight="1">
      <c r="B78" s="219">
        <v>45079.0</v>
      </c>
      <c r="C78" s="220" t="str">
        <f t="shared" ref="C78:C107" si="13">D77</f>
        <v/>
      </c>
      <c r="D78" s="220"/>
      <c r="E78" s="220">
        <f t="shared" si="11"/>
        <v>0</v>
      </c>
      <c r="F78" s="220">
        <f t="shared" si="12"/>
        <v>-10</v>
      </c>
      <c r="H78" s="216" t="s">
        <v>247</v>
      </c>
      <c r="I78" s="216"/>
      <c r="K78" s="216" t="s">
        <v>266</v>
      </c>
      <c r="L78" s="232"/>
    </row>
    <row r="79" ht="14.25" customHeight="1">
      <c r="B79" s="254">
        <v>45080.0</v>
      </c>
      <c r="C79" s="255" t="str">
        <f t="shared" si="13"/>
        <v/>
      </c>
      <c r="D79" s="255"/>
      <c r="E79" s="255">
        <f t="shared" si="11"/>
        <v>0</v>
      </c>
      <c r="F79" s="255">
        <f t="shared" si="12"/>
        <v>-10</v>
      </c>
      <c r="H79" s="216" t="s">
        <v>249</v>
      </c>
      <c r="I79" s="232">
        <v>18.0</v>
      </c>
      <c r="K79" s="216" t="s">
        <v>246</v>
      </c>
      <c r="L79" s="232">
        <f>O79*O80</f>
        <v>0</v>
      </c>
    </row>
    <row r="80" ht="14.25" customHeight="1">
      <c r="B80" s="254">
        <v>45081.0</v>
      </c>
      <c r="C80" s="255" t="str">
        <f t="shared" si="13"/>
        <v/>
      </c>
      <c r="D80" s="255"/>
      <c r="E80" s="255">
        <f t="shared" si="11"/>
        <v>0</v>
      </c>
      <c r="F80" s="255">
        <f t="shared" si="12"/>
        <v>-10</v>
      </c>
      <c r="H80" s="216" t="s">
        <v>251</v>
      </c>
      <c r="I80" s="216"/>
      <c r="K80" s="216" t="s">
        <v>248</v>
      </c>
      <c r="L80" s="232">
        <f>O81*O82</f>
        <v>0</v>
      </c>
    </row>
    <row r="81" ht="14.25" customHeight="1">
      <c r="B81" s="219">
        <v>45082.0</v>
      </c>
      <c r="C81" s="220" t="str">
        <f t="shared" si="13"/>
        <v/>
      </c>
      <c r="D81" s="220"/>
      <c r="E81" s="220">
        <f t="shared" si="11"/>
        <v>0</v>
      </c>
      <c r="F81" s="220">
        <f t="shared" si="12"/>
        <v>-10</v>
      </c>
      <c r="H81" s="216" t="s">
        <v>249</v>
      </c>
      <c r="I81" s="232">
        <v>10.0</v>
      </c>
      <c r="K81" s="216" t="s">
        <v>250</v>
      </c>
      <c r="L81" s="232">
        <f>O83*100</f>
        <v>0</v>
      </c>
    </row>
    <row r="82" ht="14.25" customHeight="1">
      <c r="B82" s="219">
        <v>45083.0</v>
      </c>
      <c r="C82" s="220" t="str">
        <f t="shared" si="13"/>
        <v/>
      </c>
      <c r="D82" s="220"/>
      <c r="E82" s="220">
        <f t="shared" si="11"/>
        <v>0</v>
      </c>
      <c r="F82" s="220">
        <f t="shared" si="12"/>
        <v>-10</v>
      </c>
      <c r="H82" s="216" t="s">
        <v>250</v>
      </c>
      <c r="I82" s="216"/>
      <c r="K82" s="216" t="s">
        <v>252</v>
      </c>
      <c r="L82" s="232"/>
    </row>
    <row r="83" ht="14.25" customHeight="1">
      <c r="B83" s="219">
        <v>45084.0</v>
      </c>
      <c r="C83" s="220" t="str">
        <f t="shared" si="13"/>
        <v/>
      </c>
      <c r="D83" s="220"/>
      <c r="E83" s="220">
        <f t="shared" si="11"/>
        <v>0</v>
      </c>
      <c r="F83" s="220">
        <f t="shared" si="12"/>
        <v>-10</v>
      </c>
      <c r="K83" s="216" t="s">
        <v>268</v>
      </c>
      <c r="L83" s="232">
        <f>L77+L79+L80+L81-L78-L82</f>
        <v>2000</v>
      </c>
    </row>
    <row r="84" ht="14.25" customHeight="1">
      <c r="B84" s="219">
        <v>45085.0</v>
      </c>
      <c r="C84" s="220" t="str">
        <f t="shared" si="13"/>
        <v/>
      </c>
      <c r="D84" s="220"/>
      <c r="E84" s="220">
        <f t="shared" si="11"/>
        <v>0</v>
      </c>
      <c r="F84" s="220">
        <f t="shared" si="12"/>
        <v>-10</v>
      </c>
      <c r="K84" s="216" t="s">
        <v>269</v>
      </c>
      <c r="L84" s="229"/>
    </row>
    <row r="85" ht="14.25" customHeight="1">
      <c r="B85" s="219">
        <v>45086.0</v>
      </c>
      <c r="C85" s="220" t="str">
        <f t="shared" si="13"/>
        <v/>
      </c>
      <c r="D85" s="220"/>
      <c r="E85" s="220">
        <f t="shared" si="11"/>
        <v>0</v>
      </c>
      <c r="F85" s="220">
        <f t="shared" si="12"/>
        <v>-10</v>
      </c>
    </row>
    <row r="86" ht="14.25" customHeight="1">
      <c r="B86" s="254">
        <v>45087.0</v>
      </c>
      <c r="C86" s="255" t="str">
        <f t="shared" si="13"/>
        <v/>
      </c>
      <c r="D86" s="255"/>
      <c r="E86" s="255">
        <f t="shared" si="11"/>
        <v>0</v>
      </c>
      <c r="F86" s="255">
        <f t="shared" si="12"/>
        <v>-10</v>
      </c>
    </row>
    <row r="87" ht="14.25" customHeight="1">
      <c r="B87" s="254">
        <v>45088.0</v>
      </c>
      <c r="C87" s="255" t="str">
        <f t="shared" si="13"/>
        <v/>
      </c>
      <c r="D87" s="255"/>
      <c r="E87" s="255">
        <f t="shared" si="11"/>
        <v>0</v>
      </c>
      <c r="F87" s="255">
        <f t="shared" si="12"/>
        <v>-10</v>
      </c>
    </row>
    <row r="88" ht="14.25" customHeight="1">
      <c r="B88" s="219">
        <v>45089.0</v>
      </c>
      <c r="C88" s="220" t="str">
        <f t="shared" si="13"/>
        <v/>
      </c>
      <c r="D88" s="220"/>
      <c r="E88" s="220">
        <f t="shared" si="11"/>
        <v>0</v>
      </c>
      <c r="F88" s="220">
        <f t="shared" si="12"/>
        <v>-10</v>
      </c>
    </row>
    <row r="89" ht="14.25" customHeight="1">
      <c r="B89" s="219">
        <v>45090.0</v>
      </c>
      <c r="C89" s="220" t="str">
        <f t="shared" si="13"/>
        <v/>
      </c>
      <c r="D89" s="220"/>
      <c r="E89" s="220">
        <f t="shared" si="11"/>
        <v>0</v>
      </c>
      <c r="F89" s="220">
        <f t="shared" si="12"/>
        <v>-10</v>
      </c>
    </row>
    <row r="90" ht="14.25" customHeight="1">
      <c r="B90" s="219">
        <v>45091.0</v>
      </c>
      <c r="C90" s="220" t="str">
        <f t="shared" si="13"/>
        <v/>
      </c>
      <c r="D90" s="220"/>
      <c r="E90" s="220">
        <f t="shared" si="11"/>
        <v>0</v>
      </c>
      <c r="F90" s="220">
        <f t="shared" si="12"/>
        <v>-10</v>
      </c>
    </row>
    <row r="91" ht="14.25" customHeight="1">
      <c r="B91" s="219">
        <v>45092.0</v>
      </c>
      <c r="C91" s="220" t="str">
        <f t="shared" si="13"/>
        <v/>
      </c>
      <c r="D91" s="220"/>
      <c r="E91" s="220">
        <f t="shared" si="11"/>
        <v>0</v>
      </c>
      <c r="F91" s="220">
        <f t="shared" si="12"/>
        <v>-10</v>
      </c>
    </row>
    <row r="92" ht="14.25" customHeight="1">
      <c r="B92" s="219">
        <v>45093.0</v>
      </c>
      <c r="C92" s="220" t="str">
        <f t="shared" si="13"/>
        <v/>
      </c>
      <c r="D92" s="220"/>
      <c r="E92" s="220">
        <f t="shared" si="11"/>
        <v>0</v>
      </c>
      <c r="F92" s="220">
        <f t="shared" si="12"/>
        <v>-10</v>
      </c>
    </row>
    <row r="93" ht="14.25" customHeight="1">
      <c r="B93" s="254">
        <v>45094.0</v>
      </c>
      <c r="C93" s="255" t="str">
        <f t="shared" si="13"/>
        <v/>
      </c>
      <c r="D93" s="255"/>
      <c r="E93" s="255">
        <f t="shared" si="11"/>
        <v>0</v>
      </c>
      <c r="F93" s="255">
        <f t="shared" si="12"/>
        <v>-10</v>
      </c>
    </row>
    <row r="94" ht="14.25" customHeight="1">
      <c r="B94" s="254">
        <v>45095.0</v>
      </c>
      <c r="C94" s="255" t="str">
        <f t="shared" si="13"/>
        <v/>
      </c>
      <c r="D94" s="255"/>
      <c r="E94" s="255">
        <f t="shared" si="11"/>
        <v>0</v>
      </c>
      <c r="F94" s="255">
        <f t="shared" si="12"/>
        <v>-10</v>
      </c>
    </row>
    <row r="95" ht="14.25" customHeight="1">
      <c r="B95" s="219">
        <v>45096.0</v>
      </c>
      <c r="C95" s="220" t="str">
        <f t="shared" si="13"/>
        <v/>
      </c>
      <c r="D95" s="220"/>
      <c r="E95" s="220">
        <f t="shared" si="11"/>
        <v>0</v>
      </c>
      <c r="F95" s="220">
        <f t="shared" si="12"/>
        <v>-10</v>
      </c>
    </row>
    <row r="96" ht="14.25" customHeight="1">
      <c r="B96" s="219">
        <v>45097.0</v>
      </c>
      <c r="C96" s="220" t="str">
        <f t="shared" si="13"/>
        <v/>
      </c>
      <c r="D96" s="220"/>
      <c r="E96" s="220">
        <f t="shared" si="11"/>
        <v>0</v>
      </c>
      <c r="F96" s="220">
        <f t="shared" si="12"/>
        <v>-10</v>
      </c>
    </row>
    <row r="97" ht="14.25" customHeight="1">
      <c r="B97" s="219">
        <v>45098.0</v>
      </c>
      <c r="C97" s="220" t="str">
        <f t="shared" si="13"/>
        <v/>
      </c>
      <c r="D97" s="220"/>
      <c r="E97" s="220">
        <f t="shared" si="11"/>
        <v>0</v>
      </c>
      <c r="F97" s="220">
        <f t="shared" si="12"/>
        <v>-10</v>
      </c>
    </row>
    <row r="98" ht="14.25" customHeight="1">
      <c r="B98" s="219">
        <v>45099.0</v>
      </c>
      <c r="C98" s="220" t="str">
        <f t="shared" si="13"/>
        <v/>
      </c>
      <c r="D98" s="220"/>
      <c r="E98" s="220">
        <f t="shared" si="11"/>
        <v>0</v>
      </c>
      <c r="F98" s="220">
        <f t="shared" si="12"/>
        <v>-10</v>
      </c>
    </row>
    <row r="99" ht="14.25" customHeight="1">
      <c r="B99" s="219">
        <v>45100.0</v>
      </c>
      <c r="C99" s="220" t="str">
        <f t="shared" si="13"/>
        <v/>
      </c>
      <c r="D99" s="220"/>
      <c r="E99" s="220">
        <f t="shared" si="11"/>
        <v>0</v>
      </c>
      <c r="F99" s="220">
        <f t="shared" si="12"/>
        <v>-10</v>
      </c>
    </row>
    <row r="100" ht="14.25" customHeight="1">
      <c r="B100" s="254">
        <v>45101.0</v>
      </c>
      <c r="C100" s="255" t="str">
        <f t="shared" si="13"/>
        <v/>
      </c>
      <c r="D100" s="255"/>
      <c r="E100" s="255">
        <f t="shared" si="11"/>
        <v>0</v>
      </c>
      <c r="F100" s="255">
        <f t="shared" si="12"/>
        <v>-10</v>
      </c>
    </row>
    <row r="101" ht="14.25" customHeight="1">
      <c r="B101" s="254">
        <v>45102.0</v>
      </c>
      <c r="C101" s="255" t="str">
        <f t="shared" si="13"/>
        <v/>
      </c>
      <c r="D101" s="255"/>
      <c r="E101" s="255">
        <f t="shared" si="11"/>
        <v>0</v>
      </c>
      <c r="F101" s="255">
        <f t="shared" si="12"/>
        <v>-10</v>
      </c>
    </row>
    <row r="102" ht="14.25" customHeight="1">
      <c r="B102" s="219">
        <v>45103.0</v>
      </c>
      <c r="C102" s="220" t="str">
        <f t="shared" si="13"/>
        <v/>
      </c>
      <c r="D102" s="220"/>
      <c r="E102" s="220">
        <f t="shared" si="11"/>
        <v>0</v>
      </c>
      <c r="F102" s="220">
        <f t="shared" si="12"/>
        <v>-10</v>
      </c>
    </row>
    <row r="103" ht="14.25" customHeight="1">
      <c r="B103" s="219">
        <v>45104.0</v>
      </c>
      <c r="C103" s="220" t="str">
        <f t="shared" si="13"/>
        <v/>
      </c>
      <c r="D103" s="220"/>
      <c r="E103" s="220">
        <f t="shared" si="11"/>
        <v>0</v>
      </c>
      <c r="F103" s="220">
        <f t="shared" si="12"/>
        <v>-10</v>
      </c>
    </row>
    <row r="104" ht="14.25" customHeight="1">
      <c r="B104" s="219">
        <v>45105.0</v>
      </c>
      <c r="C104" s="220" t="str">
        <f t="shared" si="13"/>
        <v/>
      </c>
      <c r="D104" s="220"/>
      <c r="E104" s="220">
        <f t="shared" si="11"/>
        <v>0</v>
      </c>
      <c r="F104" s="220">
        <f t="shared" si="12"/>
        <v>-10</v>
      </c>
    </row>
    <row r="105" ht="14.25" customHeight="1">
      <c r="B105" s="219">
        <v>45106.0</v>
      </c>
      <c r="C105" s="220" t="str">
        <f t="shared" si="13"/>
        <v/>
      </c>
      <c r="D105" s="220"/>
      <c r="E105" s="220">
        <f t="shared" si="11"/>
        <v>0</v>
      </c>
      <c r="F105" s="220">
        <f t="shared" si="12"/>
        <v>-10</v>
      </c>
    </row>
    <row r="106" ht="14.25" customHeight="1">
      <c r="B106" s="219">
        <v>45107.0</v>
      </c>
      <c r="C106" s="220" t="str">
        <f t="shared" si="13"/>
        <v/>
      </c>
      <c r="D106" s="220"/>
      <c r="E106" s="220">
        <f t="shared" si="11"/>
        <v>0</v>
      </c>
      <c r="F106" s="220">
        <f t="shared" si="12"/>
        <v>-10</v>
      </c>
    </row>
    <row r="107" ht="14.25" customHeight="1">
      <c r="B107" s="229"/>
      <c r="C107" s="220" t="str">
        <f t="shared" si="13"/>
        <v/>
      </c>
      <c r="D107" s="220"/>
      <c r="E107" s="220">
        <f t="shared" si="11"/>
        <v>0</v>
      </c>
      <c r="F107" s="220">
        <f t="shared" si="12"/>
        <v>-10</v>
      </c>
    </row>
    <row r="108" ht="14.25" customHeight="1">
      <c r="B108" s="216"/>
      <c r="C108" s="223" t="s">
        <v>221</v>
      </c>
      <c r="D108" s="223"/>
      <c r="E108" s="216">
        <f>SUM(E77:E107)</f>
        <v>0</v>
      </c>
      <c r="F108" s="216">
        <f t="shared" si="12"/>
        <v>-10</v>
      </c>
    </row>
    <row r="109" ht="14.25" customHeight="1"/>
    <row r="110" ht="14.25" customHeight="1">
      <c r="A110" s="249" t="s">
        <v>276</v>
      </c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1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 ht="14.25" customHeight="1"/>
    <row r="112" ht="14.25" customHeight="1">
      <c r="B112" s="216" t="s">
        <v>214</v>
      </c>
      <c r="C112" s="216" t="s">
        <v>215</v>
      </c>
      <c r="D112" s="216" t="s">
        <v>216</v>
      </c>
      <c r="E112" s="216" t="s">
        <v>217</v>
      </c>
      <c r="F112" s="216" t="s">
        <v>218</v>
      </c>
      <c r="H112" s="216" t="s">
        <v>238</v>
      </c>
      <c r="I112" s="216"/>
      <c r="K112" s="253" t="s">
        <v>236</v>
      </c>
      <c r="L112" s="231"/>
    </row>
    <row r="113" ht="14.25" customHeight="1">
      <c r="B113" s="219">
        <v>45078.0</v>
      </c>
      <c r="C113" s="220"/>
      <c r="D113" s="220"/>
      <c r="E113" s="220">
        <f t="shared" ref="E113:E143" si="14">D113-C113</f>
        <v>0</v>
      </c>
      <c r="F113" s="220">
        <f t="shared" ref="F113:F144" si="15">E113-10</f>
        <v>-10</v>
      </c>
      <c r="H113" s="216" t="s">
        <v>245</v>
      </c>
      <c r="I113" s="216"/>
      <c r="K113" s="216" t="s">
        <v>244</v>
      </c>
      <c r="L113" s="232">
        <v>2000.0</v>
      </c>
    </row>
    <row r="114" ht="14.25" customHeight="1">
      <c r="B114" s="219">
        <v>45079.0</v>
      </c>
      <c r="C114" s="220" t="str">
        <f t="shared" ref="C114:C143" si="16">D113</f>
        <v/>
      </c>
      <c r="D114" s="220"/>
      <c r="E114" s="220">
        <f t="shared" si="14"/>
        <v>0</v>
      </c>
      <c r="F114" s="220">
        <f t="shared" si="15"/>
        <v>-10</v>
      </c>
      <c r="H114" s="216" t="s">
        <v>247</v>
      </c>
      <c r="I114" s="216"/>
      <c r="K114" s="216" t="s">
        <v>266</v>
      </c>
      <c r="L114" s="232"/>
    </row>
    <row r="115" ht="14.25" customHeight="1">
      <c r="B115" s="254">
        <v>45080.0</v>
      </c>
      <c r="C115" s="255" t="str">
        <f t="shared" si="16"/>
        <v/>
      </c>
      <c r="D115" s="255"/>
      <c r="E115" s="255">
        <f t="shared" si="14"/>
        <v>0</v>
      </c>
      <c r="F115" s="255">
        <f t="shared" si="15"/>
        <v>-10</v>
      </c>
      <c r="H115" s="216" t="s">
        <v>249</v>
      </c>
      <c r="I115" s="232">
        <v>18.0</v>
      </c>
      <c r="K115" s="216" t="s">
        <v>246</v>
      </c>
      <c r="L115" s="232">
        <f>O115*O116</f>
        <v>0</v>
      </c>
    </row>
    <row r="116" ht="14.25" customHeight="1">
      <c r="B116" s="254">
        <v>45081.0</v>
      </c>
      <c r="C116" s="255" t="str">
        <f t="shared" si="16"/>
        <v/>
      </c>
      <c r="D116" s="255"/>
      <c r="E116" s="255">
        <f t="shared" si="14"/>
        <v>0</v>
      </c>
      <c r="F116" s="255">
        <f t="shared" si="15"/>
        <v>-10</v>
      </c>
      <c r="H116" s="216" t="s">
        <v>251</v>
      </c>
      <c r="I116" s="216"/>
      <c r="K116" s="216" t="s">
        <v>248</v>
      </c>
      <c r="L116" s="232">
        <f>O117*O118</f>
        <v>0</v>
      </c>
    </row>
    <row r="117" ht="14.25" customHeight="1">
      <c r="B117" s="219">
        <v>45082.0</v>
      </c>
      <c r="C117" s="220" t="str">
        <f t="shared" si="16"/>
        <v/>
      </c>
      <c r="D117" s="220"/>
      <c r="E117" s="220">
        <f t="shared" si="14"/>
        <v>0</v>
      </c>
      <c r="F117" s="220">
        <f t="shared" si="15"/>
        <v>-10</v>
      </c>
      <c r="H117" s="216" t="s">
        <v>249</v>
      </c>
      <c r="I117" s="232">
        <v>10.0</v>
      </c>
      <c r="K117" s="216" t="s">
        <v>250</v>
      </c>
      <c r="L117" s="232">
        <f>O119*100</f>
        <v>0</v>
      </c>
    </row>
    <row r="118" ht="14.25" customHeight="1">
      <c r="B118" s="219">
        <v>45083.0</v>
      </c>
      <c r="C118" s="220" t="str">
        <f t="shared" si="16"/>
        <v/>
      </c>
      <c r="D118" s="220"/>
      <c r="E118" s="220">
        <f t="shared" si="14"/>
        <v>0</v>
      </c>
      <c r="F118" s="220">
        <f t="shared" si="15"/>
        <v>-10</v>
      </c>
      <c r="H118" s="216" t="s">
        <v>250</v>
      </c>
      <c r="I118" s="216"/>
      <c r="K118" s="216" t="s">
        <v>252</v>
      </c>
      <c r="L118" s="232"/>
    </row>
    <row r="119" ht="14.25" customHeight="1">
      <c r="B119" s="219">
        <v>45084.0</v>
      </c>
      <c r="C119" s="220" t="str">
        <f t="shared" si="16"/>
        <v/>
      </c>
      <c r="D119" s="220"/>
      <c r="E119" s="220">
        <f t="shared" si="14"/>
        <v>0</v>
      </c>
      <c r="F119" s="220">
        <f t="shared" si="15"/>
        <v>-10</v>
      </c>
      <c r="K119" s="216" t="s">
        <v>268</v>
      </c>
      <c r="L119" s="232">
        <f>L113+L115+L116+L117-L114-L118</f>
        <v>2000</v>
      </c>
    </row>
    <row r="120" ht="14.25" customHeight="1">
      <c r="B120" s="219">
        <v>45085.0</v>
      </c>
      <c r="C120" s="220" t="str">
        <f t="shared" si="16"/>
        <v/>
      </c>
      <c r="D120" s="220"/>
      <c r="E120" s="220">
        <f t="shared" si="14"/>
        <v>0</v>
      </c>
      <c r="F120" s="220">
        <f t="shared" si="15"/>
        <v>-10</v>
      </c>
      <c r="K120" s="216" t="s">
        <v>269</v>
      </c>
      <c r="L120" s="229"/>
    </row>
    <row r="121" ht="14.25" customHeight="1">
      <c r="B121" s="219">
        <v>45086.0</v>
      </c>
      <c r="C121" s="220" t="str">
        <f t="shared" si="16"/>
        <v/>
      </c>
      <c r="D121" s="220"/>
      <c r="E121" s="220">
        <f t="shared" si="14"/>
        <v>0</v>
      </c>
      <c r="F121" s="220">
        <f t="shared" si="15"/>
        <v>-10</v>
      </c>
    </row>
    <row r="122" ht="14.25" customHeight="1">
      <c r="B122" s="254">
        <v>45087.0</v>
      </c>
      <c r="C122" s="255" t="str">
        <f t="shared" si="16"/>
        <v/>
      </c>
      <c r="D122" s="255"/>
      <c r="E122" s="255">
        <f t="shared" si="14"/>
        <v>0</v>
      </c>
      <c r="F122" s="255">
        <f t="shared" si="15"/>
        <v>-10</v>
      </c>
    </row>
    <row r="123" ht="14.25" customHeight="1">
      <c r="B123" s="254">
        <v>45088.0</v>
      </c>
      <c r="C123" s="255" t="str">
        <f t="shared" si="16"/>
        <v/>
      </c>
      <c r="D123" s="255"/>
      <c r="E123" s="255">
        <f t="shared" si="14"/>
        <v>0</v>
      </c>
      <c r="F123" s="255">
        <f t="shared" si="15"/>
        <v>-10</v>
      </c>
    </row>
    <row r="124" ht="14.25" customHeight="1">
      <c r="B124" s="219">
        <v>45089.0</v>
      </c>
      <c r="C124" s="220" t="str">
        <f t="shared" si="16"/>
        <v/>
      </c>
      <c r="D124" s="220"/>
      <c r="E124" s="220">
        <f t="shared" si="14"/>
        <v>0</v>
      </c>
      <c r="F124" s="220">
        <f t="shared" si="15"/>
        <v>-10</v>
      </c>
    </row>
    <row r="125" ht="14.25" customHeight="1">
      <c r="B125" s="219">
        <v>45090.0</v>
      </c>
      <c r="C125" s="220" t="str">
        <f t="shared" si="16"/>
        <v/>
      </c>
      <c r="D125" s="220"/>
      <c r="E125" s="220">
        <f t="shared" si="14"/>
        <v>0</v>
      </c>
      <c r="F125" s="220">
        <f t="shared" si="15"/>
        <v>-10</v>
      </c>
    </row>
    <row r="126" ht="14.25" customHeight="1">
      <c r="B126" s="219">
        <v>45091.0</v>
      </c>
      <c r="C126" s="220" t="str">
        <f t="shared" si="16"/>
        <v/>
      </c>
      <c r="D126" s="220"/>
      <c r="E126" s="220">
        <f t="shared" si="14"/>
        <v>0</v>
      </c>
      <c r="F126" s="220">
        <f t="shared" si="15"/>
        <v>-10</v>
      </c>
    </row>
    <row r="127" ht="14.25" customHeight="1">
      <c r="B127" s="219">
        <v>45092.0</v>
      </c>
      <c r="C127" s="220" t="str">
        <f t="shared" si="16"/>
        <v/>
      </c>
      <c r="D127" s="220"/>
      <c r="E127" s="220">
        <f t="shared" si="14"/>
        <v>0</v>
      </c>
      <c r="F127" s="220">
        <f t="shared" si="15"/>
        <v>-10</v>
      </c>
    </row>
    <row r="128" ht="14.25" customHeight="1">
      <c r="B128" s="219">
        <v>45093.0</v>
      </c>
      <c r="C128" s="220" t="str">
        <f t="shared" si="16"/>
        <v/>
      </c>
      <c r="D128" s="220"/>
      <c r="E128" s="220">
        <f t="shared" si="14"/>
        <v>0</v>
      </c>
      <c r="F128" s="220">
        <f t="shared" si="15"/>
        <v>-10</v>
      </c>
    </row>
    <row r="129" ht="14.25" customHeight="1">
      <c r="B129" s="254">
        <v>45094.0</v>
      </c>
      <c r="C129" s="255" t="str">
        <f t="shared" si="16"/>
        <v/>
      </c>
      <c r="D129" s="255"/>
      <c r="E129" s="255">
        <f t="shared" si="14"/>
        <v>0</v>
      </c>
      <c r="F129" s="255">
        <f t="shared" si="15"/>
        <v>-10</v>
      </c>
    </row>
    <row r="130" ht="14.25" customHeight="1">
      <c r="B130" s="254">
        <v>45095.0</v>
      </c>
      <c r="C130" s="255" t="str">
        <f t="shared" si="16"/>
        <v/>
      </c>
      <c r="D130" s="255"/>
      <c r="E130" s="255">
        <f t="shared" si="14"/>
        <v>0</v>
      </c>
      <c r="F130" s="255">
        <f t="shared" si="15"/>
        <v>-10</v>
      </c>
    </row>
    <row r="131" ht="14.25" customHeight="1">
      <c r="B131" s="219">
        <v>45096.0</v>
      </c>
      <c r="C131" s="220" t="str">
        <f t="shared" si="16"/>
        <v/>
      </c>
      <c r="D131" s="220"/>
      <c r="E131" s="220">
        <f t="shared" si="14"/>
        <v>0</v>
      </c>
      <c r="F131" s="220">
        <f t="shared" si="15"/>
        <v>-10</v>
      </c>
    </row>
    <row r="132" ht="14.25" customHeight="1">
      <c r="B132" s="219">
        <v>45097.0</v>
      </c>
      <c r="C132" s="220" t="str">
        <f t="shared" si="16"/>
        <v/>
      </c>
      <c r="D132" s="220"/>
      <c r="E132" s="220">
        <f t="shared" si="14"/>
        <v>0</v>
      </c>
      <c r="F132" s="220">
        <f t="shared" si="15"/>
        <v>-10</v>
      </c>
    </row>
    <row r="133" ht="14.25" customHeight="1">
      <c r="B133" s="219">
        <v>45098.0</v>
      </c>
      <c r="C133" s="220" t="str">
        <f t="shared" si="16"/>
        <v/>
      </c>
      <c r="D133" s="220"/>
      <c r="E133" s="220">
        <f t="shared" si="14"/>
        <v>0</v>
      </c>
      <c r="F133" s="220">
        <f t="shared" si="15"/>
        <v>-10</v>
      </c>
    </row>
    <row r="134" ht="14.25" customHeight="1">
      <c r="B134" s="219">
        <v>45099.0</v>
      </c>
      <c r="C134" s="220" t="str">
        <f t="shared" si="16"/>
        <v/>
      </c>
      <c r="D134" s="220"/>
      <c r="E134" s="220">
        <f t="shared" si="14"/>
        <v>0</v>
      </c>
      <c r="F134" s="220">
        <f t="shared" si="15"/>
        <v>-10</v>
      </c>
    </row>
    <row r="135" ht="14.25" customHeight="1">
      <c r="B135" s="219">
        <v>45100.0</v>
      </c>
      <c r="C135" s="220" t="str">
        <f t="shared" si="16"/>
        <v/>
      </c>
      <c r="D135" s="220"/>
      <c r="E135" s="220">
        <f t="shared" si="14"/>
        <v>0</v>
      </c>
      <c r="F135" s="220">
        <f t="shared" si="15"/>
        <v>-10</v>
      </c>
    </row>
    <row r="136" ht="14.25" customHeight="1">
      <c r="B136" s="254">
        <v>45101.0</v>
      </c>
      <c r="C136" s="255" t="str">
        <f t="shared" si="16"/>
        <v/>
      </c>
      <c r="D136" s="255"/>
      <c r="E136" s="255">
        <f t="shared" si="14"/>
        <v>0</v>
      </c>
      <c r="F136" s="255">
        <f t="shared" si="15"/>
        <v>-10</v>
      </c>
    </row>
    <row r="137" ht="14.25" customHeight="1">
      <c r="B137" s="254">
        <v>45102.0</v>
      </c>
      <c r="C137" s="255" t="str">
        <f t="shared" si="16"/>
        <v/>
      </c>
      <c r="D137" s="255"/>
      <c r="E137" s="255">
        <f t="shared" si="14"/>
        <v>0</v>
      </c>
      <c r="F137" s="255">
        <f t="shared" si="15"/>
        <v>-10</v>
      </c>
    </row>
    <row r="138" ht="14.25" customHeight="1">
      <c r="B138" s="219">
        <v>45103.0</v>
      </c>
      <c r="C138" s="220" t="str">
        <f t="shared" si="16"/>
        <v/>
      </c>
      <c r="D138" s="220"/>
      <c r="E138" s="220">
        <f t="shared" si="14"/>
        <v>0</v>
      </c>
      <c r="F138" s="220">
        <f t="shared" si="15"/>
        <v>-10</v>
      </c>
    </row>
    <row r="139" ht="14.25" customHeight="1">
      <c r="B139" s="219">
        <v>45104.0</v>
      </c>
      <c r="C139" s="220" t="str">
        <f t="shared" si="16"/>
        <v/>
      </c>
      <c r="D139" s="220"/>
      <c r="E139" s="220">
        <f t="shared" si="14"/>
        <v>0</v>
      </c>
      <c r="F139" s="220">
        <f t="shared" si="15"/>
        <v>-10</v>
      </c>
    </row>
    <row r="140" ht="14.25" customHeight="1">
      <c r="B140" s="219">
        <v>45105.0</v>
      </c>
      <c r="C140" s="220" t="str">
        <f t="shared" si="16"/>
        <v/>
      </c>
      <c r="D140" s="220"/>
      <c r="E140" s="220">
        <f t="shared" si="14"/>
        <v>0</v>
      </c>
      <c r="F140" s="220">
        <f t="shared" si="15"/>
        <v>-10</v>
      </c>
    </row>
    <row r="141" ht="14.25" customHeight="1">
      <c r="B141" s="219">
        <v>45106.0</v>
      </c>
      <c r="C141" s="220" t="str">
        <f t="shared" si="16"/>
        <v/>
      </c>
      <c r="D141" s="220"/>
      <c r="E141" s="220">
        <f t="shared" si="14"/>
        <v>0</v>
      </c>
      <c r="F141" s="220">
        <f t="shared" si="15"/>
        <v>-10</v>
      </c>
    </row>
    <row r="142" ht="14.25" customHeight="1">
      <c r="B142" s="219">
        <v>45107.0</v>
      </c>
      <c r="C142" s="220" t="str">
        <f t="shared" si="16"/>
        <v/>
      </c>
      <c r="D142" s="220"/>
      <c r="E142" s="220">
        <f t="shared" si="14"/>
        <v>0</v>
      </c>
      <c r="F142" s="220">
        <f t="shared" si="15"/>
        <v>-10</v>
      </c>
    </row>
    <row r="143" ht="14.25" customHeight="1">
      <c r="B143" s="229"/>
      <c r="C143" s="220" t="str">
        <f t="shared" si="16"/>
        <v/>
      </c>
      <c r="D143" s="220"/>
      <c r="E143" s="220">
        <f t="shared" si="14"/>
        <v>0</v>
      </c>
      <c r="F143" s="220">
        <f t="shared" si="15"/>
        <v>-10</v>
      </c>
    </row>
    <row r="144" ht="14.25" customHeight="1">
      <c r="B144" s="216"/>
      <c r="C144" s="223" t="s">
        <v>221</v>
      </c>
      <c r="D144" s="223"/>
      <c r="E144" s="216">
        <f>SUM(E113:E143)</f>
        <v>0</v>
      </c>
      <c r="F144" s="216">
        <f t="shared" si="15"/>
        <v>-10</v>
      </c>
    </row>
    <row r="145" ht="14.25" customHeight="1"/>
    <row r="146" ht="14.25" customHeight="1">
      <c r="A146" s="249" t="s">
        <v>226</v>
      </c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1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 ht="14.25" customHeight="1"/>
    <row r="148" ht="14.25" customHeight="1">
      <c r="B148" s="216" t="s">
        <v>214</v>
      </c>
      <c r="C148" s="216" t="s">
        <v>215</v>
      </c>
      <c r="D148" s="216" t="s">
        <v>216</v>
      </c>
      <c r="E148" s="216" t="s">
        <v>217</v>
      </c>
      <c r="F148" s="216" t="s">
        <v>218</v>
      </c>
      <c r="H148" s="216" t="s">
        <v>238</v>
      </c>
      <c r="I148" s="216"/>
      <c r="K148" s="253" t="s">
        <v>226</v>
      </c>
      <c r="L148" s="231"/>
    </row>
    <row r="149" ht="14.25" customHeight="1">
      <c r="B149" s="219">
        <v>45078.0</v>
      </c>
      <c r="C149" s="220"/>
      <c r="D149" s="220"/>
      <c r="E149" s="220">
        <f t="shared" ref="E149:E179" si="17">D149-C149</f>
        <v>0</v>
      </c>
      <c r="F149" s="220">
        <f t="shared" ref="F149:F180" si="18">E149-10</f>
        <v>-10</v>
      </c>
      <c r="H149" s="216" t="s">
        <v>245</v>
      </c>
      <c r="I149" s="216"/>
      <c r="K149" s="216" t="s">
        <v>244</v>
      </c>
      <c r="L149" s="232">
        <v>2000.0</v>
      </c>
    </row>
    <row r="150" ht="14.25" customHeight="1">
      <c r="B150" s="219">
        <v>45079.0</v>
      </c>
      <c r="C150" s="220" t="str">
        <f t="shared" ref="C150:C179" si="19">D149</f>
        <v/>
      </c>
      <c r="D150" s="220"/>
      <c r="E150" s="220">
        <f t="shared" si="17"/>
        <v>0</v>
      </c>
      <c r="F150" s="220">
        <f t="shared" si="18"/>
        <v>-10</v>
      </c>
      <c r="H150" s="216" t="s">
        <v>247</v>
      </c>
      <c r="I150" s="216"/>
      <c r="K150" s="216" t="s">
        <v>266</v>
      </c>
      <c r="L150" s="232"/>
    </row>
    <row r="151" ht="14.25" customHeight="1">
      <c r="B151" s="254">
        <v>45080.0</v>
      </c>
      <c r="C151" s="255" t="str">
        <f t="shared" si="19"/>
        <v/>
      </c>
      <c r="D151" s="255"/>
      <c r="E151" s="255">
        <f t="shared" si="17"/>
        <v>0</v>
      </c>
      <c r="F151" s="255">
        <f t="shared" si="18"/>
        <v>-10</v>
      </c>
      <c r="H151" s="216" t="s">
        <v>249</v>
      </c>
      <c r="I151" s="232">
        <v>18.0</v>
      </c>
      <c r="K151" s="216" t="s">
        <v>246</v>
      </c>
      <c r="L151" s="232">
        <f>O151*O152</f>
        <v>0</v>
      </c>
    </row>
    <row r="152" ht="14.25" customHeight="1">
      <c r="B152" s="254">
        <v>45081.0</v>
      </c>
      <c r="C152" s="255" t="str">
        <f t="shared" si="19"/>
        <v/>
      </c>
      <c r="D152" s="255"/>
      <c r="E152" s="255">
        <f t="shared" si="17"/>
        <v>0</v>
      </c>
      <c r="F152" s="255">
        <f t="shared" si="18"/>
        <v>-10</v>
      </c>
      <c r="H152" s="216" t="s">
        <v>251</v>
      </c>
      <c r="I152" s="216"/>
      <c r="K152" s="216" t="s">
        <v>248</v>
      </c>
      <c r="L152" s="232">
        <f>O153*O154</f>
        <v>0</v>
      </c>
    </row>
    <row r="153" ht="14.25" customHeight="1">
      <c r="B153" s="219">
        <v>45082.0</v>
      </c>
      <c r="C153" s="220" t="str">
        <f t="shared" si="19"/>
        <v/>
      </c>
      <c r="D153" s="220"/>
      <c r="E153" s="220">
        <f t="shared" si="17"/>
        <v>0</v>
      </c>
      <c r="F153" s="220">
        <f t="shared" si="18"/>
        <v>-10</v>
      </c>
      <c r="H153" s="216" t="s">
        <v>249</v>
      </c>
      <c r="I153" s="232">
        <v>10.0</v>
      </c>
      <c r="K153" s="216" t="s">
        <v>250</v>
      </c>
      <c r="L153" s="232">
        <f>O155*100</f>
        <v>0</v>
      </c>
    </row>
    <row r="154" ht="14.25" customHeight="1">
      <c r="B154" s="219">
        <v>45083.0</v>
      </c>
      <c r="C154" s="220" t="str">
        <f t="shared" si="19"/>
        <v/>
      </c>
      <c r="D154" s="220"/>
      <c r="E154" s="220">
        <f t="shared" si="17"/>
        <v>0</v>
      </c>
      <c r="F154" s="220">
        <f t="shared" si="18"/>
        <v>-10</v>
      </c>
      <c r="H154" s="216" t="s">
        <v>250</v>
      </c>
      <c r="I154" s="216"/>
      <c r="K154" s="216" t="s">
        <v>252</v>
      </c>
      <c r="L154" s="232"/>
    </row>
    <row r="155" ht="14.25" customHeight="1">
      <c r="B155" s="219">
        <v>45084.0</v>
      </c>
      <c r="C155" s="220" t="str">
        <f t="shared" si="19"/>
        <v/>
      </c>
      <c r="D155" s="220"/>
      <c r="E155" s="220">
        <f t="shared" si="17"/>
        <v>0</v>
      </c>
      <c r="F155" s="220">
        <f t="shared" si="18"/>
        <v>-10</v>
      </c>
      <c r="K155" s="216" t="s">
        <v>268</v>
      </c>
      <c r="L155" s="232">
        <f>L149+L151+L152+L153-L150-L154</f>
        <v>2000</v>
      </c>
    </row>
    <row r="156" ht="14.25" customHeight="1">
      <c r="B156" s="219">
        <v>45085.0</v>
      </c>
      <c r="C156" s="220" t="str">
        <f t="shared" si="19"/>
        <v/>
      </c>
      <c r="D156" s="220"/>
      <c r="E156" s="220">
        <f t="shared" si="17"/>
        <v>0</v>
      </c>
      <c r="F156" s="220">
        <f t="shared" si="18"/>
        <v>-10</v>
      </c>
      <c r="K156" s="216" t="s">
        <v>269</v>
      </c>
      <c r="L156" s="229"/>
    </row>
    <row r="157" ht="14.25" customHeight="1">
      <c r="B157" s="219">
        <v>45086.0</v>
      </c>
      <c r="C157" s="220" t="str">
        <f t="shared" si="19"/>
        <v/>
      </c>
      <c r="D157" s="220"/>
      <c r="E157" s="220">
        <f t="shared" si="17"/>
        <v>0</v>
      </c>
      <c r="F157" s="220">
        <f t="shared" si="18"/>
        <v>-10</v>
      </c>
    </row>
    <row r="158" ht="14.25" customHeight="1">
      <c r="B158" s="254">
        <v>45087.0</v>
      </c>
      <c r="C158" s="255" t="str">
        <f t="shared" si="19"/>
        <v/>
      </c>
      <c r="D158" s="255"/>
      <c r="E158" s="255">
        <f t="shared" si="17"/>
        <v>0</v>
      </c>
      <c r="F158" s="255">
        <f t="shared" si="18"/>
        <v>-10</v>
      </c>
    </row>
    <row r="159" ht="14.25" customHeight="1">
      <c r="B159" s="254">
        <v>45088.0</v>
      </c>
      <c r="C159" s="255" t="str">
        <f t="shared" si="19"/>
        <v/>
      </c>
      <c r="D159" s="255"/>
      <c r="E159" s="255">
        <f t="shared" si="17"/>
        <v>0</v>
      </c>
      <c r="F159" s="255">
        <f t="shared" si="18"/>
        <v>-10</v>
      </c>
    </row>
    <row r="160" ht="14.25" customHeight="1">
      <c r="B160" s="219">
        <v>45089.0</v>
      </c>
      <c r="C160" s="220" t="str">
        <f t="shared" si="19"/>
        <v/>
      </c>
      <c r="D160" s="220"/>
      <c r="E160" s="220">
        <f t="shared" si="17"/>
        <v>0</v>
      </c>
      <c r="F160" s="220">
        <f t="shared" si="18"/>
        <v>-10</v>
      </c>
    </row>
    <row r="161" ht="14.25" customHeight="1">
      <c r="B161" s="219">
        <v>45090.0</v>
      </c>
      <c r="C161" s="220" t="str">
        <f t="shared" si="19"/>
        <v/>
      </c>
      <c r="D161" s="220"/>
      <c r="E161" s="220">
        <f t="shared" si="17"/>
        <v>0</v>
      </c>
      <c r="F161" s="220">
        <f t="shared" si="18"/>
        <v>-10</v>
      </c>
    </row>
    <row r="162" ht="14.25" customHeight="1">
      <c r="B162" s="219">
        <v>45091.0</v>
      </c>
      <c r="C162" s="220" t="str">
        <f t="shared" si="19"/>
        <v/>
      </c>
      <c r="D162" s="220"/>
      <c r="E162" s="220">
        <f t="shared" si="17"/>
        <v>0</v>
      </c>
      <c r="F162" s="220">
        <f t="shared" si="18"/>
        <v>-10</v>
      </c>
    </row>
    <row r="163" ht="14.25" customHeight="1">
      <c r="B163" s="219">
        <v>45092.0</v>
      </c>
      <c r="C163" s="220" t="str">
        <f t="shared" si="19"/>
        <v/>
      </c>
      <c r="D163" s="220"/>
      <c r="E163" s="220">
        <f t="shared" si="17"/>
        <v>0</v>
      </c>
      <c r="F163" s="220">
        <f t="shared" si="18"/>
        <v>-10</v>
      </c>
    </row>
    <row r="164" ht="14.25" customHeight="1">
      <c r="B164" s="219">
        <v>45093.0</v>
      </c>
      <c r="C164" s="220" t="str">
        <f t="shared" si="19"/>
        <v/>
      </c>
      <c r="D164" s="220"/>
      <c r="E164" s="220">
        <f t="shared" si="17"/>
        <v>0</v>
      </c>
      <c r="F164" s="220">
        <f t="shared" si="18"/>
        <v>-10</v>
      </c>
    </row>
    <row r="165" ht="14.25" customHeight="1">
      <c r="B165" s="254">
        <v>45094.0</v>
      </c>
      <c r="C165" s="255" t="str">
        <f t="shared" si="19"/>
        <v/>
      </c>
      <c r="D165" s="255"/>
      <c r="E165" s="255">
        <f t="shared" si="17"/>
        <v>0</v>
      </c>
      <c r="F165" s="255">
        <f t="shared" si="18"/>
        <v>-10</v>
      </c>
    </row>
    <row r="166" ht="14.25" customHeight="1">
      <c r="B166" s="254">
        <v>45095.0</v>
      </c>
      <c r="C166" s="255" t="str">
        <f t="shared" si="19"/>
        <v/>
      </c>
      <c r="D166" s="255"/>
      <c r="E166" s="255">
        <f t="shared" si="17"/>
        <v>0</v>
      </c>
      <c r="F166" s="255">
        <f t="shared" si="18"/>
        <v>-10</v>
      </c>
    </row>
    <row r="167" ht="14.25" customHeight="1">
      <c r="B167" s="219">
        <v>45096.0</v>
      </c>
      <c r="C167" s="220" t="str">
        <f t="shared" si="19"/>
        <v/>
      </c>
      <c r="D167" s="220"/>
      <c r="E167" s="220">
        <f t="shared" si="17"/>
        <v>0</v>
      </c>
      <c r="F167" s="220">
        <f t="shared" si="18"/>
        <v>-10</v>
      </c>
    </row>
    <row r="168" ht="14.25" customHeight="1">
      <c r="B168" s="219">
        <v>45097.0</v>
      </c>
      <c r="C168" s="220" t="str">
        <f t="shared" si="19"/>
        <v/>
      </c>
      <c r="D168" s="220"/>
      <c r="E168" s="220">
        <f t="shared" si="17"/>
        <v>0</v>
      </c>
      <c r="F168" s="220">
        <f t="shared" si="18"/>
        <v>-10</v>
      </c>
    </row>
    <row r="169" ht="14.25" customHeight="1">
      <c r="B169" s="219">
        <v>45098.0</v>
      </c>
      <c r="C169" s="220" t="str">
        <f t="shared" si="19"/>
        <v/>
      </c>
      <c r="D169" s="220"/>
      <c r="E169" s="220">
        <f t="shared" si="17"/>
        <v>0</v>
      </c>
      <c r="F169" s="220">
        <f t="shared" si="18"/>
        <v>-10</v>
      </c>
    </row>
    <row r="170" ht="14.25" customHeight="1">
      <c r="B170" s="219">
        <v>45099.0</v>
      </c>
      <c r="C170" s="220" t="str">
        <f t="shared" si="19"/>
        <v/>
      </c>
      <c r="D170" s="220"/>
      <c r="E170" s="220">
        <f t="shared" si="17"/>
        <v>0</v>
      </c>
      <c r="F170" s="220">
        <f t="shared" si="18"/>
        <v>-10</v>
      </c>
    </row>
    <row r="171" ht="14.25" customHeight="1">
      <c r="B171" s="219">
        <v>45100.0</v>
      </c>
      <c r="C171" s="220" t="str">
        <f t="shared" si="19"/>
        <v/>
      </c>
      <c r="D171" s="220"/>
      <c r="E171" s="220">
        <f t="shared" si="17"/>
        <v>0</v>
      </c>
      <c r="F171" s="220">
        <f t="shared" si="18"/>
        <v>-10</v>
      </c>
    </row>
    <row r="172" ht="14.25" customHeight="1">
      <c r="B172" s="254">
        <v>45101.0</v>
      </c>
      <c r="C172" s="255" t="str">
        <f t="shared" si="19"/>
        <v/>
      </c>
      <c r="D172" s="255"/>
      <c r="E172" s="255">
        <f t="shared" si="17"/>
        <v>0</v>
      </c>
      <c r="F172" s="255">
        <f t="shared" si="18"/>
        <v>-10</v>
      </c>
    </row>
    <row r="173" ht="14.25" customHeight="1">
      <c r="B173" s="254">
        <v>45102.0</v>
      </c>
      <c r="C173" s="255" t="str">
        <f t="shared" si="19"/>
        <v/>
      </c>
      <c r="D173" s="255"/>
      <c r="E173" s="255">
        <f t="shared" si="17"/>
        <v>0</v>
      </c>
      <c r="F173" s="255">
        <f t="shared" si="18"/>
        <v>-10</v>
      </c>
    </row>
    <row r="174" ht="14.25" customHeight="1">
      <c r="B174" s="219">
        <v>45103.0</v>
      </c>
      <c r="C174" s="220" t="str">
        <f t="shared" si="19"/>
        <v/>
      </c>
      <c r="D174" s="220"/>
      <c r="E174" s="220">
        <f t="shared" si="17"/>
        <v>0</v>
      </c>
      <c r="F174" s="220">
        <f t="shared" si="18"/>
        <v>-10</v>
      </c>
    </row>
    <row r="175" ht="14.25" customHeight="1">
      <c r="B175" s="219">
        <v>45104.0</v>
      </c>
      <c r="C175" s="220" t="str">
        <f t="shared" si="19"/>
        <v/>
      </c>
      <c r="D175" s="220"/>
      <c r="E175" s="220">
        <f t="shared" si="17"/>
        <v>0</v>
      </c>
      <c r="F175" s="220">
        <f t="shared" si="18"/>
        <v>-10</v>
      </c>
    </row>
    <row r="176" ht="14.25" customHeight="1">
      <c r="B176" s="219">
        <v>45105.0</v>
      </c>
      <c r="C176" s="220" t="str">
        <f t="shared" si="19"/>
        <v/>
      </c>
      <c r="D176" s="220"/>
      <c r="E176" s="220">
        <f t="shared" si="17"/>
        <v>0</v>
      </c>
      <c r="F176" s="220">
        <f t="shared" si="18"/>
        <v>-10</v>
      </c>
    </row>
    <row r="177" ht="14.25" customHeight="1">
      <c r="B177" s="219">
        <v>45106.0</v>
      </c>
      <c r="C177" s="220" t="str">
        <f t="shared" si="19"/>
        <v/>
      </c>
      <c r="D177" s="220"/>
      <c r="E177" s="220">
        <f t="shared" si="17"/>
        <v>0</v>
      </c>
      <c r="F177" s="220">
        <f t="shared" si="18"/>
        <v>-10</v>
      </c>
    </row>
    <row r="178" ht="14.25" customHeight="1">
      <c r="B178" s="219">
        <v>45107.0</v>
      </c>
      <c r="C178" s="220" t="str">
        <f t="shared" si="19"/>
        <v/>
      </c>
      <c r="D178" s="220"/>
      <c r="E178" s="220">
        <f t="shared" si="17"/>
        <v>0</v>
      </c>
      <c r="F178" s="220">
        <f t="shared" si="18"/>
        <v>-10</v>
      </c>
    </row>
    <row r="179" ht="14.25" customHeight="1">
      <c r="B179" s="229"/>
      <c r="C179" s="220" t="str">
        <f t="shared" si="19"/>
        <v/>
      </c>
      <c r="D179" s="220"/>
      <c r="E179" s="220">
        <f t="shared" si="17"/>
        <v>0</v>
      </c>
      <c r="F179" s="220">
        <f t="shared" si="18"/>
        <v>-10</v>
      </c>
    </row>
    <row r="180" ht="14.25" customHeight="1">
      <c r="B180" s="216"/>
      <c r="C180" s="223" t="s">
        <v>221</v>
      </c>
      <c r="D180" s="223"/>
      <c r="E180" s="216">
        <f>SUM(E149:E179)</f>
        <v>0</v>
      </c>
      <c r="F180" s="216">
        <f t="shared" si="18"/>
        <v>-10</v>
      </c>
    </row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K112:L112"/>
    <mergeCell ref="A146:L146"/>
    <mergeCell ref="K148:L148"/>
    <mergeCell ref="A2:L2"/>
    <mergeCell ref="K4:L4"/>
    <mergeCell ref="A38:L38"/>
    <mergeCell ref="K40:L40"/>
    <mergeCell ref="A74:L74"/>
    <mergeCell ref="K76:L76"/>
    <mergeCell ref="A110:L110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0.29"/>
    <col customWidth="1" min="3" max="3" width="12.86"/>
    <col customWidth="1" min="4" max="4" width="8.71"/>
    <col customWidth="1" min="5" max="5" width="18.86"/>
    <col customWidth="1" min="6" max="26" width="8.71"/>
  </cols>
  <sheetData>
    <row r="1" ht="14.25" customHeight="1"/>
    <row r="2" ht="14.25" customHeight="1"/>
    <row r="3" ht="14.25" customHeight="1">
      <c r="B3" s="236">
        <v>44774.0</v>
      </c>
      <c r="C3" s="231"/>
      <c r="D3" s="216"/>
      <c r="E3" s="216" t="s">
        <v>238</v>
      </c>
      <c r="F3" s="216">
        <v>42.4</v>
      </c>
    </row>
    <row r="4" ht="14.25" customHeight="1">
      <c r="B4" s="216" t="s">
        <v>244</v>
      </c>
      <c r="C4" s="232">
        <v>2000.0</v>
      </c>
      <c r="D4" s="216"/>
      <c r="E4" s="216" t="s">
        <v>245</v>
      </c>
      <c r="F4" s="216">
        <v>285.1</v>
      </c>
    </row>
    <row r="5" ht="14.25" customHeight="1">
      <c r="B5" s="216" t="s">
        <v>246</v>
      </c>
      <c r="C5" s="232">
        <f>F6*F5</f>
        <v>3640.5</v>
      </c>
      <c r="D5" s="216"/>
      <c r="E5" s="216" t="s">
        <v>247</v>
      </c>
      <c r="F5" s="216">
        <f>F4-F3</f>
        <v>242.7</v>
      </c>
    </row>
    <row r="6" ht="14.25" customHeight="1">
      <c r="B6" s="216" t="s">
        <v>248</v>
      </c>
      <c r="C6" s="232">
        <f>F7*F8</f>
        <v>0</v>
      </c>
      <c r="D6" s="216"/>
      <c r="E6" s="216" t="s">
        <v>249</v>
      </c>
      <c r="F6" s="232">
        <v>15.0</v>
      </c>
    </row>
    <row r="7" ht="14.25" customHeight="1">
      <c r="B7" s="216" t="s">
        <v>250</v>
      </c>
      <c r="C7" s="232">
        <f>F9*100</f>
        <v>500</v>
      </c>
      <c r="D7" s="216"/>
      <c r="E7" s="216" t="s">
        <v>251</v>
      </c>
      <c r="F7" s="216"/>
    </row>
    <row r="8" ht="14.25" customHeight="1">
      <c r="B8" s="216" t="s">
        <v>252</v>
      </c>
      <c r="C8" s="232">
        <v>1000.0</v>
      </c>
      <c r="D8" s="216"/>
      <c r="E8" s="216" t="s">
        <v>249</v>
      </c>
      <c r="F8" s="232">
        <v>10.0</v>
      </c>
    </row>
    <row r="9" ht="14.25" customHeight="1">
      <c r="B9" s="216" t="s">
        <v>253</v>
      </c>
      <c r="C9" s="232">
        <f>C4+C5+C6+C7-C8</f>
        <v>5140.5</v>
      </c>
      <c r="D9" s="216"/>
      <c r="E9" s="216" t="s">
        <v>250</v>
      </c>
      <c r="F9" s="216">
        <v>5.0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3:C3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14.57"/>
    <col customWidth="1" min="4" max="4" width="8.71"/>
    <col customWidth="1" min="5" max="5" width="18.43"/>
    <col customWidth="1" min="6" max="6" width="13.29"/>
    <col customWidth="1" min="7" max="26" width="8.71"/>
  </cols>
  <sheetData>
    <row r="1" ht="14.25" customHeight="1"/>
    <row r="2" ht="14.25" customHeight="1"/>
    <row r="3" ht="14.25" customHeight="1">
      <c r="B3" s="230">
        <v>44713.0</v>
      </c>
      <c r="C3" s="231"/>
      <c r="E3" s="216" t="s">
        <v>238</v>
      </c>
      <c r="F3" s="216">
        <v>9729.2</v>
      </c>
      <c r="H3" s="165" t="s">
        <v>239</v>
      </c>
      <c r="I3" s="165" t="s">
        <v>240</v>
      </c>
      <c r="J3" s="165" t="s">
        <v>241</v>
      </c>
      <c r="K3" s="165" t="s">
        <v>242</v>
      </c>
      <c r="L3" s="165" t="s">
        <v>243</v>
      </c>
    </row>
    <row r="4" ht="14.25" customHeight="1">
      <c r="B4" s="216" t="s">
        <v>244</v>
      </c>
      <c r="C4" s="232">
        <v>1600.0</v>
      </c>
      <c r="E4" s="216" t="s">
        <v>245</v>
      </c>
      <c r="F4" s="216">
        <v>9935.3</v>
      </c>
      <c r="I4" s="233">
        <v>44716.0</v>
      </c>
      <c r="J4" s="165">
        <v>9759.1</v>
      </c>
      <c r="K4" s="165">
        <v>9770.9</v>
      </c>
      <c r="L4" s="165">
        <f t="shared" ref="L4:L7" si="1">K4-J4</f>
        <v>11.8</v>
      </c>
    </row>
    <row r="5" ht="14.25" customHeight="1">
      <c r="B5" s="216" t="s">
        <v>246</v>
      </c>
      <c r="C5" s="232">
        <f>F6*F5</f>
        <v>1648.8</v>
      </c>
      <c r="E5" s="216" t="s">
        <v>247</v>
      </c>
      <c r="F5" s="216">
        <f>F4-F3</f>
        <v>206.1</v>
      </c>
      <c r="I5" s="233">
        <v>44723.0</v>
      </c>
      <c r="J5" s="165">
        <v>9816.3</v>
      </c>
      <c r="K5" s="165">
        <v>9826.3</v>
      </c>
      <c r="L5" s="165">
        <f t="shared" si="1"/>
        <v>10</v>
      </c>
    </row>
    <row r="6" ht="14.25" customHeight="1">
      <c r="B6" s="216" t="s">
        <v>248</v>
      </c>
      <c r="C6" s="232">
        <f>F7*F8</f>
        <v>65.1</v>
      </c>
      <c r="E6" s="216" t="s">
        <v>249</v>
      </c>
      <c r="F6" s="232">
        <v>8.0</v>
      </c>
      <c r="I6" s="233">
        <v>44730.0</v>
      </c>
      <c r="J6" s="165">
        <v>9846.9</v>
      </c>
      <c r="K6" s="165">
        <v>9857.1</v>
      </c>
      <c r="L6" s="165">
        <f t="shared" si="1"/>
        <v>10.2</v>
      </c>
    </row>
    <row r="7" ht="14.25" customHeight="1">
      <c r="B7" s="216" t="s">
        <v>250</v>
      </c>
      <c r="C7" s="232">
        <f>F9*100</f>
        <v>300</v>
      </c>
      <c r="E7" s="216" t="s">
        <v>251</v>
      </c>
      <c r="F7" s="216">
        <v>9.3</v>
      </c>
      <c r="I7" s="233">
        <v>44737.0</v>
      </c>
      <c r="J7" s="165">
        <v>9891.2</v>
      </c>
      <c r="K7" s="165">
        <v>9894.3</v>
      </c>
      <c r="L7" s="165">
        <f t="shared" si="1"/>
        <v>3.1</v>
      </c>
    </row>
    <row r="8" ht="14.25" customHeight="1">
      <c r="B8" s="216" t="s">
        <v>252</v>
      </c>
      <c r="C8" s="232">
        <v>150.0</v>
      </c>
      <c r="E8" s="216" t="s">
        <v>249</v>
      </c>
      <c r="F8" s="232">
        <v>7.0</v>
      </c>
      <c r="L8" s="165">
        <f>SUM(L4:L7)</f>
        <v>35.1</v>
      </c>
    </row>
    <row r="9" ht="14.25" customHeight="1">
      <c r="B9" s="216" t="s">
        <v>253</v>
      </c>
      <c r="C9" s="232">
        <f>C4+C5+C6+C7-C8</f>
        <v>3463.9</v>
      </c>
      <c r="E9" s="216" t="s">
        <v>250</v>
      </c>
      <c r="F9" s="216">
        <v>3.0</v>
      </c>
    </row>
    <row r="10" ht="14.25" customHeight="1"/>
    <row r="11" ht="14.25" customHeight="1"/>
    <row r="12" ht="14.25" customHeight="1"/>
    <row r="13" ht="14.25" customHeight="1"/>
    <row r="14" ht="14.25" customHeight="1">
      <c r="B14" s="230">
        <v>44743.0</v>
      </c>
      <c r="C14" s="231"/>
      <c r="E14" s="216" t="s">
        <v>238</v>
      </c>
      <c r="F14" s="216">
        <v>9935.3</v>
      </c>
      <c r="I14" s="216" t="s">
        <v>255</v>
      </c>
      <c r="J14" s="216" t="s">
        <v>256</v>
      </c>
      <c r="K14" s="216" t="s">
        <v>243</v>
      </c>
      <c r="L14" s="216" t="s">
        <v>218</v>
      </c>
    </row>
    <row r="15" ht="14.25" customHeight="1">
      <c r="B15" s="216" t="s">
        <v>244</v>
      </c>
      <c r="C15" s="232">
        <v>1600.0</v>
      </c>
      <c r="E15" s="216" t="s">
        <v>245</v>
      </c>
      <c r="F15" s="216">
        <v>10014.0</v>
      </c>
      <c r="I15" s="216">
        <v>9935.3</v>
      </c>
      <c r="J15" s="216">
        <v>9946.3</v>
      </c>
      <c r="K15" s="216">
        <f t="shared" ref="K15:K41" si="2">J15-I15</f>
        <v>11</v>
      </c>
      <c r="L15" s="216">
        <f>K15-10</f>
        <v>1</v>
      </c>
    </row>
    <row r="16" ht="14.25" customHeight="1">
      <c r="B16" s="216" t="s">
        <v>246</v>
      </c>
      <c r="C16" s="232">
        <f>F17*F16</f>
        <v>629.6</v>
      </c>
      <c r="E16" s="216" t="s">
        <v>247</v>
      </c>
      <c r="F16" s="216">
        <f>F15-F14</f>
        <v>78.7</v>
      </c>
      <c r="I16" s="237">
        <f t="shared" ref="I16:I24" si="3">J15</f>
        <v>9946.3</v>
      </c>
      <c r="J16" s="237">
        <v>9956.4</v>
      </c>
      <c r="K16" s="281">
        <f t="shared" si="2"/>
        <v>10.1</v>
      </c>
      <c r="L16" s="216">
        <f>K16-5</f>
        <v>5.1</v>
      </c>
    </row>
    <row r="17" ht="14.25" customHeight="1">
      <c r="B17" s="216" t="s">
        <v>248</v>
      </c>
      <c r="C17" s="232">
        <f>F18*F19</f>
        <v>14</v>
      </c>
      <c r="E17" s="216" t="s">
        <v>249</v>
      </c>
      <c r="F17" s="232">
        <v>8.0</v>
      </c>
      <c r="I17" s="216">
        <f t="shared" si="3"/>
        <v>9956.4</v>
      </c>
      <c r="J17" s="216">
        <v>9961.4</v>
      </c>
      <c r="K17" s="216">
        <f t="shared" si="2"/>
        <v>5</v>
      </c>
      <c r="L17" s="216">
        <f t="shared" ref="L17:L23" si="4">K17-10</f>
        <v>-5</v>
      </c>
    </row>
    <row r="18" ht="14.25" customHeight="1">
      <c r="B18" s="216" t="s">
        <v>250</v>
      </c>
      <c r="C18" s="232">
        <f>F20*100</f>
        <v>100</v>
      </c>
      <c r="E18" s="216" t="s">
        <v>251</v>
      </c>
      <c r="F18" s="216">
        <v>2.0</v>
      </c>
      <c r="I18" s="216">
        <f t="shared" si="3"/>
        <v>9961.4</v>
      </c>
      <c r="J18" s="216">
        <v>9968.5</v>
      </c>
      <c r="K18" s="216">
        <f t="shared" si="2"/>
        <v>7.1</v>
      </c>
      <c r="L18" s="216">
        <f t="shared" si="4"/>
        <v>-2.9</v>
      </c>
    </row>
    <row r="19" ht="14.25" customHeight="1">
      <c r="B19" s="216" t="s">
        <v>252</v>
      </c>
      <c r="C19" s="232">
        <v>32.25</v>
      </c>
      <c r="E19" s="216" t="s">
        <v>249</v>
      </c>
      <c r="F19" s="232">
        <v>7.0</v>
      </c>
      <c r="I19" s="216">
        <f t="shared" si="3"/>
        <v>9968.5</v>
      </c>
      <c r="J19" s="216">
        <v>9977.6</v>
      </c>
      <c r="K19" s="216">
        <f t="shared" si="2"/>
        <v>9.1</v>
      </c>
      <c r="L19" s="216">
        <f t="shared" si="4"/>
        <v>-0.9</v>
      </c>
    </row>
    <row r="20" ht="14.25" customHeight="1">
      <c r="B20" s="216" t="s">
        <v>253</v>
      </c>
      <c r="C20" s="232">
        <f>C15+C16+C17+C18-C19</f>
        <v>2311.35</v>
      </c>
      <c r="E20" s="216" t="s">
        <v>250</v>
      </c>
      <c r="F20" s="216">
        <v>1.0</v>
      </c>
      <c r="I20" s="216">
        <f t="shared" si="3"/>
        <v>9977.6</v>
      </c>
      <c r="J20" s="216">
        <v>9983.5</v>
      </c>
      <c r="K20" s="216">
        <f t="shared" si="2"/>
        <v>5.9</v>
      </c>
      <c r="L20" s="216">
        <f t="shared" si="4"/>
        <v>-4.1</v>
      </c>
    </row>
    <row r="21" ht="14.25" customHeight="1">
      <c r="I21" s="216">
        <f t="shared" si="3"/>
        <v>9983.5</v>
      </c>
      <c r="J21" s="216">
        <v>9993.5</v>
      </c>
      <c r="K21" s="216">
        <f t="shared" si="2"/>
        <v>10</v>
      </c>
      <c r="L21" s="216">
        <f t="shared" si="4"/>
        <v>0</v>
      </c>
    </row>
    <row r="22" ht="14.25" customHeight="1">
      <c r="I22" s="216">
        <f t="shared" si="3"/>
        <v>9993.5</v>
      </c>
      <c r="J22" s="216">
        <v>9996.6</v>
      </c>
      <c r="K22" s="216">
        <f t="shared" si="2"/>
        <v>3.1</v>
      </c>
      <c r="L22" s="216">
        <f t="shared" si="4"/>
        <v>-6.9</v>
      </c>
    </row>
    <row r="23" ht="14.25" customHeight="1">
      <c r="I23" s="216">
        <f t="shared" si="3"/>
        <v>9996.6</v>
      </c>
      <c r="J23" s="216">
        <v>10007.7</v>
      </c>
      <c r="K23" s="216">
        <f t="shared" si="2"/>
        <v>11.1</v>
      </c>
      <c r="L23" s="216">
        <f t="shared" si="4"/>
        <v>1.1</v>
      </c>
    </row>
    <row r="24" ht="14.25" customHeight="1">
      <c r="I24" s="237">
        <f t="shared" si="3"/>
        <v>10007.7</v>
      </c>
      <c r="J24" s="237">
        <v>10014.0</v>
      </c>
      <c r="K24" s="216">
        <f t="shared" si="2"/>
        <v>6.3</v>
      </c>
      <c r="L24" s="216">
        <f>K24-5</f>
        <v>1.3</v>
      </c>
    </row>
    <row r="25" ht="14.25" customHeight="1">
      <c r="I25" s="216">
        <v>0.0</v>
      </c>
      <c r="J25" s="216">
        <v>0.0</v>
      </c>
      <c r="K25" s="216">
        <f t="shared" si="2"/>
        <v>0</v>
      </c>
      <c r="L25" s="216">
        <f t="shared" ref="L25:L42" si="5">K25-10</f>
        <v>-10</v>
      </c>
    </row>
    <row r="26" ht="14.25" customHeight="1">
      <c r="I26" s="216">
        <f t="shared" ref="I26:I41" si="6">J25</f>
        <v>0</v>
      </c>
      <c r="J26" s="216"/>
      <c r="K26" s="216">
        <f t="shared" si="2"/>
        <v>0</v>
      </c>
      <c r="L26" s="216">
        <f t="shared" si="5"/>
        <v>-10</v>
      </c>
    </row>
    <row r="27" ht="14.25" customHeight="1">
      <c r="I27" s="216" t="str">
        <f t="shared" si="6"/>
        <v/>
      </c>
      <c r="J27" s="216"/>
      <c r="K27" s="216">
        <f t="shared" si="2"/>
        <v>0</v>
      </c>
      <c r="L27" s="216">
        <f t="shared" si="5"/>
        <v>-10</v>
      </c>
    </row>
    <row r="28" ht="14.25" customHeight="1">
      <c r="I28" s="216" t="str">
        <f t="shared" si="6"/>
        <v/>
      </c>
      <c r="J28" s="216"/>
      <c r="K28" s="216">
        <f t="shared" si="2"/>
        <v>0</v>
      </c>
      <c r="L28" s="216">
        <f t="shared" si="5"/>
        <v>-10</v>
      </c>
    </row>
    <row r="29" ht="14.25" customHeight="1">
      <c r="I29" s="216" t="str">
        <f t="shared" si="6"/>
        <v/>
      </c>
      <c r="J29" s="216"/>
      <c r="K29" s="216">
        <f t="shared" si="2"/>
        <v>0</v>
      </c>
      <c r="L29" s="216">
        <f t="shared" si="5"/>
        <v>-10</v>
      </c>
    </row>
    <row r="30" ht="14.25" customHeight="1">
      <c r="I30" s="216" t="str">
        <f t="shared" si="6"/>
        <v/>
      </c>
      <c r="J30" s="216"/>
      <c r="K30" s="216">
        <f t="shared" si="2"/>
        <v>0</v>
      </c>
      <c r="L30" s="216">
        <f t="shared" si="5"/>
        <v>-10</v>
      </c>
    </row>
    <row r="31" ht="14.25" customHeight="1">
      <c r="I31" s="216" t="str">
        <f t="shared" si="6"/>
        <v/>
      </c>
      <c r="J31" s="216"/>
      <c r="K31" s="216">
        <f t="shared" si="2"/>
        <v>0</v>
      </c>
      <c r="L31" s="216">
        <f t="shared" si="5"/>
        <v>-10</v>
      </c>
    </row>
    <row r="32" ht="14.25" customHeight="1">
      <c r="I32" s="216" t="str">
        <f t="shared" si="6"/>
        <v/>
      </c>
      <c r="J32" s="216"/>
      <c r="K32" s="216">
        <f t="shared" si="2"/>
        <v>0</v>
      </c>
      <c r="L32" s="216">
        <f t="shared" si="5"/>
        <v>-10</v>
      </c>
    </row>
    <row r="33" ht="14.25" customHeight="1">
      <c r="I33" s="216" t="str">
        <f t="shared" si="6"/>
        <v/>
      </c>
      <c r="J33" s="216"/>
      <c r="K33" s="216">
        <f t="shared" si="2"/>
        <v>0</v>
      </c>
      <c r="L33" s="216">
        <f t="shared" si="5"/>
        <v>-10</v>
      </c>
    </row>
    <row r="34" ht="14.25" customHeight="1">
      <c r="I34" s="216" t="str">
        <f t="shared" si="6"/>
        <v/>
      </c>
      <c r="J34" s="216"/>
      <c r="K34" s="216">
        <f t="shared" si="2"/>
        <v>0</v>
      </c>
      <c r="L34" s="216">
        <f t="shared" si="5"/>
        <v>-10</v>
      </c>
    </row>
    <row r="35" ht="14.25" customHeight="1">
      <c r="I35" s="216" t="str">
        <f t="shared" si="6"/>
        <v/>
      </c>
      <c r="J35" s="216"/>
      <c r="K35" s="216">
        <f t="shared" si="2"/>
        <v>0</v>
      </c>
      <c r="L35" s="216">
        <f t="shared" si="5"/>
        <v>-10</v>
      </c>
    </row>
    <row r="36" ht="14.25" customHeight="1">
      <c r="I36" s="216" t="str">
        <f t="shared" si="6"/>
        <v/>
      </c>
      <c r="J36" s="216"/>
      <c r="K36" s="216">
        <f t="shared" si="2"/>
        <v>0</v>
      </c>
      <c r="L36" s="216">
        <f t="shared" si="5"/>
        <v>-10</v>
      </c>
    </row>
    <row r="37" ht="14.25" customHeight="1">
      <c r="I37" s="216" t="str">
        <f t="shared" si="6"/>
        <v/>
      </c>
      <c r="J37" s="216"/>
      <c r="K37" s="216">
        <f t="shared" si="2"/>
        <v>0</v>
      </c>
      <c r="L37" s="216">
        <f t="shared" si="5"/>
        <v>-10</v>
      </c>
    </row>
    <row r="38" ht="14.25" customHeight="1">
      <c r="I38" s="216" t="str">
        <f t="shared" si="6"/>
        <v/>
      </c>
      <c r="J38" s="216"/>
      <c r="K38" s="216">
        <f t="shared" si="2"/>
        <v>0</v>
      </c>
      <c r="L38" s="216">
        <f t="shared" si="5"/>
        <v>-10</v>
      </c>
    </row>
    <row r="39" ht="14.25" customHeight="1">
      <c r="I39" s="216" t="str">
        <f t="shared" si="6"/>
        <v/>
      </c>
      <c r="J39" s="216"/>
      <c r="K39" s="216">
        <f t="shared" si="2"/>
        <v>0</v>
      </c>
      <c r="L39" s="216">
        <f t="shared" si="5"/>
        <v>-10</v>
      </c>
    </row>
    <row r="40" ht="14.25" customHeight="1">
      <c r="I40" s="216" t="str">
        <f t="shared" si="6"/>
        <v/>
      </c>
      <c r="J40" s="216"/>
      <c r="K40" s="216">
        <f t="shared" si="2"/>
        <v>0</v>
      </c>
      <c r="L40" s="216">
        <f t="shared" si="5"/>
        <v>-10</v>
      </c>
    </row>
    <row r="41" ht="14.25" customHeight="1">
      <c r="I41" s="216" t="str">
        <f t="shared" si="6"/>
        <v/>
      </c>
      <c r="J41" s="216"/>
      <c r="K41" s="216">
        <f t="shared" si="2"/>
        <v>0</v>
      </c>
      <c r="L41" s="216">
        <f t="shared" si="5"/>
        <v>-10</v>
      </c>
    </row>
    <row r="42" ht="14.25" customHeight="1">
      <c r="I42" s="234" t="s">
        <v>221</v>
      </c>
      <c r="J42" s="231"/>
      <c r="K42" s="216">
        <f>SUM(K15:K41)</f>
        <v>78.7</v>
      </c>
      <c r="L42" s="216">
        <f t="shared" si="5"/>
        <v>68.7</v>
      </c>
    </row>
    <row r="43" ht="14.25" customHeight="1"/>
    <row r="44" ht="14.25" customHeight="1">
      <c r="B44" s="236">
        <v>44774.0</v>
      </c>
      <c r="C44" s="231"/>
      <c r="E44" s="216" t="s">
        <v>238</v>
      </c>
      <c r="F44" s="216">
        <v>315.0</v>
      </c>
      <c r="I44" s="216" t="s">
        <v>255</v>
      </c>
      <c r="J44" s="216" t="s">
        <v>256</v>
      </c>
      <c r="K44" s="216" t="s">
        <v>243</v>
      </c>
      <c r="L44" s="216" t="s">
        <v>218</v>
      </c>
    </row>
    <row r="45" ht="14.25" customHeight="1">
      <c r="B45" s="216" t="s">
        <v>244</v>
      </c>
      <c r="C45" s="232">
        <v>1600.0</v>
      </c>
      <c r="E45" s="216" t="s">
        <v>245</v>
      </c>
      <c r="F45" s="216">
        <v>481.2</v>
      </c>
      <c r="I45" s="220">
        <v>14.0</v>
      </c>
      <c r="J45" s="220">
        <v>23.3</v>
      </c>
      <c r="K45" s="220">
        <f t="shared" ref="K45:K71" si="7">J45-I45</f>
        <v>9.3</v>
      </c>
      <c r="L45" s="216">
        <f>K45-10</f>
        <v>-0.7</v>
      </c>
    </row>
    <row r="46" ht="14.25" customHeight="1">
      <c r="B46" s="216" t="s">
        <v>246</v>
      </c>
      <c r="C46" s="232">
        <f>F47*F46</f>
        <v>1514.4</v>
      </c>
      <c r="E46" s="216" t="s">
        <v>247</v>
      </c>
      <c r="F46" s="216">
        <f>F45-F44+28.4-5.3</f>
        <v>189.3</v>
      </c>
      <c r="I46" s="220">
        <f t="shared" ref="I46:I47" si="8">J45</f>
        <v>23.3</v>
      </c>
      <c r="J46" s="220">
        <v>33.4</v>
      </c>
      <c r="K46" s="220">
        <f t="shared" si="7"/>
        <v>10.1</v>
      </c>
      <c r="L46" s="216">
        <f>K46-5</f>
        <v>5.1</v>
      </c>
    </row>
    <row r="47" ht="14.25" customHeight="1">
      <c r="B47" s="216" t="s">
        <v>248</v>
      </c>
      <c r="C47" s="232">
        <f>F48*F49</f>
        <v>7</v>
      </c>
      <c r="E47" s="216" t="s">
        <v>249</v>
      </c>
      <c r="F47" s="232">
        <v>8.0</v>
      </c>
      <c r="I47" s="220">
        <f t="shared" si="8"/>
        <v>33.4</v>
      </c>
      <c r="J47" s="220">
        <v>42.4</v>
      </c>
      <c r="K47" s="220">
        <f t="shared" si="7"/>
        <v>9</v>
      </c>
      <c r="L47" s="216">
        <f t="shared" ref="L47:L53" si="9">K47-10</f>
        <v>-1</v>
      </c>
    </row>
    <row r="48" ht="14.25" customHeight="1">
      <c r="B48" s="216" t="s">
        <v>250</v>
      </c>
      <c r="C48" s="232">
        <f>F50*100</f>
        <v>100</v>
      </c>
      <c r="E48" s="216" t="s">
        <v>251</v>
      </c>
      <c r="F48" s="216">
        <v>1.0</v>
      </c>
      <c r="I48" s="220">
        <v>0.0</v>
      </c>
      <c r="J48" s="220">
        <v>0.0</v>
      </c>
      <c r="K48" s="220">
        <f t="shared" si="7"/>
        <v>0</v>
      </c>
      <c r="L48" s="216">
        <f t="shared" si="9"/>
        <v>-10</v>
      </c>
    </row>
    <row r="49" ht="14.25" customHeight="1">
      <c r="B49" s="216" t="s">
        <v>252</v>
      </c>
      <c r="C49" s="232">
        <v>651.0</v>
      </c>
      <c r="E49" s="216" t="s">
        <v>249</v>
      </c>
      <c r="F49" s="232">
        <v>7.0</v>
      </c>
      <c r="I49" s="220">
        <v>315.0</v>
      </c>
      <c r="J49" s="220">
        <v>325.0</v>
      </c>
      <c r="K49" s="220">
        <f t="shared" si="7"/>
        <v>10</v>
      </c>
      <c r="L49" s="216">
        <f t="shared" si="9"/>
        <v>0</v>
      </c>
    </row>
    <row r="50" ht="14.25" customHeight="1">
      <c r="B50" s="216" t="s">
        <v>253</v>
      </c>
      <c r="C50" s="232">
        <f>C45+C46+C47+C48-C49</f>
        <v>2570.4</v>
      </c>
      <c r="E50" s="216" t="s">
        <v>250</v>
      </c>
      <c r="F50" s="216">
        <v>1.0</v>
      </c>
      <c r="I50" s="220">
        <f t="shared" ref="I50:I63" si="10">J49</f>
        <v>325</v>
      </c>
      <c r="J50" s="220">
        <v>334.4</v>
      </c>
      <c r="K50" s="220">
        <f t="shared" si="7"/>
        <v>9.4</v>
      </c>
      <c r="L50" s="216">
        <f t="shared" si="9"/>
        <v>-0.6</v>
      </c>
    </row>
    <row r="51" ht="14.25" customHeight="1">
      <c r="I51" s="220">
        <f t="shared" si="10"/>
        <v>334.4</v>
      </c>
      <c r="J51" s="220">
        <v>344.0</v>
      </c>
      <c r="K51" s="220">
        <f t="shared" si="7"/>
        <v>9.6</v>
      </c>
      <c r="L51" s="216">
        <f t="shared" si="9"/>
        <v>-0.4</v>
      </c>
    </row>
    <row r="52" ht="14.25" customHeight="1">
      <c r="I52" s="220">
        <f t="shared" si="10"/>
        <v>344</v>
      </c>
      <c r="J52" s="220">
        <v>354.0</v>
      </c>
      <c r="K52" s="220">
        <f t="shared" si="7"/>
        <v>10</v>
      </c>
      <c r="L52" s="216">
        <f t="shared" si="9"/>
        <v>0</v>
      </c>
    </row>
    <row r="53" ht="14.25" customHeight="1">
      <c r="I53" s="220">
        <f t="shared" si="10"/>
        <v>354</v>
      </c>
      <c r="J53" s="220">
        <v>364.0</v>
      </c>
      <c r="K53" s="220">
        <f t="shared" si="7"/>
        <v>10</v>
      </c>
      <c r="L53" s="216">
        <f t="shared" si="9"/>
        <v>0</v>
      </c>
    </row>
    <row r="54" ht="14.25" customHeight="1">
      <c r="I54" s="220">
        <f t="shared" si="10"/>
        <v>364</v>
      </c>
      <c r="J54" s="220">
        <v>374.0</v>
      </c>
      <c r="K54" s="220">
        <f t="shared" si="7"/>
        <v>10</v>
      </c>
      <c r="L54" s="216">
        <f>K54-5</f>
        <v>5</v>
      </c>
    </row>
    <row r="55" ht="14.25" customHeight="1">
      <c r="I55" s="220">
        <f t="shared" si="10"/>
        <v>374</v>
      </c>
      <c r="J55" s="220">
        <v>383.1</v>
      </c>
      <c r="K55" s="220">
        <f t="shared" si="7"/>
        <v>9.1</v>
      </c>
      <c r="L55" s="216">
        <f t="shared" ref="L55:L72" si="11">K55-10</f>
        <v>-0.9</v>
      </c>
    </row>
    <row r="56" ht="14.25" customHeight="1">
      <c r="I56" s="220">
        <f t="shared" si="10"/>
        <v>383.1</v>
      </c>
      <c r="J56" s="216">
        <v>393.0</v>
      </c>
      <c r="K56" s="216">
        <f t="shared" si="7"/>
        <v>9.9</v>
      </c>
      <c r="L56" s="216">
        <f t="shared" si="11"/>
        <v>-0.1</v>
      </c>
    </row>
    <row r="57" ht="14.25" customHeight="1">
      <c r="I57" s="220">
        <f t="shared" si="10"/>
        <v>393</v>
      </c>
      <c r="J57" s="216">
        <v>397.3</v>
      </c>
      <c r="K57" s="216">
        <f t="shared" si="7"/>
        <v>4.3</v>
      </c>
      <c r="L57" s="216">
        <f t="shared" si="11"/>
        <v>-5.7</v>
      </c>
    </row>
    <row r="58" ht="14.25" customHeight="1">
      <c r="I58" s="220">
        <f t="shared" si="10"/>
        <v>397.3</v>
      </c>
      <c r="J58" s="216">
        <v>406.5</v>
      </c>
      <c r="K58" s="216">
        <f t="shared" si="7"/>
        <v>9.2</v>
      </c>
      <c r="L58" s="216">
        <f t="shared" si="11"/>
        <v>-0.8</v>
      </c>
    </row>
    <row r="59" ht="14.25" customHeight="1">
      <c r="I59" s="220">
        <f t="shared" si="10"/>
        <v>406.5</v>
      </c>
      <c r="J59" s="216">
        <v>416.5</v>
      </c>
      <c r="K59" s="216">
        <f t="shared" si="7"/>
        <v>10</v>
      </c>
      <c r="L59" s="216">
        <f t="shared" si="11"/>
        <v>0</v>
      </c>
    </row>
    <row r="60" ht="14.25" customHeight="1">
      <c r="I60" s="220">
        <f t="shared" si="10"/>
        <v>416.5</v>
      </c>
      <c r="J60" s="216">
        <v>426.0</v>
      </c>
      <c r="K60" s="216">
        <f t="shared" si="7"/>
        <v>9.5</v>
      </c>
      <c r="L60" s="216">
        <f t="shared" si="11"/>
        <v>-0.5</v>
      </c>
    </row>
    <row r="61" ht="14.25" customHeight="1">
      <c r="I61" s="220">
        <f t="shared" si="10"/>
        <v>426</v>
      </c>
      <c r="J61" s="216">
        <v>436.0</v>
      </c>
      <c r="K61" s="216">
        <f t="shared" si="7"/>
        <v>10</v>
      </c>
      <c r="L61" s="216">
        <f t="shared" si="11"/>
        <v>0</v>
      </c>
    </row>
    <row r="62" ht="14.25" customHeight="1">
      <c r="I62" s="220">
        <f t="shared" si="10"/>
        <v>436</v>
      </c>
      <c r="J62" s="216">
        <v>445.3</v>
      </c>
      <c r="K62" s="216">
        <f t="shared" si="7"/>
        <v>9.3</v>
      </c>
      <c r="L62" s="216">
        <f t="shared" si="11"/>
        <v>-0.7</v>
      </c>
    </row>
    <row r="63" ht="14.25" customHeight="1">
      <c r="I63" s="220">
        <f t="shared" si="10"/>
        <v>445.3</v>
      </c>
      <c r="J63" s="216">
        <v>449.7</v>
      </c>
      <c r="K63" s="216">
        <f t="shared" si="7"/>
        <v>4.4</v>
      </c>
      <c r="L63" s="216">
        <f t="shared" si="11"/>
        <v>-5.6</v>
      </c>
    </row>
    <row r="64" ht="14.25" customHeight="1">
      <c r="I64" s="220">
        <v>0.0</v>
      </c>
      <c r="J64" s="216">
        <v>0.0</v>
      </c>
      <c r="K64" s="216">
        <f t="shared" si="7"/>
        <v>0</v>
      </c>
      <c r="L64" s="216">
        <f t="shared" si="11"/>
        <v>-10</v>
      </c>
    </row>
    <row r="65" ht="14.25" customHeight="1">
      <c r="I65" s="220">
        <v>455.0</v>
      </c>
      <c r="J65" s="216">
        <v>466.0</v>
      </c>
      <c r="K65" s="216">
        <f t="shared" si="7"/>
        <v>11</v>
      </c>
      <c r="L65" s="216">
        <f t="shared" si="11"/>
        <v>1</v>
      </c>
    </row>
    <row r="66" ht="14.25" customHeight="1">
      <c r="I66" s="220">
        <f t="shared" ref="I66:I67" si="12">J65</f>
        <v>466</v>
      </c>
      <c r="J66" s="216">
        <v>474.8</v>
      </c>
      <c r="K66" s="216">
        <f t="shared" si="7"/>
        <v>8.8</v>
      </c>
      <c r="L66" s="216">
        <f t="shared" si="11"/>
        <v>-1.2</v>
      </c>
    </row>
    <row r="67" ht="14.25" customHeight="1">
      <c r="I67" s="220">
        <f t="shared" si="12"/>
        <v>474.8</v>
      </c>
      <c r="J67" s="216">
        <v>482.2</v>
      </c>
      <c r="K67" s="216">
        <f t="shared" si="7"/>
        <v>7.4</v>
      </c>
      <c r="L67" s="216">
        <f t="shared" si="11"/>
        <v>-2.6</v>
      </c>
    </row>
    <row r="68" ht="14.25" customHeight="1">
      <c r="I68" s="220">
        <v>0.0</v>
      </c>
      <c r="J68" s="216"/>
      <c r="K68" s="216">
        <f t="shared" si="7"/>
        <v>0</v>
      </c>
      <c r="L68" s="216">
        <f t="shared" si="11"/>
        <v>-10</v>
      </c>
    </row>
    <row r="69" ht="14.25" customHeight="1">
      <c r="I69" s="220">
        <v>325.0</v>
      </c>
      <c r="J69" s="216"/>
      <c r="K69" s="216">
        <f t="shared" si="7"/>
        <v>-325</v>
      </c>
      <c r="L69" s="216">
        <f t="shared" si="11"/>
        <v>-335</v>
      </c>
    </row>
    <row r="70" ht="14.25" customHeight="1">
      <c r="I70" s="220" t="str">
        <f t="shared" ref="I70:I71" si="13">J69</f>
        <v/>
      </c>
      <c r="J70" s="216"/>
      <c r="K70" s="216">
        <f t="shared" si="7"/>
        <v>0</v>
      </c>
      <c r="L70" s="216">
        <f t="shared" si="11"/>
        <v>-10</v>
      </c>
    </row>
    <row r="71" ht="14.25" customHeight="1">
      <c r="I71" s="220" t="str">
        <f t="shared" si="13"/>
        <v/>
      </c>
      <c r="J71" s="216"/>
      <c r="K71" s="216">
        <f t="shared" si="7"/>
        <v>0</v>
      </c>
      <c r="L71" s="216">
        <f t="shared" si="11"/>
        <v>-10</v>
      </c>
    </row>
    <row r="72" ht="14.25" customHeight="1">
      <c r="I72" s="234" t="s">
        <v>221</v>
      </c>
      <c r="J72" s="231"/>
      <c r="K72" s="216">
        <f>SUM(K45:K71)</f>
        <v>-134.7</v>
      </c>
      <c r="L72" s="216">
        <f t="shared" si="11"/>
        <v>-144.7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3:C3"/>
    <mergeCell ref="B14:C14"/>
    <mergeCell ref="I42:J42"/>
    <mergeCell ref="B44:C44"/>
    <mergeCell ref="I72:J72"/>
  </mergeCells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86"/>
    <col customWidth="1" min="3" max="3" width="25.43"/>
    <col customWidth="1" min="4" max="4" width="10.71"/>
    <col customWidth="1" min="5" max="5" width="18.71"/>
    <col customWidth="1" min="6" max="6" width="18.86"/>
    <col customWidth="1" min="7" max="7" width="8.71"/>
    <col customWidth="1" min="8" max="8" width="15.14"/>
    <col customWidth="1" min="9" max="26" width="8.71"/>
  </cols>
  <sheetData>
    <row r="1" ht="14.25" customHeight="1">
      <c r="C1" s="243"/>
    </row>
    <row r="2" ht="14.25" customHeight="1">
      <c r="C2" s="243"/>
    </row>
    <row r="3" ht="14.25" customHeight="1">
      <c r="B3" s="230">
        <v>44713.0</v>
      </c>
      <c r="C3" s="231"/>
      <c r="E3" s="216" t="s">
        <v>238</v>
      </c>
      <c r="F3" s="216">
        <v>4524.5</v>
      </c>
      <c r="H3" s="165" t="s">
        <v>239</v>
      </c>
      <c r="I3" s="165" t="s">
        <v>240</v>
      </c>
      <c r="J3" s="165" t="s">
        <v>241</v>
      </c>
      <c r="K3" s="165" t="s">
        <v>242</v>
      </c>
      <c r="L3" s="165" t="s">
        <v>243</v>
      </c>
    </row>
    <row r="4" ht="14.25" customHeight="1">
      <c r="B4" s="216" t="s">
        <v>244</v>
      </c>
      <c r="C4" s="232">
        <v>1600.0</v>
      </c>
      <c r="E4" s="216" t="s">
        <v>245</v>
      </c>
      <c r="F4" s="216">
        <v>4761.6</v>
      </c>
      <c r="I4" s="233">
        <v>44716.0</v>
      </c>
      <c r="J4" s="165">
        <v>4555.7</v>
      </c>
      <c r="K4" s="165">
        <v>4565.7</v>
      </c>
      <c r="L4" s="165">
        <f t="shared" ref="L4:L7" si="1">K4-J4</f>
        <v>10</v>
      </c>
    </row>
    <row r="5" ht="14.25" customHeight="1">
      <c r="B5" s="216" t="s">
        <v>246</v>
      </c>
      <c r="C5" s="232">
        <f>F6*F5</f>
        <v>1659.7</v>
      </c>
      <c r="E5" s="216" t="s">
        <v>247</v>
      </c>
      <c r="F5" s="216">
        <f>F4-F3</f>
        <v>237.1</v>
      </c>
      <c r="I5" s="233">
        <v>44723.0</v>
      </c>
      <c r="J5" s="165">
        <v>4597.7</v>
      </c>
      <c r="K5" s="165">
        <v>4607.7</v>
      </c>
      <c r="L5" s="165">
        <f t="shared" si="1"/>
        <v>10</v>
      </c>
    </row>
    <row r="6" ht="14.25" customHeight="1">
      <c r="B6" s="216" t="s">
        <v>248</v>
      </c>
      <c r="C6" s="232">
        <f>F7*F8</f>
        <v>56</v>
      </c>
      <c r="E6" s="216" t="s">
        <v>249</v>
      </c>
      <c r="F6" s="232">
        <v>7.0</v>
      </c>
      <c r="I6" s="233">
        <v>44730.0</v>
      </c>
      <c r="J6" s="165">
        <v>4649.0</v>
      </c>
      <c r="K6" s="165">
        <v>4659.0</v>
      </c>
      <c r="L6" s="165">
        <f t="shared" si="1"/>
        <v>10</v>
      </c>
    </row>
    <row r="7" ht="14.25" customHeight="1">
      <c r="B7" s="216" t="s">
        <v>250</v>
      </c>
      <c r="C7" s="232">
        <f>F9*100</f>
        <v>300</v>
      </c>
      <c r="E7" s="216" t="s">
        <v>251</v>
      </c>
      <c r="F7" s="216">
        <v>8.0</v>
      </c>
      <c r="L7" s="165">
        <f t="shared" si="1"/>
        <v>0</v>
      </c>
    </row>
    <row r="8" ht="14.25" customHeight="1">
      <c r="B8" s="216" t="s">
        <v>252</v>
      </c>
      <c r="C8" s="232">
        <v>188.0</v>
      </c>
      <c r="E8" s="216" t="s">
        <v>249</v>
      </c>
      <c r="F8" s="232">
        <v>7.0</v>
      </c>
    </row>
    <row r="9" ht="14.25" customHeight="1">
      <c r="B9" s="216" t="s">
        <v>253</v>
      </c>
      <c r="C9" s="232">
        <f>C4+C5+C6+C7-C8</f>
        <v>3427.7</v>
      </c>
      <c r="E9" s="216" t="s">
        <v>250</v>
      </c>
      <c r="F9" s="216">
        <v>3.0</v>
      </c>
    </row>
    <row r="10" ht="14.25" customHeight="1"/>
    <row r="11" ht="14.25" customHeight="1">
      <c r="C11" s="243"/>
    </row>
    <row r="12" ht="14.25" customHeight="1">
      <c r="B12" s="230">
        <v>44743.0</v>
      </c>
      <c r="C12" s="231"/>
      <c r="E12" s="216" t="s">
        <v>238</v>
      </c>
      <c r="F12" s="216">
        <v>4761.6</v>
      </c>
      <c r="I12" s="216" t="s">
        <v>255</v>
      </c>
      <c r="J12" s="216" t="s">
        <v>256</v>
      </c>
      <c r="K12" s="216" t="s">
        <v>243</v>
      </c>
      <c r="L12" s="216" t="s">
        <v>218</v>
      </c>
    </row>
    <row r="13" ht="14.25" customHeight="1">
      <c r="B13" s="216" t="s">
        <v>244</v>
      </c>
      <c r="C13" s="232">
        <v>1600.0</v>
      </c>
      <c r="E13" s="216" t="s">
        <v>245</v>
      </c>
      <c r="F13" s="216">
        <v>4963.5</v>
      </c>
      <c r="I13" s="216">
        <v>4761.6</v>
      </c>
      <c r="J13" s="216">
        <v>4770.3</v>
      </c>
      <c r="K13" s="216">
        <f t="shared" ref="K13:K39" si="2">J13-I13</f>
        <v>8.7</v>
      </c>
      <c r="L13" s="216">
        <f t="shared" ref="L13:L40" si="3">K13-10</f>
        <v>-1.3</v>
      </c>
    </row>
    <row r="14" ht="14.25" customHeight="1">
      <c r="B14" s="216" t="s">
        <v>246</v>
      </c>
      <c r="C14" s="232">
        <f>F15*F14</f>
        <v>1413.3</v>
      </c>
      <c r="E14" s="216" t="s">
        <v>247</v>
      </c>
      <c r="F14" s="216">
        <f>F13-F12</f>
        <v>201.9</v>
      </c>
      <c r="I14" s="216">
        <f t="shared" ref="I14:I35" si="4">J13</f>
        <v>4770.3</v>
      </c>
      <c r="J14" s="216">
        <v>4775.3</v>
      </c>
      <c r="K14" s="216">
        <f t="shared" si="2"/>
        <v>5</v>
      </c>
      <c r="L14" s="216">
        <f t="shared" si="3"/>
        <v>-5</v>
      </c>
    </row>
    <row r="15" ht="14.25" customHeight="1">
      <c r="B15" s="216" t="s">
        <v>248</v>
      </c>
      <c r="C15" s="232">
        <f>F16*F17</f>
        <v>18.2</v>
      </c>
      <c r="E15" s="216" t="s">
        <v>249</v>
      </c>
      <c r="F15" s="232">
        <v>7.0</v>
      </c>
      <c r="I15" s="216">
        <f t="shared" si="4"/>
        <v>4775.3</v>
      </c>
      <c r="J15" s="216">
        <v>4785.3</v>
      </c>
      <c r="K15" s="216">
        <f t="shared" si="2"/>
        <v>10</v>
      </c>
      <c r="L15" s="216">
        <f t="shared" si="3"/>
        <v>0</v>
      </c>
    </row>
    <row r="16" ht="14.25" customHeight="1">
      <c r="B16" s="216" t="s">
        <v>250</v>
      </c>
      <c r="C16" s="232">
        <f>F18*100</f>
        <v>0</v>
      </c>
      <c r="E16" s="216" t="s">
        <v>251</v>
      </c>
      <c r="F16" s="216">
        <v>2.6</v>
      </c>
      <c r="I16" s="216">
        <f t="shared" si="4"/>
        <v>4785.3</v>
      </c>
      <c r="J16" s="216">
        <v>4795.3</v>
      </c>
      <c r="K16" s="216">
        <f t="shared" si="2"/>
        <v>10</v>
      </c>
      <c r="L16" s="216">
        <f t="shared" si="3"/>
        <v>0</v>
      </c>
    </row>
    <row r="17" ht="14.25" customHeight="1">
      <c r="B17" s="216" t="s">
        <v>252</v>
      </c>
      <c r="C17" s="232">
        <v>32.25</v>
      </c>
      <c r="E17" s="216" t="s">
        <v>249</v>
      </c>
      <c r="F17" s="232">
        <v>7.0</v>
      </c>
      <c r="I17" s="216">
        <f t="shared" si="4"/>
        <v>4795.3</v>
      </c>
      <c r="J17" s="216">
        <v>4805.3</v>
      </c>
      <c r="K17" s="216">
        <f t="shared" si="2"/>
        <v>10</v>
      </c>
      <c r="L17" s="216">
        <f t="shared" si="3"/>
        <v>0</v>
      </c>
    </row>
    <row r="18" ht="14.25" customHeight="1">
      <c r="B18" s="216" t="s">
        <v>253</v>
      </c>
      <c r="C18" s="232">
        <f>C13+C14+C15+C16-C17</f>
        <v>2999.25</v>
      </c>
      <c r="E18" s="216" t="s">
        <v>250</v>
      </c>
      <c r="F18" s="216"/>
      <c r="I18" s="216">
        <f t="shared" si="4"/>
        <v>4805.3</v>
      </c>
      <c r="J18" s="216">
        <v>4815.3</v>
      </c>
      <c r="K18" s="216">
        <f t="shared" si="2"/>
        <v>10</v>
      </c>
      <c r="L18" s="216">
        <f t="shared" si="3"/>
        <v>0</v>
      </c>
    </row>
    <row r="19" ht="14.25" customHeight="1">
      <c r="C19" s="243"/>
      <c r="I19" s="216">
        <f t="shared" si="4"/>
        <v>4815.3</v>
      </c>
      <c r="J19" s="216">
        <v>4825.3</v>
      </c>
      <c r="K19" s="216">
        <f t="shared" si="2"/>
        <v>10</v>
      </c>
      <c r="L19" s="216">
        <f t="shared" si="3"/>
        <v>0</v>
      </c>
    </row>
    <row r="20" ht="14.25" customHeight="1">
      <c r="C20" s="243"/>
      <c r="I20" s="216">
        <f t="shared" si="4"/>
        <v>4825.3</v>
      </c>
      <c r="J20" s="216">
        <v>4834.5</v>
      </c>
      <c r="K20" s="216">
        <f t="shared" si="2"/>
        <v>9.2</v>
      </c>
      <c r="L20" s="216">
        <f t="shared" si="3"/>
        <v>-0.8</v>
      </c>
    </row>
    <row r="21" ht="14.25" customHeight="1">
      <c r="C21" s="243"/>
      <c r="I21" s="216">
        <f t="shared" si="4"/>
        <v>4834.5</v>
      </c>
      <c r="J21" s="216">
        <v>4846.2</v>
      </c>
      <c r="K21" s="216">
        <f t="shared" si="2"/>
        <v>11.7</v>
      </c>
      <c r="L21" s="216">
        <f t="shared" si="3"/>
        <v>1.7</v>
      </c>
    </row>
    <row r="22" ht="14.25" customHeight="1">
      <c r="C22" s="243"/>
      <c r="I22" s="216">
        <f t="shared" si="4"/>
        <v>4846.2</v>
      </c>
      <c r="J22" s="216">
        <v>4856.2</v>
      </c>
      <c r="K22" s="216">
        <f t="shared" si="2"/>
        <v>10</v>
      </c>
      <c r="L22" s="216">
        <f t="shared" si="3"/>
        <v>0</v>
      </c>
    </row>
    <row r="23" ht="14.25" customHeight="1">
      <c r="C23" s="243"/>
      <c r="I23" s="216">
        <f t="shared" si="4"/>
        <v>4856.2</v>
      </c>
      <c r="J23" s="216">
        <v>4862.3</v>
      </c>
      <c r="K23" s="216">
        <f t="shared" si="2"/>
        <v>6.1</v>
      </c>
      <c r="L23" s="216">
        <f t="shared" si="3"/>
        <v>-3.9</v>
      </c>
    </row>
    <row r="24" ht="14.25" customHeight="1">
      <c r="C24" s="243"/>
      <c r="I24" s="216">
        <f t="shared" si="4"/>
        <v>4862.3</v>
      </c>
      <c r="J24" s="216">
        <v>4865.3</v>
      </c>
      <c r="K24" s="216">
        <f t="shared" si="2"/>
        <v>3</v>
      </c>
      <c r="L24" s="216">
        <f t="shared" si="3"/>
        <v>-7</v>
      </c>
    </row>
    <row r="25" ht="14.25" customHeight="1">
      <c r="C25" s="243"/>
      <c r="I25" s="216">
        <f t="shared" si="4"/>
        <v>4865.3</v>
      </c>
      <c r="J25" s="216">
        <v>4874.5</v>
      </c>
      <c r="K25" s="216">
        <f t="shared" si="2"/>
        <v>9.2</v>
      </c>
      <c r="L25" s="216">
        <f t="shared" si="3"/>
        <v>-0.8</v>
      </c>
    </row>
    <row r="26" ht="14.25" customHeight="1">
      <c r="C26" s="243"/>
      <c r="I26" s="216">
        <f t="shared" si="4"/>
        <v>4874.5</v>
      </c>
      <c r="J26" s="216">
        <v>4877.9</v>
      </c>
      <c r="K26" s="216">
        <f t="shared" si="2"/>
        <v>3.4</v>
      </c>
      <c r="L26" s="216">
        <f t="shared" si="3"/>
        <v>-6.6</v>
      </c>
    </row>
    <row r="27" ht="14.25" customHeight="1">
      <c r="C27" s="243"/>
      <c r="I27" s="216">
        <f t="shared" si="4"/>
        <v>4877.9</v>
      </c>
      <c r="J27" s="216">
        <v>4887.0</v>
      </c>
      <c r="K27" s="216">
        <f t="shared" si="2"/>
        <v>9.1</v>
      </c>
      <c r="L27" s="216">
        <f t="shared" si="3"/>
        <v>-0.9</v>
      </c>
    </row>
    <row r="28" ht="14.25" customHeight="1">
      <c r="C28" s="243"/>
      <c r="I28" s="216">
        <f t="shared" si="4"/>
        <v>4887</v>
      </c>
      <c r="J28" s="216">
        <v>4897.0</v>
      </c>
      <c r="K28" s="216">
        <f t="shared" si="2"/>
        <v>10</v>
      </c>
      <c r="L28" s="216">
        <f t="shared" si="3"/>
        <v>0</v>
      </c>
    </row>
    <row r="29" ht="14.25" customHeight="1">
      <c r="C29" s="243"/>
      <c r="I29" s="216">
        <f t="shared" si="4"/>
        <v>4897</v>
      </c>
      <c r="J29" s="216">
        <v>4907.9</v>
      </c>
      <c r="K29" s="216">
        <f t="shared" si="2"/>
        <v>10.9</v>
      </c>
      <c r="L29" s="216">
        <f t="shared" si="3"/>
        <v>0.9</v>
      </c>
    </row>
    <row r="30" ht="14.25" customHeight="1">
      <c r="C30" s="243"/>
      <c r="I30" s="216">
        <f t="shared" si="4"/>
        <v>4907.9</v>
      </c>
      <c r="J30" s="216">
        <v>4916.8</v>
      </c>
      <c r="K30" s="216">
        <f t="shared" si="2"/>
        <v>8.9</v>
      </c>
      <c r="L30" s="216">
        <f t="shared" si="3"/>
        <v>-1.1</v>
      </c>
    </row>
    <row r="31" ht="14.25" customHeight="1">
      <c r="C31" s="243"/>
      <c r="I31" s="216">
        <f t="shared" si="4"/>
        <v>4916.8</v>
      </c>
      <c r="J31" s="216">
        <v>4926.1</v>
      </c>
      <c r="K31" s="216">
        <f t="shared" si="2"/>
        <v>9.3</v>
      </c>
      <c r="L31" s="216">
        <f t="shared" si="3"/>
        <v>-0.7</v>
      </c>
    </row>
    <row r="32" ht="14.25" customHeight="1">
      <c r="C32" s="243"/>
      <c r="I32" s="216">
        <f t="shared" si="4"/>
        <v>4926.1</v>
      </c>
      <c r="J32" s="216">
        <v>4934.6</v>
      </c>
      <c r="K32" s="216">
        <f t="shared" si="2"/>
        <v>8.5</v>
      </c>
      <c r="L32" s="216">
        <f t="shared" si="3"/>
        <v>-1.5</v>
      </c>
    </row>
    <row r="33" ht="14.25" customHeight="1">
      <c r="C33" s="243"/>
      <c r="I33" s="216">
        <f t="shared" si="4"/>
        <v>4934.6</v>
      </c>
      <c r="J33" s="216">
        <v>4944.6</v>
      </c>
      <c r="K33" s="216">
        <f t="shared" si="2"/>
        <v>10</v>
      </c>
      <c r="L33" s="216">
        <f t="shared" si="3"/>
        <v>0</v>
      </c>
    </row>
    <row r="34" ht="14.25" customHeight="1">
      <c r="C34" s="243"/>
      <c r="I34" s="216">
        <f t="shared" si="4"/>
        <v>4944.6</v>
      </c>
      <c r="J34" s="216">
        <v>4954.6</v>
      </c>
      <c r="K34" s="216">
        <f t="shared" si="2"/>
        <v>10</v>
      </c>
      <c r="L34" s="216">
        <f t="shared" si="3"/>
        <v>0</v>
      </c>
    </row>
    <row r="35" ht="14.25" customHeight="1">
      <c r="C35" s="243"/>
      <c r="I35" s="216">
        <f t="shared" si="4"/>
        <v>4954.6</v>
      </c>
      <c r="J35" s="216">
        <v>4963.5</v>
      </c>
      <c r="K35" s="216">
        <f t="shared" si="2"/>
        <v>8.9</v>
      </c>
      <c r="L35" s="216">
        <f t="shared" si="3"/>
        <v>-1.1</v>
      </c>
    </row>
    <row r="36" ht="14.25" customHeight="1">
      <c r="C36" s="243"/>
      <c r="I36" s="216">
        <v>0.0</v>
      </c>
      <c r="J36" s="216">
        <v>0.0</v>
      </c>
      <c r="K36" s="216">
        <f t="shared" si="2"/>
        <v>0</v>
      </c>
      <c r="L36" s="216">
        <f t="shared" si="3"/>
        <v>-10</v>
      </c>
    </row>
    <row r="37" ht="14.25" customHeight="1">
      <c r="C37" s="243"/>
      <c r="I37" s="216">
        <f t="shared" ref="I37:I39" si="5">J36</f>
        <v>0</v>
      </c>
      <c r="J37" s="216"/>
      <c r="K37" s="216">
        <f t="shared" si="2"/>
        <v>0</v>
      </c>
      <c r="L37" s="216">
        <f t="shared" si="3"/>
        <v>-10</v>
      </c>
    </row>
    <row r="38" ht="14.25" customHeight="1">
      <c r="C38" s="243"/>
      <c r="I38" s="216" t="str">
        <f t="shared" si="5"/>
        <v/>
      </c>
      <c r="J38" s="216"/>
      <c r="K38" s="216">
        <f t="shared" si="2"/>
        <v>0</v>
      </c>
      <c r="L38" s="216">
        <f t="shared" si="3"/>
        <v>-10</v>
      </c>
    </row>
    <row r="39" ht="14.25" customHeight="1">
      <c r="C39" s="243"/>
      <c r="I39" s="216" t="str">
        <f t="shared" si="5"/>
        <v/>
      </c>
      <c r="J39" s="216"/>
      <c r="K39" s="216">
        <f t="shared" si="2"/>
        <v>0</v>
      </c>
      <c r="L39" s="216">
        <f t="shared" si="3"/>
        <v>-10</v>
      </c>
    </row>
    <row r="40" ht="14.25" customHeight="1">
      <c r="C40" s="243"/>
      <c r="I40" s="234" t="s">
        <v>221</v>
      </c>
      <c r="J40" s="231"/>
      <c r="K40" s="216">
        <f>SUM(K13:K39)</f>
        <v>201.9</v>
      </c>
      <c r="L40" s="216">
        <f t="shared" si="3"/>
        <v>191.9</v>
      </c>
    </row>
    <row r="41" ht="14.25" customHeight="1">
      <c r="C41" s="243"/>
    </row>
    <row r="42" ht="14.25" customHeight="1">
      <c r="C42" s="243"/>
    </row>
    <row r="43" ht="14.25" customHeight="1">
      <c r="B43" s="236">
        <v>44774.0</v>
      </c>
      <c r="C43" s="231"/>
      <c r="E43" s="216" t="s">
        <v>238</v>
      </c>
      <c r="F43" s="216">
        <v>4963.5</v>
      </c>
      <c r="H43" s="216" t="s">
        <v>255</v>
      </c>
      <c r="I43" s="216" t="s">
        <v>256</v>
      </c>
      <c r="J43" s="216" t="s">
        <v>243</v>
      </c>
      <c r="K43" s="216" t="s">
        <v>218</v>
      </c>
    </row>
    <row r="44" ht="14.25" customHeight="1">
      <c r="B44" s="216" t="s">
        <v>244</v>
      </c>
      <c r="C44" s="232">
        <v>1600.0</v>
      </c>
      <c r="E44" s="216" t="s">
        <v>245</v>
      </c>
      <c r="F44" s="216">
        <v>5185.3</v>
      </c>
      <c r="H44" s="216">
        <v>4963.5</v>
      </c>
      <c r="I44" s="216">
        <v>4973.5</v>
      </c>
      <c r="J44" s="216">
        <f t="shared" ref="J44:J69" si="6">I44-H44</f>
        <v>10</v>
      </c>
      <c r="K44" s="216">
        <f t="shared" ref="K44:K69" si="7">J44-10</f>
        <v>0</v>
      </c>
    </row>
    <row r="45" ht="14.25" customHeight="1">
      <c r="B45" s="216" t="s">
        <v>246</v>
      </c>
      <c r="C45" s="232">
        <f>F46*F45</f>
        <v>1552.6</v>
      </c>
      <c r="E45" s="216" t="s">
        <v>247</v>
      </c>
      <c r="F45" s="216">
        <f>F44-F43</f>
        <v>221.8</v>
      </c>
      <c r="H45" s="216">
        <f t="shared" ref="H45:H74" si="8">I44</f>
        <v>4973.5</v>
      </c>
      <c r="I45" s="216">
        <v>4982.5</v>
      </c>
      <c r="J45" s="216">
        <f t="shared" si="6"/>
        <v>9</v>
      </c>
      <c r="K45" s="216">
        <f t="shared" si="7"/>
        <v>-1</v>
      </c>
    </row>
    <row r="46" ht="14.25" customHeight="1">
      <c r="B46" s="216" t="s">
        <v>248</v>
      </c>
      <c r="C46" s="232">
        <v>60.0</v>
      </c>
      <c r="E46" s="216" t="s">
        <v>249</v>
      </c>
      <c r="F46" s="232">
        <v>7.0</v>
      </c>
      <c r="H46" s="216">
        <f t="shared" si="8"/>
        <v>4982.5</v>
      </c>
      <c r="I46" s="216">
        <v>4992.5</v>
      </c>
      <c r="J46" s="216">
        <f t="shared" si="6"/>
        <v>10</v>
      </c>
      <c r="K46" s="216">
        <f t="shared" si="7"/>
        <v>0</v>
      </c>
    </row>
    <row r="47" ht="14.25" customHeight="1">
      <c r="B47" s="216" t="s">
        <v>250</v>
      </c>
      <c r="C47" s="232">
        <f>F49*100</f>
        <v>0</v>
      </c>
      <c r="E47" s="216" t="s">
        <v>251</v>
      </c>
      <c r="F47" s="216">
        <v>2.6</v>
      </c>
      <c r="H47" s="216">
        <f t="shared" si="8"/>
        <v>4992.5</v>
      </c>
      <c r="I47" s="216">
        <v>5002.5</v>
      </c>
      <c r="J47" s="216">
        <f t="shared" si="6"/>
        <v>10</v>
      </c>
      <c r="K47" s="216">
        <f t="shared" si="7"/>
        <v>0</v>
      </c>
    </row>
    <row r="48" ht="14.25" customHeight="1">
      <c r="B48" s="216" t="s">
        <v>252</v>
      </c>
      <c r="C48" s="232"/>
      <c r="E48" s="216" t="s">
        <v>249</v>
      </c>
      <c r="F48" s="232">
        <v>7.0</v>
      </c>
      <c r="H48" s="216">
        <f t="shared" si="8"/>
        <v>5002.5</v>
      </c>
      <c r="I48" s="216">
        <v>5012.5</v>
      </c>
      <c r="J48" s="216">
        <f t="shared" si="6"/>
        <v>10</v>
      </c>
      <c r="K48" s="216">
        <f t="shared" si="7"/>
        <v>0</v>
      </c>
    </row>
    <row r="49" ht="14.25" customHeight="1">
      <c r="B49" s="216" t="s">
        <v>253</v>
      </c>
      <c r="C49" s="232">
        <f>C44+C45+C46+C47-C48</f>
        <v>3212.6</v>
      </c>
      <c r="E49" s="216" t="s">
        <v>250</v>
      </c>
      <c r="F49" s="216"/>
      <c r="H49" s="237">
        <f t="shared" si="8"/>
        <v>5012.5</v>
      </c>
      <c r="I49" s="237">
        <v>5016.5</v>
      </c>
      <c r="J49" s="216">
        <f t="shared" si="6"/>
        <v>4</v>
      </c>
      <c r="K49" s="216">
        <f t="shared" si="7"/>
        <v>-6</v>
      </c>
    </row>
    <row r="50" ht="14.25" customHeight="1">
      <c r="C50" s="243"/>
      <c r="H50" s="216">
        <f t="shared" si="8"/>
        <v>5016.5</v>
      </c>
      <c r="I50" s="216">
        <v>5025.5</v>
      </c>
      <c r="J50" s="216">
        <f t="shared" si="6"/>
        <v>9</v>
      </c>
      <c r="K50" s="216">
        <f t="shared" si="7"/>
        <v>-1</v>
      </c>
    </row>
    <row r="51" ht="14.25" customHeight="1">
      <c r="B51" s="4" t="s">
        <v>426</v>
      </c>
      <c r="H51" s="216">
        <f t="shared" si="8"/>
        <v>5025.5</v>
      </c>
      <c r="I51" s="216">
        <v>5032.5</v>
      </c>
      <c r="J51" s="216">
        <f t="shared" si="6"/>
        <v>7</v>
      </c>
      <c r="K51" s="216">
        <f t="shared" si="7"/>
        <v>-3</v>
      </c>
    </row>
    <row r="52" ht="14.25" customHeight="1">
      <c r="C52" s="243"/>
      <c r="H52" s="216">
        <f t="shared" si="8"/>
        <v>5032.5</v>
      </c>
      <c r="I52" s="216">
        <v>5042.5</v>
      </c>
      <c r="J52" s="216">
        <f t="shared" si="6"/>
        <v>10</v>
      </c>
      <c r="K52" s="216">
        <f t="shared" si="7"/>
        <v>0</v>
      </c>
    </row>
    <row r="53" ht="14.25" customHeight="1">
      <c r="C53" s="243"/>
      <c r="H53" s="216">
        <f t="shared" si="8"/>
        <v>5042.5</v>
      </c>
      <c r="I53" s="216">
        <v>5052.5</v>
      </c>
      <c r="J53" s="216">
        <f t="shared" si="6"/>
        <v>10</v>
      </c>
      <c r="K53" s="216">
        <f t="shared" si="7"/>
        <v>0</v>
      </c>
    </row>
    <row r="54" ht="14.25" customHeight="1">
      <c r="C54" s="243"/>
      <c r="H54" s="216">
        <f t="shared" si="8"/>
        <v>5052.5</v>
      </c>
      <c r="I54" s="216">
        <v>5060.0</v>
      </c>
      <c r="J54" s="216">
        <f t="shared" si="6"/>
        <v>7.5</v>
      </c>
      <c r="K54" s="216">
        <f t="shared" si="7"/>
        <v>-2.5</v>
      </c>
    </row>
    <row r="55" ht="14.25" customHeight="1">
      <c r="C55" s="243"/>
      <c r="H55" s="237">
        <f t="shared" si="8"/>
        <v>5060</v>
      </c>
      <c r="I55" s="237">
        <v>5065.5</v>
      </c>
      <c r="J55" s="216">
        <f t="shared" si="6"/>
        <v>5.5</v>
      </c>
      <c r="K55" s="216">
        <f t="shared" si="7"/>
        <v>-4.5</v>
      </c>
    </row>
    <row r="56" ht="14.25" customHeight="1">
      <c r="C56" s="243"/>
      <c r="H56" s="216">
        <f t="shared" si="8"/>
        <v>5065.5</v>
      </c>
      <c r="I56" s="216">
        <v>5073.8</v>
      </c>
      <c r="J56" s="216">
        <f t="shared" si="6"/>
        <v>8.3</v>
      </c>
      <c r="K56" s="216">
        <f t="shared" si="7"/>
        <v>-1.7</v>
      </c>
    </row>
    <row r="57" ht="14.25" customHeight="1">
      <c r="C57" s="243"/>
      <c r="H57" s="216">
        <f t="shared" si="8"/>
        <v>5073.8</v>
      </c>
      <c r="I57" s="216">
        <v>5082.8</v>
      </c>
      <c r="J57" s="216">
        <f t="shared" si="6"/>
        <v>9</v>
      </c>
      <c r="K57" s="216">
        <f t="shared" si="7"/>
        <v>-1</v>
      </c>
    </row>
    <row r="58" ht="14.25" customHeight="1">
      <c r="C58" s="243"/>
      <c r="H58" s="216">
        <f t="shared" si="8"/>
        <v>5082.8</v>
      </c>
      <c r="I58" s="216">
        <v>5092.8</v>
      </c>
      <c r="J58" s="216">
        <f t="shared" si="6"/>
        <v>10</v>
      </c>
      <c r="K58" s="216">
        <f t="shared" si="7"/>
        <v>0</v>
      </c>
    </row>
    <row r="59" ht="14.25" customHeight="1">
      <c r="C59" s="243"/>
      <c r="H59" s="216">
        <f t="shared" si="8"/>
        <v>5092.8</v>
      </c>
      <c r="I59" s="216">
        <v>5101.7</v>
      </c>
      <c r="J59" s="216">
        <f t="shared" si="6"/>
        <v>8.9</v>
      </c>
      <c r="K59" s="216">
        <f t="shared" si="7"/>
        <v>-1.1</v>
      </c>
    </row>
    <row r="60" ht="14.25" customHeight="1">
      <c r="C60" s="243"/>
      <c r="H60" s="237">
        <f t="shared" si="8"/>
        <v>5101.7</v>
      </c>
      <c r="I60" s="237">
        <v>5105.0</v>
      </c>
      <c r="J60" s="216">
        <f t="shared" si="6"/>
        <v>3.3</v>
      </c>
      <c r="K60" s="216">
        <f t="shared" si="7"/>
        <v>-6.7</v>
      </c>
    </row>
    <row r="61" ht="14.25" customHeight="1">
      <c r="C61" s="243"/>
      <c r="H61" s="216">
        <f t="shared" si="8"/>
        <v>5105</v>
      </c>
      <c r="I61" s="216">
        <v>5112.5</v>
      </c>
      <c r="J61" s="216">
        <f t="shared" si="6"/>
        <v>7.5</v>
      </c>
      <c r="K61" s="216">
        <f t="shared" si="7"/>
        <v>-2.5</v>
      </c>
    </row>
    <row r="62" ht="14.25" customHeight="1">
      <c r="C62" s="243"/>
      <c r="H62" s="216">
        <f t="shared" si="8"/>
        <v>5112.5</v>
      </c>
      <c r="I62" s="216">
        <v>5121.3</v>
      </c>
      <c r="J62" s="216">
        <f t="shared" si="6"/>
        <v>8.8</v>
      </c>
      <c r="K62" s="216">
        <f t="shared" si="7"/>
        <v>-1.2</v>
      </c>
    </row>
    <row r="63" ht="14.25" customHeight="1">
      <c r="C63" s="243"/>
      <c r="H63" s="216">
        <f t="shared" si="8"/>
        <v>5121.3</v>
      </c>
      <c r="I63" s="216">
        <v>5130.3</v>
      </c>
      <c r="J63" s="216">
        <f t="shared" si="6"/>
        <v>9</v>
      </c>
      <c r="K63" s="216">
        <f t="shared" si="7"/>
        <v>-1</v>
      </c>
    </row>
    <row r="64" ht="14.25" customHeight="1">
      <c r="C64" s="243"/>
      <c r="H64" s="216">
        <f t="shared" si="8"/>
        <v>5130.3</v>
      </c>
      <c r="I64" s="216">
        <v>5140.3</v>
      </c>
      <c r="J64" s="216">
        <f t="shared" si="6"/>
        <v>10</v>
      </c>
      <c r="K64" s="216">
        <f t="shared" si="7"/>
        <v>0</v>
      </c>
    </row>
    <row r="65" ht="14.25" customHeight="1">
      <c r="C65" s="243"/>
      <c r="H65" s="216">
        <f t="shared" si="8"/>
        <v>5140.3</v>
      </c>
      <c r="I65" s="216">
        <v>5150.3</v>
      </c>
      <c r="J65" s="216">
        <f t="shared" si="6"/>
        <v>10</v>
      </c>
      <c r="K65" s="216">
        <f t="shared" si="7"/>
        <v>0</v>
      </c>
    </row>
    <row r="66" ht="14.25" customHeight="1">
      <c r="C66" s="243"/>
      <c r="H66" s="237">
        <f t="shared" si="8"/>
        <v>5150.3</v>
      </c>
      <c r="I66" s="237">
        <v>5155.6</v>
      </c>
      <c r="J66" s="216">
        <f t="shared" si="6"/>
        <v>5.3</v>
      </c>
      <c r="K66" s="216">
        <f t="shared" si="7"/>
        <v>-4.7</v>
      </c>
    </row>
    <row r="67" ht="14.25" customHeight="1">
      <c r="C67" s="243"/>
      <c r="H67" s="216">
        <f t="shared" si="8"/>
        <v>5155.6</v>
      </c>
      <c r="I67" s="216">
        <v>5165.6</v>
      </c>
      <c r="J67" s="216">
        <f t="shared" si="6"/>
        <v>10</v>
      </c>
      <c r="K67" s="216">
        <f t="shared" si="7"/>
        <v>0</v>
      </c>
    </row>
    <row r="68" ht="14.25" customHeight="1">
      <c r="C68" s="243"/>
      <c r="H68" s="216">
        <f t="shared" si="8"/>
        <v>5165.6</v>
      </c>
      <c r="I68" s="216">
        <v>5175.6</v>
      </c>
      <c r="J68" s="216">
        <f t="shared" si="6"/>
        <v>10</v>
      </c>
      <c r="K68" s="216">
        <f t="shared" si="7"/>
        <v>0</v>
      </c>
    </row>
    <row r="69" ht="14.25" customHeight="1">
      <c r="C69" s="243"/>
      <c r="H69" s="216">
        <f t="shared" si="8"/>
        <v>5175.6</v>
      </c>
      <c r="I69" s="216">
        <v>5185.3</v>
      </c>
      <c r="J69" s="216">
        <f t="shared" si="6"/>
        <v>9.7</v>
      </c>
      <c r="K69" s="216">
        <f t="shared" si="7"/>
        <v>-0.3</v>
      </c>
    </row>
    <row r="70" ht="14.25" customHeight="1">
      <c r="C70" s="243"/>
      <c r="H70" s="216">
        <f t="shared" si="8"/>
        <v>5185.3</v>
      </c>
      <c r="I70" s="216"/>
      <c r="J70" s="216"/>
      <c r="K70" s="216"/>
    </row>
    <row r="71" ht="14.25" customHeight="1">
      <c r="C71" s="243"/>
      <c r="H71" s="216" t="str">
        <f t="shared" si="8"/>
        <v/>
      </c>
      <c r="I71" s="216"/>
      <c r="J71" s="216"/>
      <c r="K71" s="216"/>
    </row>
    <row r="72" ht="14.25" customHeight="1">
      <c r="C72" s="243"/>
      <c r="H72" s="216" t="str">
        <f t="shared" si="8"/>
        <v/>
      </c>
      <c r="I72" s="216"/>
      <c r="J72" s="216"/>
      <c r="K72" s="216"/>
    </row>
    <row r="73" ht="14.25" customHeight="1">
      <c r="C73" s="243"/>
      <c r="H73" s="216" t="str">
        <f t="shared" si="8"/>
        <v/>
      </c>
      <c r="I73" s="216"/>
      <c r="J73" s="216"/>
      <c r="K73" s="216"/>
    </row>
    <row r="74" ht="14.25" customHeight="1">
      <c r="C74" s="243"/>
      <c r="H74" s="216" t="str">
        <f t="shared" si="8"/>
        <v/>
      </c>
      <c r="I74" s="216"/>
      <c r="J74" s="216">
        <f>I74-H74</f>
        <v>0</v>
      </c>
      <c r="K74" s="216">
        <f t="shared" ref="K74:K75" si="9">J74-10</f>
        <v>-10</v>
      </c>
    </row>
    <row r="75" ht="14.25" customHeight="1">
      <c r="C75" s="243"/>
      <c r="H75" s="234" t="s">
        <v>221</v>
      </c>
      <c r="I75" s="231"/>
      <c r="J75" s="216">
        <f>SUM(J44:J74)</f>
        <v>221.8</v>
      </c>
      <c r="K75" s="216">
        <f t="shared" si="9"/>
        <v>211.8</v>
      </c>
    </row>
    <row r="76" ht="14.25" customHeight="1">
      <c r="A76" s="238"/>
      <c r="B76" s="238"/>
      <c r="C76" s="282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</row>
    <row r="77" ht="14.25" customHeight="1">
      <c r="C77" s="236">
        <v>44805.0</v>
      </c>
      <c r="D77" s="231"/>
      <c r="F77" s="216" t="s">
        <v>238</v>
      </c>
      <c r="G77" s="216">
        <v>5185.3</v>
      </c>
      <c r="I77" s="216" t="s">
        <v>255</v>
      </c>
      <c r="J77" s="216" t="s">
        <v>256</v>
      </c>
      <c r="K77" s="216" t="s">
        <v>243</v>
      </c>
      <c r="L77" s="216" t="s">
        <v>218</v>
      </c>
    </row>
    <row r="78" ht="14.25" customHeight="1">
      <c r="C78" s="216" t="s">
        <v>244</v>
      </c>
      <c r="D78" s="232">
        <v>1600.0</v>
      </c>
      <c r="F78" s="216" t="s">
        <v>245</v>
      </c>
      <c r="G78" s="216">
        <v>5313.0</v>
      </c>
      <c r="I78" s="220"/>
      <c r="J78" s="220"/>
      <c r="K78" s="216">
        <f t="shared" ref="K78:K103" si="10">J78-I78</f>
        <v>0</v>
      </c>
      <c r="L78" s="216">
        <f t="shared" ref="L78:L103" si="11">K78-10</f>
        <v>-10</v>
      </c>
    </row>
    <row r="79" ht="14.25" customHeight="1">
      <c r="C79" s="216" t="s">
        <v>246</v>
      </c>
      <c r="D79" s="232">
        <f>G80*G79</f>
        <v>893.9</v>
      </c>
      <c r="F79" s="216" t="s">
        <v>247</v>
      </c>
      <c r="G79" s="216">
        <f>G78-G77</f>
        <v>127.7</v>
      </c>
      <c r="I79" s="220"/>
      <c r="J79" s="220"/>
      <c r="K79" s="216">
        <f t="shared" si="10"/>
        <v>0</v>
      </c>
      <c r="L79" s="216">
        <f t="shared" si="11"/>
        <v>-10</v>
      </c>
    </row>
    <row r="80" ht="14.25" customHeight="1">
      <c r="C80" s="216" t="s">
        <v>248</v>
      </c>
      <c r="D80" s="232">
        <v>0.0</v>
      </c>
      <c r="F80" s="216" t="s">
        <v>249</v>
      </c>
      <c r="G80" s="232">
        <v>7.0</v>
      </c>
      <c r="I80" s="220"/>
      <c r="J80" s="220"/>
      <c r="K80" s="216">
        <f t="shared" si="10"/>
        <v>0</v>
      </c>
      <c r="L80" s="216">
        <f t="shared" si="11"/>
        <v>-10</v>
      </c>
    </row>
    <row r="81" ht="14.25" customHeight="1">
      <c r="C81" s="216" t="s">
        <v>250</v>
      </c>
      <c r="D81" s="232">
        <f>G83*100</f>
        <v>100</v>
      </c>
      <c r="F81" s="216" t="s">
        <v>251</v>
      </c>
      <c r="G81" s="216"/>
      <c r="I81" s="220"/>
      <c r="J81" s="220"/>
      <c r="K81" s="216">
        <f t="shared" si="10"/>
        <v>0</v>
      </c>
      <c r="L81" s="216">
        <f t="shared" si="11"/>
        <v>-10</v>
      </c>
    </row>
    <row r="82" ht="14.25" customHeight="1">
      <c r="C82" s="216" t="s">
        <v>252</v>
      </c>
      <c r="D82" s="232"/>
      <c r="F82" s="216" t="s">
        <v>249</v>
      </c>
      <c r="G82" s="232">
        <v>7.0</v>
      </c>
      <c r="I82" s="220"/>
      <c r="J82" s="220"/>
      <c r="K82" s="216">
        <f t="shared" si="10"/>
        <v>0</v>
      </c>
      <c r="L82" s="216">
        <f t="shared" si="11"/>
        <v>-10</v>
      </c>
    </row>
    <row r="83" ht="14.25" customHeight="1">
      <c r="C83" s="216" t="s">
        <v>253</v>
      </c>
      <c r="D83" s="232">
        <f>D78+D79+D80+D81-D82</f>
        <v>2593.9</v>
      </c>
      <c r="F83" s="216" t="s">
        <v>250</v>
      </c>
      <c r="G83" s="216">
        <v>1.0</v>
      </c>
      <c r="I83" s="220"/>
      <c r="J83" s="220"/>
      <c r="K83" s="216">
        <f t="shared" si="10"/>
        <v>0</v>
      </c>
      <c r="L83" s="216">
        <f t="shared" si="11"/>
        <v>-10</v>
      </c>
    </row>
    <row r="84" ht="14.25" customHeight="1">
      <c r="D84" s="243"/>
      <c r="I84" s="220"/>
      <c r="J84" s="220"/>
      <c r="K84" s="216">
        <f t="shared" si="10"/>
        <v>0</v>
      </c>
      <c r="L84" s="216">
        <f t="shared" si="11"/>
        <v>-10</v>
      </c>
    </row>
    <row r="85" ht="14.25" customHeight="1">
      <c r="C85" s="4" t="s">
        <v>427</v>
      </c>
      <c r="I85" s="220"/>
      <c r="J85" s="220"/>
      <c r="K85" s="216">
        <f t="shared" si="10"/>
        <v>0</v>
      </c>
      <c r="L85" s="216">
        <f t="shared" si="11"/>
        <v>-10</v>
      </c>
    </row>
    <row r="86" ht="14.25" customHeight="1">
      <c r="D86" s="243"/>
      <c r="I86" s="220"/>
      <c r="J86" s="220"/>
      <c r="K86" s="216">
        <f t="shared" si="10"/>
        <v>0</v>
      </c>
      <c r="L86" s="216">
        <f t="shared" si="11"/>
        <v>-10</v>
      </c>
    </row>
    <row r="87" ht="14.25" customHeight="1">
      <c r="D87" s="243"/>
      <c r="I87" s="220"/>
      <c r="J87" s="220"/>
      <c r="K87" s="216">
        <f t="shared" si="10"/>
        <v>0</v>
      </c>
      <c r="L87" s="216">
        <f t="shared" si="11"/>
        <v>-10</v>
      </c>
    </row>
    <row r="88" ht="14.25" customHeight="1">
      <c r="D88" s="243"/>
      <c r="I88" s="220"/>
      <c r="J88" s="220"/>
      <c r="K88" s="216">
        <f t="shared" si="10"/>
        <v>0</v>
      </c>
      <c r="L88" s="216">
        <f t="shared" si="11"/>
        <v>-10</v>
      </c>
    </row>
    <row r="89" ht="14.25" customHeight="1">
      <c r="D89" s="243"/>
      <c r="I89" s="220"/>
      <c r="J89" s="220"/>
      <c r="K89" s="216">
        <f t="shared" si="10"/>
        <v>0</v>
      </c>
      <c r="L89" s="216">
        <f t="shared" si="11"/>
        <v>-10</v>
      </c>
    </row>
    <row r="90" ht="14.25" customHeight="1">
      <c r="D90" s="243"/>
      <c r="I90" s="220"/>
      <c r="J90" s="220"/>
      <c r="K90" s="216">
        <f t="shared" si="10"/>
        <v>0</v>
      </c>
      <c r="L90" s="216">
        <f t="shared" si="11"/>
        <v>-10</v>
      </c>
    </row>
    <row r="91" ht="14.25" customHeight="1">
      <c r="D91" s="243"/>
      <c r="I91" s="220"/>
      <c r="J91" s="220"/>
      <c r="K91" s="216">
        <f t="shared" si="10"/>
        <v>0</v>
      </c>
      <c r="L91" s="216">
        <f t="shared" si="11"/>
        <v>-10</v>
      </c>
    </row>
    <row r="92" ht="14.25" customHeight="1">
      <c r="D92" s="243"/>
      <c r="I92" s="220"/>
      <c r="J92" s="220"/>
      <c r="K92" s="216">
        <f t="shared" si="10"/>
        <v>0</v>
      </c>
      <c r="L92" s="216">
        <f t="shared" si="11"/>
        <v>-10</v>
      </c>
    </row>
    <row r="93" ht="14.25" customHeight="1">
      <c r="D93" s="243"/>
      <c r="I93" s="220"/>
      <c r="J93" s="220"/>
      <c r="K93" s="216">
        <f t="shared" si="10"/>
        <v>0</v>
      </c>
      <c r="L93" s="216">
        <f t="shared" si="11"/>
        <v>-10</v>
      </c>
    </row>
    <row r="94" ht="14.25" customHeight="1">
      <c r="D94" s="243"/>
      <c r="I94" s="220"/>
      <c r="J94" s="220"/>
      <c r="K94" s="216">
        <f t="shared" si="10"/>
        <v>0</v>
      </c>
      <c r="L94" s="216">
        <f t="shared" si="11"/>
        <v>-10</v>
      </c>
    </row>
    <row r="95" ht="14.25" customHeight="1">
      <c r="D95" s="243"/>
      <c r="I95" s="220"/>
      <c r="J95" s="220"/>
      <c r="K95" s="216">
        <f t="shared" si="10"/>
        <v>0</v>
      </c>
      <c r="L95" s="216">
        <f t="shared" si="11"/>
        <v>-10</v>
      </c>
    </row>
    <row r="96" ht="14.25" customHeight="1">
      <c r="D96" s="243"/>
      <c r="I96" s="220"/>
      <c r="J96" s="220"/>
      <c r="K96" s="216">
        <f t="shared" si="10"/>
        <v>0</v>
      </c>
      <c r="L96" s="216">
        <f t="shared" si="11"/>
        <v>-10</v>
      </c>
    </row>
    <row r="97" ht="14.25" customHeight="1">
      <c r="D97" s="243"/>
      <c r="I97" s="220"/>
      <c r="J97" s="220"/>
      <c r="K97" s="216">
        <f t="shared" si="10"/>
        <v>0</v>
      </c>
      <c r="L97" s="216">
        <f t="shared" si="11"/>
        <v>-10</v>
      </c>
    </row>
    <row r="98" ht="14.25" customHeight="1">
      <c r="D98" s="243"/>
      <c r="I98" s="220"/>
      <c r="J98" s="220"/>
      <c r="K98" s="216">
        <f t="shared" si="10"/>
        <v>0</v>
      </c>
      <c r="L98" s="216">
        <f t="shared" si="11"/>
        <v>-10</v>
      </c>
    </row>
    <row r="99" ht="14.25" customHeight="1">
      <c r="D99" s="243"/>
      <c r="I99" s="220"/>
      <c r="J99" s="220"/>
      <c r="K99" s="216">
        <f t="shared" si="10"/>
        <v>0</v>
      </c>
      <c r="L99" s="216">
        <f t="shared" si="11"/>
        <v>-10</v>
      </c>
    </row>
    <row r="100" ht="14.25" customHeight="1">
      <c r="D100" s="243"/>
      <c r="I100" s="220"/>
      <c r="J100" s="220"/>
      <c r="K100" s="216">
        <f t="shared" si="10"/>
        <v>0</v>
      </c>
      <c r="L100" s="216">
        <f t="shared" si="11"/>
        <v>-10</v>
      </c>
    </row>
    <row r="101" ht="14.25" customHeight="1">
      <c r="D101" s="243"/>
      <c r="I101" s="220"/>
      <c r="J101" s="220"/>
      <c r="K101" s="216">
        <f t="shared" si="10"/>
        <v>0</v>
      </c>
      <c r="L101" s="216">
        <f t="shared" si="11"/>
        <v>-10</v>
      </c>
    </row>
    <row r="102" ht="14.25" customHeight="1">
      <c r="D102" s="243"/>
      <c r="I102" s="220"/>
      <c r="J102" s="220"/>
      <c r="K102" s="216">
        <f t="shared" si="10"/>
        <v>0</v>
      </c>
      <c r="L102" s="216">
        <f t="shared" si="11"/>
        <v>-10</v>
      </c>
    </row>
    <row r="103" ht="14.25" customHeight="1">
      <c r="D103" s="243"/>
      <c r="I103" s="220"/>
      <c r="J103" s="220"/>
      <c r="K103" s="216">
        <f t="shared" si="10"/>
        <v>0</v>
      </c>
      <c r="L103" s="216">
        <f t="shared" si="11"/>
        <v>-10</v>
      </c>
    </row>
    <row r="104" ht="14.25" customHeight="1">
      <c r="D104" s="243"/>
      <c r="I104" s="220"/>
      <c r="J104" s="220"/>
      <c r="K104" s="216"/>
      <c r="L104" s="216"/>
    </row>
    <row r="105" ht="14.25" customHeight="1">
      <c r="D105" s="243"/>
      <c r="I105" s="216" t="str">
        <f t="shared" ref="I105:I108" si="12">J104</f>
        <v/>
      </c>
      <c r="J105" s="216"/>
      <c r="K105" s="216"/>
      <c r="L105" s="216"/>
    </row>
    <row r="106" ht="14.25" customHeight="1">
      <c r="D106" s="243"/>
      <c r="I106" s="216" t="str">
        <f t="shared" si="12"/>
        <v/>
      </c>
      <c r="J106" s="216"/>
      <c r="K106" s="216"/>
      <c r="L106" s="216"/>
    </row>
    <row r="107" ht="14.25" customHeight="1">
      <c r="D107" s="243"/>
      <c r="I107" s="216" t="str">
        <f t="shared" si="12"/>
        <v/>
      </c>
      <c r="J107" s="216"/>
      <c r="K107" s="216"/>
      <c r="L107" s="216"/>
    </row>
    <row r="108" ht="14.25" customHeight="1">
      <c r="D108" s="243"/>
      <c r="I108" s="216" t="str">
        <f t="shared" si="12"/>
        <v/>
      </c>
      <c r="J108" s="216"/>
      <c r="K108" s="216">
        <f>J108-I108</f>
        <v>0</v>
      </c>
      <c r="L108" s="216">
        <f t="shared" ref="L108:L109" si="13">K108-10</f>
        <v>-10</v>
      </c>
    </row>
    <row r="109" ht="14.25" customHeight="1">
      <c r="D109" s="243"/>
      <c r="I109" s="234" t="s">
        <v>221</v>
      </c>
      <c r="J109" s="231"/>
      <c r="K109" s="216">
        <f>SUM(K78:K108)</f>
        <v>0</v>
      </c>
      <c r="L109" s="216">
        <f t="shared" si="13"/>
        <v>-10</v>
      </c>
    </row>
    <row r="110" ht="14.25" customHeight="1">
      <c r="C110" s="243"/>
    </row>
    <row r="111" ht="14.25" customHeight="1">
      <c r="C111" s="243"/>
    </row>
    <row r="112" ht="14.25" customHeight="1">
      <c r="C112" s="243"/>
    </row>
    <row r="113" ht="14.25" customHeight="1">
      <c r="C113" s="243"/>
    </row>
    <row r="114" ht="14.25" customHeight="1">
      <c r="C114" s="243"/>
    </row>
    <row r="115" ht="14.25" customHeight="1">
      <c r="C115" s="243"/>
    </row>
    <row r="116" ht="14.25" customHeight="1">
      <c r="C116" s="243"/>
    </row>
    <row r="117" ht="14.25" customHeight="1">
      <c r="C117" s="243"/>
    </row>
    <row r="118" ht="14.25" customHeight="1">
      <c r="C118" s="243"/>
    </row>
    <row r="119" ht="14.25" customHeight="1">
      <c r="C119" s="243"/>
    </row>
    <row r="120" ht="14.25" customHeight="1">
      <c r="C120" s="243"/>
    </row>
    <row r="121" ht="14.25" customHeight="1">
      <c r="C121" s="243"/>
    </row>
    <row r="122" ht="14.25" customHeight="1">
      <c r="C122" s="243"/>
    </row>
    <row r="123" ht="14.25" customHeight="1">
      <c r="C123" s="243"/>
    </row>
    <row r="124" ht="14.25" customHeight="1">
      <c r="C124" s="243"/>
    </row>
    <row r="125" ht="14.25" customHeight="1">
      <c r="C125" s="243"/>
    </row>
    <row r="126" ht="14.25" customHeight="1">
      <c r="C126" s="243"/>
    </row>
    <row r="127" ht="14.25" customHeight="1">
      <c r="C127" s="243"/>
    </row>
    <row r="128" ht="14.25" customHeight="1">
      <c r="C128" s="243"/>
    </row>
    <row r="129" ht="14.25" customHeight="1">
      <c r="C129" s="243"/>
    </row>
    <row r="130" ht="14.25" customHeight="1">
      <c r="C130" s="243"/>
    </row>
    <row r="131" ht="14.25" customHeight="1">
      <c r="C131" s="243"/>
    </row>
    <row r="132" ht="14.25" customHeight="1">
      <c r="C132" s="243"/>
    </row>
    <row r="133" ht="14.25" customHeight="1">
      <c r="C133" s="243"/>
    </row>
    <row r="134" ht="14.25" customHeight="1">
      <c r="C134" s="243"/>
    </row>
    <row r="135" ht="14.25" customHeight="1">
      <c r="C135" s="243"/>
    </row>
    <row r="136" ht="14.25" customHeight="1">
      <c r="C136" s="243"/>
    </row>
    <row r="137" ht="14.25" customHeight="1">
      <c r="C137" s="243"/>
    </row>
    <row r="138" ht="14.25" customHeight="1">
      <c r="C138" s="243"/>
    </row>
    <row r="139" ht="14.25" customHeight="1">
      <c r="C139" s="243"/>
    </row>
    <row r="140" ht="14.25" customHeight="1">
      <c r="C140" s="243"/>
    </row>
    <row r="141" ht="14.25" customHeight="1">
      <c r="C141" s="243"/>
    </row>
    <row r="142" ht="14.25" customHeight="1">
      <c r="C142" s="243"/>
    </row>
    <row r="143" ht="14.25" customHeight="1">
      <c r="C143" s="243"/>
    </row>
    <row r="144" ht="14.25" customHeight="1">
      <c r="C144" s="243"/>
    </row>
    <row r="145" ht="14.25" customHeight="1">
      <c r="C145" s="243"/>
    </row>
    <row r="146" ht="14.25" customHeight="1">
      <c r="C146" s="243"/>
    </row>
    <row r="147" ht="14.25" customHeight="1">
      <c r="C147" s="243"/>
    </row>
    <row r="148" ht="14.25" customHeight="1">
      <c r="C148" s="243"/>
    </row>
    <row r="149" ht="14.25" customHeight="1">
      <c r="C149" s="243"/>
    </row>
    <row r="150" ht="14.25" customHeight="1">
      <c r="C150" s="243"/>
    </row>
    <row r="151" ht="14.25" customHeight="1">
      <c r="C151" s="243"/>
    </row>
    <row r="152" ht="14.25" customHeight="1">
      <c r="C152" s="243"/>
    </row>
    <row r="153" ht="14.25" customHeight="1">
      <c r="C153" s="243"/>
    </row>
    <row r="154" ht="14.25" customHeight="1">
      <c r="C154" s="243"/>
    </row>
    <row r="155" ht="14.25" customHeight="1">
      <c r="C155" s="243"/>
    </row>
    <row r="156" ht="14.25" customHeight="1">
      <c r="C156" s="243"/>
    </row>
    <row r="157" ht="14.25" customHeight="1">
      <c r="C157" s="243"/>
    </row>
    <row r="158" ht="14.25" customHeight="1">
      <c r="C158" s="243"/>
    </row>
    <row r="159" ht="14.25" customHeight="1">
      <c r="C159" s="243"/>
    </row>
    <row r="160" ht="14.25" customHeight="1">
      <c r="C160" s="243"/>
    </row>
    <row r="161" ht="14.25" customHeight="1">
      <c r="C161" s="243"/>
    </row>
    <row r="162" ht="14.25" customHeight="1">
      <c r="C162" s="243"/>
    </row>
    <row r="163" ht="14.25" customHeight="1">
      <c r="C163" s="243"/>
    </row>
    <row r="164" ht="14.25" customHeight="1">
      <c r="C164" s="243"/>
    </row>
    <row r="165" ht="14.25" customHeight="1">
      <c r="C165" s="243"/>
    </row>
    <row r="166" ht="14.25" customHeight="1">
      <c r="C166" s="243"/>
    </row>
    <row r="167" ht="14.25" customHeight="1">
      <c r="C167" s="243"/>
    </row>
    <row r="168" ht="14.25" customHeight="1">
      <c r="C168" s="243"/>
    </row>
    <row r="169" ht="14.25" customHeight="1">
      <c r="C169" s="243"/>
    </row>
    <row r="170" ht="14.25" customHeight="1">
      <c r="C170" s="243"/>
    </row>
    <row r="171" ht="14.25" customHeight="1">
      <c r="C171" s="243"/>
    </row>
    <row r="172" ht="14.25" customHeight="1">
      <c r="C172" s="243"/>
    </row>
    <row r="173" ht="14.25" customHeight="1">
      <c r="C173" s="243"/>
    </row>
    <row r="174" ht="14.25" customHeight="1">
      <c r="C174" s="243"/>
    </row>
    <row r="175" ht="14.25" customHeight="1">
      <c r="C175" s="243"/>
    </row>
    <row r="176" ht="14.25" customHeight="1">
      <c r="C176" s="243"/>
    </row>
    <row r="177" ht="14.25" customHeight="1">
      <c r="C177" s="243"/>
    </row>
    <row r="178" ht="14.25" customHeight="1">
      <c r="C178" s="243"/>
    </row>
    <row r="179" ht="14.25" customHeight="1">
      <c r="C179" s="243"/>
    </row>
    <row r="180" ht="14.25" customHeight="1">
      <c r="C180" s="243"/>
    </row>
    <row r="181" ht="14.25" customHeight="1">
      <c r="C181" s="243"/>
    </row>
    <row r="182" ht="14.25" customHeight="1">
      <c r="C182" s="243"/>
    </row>
    <row r="183" ht="14.25" customHeight="1">
      <c r="C183" s="243"/>
    </row>
    <row r="184" ht="14.25" customHeight="1">
      <c r="C184" s="243"/>
    </row>
    <row r="185" ht="14.25" customHeight="1">
      <c r="C185" s="243"/>
    </row>
    <row r="186" ht="14.25" customHeight="1">
      <c r="C186" s="243"/>
    </row>
    <row r="187" ht="14.25" customHeight="1">
      <c r="C187" s="243"/>
    </row>
    <row r="188" ht="14.25" customHeight="1">
      <c r="C188" s="243"/>
    </row>
    <row r="189" ht="14.25" customHeight="1">
      <c r="C189" s="243"/>
    </row>
    <row r="190" ht="14.25" customHeight="1">
      <c r="C190" s="243"/>
    </row>
    <row r="191" ht="14.25" customHeight="1">
      <c r="C191" s="243"/>
    </row>
    <row r="192" ht="14.25" customHeight="1">
      <c r="C192" s="243"/>
    </row>
    <row r="193" ht="14.25" customHeight="1">
      <c r="C193" s="243"/>
    </row>
    <row r="194" ht="14.25" customHeight="1">
      <c r="C194" s="243"/>
    </row>
    <row r="195" ht="14.25" customHeight="1">
      <c r="C195" s="243"/>
    </row>
    <row r="196" ht="14.25" customHeight="1">
      <c r="C196" s="243"/>
    </row>
    <row r="197" ht="14.25" customHeight="1">
      <c r="C197" s="243"/>
    </row>
    <row r="198" ht="14.25" customHeight="1">
      <c r="C198" s="243"/>
    </row>
    <row r="199" ht="14.25" customHeight="1">
      <c r="C199" s="243"/>
    </row>
    <row r="200" ht="14.25" customHeight="1">
      <c r="C200" s="243"/>
    </row>
    <row r="201" ht="14.25" customHeight="1">
      <c r="C201" s="243"/>
    </row>
    <row r="202" ht="14.25" customHeight="1">
      <c r="C202" s="243"/>
    </row>
    <row r="203" ht="14.25" customHeight="1">
      <c r="C203" s="243"/>
    </row>
    <row r="204" ht="14.25" customHeight="1">
      <c r="C204" s="243"/>
    </row>
    <row r="205" ht="14.25" customHeight="1">
      <c r="C205" s="243"/>
    </row>
    <row r="206" ht="14.25" customHeight="1">
      <c r="C206" s="243"/>
    </row>
    <row r="207" ht="14.25" customHeight="1">
      <c r="C207" s="243"/>
    </row>
    <row r="208" ht="14.25" customHeight="1">
      <c r="C208" s="243"/>
    </row>
    <row r="209" ht="14.25" customHeight="1">
      <c r="C209" s="243"/>
    </row>
    <row r="210" ht="14.25" customHeight="1">
      <c r="C210" s="243"/>
    </row>
    <row r="211" ht="14.25" customHeight="1">
      <c r="C211" s="243"/>
    </row>
    <row r="212" ht="14.25" customHeight="1">
      <c r="C212" s="243"/>
    </row>
    <row r="213" ht="14.25" customHeight="1">
      <c r="C213" s="243"/>
    </row>
    <row r="214" ht="14.25" customHeight="1">
      <c r="C214" s="243"/>
    </row>
    <row r="215" ht="14.25" customHeight="1">
      <c r="C215" s="243"/>
    </row>
    <row r="216" ht="14.25" customHeight="1">
      <c r="C216" s="243"/>
    </row>
    <row r="217" ht="14.25" customHeight="1">
      <c r="C217" s="243"/>
    </row>
    <row r="218" ht="14.25" customHeight="1">
      <c r="C218" s="243"/>
    </row>
    <row r="219" ht="14.25" customHeight="1">
      <c r="C219" s="243"/>
    </row>
    <row r="220" ht="14.25" customHeight="1">
      <c r="C220" s="243"/>
    </row>
    <row r="221" ht="14.25" customHeight="1">
      <c r="C221" s="243"/>
    </row>
    <row r="222" ht="14.25" customHeight="1">
      <c r="C222" s="243"/>
    </row>
    <row r="223" ht="14.25" customHeight="1">
      <c r="C223" s="243"/>
    </row>
    <row r="224" ht="14.25" customHeight="1">
      <c r="C224" s="243"/>
    </row>
    <row r="225" ht="14.25" customHeight="1">
      <c r="C225" s="243"/>
    </row>
    <row r="226" ht="14.25" customHeight="1">
      <c r="C226" s="243"/>
    </row>
    <row r="227" ht="14.25" customHeight="1">
      <c r="C227" s="243"/>
    </row>
    <row r="228" ht="14.25" customHeight="1">
      <c r="C228" s="243"/>
    </row>
    <row r="229" ht="14.25" customHeight="1">
      <c r="C229" s="243"/>
    </row>
    <row r="230" ht="14.25" customHeight="1">
      <c r="C230" s="243"/>
    </row>
    <row r="231" ht="14.25" customHeight="1">
      <c r="C231" s="243"/>
    </row>
    <row r="232" ht="14.25" customHeight="1">
      <c r="C232" s="243"/>
    </row>
    <row r="233" ht="14.25" customHeight="1">
      <c r="C233" s="243"/>
    </row>
    <row r="234" ht="14.25" customHeight="1">
      <c r="C234" s="243"/>
    </row>
    <row r="235" ht="14.25" customHeight="1">
      <c r="C235" s="243"/>
    </row>
    <row r="236" ht="14.25" customHeight="1">
      <c r="C236" s="243"/>
    </row>
    <row r="237" ht="14.25" customHeight="1">
      <c r="C237" s="243"/>
    </row>
    <row r="238" ht="14.25" customHeight="1">
      <c r="C238" s="243"/>
    </row>
    <row r="239" ht="14.25" customHeight="1">
      <c r="C239" s="243"/>
    </row>
    <row r="240" ht="14.25" customHeight="1">
      <c r="C240" s="243"/>
    </row>
    <row r="241" ht="14.25" customHeight="1">
      <c r="C241" s="243"/>
    </row>
    <row r="242" ht="14.25" customHeight="1">
      <c r="C242" s="243"/>
    </row>
    <row r="243" ht="14.25" customHeight="1">
      <c r="C243" s="243"/>
    </row>
    <row r="244" ht="14.25" customHeight="1">
      <c r="C244" s="243"/>
    </row>
    <row r="245" ht="14.25" customHeight="1">
      <c r="C245" s="243"/>
    </row>
    <row r="246" ht="14.25" customHeight="1">
      <c r="C246" s="243"/>
    </row>
    <row r="247" ht="14.25" customHeight="1">
      <c r="C247" s="243"/>
    </row>
    <row r="248" ht="14.25" customHeight="1">
      <c r="C248" s="243"/>
    </row>
    <row r="249" ht="14.25" customHeight="1">
      <c r="C249" s="243"/>
    </row>
    <row r="250" ht="14.25" customHeight="1">
      <c r="C250" s="243"/>
    </row>
    <row r="251" ht="14.25" customHeight="1">
      <c r="C251" s="243"/>
    </row>
    <row r="252" ht="14.25" customHeight="1">
      <c r="C252" s="243"/>
    </row>
    <row r="253" ht="14.25" customHeight="1">
      <c r="C253" s="243"/>
    </row>
    <row r="254" ht="14.25" customHeight="1">
      <c r="C254" s="243"/>
    </row>
    <row r="255" ht="14.25" customHeight="1">
      <c r="C255" s="243"/>
    </row>
    <row r="256" ht="14.25" customHeight="1">
      <c r="C256" s="243"/>
    </row>
    <row r="257" ht="14.25" customHeight="1">
      <c r="C257" s="243"/>
    </row>
    <row r="258" ht="14.25" customHeight="1">
      <c r="C258" s="243"/>
    </row>
    <row r="259" ht="14.25" customHeight="1">
      <c r="C259" s="243"/>
    </row>
    <row r="260" ht="14.25" customHeight="1">
      <c r="C260" s="243"/>
    </row>
    <row r="261" ht="14.25" customHeight="1">
      <c r="C261" s="243"/>
    </row>
    <row r="262" ht="14.25" customHeight="1">
      <c r="C262" s="243"/>
    </row>
    <row r="263" ht="14.25" customHeight="1">
      <c r="C263" s="243"/>
    </row>
    <row r="264" ht="14.25" customHeight="1">
      <c r="C264" s="243"/>
    </row>
    <row r="265" ht="14.25" customHeight="1">
      <c r="C265" s="243"/>
    </row>
    <row r="266" ht="14.25" customHeight="1">
      <c r="C266" s="243"/>
    </row>
    <row r="267" ht="14.25" customHeight="1">
      <c r="C267" s="243"/>
    </row>
    <row r="268" ht="14.25" customHeight="1">
      <c r="C268" s="243"/>
    </row>
    <row r="269" ht="14.25" customHeight="1">
      <c r="C269" s="243"/>
    </row>
    <row r="270" ht="14.25" customHeight="1">
      <c r="C270" s="243"/>
    </row>
    <row r="271" ht="14.25" customHeight="1">
      <c r="C271" s="243"/>
    </row>
    <row r="272" ht="14.25" customHeight="1">
      <c r="C272" s="243"/>
    </row>
    <row r="273" ht="14.25" customHeight="1">
      <c r="C273" s="243"/>
    </row>
    <row r="274" ht="14.25" customHeight="1">
      <c r="C274" s="243"/>
    </row>
    <row r="275" ht="14.25" customHeight="1">
      <c r="C275" s="243"/>
    </row>
    <row r="276" ht="14.25" customHeight="1">
      <c r="C276" s="243"/>
    </row>
    <row r="277" ht="14.25" customHeight="1">
      <c r="C277" s="243"/>
    </row>
    <row r="278" ht="14.25" customHeight="1">
      <c r="C278" s="243"/>
    </row>
    <row r="279" ht="14.25" customHeight="1">
      <c r="C279" s="243"/>
    </row>
    <row r="280" ht="14.25" customHeight="1">
      <c r="C280" s="243"/>
    </row>
    <row r="281" ht="14.25" customHeight="1">
      <c r="C281" s="243"/>
    </row>
    <row r="282" ht="14.25" customHeight="1">
      <c r="C282" s="243"/>
    </row>
    <row r="283" ht="14.25" customHeight="1">
      <c r="C283" s="243"/>
    </row>
    <row r="284" ht="14.25" customHeight="1">
      <c r="C284" s="243"/>
    </row>
    <row r="285" ht="14.25" customHeight="1">
      <c r="C285" s="243"/>
    </row>
    <row r="286" ht="14.25" customHeight="1">
      <c r="C286" s="243"/>
    </row>
    <row r="287" ht="14.25" customHeight="1">
      <c r="C287" s="243"/>
    </row>
    <row r="288" ht="14.25" customHeight="1">
      <c r="C288" s="243"/>
    </row>
    <row r="289" ht="14.25" customHeight="1">
      <c r="C289" s="243"/>
    </row>
    <row r="290" ht="14.25" customHeight="1">
      <c r="C290" s="243"/>
    </row>
    <row r="291" ht="14.25" customHeight="1">
      <c r="C291" s="243"/>
    </row>
    <row r="292" ht="14.25" customHeight="1">
      <c r="C292" s="243"/>
    </row>
    <row r="293" ht="14.25" customHeight="1">
      <c r="C293" s="243"/>
    </row>
    <row r="294" ht="14.25" customHeight="1">
      <c r="C294" s="243"/>
    </row>
    <row r="295" ht="14.25" customHeight="1">
      <c r="C295" s="243"/>
    </row>
    <row r="296" ht="14.25" customHeight="1">
      <c r="C296" s="243"/>
    </row>
    <row r="297" ht="14.25" customHeight="1">
      <c r="C297" s="243"/>
    </row>
    <row r="298" ht="14.25" customHeight="1">
      <c r="C298" s="243"/>
    </row>
    <row r="299" ht="14.25" customHeight="1">
      <c r="C299" s="243"/>
    </row>
    <row r="300" ht="14.25" customHeight="1">
      <c r="C300" s="243"/>
    </row>
    <row r="301" ht="14.25" customHeight="1">
      <c r="C301" s="243"/>
    </row>
    <row r="302" ht="14.25" customHeight="1">
      <c r="C302" s="243"/>
    </row>
    <row r="303" ht="14.25" customHeight="1">
      <c r="C303" s="243"/>
    </row>
    <row r="304" ht="14.25" customHeight="1">
      <c r="C304" s="243"/>
    </row>
    <row r="305" ht="14.25" customHeight="1">
      <c r="C305" s="243"/>
    </row>
    <row r="306" ht="14.25" customHeight="1">
      <c r="C306" s="243"/>
    </row>
    <row r="307" ht="14.25" customHeight="1">
      <c r="C307" s="243"/>
    </row>
    <row r="308" ht="14.25" customHeight="1">
      <c r="C308" s="243"/>
    </row>
    <row r="309" ht="14.25" customHeight="1">
      <c r="C309" s="243"/>
    </row>
    <row r="310" ht="14.25" customHeight="1">
      <c r="C310" s="243"/>
    </row>
    <row r="311" ht="14.25" customHeight="1">
      <c r="C311" s="243"/>
    </row>
    <row r="312" ht="14.25" customHeight="1">
      <c r="C312" s="243"/>
    </row>
    <row r="313" ht="14.25" customHeight="1">
      <c r="C313" s="243"/>
    </row>
    <row r="314" ht="14.25" customHeight="1">
      <c r="C314" s="243"/>
    </row>
    <row r="315" ht="14.25" customHeight="1">
      <c r="C315" s="243"/>
    </row>
    <row r="316" ht="14.25" customHeight="1">
      <c r="C316" s="243"/>
    </row>
    <row r="317" ht="14.25" customHeight="1">
      <c r="C317" s="243"/>
    </row>
    <row r="318" ht="14.25" customHeight="1">
      <c r="C318" s="243"/>
    </row>
    <row r="319" ht="14.25" customHeight="1">
      <c r="C319" s="243"/>
    </row>
    <row r="320" ht="14.25" customHeight="1">
      <c r="C320" s="243"/>
    </row>
    <row r="321" ht="14.25" customHeight="1">
      <c r="C321" s="243"/>
    </row>
    <row r="322" ht="14.25" customHeight="1">
      <c r="C322" s="243"/>
    </row>
    <row r="323" ht="14.25" customHeight="1">
      <c r="C323" s="243"/>
    </row>
    <row r="324" ht="14.25" customHeight="1">
      <c r="C324" s="243"/>
    </row>
    <row r="325" ht="14.25" customHeight="1">
      <c r="C325" s="243"/>
    </row>
    <row r="326" ht="14.25" customHeight="1">
      <c r="C326" s="243"/>
    </row>
    <row r="327" ht="14.25" customHeight="1">
      <c r="C327" s="243"/>
    </row>
    <row r="328" ht="14.25" customHeight="1">
      <c r="C328" s="243"/>
    </row>
    <row r="329" ht="14.25" customHeight="1">
      <c r="C329" s="243"/>
    </row>
    <row r="330" ht="14.25" customHeight="1">
      <c r="C330" s="243"/>
    </row>
    <row r="331" ht="14.25" customHeight="1">
      <c r="C331" s="243"/>
    </row>
    <row r="332" ht="14.25" customHeight="1">
      <c r="C332" s="243"/>
    </row>
    <row r="333" ht="14.25" customHeight="1">
      <c r="C333" s="243"/>
    </row>
    <row r="334" ht="14.25" customHeight="1">
      <c r="C334" s="243"/>
    </row>
    <row r="335" ht="14.25" customHeight="1">
      <c r="C335" s="243"/>
    </row>
    <row r="336" ht="14.25" customHeight="1">
      <c r="C336" s="243"/>
    </row>
    <row r="337" ht="14.25" customHeight="1">
      <c r="C337" s="243"/>
    </row>
    <row r="338" ht="14.25" customHeight="1">
      <c r="C338" s="243"/>
    </row>
    <row r="339" ht="14.25" customHeight="1">
      <c r="C339" s="243"/>
    </row>
    <row r="340" ht="14.25" customHeight="1">
      <c r="C340" s="243"/>
    </row>
    <row r="341" ht="14.25" customHeight="1">
      <c r="C341" s="243"/>
    </row>
    <row r="342" ht="14.25" customHeight="1">
      <c r="C342" s="243"/>
    </row>
    <row r="343" ht="14.25" customHeight="1">
      <c r="C343" s="243"/>
    </row>
    <row r="344" ht="14.25" customHeight="1">
      <c r="C344" s="243"/>
    </row>
    <row r="345" ht="14.25" customHeight="1">
      <c r="C345" s="243"/>
    </row>
    <row r="346" ht="14.25" customHeight="1">
      <c r="C346" s="243"/>
    </row>
    <row r="347" ht="14.25" customHeight="1">
      <c r="C347" s="243"/>
    </row>
    <row r="348" ht="14.25" customHeight="1">
      <c r="C348" s="243"/>
    </row>
    <row r="349" ht="14.25" customHeight="1">
      <c r="C349" s="243"/>
    </row>
    <row r="350" ht="14.25" customHeight="1">
      <c r="C350" s="243"/>
    </row>
    <row r="351" ht="14.25" customHeight="1">
      <c r="C351" s="243"/>
    </row>
    <row r="352" ht="14.25" customHeight="1">
      <c r="C352" s="243"/>
    </row>
    <row r="353" ht="14.25" customHeight="1">
      <c r="C353" s="243"/>
    </row>
    <row r="354" ht="14.25" customHeight="1">
      <c r="C354" s="243"/>
    </row>
    <row r="355" ht="14.25" customHeight="1">
      <c r="C355" s="243"/>
    </row>
    <row r="356" ht="14.25" customHeight="1">
      <c r="C356" s="243"/>
    </row>
    <row r="357" ht="14.25" customHeight="1">
      <c r="C357" s="243"/>
    </row>
    <row r="358" ht="14.25" customHeight="1">
      <c r="C358" s="243"/>
    </row>
    <row r="359" ht="14.25" customHeight="1">
      <c r="C359" s="243"/>
    </row>
    <row r="360" ht="14.25" customHeight="1">
      <c r="C360" s="243"/>
    </row>
    <row r="361" ht="14.25" customHeight="1">
      <c r="C361" s="243"/>
    </row>
    <row r="362" ht="14.25" customHeight="1">
      <c r="C362" s="243"/>
    </row>
    <row r="363" ht="14.25" customHeight="1">
      <c r="C363" s="243"/>
    </row>
    <row r="364" ht="14.25" customHeight="1">
      <c r="C364" s="243"/>
    </row>
    <row r="365" ht="14.25" customHeight="1">
      <c r="C365" s="243"/>
    </row>
    <row r="366" ht="14.25" customHeight="1">
      <c r="C366" s="243"/>
    </row>
    <row r="367" ht="14.25" customHeight="1">
      <c r="C367" s="243"/>
    </row>
    <row r="368" ht="14.25" customHeight="1">
      <c r="C368" s="243"/>
    </row>
    <row r="369" ht="14.25" customHeight="1">
      <c r="C369" s="243"/>
    </row>
    <row r="370" ht="14.25" customHeight="1">
      <c r="C370" s="243"/>
    </row>
    <row r="371" ht="14.25" customHeight="1">
      <c r="C371" s="243"/>
    </row>
    <row r="372" ht="14.25" customHeight="1">
      <c r="C372" s="243"/>
    </row>
    <row r="373" ht="14.25" customHeight="1">
      <c r="C373" s="243"/>
    </row>
    <row r="374" ht="14.25" customHeight="1">
      <c r="C374" s="243"/>
    </row>
    <row r="375" ht="14.25" customHeight="1">
      <c r="C375" s="243"/>
    </row>
    <row r="376" ht="14.25" customHeight="1">
      <c r="C376" s="243"/>
    </row>
    <row r="377" ht="14.25" customHeight="1">
      <c r="C377" s="243"/>
    </row>
    <row r="378" ht="14.25" customHeight="1">
      <c r="C378" s="243"/>
    </row>
    <row r="379" ht="14.25" customHeight="1">
      <c r="C379" s="243"/>
    </row>
    <row r="380" ht="14.25" customHeight="1">
      <c r="C380" s="243"/>
    </row>
    <row r="381" ht="14.25" customHeight="1">
      <c r="C381" s="243"/>
    </row>
    <row r="382" ht="14.25" customHeight="1">
      <c r="C382" s="243"/>
    </row>
    <row r="383" ht="14.25" customHeight="1">
      <c r="C383" s="243"/>
    </row>
    <row r="384" ht="14.25" customHeight="1">
      <c r="C384" s="243"/>
    </row>
    <row r="385" ht="14.25" customHeight="1">
      <c r="C385" s="243"/>
    </row>
    <row r="386" ht="14.25" customHeight="1">
      <c r="C386" s="243"/>
    </row>
    <row r="387" ht="14.25" customHeight="1">
      <c r="C387" s="243"/>
    </row>
    <row r="388" ht="14.25" customHeight="1">
      <c r="C388" s="243"/>
    </row>
    <row r="389" ht="14.25" customHeight="1">
      <c r="C389" s="243"/>
    </row>
    <row r="390" ht="14.25" customHeight="1">
      <c r="C390" s="243"/>
    </row>
    <row r="391" ht="14.25" customHeight="1">
      <c r="C391" s="243"/>
    </row>
    <row r="392" ht="14.25" customHeight="1">
      <c r="C392" s="243"/>
    </row>
    <row r="393" ht="14.25" customHeight="1">
      <c r="C393" s="243"/>
    </row>
    <row r="394" ht="14.25" customHeight="1">
      <c r="C394" s="243"/>
    </row>
    <row r="395" ht="14.25" customHeight="1">
      <c r="C395" s="243"/>
    </row>
    <row r="396" ht="14.25" customHeight="1">
      <c r="C396" s="243"/>
    </row>
    <row r="397" ht="14.25" customHeight="1">
      <c r="C397" s="243"/>
    </row>
    <row r="398" ht="14.25" customHeight="1">
      <c r="C398" s="243"/>
    </row>
    <row r="399" ht="14.25" customHeight="1">
      <c r="C399" s="243"/>
    </row>
    <row r="400" ht="14.25" customHeight="1">
      <c r="C400" s="243"/>
    </row>
    <row r="401" ht="14.25" customHeight="1">
      <c r="C401" s="243"/>
    </row>
    <row r="402" ht="14.25" customHeight="1">
      <c r="C402" s="243"/>
    </row>
    <row r="403" ht="14.25" customHeight="1">
      <c r="C403" s="243"/>
    </row>
    <row r="404" ht="14.25" customHeight="1">
      <c r="C404" s="243"/>
    </row>
    <row r="405" ht="14.25" customHeight="1">
      <c r="C405" s="243"/>
    </row>
    <row r="406" ht="14.25" customHeight="1">
      <c r="C406" s="243"/>
    </row>
    <row r="407" ht="14.25" customHeight="1">
      <c r="C407" s="243"/>
    </row>
    <row r="408" ht="14.25" customHeight="1">
      <c r="C408" s="243"/>
    </row>
    <row r="409" ht="14.25" customHeight="1">
      <c r="C409" s="243"/>
    </row>
    <row r="410" ht="14.25" customHeight="1">
      <c r="C410" s="243"/>
    </row>
    <row r="411" ht="14.25" customHeight="1">
      <c r="C411" s="243"/>
    </row>
    <row r="412" ht="14.25" customHeight="1">
      <c r="C412" s="243"/>
    </row>
    <row r="413" ht="14.25" customHeight="1">
      <c r="C413" s="243"/>
    </row>
    <row r="414" ht="14.25" customHeight="1">
      <c r="C414" s="243"/>
    </row>
    <row r="415" ht="14.25" customHeight="1">
      <c r="C415" s="243"/>
    </row>
    <row r="416" ht="14.25" customHeight="1">
      <c r="C416" s="243"/>
    </row>
    <row r="417" ht="14.25" customHeight="1">
      <c r="C417" s="243"/>
    </row>
    <row r="418" ht="14.25" customHeight="1">
      <c r="C418" s="243"/>
    </row>
    <row r="419" ht="14.25" customHeight="1">
      <c r="C419" s="243"/>
    </row>
    <row r="420" ht="14.25" customHeight="1">
      <c r="C420" s="243"/>
    </row>
    <row r="421" ht="14.25" customHeight="1">
      <c r="C421" s="243"/>
    </row>
    <row r="422" ht="14.25" customHeight="1">
      <c r="C422" s="243"/>
    </row>
    <row r="423" ht="14.25" customHeight="1">
      <c r="C423" s="243"/>
    </row>
    <row r="424" ht="14.25" customHeight="1">
      <c r="C424" s="243"/>
    </row>
    <row r="425" ht="14.25" customHeight="1">
      <c r="C425" s="243"/>
    </row>
    <row r="426" ht="14.25" customHeight="1">
      <c r="C426" s="243"/>
    </row>
    <row r="427" ht="14.25" customHeight="1">
      <c r="C427" s="243"/>
    </row>
    <row r="428" ht="14.25" customHeight="1">
      <c r="C428" s="243"/>
    </row>
    <row r="429" ht="14.25" customHeight="1">
      <c r="C429" s="243"/>
    </row>
    <row r="430" ht="14.25" customHeight="1">
      <c r="C430" s="243"/>
    </row>
    <row r="431" ht="14.25" customHeight="1">
      <c r="C431" s="243"/>
    </row>
    <row r="432" ht="14.25" customHeight="1">
      <c r="C432" s="243"/>
    </row>
    <row r="433" ht="14.25" customHeight="1">
      <c r="C433" s="243"/>
    </row>
    <row r="434" ht="14.25" customHeight="1">
      <c r="C434" s="243"/>
    </row>
    <row r="435" ht="14.25" customHeight="1">
      <c r="C435" s="243"/>
    </row>
    <row r="436" ht="14.25" customHeight="1">
      <c r="C436" s="243"/>
    </row>
    <row r="437" ht="14.25" customHeight="1">
      <c r="C437" s="243"/>
    </row>
    <row r="438" ht="14.25" customHeight="1">
      <c r="C438" s="243"/>
    </row>
    <row r="439" ht="14.25" customHeight="1">
      <c r="C439" s="243"/>
    </row>
    <row r="440" ht="14.25" customHeight="1">
      <c r="C440" s="243"/>
    </row>
    <row r="441" ht="14.25" customHeight="1">
      <c r="C441" s="243"/>
    </row>
    <row r="442" ht="14.25" customHeight="1">
      <c r="C442" s="243"/>
    </row>
    <row r="443" ht="14.25" customHeight="1">
      <c r="C443" s="243"/>
    </row>
    <row r="444" ht="14.25" customHeight="1">
      <c r="C444" s="243"/>
    </row>
    <row r="445" ht="14.25" customHeight="1">
      <c r="C445" s="243"/>
    </row>
    <row r="446" ht="14.25" customHeight="1">
      <c r="C446" s="243"/>
    </row>
    <row r="447" ht="14.25" customHeight="1">
      <c r="C447" s="243"/>
    </row>
    <row r="448" ht="14.25" customHeight="1">
      <c r="C448" s="243"/>
    </row>
    <row r="449" ht="14.25" customHeight="1">
      <c r="C449" s="243"/>
    </row>
    <row r="450" ht="14.25" customHeight="1">
      <c r="C450" s="243"/>
    </row>
    <row r="451" ht="14.25" customHeight="1">
      <c r="C451" s="243"/>
    </row>
    <row r="452" ht="14.25" customHeight="1">
      <c r="C452" s="243"/>
    </row>
    <row r="453" ht="14.25" customHeight="1">
      <c r="C453" s="243"/>
    </row>
    <row r="454" ht="14.25" customHeight="1">
      <c r="C454" s="243"/>
    </row>
    <row r="455" ht="14.25" customHeight="1">
      <c r="C455" s="243"/>
    </row>
    <row r="456" ht="14.25" customHeight="1">
      <c r="C456" s="243"/>
    </row>
    <row r="457" ht="14.25" customHeight="1">
      <c r="C457" s="243"/>
    </row>
    <row r="458" ht="14.25" customHeight="1">
      <c r="C458" s="243"/>
    </row>
    <row r="459" ht="14.25" customHeight="1">
      <c r="C459" s="243"/>
    </row>
    <row r="460" ht="14.25" customHeight="1">
      <c r="C460" s="243"/>
    </row>
    <row r="461" ht="14.25" customHeight="1">
      <c r="C461" s="243"/>
    </row>
    <row r="462" ht="14.25" customHeight="1">
      <c r="C462" s="243"/>
    </row>
    <row r="463" ht="14.25" customHeight="1">
      <c r="C463" s="243"/>
    </row>
    <row r="464" ht="14.25" customHeight="1">
      <c r="C464" s="243"/>
    </row>
    <row r="465" ht="14.25" customHeight="1">
      <c r="C465" s="243"/>
    </row>
    <row r="466" ht="14.25" customHeight="1">
      <c r="C466" s="243"/>
    </row>
    <row r="467" ht="14.25" customHeight="1">
      <c r="C467" s="243"/>
    </row>
    <row r="468" ht="14.25" customHeight="1">
      <c r="C468" s="243"/>
    </row>
    <row r="469" ht="14.25" customHeight="1">
      <c r="C469" s="243"/>
    </row>
    <row r="470" ht="14.25" customHeight="1">
      <c r="C470" s="243"/>
    </row>
    <row r="471" ht="14.25" customHeight="1">
      <c r="C471" s="243"/>
    </row>
    <row r="472" ht="14.25" customHeight="1">
      <c r="C472" s="243"/>
    </row>
    <row r="473" ht="14.25" customHeight="1">
      <c r="C473" s="243"/>
    </row>
    <row r="474" ht="14.25" customHeight="1">
      <c r="C474" s="243"/>
    </row>
    <row r="475" ht="14.25" customHeight="1">
      <c r="C475" s="243"/>
    </row>
    <row r="476" ht="14.25" customHeight="1">
      <c r="C476" s="243"/>
    </row>
    <row r="477" ht="14.25" customHeight="1">
      <c r="C477" s="243"/>
    </row>
    <row r="478" ht="14.25" customHeight="1">
      <c r="C478" s="243"/>
    </row>
    <row r="479" ht="14.25" customHeight="1">
      <c r="C479" s="243"/>
    </row>
    <row r="480" ht="14.25" customHeight="1">
      <c r="C480" s="243"/>
    </row>
    <row r="481" ht="14.25" customHeight="1">
      <c r="C481" s="243"/>
    </row>
    <row r="482" ht="14.25" customHeight="1">
      <c r="C482" s="243"/>
    </row>
    <row r="483" ht="14.25" customHeight="1">
      <c r="C483" s="243"/>
    </row>
    <row r="484" ht="14.25" customHeight="1">
      <c r="C484" s="243"/>
    </row>
    <row r="485" ht="14.25" customHeight="1">
      <c r="C485" s="243"/>
    </row>
    <row r="486" ht="14.25" customHeight="1">
      <c r="C486" s="243"/>
    </row>
    <row r="487" ht="14.25" customHeight="1">
      <c r="C487" s="243"/>
    </row>
    <row r="488" ht="14.25" customHeight="1">
      <c r="C488" s="243"/>
    </row>
    <row r="489" ht="14.25" customHeight="1">
      <c r="C489" s="243"/>
    </row>
    <row r="490" ht="14.25" customHeight="1">
      <c r="C490" s="243"/>
    </row>
    <row r="491" ht="14.25" customHeight="1">
      <c r="C491" s="243"/>
    </row>
    <row r="492" ht="14.25" customHeight="1">
      <c r="C492" s="243"/>
    </row>
    <row r="493" ht="14.25" customHeight="1">
      <c r="C493" s="243"/>
    </row>
    <row r="494" ht="14.25" customHeight="1">
      <c r="C494" s="243"/>
    </row>
    <row r="495" ht="14.25" customHeight="1">
      <c r="C495" s="243"/>
    </row>
    <row r="496" ht="14.25" customHeight="1">
      <c r="C496" s="243"/>
    </row>
    <row r="497" ht="14.25" customHeight="1">
      <c r="C497" s="243"/>
    </row>
    <row r="498" ht="14.25" customHeight="1">
      <c r="C498" s="243"/>
    </row>
    <row r="499" ht="14.25" customHeight="1">
      <c r="C499" s="243"/>
    </row>
    <row r="500" ht="14.25" customHeight="1">
      <c r="C500" s="243"/>
    </row>
    <row r="501" ht="14.25" customHeight="1">
      <c r="C501" s="243"/>
    </row>
    <row r="502" ht="14.25" customHeight="1">
      <c r="C502" s="243"/>
    </row>
    <row r="503" ht="14.25" customHeight="1">
      <c r="C503" s="243"/>
    </row>
    <row r="504" ht="14.25" customHeight="1">
      <c r="C504" s="243"/>
    </row>
    <row r="505" ht="14.25" customHeight="1">
      <c r="C505" s="243"/>
    </row>
    <row r="506" ht="14.25" customHeight="1">
      <c r="C506" s="243"/>
    </row>
    <row r="507" ht="14.25" customHeight="1">
      <c r="C507" s="243"/>
    </row>
    <row r="508" ht="14.25" customHeight="1">
      <c r="C508" s="243"/>
    </row>
    <row r="509" ht="14.25" customHeight="1">
      <c r="C509" s="243"/>
    </row>
    <row r="510" ht="14.25" customHeight="1">
      <c r="C510" s="243"/>
    </row>
    <row r="511" ht="14.25" customHeight="1">
      <c r="C511" s="243"/>
    </row>
    <row r="512" ht="14.25" customHeight="1">
      <c r="C512" s="243"/>
    </row>
    <row r="513" ht="14.25" customHeight="1">
      <c r="C513" s="243"/>
    </row>
    <row r="514" ht="14.25" customHeight="1">
      <c r="C514" s="243"/>
    </row>
    <row r="515" ht="14.25" customHeight="1">
      <c r="C515" s="243"/>
    </row>
    <row r="516" ht="14.25" customHeight="1">
      <c r="C516" s="243"/>
    </row>
    <row r="517" ht="14.25" customHeight="1">
      <c r="C517" s="243"/>
    </row>
    <row r="518" ht="14.25" customHeight="1">
      <c r="C518" s="243"/>
    </row>
    <row r="519" ht="14.25" customHeight="1">
      <c r="C519" s="243"/>
    </row>
    <row r="520" ht="14.25" customHeight="1">
      <c r="C520" s="243"/>
    </row>
    <row r="521" ht="14.25" customHeight="1">
      <c r="C521" s="243"/>
    </row>
    <row r="522" ht="14.25" customHeight="1">
      <c r="C522" s="243"/>
    </row>
    <row r="523" ht="14.25" customHeight="1">
      <c r="C523" s="243"/>
    </row>
    <row r="524" ht="14.25" customHeight="1">
      <c r="C524" s="243"/>
    </row>
    <row r="525" ht="14.25" customHeight="1">
      <c r="C525" s="243"/>
    </row>
    <row r="526" ht="14.25" customHeight="1">
      <c r="C526" s="243"/>
    </row>
    <row r="527" ht="14.25" customHeight="1">
      <c r="C527" s="243"/>
    </row>
    <row r="528" ht="14.25" customHeight="1">
      <c r="C528" s="243"/>
    </row>
    <row r="529" ht="14.25" customHeight="1">
      <c r="C529" s="243"/>
    </row>
    <row r="530" ht="14.25" customHeight="1">
      <c r="C530" s="243"/>
    </row>
    <row r="531" ht="14.25" customHeight="1">
      <c r="C531" s="243"/>
    </row>
    <row r="532" ht="14.25" customHeight="1">
      <c r="C532" s="243"/>
    </row>
    <row r="533" ht="14.25" customHeight="1">
      <c r="C533" s="243"/>
    </row>
    <row r="534" ht="14.25" customHeight="1">
      <c r="C534" s="243"/>
    </row>
    <row r="535" ht="14.25" customHeight="1">
      <c r="C535" s="243"/>
    </row>
    <row r="536" ht="14.25" customHeight="1">
      <c r="C536" s="243"/>
    </row>
    <row r="537" ht="14.25" customHeight="1">
      <c r="C537" s="243"/>
    </row>
    <row r="538" ht="14.25" customHeight="1">
      <c r="C538" s="243"/>
    </row>
    <row r="539" ht="14.25" customHeight="1">
      <c r="C539" s="243"/>
    </row>
    <row r="540" ht="14.25" customHeight="1">
      <c r="C540" s="243"/>
    </row>
    <row r="541" ht="14.25" customHeight="1">
      <c r="C541" s="243"/>
    </row>
    <row r="542" ht="14.25" customHeight="1">
      <c r="C542" s="243"/>
    </row>
    <row r="543" ht="14.25" customHeight="1">
      <c r="C543" s="243"/>
    </row>
    <row r="544" ht="14.25" customHeight="1">
      <c r="C544" s="243"/>
    </row>
    <row r="545" ht="14.25" customHeight="1">
      <c r="C545" s="243"/>
    </row>
    <row r="546" ht="14.25" customHeight="1">
      <c r="C546" s="243"/>
    </row>
    <row r="547" ht="14.25" customHeight="1">
      <c r="C547" s="243"/>
    </row>
    <row r="548" ht="14.25" customHeight="1">
      <c r="C548" s="243"/>
    </row>
    <row r="549" ht="14.25" customHeight="1">
      <c r="C549" s="243"/>
    </row>
    <row r="550" ht="14.25" customHeight="1">
      <c r="C550" s="243"/>
    </row>
    <row r="551" ht="14.25" customHeight="1">
      <c r="C551" s="243"/>
    </row>
    <row r="552" ht="14.25" customHeight="1">
      <c r="C552" s="243"/>
    </row>
    <row r="553" ht="14.25" customHeight="1">
      <c r="C553" s="243"/>
    </row>
    <row r="554" ht="14.25" customHeight="1">
      <c r="C554" s="243"/>
    </row>
    <row r="555" ht="14.25" customHeight="1">
      <c r="C555" s="243"/>
    </row>
    <row r="556" ht="14.25" customHeight="1">
      <c r="C556" s="243"/>
    </row>
    <row r="557" ht="14.25" customHeight="1">
      <c r="C557" s="243"/>
    </row>
    <row r="558" ht="14.25" customHeight="1">
      <c r="C558" s="243"/>
    </row>
    <row r="559" ht="14.25" customHeight="1">
      <c r="C559" s="243"/>
    </row>
    <row r="560" ht="14.25" customHeight="1">
      <c r="C560" s="243"/>
    </row>
    <row r="561" ht="14.25" customHeight="1">
      <c r="C561" s="243"/>
    </row>
    <row r="562" ht="14.25" customHeight="1">
      <c r="C562" s="243"/>
    </row>
    <row r="563" ht="14.25" customHeight="1">
      <c r="C563" s="243"/>
    </row>
    <row r="564" ht="14.25" customHeight="1">
      <c r="C564" s="243"/>
    </row>
    <row r="565" ht="14.25" customHeight="1">
      <c r="C565" s="243"/>
    </row>
    <row r="566" ht="14.25" customHeight="1">
      <c r="C566" s="243"/>
    </row>
    <row r="567" ht="14.25" customHeight="1">
      <c r="C567" s="243"/>
    </row>
    <row r="568" ht="14.25" customHeight="1">
      <c r="C568" s="243"/>
    </row>
    <row r="569" ht="14.25" customHeight="1">
      <c r="C569" s="243"/>
    </row>
    <row r="570" ht="14.25" customHeight="1">
      <c r="C570" s="243"/>
    </row>
    <row r="571" ht="14.25" customHeight="1">
      <c r="C571" s="243"/>
    </row>
    <row r="572" ht="14.25" customHeight="1">
      <c r="C572" s="243"/>
    </row>
    <row r="573" ht="14.25" customHeight="1">
      <c r="C573" s="243"/>
    </row>
    <row r="574" ht="14.25" customHeight="1">
      <c r="C574" s="243"/>
    </row>
    <row r="575" ht="14.25" customHeight="1">
      <c r="C575" s="243"/>
    </row>
    <row r="576" ht="14.25" customHeight="1">
      <c r="C576" s="243"/>
    </row>
    <row r="577" ht="14.25" customHeight="1">
      <c r="C577" s="243"/>
    </row>
    <row r="578" ht="14.25" customHeight="1">
      <c r="C578" s="243"/>
    </row>
    <row r="579" ht="14.25" customHeight="1">
      <c r="C579" s="243"/>
    </row>
    <row r="580" ht="14.25" customHeight="1">
      <c r="C580" s="243"/>
    </row>
    <row r="581" ht="14.25" customHeight="1">
      <c r="C581" s="243"/>
    </row>
    <row r="582" ht="14.25" customHeight="1">
      <c r="C582" s="243"/>
    </row>
    <row r="583" ht="14.25" customHeight="1">
      <c r="C583" s="243"/>
    </row>
    <row r="584" ht="14.25" customHeight="1">
      <c r="C584" s="243"/>
    </row>
    <row r="585" ht="14.25" customHeight="1">
      <c r="C585" s="243"/>
    </row>
    <row r="586" ht="14.25" customHeight="1">
      <c r="C586" s="243"/>
    </row>
    <row r="587" ht="14.25" customHeight="1">
      <c r="C587" s="243"/>
    </row>
    <row r="588" ht="14.25" customHeight="1">
      <c r="C588" s="243"/>
    </row>
    <row r="589" ht="14.25" customHeight="1">
      <c r="C589" s="243"/>
    </row>
    <row r="590" ht="14.25" customHeight="1">
      <c r="C590" s="243"/>
    </row>
    <row r="591" ht="14.25" customHeight="1">
      <c r="C591" s="243"/>
    </row>
    <row r="592" ht="14.25" customHeight="1">
      <c r="C592" s="243"/>
    </row>
    <row r="593" ht="14.25" customHeight="1">
      <c r="C593" s="243"/>
    </row>
    <row r="594" ht="14.25" customHeight="1">
      <c r="C594" s="243"/>
    </row>
    <row r="595" ht="14.25" customHeight="1">
      <c r="C595" s="243"/>
    </row>
    <row r="596" ht="14.25" customHeight="1">
      <c r="C596" s="243"/>
    </row>
    <row r="597" ht="14.25" customHeight="1">
      <c r="C597" s="243"/>
    </row>
    <row r="598" ht="14.25" customHeight="1">
      <c r="C598" s="243"/>
    </row>
    <row r="599" ht="14.25" customHeight="1">
      <c r="C599" s="243"/>
    </row>
    <row r="600" ht="14.25" customHeight="1">
      <c r="C600" s="243"/>
    </row>
    <row r="601" ht="14.25" customHeight="1">
      <c r="C601" s="243"/>
    </row>
    <row r="602" ht="14.25" customHeight="1">
      <c r="C602" s="243"/>
    </row>
    <row r="603" ht="14.25" customHeight="1">
      <c r="C603" s="243"/>
    </row>
    <row r="604" ht="14.25" customHeight="1">
      <c r="C604" s="243"/>
    </row>
    <row r="605" ht="14.25" customHeight="1">
      <c r="C605" s="243"/>
    </row>
    <row r="606" ht="14.25" customHeight="1">
      <c r="C606" s="243"/>
    </row>
    <row r="607" ht="14.25" customHeight="1">
      <c r="C607" s="243"/>
    </row>
    <row r="608" ht="14.25" customHeight="1">
      <c r="C608" s="243"/>
    </row>
    <row r="609" ht="14.25" customHeight="1">
      <c r="C609" s="243"/>
    </row>
    <row r="610" ht="14.25" customHeight="1">
      <c r="C610" s="243"/>
    </row>
    <row r="611" ht="14.25" customHeight="1">
      <c r="C611" s="243"/>
    </row>
    <row r="612" ht="14.25" customHeight="1">
      <c r="C612" s="243"/>
    </row>
    <row r="613" ht="14.25" customHeight="1">
      <c r="C613" s="243"/>
    </row>
    <row r="614" ht="14.25" customHeight="1">
      <c r="C614" s="243"/>
    </row>
    <row r="615" ht="14.25" customHeight="1">
      <c r="C615" s="243"/>
    </row>
    <row r="616" ht="14.25" customHeight="1">
      <c r="C616" s="243"/>
    </row>
    <row r="617" ht="14.25" customHeight="1">
      <c r="C617" s="243"/>
    </row>
    <row r="618" ht="14.25" customHeight="1">
      <c r="C618" s="243"/>
    </row>
    <row r="619" ht="14.25" customHeight="1">
      <c r="C619" s="243"/>
    </row>
    <row r="620" ht="14.25" customHeight="1">
      <c r="C620" s="243"/>
    </row>
    <row r="621" ht="14.25" customHeight="1">
      <c r="C621" s="243"/>
    </row>
    <row r="622" ht="14.25" customHeight="1">
      <c r="C622" s="243"/>
    </row>
    <row r="623" ht="14.25" customHeight="1">
      <c r="C623" s="243"/>
    </row>
    <row r="624" ht="14.25" customHeight="1">
      <c r="C624" s="243"/>
    </row>
    <row r="625" ht="14.25" customHeight="1">
      <c r="C625" s="243"/>
    </row>
    <row r="626" ht="14.25" customHeight="1">
      <c r="C626" s="243"/>
    </row>
    <row r="627" ht="14.25" customHeight="1">
      <c r="C627" s="243"/>
    </row>
    <row r="628" ht="14.25" customHeight="1">
      <c r="C628" s="243"/>
    </row>
    <row r="629" ht="14.25" customHeight="1">
      <c r="C629" s="243"/>
    </row>
    <row r="630" ht="14.25" customHeight="1">
      <c r="C630" s="243"/>
    </row>
    <row r="631" ht="14.25" customHeight="1">
      <c r="C631" s="243"/>
    </row>
    <row r="632" ht="14.25" customHeight="1">
      <c r="C632" s="243"/>
    </row>
    <row r="633" ht="14.25" customHeight="1">
      <c r="C633" s="243"/>
    </row>
    <row r="634" ht="14.25" customHeight="1">
      <c r="C634" s="243"/>
    </row>
    <row r="635" ht="14.25" customHeight="1">
      <c r="C635" s="243"/>
    </row>
    <row r="636" ht="14.25" customHeight="1">
      <c r="C636" s="243"/>
    </row>
    <row r="637" ht="14.25" customHeight="1">
      <c r="C637" s="243"/>
    </row>
    <row r="638" ht="14.25" customHeight="1">
      <c r="C638" s="243"/>
    </row>
    <row r="639" ht="14.25" customHeight="1">
      <c r="C639" s="243"/>
    </row>
    <row r="640" ht="14.25" customHeight="1">
      <c r="C640" s="243"/>
    </row>
    <row r="641" ht="14.25" customHeight="1">
      <c r="C641" s="243"/>
    </row>
    <row r="642" ht="14.25" customHeight="1">
      <c r="C642" s="243"/>
    </row>
    <row r="643" ht="14.25" customHeight="1">
      <c r="C643" s="243"/>
    </row>
    <row r="644" ht="14.25" customHeight="1">
      <c r="C644" s="243"/>
    </row>
    <row r="645" ht="14.25" customHeight="1">
      <c r="C645" s="243"/>
    </row>
    <row r="646" ht="14.25" customHeight="1">
      <c r="C646" s="243"/>
    </row>
    <row r="647" ht="14.25" customHeight="1">
      <c r="C647" s="243"/>
    </row>
    <row r="648" ht="14.25" customHeight="1">
      <c r="C648" s="243"/>
    </row>
    <row r="649" ht="14.25" customHeight="1">
      <c r="C649" s="243"/>
    </row>
    <row r="650" ht="14.25" customHeight="1">
      <c r="C650" s="243"/>
    </row>
    <row r="651" ht="14.25" customHeight="1">
      <c r="C651" s="243"/>
    </row>
    <row r="652" ht="14.25" customHeight="1">
      <c r="C652" s="243"/>
    </row>
    <row r="653" ht="14.25" customHeight="1">
      <c r="C653" s="243"/>
    </row>
    <row r="654" ht="14.25" customHeight="1">
      <c r="C654" s="243"/>
    </row>
    <row r="655" ht="14.25" customHeight="1">
      <c r="C655" s="243"/>
    </row>
    <row r="656" ht="14.25" customHeight="1">
      <c r="C656" s="243"/>
    </row>
    <row r="657" ht="14.25" customHeight="1">
      <c r="C657" s="243"/>
    </row>
    <row r="658" ht="14.25" customHeight="1">
      <c r="C658" s="243"/>
    </row>
    <row r="659" ht="14.25" customHeight="1">
      <c r="C659" s="243"/>
    </row>
    <row r="660" ht="14.25" customHeight="1">
      <c r="C660" s="243"/>
    </row>
    <row r="661" ht="14.25" customHeight="1">
      <c r="C661" s="243"/>
    </row>
    <row r="662" ht="14.25" customHeight="1">
      <c r="C662" s="243"/>
    </row>
    <row r="663" ht="14.25" customHeight="1">
      <c r="C663" s="243"/>
    </row>
    <row r="664" ht="14.25" customHeight="1">
      <c r="C664" s="243"/>
    </row>
    <row r="665" ht="14.25" customHeight="1">
      <c r="C665" s="243"/>
    </row>
    <row r="666" ht="14.25" customHeight="1">
      <c r="C666" s="243"/>
    </row>
    <row r="667" ht="14.25" customHeight="1">
      <c r="C667" s="243"/>
    </row>
    <row r="668" ht="14.25" customHeight="1">
      <c r="C668" s="243"/>
    </row>
    <row r="669" ht="14.25" customHeight="1">
      <c r="C669" s="243"/>
    </row>
    <row r="670" ht="14.25" customHeight="1">
      <c r="C670" s="243"/>
    </row>
    <row r="671" ht="14.25" customHeight="1">
      <c r="C671" s="243"/>
    </row>
    <row r="672" ht="14.25" customHeight="1">
      <c r="C672" s="243"/>
    </row>
    <row r="673" ht="14.25" customHeight="1">
      <c r="C673" s="243"/>
    </row>
    <row r="674" ht="14.25" customHeight="1">
      <c r="C674" s="243"/>
    </row>
    <row r="675" ht="14.25" customHeight="1">
      <c r="C675" s="243"/>
    </row>
    <row r="676" ht="14.25" customHeight="1">
      <c r="C676" s="243"/>
    </row>
    <row r="677" ht="14.25" customHeight="1">
      <c r="C677" s="243"/>
    </row>
    <row r="678" ht="14.25" customHeight="1">
      <c r="C678" s="243"/>
    </row>
    <row r="679" ht="14.25" customHeight="1">
      <c r="C679" s="243"/>
    </row>
    <row r="680" ht="14.25" customHeight="1">
      <c r="C680" s="243"/>
    </row>
    <row r="681" ht="14.25" customHeight="1">
      <c r="C681" s="243"/>
    </row>
    <row r="682" ht="14.25" customHeight="1">
      <c r="C682" s="243"/>
    </row>
    <row r="683" ht="14.25" customHeight="1">
      <c r="C683" s="243"/>
    </row>
    <row r="684" ht="14.25" customHeight="1">
      <c r="C684" s="243"/>
    </row>
    <row r="685" ht="14.25" customHeight="1">
      <c r="C685" s="243"/>
    </row>
    <row r="686" ht="14.25" customHeight="1">
      <c r="C686" s="243"/>
    </row>
    <row r="687" ht="14.25" customHeight="1">
      <c r="C687" s="243"/>
    </row>
    <row r="688" ht="14.25" customHeight="1">
      <c r="C688" s="243"/>
    </row>
    <row r="689" ht="14.25" customHeight="1">
      <c r="C689" s="243"/>
    </row>
    <row r="690" ht="14.25" customHeight="1">
      <c r="C690" s="243"/>
    </row>
    <row r="691" ht="14.25" customHeight="1">
      <c r="C691" s="243"/>
    </row>
    <row r="692" ht="14.25" customHeight="1">
      <c r="C692" s="243"/>
    </row>
    <row r="693" ht="14.25" customHeight="1">
      <c r="C693" s="243"/>
    </row>
    <row r="694" ht="14.25" customHeight="1">
      <c r="C694" s="243"/>
    </row>
    <row r="695" ht="14.25" customHeight="1">
      <c r="C695" s="243"/>
    </row>
    <row r="696" ht="14.25" customHeight="1">
      <c r="C696" s="243"/>
    </row>
    <row r="697" ht="14.25" customHeight="1">
      <c r="C697" s="243"/>
    </row>
    <row r="698" ht="14.25" customHeight="1">
      <c r="C698" s="243"/>
    </row>
    <row r="699" ht="14.25" customHeight="1">
      <c r="C699" s="243"/>
    </row>
    <row r="700" ht="14.25" customHeight="1">
      <c r="C700" s="243"/>
    </row>
    <row r="701" ht="14.25" customHeight="1">
      <c r="C701" s="243"/>
    </row>
    <row r="702" ht="14.25" customHeight="1">
      <c r="C702" s="243"/>
    </row>
    <row r="703" ht="14.25" customHeight="1">
      <c r="C703" s="243"/>
    </row>
    <row r="704" ht="14.25" customHeight="1">
      <c r="C704" s="243"/>
    </row>
    <row r="705" ht="14.25" customHeight="1">
      <c r="C705" s="243"/>
    </row>
    <row r="706" ht="14.25" customHeight="1">
      <c r="C706" s="243"/>
    </row>
    <row r="707" ht="14.25" customHeight="1">
      <c r="C707" s="243"/>
    </row>
    <row r="708" ht="14.25" customHeight="1">
      <c r="C708" s="243"/>
    </row>
    <row r="709" ht="14.25" customHeight="1">
      <c r="C709" s="243"/>
    </row>
    <row r="710" ht="14.25" customHeight="1">
      <c r="C710" s="243"/>
    </row>
    <row r="711" ht="14.25" customHeight="1">
      <c r="C711" s="243"/>
    </row>
    <row r="712" ht="14.25" customHeight="1">
      <c r="C712" s="243"/>
    </row>
    <row r="713" ht="14.25" customHeight="1">
      <c r="C713" s="243"/>
    </row>
    <row r="714" ht="14.25" customHeight="1">
      <c r="C714" s="243"/>
    </row>
    <row r="715" ht="14.25" customHeight="1">
      <c r="C715" s="243"/>
    </row>
    <row r="716" ht="14.25" customHeight="1">
      <c r="C716" s="243"/>
    </row>
    <row r="717" ht="14.25" customHeight="1">
      <c r="C717" s="243"/>
    </row>
    <row r="718" ht="14.25" customHeight="1">
      <c r="C718" s="243"/>
    </row>
    <row r="719" ht="14.25" customHeight="1">
      <c r="C719" s="243"/>
    </row>
    <row r="720" ht="14.25" customHeight="1">
      <c r="C720" s="243"/>
    </row>
    <row r="721" ht="14.25" customHeight="1">
      <c r="C721" s="243"/>
    </row>
    <row r="722" ht="14.25" customHeight="1">
      <c r="C722" s="243"/>
    </row>
    <row r="723" ht="14.25" customHeight="1">
      <c r="C723" s="243"/>
    </row>
    <row r="724" ht="14.25" customHeight="1">
      <c r="C724" s="243"/>
    </row>
    <row r="725" ht="14.25" customHeight="1">
      <c r="C725" s="243"/>
    </row>
    <row r="726" ht="14.25" customHeight="1">
      <c r="C726" s="243"/>
    </row>
    <row r="727" ht="14.25" customHeight="1">
      <c r="C727" s="243"/>
    </row>
    <row r="728" ht="14.25" customHeight="1">
      <c r="C728" s="243"/>
    </row>
    <row r="729" ht="14.25" customHeight="1">
      <c r="C729" s="243"/>
    </row>
    <row r="730" ht="14.25" customHeight="1">
      <c r="C730" s="243"/>
    </row>
    <row r="731" ht="14.25" customHeight="1">
      <c r="C731" s="243"/>
    </row>
    <row r="732" ht="14.25" customHeight="1">
      <c r="C732" s="243"/>
    </row>
    <row r="733" ht="14.25" customHeight="1">
      <c r="C733" s="243"/>
    </row>
    <row r="734" ht="14.25" customHeight="1">
      <c r="C734" s="243"/>
    </row>
    <row r="735" ht="14.25" customHeight="1">
      <c r="C735" s="243"/>
    </row>
    <row r="736" ht="14.25" customHeight="1">
      <c r="C736" s="243"/>
    </row>
    <row r="737" ht="14.25" customHeight="1">
      <c r="C737" s="243"/>
    </row>
    <row r="738" ht="14.25" customHeight="1">
      <c r="C738" s="243"/>
    </row>
    <row r="739" ht="14.25" customHeight="1">
      <c r="C739" s="243"/>
    </row>
    <row r="740" ht="14.25" customHeight="1">
      <c r="C740" s="243"/>
    </row>
    <row r="741" ht="14.25" customHeight="1">
      <c r="C741" s="243"/>
    </row>
    <row r="742" ht="14.25" customHeight="1">
      <c r="C742" s="243"/>
    </row>
    <row r="743" ht="14.25" customHeight="1">
      <c r="C743" s="243"/>
    </row>
    <row r="744" ht="14.25" customHeight="1">
      <c r="C744" s="243"/>
    </row>
    <row r="745" ht="14.25" customHeight="1">
      <c r="C745" s="243"/>
    </row>
    <row r="746" ht="14.25" customHeight="1">
      <c r="C746" s="243"/>
    </row>
    <row r="747" ht="14.25" customHeight="1">
      <c r="C747" s="243"/>
    </row>
    <row r="748" ht="14.25" customHeight="1">
      <c r="C748" s="243"/>
    </row>
    <row r="749" ht="14.25" customHeight="1">
      <c r="C749" s="243"/>
    </row>
    <row r="750" ht="14.25" customHeight="1">
      <c r="C750" s="243"/>
    </row>
    <row r="751" ht="14.25" customHeight="1">
      <c r="C751" s="243"/>
    </row>
    <row r="752" ht="14.25" customHeight="1">
      <c r="C752" s="243"/>
    </row>
    <row r="753" ht="14.25" customHeight="1">
      <c r="C753" s="243"/>
    </row>
    <row r="754" ht="14.25" customHeight="1">
      <c r="C754" s="243"/>
    </row>
    <row r="755" ht="14.25" customHeight="1">
      <c r="C755" s="243"/>
    </row>
    <row r="756" ht="14.25" customHeight="1">
      <c r="C756" s="243"/>
    </row>
    <row r="757" ht="14.25" customHeight="1">
      <c r="C757" s="243"/>
    </row>
    <row r="758" ht="14.25" customHeight="1">
      <c r="C758" s="243"/>
    </row>
    <row r="759" ht="14.25" customHeight="1">
      <c r="C759" s="243"/>
    </row>
    <row r="760" ht="14.25" customHeight="1">
      <c r="C760" s="243"/>
    </row>
    <row r="761" ht="14.25" customHeight="1">
      <c r="C761" s="243"/>
    </row>
    <row r="762" ht="14.25" customHeight="1">
      <c r="C762" s="243"/>
    </row>
    <row r="763" ht="14.25" customHeight="1">
      <c r="C763" s="243"/>
    </row>
    <row r="764" ht="14.25" customHeight="1">
      <c r="C764" s="243"/>
    </row>
    <row r="765" ht="14.25" customHeight="1">
      <c r="C765" s="243"/>
    </row>
    <row r="766" ht="14.25" customHeight="1">
      <c r="C766" s="243"/>
    </row>
    <row r="767" ht="14.25" customHeight="1">
      <c r="C767" s="243"/>
    </row>
    <row r="768" ht="14.25" customHeight="1">
      <c r="C768" s="243"/>
    </row>
    <row r="769" ht="14.25" customHeight="1">
      <c r="C769" s="243"/>
    </row>
    <row r="770" ht="14.25" customHeight="1">
      <c r="C770" s="243"/>
    </row>
    <row r="771" ht="14.25" customHeight="1">
      <c r="C771" s="243"/>
    </row>
    <row r="772" ht="14.25" customHeight="1">
      <c r="C772" s="243"/>
    </row>
    <row r="773" ht="14.25" customHeight="1">
      <c r="C773" s="243"/>
    </row>
    <row r="774" ht="14.25" customHeight="1">
      <c r="C774" s="243"/>
    </row>
    <row r="775" ht="14.25" customHeight="1">
      <c r="C775" s="243"/>
    </row>
    <row r="776" ht="14.25" customHeight="1">
      <c r="C776" s="243"/>
    </row>
    <row r="777" ht="14.25" customHeight="1">
      <c r="C777" s="243"/>
    </row>
    <row r="778" ht="14.25" customHeight="1">
      <c r="C778" s="243"/>
    </row>
    <row r="779" ht="14.25" customHeight="1">
      <c r="C779" s="243"/>
    </row>
    <row r="780" ht="14.25" customHeight="1">
      <c r="C780" s="243"/>
    </row>
    <row r="781" ht="14.25" customHeight="1">
      <c r="C781" s="243"/>
    </row>
    <row r="782" ht="14.25" customHeight="1">
      <c r="C782" s="243"/>
    </row>
    <row r="783" ht="14.25" customHeight="1">
      <c r="C783" s="243"/>
    </row>
    <row r="784" ht="14.25" customHeight="1">
      <c r="C784" s="243"/>
    </row>
    <row r="785" ht="14.25" customHeight="1">
      <c r="C785" s="243"/>
    </row>
    <row r="786" ht="14.25" customHeight="1">
      <c r="C786" s="243"/>
    </row>
    <row r="787" ht="14.25" customHeight="1">
      <c r="C787" s="243"/>
    </row>
    <row r="788" ht="14.25" customHeight="1">
      <c r="C788" s="243"/>
    </row>
    <row r="789" ht="14.25" customHeight="1">
      <c r="C789" s="243"/>
    </row>
    <row r="790" ht="14.25" customHeight="1">
      <c r="C790" s="243"/>
    </row>
    <row r="791" ht="14.25" customHeight="1">
      <c r="C791" s="243"/>
    </row>
    <row r="792" ht="14.25" customHeight="1">
      <c r="C792" s="243"/>
    </row>
    <row r="793" ht="14.25" customHeight="1">
      <c r="C793" s="243"/>
    </row>
    <row r="794" ht="14.25" customHeight="1">
      <c r="C794" s="243"/>
    </row>
    <row r="795" ht="14.25" customHeight="1">
      <c r="C795" s="243"/>
    </row>
    <row r="796" ht="14.25" customHeight="1">
      <c r="C796" s="243"/>
    </row>
    <row r="797" ht="14.25" customHeight="1">
      <c r="C797" s="243"/>
    </row>
    <row r="798" ht="14.25" customHeight="1">
      <c r="C798" s="243"/>
    </row>
    <row r="799" ht="14.25" customHeight="1">
      <c r="C799" s="243"/>
    </row>
    <row r="800" ht="14.25" customHeight="1">
      <c r="C800" s="243"/>
    </row>
    <row r="801" ht="14.25" customHeight="1">
      <c r="C801" s="243"/>
    </row>
    <row r="802" ht="14.25" customHeight="1">
      <c r="C802" s="243"/>
    </row>
    <row r="803" ht="14.25" customHeight="1">
      <c r="C803" s="243"/>
    </row>
    <row r="804" ht="14.25" customHeight="1">
      <c r="C804" s="243"/>
    </row>
    <row r="805" ht="14.25" customHeight="1">
      <c r="C805" s="243"/>
    </row>
    <row r="806" ht="14.25" customHeight="1">
      <c r="C806" s="243"/>
    </row>
    <row r="807" ht="14.25" customHeight="1">
      <c r="C807" s="243"/>
    </row>
    <row r="808" ht="14.25" customHeight="1">
      <c r="C808" s="243"/>
    </row>
    <row r="809" ht="14.25" customHeight="1">
      <c r="C809" s="243"/>
    </row>
    <row r="810" ht="14.25" customHeight="1">
      <c r="C810" s="243"/>
    </row>
    <row r="811" ht="14.25" customHeight="1">
      <c r="C811" s="243"/>
    </row>
    <row r="812" ht="14.25" customHeight="1">
      <c r="C812" s="243"/>
    </row>
    <row r="813" ht="14.25" customHeight="1">
      <c r="C813" s="243"/>
    </row>
    <row r="814" ht="14.25" customHeight="1">
      <c r="C814" s="243"/>
    </row>
    <row r="815" ht="14.25" customHeight="1">
      <c r="C815" s="243"/>
    </row>
    <row r="816" ht="14.25" customHeight="1">
      <c r="C816" s="243"/>
    </row>
    <row r="817" ht="14.25" customHeight="1">
      <c r="C817" s="243"/>
    </row>
    <row r="818" ht="14.25" customHeight="1">
      <c r="C818" s="243"/>
    </row>
    <row r="819" ht="14.25" customHeight="1">
      <c r="C819" s="243"/>
    </row>
    <row r="820" ht="14.25" customHeight="1">
      <c r="C820" s="243"/>
    </row>
    <row r="821" ht="14.25" customHeight="1">
      <c r="C821" s="243"/>
    </row>
    <row r="822" ht="14.25" customHeight="1">
      <c r="C822" s="243"/>
    </row>
    <row r="823" ht="14.25" customHeight="1">
      <c r="C823" s="243"/>
    </row>
    <row r="824" ht="14.25" customHeight="1">
      <c r="C824" s="243"/>
    </row>
    <row r="825" ht="14.25" customHeight="1">
      <c r="C825" s="243"/>
    </row>
    <row r="826" ht="14.25" customHeight="1">
      <c r="C826" s="243"/>
    </row>
    <row r="827" ht="14.25" customHeight="1">
      <c r="C827" s="243"/>
    </row>
    <row r="828" ht="14.25" customHeight="1">
      <c r="C828" s="243"/>
    </row>
    <row r="829" ht="14.25" customHeight="1">
      <c r="C829" s="243"/>
    </row>
    <row r="830" ht="14.25" customHeight="1">
      <c r="C830" s="243"/>
    </row>
    <row r="831" ht="14.25" customHeight="1">
      <c r="C831" s="243"/>
    </row>
    <row r="832" ht="14.25" customHeight="1">
      <c r="C832" s="243"/>
    </row>
    <row r="833" ht="14.25" customHeight="1">
      <c r="C833" s="243"/>
    </row>
    <row r="834" ht="14.25" customHeight="1">
      <c r="C834" s="243"/>
    </row>
    <row r="835" ht="14.25" customHeight="1">
      <c r="C835" s="243"/>
    </row>
    <row r="836" ht="14.25" customHeight="1">
      <c r="C836" s="243"/>
    </row>
    <row r="837" ht="14.25" customHeight="1">
      <c r="C837" s="243"/>
    </row>
    <row r="838" ht="14.25" customHeight="1">
      <c r="C838" s="243"/>
    </row>
    <row r="839" ht="14.25" customHeight="1">
      <c r="C839" s="243"/>
    </row>
    <row r="840" ht="14.25" customHeight="1">
      <c r="C840" s="243"/>
    </row>
    <row r="841" ht="14.25" customHeight="1">
      <c r="C841" s="243"/>
    </row>
    <row r="842" ht="14.25" customHeight="1">
      <c r="C842" s="243"/>
    </row>
    <row r="843" ht="14.25" customHeight="1">
      <c r="C843" s="243"/>
    </row>
    <row r="844" ht="14.25" customHeight="1">
      <c r="C844" s="243"/>
    </row>
    <row r="845" ht="14.25" customHeight="1">
      <c r="C845" s="243"/>
    </row>
    <row r="846" ht="14.25" customHeight="1">
      <c r="C846" s="243"/>
    </row>
    <row r="847" ht="14.25" customHeight="1">
      <c r="C847" s="243"/>
    </row>
    <row r="848" ht="14.25" customHeight="1">
      <c r="C848" s="243"/>
    </row>
    <row r="849" ht="14.25" customHeight="1">
      <c r="C849" s="243"/>
    </row>
    <row r="850" ht="14.25" customHeight="1">
      <c r="C850" s="243"/>
    </row>
    <row r="851" ht="14.25" customHeight="1">
      <c r="C851" s="243"/>
    </row>
    <row r="852" ht="14.25" customHeight="1">
      <c r="C852" s="243"/>
    </row>
    <row r="853" ht="14.25" customHeight="1">
      <c r="C853" s="243"/>
    </row>
    <row r="854" ht="14.25" customHeight="1">
      <c r="C854" s="243"/>
    </row>
    <row r="855" ht="14.25" customHeight="1">
      <c r="C855" s="243"/>
    </row>
    <row r="856" ht="14.25" customHeight="1">
      <c r="C856" s="243"/>
    </row>
    <row r="857" ht="14.25" customHeight="1">
      <c r="C857" s="243"/>
    </row>
    <row r="858" ht="14.25" customHeight="1">
      <c r="C858" s="243"/>
    </row>
    <row r="859" ht="14.25" customHeight="1">
      <c r="C859" s="243"/>
    </row>
    <row r="860" ht="14.25" customHeight="1">
      <c r="C860" s="243"/>
    </row>
    <row r="861" ht="14.25" customHeight="1">
      <c r="C861" s="243"/>
    </row>
    <row r="862" ht="14.25" customHeight="1">
      <c r="C862" s="243"/>
    </row>
    <row r="863" ht="14.25" customHeight="1">
      <c r="C863" s="243"/>
    </row>
    <row r="864" ht="14.25" customHeight="1">
      <c r="C864" s="243"/>
    </row>
    <row r="865" ht="14.25" customHeight="1">
      <c r="C865" s="243"/>
    </row>
    <row r="866" ht="14.25" customHeight="1">
      <c r="C866" s="243"/>
    </row>
    <row r="867" ht="14.25" customHeight="1">
      <c r="C867" s="243"/>
    </row>
    <row r="868" ht="14.25" customHeight="1">
      <c r="C868" s="243"/>
    </row>
    <row r="869" ht="14.25" customHeight="1">
      <c r="C869" s="243"/>
    </row>
    <row r="870" ht="14.25" customHeight="1">
      <c r="C870" s="243"/>
    </row>
    <row r="871" ht="14.25" customHeight="1">
      <c r="C871" s="243"/>
    </row>
    <row r="872" ht="14.25" customHeight="1">
      <c r="C872" s="243"/>
    </row>
    <row r="873" ht="14.25" customHeight="1">
      <c r="C873" s="243"/>
    </row>
    <row r="874" ht="14.25" customHeight="1">
      <c r="C874" s="243"/>
    </row>
    <row r="875" ht="14.25" customHeight="1">
      <c r="C875" s="243"/>
    </row>
    <row r="876" ht="14.25" customHeight="1">
      <c r="C876" s="243"/>
    </row>
    <row r="877" ht="14.25" customHeight="1">
      <c r="C877" s="243"/>
    </row>
    <row r="878" ht="14.25" customHeight="1">
      <c r="C878" s="243"/>
    </row>
    <row r="879" ht="14.25" customHeight="1">
      <c r="C879" s="243"/>
    </row>
    <row r="880" ht="14.25" customHeight="1">
      <c r="C880" s="243"/>
    </row>
    <row r="881" ht="14.25" customHeight="1">
      <c r="C881" s="243"/>
    </row>
    <row r="882" ht="14.25" customHeight="1">
      <c r="C882" s="243"/>
    </row>
    <row r="883" ht="14.25" customHeight="1">
      <c r="C883" s="243"/>
    </row>
    <row r="884" ht="14.25" customHeight="1">
      <c r="C884" s="243"/>
    </row>
    <row r="885" ht="14.25" customHeight="1">
      <c r="C885" s="243"/>
    </row>
    <row r="886" ht="14.25" customHeight="1">
      <c r="C886" s="243"/>
    </row>
    <row r="887" ht="14.25" customHeight="1">
      <c r="C887" s="243"/>
    </row>
    <row r="888" ht="14.25" customHeight="1">
      <c r="C888" s="243"/>
    </row>
    <row r="889" ht="14.25" customHeight="1">
      <c r="C889" s="243"/>
    </row>
    <row r="890" ht="14.25" customHeight="1">
      <c r="C890" s="243"/>
    </row>
    <row r="891" ht="14.25" customHeight="1">
      <c r="C891" s="243"/>
    </row>
    <row r="892" ht="14.25" customHeight="1">
      <c r="C892" s="243"/>
    </row>
    <row r="893" ht="14.25" customHeight="1">
      <c r="C893" s="243"/>
    </row>
    <row r="894" ht="14.25" customHeight="1">
      <c r="C894" s="243"/>
    </row>
    <row r="895" ht="14.25" customHeight="1">
      <c r="C895" s="243"/>
    </row>
    <row r="896" ht="14.25" customHeight="1">
      <c r="C896" s="243"/>
    </row>
    <row r="897" ht="14.25" customHeight="1">
      <c r="C897" s="243"/>
    </row>
    <row r="898" ht="14.25" customHeight="1">
      <c r="C898" s="243"/>
    </row>
    <row r="899" ht="14.25" customHeight="1">
      <c r="C899" s="243"/>
    </row>
    <row r="900" ht="14.25" customHeight="1">
      <c r="C900" s="243"/>
    </row>
    <row r="901" ht="14.25" customHeight="1">
      <c r="C901" s="243"/>
    </row>
    <row r="902" ht="14.25" customHeight="1">
      <c r="C902" s="243"/>
    </row>
    <row r="903" ht="14.25" customHeight="1">
      <c r="C903" s="243"/>
    </row>
    <row r="904" ht="14.25" customHeight="1">
      <c r="C904" s="243"/>
    </row>
    <row r="905" ht="14.25" customHeight="1">
      <c r="C905" s="243"/>
    </row>
    <row r="906" ht="14.25" customHeight="1">
      <c r="C906" s="243"/>
    </row>
    <row r="907" ht="14.25" customHeight="1">
      <c r="C907" s="243"/>
    </row>
    <row r="908" ht="14.25" customHeight="1">
      <c r="C908" s="243"/>
    </row>
    <row r="909" ht="14.25" customHeight="1">
      <c r="C909" s="243"/>
    </row>
    <row r="910" ht="14.25" customHeight="1">
      <c r="C910" s="243"/>
    </row>
    <row r="911" ht="14.25" customHeight="1">
      <c r="C911" s="243"/>
    </row>
    <row r="912" ht="14.25" customHeight="1">
      <c r="C912" s="243"/>
    </row>
    <row r="913" ht="14.25" customHeight="1">
      <c r="C913" s="243"/>
    </row>
    <row r="914" ht="14.25" customHeight="1">
      <c r="C914" s="243"/>
    </row>
    <row r="915" ht="14.25" customHeight="1">
      <c r="C915" s="243"/>
    </row>
    <row r="916" ht="14.25" customHeight="1">
      <c r="C916" s="243"/>
    </row>
    <row r="917" ht="14.25" customHeight="1">
      <c r="C917" s="243"/>
    </row>
    <row r="918" ht="14.25" customHeight="1">
      <c r="C918" s="243"/>
    </row>
    <row r="919" ht="14.25" customHeight="1">
      <c r="C919" s="243"/>
    </row>
    <row r="920" ht="14.25" customHeight="1">
      <c r="C920" s="243"/>
    </row>
    <row r="921" ht="14.25" customHeight="1">
      <c r="C921" s="243"/>
    </row>
    <row r="922" ht="14.25" customHeight="1">
      <c r="C922" s="243"/>
    </row>
    <row r="923" ht="14.25" customHeight="1">
      <c r="C923" s="243"/>
    </row>
    <row r="924" ht="14.25" customHeight="1">
      <c r="C924" s="243"/>
    </row>
    <row r="925" ht="14.25" customHeight="1">
      <c r="C925" s="243"/>
    </row>
    <row r="926" ht="14.25" customHeight="1">
      <c r="C926" s="243"/>
    </row>
    <row r="927" ht="14.25" customHeight="1">
      <c r="C927" s="243"/>
    </row>
    <row r="928" ht="14.25" customHeight="1">
      <c r="C928" s="243"/>
    </row>
    <row r="929" ht="14.25" customHeight="1">
      <c r="C929" s="243"/>
    </row>
    <row r="930" ht="14.25" customHeight="1">
      <c r="C930" s="243"/>
    </row>
    <row r="931" ht="14.25" customHeight="1">
      <c r="C931" s="243"/>
    </row>
    <row r="932" ht="14.25" customHeight="1">
      <c r="C932" s="243"/>
    </row>
    <row r="933" ht="14.25" customHeight="1">
      <c r="C933" s="243"/>
    </row>
    <row r="934" ht="14.25" customHeight="1">
      <c r="C934" s="243"/>
    </row>
    <row r="935" ht="14.25" customHeight="1">
      <c r="C935" s="243"/>
    </row>
    <row r="936" ht="14.25" customHeight="1">
      <c r="C936" s="243"/>
    </row>
    <row r="937" ht="14.25" customHeight="1">
      <c r="C937" s="243"/>
    </row>
    <row r="938" ht="14.25" customHeight="1">
      <c r="C938" s="243"/>
    </row>
    <row r="939" ht="14.25" customHeight="1">
      <c r="C939" s="243"/>
    </row>
    <row r="940" ht="14.25" customHeight="1">
      <c r="C940" s="243"/>
    </row>
    <row r="941" ht="14.25" customHeight="1">
      <c r="C941" s="243"/>
    </row>
    <row r="942" ht="14.25" customHeight="1">
      <c r="C942" s="243"/>
    </row>
    <row r="943" ht="14.25" customHeight="1">
      <c r="C943" s="243"/>
    </row>
    <row r="944" ht="14.25" customHeight="1">
      <c r="C944" s="243"/>
    </row>
    <row r="945" ht="14.25" customHeight="1">
      <c r="C945" s="243"/>
    </row>
    <row r="946" ht="14.25" customHeight="1">
      <c r="C946" s="243"/>
    </row>
    <row r="947" ht="14.25" customHeight="1">
      <c r="C947" s="243"/>
    </row>
    <row r="948" ht="14.25" customHeight="1">
      <c r="C948" s="243"/>
    </row>
    <row r="949" ht="14.25" customHeight="1">
      <c r="C949" s="243"/>
    </row>
    <row r="950" ht="14.25" customHeight="1">
      <c r="C950" s="243"/>
    </row>
    <row r="951" ht="14.25" customHeight="1">
      <c r="C951" s="243"/>
    </row>
    <row r="952" ht="14.25" customHeight="1">
      <c r="C952" s="243"/>
    </row>
    <row r="953" ht="14.25" customHeight="1">
      <c r="C953" s="243"/>
    </row>
    <row r="954" ht="14.25" customHeight="1">
      <c r="C954" s="243"/>
    </row>
    <row r="955" ht="14.25" customHeight="1">
      <c r="C955" s="243"/>
    </row>
    <row r="956" ht="14.25" customHeight="1">
      <c r="C956" s="243"/>
    </row>
    <row r="957" ht="14.25" customHeight="1">
      <c r="C957" s="243"/>
    </row>
    <row r="958" ht="14.25" customHeight="1">
      <c r="C958" s="243"/>
    </row>
    <row r="959" ht="14.25" customHeight="1">
      <c r="C959" s="243"/>
    </row>
    <row r="960" ht="14.25" customHeight="1">
      <c r="C960" s="243"/>
    </row>
    <row r="961" ht="14.25" customHeight="1">
      <c r="C961" s="243"/>
    </row>
    <row r="962" ht="14.25" customHeight="1">
      <c r="C962" s="243"/>
    </row>
    <row r="963" ht="14.25" customHeight="1">
      <c r="C963" s="243"/>
    </row>
    <row r="964" ht="14.25" customHeight="1">
      <c r="C964" s="243"/>
    </row>
    <row r="965" ht="14.25" customHeight="1">
      <c r="C965" s="243"/>
    </row>
    <row r="966" ht="14.25" customHeight="1">
      <c r="C966" s="243"/>
    </row>
    <row r="967" ht="14.25" customHeight="1">
      <c r="C967" s="243"/>
    </row>
    <row r="968" ht="14.25" customHeight="1">
      <c r="C968" s="243"/>
    </row>
    <row r="969" ht="14.25" customHeight="1">
      <c r="C969" s="243"/>
    </row>
    <row r="970" ht="14.25" customHeight="1">
      <c r="C970" s="243"/>
    </row>
    <row r="971" ht="14.25" customHeight="1">
      <c r="C971" s="243"/>
    </row>
    <row r="972" ht="14.25" customHeight="1">
      <c r="C972" s="243"/>
    </row>
    <row r="973" ht="14.25" customHeight="1">
      <c r="C973" s="243"/>
    </row>
    <row r="974" ht="14.25" customHeight="1">
      <c r="C974" s="243"/>
    </row>
    <row r="975" ht="14.25" customHeight="1">
      <c r="C975" s="243"/>
    </row>
    <row r="976" ht="14.25" customHeight="1">
      <c r="C976" s="243"/>
    </row>
    <row r="977" ht="14.25" customHeight="1">
      <c r="C977" s="243"/>
    </row>
    <row r="978" ht="14.25" customHeight="1">
      <c r="C978" s="243"/>
    </row>
    <row r="979" ht="14.25" customHeight="1">
      <c r="C979" s="243"/>
    </row>
    <row r="980" ht="14.25" customHeight="1">
      <c r="C980" s="243"/>
    </row>
    <row r="981" ht="14.25" customHeight="1">
      <c r="C981" s="243"/>
    </row>
    <row r="982" ht="14.25" customHeight="1">
      <c r="C982" s="243"/>
    </row>
    <row r="983" ht="14.25" customHeight="1">
      <c r="C983" s="243"/>
    </row>
    <row r="984" ht="14.25" customHeight="1">
      <c r="C984" s="243"/>
    </row>
    <row r="985" ht="14.25" customHeight="1">
      <c r="C985" s="243"/>
    </row>
    <row r="986" ht="14.25" customHeight="1">
      <c r="C986" s="243"/>
    </row>
    <row r="987" ht="14.25" customHeight="1">
      <c r="C987" s="243"/>
    </row>
    <row r="988" ht="14.25" customHeight="1">
      <c r="C988" s="243"/>
    </row>
    <row r="989" ht="14.25" customHeight="1">
      <c r="C989" s="243"/>
    </row>
    <row r="990" ht="14.25" customHeight="1">
      <c r="C990" s="243"/>
    </row>
    <row r="991" ht="14.25" customHeight="1">
      <c r="C991" s="243"/>
    </row>
    <row r="992" ht="14.25" customHeight="1">
      <c r="C992" s="243"/>
    </row>
    <row r="993" ht="14.25" customHeight="1">
      <c r="C993" s="243"/>
    </row>
    <row r="994" ht="14.25" customHeight="1">
      <c r="C994" s="243"/>
    </row>
    <row r="995" ht="14.25" customHeight="1">
      <c r="C995" s="243"/>
    </row>
    <row r="996" ht="14.25" customHeight="1">
      <c r="C996" s="243"/>
    </row>
    <row r="997" ht="14.25" customHeight="1">
      <c r="C997" s="243"/>
    </row>
    <row r="998" ht="14.25" customHeight="1">
      <c r="C998" s="243"/>
    </row>
    <row r="999" ht="14.25" customHeight="1">
      <c r="C999" s="243"/>
    </row>
    <row r="1000" ht="14.25" customHeight="1">
      <c r="C1000" s="243"/>
    </row>
  </sheetData>
  <mergeCells count="9">
    <mergeCell ref="H75:I75"/>
    <mergeCell ref="I109:J109"/>
    <mergeCell ref="B3:C3"/>
    <mergeCell ref="B12:C12"/>
    <mergeCell ref="I40:J40"/>
    <mergeCell ref="B43:C43"/>
    <mergeCell ref="B51:C51"/>
    <mergeCell ref="C77:D77"/>
    <mergeCell ref="C85:D85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11.14"/>
    <col customWidth="1" min="3" max="3" width="8.71"/>
    <col customWidth="1" min="4" max="4" width="21.0"/>
    <col customWidth="1" min="5" max="5" width="15.14"/>
    <col customWidth="1" min="6" max="26" width="8.71"/>
  </cols>
  <sheetData>
    <row r="1" ht="14.25" customHeight="1">
      <c r="A1" s="244" t="s">
        <v>428</v>
      </c>
      <c r="B1" s="231"/>
      <c r="C1" s="216"/>
      <c r="D1" s="216" t="s">
        <v>238</v>
      </c>
      <c r="E1" s="216"/>
      <c r="G1" s="216" t="s">
        <v>255</v>
      </c>
      <c r="H1" s="216" t="s">
        <v>256</v>
      </c>
      <c r="I1" s="216" t="s">
        <v>243</v>
      </c>
      <c r="J1" s="216" t="s">
        <v>218</v>
      </c>
    </row>
    <row r="2" ht="14.25" customHeight="1">
      <c r="A2" s="216" t="s">
        <v>244</v>
      </c>
      <c r="B2" s="232">
        <v>0.0</v>
      </c>
      <c r="C2" s="216"/>
      <c r="D2" s="216" t="s">
        <v>245</v>
      </c>
      <c r="E2" s="216"/>
      <c r="G2" s="220"/>
      <c r="H2" s="220"/>
      <c r="I2" s="220">
        <f t="shared" ref="I2:I28" si="1">H2-G2</f>
        <v>0</v>
      </c>
      <c r="J2" s="220">
        <f t="shared" ref="J2:J29" si="2">I2-10</f>
        <v>-10</v>
      </c>
    </row>
    <row r="3" ht="14.25" customHeight="1">
      <c r="A3" s="216" t="s">
        <v>246</v>
      </c>
      <c r="B3" s="232">
        <f>E4*E3+ (E11*E12)</f>
        <v>0</v>
      </c>
      <c r="C3" s="216"/>
      <c r="D3" s="216" t="s">
        <v>247</v>
      </c>
      <c r="E3" s="216">
        <f>E2-E1</f>
        <v>0</v>
      </c>
      <c r="G3" s="220"/>
      <c r="H3" s="220"/>
      <c r="I3" s="220">
        <f t="shared" si="1"/>
        <v>0</v>
      </c>
      <c r="J3" s="220">
        <f t="shared" si="2"/>
        <v>-10</v>
      </c>
    </row>
    <row r="4" ht="14.25" customHeight="1">
      <c r="A4" s="216" t="s">
        <v>248</v>
      </c>
      <c r="B4" s="232">
        <f>E5*E6</f>
        <v>0</v>
      </c>
      <c r="C4" s="216"/>
      <c r="D4" s="216" t="s">
        <v>249</v>
      </c>
      <c r="E4" s="232">
        <v>8.0</v>
      </c>
      <c r="G4" s="220"/>
      <c r="H4" s="237"/>
      <c r="I4" s="237">
        <f t="shared" si="1"/>
        <v>0</v>
      </c>
      <c r="J4" s="237">
        <f t="shared" si="2"/>
        <v>-10</v>
      </c>
    </row>
    <row r="5" ht="14.25" customHeight="1">
      <c r="A5" s="216" t="s">
        <v>250</v>
      </c>
      <c r="B5" s="232">
        <f>E7*100</f>
        <v>0</v>
      </c>
      <c r="C5" s="216"/>
      <c r="D5" s="216" t="s">
        <v>251</v>
      </c>
      <c r="E5" s="216"/>
      <c r="G5" s="220"/>
      <c r="H5" s="220"/>
      <c r="I5" s="220">
        <f t="shared" si="1"/>
        <v>0</v>
      </c>
      <c r="J5" s="220">
        <f t="shared" si="2"/>
        <v>-10</v>
      </c>
    </row>
    <row r="6" ht="14.25" customHeight="1">
      <c r="A6" s="216" t="s">
        <v>252</v>
      </c>
      <c r="B6" s="232"/>
      <c r="C6" s="216"/>
      <c r="D6" s="216" t="s">
        <v>249</v>
      </c>
      <c r="E6" s="232">
        <v>8.0</v>
      </c>
      <c r="G6" s="220"/>
      <c r="H6" s="220"/>
      <c r="I6" s="220">
        <f t="shared" si="1"/>
        <v>0</v>
      </c>
      <c r="J6" s="220">
        <f t="shared" si="2"/>
        <v>-10</v>
      </c>
    </row>
    <row r="7" ht="14.25" customHeight="1">
      <c r="A7" s="216" t="s">
        <v>253</v>
      </c>
      <c r="B7" s="232">
        <f>B3+B2</f>
        <v>0</v>
      </c>
      <c r="C7" s="216"/>
      <c r="D7" s="216" t="s">
        <v>250</v>
      </c>
      <c r="E7" s="216"/>
      <c r="G7" s="220"/>
      <c r="H7" s="237"/>
      <c r="I7" s="237">
        <f t="shared" si="1"/>
        <v>0</v>
      </c>
      <c r="J7" s="237">
        <f t="shared" si="2"/>
        <v>-10</v>
      </c>
    </row>
    <row r="8" ht="14.25" customHeight="1">
      <c r="D8" s="242"/>
      <c r="E8" s="242"/>
      <c r="G8" s="220"/>
      <c r="H8" s="220"/>
      <c r="I8" s="220">
        <f t="shared" si="1"/>
        <v>0</v>
      </c>
      <c r="J8" s="220">
        <f t="shared" si="2"/>
        <v>-10</v>
      </c>
    </row>
    <row r="9" ht="14.25" customHeight="1">
      <c r="E9" s="283"/>
      <c r="G9" s="220"/>
      <c r="H9" s="220"/>
      <c r="I9" s="220">
        <f t="shared" si="1"/>
        <v>0</v>
      </c>
      <c r="J9" s="220">
        <f t="shared" si="2"/>
        <v>-10</v>
      </c>
    </row>
    <row r="10" ht="14.25" customHeight="1">
      <c r="A10" s="233">
        <v>44960.0</v>
      </c>
      <c r="B10" s="263" t="s">
        <v>62</v>
      </c>
      <c r="C10" s="165">
        <v>500.0</v>
      </c>
      <c r="G10" s="220"/>
      <c r="H10" s="220"/>
      <c r="I10" s="220">
        <f t="shared" si="1"/>
        <v>0</v>
      </c>
      <c r="J10" s="220">
        <f t="shared" si="2"/>
        <v>-10</v>
      </c>
    </row>
    <row r="11" ht="14.25" customHeight="1">
      <c r="G11" s="220"/>
      <c r="H11" s="220"/>
      <c r="I11" s="220">
        <f t="shared" si="1"/>
        <v>0</v>
      </c>
      <c r="J11" s="220">
        <f t="shared" si="2"/>
        <v>-10</v>
      </c>
    </row>
    <row r="12" ht="14.25" customHeight="1">
      <c r="B12" s="4"/>
      <c r="C12" s="4"/>
      <c r="D12" s="4"/>
      <c r="E12" s="243"/>
      <c r="G12" s="220"/>
      <c r="H12" s="220"/>
      <c r="I12" s="220">
        <f t="shared" si="1"/>
        <v>0</v>
      </c>
      <c r="J12" s="220">
        <f t="shared" si="2"/>
        <v>-10</v>
      </c>
    </row>
    <row r="13" ht="14.25" customHeight="1">
      <c r="B13" s="4"/>
      <c r="C13" s="4"/>
      <c r="D13" s="4"/>
      <c r="G13" s="220" t="str">
        <f t="shared" ref="G13:G24" si="3">H12</f>
        <v/>
      </c>
      <c r="H13" s="237"/>
      <c r="I13" s="237">
        <f t="shared" si="1"/>
        <v>0</v>
      </c>
      <c r="J13" s="237">
        <f t="shared" si="2"/>
        <v>-10</v>
      </c>
    </row>
    <row r="14" ht="14.25" customHeight="1">
      <c r="B14" s="4"/>
      <c r="C14" s="4"/>
      <c r="D14" s="4"/>
      <c r="E14" s="243"/>
      <c r="G14" s="220" t="str">
        <f t="shared" si="3"/>
        <v/>
      </c>
      <c r="H14" s="220"/>
      <c r="I14" s="220">
        <f t="shared" si="1"/>
        <v>0</v>
      </c>
      <c r="J14" s="220">
        <f t="shared" si="2"/>
        <v>-10</v>
      </c>
    </row>
    <row r="15" ht="14.25" customHeight="1">
      <c r="B15" s="4"/>
      <c r="C15" s="4"/>
      <c r="D15" s="4"/>
      <c r="G15" s="220" t="str">
        <f t="shared" si="3"/>
        <v/>
      </c>
      <c r="H15" s="237"/>
      <c r="I15" s="237">
        <f t="shared" si="1"/>
        <v>0</v>
      </c>
      <c r="J15" s="237">
        <f t="shared" si="2"/>
        <v>-10</v>
      </c>
    </row>
    <row r="16" ht="14.25" customHeight="1">
      <c r="B16" s="4"/>
      <c r="D16" s="4"/>
      <c r="G16" s="220" t="str">
        <f t="shared" si="3"/>
        <v/>
      </c>
      <c r="H16" s="220"/>
      <c r="I16" s="220">
        <f t="shared" si="1"/>
        <v>0</v>
      </c>
      <c r="J16" s="220">
        <f t="shared" si="2"/>
        <v>-10</v>
      </c>
    </row>
    <row r="17" ht="14.25" customHeight="1">
      <c r="G17" s="220" t="str">
        <f t="shared" si="3"/>
        <v/>
      </c>
      <c r="H17" s="220"/>
      <c r="I17" s="220">
        <f t="shared" si="1"/>
        <v>0</v>
      </c>
      <c r="J17" s="220">
        <f t="shared" si="2"/>
        <v>-10</v>
      </c>
    </row>
    <row r="18" ht="14.25" customHeight="1">
      <c r="C18" s="261"/>
      <c r="G18" s="220" t="str">
        <f t="shared" si="3"/>
        <v/>
      </c>
      <c r="H18" s="220"/>
      <c r="I18" s="220">
        <f t="shared" si="1"/>
        <v>0</v>
      </c>
      <c r="J18" s="220">
        <f t="shared" si="2"/>
        <v>-10</v>
      </c>
    </row>
    <row r="19" ht="14.25" customHeight="1">
      <c r="G19" s="220" t="str">
        <f t="shared" si="3"/>
        <v/>
      </c>
      <c r="H19" s="220"/>
      <c r="I19" s="220">
        <f t="shared" si="1"/>
        <v>0</v>
      </c>
      <c r="J19" s="220">
        <f t="shared" si="2"/>
        <v>-10</v>
      </c>
    </row>
    <row r="20" ht="14.25" customHeight="1">
      <c r="G20" s="220" t="str">
        <f t="shared" si="3"/>
        <v/>
      </c>
      <c r="H20" s="220"/>
      <c r="I20" s="220">
        <f t="shared" si="1"/>
        <v>0</v>
      </c>
      <c r="J20" s="220">
        <f t="shared" si="2"/>
        <v>-10</v>
      </c>
    </row>
    <row r="21" ht="14.25" customHeight="1">
      <c r="G21" s="220" t="str">
        <f t="shared" si="3"/>
        <v/>
      </c>
      <c r="H21" s="220"/>
      <c r="I21" s="220">
        <f t="shared" si="1"/>
        <v>0</v>
      </c>
      <c r="J21" s="220">
        <f t="shared" si="2"/>
        <v>-10</v>
      </c>
    </row>
    <row r="22" ht="14.25" customHeight="1">
      <c r="G22" s="220" t="str">
        <f t="shared" si="3"/>
        <v/>
      </c>
      <c r="H22" s="220"/>
      <c r="I22" s="220">
        <f t="shared" si="1"/>
        <v>0</v>
      </c>
      <c r="J22" s="220">
        <f t="shared" si="2"/>
        <v>-10</v>
      </c>
    </row>
    <row r="23" ht="14.25" customHeight="1">
      <c r="G23" s="220" t="str">
        <f t="shared" si="3"/>
        <v/>
      </c>
      <c r="H23" s="220"/>
      <c r="I23" s="220">
        <f t="shared" si="1"/>
        <v>0</v>
      </c>
      <c r="J23" s="220">
        <f t="shared" si="2"/>
        <v>-10</v>
      </c>
    </row>
    <row r="24" ht="14.25" customHeight="1">
      <c r="G24" s="220" t="str">
        <f t="shared" si="3"/>
        <v/>
      </c>
      <c r="H24" s="220"/>
      <c r="I24" s="220">
        <f t="shared" si="1"/>
        <v>0</v>
      </c>
      <c r="J24" s="220">
        <f t="shared" si="2"/>
        <v>-10</v>
      </c>
    </row>
    <row r="25" ht="14.25" customHeight="1">
      <c r="G25" s="237"/>
      <c r="H25" s="237"/>
      <c r="I25" s="237">
        <f t="shared" si="1"/>
        <v>0</v>
      </c>
      <c r="J25" s="237">
        <f t="shared" si="2"/>
        <v>-10</v>
      </c>
    </row>
    <row r="26" ht="14.25" customHeight="1">
      <c r="G26" s="220"/>
      <c r="H26" s="220"/>
      <c r="I26" s="220">
        <f t="shared" si="1"/>
        <v>0</v>
      </c>
      <c r="J26" s="220">
        <f t="shared" si="2"/>
        <v>-10</v>
      </c>
    </row>
    <row r="27" ht="14.25" customHeight="1">
      <c r="G27" s="220"/>
      <c r="H27" s="220"/>
      <c r="I27" s="220">
        <f t="shared" si="1"/>
        <v>0</v>
      </c>
      <c r="J27" s="220">
        <f t="shared" si="2"/>
        <v>-10</v>
      </c>
    </row>
    <row r="28" ht="14.25" customHeight="1">
      <c r="G28" s="220"/>
      <c r="H28" s="220"/>
      <c r="I28" s="220">
        <f t="shared" si="1"/>
        <v>0</v>
      </c>
      <c r="J28" s="220">
        <f t="shared" si="2"/>
        <v>-10</v>
      </c>
    </row>
    <row r="29" ht="14.25" customHeight="1">
      <c r="G29" s="234" t="s">
        <v>221</v>
      </c>
      <c r="H29" s="231"/>
      <c r="I29" s="216">
        <f>SUM(I2:I28)</f>
        <v>0</v>
      </c>
      <c r="J29" s="216">
        <f t="shared" si="2"/>
        <v>-10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B1"/>
    <mergeCell ref="B16:C16"/>
    <mergeCell ref="G29:H29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3.86"/>
    <col customWidth="1" min="3" max="3" width="14.57"/>
    <col customWidth="1" min="4" max="4" width="12.43"/>
    <col customWidth="1" min="5" max="5" width="11.29"/>
    <col customWidth="1" min="6" max="6" width="13.29"/>
    <col customWidth="1" min="7" max="7" width="9.71"/>
    <col customWidth="1" min="8" max="8" width="18.0"/>
    <col customWidth="1" min="9" max="10" width="8.71"/>
    <col customWidth="1" min="11" max="11" width="19.29"/>
    <col customWidth="1" min="12" max="12" width="14.14"/>
    <col customWidth="1" min="13" max="26" width="8.71"/>
  </cols>
  <sheetData>
    <row r="1" ht="15.75" customHeight="1">
      <c r="A1" s="238"/>
      <c r="B1" s="238"/>
      <c r="C1" s="238"/>
      <c r="D1" s="238"/>
      <c r="E1" s="238"/>
      <c r="F1" s="239"/>
      <c r="G1" s="240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</row>
    <row r="2" ht="14.25" customHeight="1">
      <c r="C2" s="236">
        <v>44835.0</v>
      </c>
      <c r="D2" s="231"/>
      <c r="E2" s="216"/>
      <c r="F2" s="216" t="s">
        <v>238</v>
      </c>
      <c r="G2" s="216">
        <v>3010.9</v>
      </c>
      <c r="I2" s="216" t="s">
        <v>255</v>
      </c>
      <c r="J2" s="216" t="s">
        <v>256</v>
      </c>
      <c r="K2" s="216" t="s">
        <v>243</v>
      </c>
      <c r="L2" s="216" t="s">
        <v>218</v>
      </c>
    </row>
    <row r="3" ht="14.25" customHeight="1">
      <c r="C3" s="216" t="s">
        <v>244</v>
      </c>
      <c r="D3" s="232">
        <v>2000.0</v>
      </c>
      <c r="E3" s="216"/>
      <c r="F3" s="216" t="s">
        <v>245</v>
      </c>
      <c r="G3" s="216">
        <v>3137.6</v>
      </c>
      <c r="I3" s="237">
        <v>3010.9</v>
      </c>
      <c r="J3" s="237">
        <v>3015.3</v>
      </c>
      <c r="K3" s="237">
        <f t="shared" ref="K3:K29" si="1">J3-I3</f>
        <v>4.4</v>
      </c>
      <c r="L3" s="237">
        <f t="shared" ref="L3:L30" si="2">K3-10</f>
        <v>-5.6</v>
      </c>
    </row>
    <row r="4" ht="14.25" customHeight="1">
      <c r="C4" s="216" t="s">
        <v>246</v>
      </c>
      <c r="D4" s="232">
        <f>G5*G4+ (G12*G13)</f>
        <v>1487</v>
      </c>
      <c r="E4" s="216"/>
      <c r="F4" s="216" t="s">
        <v>247</v>
      </c>
      <c r="G4" s="216">
        <f>G3-G2+22</f>
        <v>148.7</v>
      </c>
      <c r="I4" s="237">
        <f t="shared" ref="I4:I24" si="3">J3</f>
        <v>3015.3</v>
      </c>
      <c r="J4" s="237">
        <v>3017.3</v>
      </c>
      <c r="K4" s="237">
        <f t="shared" si="1"/>
        <v>2</v>
      </c>
      <c r="L4" s="237">
        <f t="shared" si="2"/>
        <v>-8</v>
      </c>
    </row>
    <row r="5" ht="14.25" customHeight="1">
      <c r="C5" s="216" t="s">
        <v>248</v>
      </c>
      <c r="D5" s="232">
        <f>G6*G7</f>
        <v>29</v>
      </c>
      <c r="E5" s="216"/>
      <c r="F5" s="216" t="s">
        <v>249</v>
      </c>
      <c r="G5" s="232">
        <v>10.0</v>
      </c>
      <c r="I5" s="216">
        <f t="shared" si="3"/>
        <v>3017.3</v>
      </c>
      <c r="J5" s="220">
        <v>3028.3</v>
      </c>
      <c r="K5" s="220">
        <f t="shared" si="1"/>
        <v>11</v>
      </c>
      <c r="L5" s="220">
        <f t="shared" si="2"/>
        <v>1</v>
      </c>
      <c r="M5" s="221"/>
    </row>
    <row r="6" ht="14.25" customHeight="1">
      <c r="C6" s="216" t="s">
        <v>250</v>
      </c>
      <c r="D6" s="232">
        <f>G8*100</f>
        <v>0</v>
      </c>
      <c r="E6" s="216"/>
      <c r="F6" s="216" t="s">
        <v>251</v>
      </c>
      <c r="G6" s="216">
        <v>2.9</v>
      </c>
      <c r="I6" s="216">
        <f t="shared" si="3"/>
        <v>3028.3</v>
      </c>
      <c r="J6" s="220">
        <v>3037.2</v>
      </c>
      <c r="K6" s="220">
        <f t="shared" si="1"/>
        <v>8.9</v>
      </c>
      <c r="L6" s="220">
        <f t="shared" si="2"/>
        <v>-1.1</v>
      </c>
      <c r="M6" s="221"/>
    </row>
    <row r="7" ht="14.25" customHeight="1">
      <c r="C7" s="216" t="s">
        <v>252</v>
      </c>
      <c r="D7" s="232"/>
      <c r="E7" s="216"/>
      <c r="F7" s="216" t="s">
        <v>249</v>
      </c>
      <c r="G7" s="232">
        <v>10.0</v>
      </c>
      <c r="I7" s="216">
        <f t="shared" si="3"/>
        <v>3037.2</v>
      </c>
      <c r="J7" s="220">
        <v>3046.8</v>
      </c>
      <c r="K7" s="220">
        <f t="shared" si="1"/>
        <v>9.6</v>
      </c>
      <c r="L7" s="220">
        <f t="shared" si="2"/>
        <v>-0.4</v>
      </c>
      <c r="M7" s="221"/>
    </row>
    <row r="8" ht="14.25" customHeight="1">
      <c r="C8" s="216" t="s">
        <v>253</v>
      </c>
      <c r="D8" s="232">
        <f>D3+D4+D5+D6-D7+645.16</f>
        <v>4161.16</v>
      </c>
      <c r="E8" s="216"/>
      <c r="F8" s="216" t="s">
        <v>250</v>
      </c>
      <c r="G8" s="216"/>
      <c r="I8" s="216">
        <f t="shared" si="3"/>
        <v>3046.8</v>
      </c>
      <c r="J8" s="220">
        <v>3057.4</v>
      </c>
      <c r="K8" s="220">
        <f t="shared" si="1"/>
        <v>10.6</v>
      </c>
      <c r="L8" s="220">
        <f t="shared" si="2"/>
        <v>0.6</v>
      </c>
      <c r="M8" s="221"/>
    </row>
    <row r="9" ht="14.25" customHeight="1">
      <c r="F9" s="242"/>
      <c r="G9" s="242"/>
      <c r="I9" s="237">
        <f t="shared" si="3"/>
        <v>3057.4</v>
      </c>
      <c r="J9" s="237">
        <v>3067.0</v>
      </c>
      <c r="K9" s="237">
        <f t="shared" si="1"/>
        <v>9.6</v>
      </c>
      <c r="L9" s="237">
        <f t="shared" si="2"/>
        <v>-0.4</v>
      </c>
      <c r="M9" s="221"/>
    </row>
    <row r="10" ht="14.25" customHeight="1">
      <c r="I10" s="216">
        <f t="shared" si="3"/>
        <v>3067</v>
      </c>
      <c r="J10" s="220">
        <v>3078.3</v>
      </c>
      <c r="K10" s="220">
        <f t="shared" si="1"/>
        <v>11.3</v>
      </c>
      <c r="L10" s="220">
        <f t="shared" si="2"/>
        <v>1.3</v>
      </c>
      <c r="M10" s="221"/>
    </row>
    <row r="11" ht="14.25" customHeight="1">
      <c r="I11" s="216">
        <f t="shared" si="3"/>
        <v>3078.3</v>
      </c>
      <c r="J11" s="220">
        <v>3079.7</v>
      </c>
      <c r="K11" s="220">
        <f t="shared" si="1"/>
        <v>1.4</v>
      </c>
      <c r="L11" s="220">
        <f t="shared" si="2"/>
        <v>-8.6</v>
      </c>
      <c r="M11" s="221"/>
    </row>
    <row r="12" ht="14.25" customHeight="1">
      <c r="D12" s="234" t="s">
        <v>429</v>
      </c>
      <c r="E12" s="235"/>
      <c r="F12" s="231"/>
      <c r="I12" s="216">
        <f t="shared" si="3"/>
        <v>3079.7</v>
      </c>
      <c r="J12" s="220">
        <v>3084.8</v>
      </c>
      <c r="K12" s="220">
        <f t="shared" si="1"/>
        <v>5.1</v>
      </c>
      <c r="L12" s="220">
        <f t="shared" si="2"/>
        <v>-4.9</v>
      </c>
      <c r="M12" s="221"/>
    </row>
    <row r="13" ht="14.25" customHeight="1">
      <c r="D13" s="223" t="s">
        <v>255</v>
      </c>
      <c r="E13" s="223" t="s">
        <v>430</v>
      </c>
      <c r="F13" s="223"/>
      <c r="G13" s="243"/>
      <c r="I13" s="216">
        <f t="shared" si="3"/>
        <v>3084.8</v>
      </c>
      <c r="J13" s="220">
        <v>3091.4</v>
      </c>
      <c r="K13" s="220">
        <f t="shared" si="1"/>
        <v>6.6</v>
      </c>
      <c r="L13" s="220">
        <f t="shared" si="2"/>
        <v>-3.4</v>
      </c>
      <c r="M13" s="221"/>
    </row>
    <row r="14" ht="14.25" customHeight="1">
      <c r="D14" s="223">
        <v>5316.0</v>
      </c>
      <c r="E14" s="223">
        <v>5323.0</v>
      </c>
      <c r="F14" s="223">
        <f t="shared" ref="F14:F16" si="4">E14-D14</f>
        <v>7</v>
      </c>
      <c r="I14" s="216">
        <f t="shared" si="3"/>
        <v>3091.4</v>
      </c>
      <c r="J14" s="220">
        <v>3091.7</v>
      </c>
      <c r="K14" s="220">
        <f t="shared" si="1"/>
        <v>0.3</v>
      </c>
      <c r="L14" s="220">
        <f t="shared" si="2"/>
        <v>-9.7</v>
      </c>
      <c r="M14" s="221"/>
    </row>
    <row r="15" ht="14.25" customHeight="1">
      <c r="D15" s="223">
        <v>5324.8</v>
      </c>
      <c r="E15" s="223">
        <v>5333.9</v>
      </c>
      <c r="F15" s="223">
        <f t="shared" si="4"/>
        <v>9.1</v>
      </c>
      <c r="G15" s="243"/>
      <c r="I15" s="216">
        <f t="shared" si="3"/>
        <v>3091.7</v>
      </c>
      <c r="J15" s="220">
        <v>3097.7</v>
      </c>
      <c r="K15" s="220">
        <f t="shared" si="1"/>
        <v>6</v>
      </c>
      <c r="L15" s="220">
        <f t="shared" si="2"/>
        <v>-4</v>
      </c>
      <c r="M15" s="221"/>
    </row>
    <row r="16" ht="14.25" customHeight="1">
      <c r="D16" s="223">
        <v>5344.2</v>
      </c>
      <c r="E16" s="223">
        <v>5350.1</v>
      </c>
      <c r="F16" s="223">
        <f t="shared" si="4"/>
        <v>5.9</v>
      </c>
      <c r="I16" s="237">
        <f t="shared" si="3"/>
        <v>3097.7</v>
      </c>
      <c r="J16" s="237">
        <v>3101.5</v>
      </c>
      <c r="K16" s="237">
        <f t="shared" si="1"/>
        <v>3.8</v>
      </c>
      <c r="L16" s="237">
        <f t="shared" si="2"/>
        <v>-6.2</v>
      </c>
      <c r="M16" s="221"/>
    </row>
    <row r="17" ht="14.25" customHeight="1">
      <c r="D17" s="234" t="s">
        <v>243</v>
      </c>
      <c r="E17" s="231"/>
      <c r="F17" s="223">
        <f>SUM(F14:F16)</f>
        <v>22</v>
      </c>
      <c r="I17" s="216">
        <f t="shared" si="3"/>
        <v>3101.5</v>
      </c>
      <c r="J17" s="220">
        <v>3103.6</v>
      </c>
      <c r="K17" s="220">
        <f t="shared" si="1"/>
        <v>2.1</v>
      </c>
      <c r="L17" s="220">
        <f t="shared" si="2"/>
        <v>-7.9</v>
      </c>
      <c r="M17" s="221"/>
    </row>
    <row r="18" ht="14.25" customHeight="1">
      <c r="I18" s="216">
        <f t="shared" si="3"/>
        <v>3103.6</v>
      </c>
      <c r="J18" s="220">
        <v>3112.0</v>
      </c>
      <c r="K18" s="220">
        <f t="shared" si="1"/>
        <v>8.4</v>
      </c>
      <c r="L18" s="220">
        <f t="shared" si="2"/>
        <v>-1.6</v>
      </c>
      <c r="M18" s="221"/>
    </row>
    <row r="19" ht="14.25" customHeight="1">
      <c r="D19" s="165" t="s">
        <v>431</v>
      </c>
      <c r="E19" s="261">
        <v>645.16</v>
      </c>
      <c r="I19" s="216">
        <f t="shared" si="3"/>
        <v>3112</v>
      </c>
      <c r="J19" s="220">
        <v>3117.9</v>
      </c>
      <c r="K19" s="220">
        <f t="shared" si="1"/>
        <v>5.9</v>
      </c>
      <c r="L19" s="220">
        <f t="shared" si="2"/>
        <v>-4.1</v>
      </c>
      <c r="M19" s="221"/>
    </row>
    <row r="20" ht="14.25" customHeight="1">
      <c r="I20" s="216">
        <f t="shared" si="3"/>
        <v>3117.9</v>
      </c>
      <c r="J20" s="220">
        <v>3120.7</v>
      </c>
      <c r="K20" s="220">
        <f t="shared" si="1"/>
        <v>2.8</v>
      </c>
      <c r="L20" s="220">
        <f t="shared" si="2"/>
        <v>-7.2</v>
      </c>
      <c r="M20" s="221"/>
    </row>
    <row r="21" ht="14.25" customHeight="1">
      <c r="I21" s="216">
        <f t="shared" si="3"/>
        <v>3120.7</v>
      </c>
      <c r="J21" s="220">
        <v>3128.0</v>
      </c>
      <c r="K21" s="220">
        <f t="shared" si="1"/>
        <v>7.3</v>
      </c>
      <c r="L21" s="220">
        <f t="shared" si="2"/>
        <v>-2.7</v>
      </c>
      <c r="M21" s="221"/>
    </row>
    <row r="22" ht="14.25" customHeight="1">
      <c r="I22" s="216">
        <f t="shared" si="3"/>
        <v>3128</v>
      </c>
      <c r="J22" s="220">
        <v>3129.9</v>
      </c>
      <c r="K22" s="220">
        <f t="shared" si="1"/>
        <v>1.9</v>
      </c>
      <c r="L22" s="220">
        <f t="shared" si="2"/>
        <v>-8.1</v>
      </c>
      <c r="M22" s="221"/>
    </row>
    <row r="23" ht="14.25" customHeight="1">
      <c r="I23" s="237">
        <f t="shared" si="3"/>
        <v>3129.9</v>
      </c>
      <c r="J23" s="237">
        <v>3133.4</v>
      </c>
      <c r="K23" s="237">
        <f t="shared" si="1"/>
        <v>3.5</v>
      </c>
      <c r="L23" s="237">
        <f t="shared" si="2"/>
        <v>-6.5</v>
      </c>
    </row>
    <row r="24" ht="14.25" customHeight="1">
      <c r="I24" s="216">
        <f t="shared" si="3"/>
        <v>3133.4</v>
      </c>
      <c r="J24" s="220">
        <v>3137.6</v>
      </c>
      <c r="K24" s="216">
        <f t="shared" si="1"/>
        <v>4.2</v>
      </c>
      <c r="L24" s="216">
        <f t="shared" si="2"/>
        <v>-5.8</v>
      </c>
    </row>
    <row r="25" ht="14.25" customHeight="1">
      <c r="I25" s="216"/>
      <c r="J25" s="220"/>
      <c r="K25" s="216">
        <f t="shared" si="1"/>
        <v>0</v>
      </c>
      <c r="L25" s="216">
        <f t="shared" si="2"/>
        <v>-10</v>
      </c>
    </row>
    <row r="26" ht="14.25" customHeight="1">
      <c r="I26" s="216" t="str">
        <f t="shared" ref="I26:I29" si="5">J25</f>
        <v/>
      </c>
      <c r="J26" s="216"/>
      <c r="K26" s="216">
        <f t="shared" si="1"/>
        <v>0</v>
      </c>
      <c r="L26" s="216">
        <f t="shared" si="2"/>
        <v>-10</v>
      </c>
    </row>
    <row r="27" ht="14.25" customHeight="1">
      <c r="I27" s="216" t="str">
        <f t="shared" si="5"/>
        <v/>
      </c>
      <c r="J27" s="216"/>
      <c r="K27" s="216">
        <f t="shared" si="1"/>
        <v>0</v>
      </c>
      <c r="L27" s="216">
        <f t="shared" si="2"/>
        <v>-10</v>
      </c>
    </row>
    <row r="28" ht="14.25" customHeight="1">
      <c r="I28" s="216" t="str">
        <f t="shared" si="5"/>
        <v/>
      </c>
      <c r="J28" s="216"/>
      <c r="K28" s="216">
        <f t="shared" si="1"/>
        <v>0</v>
      </c>
      <c r="L28" s="216">
        <f t="shared" si="2"/>
        <v>-10</v>
      </c>
    </row>
    <row r="29" ht="14.25" customHeight="1">
      <c r="I29" s="216" t="str">
        <f t="shared" si="5"/>
        <v/>
      </c>
      <c r="J29" s="216"/>
      <c r="K29" s="216">
        <f t="shared" si="1"/>
        <v>0</v>
      </c>
      <c r="L29" s="216">
        <f t="shared" si="2"/>
        <v>-10</v>
      </c>
    </row>
    <row r="30" ht="14.25" customHeight="1">
      <c r="I30" s="234" t="s">
        <v>221</v>
      </c>
      <c r="J30" s="231"/>
      <c r="K30" s="216">
        <f>SUM(K3:K29)</f>
        <v>126.7</v>
      </c>
      <c r="L30" s="216">
        <f t="shared" si="2"/>
        <v>116.7</v>
      </c>
    </row>
    <row r="31" ht="14.25" customHeight="1"/>
    <row r="32" ht="14.25" customHeight="1">
      <c r="A32" s="238"/>
      <c r="B32" s="238"/>
      <c r="C32" s="238"/>
      <c r="D32" s="238"/>
      <c r="E32" s="238"/>
      <c r="F32" s="239"/>
      <c r="G32" s="240"/>
      <c r="H32" s="238"/>
      <c r="I32" s="238"/>
      <c r="J32" s="238"/>
      <c r="K32" s="238"/>
      <c r="L32" s="238"/>
    </row>
    <row r="33" ht="14.25" customHeight="1">
      <c r="C33" s="244" t="s">
        <v>432</v>
      </c>
      <c r="D33" s="231"/>
      <c r="E33" s="216"/>
      <c r="F33" s="216" t="s">
        <v>238</v>
      </c>
      <c r="G33" s="216"/>
      <c r="I33" s="216" t="s">
        <v>255</v>
      </c>
      <c r="J33" s="216" t="s">
        <v>256</v>
      </c>
      <c r="K33" s="216" t="s">
        <v>243</v>
      </c>
      <c r="L33" s="216" t="s">
        <v>218</v>
      </c>
    </row>
    <row r="34" ht="14.25" customHeight="1">
      <c r="C34" s="216" t="s">
        <v>244</v>
      </c>
      <c r="D34" s="232">
        <v>2000.0</v>
      </c>
      <c r="E34" s="216"/>
      <c r="F34" s="216" t="s">
        <v>245</v>
      </c>
      <c r="G34" s="216"/>
      <c r="I34" s="220">
        <v>3137.6</v>
      </c>
      <c r="J34" s="220">
        <v>3143.6</v>
      </c>
      <c r="K34" s="220">
        <f t="shared" ref="K34:K53" si="6">J34-I34</f>
        <v>6</v>
      </c>
      <c r="L34" s="220">
        <f t="shared" ref="L34:L53" si="7">K34-10</f>
        <v>-4</v>
      </c>
    </row>
    <row r="35" ht="14.25" customHeight="1">
      <c r="C35" s="216" t="s">
        <v>246</v>
      </c>
      <c r="D35" s="232">
        <f>G36*G35+ (G43*G44)</f>
        <v>1614</v>
      </c>
      <c r="E35" s="216"/>
      <c r="F35" s="216" t="s">
        <v>247</v>
      </c>
      <c r="G35" s="216">
        <f>K61+F49</f>
        <v>161.4</v>
      </c>
      <c r="I35" s="220">
        <f t="shared" ref="I35:I47" si="8">J34</f>
        <v>3143.6</v>
      </c>
      <c r="J35" s="220">
        <v>3152.0</v>
      </c>
      <c r="K35" s="220">
        <f t="shared" si="6"/>
        <v>8.4</v>
      </c>
      <c r="L35" s="220">
        <f t="shared" si="7"/>
        <v>-1.6</v>
      </c>
    </row>
    <row r="36" ht="14.25" customHeight="1">
      <c r="C36" s="216" t="s">
        <v>248</v>
      </c>
      <c r="D36" s="232">
        <f>G37*G38</f>
        <v>16</v>
      </c>
      <c r="E36" s="216"/>
      <c r="F36" s="216" t="s">
        <v>249</v>
      </c>
      <c r="G36" s="232">
        <v>10.0</v>
      </c>
      <c r="I36" s="220">
        <f t="shared" si="8"/>
        <v>3152</v>
      </c>
      <c r="J36" s="220">
        <v>3161.0</v>
      </c>
      <c r="K36" s="220">
        <f t="shared" si="6"/>
        <v>9</v>
      </c>
      <c r="L36" s="220">
        <f t="shared" si="7"/>
        <v>-1</v>
      </c>
    </row>
    <row r="37" ht="14.25" customHeight="1">
      <c r="C37" s="216" t="s">
        <v>250</v>
      </c>
      <c r="D37" s="232">
        <f>G39*100</f>
        <v>0</v>
      </c>
      <c r="E37" s="216"/>
      <c r="F37" s="216" t="s">
        <v>251</v>
      </c>
      <c r="G37" s="216">
        <v>1.6</v>
      </c>
      <c r="I37" s="237">
        <f t="shared" si="8"/>
        <v>3161</v>
      </c>
      <c r="J37" s="237">
        <v>3166.1</v>
      </c>
      <c r="K37" s="237">
        <f t="shared" si="6"/>
        <v>5.1</v>
      </c>
      <c r="L37" s="237">
        <f t="shared" si="7"/>
        <v>-4.9</v>
      </c>
    </row>
    <row r="38" ht="14.25" customHeight="1">
      <c r="C38" s="216" t="s">
        <v>252</v>
      </c>
      <c r="D38" s="232"/>
      <c r="E38" s="216"/>
      <c r="F38" s="216" t="s">
        <v>249</v>
      </c>
      <c r="G38" s="232">
        <v>10.0</v>
      </c>
      <c r="I38" s="220">
        <f t="shared" si="8"/>
        <v>3166.1</v>
      </c>
      <c r="J38" s="220">
        <v>3175.4</v>
      </c>
      <c r="K38" s="220">
        <f t="shared" si="6"/>
        <v>9.3</v>
      </c>
      <c r="L38" s="220">
        <f t="shared" si="7"/>
        <v>-0.7</v>
      </c>
    </row>
    <row r="39" ht="14.25" customHeight="1">
      <c r="C39" s="216" t="s">
        <v>253</v>
      </c>
      <c r="D39" s="232">
        <v>4255.0</v>
      </c>
      <c r="E39" s="216"/>
      <c r="F39" s="216" t="s">
        <v>250</v>
      </c>
      <c r="G39" s="216"/>
      <c r="I39" s="220">
        <f t="shared" si="8"/>
        <v>3175.4</v>
      </c>
      <c r="J39" s="220">
        <v>3180.1</v>
      </c>
      <c r="K39" s="220">
        <f t="shared" si="6"/>
        <v>4.7</v>
      </c>
      <c r="L39" s="220">
        <f t="shared" si="7"/>
        <v>-5.3</v>
      </c>
    </row>
    <row r="40" ht="14.25" customHeight="1">
      <c r="D40" s="165" t="s">
        <v>433</v>
      </c>
      <c r="F40" s="242"/>
      <c r="G40" s="242"/>
      <c r="I40" s="220">
        <f t="shared" si="8"/>
        <v>3180.1</v>
      </c>
      <c r="J40" s="220">
        <v>3180.5</v>
      </c>
      <c r="K40" s="220">
        <f t="shared" si="6"/>
        <v>0.4</v>
      </c>
      <c r="L40" s="220">
        <f t="shared" si="7"/>
        <v>-9.6</v>
      </c>
    </row>
    <row r="41" ht="14.25" customHeight="1">
      <c r="I41" s="220">
        <f t="shared" si="8"/>
        <v>3180.5</v>
      </c>
      <c r="J41" s="220">
        <v>3191.0</v>
      </c>
      <c r="K41" s="220">
        <f t="shared" si="6"/>
        <v>10.5</v>
      </c>
      <c r="L41" s="220">
        <f t="shared" si="7"/>
        <v>0.5</v>
      </c>
    </row>
    <row r="42" ht="14.25" customHeight="1">
      <c r="I42" s="237">
        <f t="shared" si="8"/>
        <v>3191</v>
      </c>
      <c r="J42" s="237">
        <v>3196.6</v>
      </c>
      <c r="K42" s="237">
        <f t="shared" si="6"/>
        <v>5.6</v>
      </c>
      <c r="L42" s="237">
        <f t="shared" si="7"/>
        <v>-4.4</v>
      </c>
    </row>
    <row r="43" ht="14.25" customHeight="1">
      <c r="D43" s="234" t="s">
        <v>429</v>
      </c>
      <c r="E43" s="235"/>
      <c r="F43" s="231"/>
      <c r="I43" s="220">
        <f t="shared" si="8"/>
        <v>3196.6</v>
      </c>
      <c r="J43" s="220">
        <v>3199.2</v>
      </c>
      <c r="K43" s="220">
        <f t="shared" si="6"/>
        <v>2.6</v>
      </c>
      <c r="L43" s="220">
        <f t="shared" si="7"/>
        <v>-7.4</v>
      </c>
    </row>
    <row r="44" ht="14.25" customHeight="1">
      <c r="D44" s="223" t="s">
        <v>255</v>
      </c>
      <c r="E44" s="223" t="s">
        <v>430</v>
      </c>
      <c r="F44" s="223"/>
      <c r="G44" s="243"/>
      <c r="I44" s="220">
        <f t="shared" si="8"/>
        <v>3199.2</v>
      </c>
      <c r="J44" s="220">
        <v>3203.9</v>
      </c>
      <c r="K44" s="220">
        <f t="shared" si="6"/>
        <v>4.7</v>
      </c>
      <c r="L44" s="220">
        <f t="shared" si="7"/>
        <v>-5.3</v>
      </c>
    </row>
    <row r="45" ht="14.25" customHeight="1">
      <c r="D45" s="223">
        <v>5622.8</v>
      </c>
      <c r="E45" s="223">
        <v>5625.5</v>
      </c>
      <c r="F45" s="223">
        <f t="shared" ref="F45:F48" si="9">E45-D45</f>
        <v>2.7</v>
      </c>
      <c r="I45" s="220">
        <f t="shared" si="8"/>
        <v>3203.9</v>
      </c>
      <c r="J45" s="220">
        <v>3212.3</v>
      </c>
      <c r="K45" s="220">
        <f t="shared" si="6"/>
        <v>8.4</v>
      </c>
      <c r="L45" s="220">
        <f t="shared" si="7"/>
        <v>-1.6</v>
      </c>
    </row>
    <row r="46" ht="14.25" customHeight="1">
      <c r="D46" s="284">
        <f t="shared" ref="D46:D48" si="10">E45</f>
        <v>5625.5</v>
      </c>
      <c r="E46" s="284">
        <v>5632.9</v>
      </c>
      <c r="F46" s="284">
        <f t="shared" si="9"/>
        <v>7.4</v>
      </c>
      <c r="G46" s="243"/>
      <c r="I46" s="220">
        <f t="shared" si="8"/>
        <v>3212.3</v>
      </c>
      <c r="J46" s="220">
        <v>3222.0</v>
      </c>
      <c r="K46" s="220">
        <f t="shared" si="6"/>
        <v>9.7</v>
      </c>
      <c r="L46" s="220">
        <f t="shared" si="7"/>
        <v>-0.3</v>
      </c>
    </row>
    <row r="47" ht="14.25" customHeight="1">
      <c r="D47" s="223">
        <f t="shared" si="10"/>
        <v>5632.9</v>
      </c>
      <c r="E47" s="223">
        <v>5642.0</v>
      </c>
      <c r="F47" s="223">
        <f t="shared" si="9"/>
        <v>9.1</v>
      </c>
      <c r="I47" s="220">
        <f t="shared" si="8"/>
        <v>3222</v>
      </c>
      <c r="J47" s="220">
        <v>3226.1</v>
      </c>
      <c r="K47" s="220">
        <f t="shared" si="6"/>
        <v>4.1</v>
      </c>
      <c r="L47" s="220">
        <f t="shared" si="7"/>
        <v>-5.9</v>
      </c>
    </row>
    <row r="48" ht="14.25" customHeight="1">
      <c r="D48" s="223">
        <f t="shared" si="10"/>
        <v>5642</v>
      </c>
      <c r="E48" s="223">
        <v>5649.9</v>
      </c>
      <c r="F48" s="223">
        <f t="shared" si="9"/>
        <v>7.9</v>
      </c>
      <c r="I48" s="220">
        <v>3258.2</v>
      </c>
      <c r="J48" s="220">
        <v>3268.9</v>
      </c>
      <c r="K48" s="220">
        <f t="shared" si="6"/>
        <v>10.7</v>
      </c>
      <c r="L48" s="220">
        <f t="shared" si="7"/>
        <v>0.7</v>
      </c>
    </row>
    <row r="49" ht="14.25" customHeight="1">
      <c r="D49" s="234" t="s">
        <v>243</v>
      </c>
      <c r="E49" s="231"/>
      <c r="F49" s="223">
        <f>F45+F46+F47+F48</f>
        <v>27.1</v>
      </c>
      <c r="I49" s="220">
        <v>3268.9</v>
      </c>
      <c r="J49" s="220">
        <v>3272.6</v>
      </c>
      <c r="K49" s="220">
        <f t="shared" si="6"/>
        <v>3.7</v>
      </c>
      <c r="L49" s="220">
        <f t="shared" si="7"/>
        <v>-6.3</v>
      </c>
    </row>
    <row r="50" ht="14.25" customHeight="1">
      <c r="I50" s="220">
        <f t="shared" ref="I50:I53" si="11">J49</f>
        <v>3272.6</v>
      </c>
      <c r="J50" s="220">
        <v>3279.7</v>
      </c>
      <c r="K50" s="220">
        <f t="shared" si="6"/>
        <v>7.1</v>
      </c>
      <c r="L50" s="220">
        <f t="shared" si="7"/>
        <v>-2.9</v>
      </c>
    </row>
    <row r="51" ht="14.25" customHeight="1">
      <c r="E51" s="261"/>
      <c r="I51" s="237">
        <f t="shared" si="11"/>
        <v>3279.7</v>
      </c>
      <c r="J51" s="237">
        <v>3288.1</v>
      </c>
      <c r="K51" s="237">
        <f t="shared" si="6"/>
        <v>8.4</v>
      </c>
      <c r="L51" s="237">
        <f t="shared" si="7"/>
        <v>-1.6</v>
      </c>
    </row>
    <row r="52" ht="14.25" customHeight="1">
      <c r="I52" s="220">
        <f t="shared" si="11"/>
        <v>3288.1</v>
      </c>
      <c r="J52" s="220">
        <v>3293.6</v>
      </c>
      <c r="K52" s="220">
        <f t="shared" si="6"/>
        <v>5.5</v>
      </c>
      <c r="L52" s="220">
        <f t="shared" si="7"/>
        <v>-4.5</v>
      </c>
    </row>
    <row r="53" ht="14.25" customHeight="1">
      <c r="I53" s="220">
        <f t="shared" si="11"/>
        <v>3293.6</v>
      </c>
      <c r="J53" s="220">
        <v>3304.0</v>
      </c>
      <c r="K53" s="220">
        <f t="shared" si="6"/>
        <v>10.4</v>
      </c>
      <c r="L53" s="220">
        <f t="shared" si="7"/>
        <v>0.4</v>
      </c>
    </row>
    <row r="54" ht="14.25" customHeight="1">
      <c r="I54" s="220"/>
      <c r="J54" s="220"/>
      <c r="K54" s="220"/>
      <c r="L54" s="220"/>
    </row>
    <row r="55" ht="14.25" customHeight="1">
      <c r="I55" s="220" t="str">
        <f>J54</f>
        <v/>
      </c>
      <c r="J55" s="220"/>
      <c r="K55" s="220">
        <f t="shared" ref="K55:K60" si="12">J55-I55</f>
        <v>0</v>
      </c>
      <c r="L55" s="220">
        <f t="shared" ref="L55:L61" si="13">K55-10</f>
        <v>-10</v>
      </c>
    </row>
    <row r="56" ht="14.25" customHeight="1">
      <c r="I56" s="220"/>
      <c r="J56" s="220"/>
      <c r="K56" s="220">
        <f t="shared" si="12"/>
        <v>0</v>
      </c>
      <c r="L56" s="220">
        <f t="shared" si="13"/>
        <v>-10</v>
      </c>
    </row>
    <row r="57" ht="14.25" customHeight="1">
      <c r="I57" s="220" t="str">
        <f t="shared" ref="I57:I60" si="14">J56</f>
        <v/>
      </c>
      <c r="J57" s="220"/>
      <c r="K57" s="220">
        <f t="shared" si="12"/>
        <v>0</v>
      </c>
      <c r="L57" s="220">
        <f t="shared" si="13"/>
        <v>-10</v>
      </c>
    </row>
    <row r="58" ht="14.25" customHeight="1">
      <c r="I58" s="220" t="str">
        <f t="shared" si="14"/>
        <v/>
      </c>
      <c r="J58" s="220"/>
      <c r="K58" s="220">
        <f t="shared" si="12"/>
        <v>0</v>
      </c>
      <c r="L58" s="220">
        <f t="shared" si="13"/>
        <v>-10</v>
      </c>
    </row>
    <row r="59" ht="14.25" customHeight="1">
      <c r="I59" s="220" t="str">
        <f t="shared" si="14"/>
        <v/>
      </c>
      <c r="J59" s="220"/>
      <c r="K59" s="220">
        <f t="shared" si="12"/>
        <v>0</v>
      </c>
      <c r="L59" s="220">
        <f t="shared" si="13"/>
        <v>-10</v>
      </c>
    </row>
    <row r="60" ht="14.25" customHeight="1">
      <c r="I60" s="220" t="str">
        <f t="shared" si="14"/>
        <v/>
      </c>
      <c r="J60" s="220"/>
      <c r="K60" s="220">
        <f t="shared" si="12"/>
        <v>0</v>
      </c>
      <c r="L60" s="220">
        <f t="shared" si="13"/>
        <v>-10</v>
      </c>
    </row>
    <row r="61" ht="14.25" customHeight="1">
      <c r="I61" s="234" t="s">
        <v>221</v>
      </c>
      <c r="J61" s="231"/>
      <c r="K61" s="216">
        <f>SUM(K34:K60)</f>
        <v>134.3</v>
      </c>
      <c r="L61" s="216">
        <f t="shared" si="13"/>
        <v>124.3</v>
      </c>
    </row>
    <row r="62" ht="14.25" customHeight="1"/>
    <row r="63" ht="14.25" customHeight="1">
      <c r="A63" s="238"/>
      <c r="B63" s="238"/>
      <c r="C63" s="238"/>
      <c r="D63" s="238"/>
      <c r="E63" s="238"/>
      <c r="F63" s="239"/>
      <c r="G63" s="240"/>
      <c r="H63" s="238"/>
      <c r="I63" s="238"/>
      <c r="J63" s="238"/>
      <c r="K63" s="238"/>
      <c r="L63" s="238"/>
    </row>
    <row r="64" ht="14.25" customHeight="1">
      <c r="C64" s="244" t="s">
        <v>434</v>
      </c>
      <c r="D64" s="231"/>
      <c r="E64" s="216"/>
      <c r="F64" s="216" t="s">
        <v>238</v>
      </c>
      <c r="G64" s="216">
        <v>3304.0</v>
      </c>
      <c r="I64" s="216" t="s">
        <v>255</v>
      </c>
      <c r="J64" s="216" t="s">
        <v>256</v>
      </c>
      <c r="K64" s="216" t="s">
        <v>243</v>
      </c>
      <c r="L64" s="216" t="s">
        <v>218</v>
      </c>
    </row>
    <row r="65" ht="14.25" customHeight="1">
      <c r="C65" s="216" t="s">
        <v>244</v>
      </c>
      <c r="D65" s="232">
        <v>2000.0</v>
      </c>
      <c r="E65" s="216"/>
      <c r="F65" s="216" t="s">
        <v>245</v>
      </c>
      <c r="G65" s="216">
        <v>3419.1</v>
      </c>
      <c r="I65" s="220">
        <v>3304.0</v>
      </c>
      <c r="J65" s="220">
        <v>3313.8</v>
      </c>
      <c r="K65" s="220">
        <f t="shared" ref="K65:K84" si="15">J65-I65</f>
        <v>9.8</v>
      </c>
      <c r="L65" s="220">
        <f t="shared" ref="L65:L84" si="16">K65-10</f>
        <v>-0.2</v>
      </c>
    </row>
    <row r="66" ht="14.25" customHeight="1">
      <c r="C66" s="216" t="s">
        <v>246</v>
      </c>
      <c r="D66" s="232">
        <f>G67*G66+ (G74*G75)</f>
        <v>1151</v>
      </c>
      <c r="E66" s="216"/>
      <c r="F66" s="216" t="s">
        <v>247</v>
      </c>
      <c r="G66" s="216">
        <f>G65-G64</f>
        <v>115.1</v>
      </c>
      <c r="I66" s="220">
        <f t="shared" ref="I66:I79" si="17">J65</f>
        <v>3313.8</v>
      </c>
      <c r="J66" s="220">
        <v>3323.0</v>
      </c>
      <c r="K66" s="220">
        <f t="shared" si="15"/>
        <v>9.2</v>
      </c>
      <c r="L66" s="220">
        <f t="shared" si="16"/>
        <v>-0.8</v>
      </c>
    </row>
    <row r="67" ht="14.25" customHeight="1">
      <c r="C67" s="216" t="s">
        <v>248</v>
      </c>
      <c r="D67" s="232">
        <f>G68*G69</f>
        <v>2</v>
      </c>
      <c r="E67" s="216"/>
      <c r="F67" s="216" t="s">
        <v>249</v>
      </c>
      <c r="G67" s="232">
        <v>10.0</v>
      </c>
      <c r="I67" s="220">
        <f t="shared" si="17"/>
        <v>3323</v>
      </c>
      <c r="J67" s="220">
        <v>3327.1</v>
      </c>
      <c r="K67" s="220">
        <f t="shared" si="15"/>
        <v>4.1</v>
      </c>
      <c r="L67" s="220">
        <f t="shared" si="16"/>
        <v>-5.9</v>
      </c>
    </row>
    <row r="68" ht="14.25" customHeight="1">
      <c r="C68" s="216" t="s">
        <v>250</v>
      </c>
      <c r="D68" s="232">
        <f>G70*100</f>
        <v>0</v>
      </c>
      <c r="E68" s="216"/>
      <c r="F68" s="216" t="s">
        <v>251</v>
      </c>
      <c r="G68" s="216">
        <v>0.2</v>
      </c>
      <c r="I68" s="220">
        <f t="shared" si="17"/>
        <v>3327.1</v>
      </c>
      <c r="J68" s="237">
        <v>3334.3</v>
      </c>
      <c r="K68" s="237">
        <f t="shared" si="15"/>
        <v>7.2</v>
      </c>
      <c r="L68" s="237">
        <f t="shared" si="16"/>
        <v>-2.8</v>
      </c>
    </row>
    <row r="69" ht="14.25" customHeight="1">
      <c r="C69" s="216" t="s">
        <v>252</v>
      </c>
      <c r="D69" s="232"/>
      <c r="E69" s="216"/>
      <c r="F69" s="216" t="s">
        <v>249</v>
      </c>
      <c r="G69" s="232">
        <v>10.0</v>
      </c>
      <c r="I69" s="220">
        <f t="shared" si="17"/>
        <v>3334.3</v>
      </c>
      <c r="J69" s="220">
        <v>3343.7</v>
      </c>
      <c r="K69" s="220">
        <f t="shared" si="15"/>
        <v>9.4</v>
      </c>
      <c r="L69" s="220">
        <f t="shared" si="16"/>
        <v>-0.6</v>
      </c>
    </row>
    <row r="70" ht="14.25" customHeight="1">
      <c r="C70" s="216" t="s">
        <v>253</v>
      </c>
      <c r="D70" s="232">
        <f>D65+D66+D67</f>
        <v>3153</v>
      </c>
      <c r="E70" s="216"/>
      <c r="F70" s="216" t="s">
        <v>250</v>
      </c>
      <c r="G70" s="216"/>
      <c r="I70" s="220">
        <f t="shared" si="17"/>
        <v>3343.7</v>
      </c>
      <c r="J70" s="220">
        <v>3352.9</v>
      </c>
      <c r="K70" s="220">
        <f t="shared" si="15"/>
        <v>9.2</v>
      </c>
      <c r="L70" s="220">
        <f t="shared" si="16"/>
        <v>-0.8</v>
      </c>
    </row>
    <row r="71" ht="14.25" customHeight="1">
      <c r="F71" s="242"/>
      <c r="G71" s="242"/>
      <c r="I71" s="220">
        <f t="shared" si="17"/>
        <v>3352.9</v>
      </c>
      <c r="J71" s="220">
        <v>3358.3</v>
      </c>
      <c r="K71" s="220">
        <f t="shared" si="15"/>
        <v>5.4</v>
      </c>
      <c r="L71" s="220">
        <f t="shared" si="16"/>
        <v>-4.6</v>
      </c>
    </row>
    <row r="72" ht="14.25" customHeight="1">
      <c r="I72" s="220">
        <f t="shared" si="17"/>
        <v>3358.3</v>
      </c>
      <c r="J72" s="220">
        <v>3367.4</v>
      </c>
      <c r="K72" s="220">
        <f t="shared" si="15"/>
        <v>9.1</v>
      </c>
      <c r="L72" s="220">
        <f t="shared" si="16"/>
        <v>-0.9</v>
      </c>
    </row>
    <row r="73" ht="14.25" customHeight="1">
      <c r="I73" s="220">
        <f t="shared" si="17"/>
        <v>3367.4</v>
      </c>
      <c r="J73" s="237">
        <v>3377.6</v>
      </c>
      <c r="K73" s="237">
        <f t="shared" si="15"/>
        <v>10.2</v>
      </c>
      <c r="L73" s="237">
        <f t="shared" si="16"/>
        <v>0.2</v>
      </c>
    </row>
    <row r="74" ht="14.25" customHeight="1">
      <c r="D74" s="4"/>
      <c r="I74" s="220">
        <f t="shared" si="17"/>
        <v>3377.6</v>
      </c>
      <c r="J74" s="220">
        <v>3387.0</v>
      </c>
      <c r="K74" s="220">
        <f t="shared" si="15"/>
        <v>9.4</v>
      </c>
      <c r="L74" s="220">
        <f t="shared" si="16"/>
        <v>-0.6</v>
      </c>
    </row>
    <row r="75" ht="14.25" customHeight="1">
      <c r="D75" s="4"/>
      <c r="E75" s="4"/>
      <c r="F75" s="4"/>
      <c r="G75" s="243"/>
      <c r="I75" s="220">
        <f t="shared" si="17"/>
        <v>3387</v>
      </c>
      <c r="J75" s="220">
        <v>3393.0</v>
      </c>
      <c r="K75" s="220">
        <f t="shared" si="15"/>
        <v>6</v>
      </c>
      <c r="L75" s="220">
        <f t="shared" si="16"/>
        <v>-4</v>
      </c>
    </row>
    <row r="76" ht="14.25" customHeight="1">
      <c r="D76" s="4"/>
      <c r="E76" s="4"/>
      <c r="F76" s="4"/>
      <c r="I76" s="220">
        <f t="shared" si="17"/>
        <v>3393</v>
      </c>
      <c r="J76" s="220">
        <v>3399.5</v>
      </c>
      <c r="K76" s="220">
        <f t="shared" si="15"/>
        <v>6.5</v>
      </c>
      <c r="L76" s="220">
        <f t="shared" si="16"/>
        <v>-3.5</v>
      </c>
    </row>
    <row r="77" ht="14.25" customHeight="1">
      <c r="D77" s="285"/>
      <c r="E77" s="285"/>
      <c r="F77" s="285"/>
      <c r="G77" s="243"/>
      <c r="I77" s="220">
        <f t="shared" si="17"/>
        <v>3399.5</v>
      </c>
      <c r="J77" s="220">
        <v>3403.0</v>
      </c>
      <c r="K77" s="220">
        <f t="shared" si="15"/>
        <v>3.5</v>
      </c>
      <c r="L77" s="220">
        <f t="shared" si="16"/>
        <v>-6.5</v>
      </c>
    </row>
    <row r="78" ht="14.25" customHeight="1">
      <c r="D78" s="4"/>
      <c r="E78" s="4"/>
      <c r="F78" s="4"/>
      <c r="I78" s="220">
        <f t="shared" si="17"/>
        <v>3403</v>
      </c>
      <c r="J78" s="220">
        <v>3410.1</v>
      </c>
      <c r="K78" s="220">
        <f t="shared" si="15"/>
        <v>7.1</v>
      </c>
      <c r="L78" s="220">
        <f t="shared" si="16"/>
        <v>-2.9</v>
      </c>
    </row>
    <row r="79" ht="14.25" customHeight="1">
      <c r="D79" s="4"/>
      <c r="E79" s="4"/>
      <c r="F79" s="4"/>
      <c r="I79" s="220">
        <f t="shared" si="17"/>
        <v>3410.1</v>
      </c>
      <c r="J79" s="220">
        <v>3419.1</v>
      </c>
      <c r="K79" s="220">
        <f t="shared" si="15"/>
        <v>9</v>
      </c>
      <c r="L79" s="220">
        <f t="shared" si="16"/>
        <v>-1</v>
      </c>
    </row>
    <row r="80" ht="14.25" customHeight="1">
      <c r="D80" s="4"/>
      <c r="F80" s="4"/>
      <c r="I80" s="220"/>
      <c r="J80" s="220"/>
      <c r="K80" s="220">
        <f t="shared" si="15"/>
        <v>0</v>
      </c>
      <c r="L80" s="220">
        <f t="shared" si="16"/>
        <v>-10</v>
      </c>
    </row>
    <row r="81" ht="14.25" customHeight="1">
      <c r="I81" s="220" t="str">
        <f t="shared" ref="I81:I91" si="18">J80</f>
        <v/>
      </c>
      <c r="J81" s="220"/>
      <c r="K81" s="220">
        <f t="shared" si="15"/>
        <v>0</v>
      </c>
      <c r="L81" s="220">
        <f t="shared" si="16"/>
        <v>-10</v>
      </c>
    </row>
    <row r="82" ht="14.25" customHeight="1">
      <c r="E82" s="261"/>
      <c r="I82" s="220" t="str">
        <f t="shared" si="18"/>
        <v/>
      </c>
      <c r="J82" s="237"/>
      <c r="K82" s="237">
        <f t="shared" si="15"/>
        <v>0</v>
      </c>
      <c r="L82" s="237">
        <f t="shared" si="16"/>
        <v>-10</v>
      </c>
    </row>
    <row r="83" ht="14.25" customHeight="1">
      <c r="I83" s="220" t="str">
        <f t="shared" si="18"/>
        <v/>
      </c>
      <c r="J83" s="220"/>
      <c r="K83" s="220">
        <f t="shared" si="15"/>
        <v>0</v>
      </c>
      <c r="L83" s="220">
        <f t="shared" si="16"/>
        <v>-10</v>
      </c>
    </row>
    <row r="84" ht="14.25" customHeight="1">
      <c r="I84" s="220" t="str">
        <f t="shared" si="18"/>
        <v/>
      </c>
      <c r="J84" s="220"/>
      <c r="K84" s="220">
        <f t="shared" si="15"/>
        <v>0</v>
      </c>
      <c r="L84" s="220">
        <f t="shared" si="16"/>
        <v>-10</v>
      </c>
    </row>
    <row r="85" ht="14.25" customHeight="1">
      <c r="I85" s="220" t="str">
        <f t="shared" si="18"/>
        <v/>
      </c>
      <c r="J85" s="220"/>
      <c r="K85" s="220"/>
      <c r="L85" s="220"/>
    </row>
    <row r="86" ht="14.25" customHeight="1">
      <c r="I86" s="220" t="str">
        <f t="shared" si="18"/>
        <v/>
      </c>
      <c r="J86" s="220"/>
      <c r="K86" s="220">
        <f t="shared" ref="K86:K91" si="19">J86-I86</f>
        <v>0</v>
      </c>
      <c r="L86" s="220">
        <f t="shared" ref="L86:L92" si="20">K86-10</f>
        <v>-10</v>
      </c>
    </row>
    <row r="87" ht="14.25" customHeight="1">
      <c r="I87" s="220" t="str">
        <f t="shared" si="18"/>
        <v/>
      </c>
      <c r="J87" s="220"/>
      <c r="K87" s="220">
        <f t="shared" si="19"/>
        <v>0</v>
      </c>
      <c r="L87" s="220">
        <f t="shared" si="20"/>
        <v>-10</v>
      </c>
    </row>
    <row r="88" ht="14.25" customHeight="1">
      <c r="I88" s="220" t="str">
        <f t="shared" si="18"/>
        <v/>
      </c>
      <c r="J88" s="220"/>
      <c r="K88" s="220">
        <f t="shared" si="19"/>
        <v>0</v>
      </c>
      <c r="L88" s="220">
        <f t="shared" si="20"/>
        <v>-10</v>
      </c>
    </row>
    <row r="89" ht="14.25" customHeight="1">
      <c r="I89" s="220" t="str">
        <f t="shared" si="18"/>
        <v/>
      </c>
      <c r="J89" s="220"/>
      <c r="K89" s="220">
        <f t="shared" si="19"/>
        <v>0</v>
      </c>
      <c r="L89" s="220">
        <f t="shared" si="20"/>
        <v>-10</v>
      </c>
    </row>
    <row r="90" ht="14.25" customHeight="1">
      <c r="I90" s="220" t="str">
        <f t="shared" si="18"/>
        <v/>
      </c>
      <c r="J90" s="220"/>
      <c r="K90" s="220">
        <f t="shared" si="19"/>
        <v>0</v>
      </c>
      <c r="L90" s="220">
        <f t="shared" si="20"/>
        <v>-10</v>
      </c>
    </row>
    <row r="91" ht="14.25" customHeight="1">
      <c r="I91" s="220" t="str">
        <f t="shared" si="18"/>
        <v/>
      </c>
      <c r="J91" s="220"/>
      <c r="K91" s="220">
        <f t="shared" si="19"/>
        <v>0</v>
      </c>
      <c r="L91" s="220">
        <f t="shared" si="20"/>
        <v>-10</v>
      </c>
    </row>
    <row r="92" ht="14.25" customHeight="1">
      <c r="I92" s="234" t="s">
        <v>221</v>
      </c>
      <c r="J92" s="231"/>
      <c r="K92" s="216">
        <f>SUM(K65:K91)</f>
        <v>115.1</v>
      </c>
      <c r="L92" s="216">
        <f t="shared" si="20"/>
        <v>105.1</v>
      </c>
    </row>
    <row r="93" ht="14.25" customHeight="1"/>
    <row r="94" ht="14.25" customHeight="1">
      <c r="A94" s="238"/>
      <c r="B94" s="238"/>
      <c r="C94" s="238"/>
      <c r="D94" s="238"/>
      <c r="E94" s="238"/>
      <c r="F94" s="239"/>
      <c r="G94" s="240"/>
      <c r="H94" s="238"/>
      <c r="I94" s="238"/>
      <c r="J94" s="238"/>
      <c r="K94" s="238"/>
      <c r="L94" s="238"/>
    </row>
    <row r="95" ht="14.25" customHeight="1">
      <c r="C95" s="244" t="s">
        <v>435</v>
      </c>
      <c r="D95" s="231"/>
      <c r="E95" s="216"/>
      <c r="F95" s="216" t="s">
        <v>238</v>
      </c>
      <c r="G95" s="216">
        <v>3419.1</v>
      </c>
      <c r="I95" s="216" t="s">
        <v>255</v>
      </c>
      <c r="J95" s="216" t="s">
        <v>256</v>
      </c>
      <c r="K95" s="216" t="s">
        <v>243</v>
      </c>
      <c r="L95" s="216" t="s">
        <v>218</v>
      </c>
    </row>
    <row r="96" ht="14.25" customHeight="1">
      <c r="C96" s="216" t="s">
        <v>244</v>
      </c>
      <c r="D96" s="232">
        <v>2000.0</v>
      </c>
      <c r="E96" s="216"/>
      <c r="F96" s="216" t="s">
        <v>245</v>
      </c>
      <c r="G96" s="216">
        <v>3547.0</v>
      </c>
      <c r="I96" s="220">
        <v>3419.1</v>
      </c>
      <c r="J96" s="220">
        <v>3428.1</v>
      </c>
      <c r="K96" s="220">
        <f t="shared" ref="K96:K115" si="21">J96-I96</f>
        <v>9</v>
      </c>
      <c r="L96" s="220">
        <f t="shared" ref="L96:L115" si="22">K96-10</f>
        <v>-1</v>
      </c>
    </row>
    <row r="97" ht="14.25" customHeight="1">
      <c r="C97" s="216" t="s">
        <v>246</v>
      </c>
      <c r="D97" s="232">
        <f>G98*G97+ (G105*G106)</f>
        <v>1238</v>
      </c>
      <c r="E97" s="216"/>
      <c r="F97" s="216" t="s">
        <v>247</v>
      </c>
      <c r="G97" s="216">
        <v>123.8</v>
      </c>
      <c r="H97" s="165" t="s">
        <v>436</v>
      </c>
      <c r="I97" s="220">
        <f t="shared" ref="I97:I113" si="23">J96</f>
        <v>3428.1</v>
      </c>
      <c r="J97" s="220">
        <v>3437.7</v>
      </c>
      <c r="K97" s="220">
        <f t="shared" si="21"/>
        <v>9.6</v>
      </c>
      <c r="L97" s="220">
        <f t="shared" si="22"/>
        <v>-0.4</v>
      </c>
    </row>
    <row r="98" ht="14.25" customHeight="1">
      <c r="C98" s="216" t="s">
        <v>248</v>
      </c>
      <c r="D98" s="232">
        <f>G99*G100</f>
        <v>0</v>
      </c>
      <c r="E98" s="216"/>
      <c r="F98" s="216" t="s">
        <v>249</v>
      </c>
      <c r="G98" s="232">
        <v>10.0</v>
      </c>
      <c r="I98" s="220">
        <f t="shared" si="23"/>
        <v>3437.7</v>
      </c>
      <c r="J98" s="220">
        <v>3443.1</v>
      </c>
      <c r="K98" s="220">
        <f t="shared" si="21"/>
        <v>5.4</v>
      </c>
      <c r="L98" s="220">
        <f t="shared" si="22"/>
        <v>-4.6</v>
      </c>
    </row>
    <row r="99" ht="14.25" customHeight="1">
      <c r="C99" s="216" t="s">
        <v>250</v>
      </c>
      <c r="D99" s="232">
        <f>G101*100</f>
        <v>0</v>
      </c>
      <c r="E99" s="216"/>
      <c r="F99" s="216" t="s">
        <v>251</v>
      </c>
      <c r="G99" s="216"/>
      <c r="I99" s="220">
        <f t="shared" si="23"/>
        <v>3443.1</v>
      </c>
      <c r="J99" s="220">
        <v>3448.3</v>
      </c>
      <c r="K99" s="220">
        <f t="shared" si="21"/>
        <v>5.2</v>
      </c>
      <c r="L99" s="220">
        <f t="shared" si="22"/>
        <v>-4.8</v>
      </c>
    </row>
    <row r="100" ht="14.25" customHeight="1">
      <c r="C100" s="216" t="s">
        <v>252</v>
      </c>
      <c r="D100" s="232"/>
      <c r="E100" s="216"/>
      <c r="F100" s="216" t="s">
        <v>249</v>
      </c>
      <c r="G100" s="232">
        <v>10.0</v>
      </c>
      <c r="I100" s="220">
        <f t="shared" si="23"/>
        <v>3448.3</v>
      </c>
      <c r="J100" s="220">
        <v>3456.6</v>
      </c>
      <c r="K100" s="220">
        <f t="shared" si="21"/>
        <v>8.3</v>
      </c>
      <c r="L100" s="220">
        <f t="shared" si="22"/>
        <v>-1.7</v>
      </c>
    </row>
    <row r="101" ht="14.25" customHeight="1">
      <c r="C101" s="216" t="s">
        <v>253</v>
      </c>
      <c r="D101" s="232">
        <f>D96+D97+D98</f>
        <v>3238</v>
      </c>
      <c r="E101" s="216"/>
      <c r="F101" s="216" t="s">
        <v>250</v>
      </c>
      <c r="G101" s="216"/>
      <c r="I101" s="220">
        <f t="shared" si="23"/>
        <v>3456.6</v>
      </c>
      <c r="J101" s="220">
        <v>3466.2</v>
      </c>
      <c r="K101" s="220">
        <f t="shared" si="21"/>
        <v>9.6</v>
      </c>
      <c r="L101" s="220">
        <f t="shared" si="22"/>
        <v>-0.4</v>
      </c>
    </row>
    <row r="102" ht="14.25" customHeight="1">
      <c r="F102" s="242"/>
      <c r="G102" s="242"/>
      <c r="I102" s="220">
        <f t="shared" si="23"/>
        <v>3466.2</v>
      </c>
      <c r="J102" s="220">
        <v>3474.4</v>
      </c>
      <c r="K102" s="220">
        <f t="shared" si="21"/>
        <v>8.2</v>
      </c>
      <c r="L102" s="220">
        <f t="shared" si="22"/>
        <v>-1.8</v>
      </c>
    </row>
    <row r="103" ht="14.25" customHeight="1">
      <c r="I103" s="220">
        <f t="shared" si="23"/>
        <v>3474.4</v>
      </c>
      <c r="J103" s="220" t="s">
        <v>437</v>
      </c>
      <c r="K103" s="220" t="str">
        <f t="shared" si="21"/>
        <v>#VALUE!</v>
      </c>
      <c r="L103" s="220" t="str">
        <f t="shared" si="22"/>
        <v>#VALUE!</v>
      </c>
    </row>
    <row r="104" ht="14.25" customHeight="1">
      <c r="I104" s="220" t="str">
        <f t="shared" si="23"/>
        <v>sem </v>
      </c>
      <c r="J104" s="220">
        <v>3482.7</v>
      </c>
      <c r="K104" s="220" t="str">
        <f t="shared" si="21"/>
        <v>#VALUE!</v>
      </c>
      <c r="L104" s="220" t="str">
        <f t="shared" si="22"/>
        <v>#VALUE!</v>
      </c>
    </row>
    <row r="105" ht="14.25" customHeight="1">
      <c r="D105" s="4"/>
      <c r="I105" s="220">
        <f t="shared" si="23"/>
        <v>3482.7</v>
      </c>
      <c r="J105" s="220">
        <v>3491.7</v>
      </c>
      <c r="K105" s="220">
        <f t="shared" si="21"/>
        <v>9</v>
      </c>
      <c r="L105" s="220">
        <f t="shared" si="22"/>
        <v>-1</v>
      </c>
    </row>
    <row r="106" ht="14.25" customHeight="1">
      <c r="D106" s="4"/>
      <c r="E106" s="4"/>
      <c r="F106" s="4"/>
      <c r="G106" s="243"/>
      <c r="I106" s="220">
        <f t="shared" si="23"/>
        <v>3491.7</v>
      </c>
      <c r="J106" s="220">
        <v>3499.5</v>
      </c>
      <c r="K106" s="220">
        <f t="shared" si="21"/>
        <v>7.8</v>
      </c>
      <c r="L106" s="220">
        <f t="shared" si="22"/>
        <v>-2.2</v>
      </c>
    </row>
    <row r="107" ht="14.25" customHeight="1">
      <c r="D107" s="4"/>
      <c r="E107" s="4"/>
      <c r="F107" s="4"/>
      <c r="I107" s="220">
        <f t="shared" si="23"/>
        <v>3499.5</v>
      </c>
      <c r="J107" s="220">
        <v>3510.5</v>
      </c>
      <c r="K107" s="220">
        <f t="shared" si="21"/>
        <v>11</v>
      </c>
      <c r="L107" s="220">
        <f t="shared" si="22"/>
        <v>1</v>
      </c>
    </row>
    <row r="108" ht="14.25" customHeight="1">
      <c r="D108" s="285"/>
      <c r="E108" s="285"/>
      <c r="F108" s="285"/>
      <c r="G108" s="243"/>
      <c r="I108" s="220">
        <f t="shared" si="23"/>
        <v>3510.5</v>
      </c>
      <c r="J108" s="220">
        <v>3520.0</v>
      </c>
      <c r="K108" s="220">
        <f t="shared" si="21"/>
        <v>9.5</v>
      </c>
      <c r="L108" s="220">
        <f t="shared" si="22"/>
        <v>-0.5</v>
      </c>
    </row>
    <row r="109" ht="14.25" customHeight="1">
      <c r="D109" s="4"/>
      <c r="E109" s="4"/>
      <c r="F109" s="4"/>
      <c r="I109" s="220">
        <f t="shared" si="23"/>
        <v>3520</v>
      </c>
      <c r="J109" s="220">
        <v>3524.8</v>
      </c>
      <c r="K109" s="220">
        <f t="shared" si="21"/>
        <v>4.8</v>
      </c>
      <c r="L109" s="220">
        <f t="shared" si="22"/>
        <v>-5.2</v>
      </c>
    </row>
    <row r="110" ht="14.25" customHeight="1">
      <c r="D110" s="4"/>
      <c r="E110" s="4"/>
      <c r="F110" s="4"/>
      <c r="I110" s="220">
        <f t="shared" si="23"/>
        <v>3524.8</v>
      </c>
      <c r="J110" s="220">
        <v>3528.0</v>
      </c>
      <c r="K110" s="220">
        <f t="shared" si="21"/>
        <v>3.2</v>
      </c>
      <c r="L110" s="220">
        <f t="shared" si="22"/>
        <v>-6.8</v>
      </c>
    </row>
    <row r="111" ht="14.25" customHeight="1">
      <c r="D111" s="4"/>
      <c r="F111" s="4"/>
      <c r="I111" s="220">
        <f t="shared" si="23"/>
        <v>3528</v>
      </c>
      <c r="J111" s="220">
        <v>3532.9</v>
      </c>
      <c r="K111" s="220">
        <f t="shared" si="21"/>
        <v>4.9</v>
      </c>
      <c r="L111" s="220">
        <f t="shared" si="22"/>
        <v>-5.1</v>
      </c>
    </row>
    <row r="112" ht="14.25" customHeight="1">
      <c r="I112" s="220">
        <f t="shared" si="23"/>
        <v>3532.9</v>
      </c>
      <c r="J112" s="220">
        <v>3541.9</v>
      </c>
      <c r="K112" s="220">
        <f t="shared" si="21"/>
        <v>9</v>
      </c>
      <c r="L112" s="220">
        <f t="shared" si="22"/>
        <v>-1</v>
      </c>
    </row>
    <row r="113" ht="14.25" customHeight="1">
      <c r="E113" s="261"/>
      <c r="I113" s="220">
        <f t="shared" si="23"/>
        <v>3541.9</v>
      </c>
      <c r="J113" s="220">
        <v>3547.0</v>
      </c>
      <c r="K113" s="220">
        <f t="shared" si="21"/>
        <v>5.1</v>
      </c>
      <c r="L113" s="220">
        <f t="shared" si="22"/>
        <v>-4.9</v>
      </c>
    </row>
    <row r="114" ht="14.25" customHeight="1">
      <c r="I114" s="220"/>
      <c r="J114" s="220"/>
      <c r="K114" s="220">
        <f t="shared" si="21"/>
        <v>0</v>
      </c>
      <c r="L114" s="220">
        <f t="shared" si="22"/>
        <v>-10</v>
      </c>
    </row>
    <row r="115" ht="14.25" customHeight="1">
      <c r="I115" s="220" t="str">
        <f t="shared" ref="I115:I122" si="24">J114</f>
        <v/>
      </c>
      <c r="J115" s="220"/>
      <c r="K115" s="220">
        <f t="shared" si="21"/>
        <v>0</v>
      </c>
      <c r="L115" s="220">
        <f t="shared" si="22"/>
        <v>-10</v>
      </c>
    </row>
    <row r="116" ht="14.25" customHeight="1">
      <c r="I116" s="220" t="str">
        <f t="shared" si="24"/>
        <v/>
      </c>
      <c r="J116" s="220"/>
      <c r="K116" s="220"/>
      <c r="L116" s="220"/>
    </row>
    <row r="117" ht="14.25" customHeight="1">
      <c r="I117" s="220" t="str">
        <f t="shared" si="24"/>
        <v/>
      </c>
      <c r="J117" s="220"/>
      <c r="K117" s="220">
        <f t="shared" ref="K117:K122" si="25">J117-I117</f>
        <v>0</v>
      </c>
      <c r="L117" s="220">
        <f t="shared" ref="L117:L123" si="26">K117-10</f>
        <v>-10</v>
      </c>
    </row>
    <row r="118" ht="14.25" customHeight="1">
      <c r="I118" s="220" t="str">
        <f t="shared" si="24"/>
        <v/>
      </c>
      <c r="J118" s="220"/>
      <c r="K118" s="220">
        <f t="shared" si="25"/>
        <v>0</v>
      </c>
      <c r="L118" s="220">
        <f t="shared" si="26"/>
        <v>-10</v>
      </c>
    </row>
    <row r="119" ht="14.25" customHeight="1">
      <c r="I119" s="220" t="str">
        <f t="shared" si="24"/>
        <v/>
      </c>
      <c r="J119" s="220"/>
      <c r="K119" s="220">
        <f t="shared" si="25"/>
        <v>0</v>
      </c>
      <c r="L119" s="220">
        <f t="shared" si="26"/>
        <v>-10</v>
      </c>
    </row>
    <row r="120" ht="14.25" customHeight="1">
      <c r="I120" s="220" t="str">
        <f t="shared" si="24"/>
        <v/>
      </c>
      <c r="J120" s="220"/>
      <c r="K120" s="220">
        <f t="shared" si="25"/>
        <v>0</v>
      </c>
      <c r="L120" s="220">
        <f t="shared" si="26"/>
        <v>-10</v>
      </c>
    </row>
    <row r="121" ht="14.25" customHeight="1">
      <c r="I121" s="220" t="str">
        <f t="shared" si="24"/>
        <v/>
      </c>
      <c r="J121" s="220"/>
      <c r="K121" s="220">
        <f t="shared" si="25"/>
        <v>0</v>
      </c>
      <c r="L121" s="220">
        <f t="shared" si="26"/>
        <v>-10</v>
      </c>
    </row>
    <row r="122" ht="14.25" customHeight="1">
      <c r="I122" s="220" t="str">
        <f t="shared" si="24"/>
        <v/>
      </c>
      <c r="J122" s="220"/>
      <c r="K122" s="220">
        <f t="shared" si="25"/>
        <v>0</v>
      </c>
      <c r="L122" s="220">
        <f t="shared" si="26"/>
        <v>-10</v>
      </c>
    </row>
    <row r="123" ht="14.25" customHeight="1">
      <c r="I123" s="234" t="s">
        <v>221</v>
      </c>
      <c r="J123" s="231"/>
      <c r="K123" s="216" t="str">
        <f>SUM(K96:K122)</f>
        <v>#VALUE!</v>
      </c>
      <c r="L123" s="216" t="str">
        <f t="shared" si="26"/>
        <v>#VALUE!</v>
      </c>
    </row>
    <row r="124" ht="14.25" customHeight="1">
      <c r="A124" s="238"/>
      <c r="B124" s="238"/>
      <c r="C124" s="238"/>
      <c r="D124" s="238"/>
      <c r="E124" s="238"/>
      <c r="F124" s="239"/>
      <c r="G124" s="240"/>
      <c r="H124" s="238"/>
      <c r="I124" s="238"/>
      <c r="J124" s="238"/>
      <c r="K124" s="238"/>
      <c r="L124" s="238"/>
    </row>
    <row r="125" ht="14.25" customHeight="1">
      <c r="C125" s="244" t="s">
        <v>438</v>
      </c>
      <c r="D125" s="231"/>
      <c r="E125" s="216"/>
      <c r="F125" s="216" t="s">
        <v>238</v>
      </c>
      <c r="G125" s="216">
        <v>5808.7</v>
      </c>
      <c r="I125" s="216" t="s">
        <v>255</v>
      </c>
      <c r="J125" s="216" t="s">
        <v>256</v>
      </c>
      <c r="K125" s="216" t="s">
        <v>243</v>
      </c>
      <c r="L125" s="216" t="s">
        <v>218</v>
      </c>
    </row>
    <row r="126" ht="14.25" customHeight="1">
      <c r="C126" s="216" t="s">
        <v>244</v>
      </c>
      <c r="D126" s="232">
        <v>2010.0</v>
      </c>
      <c r="E126" s="216"/>
      <c r="F126" s="216" t="s">
        <v>245</v>
      </c>
      <c r="G126" s="216">
        <v>5929.2</v>
      </c>
      <c r="I126" s="220">
        <v>5808.7</v>
      </c>
      <c r="J126" s="220">
        <v>5816.7</v>
      </c>
      <c r="K126" s="220">
        <f t="shared" ref="K126:K145" si="27">J126-I126</f>
        <v>8</v>
      </c>
      <c r="L126" s="220">
        <f t="shared" ref="L126:L145" si="28">K126-10</f>
        <v>-2</v>
      </c>
    </row>
    <row r="127" ht="14.25" customHeight="1">
      <c r="C127" s="216" t="s">
        <v>246</v>
      </c>
      <c r="D127" s="232">
        <f>G128*G127+ (G135*G136)</f>
        <v>1205</v>
      </c>
      <c r="E127" s="216"/>
      <c r="F127" s="216" t="s">
        <v>247</v>
      </c>
      <c r="G127" s="216">
        <f>G126-G125</f>
        <v>120.5</v>
      </c>
      <c r="I127" s="220">
        <f t="shared" ref="I127:I144" si="29">J126</f>
        <v>5816.7</v>
      </c>
      <c r="J127" s="220">
        <v>5822.7</v>
      </c>
      <c r="K127" s="220">
        <f t="shared" si="27"/>
        <v>6</v>
      </c>
      <c r="L127" s="220">
        <f t="shared" si="28"/>
        <v>-4</v>
      </c>
    </row>
    <row r="128" ht="14.25" customHeight="1">
      <c r="C128" s="216" t="s">
        <v>248</v>
      </c>
      <c r="D128" s="232">
        <f>G129*G130</f>
        <v>22</v>
      </c>
      <c r="E128" s="216"/>
      <c r="F128" s="216" t="s">
        <v>249</v>
      </c>
      <c r="G128" s="232">
        <v>10.0</v>
      </c>
      <c r="I128" s="220">
        <f t="shared" si="29"/>
        <v>5822.7</v>
      </c>
      <c r="J128" s="220">
        <v>5831.6</v>
      </c>
      <c r="K128" s="220">
        <f t="shared" si="27"/>
        <v>8.9</v>
      </c>
      <c r="L128" s="220">
        <f t="shared" si="28"/>
        <v>-1.1</v>
      </c>
    </row>
    <row r="129" ht="14.25" customHeight="1">
      <c r="C129" s="216" t="s">
        <v>250</v>
      </c>
      <c r="D129" s="232">
        <f>G131*100</f>
        <v>0</v>
      </c>
      <c r="E129" s="216"/>
      <c r="F129" s="216" t="s">
        <v>251</v>
      </c>
      <c r="G129" s="216">
        <v>2.2</v>
      </c>
      <c r="I129" s="220">
        <f t="shared" si="29"/>
        <v>5831.6</v>
      </c>
      <c r="J129" s="220">
        <v>5833.6</v>
      </c>
      <c r="K129" s="220">
        <f t="shared" si="27"/>
        <v>2</v>
      </c>
      <c r="L129" s="220">
        <f t="shared" si="28"/>
        <v>-8</v>
      </c>
    </row>
    <row r="130" ht="14.25" customHeight="1">
      <c r="C130" s="216" t="s">
        <v>252</v>
      </c>
      <c r="D130" s="232"/>
      <c r="E130" s="216"/>
      <c r="F130" s="216" t="s">
        <v>249</v>
      </c>
      <c r="G130" s="232">
        <v>10.0</v>
      </c>
      <c r="I130" s="237">
        <f t="shared" si="29"/>
        <v>5833.6</v>
      </c>
      <c r="J130" s="237">
        <v>5838.9</v>
      </c>
      <c r="K130" s="237">
        <f t="shared" si="27"/>
        <v>5.3</v>
      </c>
      <c r="L130" s="237">
        <f t="shared" si="28"/>
        <v>-4.7</v>
      </c>
    </row>
    <row r="131" ht="14.25" customHeight="1">
      <c r="C131" s="216" t="s">
        <v>253</v>
      </c>
      <c r="D131" s="232">
        <f>D126+D127+D128+D129-D130</f>
        <v>3237</v>
      </c>
      <c r="E131" s="216"/>
      <c r="F131" s="216" t="s">
        <v>250</v>
      </c>
      <c r="G131" s="216"/>
      <c r="I131" s="220">
        <f t="shared" si="29"/>
        <v>5838.9</v>
      </c>
      <c r="J131" s="220">
        <v>5848.0</v>
      </c>
      <c r="K131" s="220">
        <f t="shared" si="27"/>
        <v>9.1</v>
      </c>
      <c r="L131" s="220">
        <f t="shared" si="28"/>
        <v>-0.9</v>
      </c>
    </row>
    <row r="132" ht="14.25" customHeight="1">
      <c r="C132" s="216" t="s">
        <v>439</v>
      </c>
      <c r="D132" s="262">
        <v>45020.0</v>
      </c>
      <c r="F132" s="242"/>
      <c r="G132" s="242"/>
      <c r="I132" s="220">
        <f t="shared" si="29"/>
        <v>5848</v>
      </c>
      <c r="J132" s="220">
        <v>5856.6</v>
      </c>
      <c r="K132" s="220">
        <f t="shared" si="27"/>
        <v>8.6</v>
      </c>
      <c r="L132" s="220">
        <f t="shared" si="28"/>
        <v>-1.4</v>
      </c>
    </row>
    <row r="133" ht="14.25" customHeight="1">
      <c r="I133" s="220">
        <f t="shared" si="29"/>
        <v>5856.6</v>
      </c>
      <c r="J133" s="220">
        <v>5865.7</v>
      </c>
      <c r="K133" s="220">
        <f t="shared" si="27"/>
        <v>9.1</v>
      </c>
      <c r="L133" s="220">
        <f t="shared" si="28"/>
        <v>-0.9</v>
      </c>
    </row>
    <row r="134" ht="14.25" customHeight="1">
      <c r="I134" s="220">
        <f t="shared" si="29"/>
        <v>5865.7</v>
      </c>
      <c r="J134" s="220">
        <v>5875.2</v>
      </c>
      <c r="K134" s="220">
        <f t="shared" si="27"/>
        <v>9.5</v>
      </c>
      <c r="L134" s="220">
        <f t="shared" si="28"/>
        <v>-0.5</v>
      </c>
    </row>
    <row r="135" ht="14.25" customHeight="1">
      <c r="D135" s="4"/>
      <c r="I135" s="220">
        <f t="shared" si="29"/>
        <v>5875.2</v>
      </c>
      <c r="J135" s="220">
        <v>5884.5</v>
      </c>
      <c r="K135" s="220">
        <f t="shared" si="27"/>
        <v>9.3</v>
      </c>
      <c r="L135" s="220">
        <f t="shared" si="28"/>
        <v>-0.7</v>
      </c>
    </row>
    <row r="136" ht="14.25" customHeight="1">
      <c r="D136" s="4"/>
      <c r="E136" s="4"/>
      <c r="F136" s="4"/>
      <c r="G136" s="243"/>
      <c r="I136" s="237">
        <f t="shared" si="29"/>
        <v>5884.5</v>
      </c>
      <c r="J136" s="237">
        <v>5889.0</v>
      </c>
      <c r="K136" s="237">
        <f t="shared" si="27"/>
        <v>4.5</v>
      </c>
      <c r="L136" s="237">
        <f t="shared" si="28"/>
        <v>-5.5</v>
      </c>
    </row>
    <row r="137" ht="14.25" customHeight="1">
      <c r="D137" s="4"/>
      <c r="E137" s="4"/>
      <c r="F137" s="4"/>
      <c r="I137" s="220">
        <f t="shared" si="29"/>
        <v>5889</v>
      </c>
      <c r="J137" s="220">
        <v>5900.0</v>
      </c>
      <c r="K137" s="220">
        <f t="shared" si="27"/>
        <v>11</v>
      </c>
      <c r="L137" s="220">
        <f t="shared" si="28"/>
        <v>1</v>
      </c>
    </row>
    <row r="138" ht="14.25" customHeight="1">
      <c r="D138" s="285"/>
      <c r="E138" s="285"/>
      <c r="F138" s="285"/>
      <c r="G138" s="243"/>
      <c r="I138" s="220">
        <f t="shared" si="29"/>
        <v>5900</v>
      </c>
      <c r="J138" s="220">
        <v>5901.2</v>
      </c>
      <c r="K138" s="220">
        <f t="shared" si="27"/>
        <v>1.2</v>
      </c>
      <c r="L138" s="220">
        <f t="shared" si="28"/>
        <v>-8.8</v>
      </c>
    </row>
    <row r="139" ht="14.25" customHeight="1">
      <c r="D139" s="4"/>
      <c r="E139" s="4"/>
      <c r="F139" s="4"/>
      <c r="I139" s="220">
        <f t="shared" si="29"/>
        <v>5901.2</v>
      </c>
      <c r="J139" s="220">
        <v>5902.4</v>
      </c>
      <c r="K139" s="220">
        <f t="shared" si="27"/>
        <v>1.2</v>
      </c>
      <c r="L139" s="220">
        <f t="shared" si="28"/>
        <v>-8.8</v>
      </c>
    </row>
    <row r="140" ht="14.25" customHeight="1">
      <c r="D140" s="4"/>
      <c r="E140" s="4"/>
      <c r="F140" s="4"/>
      <c r="I140" s="220">
        <f t="shared" si="29"/>
        <v>5902.4</v>
      </c>
      <c r="J140" s="220">
        <v>5905.7</v>
      </c>
      <c r="K140" s="220">
        <f t="shared" si="27"/>
        <v>3.3</v>
      </c>
      <c r="L140" s="220">
        <f t="shared" si="28"/>
        <v>-6.7</v>
      </c>
    </row>
    <row r="141" ht="14.25" customHeight="1">
      <c r="D141" s="4"/>
      <c r="F141" s="4"/>
      <c r="I141" s="237">
        <f t="shared" si="29"/>
        <v>5905.7</v>
      </c>
      <c r="J141" s="237">
        <v>5907.6</v>
      </c>
      <c r="K141" s="237">
        <f t="shared" si="27"/>
        <v>1.9</v>
      </c>
      <c r="L141" s="237">
        <f t="shared" si="28"/>
        <v>-8.1</v>
      </c>
    </row>
    <row r="142" ht="14.25" customHeight="1">
      <c r="I142" s="220">
        <f t="shared" si="29"/>
        <v>5907.6</v>
      </c>
      <c r="J142" s="220">
        <v>5918.8</v>
      </c>
      <c r="K142" s="220">
        <f t="shared" si="27"/>
        <v>11.2</v>
      </c>
      <c r="L142" s="220">
        <f t="shared" si="28"/>
        <v>1.2</v>
      </c>
    </row>
    <row r="143" ht="14.25" customHeight="1">
      <c r="E143" s="261"/>
      <c r="I143" s="220">
        <f t="shared" si="29"/>
        <v>5918.8</v>
      </c>
      <c r="J143" s="220">
        <v>5921.0</v>
      </c>
      <c r="K143" s="220">
        <f t="shared" si="27"/>
        <v>2.2</v>
      </c>
      <c r="L143" s="220">
        <f t="shared" si="28"/>
        <v>-7.8</v>
      </c>
    </row>
    <row r="144" ht="14.25" customHeight="1">
      <c r="I144" s="220">
        <f t="shared" si="29"/>
        <v>5921</v>
      </c>
      <c r="J144" s="220">
        <v>5929.2</v>
      </c>
      <c r="K144" s="220">
        <f t="shared" si="27"/>
        <v>8.2</v>
      </c>
      <c r="L144" s="220">
        <f t="shared" si="28"/>
        <v>-1.8</v>
      </c>
    </row>
    <row r="145" ht="14.25" customHeight="1">
      <c r="I145" s="220"/>
      <c r="J145" s="220"/>
      <c r="K145" s="220">
        <f t="shared" si="27"/>
        <v>0</v>
      </c>
      <c r="L145" s="220">
        <f t="shared" si="28"/>
        <v>-10</v>
      </c>
    </row>
    <row r="146" ht="14.25" customHeight="1">
      <c r="I146" s="220" t="str">
        <f t="shared" ref="I146:I152" si="30">J145</f>
        <v/>
      </c>
      <c r="J146" s="220"/>
      <c r="K146" s="220"/>
      <c r="L146" s="220"/>
    </row>
    <row r="147" ht="14.25" customHeight="1">
      <c r="I147" s="220" t="str">
        <f t="shared" si="30"/>
        <v/>
      </c>
      <c r="J147" s="220"/>
      <c r="K147" s="220">
        <f t="shared" ref="K147:K152" si="31">J147-I147</f>
        <v>0</v>
      </c>
      <c r="L147" s="220">
        <f t="shared" ref="L147:L153" si="32">K147-10</f>
        <v>-10</v>
      </c>
    </row>
    <row r="148" ht="14.25" customHeight="1">
      <c r="I148" s="220" t="str">
        <f t="shared" si="30"/>
        <v/>
      </c>
      <c r="J148" s="220"/>
      <c r="K148" s="220">
        <f t="shared" si="31"/>
        <v>0</v>
      </c>
      <c r="L148" s="220">
        <f t="shared" si="32"/>
        <v>-10</v>
      </c>
    </row>
    <row r="149" ht="14.25" customHeight="1">
      <c r="I149" s="220" t="str">
        <f t="shared" si="30"/>
        <v/>
      </c>
      <c r="J149" s="220"/>
      <c r="K149" s="220">
        <f t="shared" si="31"/>
        <v>0</v>
      </c>
      <c r="L149" s="220">
        <f t="shared" si="32"/>
        <v>-10</v>
      </c>
    </row>
    <row r="150" ht="14.25" customHeight="1">
      <c r="I150" s="220" t="str">
        <f t="shared" si="30"/>
        <v/>
      </c>
      <c r="J150" s="220"/>
      <c r="K150" s="220">
        <f t="shared" si="31"/>
        <v>0</v>
      </c>
      <c r="L150" s="220">
        <f t="shared" si="32"/>
        <v>-10</v>
      </c>
    </row>
    <row r="151" ht="14.25" customHeight="1">
      <c r="I151" s="220" t="str">
        <f t="shared" si="30"/>
        <v/>
      </c>
      <c r="J151" s="220"/>
      <c r="K151" s="220">
        <f t="shared" si="31"/>
        <v>0</v>
      </c>
      <c r="L151" s="220">
        <f t="shared" si="32"/>
        <v>-10</v>
      </c>
    </row>
    <row r="152" ht="14.25" customHeight="1">
      <c r="I152" s="220" t="str">
        <f t="shared" si="30"/>
        <v/>
      </c>
      <c r="J152" s="220"/>
      <c r="K152" s="220">
        <f t="shared" si="31"/>
        <v>0</v>
      </c>
      <c r="L152" s="220">
        <f t="shared" si="32"/>
        <v>-10</v>
      </c>
    </row>
    <row r="153" ht="14.25" customHeight="1">
      <c r="I153" s="234" t="s">
        <v>221</v>
      </c>
      <c r="J153" s="231"/>
      <c r="K153" s="216">
        <f>SUM(K126:K152)</f>
        <v>120.5</v>
      </c>
      <c r="L153" s="216">
        <f t="shared" si="32"/>
        <v>110.5</v>
      </c>
    </row>
    <row r="154" ht="14.25" customHeight="1"/>
    <row r="155" ht="14.25" customHeight="1"/>
    <row r="156" ht="14.25" customHeight="1">
      <c r="A156" s="238"/>
      <c r="B156" s="238"/>
      <c r="C156" s="238"/>
      <c r="D156" s="238"/>
      <c r="E156" s="238"/>
      <c r="F156" s="239"/>
      <c r="G156" s="240"/>
      <c r="H156" s="238"/>
      <c r="I156" s="238"/>
      <c r="J156" s="238"/>
      <c r="K156" s="238"/>
      <c r="L156" s="238"/>
    </row>
    <row r="157" ht="14.25" customHeight="1">
      <c r="C157" s="244" t="s">
        <v>440</v>
      </c>
      <c r="D157" s="231"/>
      <c r="E157" s="216"/>
      <c r="F157" s="216" t="s">
        <v>238</v>
      </c>
      <c r="G157" s="216"/>
      <c r="I157" s="216" t="s">
        <v>255</v>
      </c>
      <c r="J157" s="216" t="s">
        <v>256</v>
      </c>
      <c r="K157" s="216" t="s">
        <v>243</v>
      </c>
      <c r="L157" s="216" t="s">
        <v>218</v>
      </c>
    </row>
    <row r="158" ht="14.25" customHeight="1">
      <c r="C158" s="216" t="s">
        <v>244</v>
      </c>
      <c r="D158" s="232"/>
      <c r="E158" s="216"/>
      <c r="F158" s="216" t="s">
        <v>245</v>
      </c>
      <c r="G158" s="216"/>
      <c r="I158" s="220">
        <v>5929.2</v>
      </c>
      <c r="J158" s="220">
        <v>5937.1</v>
      </c>
      <c r="K158" s="220">
        <f t="shared" ref="K158:K177" si="33">J158-I158</f>
        <v>7.9</v>
      </c>
      <c r="L158" s="220">
        <f t="shared" ref="L158:L177" si="34">K158-10</f>
        <v>-2.1</v>
      </c>
    </row>
    <row r="159" ht="14.25" customHeight="1">
      <c r="C159" s="216" t="s">
        <v>246</v>
      </c>
      <c r="D159" s="232">
        <f>G160*G159+ (G167*G168)</f>
        <v>3260</v>
      </c>
      <c r="E159" s="216"/>
      <c r="F159" s="216" t="s">
        <v>247</v>
      </c>
      <c r="G159" s="216">
        <v>130.4</v>
      </c>
      <c r="I159" s="220">
        <f t="shared" ref="I159:I166" si="35">J158</f>
        <v>5937.1</v>
      </c>
      <c r="J159" s="220">
        <v>5947.3</v>
      </c>
      <c r="K159" s="220">
        <f t="shared" si="33"/>
        <v>10.2</v>
      </c>
      <c r="L159" s="237">
        <f t="shared" si="34"/>
        <v>0.2</v>
      </c>
    </row>
    <row r="160" ht="14.25" customHeight="1">
      <c r="C160" s="216" t="s">
        <v>248</v>
      </c>
      <c r="D160" s="232">
        <f>G161*G162</f>
        <v>0</v>
      </c>
      <c r="E160" s="216"/>
      <c r="F160" s="216" t="s">
        <v>249</v>
      </c>
      <c r="G160" s="232">
        <v>25.0</v>
      </c>
      <c r="I160" s="220">
        <f t="shared" si="35"/>
        <v>5947.3</v>
      </c>
      <c r="J160" s="220">
        <v>5954.6</v>
      </c>
      <c r="K160" s="220">
        <f t="shared" si="33"/>
        <v>7.3</v>
      </c>
      <c r="L160" s="220">
        <f t="shared" si="34"/>
        <v>-2.7</v>
      </c>
    </row>
    <row r="161" ht="14.25" customHeight="1">
      <c r="C161" s="216" t="s">
        <v>250</v>
      </c>
      <c r="D161" s="232">
        <f>G163*100</f>
        <v>0</v>
      </c>
      <c r="E161" s="216"/>
      <c r="F161" s="216" t="s">
        <v>251</v>
      </c>
      <c r="G161" s="216"/>
      <c r="I161" s="220">
        <f t="shared" si="35"/>
        <v>5954.6</v>
      </c>
      <c r="J161" s="220">
        <v>5956.7</v>
      </c>
      <c r="K161" s="220">
        <f t="shared" si="33"/>
        <v>2.1</v>
      </c>
      <c r="L161" s="220">
        <f t="shared" si="34"/>
        <v>-7.9</v>
      </c>
    </row>
    <row r="162" ht="14.25" customHeight="1">
      <c r="C162" s="216" t="s">
        <v>252</v>
      </c>
      <c r="D162" s="232"/>
      <c r="E162" s="216"/>
      <c r="F162" s="216" t="s">
        <v>249</v>
      </c>
      <c r="G162" s="232">
        <v>10.0</v>
      </c>
      <c r="I162" s="220">
        <f t="shared" si="35"/>
        <v>5956.7</v>
      </c>
      <c r="J162" s="220">
        <v>5962.7</v>
      </c>
      <c r="K162" s="220">
        <f t="shared" si="33"/>
        <v>6</v>
      </c>
      <c r="L162" s="220">
        <f t="shared" si="34"/>
        <v>-4</v>
      </c>
    </row>
    <row r="163" ht="14.25" customHeight="1">
      <c r="C163" s="216" t="s">
        <v>253</v>
      </c>
      <c r="D163" s="232">
        <f>D158+D159+D160+D161-D162</f>
        <v>3260</v>
      </c>
      <c r="E163" s="216"/>
      <c r="F163" s="216" t="s">
        <v>250</v>
      </c>
      <c r="G163" s="216"/>
      <c r="I163" s="220">
        <f t="shared" si="35"/>
        <v>5962.7</v>
      </c>
      <c r="J163" s="220">
        <v>5965.9</v>
      </c>
      <c r="K163" s="220">
        <f t="shared" si="33"/>
        <v>3.2</v>
      </c>
      <c r="L163" s="220">
        <f t="shared" si="34"/>
        <v>-6.8</v>
      </c>
    </row>
    <row r="164" ht="14.25" customHeight="1">
      <c r="C164" s="216" t="s">
        <v>439</v>
      </c>
      <c r="D164" s="262">
        <v>45019.0</v>
      </c>
      <c r="F164" s="242"/>
      <c r="G164" s="242"/>
      <c r="I164" s="220">
        <f t="shared" si="35"/>
        <v>5965.9</v>
      </c>
      <c r="J164" s="220">
        <v>5969.4</v>
      </c>
      <c r="K164" s="220">
        <f t="shared" si="33"/>
        <v>3.5</v>
      </c>
      <c r="L164" s="220">
        <f t="shared" si="34"/>
        <v>-6.5</v>
      </c>
    </row>
    <row r="165" ht="14.25" customHeight="1">
      <c r="I165" s="220">
        <f t="shared" si="35"/>
        <v>5969.4</v>
      </c>
      <c r="J165" s="220">
        <v>5973.4</v>
      </c>
      <c r="K165" s="220">
        <f t="shared" si="33"/>
        <v>4</v>
      </c>
      <c r="L165" s="220">
        <f t="shared" si="34"/>
        <v>-6</v>
      </c>
    </row>
    <row r="166" ht="14.25" customHeight="1">
      <c r="I166" s="220">
        <f t="shared" si="35"/>
        <v>5973.4</v>
      </c>
      <c r="J166" s="220">
        <v>5973.6</v>
      </c>
      <c r="K166" s="220">
        <f t="shared" si="33"/>
        <v>0.2</v>
      </c>
      <c r="L166" s="220">
        <f t="shared" si="34"/>
        <v>-9.8</v>
      </c>
    </row>
    <row r="167" ht="14.25" customHeight="1">
      <c r="C167" s="165" t="s">
        <v>441</v>
      </c>
      <c r="D167" s="4"/>
      <c r="H167" s="165">
        <v>44.4</v>
      </c>
      <c r="I167" s="220"/>
      <c r="J167" s="220"/>
      <c r="K167" s="220">
        <f t="shared" si="33"/>
        <v>0</v>
      </c>
      <c r="L167" s="220">
        <f t="shared" si="34"/>
        <v>-10</v>
      </c>
    </row>
    <row r="168" ht="14.25" customHeight="1">
      <c r="D168" s="4"/>
      <c r="E168" s="4"/>
      <c r="F168" s="4"/>
      <c r="G168" s="243"/>
      <c r="I168" s="220">
        <v>3556.7</v>
      </c>
      <c r="J168" s="220">
        <v>3561.1</v>
      </c>
      <c r="K168" s="220">
        <f t="shared" si="33"/>
        <v>4.4</v>
      </c>
      <c r="L168" s="220">
        <f t="shared" si="34"/>
        <v>-5.6</v>
      </c>
    </row>
    <row r="169" ht="14.25" customHeight="1">
      <c r="D169" s="4"/>
      <c r="E169" s="4"/>
      <c r="F169" s="4"/>
      <c r="I169" s="220">
        <f t="shared" ref="I169:I176" si="36">J168</f>
        <v>3561.1</v>
      </c>
      <c r="J169" s="220">
        <v>3564.1</v>
      </c>
      <c r="K169" s="220">
        <f t="shared" si="33"/>
        <v>3</v>
      </c>
      <c r="L169" s="220">
        <f t="shared" si="34"/>
        <v>-7</v>
      </c>
    </row>
    <row r="170" ht="14.25" customHeight="1">
      <c r="D170" s="285"/>
      <c r="E170" s="285"/>
      <c r="F170" s="285"/>
      <c r="G170" s="243"/>
      <c r="I170" s="220">
        <f t="shared" si="36"/>
        <v>3564.1</v>
      </c>
      <c r="J170" s="220">
        <v>3567.6</v>
      </c>
      <c r="K170" s="220">
        <f t="shared" si="33"/>
        <v>3.5</v>
      </c>
      <c r="L170" s="220">
        <f t="shared" si="34"/>
        <v>-6.5</v>
      </c>
    </row>
    <row r="171" ht="14.25" customHeight="1">
      <c r="D171" s="4"/>
      <c r="E171" s="4"/>
      <c r="F171" s="4"/>
      <c r="I171" s="220">
        <f t="shared" si="36"/>
        <v>3567.6</v>
      </c>
      <c r="J171" s="220">
        <v>3573.3</v>
      </c>
      <c r="K171" s="220">
        <f t="shared" si="33"/>
        <v>5.7</v>
      </c>
      <c r="L171" s="220">
        <f t="shared" si="34"/>
        <v>-4.3</v>
      </c>
    </row>
    <row r="172" ht="14.25" customHeight="1">
      <c r="D172" s="4"/>
      <c r="E172" s="4"/>
      <c r="F172" s="4"/>
      <c r="I172" s="237">
        <f t="shared" si="36"/>
        <v>3573.3</v>
      </c>
      <c r="J172" s="237">
        <v>3577.1</v>
      </c>
      <c r="K172" s="237">
        <f t="shared" si="33"/>
        <v>3.8</v>
      </c>
      <c r="L172" s="237">
        <f t="shared" si="34"/>
        <v>-6.2</v>
      </c>
    </row>
    <row r="173" ht="14.25" customHeight="1">
      <c r="D173" s="4"/>
      <c r="F173" s="4"/>
      <c r="I173" s="220">
        <f t="shared" si="36"/>
        <v>3577.1</v>
      </c>
      <c r="J173" s="220">
        <v>3586.1</v>
      </c>
      <c r="K173" s="220">
        <f t="shared" si="33"/>
        <v>9</v>
      </c>
      <c r="L173" s="220">
        <f t="shared" si="34"/>
        <v>-1</v>
      </c>
    </row>
    <row r="174" ht="14.25" customHeight="1">
      <c r="I174" s="220">
        <f t="shared" si="36"/>
        <v>3586.1</v>
      </c>
      <c r="J174" s="220">
        <v>3596.1</v>
      </c>
      <c r="K174" s="220">
        <f t="shared" si="33"/>
        <v>10</v>
      </c>
      <c r="L174" s="220">
        <f t="shared" si="34"/>
        <v>0</v>
      </c>
    </row>
    <row r="175" ht="14.25" customHeight="1">
      <c r="E175" s="261"/>
      <c r="I175" s="220">
        <f t="shared" si="36"/>
        <v>3596.1</v>
      </c>
      <c r="J175" s="220">
        <v>3605.5</v>
      </c>
      <c r="K175" s="220">
        <f t="shared" si="33"/>
        <v>9.4</v>
      </c>
      <c r="L175" s="220">
        <f t="shared" si="34"/>
        <v>-0.6</v>
      </c>
    </row>
    <row r="176" ht="14.25" customHeight="1">
      <c r="I176" s="220">
        <f t="shared" si="36"/>
        <v>3605.5</v>
      </c>
      <c r="J176" s="220">
        <v>3616.8</v>
      </c>
      <c r="K176" s="220">
        <f t="shared" si="33"/>
        <v>11.3</v>
      </c>
      <c r="L176" s="237">
        <f t="shared" si="34"/>
        <v>1.3</v>
      </c>
    </row>
    <row r="177" ht="14.25" customHeight="1">
      <c r="I177" s="220">
        <v>3616.8</v>
      </c>
      <c r="J177" s="220">
        <v>3620.5</v>
      </c>
      <c r="K177" s="220">
        <f t="shared" si="33"/>
        <v>3.7</v>
      </c>
      <c r="L177" s="220">
        <f t="shared" si="34"/>
        <v>-6.3</v>
      </c>
    </row>
    <row r="178" ht="14.25" customHeight="1">
      <c r="H178" s="165">
        <v>63.8</v>
      </c>
      <c r="I178" s="220"/>
      <c r="J178" s="220"/>
      <c r="K178" s="220"/>
      <c r="L178" s="220"/>
    </row>
    <row r="179" ht="14.25" customHeight="1">
      <c r="I179" s="220">
        <v>3621.8</v>
      </c>
      <c r="J179" s="220">
        <v>3621.8</v>
      </c>
      <c r="K179" s="220">
        <f t="shared" ref="K179:K184" si="37">J179-I179</f>
        <v>0</v>
      </c>
      <c r="L179" s="220">
        <f t="shared" ref="L179:L185" si="38">K179-10</f>
        <v>-10</v>
      </c>
    </row>
    <row r="180" ht="14.25" customHeight="1">
      <c r="I180" s="220">
        <f t="shared" ref="I180:I182" si="39">J179</f>
        <v>3621.8</v>
      </c>
      <c r="J180" s="220">
        <v>3624.5</v>
      </c>
      <c r="K180" s="220">
        <f t="shared" si="37"/>
        <v>2.7</v>
      </c>
      <c r="L180" s="220">
        <f t="shared" si="38"/>
        <v>-7.3</v>
      </c>
    </row>
    <row r="181" ht="14.25" customHeight="1">
      <c r="I181" s="220">
        <f t="shared" si="39"/>
        <v>3624.5</v>
      </c>
      <c r="J181" s="220">
        <v>3631.7</v>
      </c>
      <c r="K181" s="220">
        <f t="shared" si="37"/>
        <v>7.2</v>
      </c>
      <c r="L181" s="220">
        <f t="shared" si="38"/>
        <v>-2.8</v>
      </c>
    </row>
    <row r="182" ht="14.25" customHeight="1">
      <c r="H182" s="165">
        <v>13.2</v>
      </c>
      <c r="I182" s="220">
        <f t="shared" si="39"/>
        <v>3631.7</v>
      </c>
      <c r="J182" s="220">
        <v>3635.0</v>
      </c>
      <c r="K182" s="220">
        <f t="shared" si="37"/>
        <v>3.3</v>
      </c>
      <c r="L182" s="220">
        <f t="shared" si="38"/>
        <v>-6.7</v>
      </c>
    </row>
    <row r="183" ht="14.25" customHeight="1">
      <c r="I183" s="220"/>
      <c r="J183" s="220"/>
      <c r="K183" s="220">
        <f t="shared" si="37"/>
        <v>0</v>
      </c>
      <c r="L183" s="220">
        <f t="shared" si="38"/>
        <v>-10</v>
      </c>
    </row>
    <row r="184" ht="14.25" customHeight="1">
      <c r="I184" s="220" t="str">
        <f>J183</f>
        <v/>
      </c>
      <c r="J184" s="220"/>
      <c r="K184" s="220">
        <f t="shared" si="37"/>
        <v>0</v>
      </c>
      <c r="L184" s="220">
        <f t="shared" si="38"/>
        <v>-10</v>
      </c>
    </row>
    <row r="185" ht="14.25" customHeight="1">
      <c r="I185" s="234" t="s">
        <v>221</v>
      </c>
      <c r="J185" s="231"/>
      <c r="K185" s="216">
        <f>SUM(K158:K184)</f>
        <v>121.4</v>
      </c>
      <c r="L185" s="216">
        <f t="shared" si="38"/>
        <v>111.4</v>
      </c>
    </row>
    <row r="186" ht="14.25" customHeight="1">
      <c r="I186" s="165" t="s">
        <v>442</v>
      </c>
      <c r="J186" s="165" t="s">
        <v>443</v>
      </c>
      <c r="K186" s="165">
        <v>9.0</v>
      </c>
    </row>
    <row r="187" ht="14.25" customHeight="1"/>
    <row r="188" ht="14.25" customHeight="1"/>
    <row r="189" ht="14.25" customHeight="1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ht="14.25" customHeight="1"/>
    <row r="191" ht="14.25" customHeight="1">
      <c r="B191" s="216" t="s">
        <v>214</v>
      </c>
      <c r="C191" s="216" t="s">
        <v>215</v>
      </c>
      <c r="D191" s="216" t="s">
        <v>216</v>
      </c>
      <c r="E191" s="216" t="s">
        <v>217</v>
      </c>
      <c r="F191" s="216" t="s">
        <v>218</v>
      </c>
      <c r="H191" s="216" t="s">
        <v>238</v>
      </c>
      <c r="I191" s="216"/>
      <c r="K191" s="244" t="s">
        <v>444</v>
      </c>
      <c r="L191" s="231"/>
    </row>
    <row r="192" ht="14.25" customHeight="1">
      <c r="B192" s="254">
        <v>45017.0</v>
      </c>
      <c r="C192" s="255">
        <v>3637.9</v>
      </c>
      <c r="D192" s="255">
        <v>3638.1</v>
      </c>
      <c r="E192" s="255">
        <f t="shared" ref="E192:E222" si="40">D192-C192</f>
        <v>0.2</v>
      </c>
      <c r="F192" s="255">
        <f t="shared" ref="F192:F223" si="41">E192-10</f>
        <v>-9.8</v>
      </c>
      <c r="H192" s="216" t="s">
        <v>245</v>
      </c>
      <c r="I192" s="216"/>
      <c r="K192" s="216" t="s">
        <v>244</v>
      </c>
      <c r="L192" s="232"/>
    </row>
    <row r="193" ht="14.25" customHeight="1">
      <c r="B193" s="254">
        <v>45018.0</v>
      </c>
      <c r="C193" s="255"/>
      <c r="D193" s="255"/>
      <c r="E193" s="255">
        <f t="shared" si="40"/>
        <v>0</v>
      </c>
      <c r="F193" s="255">
        <f t="shared" si="41"/>
        <v>-10</v>
      </c>
      <c r="H193" s="216" t="s">
        <v>247</v>
      </c>
      <c r="I193" s="216">
        <v>103.3</v>
      </c>
      <c r="K193" s="216" t="s">
        <v>445</v>
      </c>
      <c r="L193" s="232">
        <v>400.0</v>
      </c>
    </row>
    <row r="194" ht="14.25" customHeight="1">
      <c r="B194" s="229">
        <v>45019.0</v>
      </c>
      <c r="C194" s="220">
        <v>3641.1</v>
      </c>
      <c r="D194" s="220">
        <v>3650.1</v>
      </c>
      <c r="E194" s="220">
        <f t="shared" si="40"/>
        <v>9</v>
      </c>
      <c r="F194" s="220">
        <f t="shared" si="41"/>
        <v>-1</v>
      </c>
      <c r="H194" s="216" t="s">
        <v>249</v>
      </c>
      <c r="I194" s="216">
        <v>25.0</v>
      </c>
      <c r="K194" s="216" t="s">
        <v>246</v>
      </c>
      <c r="L194" s="232">
        <f>I194*I193+L193</f>
        <v>2982.5</v>
      </c>
    </row>
    <row r="195" ht="14.25" customHeight="1">
      <c r="B195" s="229">
        <v>45020.0</v>
      </c>
      <c r="C195" s="220">
        <f t="shared" ref="C195:C197" si="42">D194</f>
        <v>3650.1</v>
      </c>
      <c r="D195" s="220">
        <v>3660.0</v>
      </c>
      <c r="E195" s="220">
        <f t="shared" si="40"/>
        <v>9.9</v>
      </c>
      <c r="F195" s="220">
        <f t="shared" si="41"/>
        <v>-0.1</v>
      </c>
      <c r="H195" s="216" t="s">
        <v>251</v>
      </c>
      <c r="I195" s="216"/>
      <c r="K195" s="216" t="s">
        <v>248</v>
      </c>
      <c r="L195" s="232">
        <f>O196*O197</f>
        <v>0</v>
      </c>
    </row>
    <row r="196" ht="14.25" customHeight="1">
      <c r="B196" s="229">
        <v>45021.0</v>
      </c>
      <c r="C196" s="220">
        <f t="shared" si="42"/>
        <v>3660</v>
      </c>
      <c r="D196" s="220">
        <v>3670.0</v>
      </c>
      <c r="E196" s="220">
        <f t="shared" si="40"/>
        <v>10</v>
      </c>
      <c r="F196" s="220">
        <f t="shared" si="41"/>
        <v>0</v>
      </c>
      <c r="H196" s="216" t="s">
        <v>249</v>
      </c>
      <c r="I196" s="232">
        <v>10.0</v>
      </c>
      <c r="K196" s="216" t="s">
        <v>250</v>
      </c>
      <c r="L196" s="232">
        <f>O198*100</f>
        <v>0</v>
      </c>
    </row>
    <row r="197" ht="14.25" customHeight="1">
      <c r="B197" s="229">
        <v>45022.0</v>
      </c>
      <c r="C197" s="220">
        <f t="shared" si="42"/>
        <v>3670</v>
      </c>
      <c r="D197" s="220">
        <v>3680.0</v>
      </c>
      <c r="E197" s="220">
        <f t="shared" si="40"/>
        <v>10</v>
      </c>
      <c r="F197" s="220">
        <f t="shared" si="41"/>
        <v>0</v>
      </c>
      <c r="H197" s="216" t="s">
        <v>250</v>
      </c>
      <c r="I197" s="216"/>
      <c r="K197" s="216" t="s">
        <v>252</v>
      </c>
      <c r="L197" s="232"/>
    </row>
    <row r="198" ht="14.25" customHeight="1">
      <c r="B198" s="229">
        <v>45023.0</v>
      </c>
      <c r="C198" s="220"/>
      <c r="D198" s="220"/>
      <c r="E198" s="220">
        <f t="shared" si="40"/>
        <v>0</v>
      </c>
      <c r="F198" s="220">
        <f t="shared" si="41"/>
        <v>-10</v>
      </c>
      <c r="K198" s="216" t="s">
        <v>268</v>
      </c>
      <c r="L198" s="232">
        <f>L192+L194+L195+L196-L193-L197</f>
        <v>2582.5</v>
      </c>
    </row>
    <row r="199" ht="14.25" customHeight="1">
      <c r="B199" s="254">
        <v>45024.0</v>
      </c>
      <c r="C199" s="255" t="str">
        <f t="shared" ref="C199:C200" si="43">D198</f>
        <v/>
      </c>
      <c r="D199" s="255"/>
      <c r="E199" s="255">
        <f t="shared" si="40"/>
        <v>0</v>
      </c>
      <c r="F199" s="255">
        <f t="shared" si="41"/>
        <v>-10</v>
      </c>
      <c r="K199" s="216" t="s">
        <v>269</v>
      </c>
      <c r="L199" s="229">
        <v>45044.0</v>
      </c>
    </row>
    <row r="200" ht="14.25" customHeight="1">
      <c r="B200" s="254">
        <v>45025.0</v>
      </c>
      <c r="C200" s="255" t="str">
        <f t="shared" si="43"/>
        <v/>
      </c>
      <c r="D200" s="255"/>
      <c r="E200" s="255">
        <f t="shared" si="40"/>
        <v>0</v>
      </c>
      <c r="F200" s="255">
        <f t="shared" si="41"/>
        <v>-10</v>
      </c>
    </row>
    <row r="201" ht="14.25" customHeight="1">
      <c r="B201" s="229">
        <v>45026.0</v>
      </c>
      <c r="C201" s="220">
        <v>3680.0</v>
      </c>
      <c r="D201" s="220">
        <v>3685.2</v>
      </c>
      <c r="E201" s="220">
        <f t="shared" si="40"/>
        <v>5.2</v>
      </c>
      <c r="F201" s="220">
        <f t="shared" si="41"/>
        <v>-4.8</v>
      </c>
    </row>
    <row r="202" ht="14.25" customHeight="1">
      <c r="B202" s="229">
        <v>45027.0</v>
      </c>
      <c r="C202" s="220">
        <f t="shared" ref="C202:C204" si="44">D201</f>
        <v>3685.2</v>
      </c>
      <c r="D202" s="220">
        <v>3695.9</v>
      </c>
      <c r="E202" s="220">
        <f t="shared" si="40"/>
        <v>10.7</v>
      </c>
      <c r="F202" s="220">
        <f t="shared" si="41"/>
        <v>0.7</v>
      </c>
    </row>
    <row r="203" ht="14.25" customHeight="1">
      <c r="B203" s="229">
        <v>45028.0</v>
      </c>
      <c r="C203" s="220">
        <f t="shared" si="44"/>
        <v>3695.9</v>
      </c>
      <c r="D203" s="220">
        <v>3700.8</v>
      </c>
      <c r="E203" s="220">
        <f t="shared" si="40"/>
        <v>4.9</v>
      </c>
      <c r="F203" s="220">
        <f t="shared" si="41"/>
        <v>-5.1</v>
      </c>
      <c r="K203" s="165" t="s">
        <v>446</v>
      </c>
    </row>
    <row r="204" ht="14.25" customHeight="1">
      <c r="B204" s="229">
        <v>45029.0</v>
      </c>
      <c r="C204" s="220">
        <f t="shared" si="44"/>
        <v>3700.8</v>
      </c>
      <c r="D204" s="220">
        <v>3702.1</v>
      </c>
      <c r="E204" s="220">
        <f t="shared" si="40"/>
        <v>1.3</v>
      </c>
      <c r="F204" s="220">
        <f t="shared" si="41"/>
        <v>-8.7</v>
      </c>
    </row>
    <row r="205" ht="14.25" customHeight="1">
      <c r="B205" s="229">
        <v>45030.0</v>
      </c>
      <c r="C205" s="220"/>
      <c r="D205" s="220"/>
      <c r="E205" s="220">
        <f t="shared" si="40"/>
        <v>0</v>
      </c>
      <c r="F205" s="220">
        <f t="shared" si="41"/>
        <v>-10</v>
      </c>
    </row>
    <row r="206" ht="14.25" customHeight="1">
      <c r="B206" s="254">
        <v>45031.0</v>
      </c>
      <c r="C206" s="255" t="str">
        <f t="shared" ref="C206:C207" si="45">D205</f>
        <v/>
      </c>
      <c r="D206" s="255"/>
      <c r="E206" s="255">
        <f t="shared" si="40"/>
        <v>0</v>
      </c>
      <c r="F206" s="255">
        <f t="shared" si="41"/>
        <v>-10</v>
      </c>
    </row>
    <row r="207" ht="14.25" customHeight="1">
      <c r="B207" s="254">
        <v>45032.0</v>
      </c>
      <c r="C207" s="255" t="str">
        <f t="shared" si="45"/>
        <v/>
      </c>
      <c r="D207" s="255"/>
      <c r="E207" s="255">
        <f t="shared" si="40"/>
        <v>0</v>
      </c>
      <c r="F207" s="255">
        <f t="shared" si="41"/>
        <v>-10</v>
      </c>
    </row>
    <row r="208" ht="14.25" customHeight="1">
      <c r="B208" s="229">
        <v>45033.0</v>
      </c>
      <c r="C208" s="220">
        <v>3702.1</v>
      </c>
      <c r="D208" s="220">
        <v>3708.3</v>
      </c>
      <c r="E208" s="220">
        <f t="shared" si="40"/>
        <v>6.2</v>
      </c>
      <c r="F208" s="220">
        <f t="shared" si="41"/>
        <v>-3.8</v>
      </c>
    </row>
    <row r="209" ht="14.25" customHeight="1">
      <c r="B209" s="229">
        <v>45034.0</v>
      </c>
      <c r="C209" s="220">
        <f t="shared" ref="C209:C210" si="46">D208</f>
        <v>3708.3</v>
      </c>
      <c r="D209" s="220">
        <v>3714.0</v>
      </c>
      <c r="E209" s="220">
        <f t="shared" si="40"/>
        <v>5.7</v>
      </c>
      <c r="F209" s="220">
        <f t="shared" si="41"/>
        <v>-4.3</v>
      </c>
    </row>
    <row r="210" ht="14.25" customHeight="1">
      <c r="B210" s="229">
        <v>45035.0</v>
      </c>
      <c r="C210" s="220">
        <f t="shared" si="46"/>
        <v>3714</v>
      </c>
      <c r="D210" s="220">
        <v>3719.1</v>
      </c>
      <c r="E210" s="220">
        <f t="shared" si="40"/>
        <v>5.1</v>
      </c>
      <c r="F210" s="220">
        <f t="shared" si="41"/>
        <v>-4.9</v>
      </c>
    </row>
    <row r="211" ht="14.25" customHeight="1">
      <c r="B211" s="229">
        <v>45036.0</v>
      </c>
      <c r="C211" s="220"/>
      <c r="D211" s="220"/>
      <c r="E211" s="220">
        <f t="shared" si="40"/>
        <v>0</v>
      </c>
      <c r="F211" s="220">
        <f t="shared" si="41"/>
        <v>-10</v>
      </c>
    </row>
    <row r="212" ht="14.25" customHeight="1">
      <c r="B212" s="254">
        <v>45037.0</v>
      </c>
      <c r="C212" s="255"/>
      <c r="D212" s="255"/>
      <c r="E212" s="255">
        <f t="shared" si="40"/>
        <v>0</v>
      </c>
      <c r="F212" s="255">
        <f t="shared" si="41"/>
        <v>-10</v>
      </c>
    </row>
    <row r="213" ht="14.25" customHeight="1">
      <c r="B213" s="254">
        <v>45038.0</v>
      </c>
      <c r="C213" s="255">
        <v>3719.1</v>
      </c>
      <c r="D213" s="255">
        <v>3723.5</v>
      </c>
      <c r="E213" s="255">
        <f t="shared" si="40"/>
        <v>4.4</v>
      </c>
      <c r="F213" s="255">
        <f t="shared" si="41"/>
        <v>-5.6</v>
      </c>
    </row>
    <row r="214" ht="14.25" customHeight="1">
      <c r="B214" s="254">
        <v>45039.0</v>
      </c>
      <c r="C214" s="255"/>
      <c r="D214" s="255"/>
      <c r="E214" s="255">
        <f t="shared" si="40"/>
        <v>0</v>
      </c>
      <c r="F214" s="255">
        <f t="shared" si="41"/>
        <v>-10</v>
      </c>
    </row>
    <row r="215" ht="14.25" customHeight="1">
      <c r="B215" s="229">
        <v>45040.0</v>
      </c>
      <c r="C215" s="220">
        <v>3723.5</v>
      </c>
      <c r="D215" s="220">
        <v>3732.0</v>
      </c>
      <c r="E215" s="216">
        <f t="shared" si="40"/>
        <v>8.5</v>
      </c>
      <c r="F215" s="216">
        <f t="shared" si="41"/>
        <v>-1.5</v>
      </c>
    </row>
    <row r="216" ht="14.25" customHeight="1">
      <c r="B216" s="229">
        <v>45041.0</v>
      </c>
      <c r="C216" s="220">
        <v>3732.0</v>
      </c>
      <c r="D216" s="220">
        <v>3736.5</v>
      </c>
      <c r="E216" s="216">
        <f t="shared" si="40"/>
        <v>4.5</v>
      </c>
      <c r="F216" s="216">
        <f t="shared" si="41"/>
        <v>-5.5</v>
      </c>
    </row>
    <row r="217" ht="15.0" customHeight="1">
      <c r="B217" s="229">
        <v>45042.0</v>
      </c>
      <c r="C217" s="220">
        <v>3736.5</v>
      </c>
      <c r="D217" s="220">
        <v>3742.0</v>
      </c>
      <c r="E217" s="216">
        <f t="shared" si="40"/>
        <v>5.5</v>
      </c>
      <c r="F217" s="216">
        <f t="shared" si="41"/>
        <v>-4.5</v>
      </c>
    </row>
    <row r="218" ht="15.0" customHeight="1">
      <c r="B218" s="229">
        <v>45043.0</v>
      </c>
      <c r="C218" s="220">
        <f>D217</f>
        <v>3742</v>
      </c>
      <c r="D218" s="220">
        <v>3744.2</v>
      </c>
      <c r="E218" s="216">
        <f t="shared" si="40"/>
        <v>2.2</v>
      </c>
      <c r="F218" s="216">
        <f t="shared" si="41"/>
        <v>-7.8</v>
      </c>
    </row>
    <row r="219" ht="15.0" customHeight="1">
      <c r="B219" s="229">
        <v>45044.0</v>
      </c>
      <c r="C219" s="220"/>
      <c r="D219" s="220"/>
      <c r="E219" s="216">
        <f t="shared" si="40"/>
        <v>0</v>
      </c>
      <c r="F219" s="216">
        <f t="shared" si="41"/>
        <v>-10</v>
      </c>
    </row>
    <row r="220" ht="15.0" customHeight="1">
      <c r="B220" s="254">
        <v>45045.0</v>
      </c>
      <c r="C220" s="255" t="str">
        <f t="shared" ref="C220:C222" si="47">D219</f>
        <v/>
      </c>
      <c r="D220" s="255"/>
      <c r="E220" s="255">
        <f t="shared" si="40"/>
        <v>0</v>
      </c>
      <c r="F220" s="255">
        <f t="shared" si="41"/>
        <v>-10</v>
      </c>
    </row>
    <row r="221" ht="15.0" customHeight="1">
      <c r="B221" s="254">
        <v>45046.0</v>
      </c>
      <c r="C221" s="255" t="str">
        <f t="shared" si="47"/>
        <v/>
      </c>
      <c r="D221" s="255"/>
      <c r="E221" s="255">
        <f t="shared" si="40"/>
        <v>0</v>
      </c>
      <c r="F221" s="255">
        <f t="shared" si="41"/>
        <v>-10</v>
      </c>
    </row>
    <row r="222" ht="15.0" customHeight="1">
      <c r="B222" s="229"/>
      <c r="C222" s="220" t="str">
        <f t="shared" si="47"/>
        <v/>
      </c>
      <c r="D222" s="220"/>
      <c r="E222" s="216">
        <f t="shared" si="40"/>
        <v>0</v>
      </c>
      <c r="F222" s="216">
        <f t="shared" si="41"/>
        <v>-10</v>
      </c>
    </row>
    <row r="223" ht="14.25" customHeight="1">
      <c r="B223" s="216"/>
      <c r="C223" s="223" t="s">
        <v>221</v>
      </c>
      <c r="D223" s="223"/>
      <c r="E223" s="216">
        <f>SUM(E192:E222)</f>
        <v>103.3</v>
      </c>
      <c r="F223" s="216">
        <f t="shared" si="41"/>
        <v>93.3</v>
      </c>
    </row>
    <row r="224" ht="14.25" customHeight="1"/>
    <row r="225" ht="14.25" customHeight="1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</row>
    <row r="226" ht="14.25" customHeight="1"/>
    <row r="227" ht="14.25" customHeight="1">
      <c r="B227" s="216" t="s">
        <v>214</v>
      </c>
      <c r="C227" s="216" t="s">
        <v>215</v>
      </c>
      <c r="D227" s="216" t="s">
        <v>216</v>
      </c>
      <c r="E227" s="216" t="s">
        <v>217</v>
      </c>
      <c r="F227" s="216" t="s">
        <v>218</v>
      </c>
      <c r="H227" s="216" t="s">
        <v>238</v>
      </c>
      <c r="I227" s="216"/>
      <c r="K227" s="244" t="s">
        <v>447</v>
      </c>
      <c r="L227" s="231"/>
    </row>
    <row r="228" ht="14.25" customHeight="1">
      <c r="B228" s="219">
        <v>45047.0</v>
      </c>
      <c r="C228" s="220"/>
      <c r="D228" s="220"/>
      <c r="E228" s="220">
        <f t="shared" ref="E228:E258" si="48">D228-C228</f>
        <v>0</v>
      </c>
      <c r="F228" s="220">
        <f t="shared" ref="F228:F259" si="49">E228-10</f>
        <v>-10</v>
      </c>
      <c r="H228" s="216" t="s">
        <v>245</v>
      </c>
      <c r="I228" s="216"/>
      <c r="K228" s="216" t="s">
        <v>244</v>
      </c>
      <c r="L228" s="232">
        <v>2010.0</v>
      </c>
    </row>
    <row r="229" ht="14.25" customHeight="1">
      <c r="B229" s="219">
        <v>45048.0</v>
      </c>
      <c r="C229" s="220" t="str">
        <f t="shared" ref="C229:C258" si="50">D228</f>
        <v/>
      </c>
      <c r="D229" s="220"/>
      <c r="E229" s="220">
        <f t="shared" si="48"/>
        <v>0</v>
      </c>
      <c r="F229" s="220">
        <f t="shared" si="49"/>
        <v>-10</v>
      </c>
      <c r="H229" s="216" t="s">
        <v>247</v>
      </c>
      <c r="I229" s="216"/>
      <c r="K229" s="216" t="s">
        <v>266</v>
      </c>
      <c r="L229" s="232"/>
    </row>
    <row r="230" ht="14.25" customHeight="1">
      <c r="B230" s="219">
        <v>45049.0</v>
      </c>
      <c r="C230" s="220" t="str">
        <f t="shared" si="50"/>
        <v/>
      </c>
      <c r="D230" s="220"/>
      <c r="E230" s="220">
        <f t="shared" si="48"/>
        <v>0</v>
      </c>
      <c r="F230" s="220">
        <f t="shared" si="49"/>
        <v>-10</v>
      </c>
      <c r="H230" s="216" t="s">
        <v>249</v>
      </c>
      <c r="I230" s="232">
        <v>25.0</v>
      </c>
      <c r="K230" s="216" t="s">
        <v>246</v>
      </c>
      <c r="L230" s="232">
        <f>O230*O231</f>
        <v>0</v>
      </c>
    </row>
    <row r="231" ht="14.25" customHeight="1">
      <c r="B231" s="219">
        <v>45050.0</v>
      </c>
      <c r="C231" s="220" t="str">
        <f t="shared" si="50"/>
        <v/>
      </c>
      <c r="D231" s="220"/>
      <c r="E231" s="220">
        <f t="shared" si="48"/>
        <v>0</v>
      </c>
      <c r="F231" s="220">
        <f t="shared" si="49"/>
        <v>-10</v>
      </c>
      <c r="H231" s="216" t="s">
        <v>251</v>
      </c>
      <c r="I231" s="216"/>
      <c r="K231" s="216" t="s">
        <v>248</v>
      </c>
      <c r="L231" s="232">
        <f>O232*O233</f>
        <v>0</v>
      </c>
    </row>
    <row r="232" ht="14.25" customHeight="1">
      <c r="B232" s="219">
        <v>45051.0</v>
      </c>
      <c r="C232" s="220" t="str">
        <f t="shared" si="50"/>
        <v/>
      </c>
      <c r="D232" s="220"/>
      <c r="E232" s="220">
        <f t="shared" si="48"/>
        <v>0</v>
      </c>
      <c r="F232" s="220">
        <f t="shared" si="49"/>
        <v>-10</v>
      </c>
      <c r="H232" s="216" t="s">
        <v>249</v>
      </c>
      <c r="I232" s="232">
        <v>10.0</v>
      </c>
      <c r="K232" s="216" t="s">
        <v>250</v>
      </c>
      <c r="L232" s="232">
        <f>O234*100</f>
        <v>0</v>
      </c>
    </row>
    <row r="233" ht="14.25" customHeight="1">
      <c r="B233" s="254">
        <v>45052.0</v>
      </c>
      <c r="C233" s="255" t="str">
        <f t="shared" si="50"/>
        <v/>
      </c>
      <c r="D233" s="255"/>
      <c r="E233" s="255">
        <f t="shared" si="48"/>
        <v>0</v>
      </c>
      <c r="F233" s="255">
        <f t="shared" si="49"/>
        <v>-10</v>
      </c>
      <c r="H233" s="216" t="s">
        <v>250</v>
      </c>
      <c r="I233" s="216"/>
      <c r="K233" s="216" t="s">
        <v>252</v>
      </c>
      <c r="L233" s="232"/>
    </row>
    <row r="234" ht="14.25" customHeight="1">
      <c r="B234" s="254">
        <v>45053.0</v>
      </c>
      <c r="C234" s="255" t="str">
        <f t="shared" si="50"/>
        <v/>
      </c>
      <c r="D234" s="255"/>
      <c r="E234" s="255">
        <f t="shared" si="48"/>
        <v>0</v>
      </c>
      <c r="F234" s="255">
        <f t="shared" si="49"/>
        <v>-10</v>
      </c>
      <c r="K234" s="216" t="s">
        <v>268</v>
      </c>
      <c r="L234" s="232">
        <f>L228+L230+L231+L232-L229-L233</f>
        <v>2010</v>
      </c>
    </row>
    <row r="235" ht="14.25" customHeight="1">
      <c r="B235" s="219">
        <v>45054.0</v>
      </c>
      <c r="C235" s="220" t="str">
        <f t="shared" si="50"/>
        <v/>
      </c>
      <c r="D235" s="220"/>
      <c r="E235" s="220">
        <f t="shared" si="48"/>
        <v>0</v>
      </c>
      <c r="F235" s="220">
        <f t="shared" si="49"/>
        <v>-10</v>
      </c>
      <c r="K235" s="216" t="s">
        <v>269</v>
      </c>
      <c r="L235" s="229"/>
    </row>
    <row r="236" ht="14.25" customHeight="1">
      <c r="B236" s="219">
        <v>45055.0</v>
      </c>
      <c r="C236" s="220" t="str">
        <f t="shared" si="50"/>
        <v/>
      </c>
      <c r="D236" s="220"/>
      <c r="E236" s="220">
        <f t="shared" si="48"/>
        <v>0</v>
      </c>
      <c r="F236" s="220">
        <f t="shared" si="49"/>
        <v>-10</v>
      </c>
    </row>
    <row r="237" ht="14.25" customHeight="1">
      <c r="B237" s="219">
        <v>45056.0</v>
      </c>
      <c r="C237" s="220" t="str">
        <f t="shared" si="50"/>
        <v/>
      </c>
      <c r="D237" s="220"/>
      <c r="E237" s="220">
        <f t="shared" si="48"/>
        <v>0</v>
      </c>
      <c r="F237" s="220">
        <f t="shared" si="49"/>
        <v>-10</v>
      </c>
    </row>
    <row r="238" ht="14.25" customHeight="1">
      <c r="B238" s="219">
        <v>45057.0</v>
      </c>
      <c r="C238" s="220" t="str">
        <f t="shared" si="50"/>
        <v/>
      </c>
      <c r="D238" s="220"/>
      <c r="E238" s="220">
        <f t="shared" si="48"/>
        <v>0</v>
      </c>
      <c r="F238" s="220">
        <f t="shared" si="49"/>
        <v>-10</v>
      </c>
    </row>
    <row r="239" ht="14.25" customHeight="1">
      <c r="B239" s="219">
        <v>45058.0</v>
      </c>
      <c r="C239" s="220" t="str">
        <f t="shared" si="50"/>
        <v/>
      </c>
      <c r="D239" s="220"/>
      <c r="E239" s="220">
        <f t="shared" si="48"/>
        <v>0</v>
      </c>
      <c r="F239" s="220">
        <f t="shared" si="49"/>
        <v>-10</v>
      </c>
    </row>
    <row r="240" ht="14.25" customHeight="1">
      <c r="B240" s="254">
        <v>45059.0</v>
      </c>
      <c r="C240" s="255" t="str">
        <f t="shared" si="50"/>
        <v/>
      </c>
      <c r="D240" s="255"/>
      <c r="E240" s="255">
        <f t="shared" si="48"/>
        <v>0</v>
      </c>
      <c r="F240" s="255">
        <f t="shared" si="49"/>
        <v>-10</v>
      </c>
    </row>
    <row r="241" ht="14.25" customHeight="1">
      <c r="B241" s="254">
        <v>45060.0</v>
      </c>
      <c r="C241" s="255" t="str">
        <f t="shared" si="50"/>
        <v/>
      </c>
      <c r="D241" s="255"/>
      <c r="E241" s="255">
        <f t="shared" si="48"/>
        <v>0</v>
      </c>
      <c r="F241" s="255">
        <f t="shared" si="49"/>
        <v>-10</v>
      </c>
    </row>
    <row r="242" ht="14.25" customHeight="1">
      <c r="B242" s="219">
        <v>45061.0</v>
      </c>
      <c r="C242" s="220" t="str">
        <f t="shared" si="50"/>
        <v/>
      </c>
      <c r="D242" s="220"/>
      <c r="E242" s="220">
        <f t="shared" si="48"/>
        <v>0</v>
      </c>
      <c r="F242" s="220">
        <f t="shared" si="49"/>
        <v>-10</v>
      </c>
    </row>
    <row r="243" ht="14.25" customHeight="1">
      <c r="B243" s="219">
        <v>45062.0</v>
      </c>
      <c r="C243" s="220" t="str">
        <f t="shared" si="50"/>
        <v/>
      </c>
      <c r="D243" s="220"/>
      <c r="E243" s="220">
        <f t="shared" si="48"/>
        <v>0</v>
      </c>
      <c r="F243" s="220">
        <f t="shared" si="49"/>
        <v>-10</v>
      </c>
      <c r="K243" s="165" t="s">
        <v>446</v>
      </c>
      <c r="L243" s="12">
        <v>109.0</v>
      </c>
    </row>
    <row r="244" ht="14.25" customHeight="1">
      <c r="B244" s="219">
        <v>45063.0</v>
      </c>
      <c r="C244" s="220" t="str">
        <f t="shared" si="50"/>
        <v/>
      </c>
      <c r="D244" s="220"/>
      <c r="E244" s="220">
        <f t="shared" si="48"/>
        <v>0</v>
      </c>
      <c r="F244" s="220">
        <f t="shared" si="49"/>
        <v>-10</v>
      </c>
      <c r="K244" s="165" t="s">
        <v>448</v>
      </c>
      <c r="L244" s="12">
        <v>25.0</v>
      </c>
    </row>
    <row r="245" ht="14.25" customHeight="1">
      <c r="B245" s="219">
        <v>45064.0</v>
      </c>
      <c r="C245" s="220" t="str">
        <f t="shared" si="50"/>
        <v/>
      </c>
      <c r="D245" s="220"/>
      <c r="E245" s="220">
        <f t="shared" si="48"/>
        <v>0</v>
      </c>
      <c r="F245" s="220">
        <f t="shared" si="49"/>
        <v>-10</v>
      </c>
      <c r="K245" s="165" t="s">
        <v>449</v>
      </c>
      <c r="L245" s="12">
        <v>400.0</v>
      </c>
    </row>
    <row r="246" ht="14.25" customHeight="1">
      <c r="B246" s="219">
        <v>45065.0</v>
      </c>
      <c r="C246" s="220" t="str">
        <f t="shared" si="50"/>
        <v/>
      </c>
      <c r="D246" s="220"/>
      <c r="E246" s="220">
        <f t="shared" si="48"/>
        <v>0</v>
      </c>
      <c r="F246" s="220">
        <f t="shared" si="49"/>
        <v>-10</v>
      </c>
      <c r="K246" s="165" t="s">
        <v>450</v>
      </c>
      <c r="L246" s="12">
        <v>2323.5</v>
      </c>
    </row>
    <row r="247" ht="14.25" customHeight="1">
      <c r="B247" s="254">
        <v>45066.0</v>
      </c>
      <c r="C247" s="255" t="str">
        <f t="shared" si="50"/>
        <v/>
      </c>
      <c r="D247" s="255"/>
      <c r="E247" s="255">
        <f t="shared" si="48"/>
        <v>0</v>
      </c>
      <c r="F247" s="255">
        <f t="shared" si="49"/>
        <v>-10</v>
      </c>
      <c r="K247" s="165" t="s">
        <v>451</v>
      </c>
      <c r="L247" s="286">
        <f>L243*L244+L245-L246</f>
        <v>801.5</v>
      </c>
    </row>
    <row r="248" ht="14.25" customHeight="1">
      <c r="B248" s="254">
        <v>45067.0</v>
      </c>
      <c r="C248" s="255" t="str">
        <f t="shared" si="50"/>
        <v/>
      </c>
      <c r="D248" s="255"/>
      <c r="E248" s="255">
        <f t="shared" si="48"/>
        <v>0</v>
      </c>
      <c r="F248" s="255">
        <f t="shared" si="49"/>
        <v>-10</v>
      </c>
    </row>
    <row r="249" ht="14.25" customHeight="1">
      <c r="B249" s="219">
        <v>45068.0</v>
      </c>
      <c r="C249" s="220" t="str">
        <f t="shared" si="50"/>
        <v/>
      </c>
      <c r="D249" s="220"/>
      <c r="E249" s="220">
        <f t="shared" si="48"/>
        <v>0</v>
      </c>
      <c r="F249" s="220">
        <f t="shared" si="49"/>
        <v>-10</v>
      </c>
    </row>
    <row r="250" ht="14.25" customHeight="1">
      <c r="B250" s="219">
        <v>45069.0</v>
      </c>
      <c r="C250" s="220" t="str">
        <f t="shared" si="50"/>
        <v/>
      </c>
      <c r="D250" s="220"/>
      <c r="E250" s="220">
        <f t="shared" si="48"/>
        <v>0</v>
      </c>
      <c r="F250" s="220">
        <f t="shared" si="49"/>
        <v>-10</v>
      </c>
    </row>
    <row r="251" ht="14.25" customHeight="1">
      <c r="B251" s="219">
        <v>45070.0</v>
      </c>
      <c r="C251" s="220" t="str">
        <f t="shared" si="50"/>
        <v/>
      </c>
      <c r="D251" s="220"/>
      <c r="E251" s="220">
        <f t="shared" si="48"/>
        <v>0</v>
      </c>
      <c r="F251" s="220">
        <f t="shared" si="49"/>
        <v>-10</v>
      </c>
    </row>
    <row r="252" ht="14.25" customHeight="1">
      <c r="B252" s="219">
        <v>45071.0</v>
      </c>
      <c r="C252" s="220" t="str">
        <f t="shared" si="50"/>
        <v/>
      </c>
      <c r="D252" s="220"/>
      <c r="E252" s="220">
        <f t="shared" si="48"/>
        <v>0</v>
      </c>
      <c r="F252" s="220">
        <f t="shared" si="49"/>
        <v>-10</v>
      </c>
    </row>
    <row r="253" ht="14.25" customHeight="1">
      <c r="B253" s="219">
        <v>45072.0</v>
      </c>
      <c r="C253" s="220" t="str">
        <f t="shared" si="50"/>
        <v/>
      </c>
      <c r="D253" s="220"/>
      <c r="E253" s="220">
        <f t="shared" si="48"/>
        <v>0</v>
      </c>
      <c r="F253" s="220">
        <f t="shared" si="49"/>
        <v>-10</v>
      </c>
    </row>
    <row r="254" ht="14.25" customHeight="1">
      <c r="B254" s="254">
        <v>45073.0</v>
      </c>
      <c r="C254" s="255" t="str">
        <f t="shared" si="50"/>
        <v/>
      </c>
      <c r="D254" s="255"/>
      <c r="E254" s="255">
        <f t="shared" si="48"/>
        <v>0</v>
      </c>
      <c r="F254" s="255">
        <f t="shared" si="49"/>
        <v>-10</v>
      </c>
    </row>
    <row r="255" ht="14.25" customHeight="1">
      <c r="B255" s="254">
        <v>45074.0</v>
      </c>
      <c r="C255" s="255" t="str">
        <f t="shared" si="50"/>
        <v/>
      </c>
      <c r="D255" s="255"/>
      <c r="E255" s="255">
        <f t="shared" si="48"/>
        <v>0</v>
      </c>
      <c r="F255" s="255">
        <f t="shared" si="49"/>
        <v>-10</v>
      </c>
    </row>
    <row r="256" ht="14.25" customHeight="1">
      <c r="B256" s="219">
        <v>45075.0</v>
      </c>
      <c r="C256" s="220" t="str">
        <f t="shared" si="50"/>
        <v/>
      </c>
      <c r="D256" s="220"/>
      <c r="E256" s="220">
        <f t="shared" si="48"/>
        <v>0</v>
      </c>
      <c r="F256" s="220">
        <f t="shared" si="49"/>
        <v>-10</v>
      </c>
    </row>
    <row r="257" ht="14.25" customHeight="1">
      <c r="B257" s="219">
        <v>45076.0</v>
      </c>
      <c r="C257" s="220" t="str">
        <f t="shared" si="50"/>
        <v/>
      </c>
      <c r="D257" s="220"/>
      <c r="E257" s="220">
        <f t="shared" si="48"/>
        <v>0</v>
      </c>
      <c r="F257" s="220">
        <f t="shared" si="49"/>
        <v>-10</v>
      </c>
    </row>
    <row r="258" ht="14.25" customHeight="1">
      <c r="B258" s="219">
        <v>45077.0</v>
      </c>
      <c r="C258" s="220" t="str">
        <f t="shared" si="50"/>
        <v/>
      </c>
      <c r="D258" s="220"/>
      <c r="E258" s="220">
        <f t="shared" si="48"/>
        <v>0</v>
      </c>
      <c r="F258" s="220">
        <f t="shared" si="49"/>
        <v>-10</v>
      </c>
    </row>
    <row r="259" ht="14.25" customHeight="1">
      <c r="B259" s="216"/>
      <c r="C259" s="223" t="s">
        <v>221</v>
      </c>
      <c r="D259" s="223"/>
      <c r="E259" s="216">
        <f>SUM(E228:E258)</f>
        <v>0</v>
      </c>
      <c r="F259" s="216">
        <f t="shared" si="49"/>
        <v>-10</v>
      </c>
    </row>
    <row r="260" ht="13.5" customHeight="1"/>
    <row r="261" ht="14.25" customHeight="1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</row>
    <row r="262" ht="14.25" customHeight="1"/>
    <row r="263" ht="14.25" customHeight="1">
      <c r="B263" s="216" t="s">
        <v>214</v>
      </c>
      <c r="C263" s="216" t="s">
        <v>215</v>
      </c>
      <c r="D263" s="216" t="s">
        <v>216</v>
      </c>
      <c r="E263" s="216" t="s">
        <v>217</v>
      </c>
      <c r="F263" s="216" t="s">
        <v>218</v>
      </c>
      <c r="H263" s="216" t="s">
        <v>238</v>
      </c>
      <c r="I263" s="216"/>
      <c r="K263" s="244" t="s">
        <v>411</v>
      </c>
      <c r="L263" s="231"/>
    </row>
    <row r="264" ht="14.25" customHeight="1">
      <c r="B264" s="219">
        <v>45078.0</v>
      </c>
      <c r="C264" s="220"/>
      <c r="D264" s="220"/>
      <c r="E264" s="220">
        <f t="shared" ref="E264:E294" si="51">D264-C264</f>
        <v>0</v>
      </c>
      <c r="F264" s="220">
        <f t="shared" ref="F264:F295" si="52">E264-10</f>
        <v>-10</v>
      </c>
      <c r="H264" s="216" t="s">
        <v>245</v>
      </c>
      <c r="I264" s="216"/>
      <c r="K264" s="216" t="s">
        <v>244</v>
      </c>
      <c r="L264" s="232">
        <v>2010.0</v>
      </c>
    </row>
    <row r="265" ht="14.25" customHeight="1">
      <c r="B265" s="219">
        <v>45079.0</v>
      </c>
      <c r="C265" s="220" t="str">
        <f t="shared" ref="C265:C294" si="53">D264</f>
        <v/>
      </c>
      <c r="D265" s="220"/>
      <c r="E265" s="220">
        <f t="shared" si="51"/>
        <v>0</v>
      </c>
      <c r="F265" s="220">
        <f t="shared" si="52"/>
        <v>-10</v>
      </c>
      <c r="H265" s="216" t="s">
        <v>247</v>
      </c>
      <c r="I265" s="216"/>
      <c r="K265" s="216" t="s">
        <v>266</v>
      </c>
      <c r="L265" s="232"/>
    </row>
    <row r="266" ht="14.25" customHeight="1">
      <c r="B266" s="254">
        <v>45080.0</v>
      </c>
      <c r="C266" s="255" t="str">
        <f t="shared" si="53"/>
        <v/>
      </c>
      <c r="D266" s="255"/>
      <c r="E266" s="255">
        <f t="shared" si="51"/>
        <v>0</v>
      </c>
      <c r="F266" s="255">
        <f t="shared" si="52"/>
        <v>-10</v>
      </c>
      <c r="H266" s="216" t="s">
        <v>249</v>
      </c>
      <c r="I266" s="232">
        <v>25.0</v>
      </c>
      <c r="K266" s="216" t="s">
        <v>246</v>
      </c>
      <c r="L266" s="232">
        <f>O266*O267</f>
        <v>0</v>
      </c>
    </row>
    <row r="267" ht="14.25" customHeight="1">
      <c r="B267" s="254">
        <v>45081.0</v>
      </c>
      <c r="C267" s="255" t="str">
        <f t="shared" si="53"/>
        <v/>
      </c>
      <c r="D267" s="255"/>
      <c r="E267" s="255">
        <f t="shared" si="51"/>
        <v>0</v>
      </c>
      <c r="F267" s="255">
        <f t="shared" si="52"/>
        <v>-10</v>
      </c>
      <c r="H267" s="216" t="s">
        <v>251</v>
      </c>
      <c r="I267" s="216"/>
      <c r="K267" s="216" t="s">
        <v>248</v>
      </c>
      <c r="L267" s="232">
        <f>O268*O269</f>
        <v>0</v>
      </c>
    </row>
    <row r="268" ht="14.25" customHeight="1">
      <c r="B268" s="219">
        <v>45082.0</v>
      </c>
      <c r="C268" s="220" t="str">
        <f t="shared" si="53"/>
        <v/>
      </c>
      <c r="D268" s="220"/>
      <c r="E268" s="220">
        <f t="shared" si="51"/>
        <v>0</v>
      </c>
      <c r="F268" s="220">
        <f t="shared" si="52"/>
        <v>-10</v>
      </c>
      <c r="H268" s="216" t="s">
        <v>249</v>
      </c>
      <c r="I268" s="232">
        <v>10.0</v>
      </c>
      <c r="K268" s="216" t="s">
        <v>250</v>
      </c>
      <c r="L268" s="232">
        <f>O270*100</f>
        <v>0</v>
      </c>
    </row>
    <row r="269" ht="14.25" customHeight="1">
      <c r="B269" s="219">
        <v>45083.0</v>
      </c>
      <c r="C269" s="220" t="str">
        <f t="shared" si="53"/>
        <v/>
      </c>
      <c r="D269" s="220"/>
      <c r="E269" s="220">
        <f t="shared" si="51"/>
        <v>0</v>
      </c>
      <c r="F269" s="220">
        <f t="shared" si="52"/>
        <v>-10</v>
      </c>
      <c r="H269" s="216" t="s">
        <v>250</v>
      </c>
      <c r="I269" s="216"/>
      <c r="K269" s="216" t="s">
        <v>252</v>
      </c>
      <c r="L269" s="232"/>
    </row>
    <row r="270" ht="14.25" customHeight="1">
      <c r="B270" s="219">
        <v>45084.0</v>
      </c>
      <c r="C270" s="220" t="str">
        <f t="shared" si="53"/>
        <v/>
      </c>
      <c r="D270" s="220"/>
      <c r="E270" s="220">
        <f t="shared" si="51"/>
        <v>0</v>
      </c>
      <c r="F270" s="220">
        <f t="shared" si="52"/>
        <v>-10</v>
      </c>
      <c r="K270" s="216" t="s">
        <v>268</v>
      </c>
      <c r="L270" s="232">
        <f>L264+L266+L267+L268-L265-L269</f>
        <v>2010</v>
      </c>
    </row>
    <row r="271" ht="14.25" customHeight="1">
      <c r="B271" s="219">
        <v>45085.0</v>
      </c>
      <c r="C271" s="220" t="str">
        <f t="shared" si="53"/>
        <v/>
      </c>
      <c r="D271" s="220"/>
      <c r="E271" s="220">
        <f t="shared" si="51"/>
        <v>0</v>
      </c>
      <c r="F271" s="220">
        <f t="shared" si="52"/>
        <v>-10</v>
      </c>
      <c r="K271" s="216" t="s">
        <v>269</v>
      </c>
      <c r="L271" s="229"/>
    </row>
    <row r="272" ht="14.25" customHeight="1">
      <c r="B272" s="219">
        <v>45086.0</v>
      </c>
      <c r="C272" s="220" t="str">
        <f t="shared" si="53"/>
        <v/>
      </c>
      <c r="D272" s="220"/>
      <c r="E272" s="220">
        <f t="shared" si="51"/>
        <v>0</v>
      </c>
      <c r="F272" s="220">
        <f t="shared" si="52"/>
        <v>-10</v>
      </c>
    </row>
    <row r="273" ht="14.25" customHeight="1">
      <c r="B273" s="254">
        <v>45087.0</v>
      </c>
      <c r="C273" s="255" t="str">
        <f t="shared" si="53"/>
        <v/>
      </c>
      <c r="D273" s="255"/>
      <c r="E273" s="255">
        <f t="shared" si="51"/>
        <v>0</v>
      </c>
      <c r="F273" s="255">
        <f t="shared" si="52"/>
        <v>-10</v>
      </c>
    </row>
    <row r="274" ht="14.25" customHeight="1">
      <c r="B274" s="254">
        <v>45088.0</v>
      </c>
      <c r="C274" s="255" t="str">
        <f t="shared" si="53"/>
        <v/>
      </c>
      <c r="D274" s="255"/>
      <c r="E274" s="255">
        <f t="shared" si="51"/>
        <v>0</v>
      </c>
      <c r="F274" s="255">
        <f t="shared" si="52"/>
        <v>-10</v>
      </c>
    </row>
    <row r="275" ht="14.25" customHeight="1">
      <c r="B275" s="219">
        <v>45089.0</v>
      </c>
      <c r="C275" s="220" t="str">
        <f t="shared" si="53"/>
        <v/>
      </c>
      <c r="D275" s="220"/>
      <c r="E275" s="220">
        <f t="shared" si="51"/>
        <v>0</v>
      </c>
      <c r="F275" s="220">
        <f t="shared" si="52"/>
        <v>-10</v>
      </c>
    </row>
    <row r="276" ht="14.25" customHeight="1">
      <c r="B276" s="219">
        <v>45090.0</v>
      </c>
      <c r="C276" s="220" t="str">
        <f t="shared" si="53"/>
        <v/>
      </c>
      <c r="D276" s="220"/>
      <c r="E276" s="220">
        <f t="shared" si="51"/>
        <v>0</v>
      </c>
      <c r="F276" s="220">
        <f t="shared" si="52"/>
        <v>-10</v>
      </c>
    </row>
    <row r="277" ht="14.25" customHeight="1">
      <c r="B277" s="219">
        <v>45091.0</v>
      </c>
      <c r="C277" s="220" t="str">
        <f t="shared" si="53"/>
        <v/>
      </c>
      <c r="D277" s="220"/>
      <c r="E277" s="220">
        <f t="shared" si="51"/>
        <v>0</v>
      </c>
      <c r="F277" s="220">
        <f t="shared" si="52"/>
        <v>-10</v>
      </c>
    </row>
    <row r="278" ht="14.25" customHeight="1">
      <c r="B278" s="219">
        <v>45092.0</v>
      </c>
      <c r="C278" s="220" t="str">
        <f t="shared" si="53"/>
        <v/>
      </c>
      <c r="D278" s="220"/>
      <c r="E278" s="220">
        <f t="shared" si="51"/>
        <v>0</v>
      </c>
      <c r="F278" s="220">
        <f t="shared" si="52"/>
        <v>-10</v>
      </c>
    </row>
    <row r="279" ht="14.25" customHeight="1">
      <c r="B279" s="219">
        <v>45093.0</v>
      </c>
      <c r="C279" s="220" t="str">
        <f t="shared" si="53"/>
        <v/>
      </c>
      <c r="D279" s="220"/>
      <c r="E279" s="220">
        <f t="shared" si="51"/>
        <v>0</v>
      </c>
      <c r="F279" s="220">
        <f t="shared" si="52"/>
        <v>-10</v>
      </c>
    </row>
    <row r="280" ht="14.25" customHeight="1">
      <c r="B280" s="254">
        <v>45094.0</v>
      </c>
      <c r="C280" s="255" t="str">
        <f t="shared" si="53"/>
        <v/>
      </c>
      <c r="D280" s="255"/>
      <c r="E280" s="255">
        <f t="shared" si="51"/>
        <v>0</v>
      </c>
      <c r="F280" s="255">
        <f t="shared" si="52"/>
        <v>-10</v>
      </c>
    </row>
    <row r="281" ht="14.25" customHeight="1">
      <c r="B281" s="254">
        <v>45095.0</v>
      </c>
      <c r="C281" s="255" t="str">
        <f t="shared" si="53"/>
        <v/>
      </c>
      <c r="D281" s="255"/>
      <c r="E281" s="255">
        <f t="shared" si="51"/>
        <v>0</v>
      </c>
      <c r="F281" s="255">
        <f t="shared" si="52"/>
        <v>-10</v>
      </c>
    </row>
    <row r="282" ht="14.25" customHeight="1">
      <c r="B282" s="219">
        <v>45096.0</v>
      </c>
      <c r="C282" s="220" t="str">
        <f t="shared" si="53"/>
        <v/>
      </c>
      <c r="D282" s="220"/>
      <c r="E282" s="220">
        <f t="shared" si="51"/>
        <v>0</v>
      </c>
      <c r="F282" s="220">
        <f t="shared" si="52"/>
        <v>-10</v>
      </c>
    </row>
    <row r="283" ht="14.25" customHeight="1">
      <c r="B283" s="219">
        <v>45097.0</v>
      </c>
      <c r="C283" s="220" t="str">
        <f t="shared" si="53"/>
        <v/>
      </c>
      <c r="D283" s="220"/>
      <c r="E283" s="220">
        <f t="shared" si="51"/>
        <v>0</v>
      </c>
      <c r="F283" s="220">
        <f t="shared" si="52"/>
        <v>-10</v>
      </c>
    </row>
    <row r="284" ht="14.25" customHeight="1">
      <c r="B284" s="219">
        <v>45098.0</v>
      </c>
      <c r="C284" s="220" t="str">
        <f t="shared" si="53"/>
        <v/>
      </c>
      <c r="D284" s="220"/>
      <c r="E284" s="220">
        <f t="shared" si="51"/>
        <v>0</v>
      </c>
      <c r="F284" s="220">
        <f t="shared" si="52"/>
        <v>-10</v>
      </c>
    </row>
    <row r="285" ht="14.25" customHeight="1">
      <c r="B285" s="219">
        <v>45099.0</v>
      </c>
      <c r="C285" s="220" t="str">
        <f t="shared" si="53"/>
        <v/>
      </c>
      <c r="D285" s="220"/>
      <c r="E285" s="220">
        <f t="shared" si="51"/>
        <v>0</v>
      </c>
      <c r="F285" s="220">
        <f t="shared" si="52"/>
        <v>-10</v>
      </c>
    </row>
    <row r="286" ht="14.25" customHeight="1">
      <c r="B286" s="219">
        <v>45100.0</v>
      </c>
      <c r="C286" s="220" t="str">
        <f t="shared" si="53"/>
        <v/>
      </c>
      <c r="D286" s="220"/>
      <c r="E286" s="220">
        <f t="shared" si="51"/>
        <v>0</v>
      </c>
      <c r="F286" s="220">
        <f t="shared" si="52"/>
        <v>-10</v>
      </c>
    </row>
    <row r="287" ht="14.25" customHeight="1">
      <c r="B287" s="254">
        <v>45101.0</v>
      </c>
      <c r="C287" s="255" t="str">
        <f t="shared" si="53"/>
        <v/>
      </c>
      <c r="D287" s="255"/>
      <c r="E287" s="255">
        <f t="shared" si="51"/>
        <v>0</v>
      </c>
      <c r="F287" s="255">
        <f t="shared" si="52"/>
        <v>-10</v>
      </c>
    </row>
    <row r="288" ht="14.25" customHeight="1">
      <c r="B288" s="254">
        <v>45102.0</v>
      </c>
      <c r="C288" s="255" t="str">
        <f t="shared" si="53"/>
        <v/>
      </c>
      <c r="D288" s="255"/>
      <c r="E288" s="255">
        <f t="shared" si="51"/>
        <v>0</v>
      </c>
      <c r="F288" s="255">
        <f t="shared" si="52"/>
        <v>-10</v>
      </c>
    </row>
    <row r="289" ht="14.25" customHeight="1">
      <c r="B289" s="219">
        <v>45103.0</v>
      </c>
      <c r="C289" s="220" t="str">
        <f t="shared" si="53"/>
        <v/>
      </c>
      <c r="D289" s="220"/>
      <c r="E289" s="220">
        <f t="shared" si="51"/>
        <v>0</v>
      </c>
      <c r="F289" s="220">
        <f t="shared" si="52"/>
        <v>-10</v>
      </c>
    </row>
    <row r="290" ht="14.25" customHeight="1">
      <c r="B290" s="219">
        <v>45104.0</v>
      </c>
      <c r="C290" s="220" t="str">
        <f t="shared" si="53"/>
        <v/>
      </c>
      <c r="D290" s="220"/>
      <c r="E290" s="220">
        <f t="shared" si="51"/>
        <v>0</v>
      </c>
      <c r="F290" s="220">
        <f t="shared" si="52"/>
        <v>-10</v>
      </c>
    </row>
    <row r="291" ht="14.25" customHeight="1">
      <c r="B291" s="219">
        <v>45105.0</v>
      </c>
      <c r="C291" s="220" t="str">
        <f t="shared" si="53"/>
        <v/>
      </c>
      <c r="D291" s="220"/>
      <c r="E291" s="220">
        <f t="shared" si="51"/>
        <v>0</v>
      </c>
      <c r="F291" s="220">
        <f t="shared" si="52"/>
        <v>-10</v>
      </c>
    </row>
    <row r="292" ht="14.25" customHeight="1">
      <c r="B292" s="219">
        <v>45106.0</v>
      </c>
      <c r="C292" s="220" t="str">
        <f t="shared" si="53"/>
        <v/>
      </c>
      <c r="D292" s="220"/>
      <c r="E292" s="220">
        <f t="shared" si="51"/>
        <v>0</v>
      </c>
      <c r="F292" s="220">
        <f t="shared" si="52"/>
        <v>-10</v>
      </c>
    </row>
    <row r="293" ht="14.25" customHeight="1">
      <c r="B293" s="219">
        <v>45107.0</v>
      </c>
      <c r="C293" s="220" t="str">
        <f t="shared" si="53"/>
        <v/>
      </c>
      <c r="D293" s="220"/>
      <c r="E293" s="220">
        <f t="shared" si="51"/>
        <v>0</v>
      </c>
      <c r="F293" s="220">
        <f t="shared" si="52"/>
        <v>-10</v>
      </c>
    </row>
    <row r="294" ht="14.25" customHeight="1">
      <c r="B294" s="229"/>
      <c r="C294" s="220" t="str">
        <f t="shared" si="53"/>
        <v/>
      </c>
      <c r="D294" s="220"/>
      <c r="E294" s="220">
        <f t="shared" si="51"/>
        <v>0</v>
      </c>
      <c r="F294" s="220">
        <f t="shared" si="52"/>
        <v>-10</v>
      </c>
    </row>
    <row r="295" ht="14.25" customHeight="1">
      <c r="B295" s="216"/>
      <c r="C295" s="223" t="s">
        <v>221</v>
      </c>
      <c r="D295" s="223"/>
      <c r="E295" s="216">
        <f>SUM(E264:E294)</f>
        <v>0</v>
      </c>
      <c r="F295" s="216">
        <f t="shared" si="52"/>
        <v>-10</v>
      </c>
    </row>
    <row r="296" ht="14.25" customHeight="1"/>
    <row r="297" ht="14.25" customHeight="1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</row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F1:G1"/>
    <mergeCell ref="C2:D2"/>
    <mergeCell ref="D12:F12"/>
    <mergeCell ref="D17:E17"/>
    <mergeCell ref="I30:J30"/>
    <mergeCell ref="F32:G32"/>
    <mergeCell ref="C33:D33"/>
    <mergeCell ref="D43:F43"/>
    <mergeCell ref="D49:E49"/>
    <mergeCell ref="I61:J61"/>
    <mergeCell ref="F63:G63"/>
    <mergeCell ref="C64:D64"/>
    <mergeCell ref="D74:F74"/>
    <mergeCell ref="D80:E80"/>
    <mergeCell ref="I92:J92"/>
    <mergeCell ref="F94:G94"/>
    <mergeCell ref="C95:D95"/>
    <mergeCell ref="D105:F105"/>
    <mergeCell ref="D111:E111"/>
    <mergeCell ref="I123:J123"/>
    <mergeCell ref="F124:G124"/>
    <mergeCell ref="I153:J153"/>
    <mergeCell ref="I185:J185"/>
    <mergeCell ref="K191:L191"/>
    <mergeCell ref="K227:L227"/>
    <mergeCell ref="K263:L263"/>
    <mergeCell ref="C125:D125"/>
    <mergeCell ref="D135:F135"/>
    <mergeCell ref="D141:E141"/>
    <mergeCell ref="F156:G156"/>
    <mergeCell ref="C157:D157"/>
    <mergeCell ref="D167:F167"/>
    <mergeCell ref="D173:E173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71"/>
    <col customWidth="1" min="3" max="3" width="8.71"/>
    <col customWidth="1" min="4" max="4" width="21.71"/>
    <col customWidth="1" min="5" max="5" width="12.57"/>
    <col customWidth="1" min="6" max="26" width="8.71"/>
  </cols>
  <sheetData>
    <row r="1" ht="14.25" customHeight="1">
      <c r="A1" s="244" t="s">
        <v>452</v>
      </c>
      <c r="B1" s="231"/>
      <c r="C1" s="216"/>
      <c r="D1" s="216" t="s">
        <v>238</v>
      </c>
      <c r="E1" s="216">
        <v>60.3</v>
      </c>
      <c r="G1" s="216" t="s">
        <v>255</v>
      </c>
      <c r="H1" s="216" t="s">
        <v>256</v>
      </c>
      <c r="I1" s="216" t="s">
        <v>243</v>
      </c>
      <c r="J1" s="216" t="s">
        <v>218</v>
      </c>
    </row>
    <row r="2" ht="14.25" customHeight="1">
      <c r="A2" s="216" t="s">
        <v>244</v>
      </c>
      <c r="B2" s="232">
        <v>1800.0</v>
      </c>
      <c r="C2" s="216"/>
      <c r="D2" s="216" t="s">
        <v>245</v>
      </c>
      <c r="E2" s="216">
        <v>84.2</v>
      </c>
      <c r="G2" s="220"/>
      <c r="H2" s="220"/>
      <c r="I2" s="220">
        <f t="shared" ref="I2:I28" si="1">H2-G2</f>
        <v>0</v>
      </c>
      <c r="J2" s="220">
        <f t="shared" ref="J2:J29" si="2">I2-10</f>
        <v>-10</v>
      </c>
    </row>
    <row r="3" ht="14.25" customHeight="1">
      <c r="A3" s="216" t="s">
        <v>246</v>
      </c>
      <c r="B3" s="232">
        <f>E4*E3+ (E11*E12)</f>
        <v>191.2</v>
      </c>
      <c r="C3" s="216"/>
      <c r="D3" s="216" t="s">
        <v>247</v>
      </c>
      <c r="E3" s="216">
        <f>E2-E1</f>
        <v>23.9</v>
      </c>
      <c r="G3" s="220"/>
      <c r="H3" s="220"/>
      <c r="I3" s="220">
        <f t="shared" si="1"/>
        <v>0</v>
      </c>
      <c r="J3" s="220">
        <f t="shared" si="2"/>
        <v>-10</v>
      </c>
    </row>
    <row r="4" ht="14.25" customHeight="1">
      <c r="A4" s="216" t="s">
        <v>248</v>
      </c>
      <c r="B4" s="232">
        <f>E5*E6</f>
        <v>0</v>
      </c>
      <c r="C4" s="216"/>
      <c r="D4" s="216" t="s">
        <v>249</v>
      </c>
      <c r="E4" s="232">
        <v>8.0</v>
      </c>
      <c r="G4" s="220"/>
      <c r="H4" s="237"/>
      <c r="I4" s="237">
        <f t="shared" si="1"/>
        <v>0</v>
      </c>
      <c r="J4" s="237">
        <f t="shared" si="2"/>
        <v>-10</v>
      </c>
    </row>
    <row r="5" ht="14.25" customHeight="1">
      <c r="A5" s="216" t="s">
        <v>250</v>
      </c>
      <c r="B5" s="232">
        <f>E7*100</f>
        <v>0</v>
      </c>
      <c r="C5" s="216"/>
      <c r="D5" s="216" t="s">
        <v>251</v>
      </c>
      <c r="E5" s="216"/>
      <c r="G5" s="220"/>
      <c r="H5" s="220"/>
      <c r="I5" s="220">
        <f t="shared" si="1"/>
        <v>0</v>
      </c>
      <c r="J5" s="220">
        <f t="shared" si="2"/>
        <v>-10</v>
      </c>
    </row>
    <row r="6" ht="14.25" customHeight="1">
      <c r="A6" s="216" t="s">
        <v>252</v>
      </c>
      <c r="B6" s="232"/>
      <c r="C6" s="216"/>
      <c r="D6" s="216" t="s">
        <v>249</v>
      </c>
      <c r="E6" s="232">
        <v>8.0</v>
      </c>
      <c r="G6" s="220"/>
      <c r="H6" s="220"/>
      <c r="I6" s="220">
        <f t="shared" si="1"/>
        <v>0</v>
      </c>
      <c r="J6" s="220">
        <f t="shared" si="2"/>
        <v>-10</v>
      </c>
    </row>
    <row r="7" ht="14.25" customHeight="1">
      <c r="A7" s="216" t="s">
        <v>253</v>
      </c>
      <c r="B7" s="232">
        <f>B3+B2</f>
        <v>1991.2</v>
      </c>
      <c r="C7" s="216"/>
      <c r="D7" s="216" t="s">
        <v>250</v>
      </c>
      <c r="E7" s="216"/>
      <c r="G7" s="220"/>
      <c r="H7" s="237"/>
      <c r="I7" s="237">
        <f t="shared" si="1"/>
        <v>0</v>
      </c>
      <c r="J7" s="237">
        <f t="shared" si="2"/>
        <v>-10</v>
      </c>
    </row>
    <row r="8" ht="14.25" customHeight="1">
      <c r="D8" s="242"/>
      <c r="E8" s="242"/>
      <c r="G8" s="220" t="str">
        <f t="shared" ref="G8:G11" si="3">H7</f>
        <v/>
      </c>
      <c r="H8" s="220"/>
      <c r="I8" s="220">
        <f t="shared" si="1"/>
        <v>0</v>
      </c>
      <c r="J8" s="220">
        <f t="shared" si="2"/>
        <v>-10</v>
      </c>
    </row>
    <row r="9" ht="14.25" customHeight="1">
      <c r="G9" s="220" t="str">
        <f t="shared" si="3"/>
        <v/>
      </c>
      <c r="H9" s="220"/>
      <c r="I9" s="220">
        <f t="shared" si="1"/>
        <v>0</v>
      </c>
      <c r="J9" s="220">
        <f t="shared" si="2"/>
        <v>-10</v>
      </c>
    </row>
    <row r="10" ht="14.25" customHeight="1">
      <c r="G10" s="220" t="str">
        <f t="shared" si="3"/>
        <v/>
      </c>
      <c r="H10" s="220"/>
      <c r="I10" s="220">
        <f t="shared" si="1"/>
        <v>0</v>
      </c>
      <c r="J10" s="220">
        <f t="shared" si="2"/>
        <v>-10</v>
      </c>
    </row>
    <row r="11" ht="14.25" customHeight="1">
      <c r="B11" s="4"/>
      <c r="G11" s="220" t="str">
        <f t="shared" si="3"/>
        <v/>
      </c>
      <c r="H11" s="220"/>
      <c r="I11" s="220">
        <f t="shared" si="1"/>
        <v>0</v>
      </c>
      <c r="J11" s="220">
        <f t="shared" si="2"/>
        <v>-10</v>
      </c>
    </row>
    <row r="12" ht="14.25" customHeight="1">
      <c r="B12" s="4"/>
      <c r="C12" s="4"/>
      <c r="D12" s="4"/>
      <c r="E12" s="243"/>
      <c r="G12" s="220"/>
      <c r="H12" s="220"/>
      <c r="I12" s="220">
        <f t="shared" si="1"/>
        <v>0</v>
      </c>
      <c r="J12" s="220">
        <f t="shared" si="2"/>
        <v>-10</v>
      </c>
    </row>
    <row r="13" ht="14.25" customHeight="1">
      <c r="B13" s="4"/>
      <c r="C13" s="4"/>
      <c r="D13" s="4"/>
      <c r="G13" s="237"/>
      <c r="H13" s="237"/>
      <c r="I13" s="237">
        <f t="shared" si="1"/>
        <v>0</v>
      </c>
      <c r="J13" s="237">
        <f t="shared" si="2"/>
        <v>-10</v>
      </c>
    </row>
    <row r="14" ht="14.25" customHeight="1">
      <c r="B14" s="4"/>
      <c r="C14" s="4"/>
      <c r="D14" s="4"/>
      <c r="E14" s="243"/>
      <c r="G14" s="220"/>
      <c r="H14" s="220"/>
      <c r="I14" s="220">
        <f t="shared" si="1"/>
        <v>0</v>
      </c>
      <c r="J14" s="220">
        <f t="shared" si="2"/>
        <v>-10</v>
      </c>
    </row>
    <row r="15" ht="14.25" customHeight="1">
      <c r="B15" s="4"/>
      <c r="C15" s="4"/>
      <c r="D15" s="4"/>
      <c r="G15" s="237"/>
      <c r="H15" s="237"/>
      <c r="I15" s="237">
        <f t="shared" si="1"/>
        <v>0</v>
      </c>
      <c r="J15" s="237">
        <f t="shared" si="2"/>
        <v>-10</v>
      </c>
    </row>
    <row r="16" ht="14.25" customHeight="1">
      <c r="B16" s="4"/>
      <c r="D16" s="4"/>
      <c r="G16" s="220"/>
      <c r="H16" s="220"/>
      <c r="I16" s="220">
        <f t="shared" si="1"/>
        <v>0</v>
      </c>
      <c r="J16" s="220">
        <f t="shared" si="2"/>
        <v>-10</v>
      </c>
    </row>
    <row r="17" ht="14.25" customHeight="1">
      <c r="G17" s="220"/>
      <c r="H17" s="220"/>
      <c r="I17" s="220">
        <f t="shared" si="1"/>
        <v>0</v>
      </c>
      <c r="J17" s="220">
        <f t="shared" si="2"/>
        <v>-10</v>
      </c>
    </row>
    <row r="18" ht="14.25" customHeight="1">
      <c r="C18" s="261"/>
      <c r="G18" s="220"/>
      <c r="H18" s="220"/>
      <c r="I18" s="220">
        <f t="shared" si="1"/>
        <v>0</v>
      </c>
      <c r="J18" s="220">
        <f t="shared" si="2"/>
        <v>-10</v>
      </c>
    </row>
    <row r="19" ht="14.25" customHeight="1">
      <c r="G19" s="220"/>
      <c r="H19" s="220"/>
      <c r="I19" s="220">
        <f t="shared" si="1"/>
        <v>0</v>
      </c>
      <c r="J19" s="220">
        <f t="shared" si="2"/>
        <v>-10</v>
      </c>
    </row>
    <row r="20" ht="14.25" customHeight="1">
      <c r="G20" s="220"/>
      <c r="H20" s="220"/>
      <c r="I20" s="220">
        <f t="shared" si="1"/>
        <v>0</v>
      </c>
      <c r="J20" s="220">
        <f t="shared" si="2"/>
        <v>-10</v>
      </c>
    </row>
    <row r="21" ht="14.25" customHeight="1">
      <c r="G21" s="220"/>
      <c r="H21" s="220"/>
      <c r="I21" s="220">
        <f t="shared" si="1"/>
        <v>0</v>
      </c>
      <c r="J21" s="220">
        <f t="shared" si="2"/>
        <v>-10</v>
      </c>
    </row>
    <row r="22" ht="14.25" customHeight="1">
      <c r="G22" s="220"/>
      <c r="H22" s="220"/>
      <c r="I22" s="220">
        <f t="shared" si="1"/>
        <v>0</v>
      </c>
      <c r="J22" s="220">
        <f t="shared" si="2"/>
        <v>-10</v>
      </c>
    </row>
    <row r="23" ht="14.25" customHeight="1">
      <c r="G23" s="220"/>
      <c r="H23" s="220"/>
      <c r="I23" s="220">
        <f t="shared" si="1"/>
        <v>0</v>
      </c>
      <c r="J23" s="220">
        <f t="shared" si="2"/>
        <v>-10</v>
      </c>
    </row>
    <row r="24" ht="14.25" customHeight="1">
      <c r="G24" s="220"/>
      <c r="H24" s="220"/>
      <c r="I24" s="220">
        <f t="shared" si="1"/>
        <v>0</v>
      </c>
      <c r="J24" s="220">
        <f t="shared" si="2"/>
        <v>-10</v>
      </c>
    </row>
    <row r="25" ht="14.25" customHeight="1">
      <c r="G25" s="237"/>
      <c r="H25" s="237"/>
      <c r="I25" s="237">
        <f t="shared" si="1"/>
        <v>0</v>
      </c>
      <c r="J25" s="237">
        <f t="shared" si="2"/>
        <v>-10</v>
      </c>
    </row>
    <row r="26" ht="14.25" customHeight="1">
      <c r="G26" s="220"/>
      <c r="H26" s="220"/>
      <c r="I26" s="220">
        <f t="shared" si="1"/>
        <v>0</v>
      </c>
      <c r="J26" s="220">
        <f t="shared" si="2"/>
        <v>-10</v>
      </c>
    </row>
    <row r="27" ht="14.25" customHeight="1">
      <c r="G27" s="220"/>
      <c r="H27" s="220"/>
      <c r="I27" s="220">
        <f t="shared" si="1"/>
        <v>0</v>
      </c>
      <c r="J27" s="220">
        <f t="shared" si="2"/>
        <v>-10</v>
      </c>
    </row>
    <row r="28" ht="14.25" customHeight="1">
      <c r="G28" s="220"/>
      <c r="H28" s="220"/>
      <c r="I28" s="220">
        <f t="shared" si="1"/>
        <v>0</v>
      </c>
      <c r="J28" s="220">
        <f t="shared" si="2"/>
        <v>-10</v>
      </c>
    </row>
    <row r="29" ht="14.25" customHeight="1">
      <c r="G29" s="234" t="s">
        <v>221</v>
      </c>
      <c r="H29" s="231"/>
      <c r="I29" s="216">
        <f>SUM(I2:I28)</f>
        <v>0</v>
      </c>
      <c r="J29" s="216">
        <f t="shared" si="2"/>
        <v>-10</v>
      </c>
    </row>
    <row r="30" ht="14.25" customHeight="1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</row>
    <row r="31" ht="14.25" customHeight="1">
      <c r="A31" s="244" t="s">
        <v>453</v>
      </c>
      <c r="B31" s="231"/>
      <c r="C31" s="216"/>
      <c r="D31" s="216" t="s">
        <v>238</v>
      </c>
      <c r="E31" s="216">
        <v>84.2</v>
      </c>
      <c r="G31" s="216" t="s">
        <v>255</v>
      </c>
      <c r="H31" s="216" t="s">
        <v>256</v>
      </c>
      <c r="I31" s="216" t="s">
        <v>243</v>
      </c>
      <c r="J31" s="216" t="s">
        <v>218</v>
      </c>
    </row>
    <row r="32" ht="14.25" customHeight="1">
      <c r="A32" s="216" t="s">
        <v>244</v>
      </c>
      <c r="B32" s="232">
        <v>1800.0</v>
      </c>
      <c r="C32" s="216"/>
      <c r="D32" s="216" t="s">
        <v>245</v>
      </c>
      <c r="E32" s="216">
        <v>125.5</v>
      </c>
      <c r="G32" s="220">
        <v>84.2</v>
      </c>
      <c r="H32" s="220">
        <v>90.4</v>
      </c>
      <c r="I32" s="220">
        <f t="shared" ref="I32:I58" si="4">H32-G32</f>
        <v>6.2</v>
      </c>
      <c r="J32" s="220">
        <f t="shared" ref="J32:J59" si="5">I32-10</f>
        <v>-3.8</v>
      </c>
    </row>
    <row r="33" ht="14.25" customHeight="1">
      <c r="A33" s="216" t="s">
        <v>246</v>
      </c>
      <c r="B33" s="232">
        <f>E34*E33+ (E41*E42)</f>
        <v>330.4</v>
      </c>
      <c r="C33" s="216"/>
      <c r="D33" s="216" t="s">
        <v>247</v>
      </c>
      <c r="E33" s="216">
        <f>E32-E31</f>
        <v>41.3</v>
      </c>
      <c r="G33" s="220">
        <f t="shared" ref="G33:G41" si="6">H32</f>
        <v>90.4</v>
      </c>
      <c r="H33" s="220">
        <v>91.4</v>
      </c>
      <c r="I33" s="220">
        <f t="shared" si="4"/>
        <v>1</v>
      </c>
      <c r="J33" s="220">
        <f t="shared" si="5"/>
        <v>-9</v>
      </c>
    </row>
    <row r="34" ht="14.25" customHeight="1">
      <c r="A34" s="216" t="s">
        <v>248</v>
      </c>
      <c r="B34" s="232">
        <f>E35*E36</f>
        <v>0</v>
      </c>
      <c r="C34" s="216"/>
      <c r="D34" s="216" t="s">
        <v>249</v>
      </c>
      <c r="E34" s="232">
        <v>8.0</v>
      </c>
      <c r="G34" s="220">
        <f t="shared" si="6"/>
        <v>91.4</v>
      </c>
      <c r="H34" s="237">
        <v>94.6</v>
      </c>
      <c r="I34" s="237">
        <f t="shared" si="4"/>
        <v>3.2</v>
      </c>
      <c r="J34" s="237">
        <f t="shared" si="5"/>
        <v>-6.8</v>
      </c>
    </row>
    <row r="35" ht="14.25" customHeight="1">
      <c r="A35" s="216" t="s">
        <v>250</v>
      </c>
      <c r="B35" s="232">
        <f>E37*100</f>
        <v>0</v>
      </c>
      <c r="C35" s="216"/>
      <c r="D35" s="216" t="s">
        <v>251</v>
      </c>
      <c r="E35" s="216"/>
      <c r="G35" s="220">
        <f t="shared" si="6"/>
        <v>94.6</v>
      </c>
      <c r="H35" s="220">
        <v>100.4</v>
      </c>
      <c r="I35" s="220">
        <f t="shared" si="4"/>
        <v>5.8</v>
      </c>
      <c r="J35" s="220">
        <f t="shared" si="5"/>
        <v>-4.2</v>
      </c>
    </row>
    <row r="36" ht="14.25" customHeight="1">
      <c r="A36" s="216" t="s">
        <v>252</v>
      </c>
      <c r="B36" s="232"/>
      <c r="C36" s="216"/>
      <c r="D36" s="216" t="s">
        <v>249</v>
      </c>
      <c r="E36" s="232">
        <v>8.0</v>
      </c>
      <c r="G36" s="220">
        <f t="shared" si="6"/>
        <v>100.4</v>
      </c>
      <c r="H36" s="220">
        <v>104.2</v>
      </c>
      <c r="I36" s="220">
        <f t="shared" si="4"/>
        <v>3.8</v>
      </c>
      <c r="J36" s="220">
        <f t="shared" si="5"/>
        <v>-6.2</v>
      </c>
    </row>
    <row r="37" ht="14.25" customHeight="1">
      <c r="A37" s="216" t="s">
        <v>253</v>
      </c>
      <c r="B37" s="232">
        <f>B33+B32</f>
        <v>2130.4</v>
      </c>
      <c r="C37" s="216"/>
      <c r="D37" s="216" t="s">
        <v>250</v>
      </c>
      <c r="E37" s="216"/>
      <c r="G37" s="220">
        <f t="shared" si="6"/>
        <v>104.2</v>
      </c>
      <c r="H37" s="237">
        <v>106.7</v>
      </c>
      <c r="I37" s="237">
        <f t="shared" si="4"/>
        <v>2.5</v>
      </c>
      <c r="J37" s="237">
        <f t="shared" si="5"/>
        <v>-7.5</v>
      </c>
    </row>
    <row r="38" ht="14.25" customHeight="1">
      <c r="D38" s="242"/>
      <c r="E38" s="242"/>
      <c r="G38" s="220">
        <f t="shared" si="6"/>
        <v>106.7</v>
      </c>
      <c r="H38" s="220">
        <v>108.9</v>
      </c>
      <c r="I38" s="220">
        <f t="shared" si="4"/>
        <v>2.2</v>
      </c>
      <c r="J38" s="220">
        <f t="shared" si="5"/>
        <v>-7.8</v>
      </c>
    </row>
    <row r="39" ht="14.25" customHeight="1">
      <c r="G39" s="220">
        <f t="shared" si="6"/>
        <v>108.9</v>
      </c>
      <c r="H39" s="220">
        <v>113.2</v>
      </c>
      <c r="I39" s="220">
        <f t="shared" si="4"/>
        <v>4.3</v>
      </c>
      <c r="J39" s="220">
        <f t="shared" si="5"/>
        <v>-5.7</v>
      </c>
    </row>
    <row r="40" ht="14.25" customHeight="1">
      <c r="G40" s="220">
        <f t="shared" si="6"/>
        <v>113.2</v>
      </c>
      <c r="H40" s="220">
        <v>121.7</v>
      </c>
      <c r="I40" s="220">
        <f t="shared" si="4"/>
        <v>8.5</v>
      </c>
      <c r="J40" s="220">
        <f t="shared" si="5"/>
        <v>-1.5</v>
      </c>
    </row>
    <row r="41" ht="14.25" customHeight="1">
      <c r="B41" s="4"/>
      <c r="G41" s="220">
        <f t="shared" si="6"/>
        <v>121.7</v>
      </c>
      <c r="H41" s="220">
        <v>125.5</v>
      </c>
      <c r="I41" s="220">
        <f t="shared" si="4"/>
        <v>3.8</v>
      </c>
      <c r="J41" s="220">
        <f t="shared" si="5"/>
        <v>-6.2</v>
      </c>
    </row>
    <row r="42" ht="14.25" customHeight="1">
      <c r="B42" s="4"/>
      <c r="C42" s="4"/>
      <c r="D42" s="4"/>
      <c r="E42" s="243"/>
      <c r="G42" s="220"/>
      <c r="H42" s="220"/>
      <c r="I42" s="220">
        <f t="shared" si="4"/>
        <v>0</v>
      </c>
      <c r="J42" s="220">
        <f t="shared" si="5"/>
        <v>-10</v>
      </c>
    </row>
    <row r="43" ht="14.25" customHeight="1">
      <c r="B43" s="4"/>
      <c r="C43" s="4"/>
      <c r="D43" s="4"/>
      <c r="G43" s="220" t="str">
        <f t="shared" ref="G43:G54" si="7">H42</f>
        <v/>
      </c>
      <c r="H43" s="237"/>
      <c r="I43" s="237">
        <f t="shared" si="4"/>
        <v>0</v>
      </c>
      <c r="J43" s="237">
        <f t="shared" si="5"/>
        <v>-10</v>
      </c>
    </row>
    <row r="44" ht="14.25" customHeight="1">
      <c r="B44" s="4"/>
      <c r="C44" s="4"/>
      <c r="D44" s="4"/>
      <c r="E44" s="243"/>
      <c r="G44" s="220" t="str">
        <f t="shared" si="7"/>
        <v/>
      </c>
      <c r="H44" s="220"/>
      <c r="I44" s="220">
        <f t="shared" si="4"/>
        <v>0</v>
      </c>
      <c r="J44" s="220">
        <f t="shared" si="5"/>
        <v>-10</v>
      </c>
    </row>
    <row r="45" ht="14.25" customHeight="1">
      <c r="B45" s="4"/>
      <c r="C45" s="4"/>
      <c r="D45" s="4"/>
      <c r="G45" s="220" t="str">
        <f t="shared" si="7"/>
        <v/>
      </c>
      <c r="H45" s="237"/>
      <c r="I45" s="237">
        <f t="shared" si="4"/>
        <v>0</v>
      </c>
      <c r="J45" s="237">
        <f t="shared" si="5"/>
        <v>-10</v>
      </c>
    </row>
    <row r="46" ht="14.25" customHeight="1">
      <c r="B46" s="4"/>
      <c r="D46" s="4"/>
      <c r="G46" s="220" t="str">
        <f t="shared" si="7"/>
        <v/>
      </c>
      <c r="H46" s="220"/>
      <c r="I46" s="220">
        <f t="shared" si="4"/>
        <v>0</v>
      </c>
      <c r="J46" s="220">
        <f t="shared" si="5"/>
        <v>-10</v>
      </c>
    </row>
    <row r="47" ht="14.25" customHeight="1">
      <c r="G47" s="220" t="str">
        <f t="shared" si="7"/>
        <v/>
      </c>
      <c r="H47" s="220"/>
      <c r="I47" s="220">
        <f t="shared" si="4"/>
        <v>0</v>
      </c>
      <c r="J47" s="220">
        <f t="shared" si="5"/>
        <v>-10</v>
      </c>
    </row>
    <row r="48" ht="14.25" customHeight="1">
      <c r="C48" s="261"/>
      <c r="G48" s="220" t="str">
        <f t="shared" si="7"/>
        <v/>
      </c>
      <c r="H48" s="220"/>
      <c r="I48" s="220">
        <f t="shared" si="4"/>
        <v>0</v>
      </c>
      <c r="J48" s="220">
        <f t="shared" si="5"/>
        <v>-10</v>
      </c>
    </row>
    <row r="49" ht="14.25" customHeight="1">
      <c r="G49" s="220" t="str">
        <f t="shared" si="7"/>
        <v/>
      </c>
      <c r="H49" s="220"/>
      <c r="I49" s="220">
        <f t="shared" si="4"/>
        <v>0</v>
      </c>
      <c r="J49" s="220">
        <f t="shared" si="5"/>
        <v>-10</v>
      </c>
    </row>
    <row r="50" ht="14.25" customHeight="1">
      <c r="G50" s="220" t="str">
        <f t="shared" si="7"/>
        <v/>
      </c>
      <c r="H50" s="220"/>
      <c r="I50" s="220">
        <f t="shared" si="4"/>
        <v>0</v>
      </c>
      <c r="J50" s="220">
        <f t="shared" si="5"/>
        <v>-10</v>
      </c>
    </row>
    <row r="51" ht="14.25" customHeight="1">
      <c r="G51" s="220" t="str">
        <f t="shared" si="7"/>
        <v/>
      </c>
      <c r="H51" s="220"/>
      <c r="I51" s="220">
        <f t="shared" si="4"/>
        <v>0</v>
      </c>
      <c r="J51" s="220">
        <f t="shared" si="5"/>
        <v>-10</v>
      </c>
    </row>
    <row r="52" ht="14.25" customHeight="1">
      <c r="G52" s="220" t="str">
        <f t="shared" si="7"/>
        <v/>
      </c>
      <c r="H52" s="220"/>
      <c r="I52" s="220">
        <f t="shared" si="4"/>
        <v>0</v>
      </c>
      <c r="J52" s="220">
        <f t="shared" si="5"/>
        <v>-10</v>
      </c>
    </row>
    <row r="53" ht="14.25" customHeight="1">
      <c r="G53" s="220" t="str">
        <f t="shared" si="7"/>
        <v/>
      </c>
      <c r="H53" s="220"/>
      <c r="I53" s="220">
        <f t="shared" si="4"/>
        <v>0</v>
      </c>
      <c r="J53" s="220">
        <f t="shared" si="5"/>
        <v>-10</v>
      </c>
    </row>
    <row r="54" ht="14.25" customHeight="1">
      <c r="G54" s="220" t="str">
        <f t="shared" si="7"/>
        <v/>
      </c>
      <c r="H54" s="220"/>
      <c r="I54" s="220">
        <f t="shared" si="4"/>
        <v>0</v>
      </c>
      <c r="J54" s="220">
        <f t="shared" si="5"/>
        <v>-10</v>
      </c>
    </row>
    <row r="55" ht="14.25" customHeight="1">
      <c r="G55" s="237"/>
      <c r="H55" s="237"/>
      <c r="I55" s="237">
        <f t="shared" si="4"/>
        <v>0</v>
      </c>
      <c r="J55" s="237">
        <f t="shared" si="5"/>
        <v>-10</v>
      </c>
    </row>
    <row r="56" ht="14.25" customHeight="1">
      <c r="G56" s="220"/>
      <c r="H56" s="220"/>
      <c r="I56" s="220">
        <f t="shared" si="4"/>
        <v>0</v>
      </c>
      <c r="J56" s="220">
        <f t="shared" si="5"/>
        <v>-10</v>
      </c>
    </row>
    <row r="57" ht="14.25" customHeight="1">
      <c r="G57" s="220"/>
      <c r="H57" s="220"/>
      <c r="I57" s="220">
        <f t="shared" si="4"/>
        <v>0</v>
      </c>
      <c r="J57" s="220">
        <f t="shared" si="5"/>
        <v>-10</v>
      </c>
    </row>
    <row r="58" ht="14.25" customHeight="1">
      <c r="G58" s="220"/>
      <c r="H58" s="220"/>
      <c r="I58" s="220">
        <f t="shared" si="4"/>
        <v>0</v>
      </c>
      <c r="J58" s="220">
        <f t="shared" si="5"/>
        <v>-10</v>
      </c>
    </row>
    <row r="59" ht="14.25" customHeight="1">
      <c r="G59" s="234" t="s">
        <v>221</v>
      </c>
      <c r="H59" s="231"/>
      <c r="I59" s="216">
        <f>SUM(I32:I58)</f>
        <v>41.3</v>
      </c>
      <c r="J59" s="216">
        <f t="shared" si="5"/>
        <v>31.3</v>
      </c>
    </row>
    <row r="60" ht="14.25" customHeight="1">
      <c r="A60" s="238"/>
      <c r="B60" s="238"/>
      <c r="C60" s="238"/>
      <c r="D60" s="238"/>
      <c r="E60" s="238"/>
      <c r="F60" s="238"/>
      <c r="G60" s="238"/>
      <c r="H60" s="238"/>
      <c r="I60" s="238"/>
      <c r="J60" s="238"/>
    </row>
    <row r="61" ht="14.25" customHeight="1">
      <c r="A61" s="244" t="s">
        <v>454</v>
      </c>
      <c r="B61" s="231"/>
      <c r="C61" s="216"/>
      <c r="D61" s="216" t="s">
        <v>238</v>
      </c>
      <c r="E61" s="216">
        <v>211.0</v>
      </c>
      <c r="G61" s="216" t="s">
        <v>255</v>
      </c>
      <c r="H61" s="216" t="s">
        <v>256</v>
      </c>
      <c r="I61" s="216" t="s">
        <v>243</v>
      </c>
      <c r="J61" s="216" t="s">
        <v>218</v>
      </c>
    </row>
    <row r="62" ht="14.25" customHeight="1">
      <c r="A62" s="216" t="s">
        <v>244</v>
      </c>
      <c r="B62" s="232">
        <v>1800.0</v>
      </c>
      <c r="C62" s="216"/>
      <c r="D62" s="216" t="s">
        <v>245</v>
      </c>
      <c r="E62" s="216">
        <v>326.7</v>
      </c>
      <c r="G62" s="220">
        <v>211.0</v>
      </c>
      <c r="H62" s="220">
        <v>222.5</v>
      </c>
      <c r="I62" s="220">
        <f t="shared" ref="I62:I88" si="8">H62-G62</f>
        <v>11.5</v>
      </c>
      <c r="J62" s="220">
        <f t="shared" ref="J62:J89" si="9">I62-10</f>
        <v>1.5</v>
      </c>
    </row>
    <row r="63" ht="14.25" customHeight="1">
      <c r="A63" s="216" t="s">
        <v>246</v>
      </c>
      <c r="B63" s="232">
        <f>E64*E63+ (E71*E72)</f>
        <v>925.6</v>
      </c>
      <c r="C63" s="216"/>
      <c r="D63" s="216" t="s">
        <v>247</v>
      </c>
      <c r="E63" s="216">
        <v>115.7</v>
      </c>
      <c r="G63" s="220">
        <f t="shared" ref="G63:G71" si="10">H62</f>
        <v>222.5</v>
      </c>
      <c r="H63" s="220">
        <v>226.6</v>
      </c>
      <c r="I63" s="220">
        <f t="shared" si="8"/>
        <v>4.1</v>
      </c>
      <c r="J63" s="220">
        <f t="shared" si="9"/>
        <v>-5.9</v>
      </c>
    </row>
    <row r="64" ht="14.25" customHeight="1">
      <c r="A64" s="216" t="s">
        <v>248</v>
      </c>
      <c r="B64" s="232">
        <f>E65*E66</f>
        <v>12</v>
      </c>
      <c r="C64" s="216"/>
      <c r="D64" s="216" t="s">
        <v>249</v>
      </c>
      <c r="E64" s="232">
        <v>8.0</v>
      </c>
      <c r="G64" s="237">
        <f t="shared" si="10"/>
        <v>226.6</v>
      </c>
      <c r="H64" s="237">
        <v>236.4</v>
      </c>
      <c r="I64" s="237">
        <f t="shared" si="8"/>
        <v>9.8</v>
      </c>
      <c r="J64" s="237">
        <f t="shared" si="9"/>
        <v>-0.2</v>
      </c>
    </row>
    <row r="65" ht="14.25" customHeight="1">
      <c r="A65" s="216" t="s">
        <v>250</v>
      </c>
      <c r="B65" s="232">
        <f>E67*100</f>
        <v>200</v>
      </c>
      <c r="C65" s="216"/>
      <c r="D65" s="216" t="s">
        <v>251</v>
      </c>
      <c r="E65" s="216">
        <v>1.5</v>
      </c>
      <c r="G65" s="287">
        <f t="shared" si="10"/>
        <v>236.4</v>
      </c>
      <c r="H65" s="287">
        <v>247.7</v>
      </c>
      <c r="I65" s="287">
        <f t="shared" si="8"/>
        <v>11.3</v>
      </c>
      <c r="J65" s="287">
        <f t="shared" si="9"/>
        <v>1.3</v>
      </c>
    </row>
    <row r="66" ht="14.25" customHeight="1">
      <c r="A66" s="216" t="s">
        <v>252</v>
      </c>
      <c r="B66" s="232"/>
      <c r="C66" s="216"/>
      <c r="D66" s="216" t="s">
        <v>249</v>
      </c>
      <c r="E66" s="232">
        <v>8.0</v>
      </c>
      <c r="G66" s="220">
        <f t="shared" si="10"/>
        <v>247.7</v>
      </c>
      <c r="H66" s="220">
        <v>254.6</v>
      </c>
      <c r="I66" s="220">
        <f t="shared" si="8"/>
        <v>6.9</v>
      </c>
      <c r="J66" s="220">
        <f t="shared" si="9"/>
        <v>-3.1</v>
      </c>
    </row>
    <row r="67" ht="14.25" customHeight="1">
      <c r="A67" s="216" t="s">
        <v>253</v>
      </c>
      <c r="B67" s="232">
        <f>B62+B63+B64+B65</f>
        <v>2937.6</v>
      </c>
      <c r="C67" s="216"/>
      <c r="D67" s="216" t="s">
        <v>250</v>
      </c>
      <c r="E67" s="216">
        <v>2.0</v>
      </c>
      <c r="G67" s="220">
        <f t="shared" si="10"/>
        <v>254.6</v>
      </c>
      <c r="H67" s="220">
        <v>263.1</v>
      </c>
      <c r="I67" s="220">
        <f t="shared" si="8"/>
        <v>8.5</v>
      </c>
      <c r="J67" s="220">
        <f t="shared" si="9"/>
        <v>-1.5</v>
      </c>
    </row>
    <row r="68" ht="14.25" customHeight="1">
      <c r="A68" s="216" t="s">
        <v>455</v>
      </c>
      <c r="B68" s="262">
        <v>45019.0</v>
      </c>
      <c r="D68" s="242"/>
      <c r="E68" s="242"/>
      <c r="G68" s="220">
        <f t="shared" si="10"/>
        <v>263.1</v>
      </c>
      <c r="H68" s="220">
        <v>312.7</v>
      </c>
      <c r="I68" s="220">
        <f t="shared" si="8"/>
        <v>49.6</v>
      </c>
      <c r="J68" s="220">
        <f t="shared" si="9"/>
        <v>39.6</v>
      </c>
    </row>
    <row r="69" ht="14.25" customHeight="1">
      <c r="G69" s="220">
        <f t="shared" si="10"/>
        <v>312.7</v>
      </c>
      <c r="H69" s="220">
        <v>321.3</v>
      </c>
      <c r="I69" s="220">
        <f t="shared" si="8"/>
        <v>8.6</v>
      </c>
      <c r="J69" s="220">
        <f t="shared" si="9"/>
        <v>-1.4</v>
      </c>
    </row>
    <row r="70" ht="14.25" customHeight="1">
      <c r="G70" s="220">
        <f t="shared" si="10"/>
        <v>321.3</v>
      </c>
      <c r="H70" s="220">
        <v>324.4</v>
      </c>
      <c r="I70" s="220">
        <f t="shared" si="8"/>
        <v>3.1</v>
      </c>
      <c r="J70" s="220">
        <f t="shared" si="9"/>
        <v>-6.9</v>
      </c>
    </row>
    <row r="71" ht="14.25" customHeight="1">
      <c r="B71" s="4"/>
      <c r="G71" s="220">
        <f t="shared" si="10"/>
        <v>324.4</v>
      </c>
      <c r="H71" s="220">
        <v>326.7</v>
      </c>
      <c r="I71" s="220">
        <f t="shared" si="8"/>
        <v>2.3</v>
      </c>
      <c r="J71" s="220">
        <f t="shared" si="9"/>
        <v>-7.7</v>
      </c>
    </row>
    <row r="72" ht="14.25" customHeight="1">
      <c r="B72" s="4"/>
      <c r="C72" s="4"/>
      <c r="D72" s="4"/>
      <c r="E72" s="243"/>
      <c r="G72" s="220"/>
      <c r="H72" s="220"/>
      <c r="I72" s="220">
        <f t="shared" si="8"/>
        <v>0</v>
      </c>
      <c r="J72" s="220">
        <f t="shared" si="9"/>
        <v>-10</v>
      </c>
    </row>
    <row r="73" ht="14.25" customHeight="1">
      <c r="B73" s="4"/>
      <c r="C73" s="4"/>
      <c r="D73" s="4"/>
      <c r="G73" s="220" t="str">
        <f t="shared" ref="G73:G84" si="11">H72</f>
        <v/>
      </c>
      <c r="H73" s="220"/>
      <c r="I73" s="220">
        <f t="shared" si="8"/>
        <v>0</v>
      </c>
      <c r="J73" s="220">
        <f t="shared" si="9"/>
        <v>-10</v>
      </c>
    </row>
    <row r="74" ht="14.25" customHeight="1">
      <c r="B74" s="4"/>
      <c r="C74" s="4"/>
      <c r="D74" s="4"/>
      <c r="E74" s="243"/>
      <c r="G74" s="220" t="str">
        <f t="shared" si="11"/>
        <v/>
      </c>
      <c r="H74" s="220"/>
      <c r="I74" s="220">
        <f t="shared" si="8"/>
        <v>0</v>
      </c>
      <c r="J74" s="220">
        <f t="shared" si="9"/>
        <v>-10</v>
      </c>
    </row>
    <row r="75" ht="14.25" customHeight="1">
      <c r="B75" s="4"/>
      <c r="C75" s="4"/>
      <c r="D75" s="4"/>
      <c r="G75" s="220" t="str">
        <f t="shared" si="11"/>
        <v/>
      </c>
      <c r="H75" s="220"/>
      <c r="I75" s="220">
        <f t="shared" si="8"/>
        <v>0</v>
      </c>
      <c r="J75" s="220">
        <f t="shared" si="9"/>
        <v>-10</v>
      </c>
    </row>
    <row r="76" ht="14.25" customHeight="1">
      <c r="B76" s="4"/>
      <c r="D76" s="4"/>
      <c r="G76" s="220" t="str">
        <f t="shared" si="11"/>
        <v/>
      </c>
      <c r="H76" s="220"/>
      <c r="I76" s="220">
        <f t="shared" si="8"/>
        <v>0</v>
      </c>
      <c r="J76" s="220">
        <f t="shared" si="9"/>
        <v>-10</v>
      </c>
    </row>
    <row r="77" ht="14.25" customHeight="1">
      <c r="G77" s="220" t="str">
        <f t="shared" si="11"/>
        <v/>
      </c>
      <c r="H77" s="220"/>
      <c r="I77" s="220">
        <f t="shared" si="8"/>
        <v>0</v>
      </c>
      <c r="J77" s="220">
        <f t="shared" si="9"/>
        <v>-10</v>
      </c>
    </row>
    <row r="78" ht="14.25" customHeight="1">
      <c r="C78" s="261"/>
      <c r="G78" s="220" t="str">
        <f t="shared" si="11"/>
        <v/>
      </c>
      <c r="H78" s="220"/>
      <c r="I78" s="220">
        <f t="shared" si="8"/>
        <v>0</v>
      </c>
      <c r="J78" s="220">
        <f t="shared" si="9"/>
        <v>-10</v>
      </c>
    </row>
    <row r="79" ht="14.25" customHeight="1">
      <c r="G79" s="220" t="str">
        <f t="shared" si="11"/>
        <v/>
      </c>
      <c r="H79" s="220"/>
      <c r="I79" s="220">
        <f t="shared" si="8"/>
        <v>0</v>
      </c>
      <c r="J79" s="220">
        <f t="shared" si="9"/>
        <v>-10</v>
      </c>
    </row>
    <row r="80" ht="14.25" customHeight="1">
      <c r="G80" s="220" t="str">
        <f t="shared" si="11"/>
        <v/>
      </c>
      <c r="H80" s="220"/>
      <c r="I80" s="220">
        <f t="shared" si="8"/>
        <v>0</v>
      </c>
      <c r="J80" s="220">
        <f t="shared" si="9"/>
        <v>-10</v>
      </c>
    </row>
    <row r="81" ht="14.25" customHeight="1">
      <c r="G81" s="220" t="str">
        <f t="shared" si="11"/>
        <v/>
      </c>
      <c r="H81" s="220"/>
      <c r="I81" s="220">
        <f t="shared" si="8"/>
        <v>0</v>
      </c>
      <c r="J81" s="220">
        <f t="shared" si="9"/>
        <v>-10</v>
      </c>
    </row>
    <row r="82" ht="14.25" customHeight="1">
      <c r="G82" s="220" t="str">
        <f t="shared" si="11"/>
        <v/>
      </c>
      <c r="H82" s="220"/>
      <c r="I82" s="220">
        <f t="shared" si="8"/>
        <v>0</v>
      </c>
      <c r="J82" s="220">
        <f t="shared" si="9"/>
        <v>-10</v>
      </c>
    </row>
    <row r="83" ht="14.25" customHeight="1">
      <c r="G83" s="220" t="str">
        <f t="shared" si="11"/>
        <v/>
      </c>
      <c r="H83" s="220"/>
      <c r="I83" s="220">
        <f t="shared" si="8"/>
        <v>0</v>
      </c>
      <c r="J83" s="220">
        <f t="shared" si="9"/>
        <v>-10</v>
      </c>
    </row>
    <row r="84" ht="14.25" customHeight="1">
      <c r="G84" s="220" t="str">
        <f t="shared" si="11"/>
        <v/>
      </c>
      <c r="H84" s="220"/>
      <c r="I84" s="220">
        <f t="shared" si="8"/>
        <v>0</v>
      </c>
      <c r="J84" s="220">
        <f t="shared" si="9"/>
        <v>-10</v>
      </c>
    </row>
    <row r="85" ht="14.25" customHeight="1">
      <c r="G85" s="237"/>
      <c r="H85" s="237"/>
      <c r="I85" s="237">
        <f t="shared" si="8"/>
        <v>0</v>
      </c>
      <c r="J85" s="237">
        <f t="shared" si="9"/>
        <v>-10</v>
      </c>
    </row>
    <row r="86" ht="14.25" customHeight="1">
      <c r="G86" s="220"/>
      <c r="H86" s="220"/>
      <c r="I86" s="220">
        <f t="shared" si="8"/>
        <v>0</v>
      </c>
      <c r="J86" s="220">
        <f t="shared" si="9"/>
        <v>-10</v>
      </c>
    </row>
    <row r="87" ht="14.25" customHeight="1">
      <c r="G87" s="220"/>
      <c r="H87" s="220"/>
      <c r="I87" s="220">
        <f t="shared" si="8"/>
        <v>0</v>
      </c>
      <c r="J87" s="220">
        <f t="shared" si="9"/>
        <v>-10</v>
      </c>
    </row>
    <row r="88" ht="14.25" customHeight="1">
      <c r="G88" s="220"/>
      <c r="H88" s="220"/>
      <c r="I88" s="220">
        <f t="shared" si="8"/>
        <v>0</v>
      </c>
      <c r="J88" s="220">
        <f t="shared" si="9"/>
        <v>-10</v>
      </c>
    </row>
    <row r="89" ht="14.25" customHeight="1">
      <c r="G89" s="234" t="s">
        <v>221</v>
      </c>
      <c r="H89" s="231"/>
      <c r="I89" s="216">
        <f>SUM(I62:I88)</f>
        <v>115.7</v>
      </c>
      <c r="J89" s="216">
        <f t="shared" si="9"/>
        <v>105.7</v>
      </c>
    </row>
    <row r="90" ht="14.25" customHeight="1"/>
    <row r="91" ht="14.25" customHeight="1"/>
    <row r="92" ht="14.25" customHeight="1">
      <c r="A92" s="247">
        <v>45016.0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G59:H59"/>
    <mergeCell ref="A61:B61"/>
    <mergeCell ref="B71:D71"/>
    <mergeCell ref="B76:C76"/>
    <mergeCell ref="G89:H89"/>
    <mergeCell ref="A1:B1"/>
    <mergeCell ref="B11:D11"/>
    <mergeCell ref="B16:C16"/>
    <mergeCell ref="G29:H29"/>
    <mergeCell ref="A31:B31"/>
    <mergeCell ref="B41:D41"/>
    <mergeCell ref="B46:C46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4.43"/>
    <col customWidth="1" min="4" max="4" width="13.14"/>
    <col customWidth="1" min="5" max="7" width="8.71"/>
    <col customWidth="1" min="8" max="8" width="17.86"/>
    <col customWidth="1" min="9" max="9" width="16.43"/>
    <col customWidth="1" min="10" max="10" width="8.71"/>
    <col customWidth="1" min="11" max="11" width="15.0"/>
    <col customWidth="1" min="12" max="12" width="15.86"/>
    <col customWidth="1" min="13" max="26" width="8.71"/>
  </cols>
  <sheetData>
    <row r="1" ht="14.25" customHeight="1">
      <c r="A1" s="249" t="s">
        <v>456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1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 ht="14.25" customHeight="1"/>
    <row r="3" ht="14.25" customHeight="1">
      <c r="B3" s="216" t="s">
        <v>214</v>
      </c>
      <c r="C3" s="216" t="s">
        <v>215</v>
      </c>
      <c r="D3" s="216" t="s">
        <v>216</v>
      </c>
      <c r="E3" s="216" t="s">
        <v>217</v>
      </c>
      <c r="F3" s="216" t="s">
        <v>218</v>
      </c>
      <c r="H3" s="216" t="s">
        <v>238</v>
      </c>
      <c r="I3" s="216"/>
      <c r="K3" s="253" t="s">
        <v>227</v>
      </c>
      <c r="L3" s="231"/>
    </row>
    <row r="4" ht="14.25" customHeight="1">
      <c r="B4" s="219">
        <v>45078.0</v>
      </c>
      <c r="C4" s="220"/>
      <c r="D4" s="220"/>
      <c r="E4" s="220">
        <f t="shared" ref="E4:E34" si="1">D4-C4</f>
        <v>0</v>
      </c>
      <c r="F4" s="220">
        <f t="shared" ref="F4:F35" si="2">E4-10</f>
        <v>-10</v>
      </c>
      <c r="H4" s="216" t="s">
        <v>245</v>
      </c>
      <c r="I4" s="216"/>
      <c r="K4" s="216" t="s">
        <v>244</v>
      </c>
      <c r="L4" s="232">
        <v>2000.0</v>
      </c>
    </row>
    <row r="5" ht="14.25" customHeight="1">
      <c r="B5" s="219">
        <v>45079.0</v>
      </c>
      <c r="C5" s="220" t="str">
        <f t="shared" ref="C5:C34" si="3">D4</f>
        <v/>
      </c>
      <c r="D5" s="220"/>
      <c r="E5" s="220">
        <f t="shared" si="1"/>
        <v>0</v>
      </c>
      <c r="F5" s="220">
        <f t="shared" si="2"/>
        <v>-10</v>
      </c>
      <c r="H5" s="216" t="s">
        <v>247</v>
      </c>
      <c r="I5" s="216"/>
      <c r="K5" s="216" t="s">
        <v>266</v>
      </c>
      <c r="L5" s="232"/>
    </row>
    <row r="6" ht="14.25" customHeight="1">
      <c r="B6" s="254">
        <v>45080.0</v>
      </c>
      <c r="C6" s="255" t="str">
        <f t="shared" si="3"/>
        <v/>
      </c>
      <c r="D6" s="255"/>
      <c r="E6" s="255">
        <f t="shared" si="1"/>
        <v>0</v>
      </c>
      <c r="F6" s="255">
        <f t="shared" si="2"/>
        <v>-10</v>
      </c>
      <c r="H6" s="216" t="s">
        <v>249</v>
      </c>
      <c r="I6" s="232">
        <v>18.0</v>
      </c>
      <c r="K6" s="216" t="s">
        <v>246</v>
      </c>
      <c r="L6" s="232">
        <f>O6*O7</f>
        <v>0</v>
      </c>
    </row>
    <row r="7" ht="14.25" customHeight="1">
      <c r="B7" s="254">
        <v>45081.0</v>
      </c>
      <c r="C7" s="255" t="str">
        <f t="shared" si="3"/>
        <v/>
      </c>
      <c r="D7" s="255"/>
      <c r="E7" s="255">
        <f t="shared" si="1"/>
        <v>0</v>
      </c>
      <c r="F7" s="255">
        <f t="shared" si="2"/>
        <v>-10</v>
      </c>
      <c r="H7" s="216" t="s">
        <v>251</v>
      </c>
      <c r="I7" s="216"/>
      <c r="K7" s="216" t="s">
        <v>248</v>
      </c>
      <c r="L7" s="232">
        <f>O8*O9</f>
        <v>0</v>
      </c>
    </row>
    <row r="8" ht="14.25" customHeight="1">
      <c r="B8" s="219">
        <v>45082.0</v>
      </c>
      <c r="C8" s="220" t="str">
        <f t="shared" si="3"/>
        <v/>
      </c>
      <c r="D8" s="220"/>
      <c r="E8" s="220">
        <f t="shared" si="1"/>
        <v>0</v>
      </c>
      <c r="F8" s="220">
        <f t="shared" si="2"/>
        <v>-10</v>
      </c>
      <c r="H8" s="216" t="s">
        <v>249</v>
      </c>
      <c r="I8" s="232">
        <v>10.0</v>
      </c>
      <c r="K8" s="216" t="s">
        <v>250</v>
      </c>
      <c r="L8" s="232">
        <f>O10*100</f>
        <v>0</v>
      </c>
    </row>
    <row r="9" ht="14.25" customHeight="1">
      <c r="B9" s="219">
        <v>45083.0</v>
      </c>
      <c r="C9" s="220" t="str">
        <f t="shared" si="3"/>
        <v/>
      </c>
      <c r="D9" s="220"/>
      <c r="E9" s="220">
        <f t="shared" si="1"/>
        <v>0</v>
      </c>
      <c r="F9" s="220">
        <f t="shared" si="2"/>
        <v>-10</v>
      </c>
      <c r="H9" s="216" t="s">
        <v>250</v>
      </c>
      <c r="I9" s="216"/>
      <c r="K9" s="216" t="s">
        <v>252</v>
      </c>
      <c r="L9" s="232"/>
    </row>
    <row r="10" ht="14.25" customHeight="1">
      <c r="B10" s="219">
        <v>45084.0</v>
      </c>
      <c r="C10" s="220" t="str">
        <f t="shared" si="3"/>
        <v/>
      </c>
      <c r="D10" s="220"/>
      <c r="E10" s="220">
        <f t="shared" si="1"/>
        <v>0</v>
      </c>
      <c r="F10" s="220">
        <f t="shared" si="2"/>
        <v>-10</v>
      </c>
      <c r="K10" s="216" t="s">
        <v>268</v>
      </c>
      <c r="L10" s="232">
        <f>L4+L6+L7+L8-L5-L9</f>
        <v>2000</v>
      </c>
    </row>
    <row r="11" ht="14.25" customHeight="1">
      <c r="B11" s="219">
        <v>45085.0</v>
      </c>
      <c r="C11" s="220" t="str">
        <f t="shared" si="3"/>
        <v/>
      </c>
      <c r="D11" s="220"/>
      <c r="E11" s="220">
        <f t="shared" si="1"/>
        <v>0</v>
      </c>
      <c r="F11" s="220">
        <f t="shared" si="2"/>
        <v>-10</v>
      </c>
      <c r="K11" s="216" t="s">
        <v>269</v>
      </c>
      <c r="L11" s="229"/>
    </row>
    <row r="12" ht="14.25" customHeight="1">
      <c r="B12" s="219">
        <v>45086.0</v>
      </c>
      <c r="C12" s="220" t="str">
        <f t="shared" si="3"/>
        <v/>
      </c>
      <c r="D12" s="220"/>
      <c r="E12" s="220">
        <f t="shared" si="1"/>
        <v>0</v>
      </c>
      <c r="F12" s="220">
        <f t="shared" si="2"/>
        <v>-10</v>
      </c>
    </row>
    <row r="13" ht="14.25" customHeight="1">
      <c r="B13" s="254">
        <v>45087.0</v>
      </c>
      <c r="C13" s="255" t="str">
        <f t="shared" si="3"/>
        <v/>
      </c>
      <c r="D13" s="255"/>
      <c r="E13" s="255">
        <f t="shared" si="1"/>
        <v>0</v>
      </c>
      <c r="F13" s="255">
        <f t="shared" si="2"/>
        <v>-10</v>
      </c>
    </row>
    <row r="14" ht="14.25" customHeight="1">
      <c r="B14" s="254">
        <v>45088.0</v>
      </c>
      <c r="C14" s="255" t="str">
        <f t="shared" si="3"/>
        <v/>
      </c>
      <c r="D14" s="255"/>
      <c r="E14" s="255">
        <f t="shared" si="1"/>
        <v>0</v>
      </c>
      <c r="F14" s="255">
        <f t="shared" si="2"/>
        <v>-10</v>
      </c>
    </row>
    <row r="15" ht="14.25" customHeight="1">
      <c r="B15" s="219">
        <v>45089.0</v>
      </c>
      <c r="C15" s="220" t="str">
        <f t="shared" si="3"/>
        <v/>
      </c>
      <c r="D15" s="220"/>
      <c r="E15" s="220">
        <f t="shared" si="1"/>
        <v>0</v>
      </c>
      <c r="F15" s="220">
        <f t="shared" si="2"/>
        <v>-10</v>
      </c>
    </row>
    <row r="16" ht="14.25" customHeight="1">
      <c r="B16" s="219">
        <v>45090.0</v>
      </c>
      <c r="C16" s="220" t="str">
        <f t="shared" si="3"/>
        <v/>
      </c>
      <c r="D16" s="220"/>
      <c r="E16" s="220">
        <f t="shared" si="1"/>
        <v>0</v>
      </c>
      <c r="F16" s="220">
        <f t="shared" si="2"/>
        <v>-10</v>
      </c>
    </row>
    <row r="17" ht="14.25" customHeight="1">
      <c r="B17" s="219">
        <v>45091.0</v>
      </c>
      <c r="C17" s="220" t="str">
        <f t="shared" si="3"/>
        <v/>
      </c>
      <c r="D17" s="220"/>
      <c r="E17" s="220">
        <f t="shared" si="1"/>
        <v>0</v>
      </c>
      <c r="F17" s="220">
        <f t="shared" si="2"/>
        <v>-10</v>
      </c>
    </row>
    <row r="18" ht="14.25" customHeight="1">
      <c r="B18" s="219">
        <v>45092.0</v>
      </c>
      <c r="C18" s="220" t="str">
        <f t="shared" si="3"/>
        <v/>
      </c>
      <c r="D18" s="220"/>
      <c r="E18" s="220">
        <f t="shared" si="1"/>
        <v>0</v>
      </c>
      <c r="F18" s="220">
        <f t="shared" si="2"/>
        <v>-10</v>
      </c>
    </row>
    <row r="19" ht="14.25" customHeight="1">
      <c r="B19" s="219">
        <v>45093.0</v>
      </c>
      <c r="C19" s="220" t="str">
        <f t="shared" si="3"/>
        <v/>
      </c>
      <c r="D19" s="220"/>
      <c r="E19" s="220">
        <f t="shared" si="1"/>
        <v>0</v>
      </c>
      <c r="F19" s="220">
        <f t="shared" si="2"/>
        <v>-10</v>
      </c>
    </row>
    <row r="20" ht="14.25" customHeight="1">
      <c r="B20" s="254">
        <v>45094.0</v>
      </c>
      <c r="C20" s="255" t="str">
        <f t="shared" si="3"/>
        <v/>
      </c>
      <c r="D20" s="255"/>
      <c r="E20" s="255">
        <f t="shared" si="1"/>
        <v>0</v>
      </c>
      <c r="F20" s="255">
        <f t="shared" si="2"/>
        <v>-10</v>
      </c>
    </row>
    <row r="21" ht="14.25" customHeight="1">
      <c r="B21" s="254">
        <v>45095.0</v>
      </c>
      <c r="C21" s="255" t="str">
        <f t="shared" si="3"/>
        <v/>
      </c>
      <c r="D21" s="255"/>
      <c r="E21" s="255">
        <f t="shared" si="1"/>
        <v>0</v>
      </c>
      <c r="F21" s="255">
        <f t="shared" si="2"/>
        <v>-10</v>
      </c>
    </row>
    <row r="22" ht="14.25" customHeight="1">
      <c r="B22" s="219">
        <v>45096.0</v>
      </c>
      <c r="C22" s="220" t="str">
        <f t="shared" si="3"/>
        <v/>
      </c>
      <c r="D22" s="220"/>
      <c r="E22" s="220">
        <f t="shared" si="1"/>
        <v>0</v>
      </c>
      <c r="F22" s="220">
        <f t="shared" si="2"/>
        <v>-10</v>
      </c>
    </row>
    <row r="23" ht="14.25" customHeight="1">
      <c r="B23" s="219">
        <v>45097.0</v>
      </c>
      <c r="C23" s="220" t="str">
        <f t="shared" si="3"/>
        <v/>
      </c>
      <c r="D23" s="220"/>
      <c r="E23" s="220">
        <f t="shared" si="1"/>
        <v>0</v>
      </c>
      <c r="F23" s="220">
        <f t="shared" si="2"/>
        <v>-10</v>
      </c>
    </row>
    <row r="24" ht="14.25" customHeight="1">
      <c r="B24" s="219">
        <v>45098.0</v>
      </c>
      <c r="C24" s="220" t="str">
        <f t="shared" si="3"/>
        <v/>
      </c>
      <c r="D24" s="220"/>
      <c r="E24" s="220">
        <f t="shared" si="1"/>
        <v>0</v>
      </c>
      <c r="F24" s="220">
        <f t="shared" si="2"/>
        <v>-10</v>
      </c>
    </row>
    <row r="25" ht="14.25" customHeight="1">
      <c r="B25" s="219">
        <v>45099.0</v>
      </c>
      <c r="C25" s="220" t="str">
        <f t="shared" si="3"/>
        <v/>
      </c>
      <c r="D25" s="220"/>
      <c r="E25" s="220">
        <f t="shared" si="1"/>
        <v>0</v>
      </c>
      <c r="F25" s="220">
        <f t="shared" si="2"/>
        <v>-10</v>
      </c>
    </row>
    <row r="26" ht="14.25" customHeight="1">
      <c r="B26" s="219">
        <v>45100.0</v>
      </c>
      <c r="C26" s="220" t="str">
        <f t="shared" si="3"/>
        <v/>
      </c>
      <c r="D26" s="220"/>
      <c r="E26" s="220">
        <f t="shared" si="1"/>
        <v>0</v>
      </c>
      <c r="F26" s="220">
        <f t="shared" si="2"/>
        <v>-10</v>
      </c>
    </row>
    <row r="27" ht="14.25" customHeight="1">
      <c r="B27" s="254">
        <v>45101.0</v>
      </c>
      <c r="C27" s="255" t="str">
        <f t="shared" si="3"/>
        <v/>
      </c>
      <c r="D27" s="255"/>
      <c r="E27" s="255">
        <f t="shared" si="1"/>
        <v>0</v>
      </c>
      <c r="F27" s="255">
        <f t="shared" si="2"/>
        <v>-10</v>
      </c>
    </row>
    <row r="28" ht="14.25" customHeight="1">
      <c r="B28" s="254">
        <v>45102.0</v>
      </c>
      <c r="C28" s="255" t="str">
        <f t="shared" si="3"/>
        <v/>
      </c>
      <c r="D28" s="255"/>
      <c r="E28" s="255">
        <f t="shared" si="1"/>
        <v>0</v>
      </c>
      <c r="F28" s="255">
        <f t="shared" si="2"/>
        <v>-10</v>
      </c>
    </row>
    <row r="29" ht="14.25" customHeight="1">
      <c r="B29" s="219">
        <v>45103.0</v>
      </c>
      <c r="C29" s="220" t="str">
        <f t="shared" si="3"/>
        <v/>
      </c>
      <c r="D29" s="220"/>
      <c r="E29" s="220">
        <f t="shared" si="1"/>
        <v>0</v>
      </c>
      <c r="F29" s="220">
        <f t="shared" si="2"/>
        <v>-10</v>
      </c>
    </row>
    <row r="30" ht="14.25" customHeight="1">
      <c r="B30" s="219">
        <v>45104.0</v>
      </c>
      <c r="C30" s="220" t="str">
        <f t="shared" si="3"/>
        <v/>
      </c>
      <c r="D30" s="220"/>
      <c r="E30" s="220">
        <f t="shared" si="1"/>
        <v>0</v>
      </c>
      <c r="F30" s="220">
        <f t="shared" si="2"/>
        <v>-10</v>
      </c>
    </row>
    <row r="31" ht="14.25" customHeight="1">
      <c r="B31" s="219">
        <v>45105.0</v>
      </c>
      <c r="C31" s="220" t="str">
        <f t="shared" si="3"/>
        <v/>
      </c>
      <c r="D31" s="220"/>
      <c r="E31" s="220">
        <f t="shared" si="1"/>
        <v>0</v>
      </c>
      <c r="F31" s="220">
        <f t="shared" si="2"/>
        <v>-10</v>
      </c>
    </row>
    <row r="32" ht="14.25" customHeight="1">
      <c r="B32" s="219">
        <v>45106.0</v>
      </c>
      <c r="C32" s="220" t="str">
        <f t="shared" si="3"/>
        <v/>
      </c>
      <c r="D32" s="220"/>
      <c r="E32" s="220">
        <f t="shared" si="1"/>
        <v>0</v>
      </c>
      <c r="F32" s="220">
        <f t="shared" si="2"/>
        <v>-10</v>
      </c>
    </row>
    <row r="33" ht="14.25" customHeight="1">
      <c r="B33" s="219">
        <v>45107.0</v>
      </c>
      <c r="C33" s="220" t="str">
        <f t="shared" si="3"/>
        <v/>
      </c>
      <c r="D33" s="220"/>
      <c r="E33" s="220">
        <f t="shared" si="1"/>
        <v>0</v>
      </c>
      <c r="F33" s="220">
        <f t="shared" si="2"/>
        <v>-10</v>
      </c>
    </row>
    <row r="34" ht="14.25" customHeight="1">
      <c r="B34" s="229"/>
      <c r="C34" s="220" t="str">
        <f t="shared" si="3"/>
        <v/>
      </c>
      <c r="D34" s="220"/>
      <c r="E34" s="220">
        <f t="shared" si="1"/>
        <v>0</v>
      </c>
      <c r="F34" s="220">
        <f t="shared" si="2"/>
        <v>-10</v>
      </c>
    </row>
    <row r="35" ht="14.25" customHeight="1">
      <c r="B35" s="216"/>
      <c r="C35" s="223" t="s">
        <v>221</v>
      </c>
      <c r="D35" s="223"/>
      <c r="E35" s="216">
        <f>SUM(E4:E34)</f>
        <v>0</v>
      </c>
      <c r="F35" s="216">
        <f t="shared" si="2"/>
        <v>-10</v>
      </c>
    </row>
    <row r="36" ht="14.25" customHeight="1"/>
    <row r="37" ht="14.25" customHeight="1">
      <c r="A37" s="249" t="s">
        <v>457</v>
      </c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1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 ht="14.25" customHeight="1"/>
    <row r="39" ht="14.25" customHeight="1">
      <c r="B39" s="216" t="s">
        <v>214</v>
      </c>
      <c r="C39" s="216" t="s">
        <v>215</v>
      </c>
      <c r="D39" s="216" t="s">
        <v>216</v>
      </c>
      <c r="E39" s="216" t="s">
        <v>217</v>
      </c>
      <c r="F39" s="216" t="s">
        <v>218</v>
      </c>
      <c r="H39" s="216" t="s">
        <v>238</v>
      </c>
      <c r="I39" s="216"/>
      <c r="K39" s="253" t="s">
        <v>228</v>
      </c>
      <c r="L39" s="231"/>
    </row>
    <row r="40" ht="14.25" customHeight="1">
      <c r="B40" s="219">
        <v>45078.0</v>
      </c>
      <c r="C40" s="220"/>
      <c r="D40" s="220"/>
      <c r="E40" s="220">
        <f t="shared" ref="E40:E70" si="4">D40-C40</f>
        <v>0</v>
      </c>
      <c r="F40" s="220">
        <f t="shared" ref="F40:F71" si="5">E40-10</f>
        <v>-10</v>
      </c>
      <c r="H40" s="216" t="s">
        <v>245</v>
      </c>
      <c r="I40" s="216"/>
      <c r="K40" s="216" t="s">
        <v>244</v>
      </c>
      <c r="L40" s="232">
        <v>2000.0</v>
      </c>
    </row>
    <row r="41" ht="14.25" customHeight="1">
      <c r="B41" s="219">
        <v>45079.0</v>
      </c>
      <c r="C41" s="220" t="str">
        <f t="shared" ref="C41:C70" si="6">D40</f>
        <v/>
      </c>
      <c r="D41" s="220"/>
      <c r="E41" s="220">
        <f t="shared" si="4"/>
        <v>0</v>
      </c>
      <c r="F41" s="220">
        <f t="shared" si="5"/>
        <v>-10</v>
      </c>
      <c r="H41" s="216" t="s">
        <v>247</v>
      </c>
      <c r="I41" s="216"/>
      <c r="K41" s="216" t="s">
        <v>266</v>
      </c>
      <c r="L41" s="232"/>
    </row>
    <row r="42" ht="14.25" customHeight="1">
      <c r="B42" s="254">
        <v>45080.0</v>
      </c>
      <c r="C42" s="255" t="str">
        <f t="shared" si="6"/>
        <v/>
      </c>
      <c r="D42" s="255"/>
      <c r="E42" s="255">
        <f t="shared" si="4"/>
        <v>0</v>
      </c>
      <c r="F42" s="255">
        <f t="shared" si="5"/>
        <v>-10</v>
      </c>
      <c r="H42" s="216" t="s">
        <v>249</v>
      </c>
      <c r="I42" s="232">
        <v>18.0</v>
      </c>
      <c r="K42" s="216" t="s">
        <v>246</v>
      </c>
      <c r="L42" s="232">
        <f>O42*O43</f>
        <v>0</v>
      </c>
    </row>
    <row r="43" ht="14.25" customHeight="1">
      <c r="B43" s="254">
        <v>45081.0</v>
      </c>
      <c r="C43" s="255" t="str">
        <f t="shared" si="6"/>
        <v/>
      </c>
      <c r="D43" s="255"/>
      <c r="E43" s="255">
        <f t="shared" si="4"/>
        <v>0</v>
      </c>
      <c r="F43" s="255">
        <f t="shared" si="5"/>
        <v>-10</v>
      </c>
      <c r="H43" s="216" t="s">
        <v>251</v>
      </c>
      <c r="I43" s="216"/>
      <c r="K43" s="216" t="s">
        <v>248</v>
      </c>
      <c r="L43" s="232">
        <f>O44*O45</f>
        <v>0</v>
      </c>
    </row>
    <row r="44" ht="14.25" customHeight="1">
      <c r="B44" s="219">
        <v>45082.0</v>
      </c>
      <c r="C44" s="220" t="str">
        <f t="shared" si="6"/>
        <v/>
      </c>
      <c r="D44" s="220"/>
      <c r="E44" s="220">
        <f t="shared" si="4"/>
        <v>0</v>
      </c>
      <c r="F44" s="220">
        <f t="shared" si="5"/>
        <v>-10</v>
      </c>
      <c r="H44" s="216" t="s">
        <v>249</v>
      </c>
      <c r="I44" s="232">
        <v>10.0</v>
      </c>
      <c r="K44" s="216" t="s">
        <v>250</v>
      </c>
      <c r="L44" s="232">
        <f>O46*100</f>
        <v>0</v>
      </c>
    </row>
    <row r="45" ht="14.25" customHeight="1">
      <c r="B45" s="219">
        <v>45083.0</v>
      </c>
      <c r="C45" s="220" t="str">
        <f t="shared" si="6"/>
        <v/>
      </c>
      <c r="D45" s="220"/>
      <c r="E45" s="220">
        <f t="shared" si="4"/>
        <v>0</v>
      </c>
      <c r="F45" s="220">
        <f t="shared" si="5"/>
        <v>-10</v>
      </c>
      <c r="H45" s="216" t="s">
        <v>250</v>
      </c>
      <c r="I45" s="216"/>
      <c r="K45" s="216" t="s">
        <v>252</v>
      </c>
      <c r="L45" s="232"/>
    </row>
    <row r="46" ht="14.25" customHeight="1">
      <c r="B46" s="219">
        <v>45084.0</v>
      </c>
      <c r="C46" s="220" t="str">
        <f t="shared" si="6"/>
        <v/>
      </c>
      <c r="D46" s="220"/>
      <c r="E46" s="220">
        <f t="shared" si="4"/>
        <v>0</v>
      </c>
      <c r="F46" s="220">
        <f t="shared" si="5"/>
        <v>-10</v>
      </c>
      <c r="K46" s="216" t="s">
        <v>268</v>
      </c>
      <c r="L46" s="232">
        <f>L40+L42+L43+L44-L41-L45</f>
        <v>2000</v>
      </c>
    </row>
    <row r="47" ht="14.25" customHeight="1">
      <c r="B47" s="219">
        <v>45085.0</v>
      </c>
      <c r="C47" s="220" t="str">
        <f t="shared" si="6"/>
        <v/>
      </c>
      <c r="D47" s="220"/>
      <c r="E47" s="220">
        <f t="shared" si="4"/>
        <v>0</v>
      </c>
      <c r="F47" s="220">
        <f t="shared" si="5"/>
        <v>-10</v>
      </c>
      <c r="K47" s="216" t="s">
        <v>269</v>
      </c>
      <c r="L47" s="229"/>
    </row>
    <row r="48" ht="14.25" customHeight="1">
      <c r="B48" s="219">
        <v>45086.0</v>
      </c>
      <c r="C48" s="220" t="str">
        <f t="shared" si="6"/>
        <v/>
      </c>
      <c r="D48" s="220"/>
      <c r="E48" s="220">
        <f t="shared" si="4"/>
        <v>0</v>
      </c>
      <c r="F48" s="220">
        <f t="shared" si="5"/>
        <v>-10</v>
      </c>
    </row>
    <row r="49" ht="14.25" customHeight="1">
      <c r="B49" s="254">
        <v>45087.0</v>
      </c>
      <c r="C49" s="255" t="str">
        <f t="shared" si="6"/>
        <v/>
      </c>
      <c r="D49" s="255"/>
      <c r="E49" s="255">
        <f t="shared" si="4"/>
        <v>0</v>
      </c>
      <c r="F49" s="255">
        <f t="shared" si="5"/>
        <v>-10</v>
      </c>
    </row>
    <row r="50" ht="14.25" customHeight="1">
      <c r="B50" s="254">
        <v>45088.0</v>
      </c>
      <c r="C50" s="255" t="str">
        <f t="shared" si="6"/>
        <v/>
      </c>
      <c r="D50" s="255"/>
      <c r="E50" s="255">
        <f t="shared" si="4"/>
        <v>0</v>
      </c>
      <c r="F50" s="255">
        <f t="shared" si="5"/>
        <v>-10</v>
      </c>
    </row>
    <row r="51" ht="14.25" customHeight="1">
      <c r="B51" s="219">
        <v>45089.0</v>
      </c>
      <c r="C51" s="220" t="str">
        <f t="shared" si="6"/>
        <v/>
      </c>
      <c r="D51" s="220"/>
      <c r="E51" s="220">
        <f t="shared" si="4"/>
        <v>0</v>
      </c>
      <c r="F51" s="220">
        <f t="shared" si="5"/>
        <v>-10</v>
      </c>
    </row>
    <row r="52" ht="14.25" customHeight="1">
      <c r="B52" s="219">
        <v>45090.0</v>
      </c>
      <c r="C52" s="220" t="str">
        <f t="shared" si="6"/>
        <v/>
      </c>
      <c r="D52" s="220"/>
      <c r="E52" s="220">
        <f t="shared" si="4"/>
        <v>0</v>
      </c>
      <c r="F52" s="220">
        <f t="shared" si="5"/>
        <v>-10</v>
      </c>
    </row>
    <row r="53" ht="14.25" customHeight="1">
      <c r="B53" s="219">
        <v>45091.0</v>
      </c>
      <c r="C53" s="220" t="str">
        <f t="shared" si="6"/>
        <v/>
      </c>
      <c r="D53" s="220"/>
      <c r="E53" s="220">
        <f t="shared" si="4"/>
        <v>0</v>
      </c>
      <c r="F53" s="220">
        <f t="shared" si="5"/>
        <v>-10</v>
      </c>
    </row>
    <row r="54" ht="14.25" customHeight="1">
      <c r="B54" s="219">
        <v>45092.0</v>
      </c>
      <c r="C54" s="220" t="str">
        <f t="shared" si="6"/>
        <v/>
      </c>
      <c r="D54" s="220"/>
      <c r="E54" s="220">
        <f t="shared" si="4"/>
        <v>0</v>
      </c>
      <c r="F54" s="220">
        <f t="shared" si="5"/>
        <v>-10</v>
      </c>
    </row>
    <row r="55" ht="14.25" customHeight="1">
      <c r="B55" s="219">
        <v>45093.0</v>
      </c>
      <c r="C55" s="220" t="str">
        <f t="shared" si="6"/>
        <v/>
      </c>
      <c r="D55" s="220"/>
      <c r="E55" s="220">
        <f t="shared" si="4"/>
        <v>0</v>
      </c>
      <c r="F55" s="220">
        <f t="shared" si="5"/>
        <v>-10</v>
      </c>
    </row>
    <row r="56" ht="14.25" customHeight="1">
      <c r="B56" s="254">
        <v>45094.0</v>
      </c>
      <c r="C56" s="255" t="str">
        <f t="shared" si="6"/>
        <v/>
      </c>
      <c r="D56" s="255"/>
      <c r="E56" s="255">
        <f t="shared" si="4"/>
        <v>0</v>
      </c>
      <c r="F56" s="255">
        <f t="shared" si="5"/>
        <v>-10</v>
      </c>
    </row>
    <row r="57" ht="14.25" customHeight="1">
      <c r="B57" s="254">
        <v>45095.0</v>
      </c>
      <c r="C57" s="255" t="str">
        <f t="shared" si="6"/>
        <v/>
      </c>
      <c r="D57" s="255"/>
      <c r="E57" s="255">
        <f t="shared" si="4"/>
        <v>0</v>
      </c>
      <c r="F57" s="255">
        <f t="shared" si="5"/>
        <v>-10</v>
      </c>
    </row>
    <row r="58" ht="14.25" customHeight="1">
      <c r="B58" s="219">
        <v>45096.0</v>
      </c>
      <c r="C58" s="220" t="str">
        <f t="shared" si="6"/>
        <v/>
      </c>
      <c r="D58" s="220"/>
      <c r="E58" s="220">
        <f t="shared" si="4"/>
        <v>0</v>
      </c>
      <c r="F58" s="220">
        <f t="shared" si="5"/>
        <v>-10</v>
      </c>
    </row>
    <row r="59" ht="14.25" customHeight="1">
      <c r="B59" s="219">
        <v>45097.0</v>
      </c>
      <c r="C59" s="220" t="str">
        <f t="shared" si="6"/>
        <v/>
      </c>
      <c r="D59" s="220"/>
      <c r="E59" s="220">
        <f t="shared" si="4"/>
        <v>0</v>
      </c>
      <c r="F59" s="220">
        <f t="shared" si="5"/>
        <v>-10</v>
      </c>
    </row>
    <row r="60" ht="14.25" customHeight="1">
      <c r="B60" s="219">
        <v>45098.0</v>
      </c>
      <c r="C60" s="220" t="str">
        <f t="shared" si="6"/>
        <v/>
      </c>
      <c r="D60" s="220"/>
      <c r="E60" s="220">
        <f t="shared" si="4"/>
        <v>0</v>
      </c>
      <c r="F60" s="220">
        <f t="shared" si="5"/>
        <v>-10</v>
      </c>
    </row>
    <row r="61" ht="14.25" customHeight="1">
      <c r="B61" s="219">
        <v>45099.0</v>
      </c>
      <c r="C61" s="220" t="str">
        <f t="shared" si="6"/>
        <v/>
      </c>
      <c r="D61" s="220"/>
      <c r="E61" s="220">
        <f t="shared" si="4"/>
        <v>0</v>
      </c>
      <c r="F61" s="220">
        <f t="shared" si="5"/>
        <v>-10</v>
      </c>
    </row>
    <row r="62" ht="14.25" customHeight="1">
      <c r="B62" s="219">
        <v>45100.0</v>
      </c>
      <c r="C62" s="220" t="str">
        <f t="shared" si="6"/>
        <v/>
      </c>
      <c r="D62" s="220"/>
      <c r="E62" s="220">
        <f t="shared" si="4"/>
        <v>0</v>
      </c>
      <c r="F62" s="220">
        <f t="shared" si="5"/>
        <v>-10</v>
      </c>
    </row>
    <row r="63" ht="14.25" customHeight="1">
      <c r="B63" s="254">
        <v>45101.0</v>
      </c>
      <c r="C63" s="255" t="str">
        <f t="shared" si="6"/>
        <v/>
      </c>
      <c r="D63" s="255"/>
      <c r="E63" s="255">
        <f t="shared" si="4"/>
        <v>0</v>
      </c>
      <c r="F63" s="255">
        <f t="shared" si="5"/>
        <v>-10</v>
      </c>
    </row>
    <row r="64" ht="14.25" customHeight="1">
      <c r="B64" s="254">
        <v>45102.0</v>
      </c>
      <c r="C64" s="255" t="str">
        <f t="shared" si="6"/>
        <v/>
      </c>
      <c r="D64" s="255"/>
      <c r="E64" s="255">
        <f t="shared" si="4"/>
        <v>0</v>
      </c>
      <c r="F64" s="255">
        <f t="shared" si="5"/>
        <v>-10</v>
      </c>
    </row>
    <row r="65" ht="14.25" customHeight="1">
      <c r="B65" s="219">
        <v>45103.0</v>
      </c>
      <c r="C65" s="220" t="str">
        <f t="shared" si="6"/>
        <v/>
      </c>
      <c r="D65" s="220"/>
      <c r="E65" s="220">
        <f t="shared" si="4"/>
        <v>0</v>
      </c>
      <c r="F65" s="220">
        <f t="shared" si="5"/>
        <v>-10</v>
      </c>
    </row>
    <row r="66" ht="14.25" customHeight="1">
      <c r="B66" s="219">
        <v>45104.0</v>
      </c>
      <c r="C66" s="220" t="str">
        <f t="shared" si="6"/>
        <v/>
      </c>
      <c r="D66" s="220"/>
      <c r="E66" s="220">
        <f t="shared" si="4"/>
        <v>0</v>
      </c>
      <c r="F66" s="220">
        <f t="shared" si="5"/>
        <v>-10</v>
      </c>
    </row>
    <row r="67" ht="14.25" customHeight="1">
      <c r="B67" s="219">
        <v>45105.0</v>
      </c>
      <c r="C67" s="220" t="str">
        <f t="shared" si="6"/>
        <v/>
      </c>
      <c r="D67" s="220"/>
      <c r="E67" s="220">
        <f t="shared" si="4"/>
        <v>0</v>
      </c>
      <c r="F67" s="220">
        <f t="shared" si="5"/>
        <v>-10</v>
      </c>
    </row>
    <row r="68" ht="14.25" customHeight="1">
      <c r="B68" s="219">
        <v>45106.0</v>
      </c>
      <c r="C68" s="220" t="str">
        <f t="shared" si="6"/>
        <v/>
      </c>
      <c r="D68" s="220"/>
      <c r="E68" s="220">
        <f t="shared" si="4"/>
        <v>0</v>
      </c>
      <c r="F68" s="220">
        <f t="shared" si="5"/>
        <v>-10</v>
      </c>
    </row>
    <row r="69" ht="14.25" customHeight="1">
      <c r="B69" s="219">
        <v>45107.0</v>
      </c>
      <c r="C69" s="220" t="str">
        <f t="shared" si="6"/>
        <v/>
      </c>
      <c r="D69" s="220"/>
      <c r="E69" s="220">
        <f t="shared" si="4"/>
        <v>0</v>
      </c>
      <c r="F69" s="220">
        <f t="shared" si="5"/>
        <v>-10</v>
      </c>
    </row>
    <row r="70" ht="14.25" customHeight="1">
      <c r="B70" s="229"/>
      <c r="C70" s="220" t="str">
        <f t="shared" si="6"/>
        <v/>
      </c>
      <c r="D70" s="220"/>
      <c r="E70" s="220">
        <f t="shared" si="4"/>
        <v>0</v>
      </c>
      <c r="F70" s="220">
        <f t="shared" si="5"/>
        <v>-10</v>
      </c>
    </row>
    <row r="71" ht="14.25" customHeight="1">
      <c r="B71" s="216"/>
      <c r="C71" s="223" t="s">
        <v>221</v>
      </c>
      <c r="D71" s="223"/>
      <c r="E71" s="216">
        <f>SUM(E40:E70)</f>
        <v>0</v>
      </c>
      <c r="F71" s="216">
        <f t="shared" si="5"/>
        <v>-10</v>
      </c>
    </row>
    <row r="72" ht="14.25" customHeight="1"/>
    <row r="73" ht="14.25" customHeight="1">
      <c r="A73" s="249" t="s">
        <v>229</v>
      </c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1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 ht="14.25" customHeight="1"/>
    <row r="75" ht="14.25" customHeight="1">
      <c r="B75" s="216" t="s">
        <v>214</v>
      </c>
      <c r="C75" s="216" t="s">
        <v>215</v>
      </c>
      <c r="D75" s="216" t="s">
        <v>216</v>
      </c>
      <c r="E75" s="216" t="s">
        <v>217</v>
      </c>
      <c r="F75" s="216" t="s">
        <v>218</v>
      </c>
      <c r="H75" s="216" t="s">
        <v>238</v>
      </c>
      <c r="I75" s="216"/>
      <c r="K75" s="253" t="s">
        <v>229</v>
      </c>
      <c r="L75" s="231"/>
    </row>
    <row r="76" ht="14.25" customHeight="1">
      <c r="B76" s="219">
        <v>45078.0</v>
      </c>
      <c r="C76" s="220"/>
      <c r="D76" s="220"/>
      <c r="E76" s="220">
        <f t="shared" ref="E76:E106" si="7">D76-C76</f>
        <v>0</v>
      </c>
      <c r="F76" s="220">
        <f t="shared" ref="F76:F107" si="8">E76-10</f>
        <v>-10</v>
      </c>
      <c r="H76" s="216" t="s">
        <v>245</v>
      </c>
      <c r="I76" s="216"/>
      <c r="K76" s="216" t="s">
        <v>244</v>
      </c>
      <c r="L76" s="232">
        <v>2000.0</v>
      </c>
    </row>
    <row r="77" ht="14.25" customHeight="1">
      <c r="B77" s="219">
        <v>45079.0</v>
      </c>
      <c r="C77" s="220" t="str">
        <f t="shared" ref="C77:C106" si="9">D76</f>
        <v/>
      </c>
      <c r="D77" s="220"/>
      <c r="E77" s="220">
        <f t="shared" si="7"/>
        <v>0</v>
      </c>
      <c r="F77" s="220">
        <f t="shared" si="8"/>
        <v>-10</v>
      </c>
      <c r="H77" s="216" t="s">
        <v>247</v>
      </c>
      <c r="I77" s="216"/>
      <c r="K77" s="216" t="s">
        <v>266</v>
      </c>
      <c r="L77" s="232"/>
    </row>
    <row r="78" ht="14.25" customHeight="1">
      <c r="B78" s="254">
        <v>45080.0</v>
      </c>
      <c r="C78" s="255" t="str">
        <f t="shared" si="9"/>
        <v/>
      </c>
      <c r="D78" s="255"/>
      <c r="E78" s="255">
        <f t="shared" si="7"/>
        <v>0</v>
      </c>
      <c r="F78" s="255">
        <f t="shared" si="8"/>
        <v>-10</v>
      </c>
      <c r="H78" s="216" t="s">
        <v>249</v>
      </c>
      <c r="I78" s="232">
        <v>18.0</v>
      </c>
      <c r="K78" s="216" t="s">
        <v>246</v>
      </c>
      <c r="L78" s="232">
        <f>O78*O79</f>
        <v>0</v>
      </c>
    </row>
    <row r="79" ht="14.25" customHeight="1">
      <c r="B79" s="254">
        <v>45081.0</v>
      </c>
      <c r="C79" s="255" t="str">
        <f t="shared" si="9"/>
        <v/>
      </c>
      <c r="D79" s="255"/>
      <c r="E79" s="255">
        <f t="shared" si="7"/>
        <v>0</v>
      </c>
      <c r="F79" s="255">
        <f t="shared" si="8"/>
        <v>-10</v>
      </c>
      <c r="H79" s="216" t="s">
        <v>251</v>
      </c>
      <c r="I79" s="216"/>
      <c r="K79" s="216" t="s">
        <v>248</v>
      </c>
      <c r="L79" s="232">
        <f>O80*O81</f>
        <v>0</v>
      </c>
    </row>
    <row r="80" ht="14.25" customHeight="1">
      <c r="B80" s="219">
        <v>45082.0</v>
      </c>
      <c r="C80" s="220" t="str">
        <f t="shared" si="9"/>
        <v/>
      </c>
      <c r="D80" s="220"/>
      <c r="E80" s="220">
        <f t="shared" si="7"/>
        <v>0</v>
      </c>
      <c r="F80" s="220">
        <f t="shared" si="8"/>
        <v>-10</v>
      </c>
      <c r="H80" s="216" t="s">
        <v>249</v>
      </c>
      <c r="I80" s="232">
        <v>10.0</v>
      </c>
      <c r="K80" s="216" t="s">
        <v>250</v>
      </c>
      <c r="L80" s="232">
        <f>O82*100</f>
        <v>0</v>
      </c>
    </row>
    <row r="81" ht="14.25" customHeight="1">
      <c r="B81" s="219">
        <v>45083.0</v>
      </c>
      <c r="C81" s="220" t="str">
        <f t="shared" si="9"/>
        <v/>
      </c>
      <c r="D81" s="220"/>
      <c r="E81" s="220">
        <f t="shared" si="7"/>
        <v>0</v>
      </c>
      <c r="F81" s="220">
        <f t="shared" si="8"/>
        <v>-10</v>
      </c>
      <c r="H81" s="216" t="s">
        <v>250</v>
      </c>
      <c r="I81" s="216"/>
      <c r="K81" s="216" t="s">
        <v>252</v>
      </c>
      <c r="L81" s="232"/>
    </row>
    <row r="82" ht="14.25" customHeight="1">
      <c r="B82" s="219">
        <v>45084.0</v>
      </c>
      <c r="C82" s="220" t="str">
        <f t="shared" si="9"/>
        <v/>
      </c>
      <c r="D82" s="220"/>
      <c r="E82" s="220">
        <f t="shared" si="7"/>
        <v>0</v>
      </c>
      <c r="F82" s="220">
        <f t="shared" si="8"/>
        <v>-10</v>
      </c>
      <c r="K82" s="216" t="s">
        <v>268</v>
      </c>
      <c r="L82" s="232">
        <f>L76+L78+L79+L80-L77-L81</f>
        <v>2000</v>
      </c>
    </row>
    <row r="83" ht="14.25" customHeight="1">
      <c r="B83" s="219">
        <v>45085.0</v>
      </c>
      <c r="C83" s="220" t="str">
        <f t="shared" si="9"/>
        <v/>
      </c>
      <c r="D83" s="220"/>
      <c r="E83" s="220">
        <f t="shared" si="7"/>
        <v>0</v>
      </c>
      <c r="F83" s="220">
        <f t="shared" si="8"/>
        <v>-10</v>
      </c>
      <c r="K83" s="216" t="s">
        <v>269</v>
      </c>
      <c r="L83" s="229"/>
    </row>
    <row r="84" ht="14.25" customHeight="1">
      <c r="B84" s="219">
        <v>45086.0</v>
      </c>
      <c r="C84" s="220" t="str">
        <f t="shared" si="9"/>
        <v/>
      </c>
      <c r="D84" s="220"/>
      <c r="E84" s="220">
        <f t="shared" si="7"/>
        <v>0</v>
      </c>
      <c r="F84" s="220">
        <f t="shared" si="8"/>
        <v>-10</v>
      </c>
    </row>
    <row r="85" ht="14.25" customHeight="1">
      <c r="B85" s="254">
        <v>45087.0</v>
      </c>
      <c r="C85" s="255" t="str">
        <f t="shared" si="9"/>
        <v/>
      </c>
      <c r="D85" s="255"/>
      <c r="E85" s="255">
        <f t="shared" si="7"/>
        <v>0</v>
      </c>
      <c r="F85" s="255">
        <f t="shared" si="8"/>
        <v>-10</v>
      </c>
    </row>
    <row r="86" ht="14.25" customHeight="1">
      <c r="B86" s="254">
        <v>45088.0</v>
      </c>
      <c r="C86" s="255" t="str">
        <f t="shared" si="9"/>
        <v/>
      </c>
      <c r="D86" s="255"/>
      <c r="E86" s="255">
        <f t="shared" si="7"/>
        <v>0</v>
      </c>
      <c r="F86" s="255">
        <f t="shared" si="8"/>
        <v>-10</v>
      </c>
    </row>
    <row r="87" ht="14.25" customHeight="1">
      <c r="B87" s="219">
        <v>45089.0</v>
      </c>
      <c r="C87" s="220" t="str">
        <f t="shared" si="9"/>
        <v/>
      </c>
      <c r="D87" s="220"/>
      <c r="E87" s="220">
        <f t="shared" si="7"/>
        <v>0</v>
      </c>
      <c r="F87" s="220">
        <f t="shared" si="8"/>
        <v>-10</v>
      </c>
    </row>
    <row r="88" ht="14.25" customHeight="1">
      <c r="B88" s="219">
        <v>45090.0</v>
      </c>
      <c r="C88" s="220" t="str">
        <f t="shared" si="9"/>
        <v/>
      </c>
      <c r="D88" s="220"/>
      <c r="E88" s="220">
        <f t="shared" si="7"/>
        <v>0</v>
      </c>
      <c r="F88" s="220">
        <f t="shared" si="8"/>
        <v>-10</v>
      </c>
    </row>
    <row r="89" ht="14.25" customHeight="1">
      <c r="B89" s="219">
        <v>45091.0</v>
      </c>
      <c r="C89" s="220" t="str">
        <f t="shared" si="9"/>
        <v/>
      </c>
      <c r="D89" s="220"/>
      <c r="E89" s="220">
        <f t="shared" si="7"/>
        <v>0</v>
      </c>
      <c r="F89" s="220">
        <f t="shared" si="8"/>
        <v>-10</v>
      </c>
    </row>
    <row r="90" ht="14.25" customHeight="1">
      <c r="B90" s="219">
        <v>45092.0</v>
      </c>
      <c r="C90" s="220" t="str">
        <f t="shared" si="9"/>
        <v/>
      </c>
      <c r="D90" s="220"/>
      <c r="E90" s="220">
        <f t="shared" si="7"/>
        <v>0</v>
      </c>
      <c r="F90" s="220">
        <f t="shared" si="8"/>
        <v>-10</v>
      </c>
    </row>
    <row r="91" ht="14.25" customHeight="1">
      <c r="B91" s="219">
        <v>45093.0</v>
      </c>
      <c r="C91" s="220" t="str">
        <f t="shared" si="9"/>
        <v/>
      </c>
      <c r="D91" s="220"/>
      <c r="E91" s="220">
        <f t="shared" si="7"/>
        <v>0</v>
      </c>
      <c r="F91" s="220">
        <f t="shared" si="8"/>
        <v>-10</v>
      </c>
    </row>
    <row r="92" ht="14.25" customHeight="1">
      <c r="B92" s="254">
        <v>45094.0</v>
      </c>
      <c r="C92" s="255" t="str">
        <f t="shared" si="9"/>
        <v/>
      </c>
      <c r="D92" s="255"/>
      <c r="E92" s="255">
        <f t="shared" si="7"/>
        <v>0</v>
      </c>
      <c r="F92" s="255">
        <f t="shared" si="8"/>
        <v>-10</v>
      </c>
    </row>
    <row r="93" ht="14.25" customHeight="1">
      <c r="B93" s="254">
        <v>45095.0</v>
      </c>
      <c r="C93" s="255" t="str">
        <f t="shared" si="9"/>
        <v/>
      </c>
      <c r="D93" s="255"/>
      <c r="E93" s="255">
        <f t="shared" si="7"/>
        <v>0</v>
      </c>
      <c r="F93" s="255">
        <f t="shared" si="8"/>
        <v>-10</v>
      </c>
    </row>
    <row r="94" ht="14.25" customHeight="1">
      <c r="B94" s="219">
        <v>45096.0</v>
      </c>
      <c r="C94" s="220" t="str">
        <f t="shared" si="9"/>
        <v/>
      </c>
      <c r="D94" s="220"/>
      <c r="E94" s="220">
        <f t="shared" si="7"/>
        <v>0</v>
      </c>
      <c r="F94" s="220">
        <f t="shared" si="8"/>
        <v>-10</v>
      </c>
    </row>
    <row r="95" ht="14.25" customHeight="1">
      <c r="B95" s="219">
        <v>45097.0</v>
      </c>
      <c r="C95" s="220" t="str">
        <f t="shared" si="9"/>
        <v/>
      </c>
      <c r="D95" s="220"/>
      <c r="E95" s="220">
        <f t="shared" si="7"/>
        <v>0</v>
      </c>
      <c r="F95" s="220">
        <f t="shared" si="8"/>
        <v>-10</v>
      </c>
    </row>
    <row r="96" ht="14.25" customHeight="1">
      <c r="B96" s="219">
        <v>45098.0</v>
      </c>
      <c r="C96" s="220" t="str">
        <f t="shared" si="9"/>
        <v/>
      </c>
      <c r="D96" s="220"/>
      <c r="E96" s="220">
        <f t="shared" si="7"/>
        <v>0</v>
      </c>
      <c r="F96" s="220">
        <f t="shared" si="8"/>
        <v>-10</v>
      </c>
    </row>
    <row r="97" ht="14.25" customHeight="1">
      <c r="B97" s="219">
        <v>45099.0</v>
      </c>
      <c r="C97" s="220" t="str">
        <f t="shared" si="9"/>
        <v/>
      </c>
      <c r="D97" s="220"/>
      <c r="E97" s="220">
        <f t="shared" si="7"/>
        <v>0</v>
      </c>
      <c r="F97" s="220">
        <f t="shared" si="8"/>
        <v>-10</v>
      </c>
    </row>
    <row r="98" ht="14.25" customHeight="1">
      <c r="B98" s="219">
        <v>45100.0</v>
      </c>
      <c r="C98" s="220" t="str">
        <f t="shared" si="9"/>
        <v/>
      </c>
      <c r="D98" s="220"/>
      <c r="E98" s="220">
        <f t="shared" si="7"/>
        <v>0</v>
      </c>
      <c r="F98" s="220">
        <f t="shared" si="8"/>
        <v>-10</v>
      </c>
    </row>
    <row r="99" ht="14.25" customHeight="1">
      <c r="B99" s="254">
        <v>45101.0</v>
      </c>
      <c r="C99" s="255" t="str">
        <f t="shared" si="9"/>
        <v/>
      </c>
      <c r="D99" s="255"/>
      <c r="E99" s="255">
        <f t="shared" si="7"/>
        <v>0</v>
      </c>
      <c r="F99" s="255">
        <f t="shared" si="8"/>
        <v>-10</v>
      </c>
    </row>
    <row r="100" ht="14.25" customHeight="1">
      <c r="B100" s="254">
        <v>45102.0</v>
      </c>
      <c r="C100" s="255" t="str">
        <f t="shared" si="9"/>
        <v/>
      </c>
      <c r="D100" s="255"/>
      <c r="E100" s="255">
        <f t="shared" si="7"/>
        <v>0</v>
      </c>
      <c r="F100" s="255">
        <f t="shared" si="8"/>
        <v>-10</v>
      </c>
    </row>
    <row r="101" ht="14.25" customHeight="1">
      <c r="B101" s="219">
        <v>45103.0</v>
      </c>
      <c r="C101" s="220" t="str">
        <f t="shared" si="9"/>
        <v/>
      </c>
      <c r="D101" s="220"/>
      <c r="E101" s="220">
        <f t="shared" si="7"/>
        <v>0</v>
      </c>
      <c r="F101" s="220">
        <f t="shared" si="8"/>
        <v>-10</v>
      </c>
    </row>
    <row r="102" ht="14.25" customHeight="1">
      <c r="B102" s="219">
        <v>45104.0</v>
      </c>
      <c r="C102" s="220" t="str">
        <f t="shared" si="9"/>
        <v/>
      </c>
      <c r="D102" s="220"/>
      <c r="E102" s="220">
        <f t="shared" si="7"/>
        <v>0</v>
      </c>
      <c r="F102" s="220">
        <f t="shared" si="8"/>
        <v>-10</v>
      </c>
    </row>
    <row r="103" ht="14.25" customHeight="1">
      <c r="B103" s="219">
        <v>45105.0</v>
      </c>
      <c r="C103" s="220" t="str">
        <f t="shared" si="9"/>
        <v/>
      </c>
      <c r="D103" s="220"/>
      <c r="E103" s="220">
        <f t="shared" si="7"/>
        <v>0</v>
      </c>
      <c r="F103" s="220">
        <f t="shared" si="8"/>
        <v>-10</v>
      </c>
    </row>
    <row r="104" ht="14.25" customHeight="1">
      <c r="B104" s="219">
        <v>45106.0</v>
      </c>
      <c r="C104" s="220" t="str">
        <f t="shared" si="9"/>
        <v/>
      </c>
      <c r="D104" s="220"/>
      <c r="E104" s="220">
        <f t="shared" si="7"/>
        <v>0</v>
      </c>
      <c r="F104" s="220">
        <f t="shared" si="8"/>
        <v>-10</v>
      </c>
    </row>
    <row r="105" ht="14.25" customHeight="1">
      <c r="B105" s="219">
        <v>45107.0</v>
      </c>
      <c r="C105" s="220" t="str">
        <f t="shared" si="9"/>
        <v/>
      </c>
      <c r="D105" s="220"/>
      <c r="E105" s="220">
        <f t="shared" si="7"/>
        <v>0</v>
      </c>
      <c r="F105" s="220">
        <f t="shared" si="8"/>
        <v>-10</v>
      </c>
    </row>
    <row r="106" ht="14.25" customHeight="1">
      <c r="B106" s="229"/>
      <c r="C106" s="220" t="str">
        <f t="shared" si="9"/>
        <v/>
      </c>
      <c r="D106" s="220"/>
      <c r="E106" s="220">
        <f t="shared" si="7"/>
        <v>0</v>
      </c>
      <c r="F106" s="220">
        <f t="shared" si="8"/>
        <v>-10</v>
      </c>
    </row>
    <row r="107" ht="14.25" customHeight="1">
      <c r="B107" s="216"/>
      <c r="C107" s="223" t="s">
        <v>221</v>
      </c>
      <c r="D107" s="223"/>
      <c r="E107" s="216">
        <f>SUM(E76:E106)</f>
        <v>0</v>
      </c>
      <c r="F107" s="216">
        <f t="shared" si="8"/>
        <v>-10</v>
      </c>
    </row>
    <row r="108" ht="14.25" customHeight="1"/>
    <row r="109" ht="14.25" customHeight="1">
      <c r="A109" s="249" t="s">
        <v>425</v>
      </c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1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4.25" customHeight="1"/>
    <row r="111" ht="14.25" customHeight="1">
      <c r="B111" s="216" t="s">
        <v>214</v>
      </c>
      <c r="C111" s="216" t="s">
        <v>215</v>
      </c>
      <c r="D111" s="216" t="s">
        <v>216</v>
      </c>
      <c r="E111" s="216" t="s">
        <v>217</v>
      </c>
      <c r="F111" s="216" t="s">
        <v>218</v>
      </c>
      <c r="H111" s="216" t="s">
        <v>238</v>
      </c>
      <c r="I111" s="216"/>
      <c r="K111" s="253" t="s">
        <v>425</v>
      </c>
      <c r="L111" s="231"/>
    </row>
    <row r="112" ht="14.25" customHeight="1">
      <c r="B112" s="219">
        <v>45078.0</v>
      </c>
      <c r="C112" s="220"/>
      <c r="D112" s="220"/>
      <c r="E112" s="220">
        <f t="shared" ref="E112:E142" si="10">D112-C112</f>
        <v>0</v>
      </c>
      <c r="F112" s="220">
        <f t="shared" ref="F112:F143" si="11">E112-10</f>
        <v>-10</v>
      </c>
      <c r="H112" s="216" t="s">
        <v>245</v>
      </c>
      <c r="I112" s="216"/>
      <c r="K112" s="216" t="s">
        <v>244</v>
      </c>
      <c r="L112" s="232">
        <v>2000.0</v>
      </c>
    </row>
    <row r="113" ht="14.25" customHeight="1">
      <c r="B113" s="219">
        <v>45079.0</v>
      </c>
      <c r="C113" s="220" t="str">
        <f t="shared" ref="C113:C142" si="12">D112</f>
        <v/>
      </c>
      <c r="D113" s="220"/>
      <c r="E113" s="220">
        <f t="shared" si="10"/>
        <v>0</v>
      </c>
      <c r="F113" s="220">
        <f t="shared" si="11"/>
        <v>-10</v>
      </c>
      <c r="H113" s="216" t="s">
        <v>247</v>
      </c>
      <c r="I113" s="216"/>
      <c r="K113" s="216" t="s">
        <v>266</v>
      </c>
      <c r="L113" s="232"/>
    </row>
    <row r="114" ht="14.25" customHeight="1">
      <c r="B114" s="254">
        <v>45080.0</v>
      </c>
      <c r="C114" s="255" t="str">
        <f t="shared" si="12"/>
        <v/>
      </c>
      <c r="D114" s="255"/>
      <c r="E114" s="255">
        <f t="shared" si="10"/>
        <v>0</v>
      </c>
      <c r="F114" s="255">
        <f t="shared" si="11"/>
        <v>-10</v>
      </c>
      <c r="H114" s="216" t="s">
        <v>249</v>
      </c>
      <c r="I114" s="232">
        <v>18.0</v>
      </c>
      <c r="K114" s="216" t="s">
        <v>246</v>
      </c>
      <c r="L114" s="232">
        <f>O114*O115</f>
        <v>0</v>
      </c>
    </row>
    <row r="115" ht="14.25" customHeight="1">
      <c r="B115" s="254">
        <v>45081.0</v>
      </c>
      <c r="C115" s="255" t="str">
        <f t="shared" si="12"/>
        <v/>
      </c>
      <c r="D115" s="255"/>
      <c r="E115" s="255">
        <f t="shared" si="10"/>
        <v>0</v>
      </c>
      <c r="F115" s="255">
        <f t="shared" si="11"/>
        <v>-10</v>
      </c>
      <c r="H115" s="216" t="s">
        <v>251</v>
      </c>
      <c r="I115" s="216"/>
      <c r="K115" s="216" t="s">
        <v>248</v>
      </c>
      <c r="L115" s="232">
        <f>O116*O117</f>
        <v>0</v>
      </c>
    </row>
    <row r="116" ht="14.25" customHeight="1">
      <c r="B116" s="219">
        <v>45082.0</v>
      </c>
      <c r="C116" s="220" t="str">
        <f t="shared" si="12"/>
        <v/>
      </c>
      <c r="D116" s="220"/>
      <c r="E116" s="220">
        <f t="shared" si="10"/>
        <v>0</v>
      </c>
      <c r="F116" s="220">
        <f t="shared" si="11"/>
        <v>-10</v>
      </c>
      <c r="H116" s="216" t="s">
        <v>249</v>
      </c>
      <c r="I116" s="232">
        <v>10.0</v>
      </c>
      <c r="K116" s="216" t="s">
        <v>250</v>
      </c>
      <c r="L116" s="232">
        <f>O118*100</f>
        <v>0</v>
      </c>
    </row>
    <row r="117" ht="14.25" customHeight="1">
      <c r="B117" s="219">
        <v>45083.0</v>
      </c>
      <c r="C117" s="220" t="str">
        <f t="shared" si="12"/>
        <v/>
      </c>
      <c r="D117" s="220"/>
      <c r="E117" s="220">
        <f t="shared" si="10"/>
        <v>0</v>
      </c>
      <c r="F117" s="220">
        <f t="shared" si="11"/>
        <v>-10</v>
      </c>
      <c r="H117" s="216" t="s">
        <v>250</v>
      </c>
      <c r="I117" s="216"/>
      <c r="K117" s="216" t="s">
        <v>252</v>
      </c>
      <c r="L117" s="232"/>
    </row>
    <row r="118" ht="14.25" customHeight="1">
      <c r="B118" s="219">
        <v>45084.0</v>
      </c>
      <c r="C118" s="220" t="str">
        <f t="shared" si="12"/>
        <v/>
      </c>
      <c r="D118" s="220"/>
      <c r="E118" s="220">
        <f t="shared" si="10"/>
        <v>0</v>
      </c>
      <c r="F118" s="220">
        <f t="shared" si="11"/>
        <v>-10</v>
      </c>
      <c r="K118" s="216" t="s">
        <v>268</v>
      </c>
      <c r="L118" s="232">
        <f>L112+L114+L115+L116-L113-L117</f>
        <v>2000</v>
      </c>
    </row>
    <row r="119" ht="14.25" customHeight="1">
      <c r="B119" s="219">
        <v>45085.0</v>
      </c>
      <c r="C119" s="220" t="str">
        <f t="shared" si="12"/>
        <v/>
      </c>
      <c r="D119" s="220"/>
      <c r="E119" s="220">
        <f t="shared" si="10"/>
        <v>0</v>
      </c>
      <c r="F119" s="220">
        <f t="shared" si="11"/>
        <v>-10</v>
      </c>
      <c r="K119" s="216" t="s">
        <v>269</v>
      </c>
      <c r="L119" s="229"/>
    </row>
    <row r="120" ht="14.25" customHeight="1">
      <c r="B120" s="219">
        <v>45086.0</v>
      </c>
      <c r="C120" s="220" t="str">
        <f t="shared" si="12"/>
        <v/>
      </c>
      <c r="D120" s="220"/>
      <c r="E120" s="220">
        <f t="shared" si="10"/>
        <v>0</v>
      </c>
      <c r="F120" s="220">
        <f t="shared" si="11"/>
        <v>-10</v>
      </c>
    </row>
    <row r="121" ht="14.25" customHeight="1">
      <c r="B121" s="254">
        <v>45087.0</v>
      </c>
      <c r="C121" s="255" t="str">
        <f t="shared" si="12"/>
        <v/>
      </c>
      <c r="D121" s="255"/>
      <c r="E121" s="255">
        <f t="shared" si="10"/>
        <v>0</v>
      </c>
      <c r="F121" s="255">
        <f t="shared" si="11"/>
        <v>-10</v>
      </c>
    </row>
    <row r="122" ht="14.25" customHeight="1">
      <c r="B122" s="254">
        <v>45088.0</v>
      </c>
      <c r="C122" s="255" t="str">
        <f t="shared" si="12"/>
        <v/>
      </c>
      <c r="D122" s="255"/>
      <c r="E122" s="255">
        <f t="shared" si="10"/>
        <v>0</v>
      </c>
      <c r="F122" s="255">
        <f t="shared" si="11"/>
        <v>-10</v>
      </c>
    </row>
    <row r="123" ht="14.25" customHeight="1">
      <c r="B123" s="219">
        <v>45089.0</v>
      </c>
      <c r="C123" s="220" t="str">
        <f t="shared" si="12"/>
        <v/>
      </c>
      <c r="D123" s="220"/>
      <c r="E123" s="220">
        <f t="shared" si="10"/>
        <v>0</v>
      </c>
      <c r="F123" s="220">
        <f t="shared" si="11"/>
        <v>-10</v>
      </c>
    </row>
    <row r="124" ht="14.25" customHeight="1">
      <c r="B124" s="219">
        <v>45090.0</v>
      </c>
      <c r="C124" s="220" t="str">
        <f t="shared" si="12"/>
        <v/>
      </c>
      <c r="D124" s="220"/>
      <c r="E124" s="220">
        <f t="shared" si="10"/>
        <v>0</v>
      </c>
      <c r="F124" s="220">
        <f t="shared" si="11"/>
        <v>-10</v>
      </c>
    </row>
    <row r="125" ht="14.25" customHeight="1">
      <c r="B125" s="219">
        <v>45091.0</v>
      </c>
      <c r="C125" s="220" t="str">
        <f t="shared" si="12"/>
        <v/>
      </c>
      <c r="D125" s="220"/>
      <c r="E125" s="220">
        <f t="shared" si="10"/>
        <v>0</v>
      </c>
      <c r="F125" s="220">
        <f t="shared" si="11"/>
        <v>-10</v>
      </c>
    </row>
    <row r="126" ht="14.25" customHeight="1">
      <c r="B126" s="219">
        <v>45092.0</v>
      </c>
      <c r="C126" s="220" t="str">
        <f t="shared" si="12"/>
        <v/>
      </c>
      <c r="D126" s="220"/>
      <c r="E126" s="220">
        <f t="shared" si="10"/>
        <v>0</v>
      </c>
      <c r="F126" s="220">
        <f t="shared" si="11"/>
        <v>-10</v>
      </c>
    </row>
    <row r="127" ht="14.25" customHeight="1">
      <c r="B127" s="219">
        <v>45093.0</v>
      </c>
      <c r="C127" s="220" t="str">
        <f t="shared" si="12"/>
        <v/>
      </c>
      <c r="D127" s="220"/>
      <c r="E127" s="220">
        <f t="shared" si="10"/>
        <v>0</v>
      </c>
      <c r="F127" s="220">
        <f t="shared" si="11"/>
        <v>-10</v>
      </c>
    </row>
    <row r="128" ht="14.25" customHeight="1">
      <c r="B128" s="254">
        <v>45094.0</v>
      </c>
      <c r="C128" s="255" t="str">
        <f t="shared" si="12"/>
        <v/>
      </c>
      <c r="D128" s="255"/>
      <c r="E128" s="255">
        <f t="shared" si="10"/>
        <v>0</v>
      </c>
      <c r="F128" s="255">
        <f t="shared" si="11"/>
        <v>-10</v>
      </c>
    </row>
    <row r="129" ht="14.25" customHeight="1">
      <c r="B129" s="254">
        <v>45095.0</v>
      </c>
      <c r="C129" s="255" t="str">
        <f t="shared" si="12"/>
        <v/>
      </c>
      <c r="D129" s="255"/>
      <c r="E129" s="255">
        <f t="shared" si="10"/>
        <v>0</v>
      </c>
      <c r="F129" s="255">
        <f t="shared" si="11"/>
        <v>-10</v>
      </c>
    </row>
    <row r="130" ht="14.25" customHeight="1">
      <c r="B130" s="219">
        <v>45096.0</v>
      </c>
      <c r="C130" s="220" t="str">
        <f t="shared" si="12"/>
        <v/>
      </c>
      <c r="D130" s="220"/>
      <c r="E130" s="220">
        <f t="shared" si="10"/>
        <v>0</v>
      </c>
      <c r="F130" s="220">
        <f t="shared" si="11"/>
        <v>-10</v>
      </c>
    </row>
    <row r="131" ht="14.25" customHeight="1">
      <c r="B131" s="219">
        <v>45097.0</v>
      </c>
      <c r="C131" s="220" t="str">
        <f t="shared" si="12"/>
        <v/>
      </c>
      <c r="D131" s="220"/>
      <c r="E131" s="220">
        <f t="shared" si="10"/>
        <v>0</v>
      </c>
      <c r="F131" s="220">
        <f t="shared" si="11"/>
        <v>-10</v>
      </c>
    </row>
    <row r="132" ht="14.25" customHeight="1">
      <c r="B132" s="219">
        <v>45098.0</v>
      </c>
      <c r="C132" s="220" t="str">
        <f t="shared" si="12"/>
        <v/>
      </c>
      <c r="D132" s="220"/>
      <c r="E132" s="220">
        <f t="shared" si="10"/>
        <v>0</v>
      </c>
      <c r="F132" s="220">
        <f t="shared" si="11"/>
        <v>-10</v>
      </c>
    </row>
    <row r="133" ht="14.25" customHeight="1">
      <c r="B133" s="219">
        <v>45099.0</v>
      </c>
      <c r="C133" s="220" t="str">
        <f t="shared" si="12"/>
        <v/>
      </c>
      <c r="D133" s="220"/>
      <c r="E133" s="220">
        <f t="shared" si="10"/>
        <v>0</v>
      </c>
      <c r="F133" s="220">
        <f t="shared" si="11"/>
        <v>-10</v>
      </c>
    </row>
    <row r="134" ht="14.25" customHeight="1">
      <c r="B134" s="219">
        <v>45100.0</v>
      </c>
      <c r="C134" s="220" t="str">
        <f t="shared" si="12"/>
        <v/>
      </c>
      <c r="D134" s="220"/>
      <c r="E134" s="220">
        <f t="shared" si="10"/>
        <v>0</v>
      </c>
      <c r="F134" s="220">
        <f t="shared" si="11"/>
        <v>-10</v>
      </c>
    </row>
    <row r="135" ht="14.25" customHeight="1">
      <c r="B135" s="254">
        <v>45101.0</v>
      </c>
      <c r="C135" s="255" t="str">
        <f t="shared" si="12"/>
        <v/>
      </c>
      <c r="D135" s="255"/>
      <c r="E135" s="255">
        <f t="shared" si="10"/>
        <v>0</v>
      </c>
      <c r="F135" s="255">
        <f t="shared" si="11"/>
        <v>-10</v>
      </c>
    </row>
    <row r="136" ht="14.25" customHeight="1">
      <c r="B136" s="254">
        <v>45102.0</v>
      </c>
      <c r="C136" s="255" t="str">
        <f t="shared" si="12"/>
        <v/>
      </c>
      <c r="D136" s="255"/>
      <c r="E136" s="255">
        <f t="shared" si="10"/>
        <v>0</v>
      </c>
      <c r="F136" s="255">
        <f t="shared" si="11"/>
        <v>-10</v>
      </c>
    </row>
    <row r="137" ht="14.25" customHeight="1">
      <c r="B137" s="219">
        <v>45103.0</v>
      </c>
      <c r="C137" s="220" t="str">
        <f t="shared" si="12"/>
        <v/>
      </c>
      <c r="D137" s="220"/>
      <c r="E137" s="220">
        <f t="shared" si="10"/>
        <v>0</v>
      </c>
      <c r="F137" s="220">
        <f t="shared" si="11"/>
        <v>-10</v>
      </c>
    </row>
    <row r="138" ht="14.25" customHeight="1">
      <c r="B138" s="219">
        <v>45104.0</v>
      </c>
      <c r="C138" s="220" t="str">
        <f t="shared" si="12"/>
        <v/>
      </c>
      <c r="D138" s="220"/>
      <c r="E138" s="220">
        <f t="shared" si="10"/>
        <v>0</v>
      </c>
      <c r="F138" s="220">
        <f t="shared" si="11"/>
        <v>-10</v>
      </c>
    </row>
    <row r="139" ht="14.25" customHeight="1">
      <c r="B139" s="219">
        <v>45105.0</v>
      </c>
      <c r="C139" s="220" t="str">
        <f t="shared" si="12"/>
        <v/>
      </c>
      <c r="D139" s="220"/>
      <c r="E139" s="220">
        <f t="shared" si="10"/>
        <v>0</v>
      </c>
      <c r="F139" s="220">
        <f t="shared" si="11"/>
        <v>-10</v>
      </c>
    </row>
    <row r="140" ht="14.25" customHeight="1">
      <c r="B140" s="219">
        <v>45106.0</v>
      </c>
      <c r="C140" s="220" t="str">
        <f t="shared" si="12"/>
        <v/>
      </c>
      <c r="D140" s="220"/>
      <c r="E140" s="220">
        <f t="shared" si="10"/>
        <v>0</v>
      </c>
      <c r="F140" s="220">
        <f t="shared" si="11"/>
        <v>-10</v>
      </c>
    </row>
    <row r="141" ht="14.25" customHeight="1">
      <c r="B141" s="219">
        <v>45107.0</v>
      </c>
      <c r="C141" s="220" t="str">
        <f t="shared" si="12"/>
        <v/>
      </c>
      <c r="D141" s="220"/>
      <c r="E141" s="220">
        <f t="shared" si="10"/>
        <v>0</v>
      </c>
      <c r="F141" s="220">
        <f t="shared" si="11"/>
        <v>-10</v>
      </c>
    </row>
    <row r="142" ht="14.25" customHeight="1">
      <c r="B142" s="229"/>
      <c r="C142" s="220" t="str">
        <f t="shared" si="12"/>
        <v/>
      </c>
      <c r="D142" s="220"/>
      <c r="E142" s="220">
        <f t="shared" si="10"/>
        <v>0</v>
      </c>
      <c r="F142" s="220">
        <f t="shared" si="11"/>
        <v>-10</v>
      </c>
    </row>
    <row r="143" ht="14.25" customHeight="1">
      <c r="B143" s="216"/>
      <c r="C143" s="223" t="s">
        <v>221</v>
      </c>
      <c r="D143" s="223"/>
      <c r="E143" s="216">
        <f>SUM(E112:E142)</f>
        <v>0</v>
      </c>
      <c r="F143" s="216">
        <f t="shared" si="11"/>
        <v>-10</v>
      </c>
    </row>
    <row r="144" ht="14.25" customHeight="1"/>
    <row r="145" ht="14.25" customHeight="1">
      <c r="A145" s="249" t="s">
        <v>231</v>
      </c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1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 ht="14.25" customHeight="1"/>
    <row r="147" ht="14.25" customHeight="1">
      <c r="B147" s="216" t="s">
        <v>214</v>
      </c>
      <c r="C147" s="216" t="s">
        <v>215</v>
      </c>
      <c r="D147" s="216" t="s">
        <v>216</v>
      </c>
      <c r="E147" s="216" t="s">
        <v>217</v>
      </c>
      <c r="F147" s="216" t="s">
        <v>218</v>
      </c>
      <c r="H147" s="216" t="s">
        <v>238</v>
      </c>
      <c r="I147" s="216"/>
      <c r="K147" s="253" t="s">
        <v>231</v>
      </c>
      <c r="L147" s="231"/>
    </row>
    <row r="148" ht="14.25" customHeight="1">
      <c r="B148" s="219">
        <v>45078.0</v>
      </c>
      <c r="C148" s="220"/>
      <c r="D148" s="220"/>
      <c r="E148" s="220">
        <f t="shared" ref="E148:E178" si="13">D148-C148</f>
        <v>0</v>
      </c>
      <c r="F148" s="220">
        <f t="shared" ref="F148:F179" si="14">E148-10</f>
        <v>-10</v>
      </c>
      <c r="H148" s="216" t="s">
        <v>245</v>
      </c>
      <c r="I148" s="216"/>
      <c r="K148" s="216" t="s">
        <v>244</v>
      </c>
      <c r="L148" s="232">
        <v>2000.0</v>
      </c>
    </row>
    <row r="149" ht="14.25" customHeight="1">
      <c r="B149" s="219">
        <v>45079.0</v>
      </c>
      <c r="C149" s="220" t="str">
        <f t="shared" ref="C149:C178" si="15">D148</f>
        <v/>
      </c>
      <c r="D149" s="220"/>
      <c r="E149" s="220">
        <f t="shared" si="13"/>
        <v>0</v>
      </c>
      <c r="F149" s="220">
        <f t="shared" si="14"/>
        <v>-10</v>
      </c>
      <c r="H149" s="216" t="s">
        <v>247</v>
      </c>
      <c r="I149" s="216"/>
      <c r="K149" s="216" t="s">
        <v>266</v>
      </c>
      <c r="L149" s="232"/>
    </row>
    <row r="150" ht="14.25" customHeight="1">
      <c r="B150" s="254">
        <v>45080.0</v>
      </c>
      <c r="C150" s="255" t="str">
        <f t="shared" si="15"/>
        <v/>
      </c>
      <c r="D150" s="255"/>
      <c r="E150" s="255">
        <f t="shared" si="13"/>
        <v>0</v>
      </c>
      <c r="F150" s="255">
        <f t="shared" si="14"/>
        <v>-10</v>
      </c>
      <c r="H150" s="216" t="s">
        <v>249</v>
      </c>
      <c r="I150" s="232">
        <v>18.0</v>
      </c>
      <c r="K150" s="216" t="s">
        <v>246</v>
      </c>
      <c r="L150" s="232">
        <f>O150*O151</f>
        <v>0</v>
      </c>
    </row>
    <row r="151" ht="14.25" customHeight="1">
      <c r="B151" s="254">
        <v>45081.0</v>
      </c>
      <c r="C151" s="255" t="str">
        <f t="shared" si="15"/>
        <v/>
      </c>
      <c r="D151" s="255"/>
      <c r="E151" s="255">
        <f t="shared" si="13"/>
        <v>0</v>
      </c>
      <c r="F151" s="255">
        <f t="shared" si="14"/>
        <v>-10</v>
      </c>
      <c r="H151" s="216" t="s">
        <v>251</v>
      </c>
      <c r="I151" s="216"/>
      <c r="K151" s="216" t="s">
        <v>248</v>
      </c>
      <c r="L151" s="232">
        <f>O152*O153</f>
        <v>0</v>
      </c>
    </row>
    <row r="152" ht="14.25" customHeight="1">
      <c r="B152" s="219">
        <v>45082.0</v>
      </c>
      <c r="C152" s="220" t="str">
        <f t="shared" si="15"/>
        <v/>
      </c>
      <c r="D152" s="220"/>
      <c r="E152" s="220">
        <f t="shared" si="13"/>
        <v>0</v>
      </c>
      <c r="F152" s="220">
        <f t="shared" si="14"/>
        <v>-10</v>
      </c>
      <c r="H152" s="216" t="s">
        <v>249</v>
      </c>
      <c r="I152" s="232">
        <v>10.0</v>
      </c>
      <c r="K152" s="216" t="s">
        <v>250</v>
      </c>
      <c r="L152" s="232">
        <f>O154*100</f>
        <v>0</v>
      </c>
    </row>
    <row r="153" ht="14.25" customHeight="1">
      <c r="B153" s="219">
        <v>45083.0</v>
      </c>
      <c r="C153" s="220" t="str">
        <f t="shared" si="15"/>
        <v/>
      </c>
      <c r="D153" s="220"/>
      <c r="E153" s="220">
        <f t="shared" si="13"/>
        <v>0</v>
      </c>
      <c r="F153" s="220">
        <f t="shared" si="14"/>
        <v>-10</v>
      </c>
      <c r="H153" s="216" t="s">
        <v>250</v>
      </c>
      <c r="I153" s="216"/>
      <c r="K153" s="216" t="s">
        <v>252</v>
      </c>
      <c r="L153" s="232"/>
    </row>
    <row r="154" ht="14.25" customHeight="1">
      <c r="B154" s="219">
        <v>45084.0</v>
      </c>
      <c r="C154" s="220" t="str">
        <f t="shared" si="15"/>
        <v/>
      </c>
      <c r="D154" s="220"/>
      <c r="E154" s="220">
        <f t="shared" si="13"/>
        <v>0</v>
      </c>
      <c r="F154" s="220">
        <f t="shared" si="14"/>
        <v>-10</v>
      </c>
      <c r="K154" s="216" t="s">
        <v>268</v>
      </c>
      <c r="L154" s="232">
        <f>L148+L150+L151+L152-L149-L153</f>
        <v>2000</v>
      </c>
    </row>
    <row r="155" ht="14.25" customHeight="1">
      <c r="B155" s="219">
        <v>45085.0</v>
      </c>
      <c r="C155" s="220" t="str">
        <f t="shared" si="15"/>
        <v/>
      </c>
      <c r="D155" s="220"/>
      <c r="E155" s="220">
        <f t="shared" si="13"/>
        <v>0</v>
      </c>
      <c r="F155" s="220">
        <f t="shared" si="14"/>
        <v>-10</v>
      </c>
      <c r="K155" s="216" t="s">
        <v>269</v>
      </c>
      <c r="L155" s="229"/>
    </row>
    <row r="156" ht="14.25" customHeight="1">
      <c r="B156" s="219">
        <v>45086.0</v>
      </c>
      <c r="C156" s="220" t="str">
        <f t="shared" si="15"/>
        <v/>
      </c>
      <c r="D156" s="220"/>
      <c r="E156" s="220">
        <f t="shared" si="13"/>
        <v>0</v>
      </c>
      <c r="F156" s="220">
        <f t="shared" si="14"/>
        <v>-10</v>
      </c>
    </row>
    <row r="157" ht="14.25" customHeight="1">
      <c r="B157" s="254">
        <v>45087.0</v>
      </c>
      <c r="C157" s="255" t="str">
        <f t="shared" si="15"/>
        <v/>
      </c>
      <c r="D157" s="255"/>
      <c r="E157" s="255">
        <f t="shared" si="13"/>
        <v>0</v>
      </c>
      <c r="F157" s="255">
        <f t="shared" si="14"/>
        <v>-10</v>
      </c>
    </row>
    <row r="158" ht="14.25" customHeight="1">
      <c r="B158" s="254">
        <v>45088.0</v>
      </c>
      <c r="C158" s="255" t="str">
        <f t="shared" si="15"/>
        <v/>
      </c>
      <c r="D158" s="255"/>
      <c r="E158" s="255">
        <f t="shared" si="13"/>
        <v>0</v>
      </c>
      <c r="F158" s="255">
        <f t="shared" si="14"/>
        <v>-10</v>
      </c>
    </row>
    <row r="159" ht="14.25" customHeight="1">
      <c r="B159" s="219">
        <v>45089.0</v>
      </c>
      <c r="C159" s="220" t="str">
        <f t="shared" si="15"/>
        <v/>
      </c>
      <c r="D159" s="220"/>
      <c r="E159" s="220">
        <f t="shared" si="13"/>
        <v>0</v>
      </c>
      <c r="F159" s="220">
        <f t="shared" si="14"/>
        <v>-10</v>
      </c>
    </row>
    <row r="160" ht="14.25" customHeight="1">
      <c r="B160" s="219">
        <v>45090.0</v>
      </c>
      <c r="C160" s="220" t="str">
        <f t="shared" si="15"/>
        <v/>
      </c>
      <c r="D160" s="220"/>
      <c r="E160" s="220">
        <f t="shared" si="13"/>
        <v>0</v>
      </c>
      <c r="F160" s="220">
        <f t="shared" si="14"/>
        <v>-10</v>
      </c>
    </row>
    <row r="161" ht="14.25" customHeight="1">
      <c r="B161" s="219">
        <v>45091.0</v>
      </c>
      <c r="C161" s="220" t="str">
        <f t="shared" si="15"/>
        <v/>
      </c>
      <c r="D161" s="220"/>
      <c r="E161" s="220">
        <f t="shared" si="13"/>
        <v>0</v>
      </c>
      <c r="F161" s="220">
        <f t="shared" si="14"/>
        <v>-10</v>
      </c>
    </row>
    <row r="162" ht="14.25" customHeight="1">
      <c r="B162" s="219">
        <v>45092.0</v>
      </c>
      <c r="C162" s="220" t="str">
        <f t="shared" si="15"/>
        <v/>
      </c>
      <c r="D162" s="220"/>
      <c r="E162" s="220">
        <f t="shared" si="13"/>
        <v>0</v>
      </c>
      <c r="F162" s="220">
        <f t="shared" si="14"/>
        <v>-10</v>
      </c>
    </row>
    <row r="163" ht="14.25" customHeight="1">
      <c r="B163" s="219">
        <v>45093.0</v>
      </c>
      <c r="C163" s="220" t="str">
        <f t="shared" si="15"/>
        <v/>
      </c>
      <c r="D163" s="220"/>
      <c r="E163" s="220">
        <f t="shared" si="13"/>
        <v>0</v>
      </c>
      <c r="F163" s="220">
        <f t="shared" si="14"/>
        <v>-10</v>
      </c>
    </row>
    <row r="164" ht="14.25" customHeight="1">
      <c r="B164" s="254">
        <v>45094.0</v>
      </c>
      <c r="C164" s="255" t="str">
        <f t="shared" si="15"/>
        <v/>
      </c>
      <c r="D164" s="255"/>
      <c r="E164" s="255">
        <f t="shared" si="13"/>
        <v>0</v>
      </c>
      <c r="F164" s="255">
        <f t="shared" si="14"/>
        <v>-10</v>
      </c>
    </row>
    <row r="165" ht="14.25" customHeight="1">
      <c r="B165" s="254">
        <v>45095.0</v>
      </c>
      <c r="C165" s="255" t="str">
        <f t="shared" si="15"/>
        <v/>
      </c>
      <c r="D165" s="255"/>
      <c r="E165" s="255">
        <f t="shared" si="13"/>
        <v>0</v>
      </c>
      <c r="F165" s="255">
        <f t="shared" si="14"/>
        <v>-10</v>
      </c>
    </row>
    <row r="166" ht="14.25" customHeight="1">
      <c r="B166" s="219">
        <v>45096.0</v>
      </c>
      <c r="C166" s="220" t="str">
        <f t="shared" si="15"/>
        <v/>
      </c>
      <c r="D166" s="220"/>
      <c r="E166" s="220">
        <f t="shared" si="13"/>
        <v>0</v>
      </c>
      <c r="F166" s="220">
        <f t="shared" si="14"/>
        <v>-10</v>
      </c>
    </row>
    <row r="167" ht="14.25" customHeight="1">
      <c r="B167" s="219">
        <v>45097.0</v>
      </c>
      <c r="C167" s="220" t="str">
        <f t="shared" si="15"/>
        <v/>
      </c>
      <c r="D167" s="220"/>
      <c r="E167" s="220">
        <f t="shared" si="13"/>
        <v>0</v>
      </c>
      <c r="F167" s="220">
        <f t="shared" si="14"/>
        <v>-10</v>
      </c>
    </row>
    <row r="168" ht="14.25" customHeight="1">
      <c r="B168" s="219">
        <v>45098.0</v>
      </c>
      <c r="C168" s="220" t="str">
        <f t="shared" si="15"/>
        <v/>
      </c>
      <c r="D168" s="220"/>
      <c r="E168" s="220">
        <f t="shared" si="13"/>
        <v>0</v>
      </c>
      <c r="F168" s="220">
        <f t="shared" si="14"/>
        <v>-10</v>
      </c>
    </row>
    <row r="169" ht="14.25" customHeight="1">
      <c r="B169" s="219">
        <v>45099.0</v>
      </c>
      <c r="C169" s="220" t="str">
        <f t="shared" si="15"/>
        <v/>
      </c>
      <c r="D169" s="220"/>
      <c r="E169" s="220">
        <f t="shared" si="13"/>
        <v>0</v>
      </c>
      <c r="F169" s="220">
        <f t="shared" si="14"/>
        <v>-10</v>
      </c>
    </row>
    <row r="170" ht="14.25" customHeight="1">
      <c r="B170" s="219">
        <v>45100.0</v>
      </c>
      <c r="C170" s="220" t="str">
        <f t="shared" si="15"/>
        <v/>
      </c>
      <c r="D170" s="220"/>
      <c r="E170" s="220">
        <f t="shared" si="13"/>
        <v>0</v>
      </c>
      <c r="F170" s="220">
        <f t="shared" si="14"/>
        <v>-10</v>
      </c>
    </row>
    <row r="171" ht="14.25" customHeight="1">
      <c r="B171" s="254">
        <v>45101.0</v>
      </c>
      <c r="C171" s="255" t="str">
        <f t="shared" si="15"/>
        <v/>
      </c>
      <c r="D171" s="255"/>
      <c r="E171" s="255">
        <f t="shared" si="13"/>
        <v>0</v>
      </c>
      <c r="F171" s="255">
        <f t="shared" si="14"/>
        <v>-10</v>
      </c>
    </row>
    <row r="172" ht="14.25" customHeight="1">
      <c r="B172" s="254">
        <v>45102.0</v>
      </c>
      <c r="C172" s="255" t="str">
        <f t="shared" si="15"/>
        <v/>
      </c>
      <c r="D172" s="255"/>
      <c r="E172" s="255">
        <f t="shared" si="13"/>
        <v>0</v>
      </c>
      <c r="F172" s="255">
        <f t="shared" si="14"/>
        <v>-10</v>
      </c>
    </row>
    <row r="173" ht="14.25" customHeight="1">
      <c r="B173" s="219">
        <v>45103.0</v>
      </c>
      <c r="C173" s="220" t="str">
        <f t="shared" si="15"/>
        <v/>
      </c>
      <c r="D173" s="220"/>
      <c r="E173" s="220">
        <f t="shared" si="13"/>
        <v>0</v>
      </c>
      <c r="F173" s="220">
        <f t="shared" si="14"/>
        <v>-10</v>
      </c>
    </row>
    <row r="174" ht="14.25" customHeight="1">
      <c r="B174" s="219">
        <v>45104.0</v>
      </c>
      <c r="C174" s="220" t="str">
        <f t="shared" si="15"/>
        <v/>
      </c>
      <c r="D174" s="220"/>
      <c r="E174" s="220">
        <f t="shared" si="13"/>
        <v>0</v>
      </c>
      <c r="F174" s="220">
        <f t="shared" si="14"/>
        <v>-10</v>
      </c>
    </row>
    <row r="175" ht="14.25" customHeight="1">
      <c r="B175" s="219">
        <v>45105.0</v>
      </c>
      <c r="C175" s="220" t="str">
        <f t="shared" si="15"/>
        <v/>
      </c>
      <c r="D175" s="220"/>
      <c r="E175" s="220">
        <f t="shared" si="13"/>
        <v>0</v>
      </c>
      <c r="F175" s="220">
        <f t="shared" si="14"/>
        <v>-10</v>
      </c>
    </row>
    <row r="176" ht="14.25" customHeight="1">
      <c r="B176" s="219">
        <v>45106.0</v>
      </c>
      <c r="C176" s="220" t="str">
        <f t="shared" si="15"/>
        <v/>
      </c>
      <c r="D176" s="220"/>
      <c r="E176" s="220">
        <f t="shared" si="13"/>
        <v>0</v>
      </c>
      <c r="F176" s="220">
        <f t="shared" si="14"/>
        <v>-10</v>
      </c>
    </row>
    <row r="177" ht="14.25" customHeight="1">
      <c r="B177" s="219">
        <v>45107.0</v>
      </c>
      <c r="C177" s="220" t="str">
        <f t="shared" si="15"/>
        <v/>
      </c>
      <c r="D177" s="220"/>
      <c r="E177" s="220">
        <f t="shared" si="13"/>
        <v>0</v>
      </c>
      <c r="F177" s="220">
        <f t="shared" si="14"/>
        <v>-10</v>
      </c>
    </row>
    <row r="178" ht="14.25" customHeight="1">
      <c r="B178" s="229"/>
      <c r="C178" s="220" t="str">
        <f t="shared" si="15"/>
        <v/>
      </c>
      <c r="D178" s="220"/>
      <c r="E178" s="220">
        <f t="shared" si="13"/>
        <v>0</v>
      </c>
      <c r="F178" s="220">
        <f t="shared" si="14"/>
        <v>-10</v>
      </c>
    </row>
    <row r="179" ht="14.25" customHeight="1">
      <c r="B179" s="216"/>
      <c r="C179" s="223" t="s">
        <v>221</v>
      </c>
      <c r="D179" s="223"/>
      <c r="E179" s="216">
        <f>SUM(E148:E178)</f>
        <v>0</v>
      </c>
      <c r="F179" s="216">
        <f t="shared" si="14"/>
        <v>-10</v>
      </c>
    </row>
    <row r="180" ht="14.25" customHeight="1"/>
    <row r="181" ht="14.25" customHeight="1">
      <c r="A181" s="249" t="s">
        <v>232</v>
      </c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1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 ht="14.25" customHeight="1"/>
    <row r="183" ht="14.25" customHeight="1">
      <c r="B183" s="216" t="s">
        <v>214</v>
      </c>
      <c r="C183" s="216" t="s">
        <v>215</v>
      </c>
      <c r="D183" s="216" t="s">
        <v>216</v>
      </c>
      <c r="E183" s="216" t="s">
        <v>217</v>
      </c>
      <c r="F183" s="216" t="s">
        <v>218</v>
      </c>
      <c r="H183" s="216" t="s">
        <v>238</v>
      </c>
      <c r="I183" s="216"/>
      <c r="K183" s="253" t="s">
        <v>232</v>
      </c>
      <c r="L183" s="231"/>
    </row>
    <row r="184" ht="14.25" customHeight="1">
      <c r="B184" s="219">
        <v>45078.0</v>
      </c>
      <c r="C184" s="220"/>
      <c r="D184" s="220"/>
      <c r="E184" s="220">
        <f t="shared" ref="E184:E214" si="16">D184-C184</f>
        <v>0</v>
      </c>
      <c r="F184" s="220">
        <f t="shared" ref="F184:F215" si="17">E184-10</f>
        <v>-10</v>
      </c>
      <c r="H184" s="216" t="s">
        <v>245</v>
      </c>
      <c r="I184" s="216"/>
      <c r="K184" s="216" t="s">
        <v>244</v>
      </c>
      <c r="L184" s="232">
        <v>2000.0</v>
      </c>
    </row>
    <row r="185" ht="14.25" customHeight="1">
      <c r="B185" s="219">
        <v>45079.0</v>
      </c>
      <c r="C185" s="220" t="str">
        <f t="shared" ref="C185:C214" si="18">D184</f>
        <v/>
      </c>
      <c r="D185" s="220"/>
      <c r="E185" s="220">
        <f t="shared" si="16"/>
        <v>0</v>
      </c>
      <c r="F185" s="220">
        <f t="shared" si="17"/>
        <v>-10</v>
      </c>
      <c r="H185" s="216" t="s">
        <v>247</v>
      </c>
      <c r="I185" s="216"/>
      <c r="K185" s="216" t="s">
        <v>266</v>
      </c>
      <c r="L185" s="232"/>
    </row>
    <row r="186" ht="14.25" customHeight="1">
      <c r="B186" s="254">
        <v>45080.0</v>
      </c>
      <c r="C186" s="255" t="str">
        <f t="shared" si="18"/>
        <v/>
      </c>
      <c r="D186" s="255"/>
      <c r="E186" s="255">
        <f t="shared" si="16"/>
        <v>0</v>
      </c>
      <c r="F186" s="255">
        <f t="shared" si="17"/>
        <v>-10</v>
      </c>
      <c r="H186" s="216" t="s">
        <v>249</v>
      </c>
      <c r="I186" s="232">
        <v>18.0</v>
      </c>
      <c r="K186" s="216" t="s">
        <v>246</v>
      </c>
      <c r="L186" s="232">
        <f>O186*O187</f>
        <v>0</v>
      </c>
    </row>
    <row r="187" ht="14.25" customHeight="1">
      <c r="B187" s="254">
        <v>45081.0</v>
      </c>
      <c r="C187" s="255" t="str">
        <f t="shared" si="18"/>
        <v/>
      </c>
      <c r="D187" s="255"/>
      <c r="E187" s="255">
        <f t="shared" si="16"/>
        <v>0</v>
      </c>
      <c r="F187" s="255">
        <f t="shared" si="17"/>
        <v>-10</v>
      </c>
      <c r="H187" s="216" t="s">
        <v>251</v>
      </c>
      <c r="I187" s="216"/>
      <c r="K187" s="216" t="s">
        <v>248</v>
      </c>
      <c r="L187" s="232">
        <f>O188*O189</f>
        <v>0</v>
      </c>
    </row>
    <row r="188" ht="14.25" customHeight="1">
      <c r="B188" s="219">
        <v>45082.0</v>
      </c>
      <c r="C188" s="220" t="str">
        <f t="shared" si="18"/>
        <v/>
      </c>
      <c r="D188" s="220"/>
      <c r="E188" s="220">
        <f t="shared" si="16"/>
        <v>0</v>
      </c>
      <c r="F188" s="220">
        <f t="shared" si="17"/>
        <v>-10</v>
      </c>
      <c r="H188" s="216" t="s">
        <v>249</v>
      </c>
      <c r="I188" s="232">
        <v>10.0</v>
      </c>
      <c r="K188" s="216" t="s">
        <v>250</v>
      </c>
      <c r="L188" s="232">
        <f>O190*100</f>
        <v>0</v>
      </c>
    </row>
    <row r="189" ht="14.25" customHeight="1">
      <c r="B189" s="219">
        <v>45083.0</v>
      </c>
      <c r="C189" s="220" t="str">
        <f t="shared" si="18"/>
        <v/>
      </c>
      <c r="D189" s="220"/>
      <c r="E189" s="220">
        <f t="shared" si="16"/>
        <v>0</v>
      </c>
      <c r="F189" s="220">
        <f t="shared" si="17"/>
        <v>-10</v>
      </c>
      <c r="H189" s="216" t="s">
        <v>250</v>
      </c>
      <c r="I189" s="216"/>
      <c r="K189" s="216" t="s">
        <v>252</v>
      </c>
      <c r="L189" s="232"/>
    </row>
    <row r="190" ht="14.25" customHeight="1">
      <c r="B190" s="219">
        <v>45084.0</v>
      </c>
      <c r="C190" s="220" t="str">
        <f t="shared" si="18"/>
        <v/>
      </c>
      <c r="D190" s="220"/>
      <c r="E190" s="220">
        <f t="shared" si="16"/>
        <v>0</v>
      </c>
      <c r="F190" s="220">
        <f t="shared" si="17"/>
        <v>-10</v>
      </c>
      <c r="K190" s="216" t="s">
        <v>268</v>
      </c>
      <c r="L190" s="232">
        <f>L184+L186+L187+L188-L185-L189</f>
        <v>2000</v>
      </c>
    </row>
    <row r="191" ht="14.25" customHeight="1">
      <c r="B191" s="219">
        <v>45085.0</v>
      </c>
      <c r="C191" s="220" t="str">
        <f t="shared" si="18"/>
        <v/>
      </c>
      <c r="D191" s="220"/>
      <c r="E191" s="220">
        <f t="shared" si="16"/>
        <v>0</v>
      </c>
      <c r="F191" s="220">
        <f t="shared" si="17"/>
        <v>-10</v>
      </c>
      <c r="K191" s="216" t="s">
        <v>269</v>
      </c>
      <c r="L191" s="229"/>
    </row>
    <row r="192" ht="14.25" customHeight="1">
      <c r="B192" s="219">
        <v>45086.0</v>
      </c>
      <c r="C192" s="220" t="str">
        <f t="shared" si="18"/>
        <v/>
      </c>
      <c r="D192" s="220"/>
      <c r="E192" s="220">
        <f t="shared" si="16"/>
        <v>0</v>
      </c>
      <c r="F192" s="220">
        <f t="shared" si="17"/>
        <v>-10</v>
      </c>
    </row>
    <row r="193" ht="14.25" customHeight="1">
      <c r="B193" s="254">
        <v>45087.0</v>
      </c>
      <c r="C193" s="255" t="str">
        <f t="shared" si="18"/>
        <v/>
      </c>
      <c r="D193" s="255"/>
      <c r="E193" s="255">
        <f t="shared" si="16"/>
        <v>0</v>
      </c>
      <c r="F193" s="255">
        <f t="shared" si="17"/>
        <v>-10</v>
      </c>
    </row>
    <row r="194" ht="14.25" customHeight="1">
      <c r="B194" s="254">
        <v>45088.0</v>
      </c>
      <c r="C194" s="255" t="str">
        <f t="shared" si="18"/>
        <v/>
      </c>
      <c r="D194" s="255"/>
      <c r="E194" s="255">
        <f t="shared" si="16"/>
        <v>0</v>
      </c>
      <c r="F194" s="255">
        <f t="shared" si="17"/>
        <v>-10</v>
      </c>
    </row>
    <row r="195" ht="14.25" customHeight="1">
      <c r="B195" s="219">
        <v>45089.0</v>
      </c>
      <c r="C195" s="220" t="str">
        <f t="shared" si="18"/>
        <v/>
      </c>
      <c r="D195" s="220"/>
      <c r="E195" s="220">
        <f t="shared" si="16"/>
        <v>0</v>
      </c>
      <c r="F195" s="220">
        <f t="shared" si="17"/>
        <v>-10</v>
      </c>
    </row>
    <row r="196" ht="14.25" customHeight="1">
      <c r="B196" s="219">
        <v>45090.0</v>
      </c>
      <c r="C196" s="220" t="str">
        <f t="shared" si="18"/>
        <v/>
      </c>
      <c r="D196" s="220"/>
      <c r="E196" s="220">
        <f t="shared" si="16"/>
        <v>0</v>
      </c>
      <c r="F196" s="220">
        <f t="shared" si="17"/>
        <v>-10</v>
      </c>
    </row>
    <row r="197" ht="14.25" customHeight="1">
      <c r="B197" s="219">
        <v>45091.0</v>
      </c>
      <c r="C197" s="220" t="str">
        <f t="shared" si="18"/>
        <v/>
      </c>
      <c r="D197" s="220"/>
      <c r="E197" s="220">
        <f t="shared" si="16"/>
        <v>0</v>
      </c>
      <c r="F197" s="220">
        <f t="shared" si="17"/>
        <v>-10</v>
      </c>
    </row>
    <row r="198" ht="14.25" customHeight="1">
      <c r="B198" s="219">
        <v>45092.0</v>
      </c>
      <c r="C198" s="220" t="str">
        <f t="shared" si="18"/>
        <v/>
      </c>
      <c r="D198" s="220"/>
      <c r="E198" s="220">
        <f t="shared" si="16"/>
        <v>0</v>
      </c>
      <c r="F198" s="220">
        <f t="shared" si="17"/>
        <v>-10</v>
      </c>
    </row>
    <row r="199" ht="14.25" customHeight="1">
      <c r="B199" s="219">
        <v>45093.0</v>
      </c>
      <c r="C199" s="220" t="str">
        <f t="shared" si="18"/>
        <v/>
      </c>
      <c r="D199" s="220"/>
      <c r="E199" s="220">
        <f t="shared" si="16"/>
        <v>0</v>
      </c>
      <c r="F199" s="220">
        <f t="shared" si="17"/>
        <v>-10</v>
      </c>
    </row>
    <row r="200" ht="14.25" customHeight="1">
      <c r="B200" s="254">
        <v>45094.0</v>
      </c>
      <c r="C200" s="255" t="str">
        <f t="shared" si="18"/>
        <v/>
      </c>
      <c r="D200" s="255"/>
      <c r="E200" s="255">
        <f t="shared" si="16"/>
        <v>0</v>
      </c>
      <c r="F200" s="255">
        <f t="shared" si="17"/>
        <v>-10</v>
      </c>
    </row>
    <row r="201" ht="14.25" customHeight="1">
      <c r="B201" s="254">
        <v>45095.0</v>
      </c>
      <c r="C201" s="255" t="str">
        <f t="shared" si="18"/>
        <v/>
      </c>
      <c r="D201" s="255"/>
      <c r="E201" s="255">
        <f t="shared" si="16"/>
        <v>0</v>
      </c>
      <c r="F201" s="255">
        <f t="shared" si="17"/>
        <v>-10</v>
      </c>
    </row>
    <row r="202" ht="14.25" customHeight="1">
      <c r="B202" s="219">
        <v>45096.0</v>
      </c>
      <c r="C202" s="220" t="str">
        <f t="shared" si="18"/>
        <v/>
      </c>
      <c r="D202" s="220"/>
      <c r="E202" s="220">
        <f t="shared" si="16"/>
        <v>0</v>
      </c>
      <c r="F202" s="220">
        <f t="shared" si="17"/>
        <v>-10</v>
      </c>
    </row>
    <row r="203" ht="14.25" customHeight="1">
      <c r="B203" s="219">
        <v>45097.0</v>
      </c>
      <c r="C203" s="220" t="str">
        <f t="shared" si="18"/>
        <v/>
      </c>
      <c r="D203" s="220"/>
      <c r="E203" s="220">
        <f t="shared" si="16"/>
        <v>0</v>
      </c>
      <c r="F203" s="220">
        <f t="shared" si="17"/>
        <v>-10</v>
      </c>
    </row>
    <row r="204" ht="14.25" customHeight="1">
      <c r="B204" s="219">
        <v>45098.0</v>
      </c>
      <c r="C204" s="220" t="str">
        <f t="shared" si="18"/>
        <v/>
      </c>
      <c r="D204" s="220"/>
      <c r="E204" s="220">
        <f t="shared" si="16"/>
        <v>0</v>
      </c>
      <c r="F204" s="220">
        <f t="shared" si="17"/>
        <v>-10</v>
      </c>
    </row>
    <row r="205" ht="14.25" customHeight="1">
      <c r="B205" s="219">
        <v>45099.0</v>
      </c>
      <c r="C205" s="220" t="str">
        <f t="shared" si="18"/>
        <v/>
      </c>
      <c r="D205" s="220"/>
      <c r="E205" s="220">
        <f t="shared" si="16"/>
        <v>0</v>
      </c>
      <c r="F205" s="220">
        <f t="shared" si="17"/>
        <v>-10</v>
      </c>
    </row>
    <row r="206" ht="14.25" customHeight="1">
      <c r="B206" s="219">
        <v>45100.0</v>
      </c>
      <c r="C206" s="220" t="str">
        <f t="shared" si="18"/>
        <v/>
      </c>
      <c r="D206" s="220"/>
      <c r="E206" s="220">
        <f t="shared" si="16"/>
        <v>0</v>
      </c>
      <c r="F206" s="220">
        <f t="shared" si="17"/>
        <v>-10</v>
      </c>
    </row>
    <row r="207" ht="14.25" customHeight="1">
      <c r="B207" s="254">
        <v>45101.0</v>
      </c>
      <c r="C207" s="255" t="str">
        <f t="shared" si="18"/>
        <v/>
      </c>
      <c r="D207" s="255"/>
      <c r="E207" s="255">
        <f t="shared" si="16"/>
        <v>0</v>
      </c>
      <c r="F207" s="255">
        <f t="shared" si="17"/>
        <v>-10</v>
      </c>
    </row>
    <row r="208" ht="14.25" customHeight="1">
      <c r="B208" s="254">
        <v>45102.0</v>
      </c>
      <c r="C208" s="255" t="str">
        <f t="shared" si="18"/>
        <v/>
      </c>
      <c r="D208" s="255"/>
      <c r="E208" s="255">
        <f t="shared" si="16"/>
        <v>0</v>
      </c>
      <c r="F208" s="255">
        <f t="shared" si="17"/>
        <v>-10</v>
      </c>
    </row>
    <row r="209" ht="14.25" customHeight="1">
      <c r="B209" s="219">
        <v>45103.0</v>
      </c>
      <c r="C209" s="220" t="str">
        <f t="shared" si="18"/>
        <v/>
      </c>
      <c r="D209" s="220"/>
      <c r="E209" s="220">
        <f t="shared" si="16"/>
        <v>0</v>
      </c>
      <c r="F209" s="220">
        <f t="shared" si="17"/>
        <v>-10</v>
      </c>
    </row>
    <row r="210" ht="14.25" customHeight="1">
      <c r="B210" s="219">
        <v>45104.0</v>
      </c>
      <c r="C210" s="220" t="str">
        <f t="shared" si="18"/>
        <v/>
      </c>
      <c r="D210" s="220"/>
      <c r="E210" s="220">
        <f t="shared" si="16"/>
        <v>0</v>
      </c>
      <c r="F210" s="220">
        <f t="shared" si="17"/>
        <v>-10</v>
      </c>
    </row>
    <row r="211" ht="14.25" customHeight="1">
      <c r="B211" s="219">
        <v>45105.0</v>
      </c>
      <c r="C211" s="220" t="str">
        <f t="shared" si="18"/>
        <v/>
      </c>
      <c r="D211" s="220"/>
      <c r="E211" s="220">
        <f t="shared" si="16"/>
        <v>0</v>
      </c>
      <c r="F211" s="220">
        <f t="shared" si="17"/>
        <v>-10</v>
      </c>
    </row>
    <row r="212" ht="14.25" customHeight="1">
      <c r="B212" s="219">
        <v>45106.0</v>
      </c>
      <c r="C212" s="220" t="str">
        <f t="shared" si="18"/>
        <v/>
      </c>
      <c r="D212" s="220"/>
      <c r="E212" s="220">
        <f t="shared" si="16"/>
        <v>0</v>
      </c>
      <c r="F212" s="220">
        <f t="shared" si="17"/>
        <v>-10</v>
      </c>
    </row>
    <row r="213" ht="14.25" customHeight="1">
      <c r="B213" s="219">
        <v>45107.0</v>
      </c>
      <c r="C213" s="220" t="str">
        <f t="shared" si="18"/>
        <v/>
      </c>
      <c r="D213" s="220"/>
      <c r="E213" s="220">
        <f t="shared" si="16"/>
        <v>0</v>
      </c>
      <c r="F213" s="220">
        <f t="shared" si="17"/>
        <v>-10</v>
      </c>
    </row>
    <row r="214" ht="14.25" customHeight="1">
      <c r="B214" s="229"/>
      <c r="C214" s="220" t="str">
        <f t="shared" si="18"/>
        <v/>
      </c>
      <c r="D214" s="220"/>
      <c r="E214" s="220">
        <f t="shared" si="16"/>
        <v>0</v>
      </c>
      <c r="F214" s="220">
        <f t="shared" si="17"/>
        <v>-10</v>
      </c>
    </row>
    <row r="215" ht="14.25" customHeight="1">
      <c r="B215" s="216"/>
      <c r="C215" s="223" t="s">
        <v>221</v>
      </c>
      <c r="D215" s="223"/>
      <c r="E215" s="216">
        <f>SUM(E184:E214)</f>
        <v>0</v>
      </c>
      <c r="F215" s="216">
        <f t="shared" si="17"/>
        <v>-10</v>
      </c>
    </row>
    <row r="216" ht="14.25" customHeight="1"/>
    <row r="217" ht="14.25" customHeight="1">
      <c r="A217" s="249" t="s">
        <v>274</v>
      </c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1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 ht="14.25" customHeight="1"/>
    <row r="219" ht="14.25" customHeight="1">
      <c r="B219" s="216" t="s">
        <v>214</v>
      </c>
      <c r="C219" s="216" t="s">
        <v>215</v>
      </c>
      <c r="D219" s="216" t="s">
        <v>216</v>
      </c>
      <c r="E219" s="216" t="s">
        <v>217</v>
      </c>
      <c r="F219" s="216" t="s">
        <v>218</v>
      </c>
      <c r="H219" s="216" t="s">
        <v>238</v>
      </c>
      <c r="I219" s="216"/>
      <c r="K219" s="253" t="s">
        <v>274</v>
      </c>
      <c r="L219" s="231"/>
    </row>
    <row r="220" ht="14.25" customHeight="1">
      <c r="B220" s="219">
        <v>45078.0</v>
      </c>
      <c r="C220" s="220"/>
      <c r="D220" s="220"/>
      <c r="E220" s="220">
        <f t="shared" ref="E220:E250" si="19">D220-C220</f>
        <v>0</v>
      </c>
      <c r="F220" s="220">
        <f t="shared" ref="F220:F251" si="20">E220-10</f>
        <v>-10</v>
      </c>
      <c r="H220" s="216" t="s">
        <v>245</v>
      </c>
      <c r="I220" s="216"/>
      <c r="K220" s="216" t="s">
        <v>244</v>
      </c>
      <c r="L220" s="232">
        <v>2000.0</v>
      </c>
    </row>
    <row r="221" ht="14.25" customHeight="1">
      <c r="B221" s="219">
        <v>45079.0</v>
      </c>
      <c r="C221" s="220" t="str">
        <f t="shared" ref="C221:C250" si="21">D220</f>
        <v/>
      </c>
      <c r="D221" s="220"/>
      <c r="E221" s="220">
        <f t="shared" si="19"/>
        <v>0</v>
      </c>
      <c r="F221" s="220">
        <f t="shared" si="20"/>
        <v>-10</v>
      </c>
      <c r="H221" s="216" t="s">
        <v>247</v>
      </c>
      <c r="I221" s="216"/>
      <c r="K221" s="216" t="s">
        <v>266</v>
      </c>
      <c r="L221" s="232"/>
    </row>
    <row r="222" ht="14.25" customHeight="1">
      <c r="B222" s="254">
        <v>45080.0</v>
      </c>
      <c r="C222" s="255" t="str">
        <f t="shared" si="21"/>
        <v/>
      </c>
      <c r="D222" s="255"/>
      <c r="E222" s="255">
        <f t="shared" si="19"/>
        <v>0</v>
      </c>
      <c r="F222" s="255">
        <f t="shared" si="20"/>
        <v>-10</v>
      </c>
      <c r="H222" s="216" t="s">
        <v>249</v>
      </c>
      <c r="I222" s="232">
        <v>18.0</v>
      </c>
      <c r="K222" s="216" t="s">
        <v>246</v>
      </c>
      <c r="L222" s="232">
        <f>O222*O223</f>
        <v>0</v>
      </c>
    </row>
    <row r="223" ht="14.25" customHeight="1">
      <c r="B223" s="254">
        <v>45081.0</v>
      </c>
      <c r="C223" s="255" t="str">
        <f t="shared" si="21"/>
        <v/>
      </c>
      <c r="D223" s="255"/>
      <c r="E223" s="255">
        <f t="shared" si="19"/>
        <v>0</v>
      </c>
      <c r="F223" s="255">
        <f t="shared" si="20"/>
        <v>-10</v>
      </c>
      <c r="H223" s="216" t="s">
        <v>251</v>
      </c>
      <c r="I223" s="216"/>
      <c r="K223" s="216" t="s">
        <v>248</v>
      </c>
      <c r="L223" s="232">
        <f>O224*O225</f>
        <v>0</v>
      </c>
    </row>
    <row r="224" ht="14.25" customHeight="1">
      <c r="B224" s="219">
        <v>45082.0</v>
      </c>
      <c r="C224" s="220" t="str">
        <f t="shared" si="21"/>
        <v/>
      </c>
      <c r="D224" s="220"/>
      <c r="E224" s="220">
        <f t="shared" si="19"/>
        <v>0</v>
      </c>
      <c r="F224" s="220">
        <f t="shared" si="20"/>
        <v>-10</v>
      </c>
      <c r="H224" s="216" t="s">
        <v>249</v>
      </c>
      <c r="I224" s="232">
        <v>10.0</v>
      </c>
      <c r="K224" s="216" t="s">
        <v>250</v>
      </c>
      <c r="L224" s="232">
        <f>O226*100</f>
        <v>0</v>
      </c>
    </row>
    <row r="225" ht="14.25" customHeight="1">
      <c r="B225" s="219">
        <v>45083.0</v>
      </c>
      <c r="C225" s="220" t="str">
        <f t="shared" si="21"/>
        <v/>
      </c>
      <c r="D225" s="220"/>
      <c r="E225" s="220">
        <f t="shared" si="19"/>
        <v>0</v>
      </c>
      <c r="F225" s="220">
        <f t="shared" si="20"/>
        <v>-10</v>
      </c>
      <c r="H225" s="216" t="s">
        <v>250</v>
      </c>
      <c r="I225" s="216"/>
      <c r="K225" s="216" t="s">
        <v>252</v>
      </c>
      <c r="L225" s="232"/>
    </row>
    <row r="226" ht="14.25" customHeight="1">
      <c r="B226" s="219">
        <v>45084.0</v>
      </c>
      <c r="C226" s="220" t="str">
        <f t="shared" si="21"/>
        <v/>
      </c>
      <c r="D226" s="220"/>
      <c r="E226" s="220">
        <f t="shared" si="19"/>
        <v>0</v>
      </c>
      <c r="F226" s="220">
        <f t="shared" si="20"/>
        <v>-10</v>
      </c>
      <c r="K226" s="216" t="s">
        <v>268</v>
      </c>
      <c r="L226" s="232">
        <f>L220+L222+L223+L224-L221-L225</f>
        <v>2000</v>
      </c>
    </row>
    <row r="227" ht="14.25" customHeight="1">
      <c r="B227" s="219">
        <v>45085.0</v>
      </c>
      <c r="C227" s="220" t="str">
        <f t="shared" si="21"/>
        <v/>
      </c>
      <c r="D227" s="220"/>
      <c r="E227" s="220">
        <f t="shared" si="19"/>
        <v>0</v>
      </c>
      <c r="F227" s="220">
        <f t="shared" si="20"/>
        <v>-10</v>
      </c>
      <c r="K227" s="216" t="s">
        <v>269</v>
      </c>
      <c r="L227" s="229"/>
    </row>
    <row r="228" ht="14.25" customHeight="1">
      <c r="B228" s="219">
        <v>45086.0</v>
      </c>
      <c r="C228" s="220" t="str">
        <f t="shared" si="21"/>
        <v/>
      </c>
      <c r="D228" s="220"/>
      <c r="E228" s="220">
        <f t="shared" si="19"/>
        <v>0</v>
      </c>
      <c r="F228" s="220">
        <f t="shared" si="20"/>
        <v>-10</v>
      </c>
    </row>
    <row r="229" ht="14.25" customHeight="1">
      <c r="B229" s="254">
        <v>45087.0</v>
      </c>
      <c r="C229" s="255" t="str">
        <f t="shared" si="21"/>
        <v/>
      </c>
      <c r="D229" s="255"/>
      <c r="E229" s="255">
        <f t="shared" si="19"/>
        <v>0</v>
      </c>
      <c r="F229" s="255">
        <f t="shared" si="20"/>
        <v>-10</v>
      </c>
    </row>
    <row r="230" ht="14.25" customHeight="1">
      <c r="B230" s="254">
        <v>45088.0</v>
      </c>
      <c r="C230" s="255" t="str">
        <f t="shared" si="21"/>
        <v/>
      </c>
      <c r="D230" s="255"/>
      <c r="E230" s="255">
        <f t="shared" si="19"/>
        <v>0</v>
      </c>
      <c r="F230" s="255">
        <f t="shared" si="20"/>
        <v>-10</v>
      </c>
    </row>
    <row r="231" ht="14.25" customHeight="1">
      <c r="B231" s="219">
        <v>45089.0</v>
      </c>
      <c r="C231" s="220" t="str">
        <f t="shared" si="21"/>
        <v/>
      </c>
      <c r="D231" s="220"/>
      <c r="E231" s="220">
        <f t="shared" si="19"/>
        <v>0</v>
      </c>
      <c r="F231" s="220">
        <f t="shared" si="20"/>
        <v>-10</v>
      </c>
    </row>
    <row r="232" ht="14.25" customHeight="1">
      <c r="B232" s="219">
        <v>45090.0</v>
      </c>
      <c r="C232" s="220" t="str">
        <f t="shared" si="21"/>
        <v/>
      </c>
      <c r="D232" s="220"/>
      <c r="E232" s="220">
        <f t="shared" si="19"/>
        <v>0</v>
      </c>
      <c r="F232" s="220">
        <f t="shared" si="20"/>
        <v>-10</v>
      </c>
    </row>
    <row r="233" ht="14.25" customHeight="1">
      <c r="B233" s="219">
        <v>45091.0</v>
      </c>
      <c r="C233" s="220" t="str">
        <f t="shared" si="21"/>
        <v/>
      </c>
      <c r="D233" s="220"/>
      <c r="E233" s="220">
        <f t="shared" si="19"/>
        <v>0</v>
      </c>
      <c r="F233" s="220">
        <f t="shared" si="20"/>
        <v>-10</v>
      </c>
    </row>
    <row r="234" ht="14.25" customHeight="1">
      <c r="B234" s="219">
        <v>45092.0</v>
      </c>
      <c r="C234" s="220" t="str">
        <f t="shared" si="21"/>
        <v/>
      </c>
      <c r="D234" s="220"/>
      <c r="E234" s="220">
        <f t="shared" si="19"/>
        <v>0</v>
      </c>
      <c r="F234" s="220">
        <f t="shared" si="20"/>
        <v>-10</v>
      </c>
    </row>
    <row r="235" ht="14.25" customHeight="1">
      <c r="B235" s="219">
        <v>45093.0</v>
      </c>
      <c r="C235" s="220" t="str">
        <f t="shared" si="21"/>
        <v/>
      </c>
      <c r="D235" s="220"/>
      <c r="E235" s="220">
        <f t="shared" si="19"/>
        <v>0</v>
      </c>
      <c r="F235" s="220">
        <f t="shared" si="20"/>
        <v>-10</v>
      </c>
    </row>
    <row r="236" ht="14.25" customHeight="1">
      <c r="B236" s="254">
        <v>45094.0</v>
      </c>
      <c r="C236" s="255" t="str">
        <f t="shared" si="21"/>
        <v/>
      </c>
      <c r="D236" s="255"/>
      <c r="E236" s="255">
        <f t="shared" si="19"/>
        <v>0</v>
      </c>
      <c r="F236" s="255">
        <f t="shared" si="20"/>
        <v>-10</v>
      </c>
    </row>
    <row r="237" ht="14.25" customHeight="1">
      <c r="B237" s="254">
        <v>45095.0</v>
      </c>
      <c r="C237" s="255" t="str">
        <f t="shared" si="21"/>
        <v/>
      </c>
      <c r="D237" s="255"/>
      <c r="E237" s="255">
        <f t="shared" si="19"/>
        <v>0</v>
      </c>
      <c r="F237" s="255">
        <f t="shared" si="20"/>
        <v>-10</v>
      </c>
    </row>
    <row r="238" ht="14.25" customHeight="1">
      <c r="B238" s="219">
        <v>45096.0</v>
      </c>
      <c r="C238" s="220" t="str">
        <f t="shared" si="21"/>
        <v/>
      </c>
      <c r="D238" s="220"/>
      <c r="E238" s="220">
        <f t="shared" si="19"/>
        <v>0</v>
      </c>
      <c r="F238" s="220">
        <f t="shared" si="20"/>
        <v>-10</v>
      </c>
    </row>
    <row r="239" ht="14.25" customHeight="1">
      <c r="B239" s="219">
        <v>45097.0</v>
      </c>
      <c r="C239" s="220" t="str">
        <f t="shared" si="21"/>
        <v/>
      </c>
      <c r="D239" s="220"/>
      <c r="E239" s="220">
        <f t="shared" si="19"/>
        <v>0</v>
      </c>
      <c r="F239" s="220">
        <f t="shared" si="20"/>
        <v>-10</v>
      </c>
    </row>
    <row r="240" ht="14.25" customHeight="1">
      <c r="B240" s="219">
        <v>45098.0</v>
      </c>
      <c r="C240" s="220" t="str">
        <f t="shared" si="21"/>
        <v/>
      </c>
      <c r="D240" s="220"/>
      <c r="E240" s="220">
        <f t="shared" si="19"/>
        <v>0</v>
      </c>
      <c r="F240" s="220">
        <f t="shared" si="20"/>
        <v>-10</v>
      </c>
    </row>
    <row r="241" ht="14.25" customHeight="1">
      <c r="B241" s="219">
        <v>45099.0</v>
      </c>
      <c r="C241" s="220" t="str">
        <f t="shared" si="21"/>
        <v/>
      </c>
      <c r="D241" s="220"/>
      <c r="E241" s="220">
        <f t="shared" si="19"/>
        <v>0</v>
      </c>
      <c r="F241" s="220">
        <f t="shared" si="20"/>
        <v>-10</v>
      </c>
    </row>
    <row r="242" ht="14.25" customHeight="1">
      <c r="B242" s="219">
        <v>45100.0</v>
      </c>
      <c r="C242" s="220" t="str">
        <f t="shared" si="21"/>
        <v/>
      </c>
      <c r="D242" s="220"/>
      <c r="E242" s="220">
        <f t="shared" si="19"/>
        <v>0</v>
      </c>
      <c r="F242" s="220">
        <f t="shared" si="20"/>
        <v>-10</v>
      </c>
    </row>
    <row r="243" ht="14.25" customHeight="1">
      <c r="B243" s="254">
        <v>45101.0</v>
      </c>
      <c r="C243" s="255" t="str">
        <f t="shared" si="21"/>
        <v/>
      </c>
      <c r="D243" s="255"/>
      <c r="E243" s="255">
        <f t="shared" si="19"/>
        <v>0</v>
      </c>
      <c r="F243" s="255">
        <f t="shared" si="20"/>
        <v>-10</v>
      </c>
    </row>
    <row r="244" ht="14.25" customHeight="1">
      <c r="B244" s="254">
        <v>45102.0</v>
      </c>
      <c r="C244" s="255" t="str">
        <f t="shared" si="21"/>
        <v/>
      </c>
      <c r="D244" s="255"/>
      <c r="E244" s="255">
        <f t="shared" si="19"/>
        <v>0</v>
      </c>
      <c r="F244" s="255">
        <f t="shared" si="20"/>
        <v>-10</v>
      </c>
    </row>
    <row r="245" ht="14.25" customHeight="1">
      <c r="B245" s="219">
        <v>45103.0</v>
      </c>
      <c r="C245" s="220" t="str">
        <f t="shared" si="21"/>
        <v/>
      </c>
      <c r="D245" s="220"/>
      <c r="E245" s="220">
        <f t="shared" si="19"/>
        <v>0</v>
      </c>
      <c r="F245" s="220">
        <f t="shared" si="20"/>
        <v>-10</v>
      </c>
    </row>
    <row r="246" ht="14.25" customHeight="1">
      <c r="B246" s="219">
        <v>45104.0</v>
      </c>
      <c r="C246" s="220" t="str">
        <f t="shared" si="21"/>
        <v/>
      </c>
      <c r="D246" s="220"/>
      <c r="E246" s="220">
        <f t="shared" si="19"/>
        <v>0</v>
      </c>
      <c r="F246" s="220">
        <f t="shared" si="20"/>
        <v>-10</v>
      </c>
    </row>
    <row r="247" ht="14.25" customHeight="1">
      <c r="B247" s="219">
        <v>45105.0</v>
      </c>
      <c r="C247" s="220" t="str">
        <f t="shared" si="21"/>
        <v/>
      </c>
      <c r="D247" s="220"/>
      <c r="E247" s="220">
        <f t="shared" si="19"/>
        <v>0</v>
      </c>
      <c r="F247" s="220">
        <f t="shared" si="20"/>
        <v>-10</v>
      </c>
    </row>
    <row r="248" ht="14.25" customHeight="1">
      <c r="B248" s="219">
        <v>45106.0</v>
      </c>
      <c r="C248" s="220" t="str">
        <f t="shared" si="21"/>
        <v/>
      </c>
      <c r="D248" s="220"/>
      <c r="E248" s="220">
        <f t="shared" si="19"/>
        <v>0</v>
      </c>
      <c r="F248" s="220">
        <f t="shared" si="20"/>
        <v>-10</v>
      </c>
    </row>
    <row r="249" ht="14.25" customHeight="1">
      <c r="B249" s="219">
        <v>45107.0</v>
      </c>
      <c r="C249" s="220" t="str">
        <f t="shared" si="21"/>
        <v/>
      </c>
      <c r="D249" s="220"/>
      <c r="E249" s="220">
        <f t="shared" si="19"/>
        <v>0</v>
      </c>
      <c r="F249" s="220">
        <f t="shared" si="20"/>
        <v>-10</v>
      </c>
    </row>
    <row r="250" ht="14.25" customHeight="1">
      <c r="B250" s="229"/>
      <c r="C250" s="220" t="str">
        <f t="shared" si="21"/>
        <v/>
      </c>
      <c r="D250" s="220"/>
      <c r="E250" s="220">
        <f t="shared" si="19"/>
        <v>0</v>
      </c>
      <c r="F250" s="220">
        <f t="shared" si="20"/>
        <v>-10</v>
      </c>
    </row>
    <row r="251" ht="14.25" customHeight="1">
      <c r="B251" s="216"/>
      <c r="C251" s="223" t="s">
        <v>221</v>
      </c>
      <c r="D251" s="223"/>
      <c r="E251" s="216">
        <f>SUM(E220:E250)</f>
        <v>0</v>
      </c>
      <c r="F251" s="216">
        <f t="shared" si="20"/>
        <v>-10</v>
      </c>
    </row>
    <row r="252" ht="14.25" customHeight="1"/>
    <row r="253" ht="14.25" customHeight="1">
      <c r="A253" s="249" t="s">
        <v>234</v>
      </c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1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 ht="14.25" customHeight="1"/>
    <row r="255" ht="14.25" customHeight="1">
      <c r="B255" s="216" t="s">
        <v>214</v>
      </c>
      <c r="C255" s="216" t="s">
        <v>215</v>
      </c>
      <c r="D255" s="216" t="s">
        <v>216</v>
      </c>
      <c r="E255" s="216" t="s">
        <v>217</v>
      </c>
      <c r="F255" s="216" t="s">
        <v>218</v>
      </c>
      <c r="H255" s="216" t="s">
        <v>238</v>
      </c>
      <c r="I255" s="216"/>
      <c r="K255" s="253" t="s">
        <v>234</v>
      </c>
      <c r="L255" s="231"/>
    </row>
    <row r="256" ht="14.25" customHeight="1">
      <c r="B256" s="219">
        <v>45078.0</v>
      </c>
      <c r="C256" s="220"/>
      <c r="D256" s="220"/>
      <c r="E256" s="220">
        <f t="shared" ref="E256:E286" si="22">D256-C256</f>
        <v>0</v>
      </c>
      <c r="F256" s="220">
        <f t="shared" ref="F256:F287" si="23">E256-10</f>
        <v>-10</v>
      </c>
      <c r="H256" s="216" t="s">
        <v>245</v>
      </c>
      <c r="I256" s="216"/>
      <c r="K256" s="216" t="s">
        <v>244</v>
      </c>
      <c r="L256" s="232">
        <v>2000.0</v>
      </c>
    </row>
    <row r="257" ht="14.25" customHeight="1">
      <c r="B257" s="219">
        <v>45079.0</v>
      </c>
      <c r="C257" s="220" t="str">
        <f t="shared" ref="C257:C286" si="24">D256</f>
        <v/>
      </c>
      <c r="D257" s="220"/>
      <c r="E257" s="220">
        <f t="shared" si="22"/>
        <v>0</v>
      </c>
      <c r="F257" s="220">
        <f t="shared" si="23"/>
        <v>-10</v>
      </c>
      <c r="H257" s="216" t="s">
        <v>247</v>
      </c>
      <c r="I257" s="216"/>
      <c r="K257" s="216" t="s">
        <v>266</v>
      </c>
      <c r="L257" s="232"/>
    </row>
    <row r="258" ht="14.25" customHeight="1">
      <c r="B258" s="254">
        <v>45080.0</v>
      </c>
      <c r="C258" s="255" t="str">
        <f t="shared" si="24"/>
        <v/>
      </c>
      <c r="D258" s="255"/>
      <c r="E258" s="255">
        <f t="shared" si="22"/>
        <v>0</v>
      </c>
      <c r="F258" s="255">
        <f t="shared" si="23"/>
        <v>-10</v>
      </c>
      <c r="H258" s="216" t="s">
        <v>249</v>
      </c>
      <c r="I258" s="232">
        <v>18.0</v>
      </c>
      <c r="K258" s="216" t="s">
        <v>246</v>
      </c>
      <c r="L258" s="232">
        <f>O258*O259</f>
        <v>0</v>
      </c>
    </row>
    <row r="259" ht="14.25" customHeight="1">
      <c r="B259" s="254">
        <v>45081.0</v>
      </c>
      <c r="C259" s="255" t="str">
        <f t="shared" si="24"/>
        <v/>
      </c>
      <c r="D259" s="255"/>
      <c r="E259" s="255">
        <f t="shared" si="22"/>
        <v>0</v>
      </c>
      <c r="F259" s="255">
        <f t="shared" si="23"/>
        <v>-10</v>
      </c>
      <c r="H259" s="216" t="s">
        <v>251</v>
      </c>
      <c r="I259" s="216"/>
      <c r="K259" s="216" t="s">
        <v>248</v>
      </c>
      <c r="L259" s="232">
        <f>O260*O261</f>
        <v>0</v>
      </c>
    </row>
    <row r="260" ht="14.25" customHeight="1">
      <c r="B260" s="219">
        <v>45082.0</v>
      </c>
      <c r="C260" s="220" t="str">
        <f t="shared" si="24"/>
        <v/>
      </c>
      <c r="D260" s="220"/>
      <c r="E260" s="220">
        <f t="shared" si="22"/>
        <v>0</v>
      </c>
      <c r="F260" s="220">
        <f t="shared" si="23"/>
        <v>-10</v>
      </c>
      <c r="H260" s="216" t="s">
        <v>249</v>
      </c>
      <c r="I260" s="232">
        <v>10.0</v>
      </c>
      <c r="K260" s="216" t="s">
        <v>250</v>
      </c>
      <c r="L260" s="232">
        <f>O262*100</f>
        <v>0</v>
      </c>
    </row>
    <row r="261" ht="14.25" customHeight="1">
      <c r="B261" s="219">
        <v>45083.0</v>
      </c>
      <c r="C261" s="220" t="str">
        <f t="shared" si="24"/>
        <v/>
      </c>
      <c r="D261" s="220"/>
      <c r="E261" s="220">
        <f t="shared" si="22"/>
        <v>0</v>
      </c>
      <c r="F261" s="220">
        <f t="shared" si="23"/>
        <v>-10</v>
      </c>
      <c r="H261" s="216" t="s">
        <v>250</v>
      </c>
      <c r="I261" s="216"/>
      <c r="K261" s="216" t="s">
        <v>252</v>
      </c>
      <c r="L261" s="232"/>
    </row>
    <row r="262" ht="14.25" customHeight="1">
      <c r="B262" s="219">
        <v>45084.0</v>
      </c>
      <c r="C262" s="220" t="str">
        <f t="shared" si="24"/>
        <v/>
      </c>
      <c r="D262" s="220"/>
      <c r="E262" s="220">
        <f t="shared" si="22"/>
        <v>0</v>
      </c>
      <c r="F262" s="220">
        <f t="shared" si="23"/>
        <v>-10</v>
      </c>
      <c r="K262" s="216" t="s">
        <v>268</v>
      </c>
      <c r="L262" s="232">
        <f>L256+L258+L259+L260-L257-L261</f>
        <v>2000</v>
      </c>
    </row>
    <row r="263" ht="14.25" customHeight="1">
      <c r="B263" s="219">
        <v>45085.0</v>
      </c>
      <c r="C263" s="220" t="str">
        <f t="shared" si="24"/>
        <v/>
      </c>
      <c r="D263" s="220"/>
      <c r="E263" s="220">
        <f t="shared" si="22"/>
        <v>0</v>
      </c>
      <c r="F263" s="220">
        <f t="shared" si="23"/>
        <v>-10</v>
      </c>
      <c r="K263" s="216" t="s">
        <v>269</v>
      </c>
      <c r="L263" s="229"/>
    </row>
    <row r="264" ht="14.25" customHeight="1">
      <c r="B264" s="219">
        <v>45086.0</v>
      </c>
      <c r="C264" s="220" t="str">
        <f t="shared" si="24"/>
        <v/>
      </c>
      <c r="D264" s="220"/>
      <c r="E264" s="220">
        <f t="shared" si="22"/>
        <v>0</v>
      </c>
      <c r="F264" s="220">
        <f t="shared" si="23"/>
        <v>-10</v>
      </c>
    </row>
    <row r="265" ht="14.25" customHeight="1">
      <c r="B265" s="254">
        <v>45087.0</v>
      </c>
      <c r="C265" s="255" t="str">
        <f t="shared" si="24"/>
        <v/>
      </c>
      <c r="D265" s="255"/>
      <c r="E265" s="255">
        <f t="shared" si="22"/>
        <v>0</v>
      </c>
      <c r="F265" s="255">
        <f t="shared" si="23"/>
        <v>-10</v>
      </c>
    </row>
    <row r="266" ht="14.25" customHeight="1">
      <c r="B266" s="254">
        <v>45088.0</v>
      </c>
      <c r="C266" s="255" t="str">
        <f t="shared" si="24"/>
        <v/>
      </c>
      <c r="D266" s="255"/>
      <c r="E266" s="255">
        <f t="shared" si="22"/>
        <v>0</v>
      </c>
      <c r="F266" s="255">
        <f t="shared" si="23"/>
        <v>-10</v>
      </c>
    </row>
    <row r="267" ht="14.25" customHeight="1">
      <c r="B267" s="219">
        <v>45089.0</v>
      </c>
      <c r="C267" s="220" t="str">
        <f t="shared" si="24"/>
        <v/>
      </c>
      <c r="D267" s="220"/>
      <c r="E267" s="220">
        <f t="shared" si="22"/>
        <v>0</v>
      </c>
      <c r="F267" s="220">
        <f t="shared" si="23"/>
        <v>-10</v>
      </c>
    </row>
    <row r="268" ht="14.25" customHeight="1">
      <c r="B268" s="219">
        <v>45090.0</v>
      </c>
      <c r="C268" s="220" t="str">
        <f t="shared" si="24"/>
        <v/>
      </c>
      <c r="D268" s="220"/>
      <c r="E268" s="220">
        <f t="shared" si="22"/>
        <v>0</v>
      </c>
      <c r="F268" s="220">
        <f t="shared" si="23"/>
        <v>-10</v>
      </c>
    </row>
    <row r="269" ht="14.25" customHeight="1">
      <c r="B269" s="219">
        <v>45091.0</v>
      </c>
      <c r="C269" s="220" t="str">
        <f t="shared" si="24"/>
        <v/>
      </c>
      <c r="D269" s="220"/>
      <c r="E269" s="220">
        <f t="shared" si="22"/>
        <v>0</v>
      </c>
      <c r="F269" s="220">
        <f t="shared" si="23"/>
        <v>-10</v>
      </c>
    </row>
    <row r="270" ht="14.25" customHeight="1">
      <c r="B270" s="219">
        <v>45092.0</v>
      </c>
      <c r="C270" s="220" t="str">
        <f t="shared" si="24"/>
        <v/>
      </c>
      <c r="D270" s="220"/>
      <c r="E270" s="220">
        <f t="shared" si="22"/>
        <v>0</v>
      </c>
      <c r="F270" s="220">
        <f t="shared" si="23"/>
        <v>-10</v>
      </c>
    </row>
    <row r="271" ht="14.25" customHeight="1">
      <c r="B271" s="219">
        <v>45093.0</v>
      </c>
      <c r="C271" s="220" t="str">
        <f t="shared" si="24"/>
        <v/>
      </c>
      <c r="D271" s="220"/>
      <c r="E271" s="220">
        <f t="shared" si="22"/>
        <v>0</v>
      </c>
      <c r="F271" s="220">
        <f t="shared" si="23"/>
        <v>-10</v>
      </c>
    </row>
    <row r="272" ht="14.25" customHeight="1">
      <c r="B272" s="254">
        <v>45094.0</v>
      </c>
      <c r="C272" s="255" t="str">
        <f t="shared" si="24"/>
        <v/>
      </c>
      <c r="D272" s="255"/>
      <c r="E272" s="255">
        <f t="shared" si="22"/>
        <v>0</v>
      </c>
      <c r="F272" s="255">
        <f t="shared" si="23"/>
        <v>-10</v>
      </c>
    </row>
    <row r="273" ht="14.25" customHeight="1">
      <c r="B273" s="254">
        <v>45095.0</v>
      </c>
      <c r="C273" s="255" t="str">
        <f t="shared" si="24"/>
        <v/>
      </c>
      <c r="D273" s="255"/>
      <c r="E273" s="255">
        <f t="shared" si="22"/>
        <v>0</v>
      </c>
      <c r="F273" s="255">
        <f t="shared" si="23"/>
        <v>-10</v>
      </c>
    </row>
    <row r="274" ht="14.25" customHeight="1">
      <c r="B274" s="219">
        <v>45096.0</v>
      </c>
      <c r="C274" s="220" t="str">
        <f t="shared" si="24"/>
        <v/>
      </c>
      <c r="D274" s="220"/>
      <c r="E274" s="220">
        <f t="shared" si="22"/>
        <v>0</v>
      </c>
      <c r="F274" s="220">
        <f t="shared" si="23"/>
        <v>-10</v>
      </c>
    </row>
    <row r="275" ht="14.25" customHeight="1">
      <c r="B275" s="219">
        <v>45097.0</v>
      </c>
      <c r="C275" s="220" t="str">
        <f t="shared" si="24"/>
        <v/>
      </c>
      <c r="D275" s="220"/>
      <c r="E275" s="220">
        <f t="shared" si="22"/>
        <v>0</v>
      </c>
      <c r="F275" s="220">
        <f t="shared" si="23"/>
        <v>-10</v>
      </c>
    </row>
    <row r="276" ht="14.25" customHeight="1">
      <c r="B276" s="219">
        <v>45098.0</v>
      </c>
      <c r="C276" s="220" t="str">
        <f t="shared" si="24"/>
        <v/>
      </c>
      <c r="D276" s="220"/>
      <c r="E276" s="220">
        <f t="shared" si="22"/>
        <v>0</v>
      </c>
      <c r="F276" s="220">
        <f t="shared" si="23"/>
        <v>-10</v>
      </c>
    </row>
    <row r="277" ht="14.25" customHeight="1">
      <c r="B277" s="219">
        <v>45099.0</v>
      </c>
      <c r="C277" s="220" t="str">
        <f t="shared" si="24"/>
        <v/>
      </c>
      <c r="D277" s="220"/>
      <c r="E277" s="220">
        <f t="shared" si="22"/>
        <v>0</v>
      </c>
      <c r="F277" s="220">
        <f t="shared" si="23"/>
        <v>-10</v>
      </c>
    </row>
    <row r="278" ht="14.25" customHeight="1">
      <c r="B278" s="219">
        <v>45100.0</v>
      </c>
      <c r="C278" s="220" t="str">
        <f t="shared" si="24"/>
        <v/>
      </c>
      <c r="D278" s="220"/>
      <c r="E278" s="220">
        <f t="shared" si="22"/>
        <v>0</v>
      </c>
      <c r="F278" s="220">
        <f t="shared" si="23"/>
        <v>-10</v>
      </c>
    </row>
    <row r="279" ht="14.25" customHeight="1">
      <c r="B279" s="254">
        <v>45101.0</v>
      </c>
      <c r="C279" s="255" t="str">
        <f t="shared" si="24"/>
        <v/>
      </c>
      <c r="D279" s="255"/>
      <c r="E279" s="255">
        <f t="shared" si="22"/>
        <v>0</v>
      </c>
      <c r="F279" s="255">
        <f t="shared" si="23"/>
        <v>-10</v>
      </c>
    </row>
    <row r="280" ht="14.25" customHeight="1">
      <c r="B280" s="254">
        <v>45102.0</v>
      </c>
      <c r="C280" s="255" t="str">
        <f t="shared" si="24"/>
        <v/>
      </c>
      <c r="D280" s="255"/>
      <c r="E280" s="255">
        <f t="shared" si="22"/>
        <v>0</v>
      </c>
      <c r="F280" s="255">
        <f t="shared" si="23"/>
        <v>-10</v>
      </c>
    </row>
    <row r="281" ht="14.25" customHeight="1">
      <c r="B281" s="219">
        <v>45103.0</v>
      </c>
      <c r="C281" s="220" t="str">
        <f t="shared" si="24"/>
        <v/>
      </c>
      <c r="D281" s="220"/>
      <c r="E281" s="220">
        <f t="shared" si="22"/>
        <v>0</v>
      </c>
      <c r="F281" s="220">
        <f t="shared" si="23"/>
        <v>-10</v>
      </c>
    </row>
    <row r="282" ht="14.25" customHeight="1">
      <c r="B282" s="219">
        <v>45104.0</v>
      </c>
      <c r="C282" s="220" t="str">
        <f t="shared" si="24"/>
        <v/>
      </c>
      <c r="D282" s="220"/>
      <c r="E282" s="220">
        <f t="shared" si="22"/>
        <v>0</v>
      </c>
      <c r="F282" s="220">
        <f t="shared" si="23"/>
        <v>-10</v>
      </c>
    </row>
    <row r="283" ht="14.25" customHeight="1">
      <c r="B283" s="219">
        <v>45105.0</v>
      </c>
      <c r="C283" s="220" t="str">
        <f t="shared" si="24"/>
        <v/>
      </c>
      <c r="D283" s="220"/>
      <c r="E283" s="220">
        <f t="shared" si="22"/>
        <v>0</v>
      </c>
      <c r="F283" s="220">
        <f t="shared" si="23"/>
        <v>-10</v>
      </c>
    </row>
    <row r="284" ht="14.25" customHeight="1">
      <c r="B284" s="219">
        <v>45106.0</v>
      </c>
      <c r="C284" s="220" t="str">
        <f t="shared" si="24"/>
        <v/>
      </c>
      <c r="D284" s="220"/>
      <c r="E284" s="220">
        <f t="shared" si="22"/>
        <v>0</v>
      </c>
      <c r="F284" s="220">
        <f t="shared" si="23"/>
        <v>-10</v>
      </c>
    </row>
    <row r="285" ht="14.25" customHeight="1">
      <c r="B285" s="219">
        <v>45107.0</v>
      </c>
      <c r="C285" s="220" t="str">
        <f t="shared" si="24"/>
        <v/>
      </c>
      <c r="D285" s="220"/>
      <c r="E285" s="220">
        <f t="shared" si="22"/>
        <v>0</v>
      </c>
      <c r="F285" s="220">
        <f t="shared" si="23"/>
        <v>-10</v>
      </c>
    </row>
    <row r="286" ht="14.25" customHeight="1">
      <c r="B286" s="229"/>
      <c r="C286" s="220" t="str">
        <f t="shared" si="24"/>
        <v/>
      </c>
      <c r="D286" s="220"/>
      <c r="E286" s="220">
        <f t="shared" si="22"/>
        <v>0</v>
      </c>
      <c r="F286" s="220">
        <f t="shared" si="23"/>
        <v>-10</v>
      </c>
    </row>
    <row r="287" ht="14.25" customHeight="1">
      <c r="B287" s="216"/>
      <c r="C287" s="223" t="s">
        <v>221</v>
      </c>
      <c r="D287" s="223"/>
      <c r="E287" s="216">
        <f>SUM(E256:E286)</f>
        <v>0</v>
      </c>
      <c r="F287" s="216">
        <f t="shared" si="23"/>
        <v>-10</v>
      </c>
    </row>
    <row r="288" ht="14.25" customHeight="1"/>
    <row r="289" ht="14.25" customHeight="1">
      <c r="A289" s="249" t="s">
        <v>275</v>
      </c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1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 ht="14.25" customHeight="1"/>
    <row r="291" ht="14.25" customHeight="1">
      <c r="B291" s="216" t="s">
        <v>214</v>
      </c>
      <c r="C291" s="216" t="s">
        <v>215</v>
      </c>
      <c r="D291" s="216" t="s">
        <v>216</v>
      </c>
      <c r="E291" s="216" t="s">
        <v>217</v>
      </c>
      <c r="F291" s="216" t="s">
        <v>218</v>
      </c>
      <c r="H291" s="216" t="s">
        <v>238</v>
      </c>
      <c r="I291" s="216"/>
      <c r="K291" s="253" t="s">
        <v>275</v>
      </c>
      <c r="L291" s="231"/>
    </row>
    <row r="292" ht="14.25" customHeight="1">
      <c r="B292" s="219">
        <v>45078.0</v>
      </c>
      <c r="C292" s="220"/>
      <c r="D292" s="220"/>
      <c r="E292" s="220">
        <f t="shared" ref="E292:E322" si="25">D292-C292</f>
        <v>0</v>
      </c>
      <c r="F292" s="220">
        <f t="shared" ref="F292:F323" si="26">E292-10</f>
        <v>-10</v>
      </c>
      <c r="H292" s="216" t="s">
        <v>245</v>
      </c>
      <c r="I292" s="216"/>
      <c r="K292" s="216" t="s">
        <v>244</v>
      </c>
      <c r="L292" s="232">
        <v>2000.0</v>
      </c>
    </row>
    <row r="293" ht="14.25" customHeight="1">
      <c r="B293" s="219">
        <v>45079.0</v>
      </c>
      <c r="C293" s="220" t="str">
        <f t="shared" ref="C293:C322" si="27">D292</f>
        <v/>
      </c>
      <c r="D293" s="220"/>
      <c r="E293" s="220">
        <f t="shared" si="25"/>
        <v>0</v>
      </c>
      <c r="F293" s="220">
        <f t="shared" si="26"/>
        <v>-10</v>
      </c>
      <c r="H293" s="216" t="s">
        <v>247</v>
      </c>
      <c r="I293" s="216"/>
      <c r="K293" s="216" t="s">
        <v>266</v>
      </c>
      <c r="L293" s="232"/>
    </row>
    <row r="294" ht="14.25" customHeight="1">
      <c r="B294" s="254">
        <v>45080.0</v>
      </c>
      <c r="C294" s="255" t="str">
        <f t="shared" si="27"/>
        <v/>
      </c>
      <c r="D294" s="255"/>
      <c r="E294" s="255">
        <f t="shared" si="25"/>
        <v>0</v>
      </c>
      <c r="F294" s="255">
        <f t="shared" si="26"/>
        <v>-10</v>
      </c>
      <c r="H294" s="216" t="s">
        <v>249</v>
      </c>
      <c r="I294" s="232">
        <v>18.0</v>
      </c>
      <c r="K294" s="216" t="s">
        <v>246</v>
      </c>
      <c r="L294" s="232">
        <f>O294*O295</f>
        <v>0</v>
      </c>
    </row>
    <row r="295" ht="14.25" customHeight="1">
      <c r="B295" s="254">
        <v>45081.0</v>
      </c>
      <c r="C295" s="255" t="str">
        <f t="shared" si="27"/>
        <v/>
      </c>
      <c r="D295" s="255"/>
      <c r="E295" s="255">
        <f t="shared" si="25"/>
        <v>0</v>
      </c>
      <c r="F295" s="255">
        <f t="shared" si="26"/>
        <v>-10</v>
      </c>
      <c r="H295" s="216" t="s">
        <v>251</v>
      </c>
      <c r="I295" s="216"/>
      <c r="K295" s="216" t="s">
        <v>248</v>
      </c>
      <c r="L295" s="232">
        <f>O296*O297</f>
        <v>0</v>
      </c>
    </row>
    <row r="296" ht="14.25" customHeight="1">
      <c r="B296" s="219">
        <v>45082.0</v>
      </c>
      <c r="C296" s="220" t="str">
        <f t="shared" si="27"/>
        <v/>
      </c>
      <c r="D296" s="220"/>
      <c r="E296" s="220">
        <f t="shared" si="25"/>
        <v>0</v>
      </c>
      <c r="F296" s="220">
        <f t="shared" si="26"/>
        <v>-10</v>
      </c>
      <c r="H296" s="216" t="s">
        <v>249</v>
      </c>
      <c r="I296" s="232">
        <v>10.0</v>
      </c>
      <c r="K296" s="216" t="s">
        <v>250</v>
      </c>
      <c r="L296" s="232">
        <f>O298*100</f>
        <v>0</v>
      </c>
    </row>
    <row r="297" ht="14.25" customHeight="1">
      <c r="B297" s="219">
        <v>45083.0</v>
      </c>
      <c r="C297" s="220" t="str">
        <f t="shared" si="27"/>
        <v/>
      </c>
      <c r="D297" s="220"/>
      <c r="E297" s="220">
        <f t="shared" si="25"/>
        <v>0</v>
      </c>
      <c r="F297" s="220">
        <f t="shared" si="26"/>
        <v>-10</v>
      </c>
      <c r="H297" s="216" t="s">
        <v>250</v>
      </c>
      <c r="I297" s="216"/>
      <c r="K297" s="216" t="s">
        <v>252</v>
      </c>
      <c r="L297" s="232"/>
    </row>
    <row r="298" ht="14.25" customHeight="1">
      <c r="B298" s="219">
        <v>45084.0</v>
      </c>
      <c r="C298" s="220" t="str">
        <f t="shared" si="27"/>
        <v/>
      </c>
      <c r="D298" s="220"/>
      <c r="E298" s="220">
        <f t="shared" si="25"/>
        <v>0</v>
      </c>
      <c r="F298" s="220">
        <f t="shared" si="26"/>
        <v>-10</v>
      </c>
      <c r="K298" s="216" t="s">
        <v>268</v>
      </c>
      <c r="L298" s="232">
        <f>L292+L294+L295+L296-L293-L297</f>
        <v>2000</v>
      </c>
    </row>
    <row r="299" ht="14.25" customHeight="1">
      <c r="B299" s="219">
        <v>45085.0</v>
      </c>
      <c r="C299" s="220" t="str">
        <f t="shared" si="27"/>
        <v/>
      </c>
      <c r="D299" s="220"/>
      <c r="E299" s="220">
        <f t="shared" si="25"/>
        <v>0</v>
      </c>
      <c r="F299" s="220">
        <f t="shared" si="26"/>
        <v>-10</v>
      </c>
      <c r="K299" s="216" t="s">
        <v>269</v>
      </c>
      <c r="L299" s="229"/>
    </row>
    <row r="300" ht="14.25" customHeight="1">
      <c r="B300" s="219">
        <v>45086.0</v>
      </c>
      <c r="C300" s="220" t="str">
        <f t="shared" si="27"/>
        <v/>
      </c>
      <c r="D300" s="220"/>
      <c r="E300" s="220">
        <f t="shared" si="25"/>
        <v>0</v>
      </c>
      <c r="F300" s="220">
        <f t="shared" si="26"/>
        <v>-10</v>
      </c>
    </row>
    <row r="301" ht="14.25" customHeight="1">
      <c r="B301" s="254">
        <v>45087.0</v>
      </c>
      <c r="C301" s="255" t="str">
        <f t="shared" si="27"/>
        <v/>
      </c>
      <c r="D301" s="255"/>
      <c r="E301" s="255">
        <f t="shared" si="25"/>
        <v>0</v>
      </c>
      <c r="F301" s="255">
        <f t="shared" si="26"/>
        <v>-10</v>
      </c>
    </row>
    <row r="302" ht="14.25" customHeight="1">
      <c r="B302" s="254">
        <v>45088.0</v>
      </c>
      <c r="C302" s="255" t="str">
        <f t="shared" si="27"/>
        <v/>
      </c>
      <c r="D302" s="255"/>
      <c r="E302" s="255">
        <f t="shared" si="25"/>
        <v>0</v>
      </c>
      <c r="F302" s="255">
        <f t="shared" si="26"/>
        <v>-10</v>
      </c>
    </row>
    <row r="303" ht="14.25" customHeight="1">
      <c r="B303" s="219">
        <v>45089.0</v>
      </c>
      <c r="C303" s="220" t="str">
        <f t="shared" si="27"/>
        <v/>
      </c>
      <c r="D303" s="220"/>
      <c r="E303" s="220">
        <f t="shared" si="25"/>
        <v>0</v>
      </c>
      <c r="F303" s="220">
        <f t="shared" si="26"/>
        <v>-10</v>
      </c>
    </row>
    <row r="304" ht="14.25" customHeight="1">
      <c r="B304" s="219">
        <v>45090.0</v>
      </c>
      <c r="C304" s="220" t="str">
        <f t="shared" si="27"/>
        <v/>
      </c>
      <c r="D304" s="220"/>
      <c r="E304" s="220">
        <f t="shared" si="25"/>
        <v>0</v>
      </c>
      <c r="F304" s="220">
        <f t="shared" si="26"/>
        <v>-10</v>
      </c>
    </row>
    <row r="305" ht="14.25" customHeight="1">
      <c r="B305" s="219">
        <v>45091.0</v>
      </c>
      <c r="C305" s="220" t="str">
        <f t="shared" si="27"/>
        <v/>
      </c>
      <c r="D305" s="220"/>
      <c r="E305" s="220">
        <f t="shared" si="25"/>
        <v>0</v>
      </c>
      <c r="F305" s="220">
        <f t="shared" si="26"/>
        <v>-10</v>
      </c>
    </row>
    <row r="306" ht="14.25" customHeight="1">
      <c r="B306" s="219">
        <v>45092.0</v>
      </c>
      <c r="C306" s="220" t="str">
        <f t="shared" si="27"/>
        <v/>
      </c>
      <c r="D306" s="220"/>
      <c r="E306" s="220">
        <f t="shared" si="25"/>
        <v>0</v>
      </c>
      <c r="F306" s="220">
        <f t="shared" si="26"/>
        <v>-10</v>
      </c>
    </row>
    <row r="307" ht="14.25" customHeight="1">
      <c r="B307" s="219">
        <v>45093.0</v>
      </c>
      <c r="C307" s="220" t="str">
        <f t="shared" si="27"/>
        <v/>
      </c>
      <c r="D307" s="220"/>
      <c r="E307" s="220">
        <f t="shared" si="25"/>
        <v>0</v>
      </c>
      <c r="F307" s="220">
        <f t="shared" si="26"/>
        <v>-10</v>
      </c>
    </row>
    <row r="308" ht="14.25" customHeight="1">
      <c r="B308" s="254">
        <v>45094.0</v>
      </c>
      <c r="C308" s="255" t="str">
        <f t="shared" si="27"/>
        <v/>
      </c>
      <c r="D308" s="255"/>
      <c r="E308" s="255">
        <f t="shared" si="25"/>
        <v>0</v>
      </c>
      <c r="F308" s="255">
        <f t="shared" si="26"/>
        <v>-10</v>
      </c>
    </row>
    <row r="309" ht="14.25" customHeight="1">
      <c r="B309" s="254">
        <v>45095.0</v>
      </c>
      <c r="C309" s="255" t="str">
        <f t="shared" si="27"/>
        <v/>
      </c>
      <c r="D309" s="255"/>
      <c r="E309" s="255">
        <f t="shared" si="25"/>
        <v>0</v>
      </c>
      <c r="F309" s="255">
        <f t="shared" si="26"/>
        <v>-10</v>
      </c>
    </row>
    <row r="310" ht="14.25" customHeight="1">
      <c r="B310" s="219">
        <v>45096.0</v>
      </c>
      <c r="C310" s="220" t="str">
        <f t="shared" si="27"/>
        <v/>
      </c>
      <c r="D310" s="220"/>
      <c r="E310" s="220">
        <f t="shared" si="25"/>
        <v>0</v>
      </c>
      <c r="F310" s="220">
        <f t="shared" si="26"/>
        <v>-10</v>
      </c>
    </row>
    <row r="311" ht="14.25" customHeight="1">
      <c r="B311" s="219">
        <v>45097.0</v>
      </c>
      <c r="C311" s="220" t="str">
        <f t="shared" si="27"/>
        <v/>
      </c>
      <c r="D311" s="220"/>
      <c r="E311" s="220">
        <f t="shared" si="25"/>
        <v>0</v>
      </c>
      <c r="F311" s="220">
        <f t="shared" si="26"/>
        <v>-10</v>
      </c>
    </row>
    <row r="312" ht="14.25" customHeight="1">
      <c r="B312" s="219">
        <v>45098.0</v>
      </c>
      <c r="C312" s="220" t="str">
        <f t="shared" si="27"/>
        <v/>
      </c>
      <c r="D312" s="220"/>
      <c r="E312" s="220">
        <f t="shared" si="25"/>
        <v>0</v>
      </c>
      <c r="F312" s="220">
        <f t="shared" si="26"/>
        <v>-10</v>
      </c>
    </row>
    <row r="313" ht="14.25" customHeight="1">
      <c r="B313" s="219">
        <v>45099.0</v>
      </c>
      <c r="C313" s="220" t="str">
        <f t="shared" si="27"/>
        <v/>
      </c>
      <c r="D313" s="220"/>
      <c r="E313" s="220">
        <f t="shared" si="25"/>
        <v>0</v>
      </c>
      <c r="F313" s="220">
        <f t="shared" si="26"/>
        <v>-10</v>
      </c>
    </row>
    <row r="314" ht="14.25" customHeight="1">
      <c r="B314" s="219">
        <v>45100.0</v>
      </c>
      <c r="C314" s="220" t="str">
        <f t="shared" si="27"/>
        <v/>
      </c>
      <c r="D314" s="220"/>
      <c r="E314" s="220">
        <f t="shared" si="25"/>
        <v>0</v>
      </c>
      <c r="F314" s="220">
        <f t="shared" si="26"/>
        <v>-10</v>
      </c>
    </row>
    <row r="315" ht="14.25" customHeight="1">
      <c r="B315" s="254">
        <v>45101.0</v>
      </c>
      <c r="C315" s="255" t="str">
        <f t="shared" si="27"/>
        <v/>
      </c>
      <c r="D315" s="255"/>
      <c r="E315" s="255">
        <f t="shared" si="25"/>
        <v>0</v>
      </c>
      <c r="F315" s="255">
        <f t="shared" si="26"/>
        <v>-10</v>
      </c>
    </row>
    <row r="316" ht="14.25" customHeight="1">
      <c r="B316" s="254">
        <v>45102.0</v>
      </c>
      <c r="C316" s="255" t="str">
        <f t="shared" si="27"/>
        <v/>
      </c>
      <c r="D316" s="255"/>
      <c r="E316" s="255">
        <f t="shared" si="25"/>
        <v>0</v>
      </c>
      <c r="F316" s="255">
        <f t="shared" si="26"/>
        <v>-10</v>
      </c>
    </row>
    <row r="317" ht="14.25" customHeight="1">
      <c r="B317" s="219">
        <v>45103.0</v>
      </c>
      <c r="C317" s="220" t="str">
        <f t="shared" si="27"/>
        <v/>
      </c>
      <c r="D317" s="220"/>
      <c r="E317" s="220">
        <f t="shared" si="25"/>
        <v>0</v>
      </c>
      <c r="F317" s="220">
        <f t="shared" si="26"/>
        <v>-10</v>
      </c>
    </row>
    <row r="318" ht="14.25" customHeight="1">
      <c r="B318" s="219">
        <v>45104.0</v>
      </c>
      <c r="C318" s="220" t="str">
        <f t="shared" si="27"/>
        <v/>
      </c>
      <c r="D318" s="220"/>
      <c r="E318" s="220">
        <f t="shared" si="25"/>
        <v>0</v>
      </c>
      <c r="F318" s="220">
        <f t="shared" si="26"/>
        <v>-10</v>
      </c>
    </row>
    <row r="319" ht="14.25" customHeight="1">
      <c r="B319" s="219">
        <v>45105.0</v>
      </c>
      <c r="C319" s="220" t="str">
        <f t="shared" si="27"/>
        <v/>
      </c>
      <c r="D319" s="220"/>
      <c r="E319" s="220">
        <f t="shared" si="25"/>
        <v>0</v>
      </c>
      <c r="F319" s="220">
        <f t="shared" si="26"/>
        <v>-10</v>
      </c>
    </row>
    <row r="320" ht="14.25" customHeight="1">
      <c r="B320" s="219">
        <v>45106.0</v>
      </c>
      <c r="C320" s="220" t="str">
        <f t="shared" si="27"/>
        <v/>
      </c>
      <c r="D320" s="220"/>
      <c r="E320" s="220">
        <f t="shared" si="25"/>
        <v>0</v>
      </c>
      <c r="F320" s="220">
        <f t="shared" si="26"/>
        <v>-10</v>
      </c>
    </row>
    <row r="321" ht="14.25" customHeight="1">
      <c r="B321" s="219">
        <v>45107.0</v>
      </c>
      <c r="C321" s="220" t="str">
        <f t="shared" si="27"/>
        <v/>
      </c>
      <c r="D321" s="220"/>
      <c r="E321" s="220">
        <f t="shared" si="25"/>
        <v>0</v>
      </c>
      <c r="F321" s="220">
        <f t="shared" si="26"/>
        <v>-10</v>
      </c>
    </row>
    <row r="322" ht="14.25" customHeight="1">
      <c r="B322" s="229"/>
      <c r="C322" s="220" t="str">
        <f t="shared" si="27"/>
        <v/>
      </c>
      <c r="D322" s="220"/>
      <c r="E322" s="220">
        <f t="shared" si="25"/>
        <v>0</v>
      </c>
      <c r="F322" s="220">
        <f t="shared" si="26"/>
        <v>-10</v>
      </c>
    </row>
    <row r="323" ht="14.25" customHeight="1">
      <c r="B323" s="216"/>
      <c r="C323" s="223" t="s">
        <v>221</v>
      </c>
      <c r="D323" s="223"/>
      <c r="E323" s="216">
        <f>SUM(E292:E322)</f>
        <v>0</v>
      </c>
      <c r="F323" s="216">
        <f t="shared" si="26"/>
        <v>-10</v>
      </c>
    </row>
    <row r="324" ht="14.25" customHeight="1"/>
    <row r="325" ht="14.25" customHeight="1">
      <c r="A325" s="249" t="s">
        <v>235</v>
      </c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1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 ht="14.25" customHeight="1"/>
    <row r="327" ht="14.25" customHeight="1">
      <c r="B327" s="216" t="s">
        <v>214</v>
      </c>
      <c r="C327" s="216" t="s">
        <v>215</v>
      </c>
      <c r="D327" s="216" t="s">
        <v>216</v>
      </c>
      <c r="E327" s="216" t="s">
        <v>217</v>
      </c>
      <c r="F327" s="216" t="s">
        <v>218</v>
      </c>
      <c r="H327" s="216" t="s">
        <v>238</v>
      </c>
      <c r="I327" s="216"/>
      <c r="K327" s="253" t="s">
        <v>235</v>
      </c>
      <c r="L327" s="231"/>
    </row>
    <row r="328" ht="14.25" customHeight="1">
      <c r="B328" s="219">
        <v>45078.0</v>
      </c>
      <c r="C328" s="220"/>
      <c r="D328" s="220"/>
      <c r="E328" s="220">
        <f t="shared" ref="E328:E358" si="28">D328-C328</f>
        <v>0</v>
      </c>
      <c r="F328" s="220">
        <f t="shared" ref="F328:F359" si="29">E328-10</f>
        <v>-10</v>
      </c>
      <c r="H328" s="216" t="s">
        <v>245</v>
      </c>
      <c r="I328" s="216"/>
      <c r="K328" s="216" t="s">
        <v>244</v>
      </c>
      <c r="L328" s="232">
        <v>2000.0</v>
      </c>
    </row>
    <row r="329" ht="14.25" customHeight="1">
      <c r="B329" s="219">
        <v>45079.0</v>
      </c>
      <c r="C329" s="220" t="str">
        <f t="shared" ref="C329:C358" si="30">D328</f>
        <v/>
      </c>
      <c r="D329" s="220"/>
      <c r="E329" s="220">
        <f t="shared" si="28"/>
        <v>0</v>
      </c>
      <c r="F329" s="220">
        <f t="shared" si="29"/>
        <v>-10</v>
      </c>
      <c r="H329" s="216" t="s">
        <v>247</v>
      </c>
      <c r="I329" s="216"/>
      <c r="K329" s="216" t="s">
        <v>266</v>
      </c>
      <c r="L329" s="232"/>
    </row>
    <row r="330" ht="14.25" customHeight="1">
      <c r="B330" s="254">
        <v>45080.0</v>
      </c>
      <c r="C330" s="255" t="str">
        <f t="shared" si="30"/>
        <v/>
      </c>
      <c r="D330" s="255"/>
      <c r="E330" s="255">
        <f t="shared" si="28"/>
        <v>0</v>
      </c>
      <c r="F330" s="255">
        <f t="shared" si="29"/>
        <v>-10</v>
      </c>
      <c r="H330" s="216" t="s">
        <v>249</v>
      </c>
      <c r="I330" s="232">
        <v>18.0</v>
      </c>
      <c r="K330" s="216" t="s">
        <v>246</v>
      </c>
      <c r="L330" s="232">
        <f>O330*O331</f>
        <v>0</v>
      </c>
    </row>
    <row r="331" ht="14.25" customHeight="1">
      <c r="B331" s="254">
        <v>45081.0</v>
      </c>
      <c r="C331" s="255" t="str">
        <f t="shared" si="30"/>
        <v/>
      </c>
      <c r="D331" s="255"/>
      <c r="E331" s="255">
        <f t="shared" si="28"/>
        <v>0</v>
      </c>
      <c r="F331" s="255">
        <f t="shared" si="29"/>
        <v>-10</v>
      </c>
      <c r="H331" s="216" t="s">
        <v>251</v>
      </c>
      <c r="I331" s="216"/>
      <c r="K331" s="216" t="s">
        <v>248</v>
      </c>
      <c r="L331" s="232">
        <f>O332*O333</f>
        <v>0</v>
      </c>
    </row>
    <row r="332" ht="14.25" customHeight="1">
      <c r="B332" s="219">
        <v>45082.0</v>
      </c>
      <c r="C332" s="220" t="str">
        <f t="shared" si="30"/>
        <v/>
      </c>
      <c r="D332" s="220"/>
      <c r="E332" s="220">
        <f t="shared" si="28"/>
        <v>0</v>
      </c>
      <c r="F332" s="220">
        <f t="shared" si="29"/>
        <v>-10</v>
      </c>
      <c r="H332" s="216" t="s">
        <v>249</v>
      </c>
      <c r="I332" s="232">
        <v>10.0</v>
      </c>
      <c r="K332" s="216" t="s">
        <v>250</v>
      </c>
      <c r="L332" s="232">
        <f>O334*100</f>
        <v>0</v>
      </c>
    </row>
    <row r="333" ht="14.25" customHeight="1">
      <c r="B333" s="219">
        <v>45083.0</v>
      </c>
      <c r="C333" s="220" t="str">
        <f t="shared" si="30"/>
        <v/>
      </c>
      <c r="D333" s="220"/>
      <c r="E333" s="220">
        <f t="shared" si="28"/>
        <v>0</v>
      </c>
      <c r="F333" s="220">
        <f t="shared" si="29"/>
        <v>-10</v>
      </c>
      <c r="H333" s="216" t="s">
        <v>250</v>
      </c>
      <c r="I333" s="216"/>
      <c r="K333" s="216" t="s">
        <v>252</v>
      </c>
      <c r="L333" s="232"/>
    </row>
    <row r="334" ht="14.25" customHeight="1">
      <c r="B334" s="219">
        <v>45084.0</v>
      </c>
      <c r="C334" s="220" t="str">
        <f t="shared" si="30"/>
        <v/>
      </c>
      <c r="D334" s="220"/>
      <c r="E334" s="220">
        <f t="shared" si="28"/>
        <v>0</v>
      </c>
      <c r="F334" s="220">
        <f t="shared" si="29"/>
        <v>-10</v>
      </c>
      <c r="K334" s="216" t="s">
        <v>268</v>
      </c>
      <c r="L334" s="232">
        <f>L328+L330+L331+L332-L329-L333</f>
        <v>2000</v>
      </c>
    </row>
    <row r="335" ht="14.25" customHeight="1">
      <c r="B335" s="219">
        <v>45085.0</v>
      </c>
      <c r="C335" s="220" t="str">
        <f t="shared" si="30"/>
        <v/>
      </c>
      <c r="D335" s="220"/>
      <c r="E335" s="220">
        <f t="shared" si="28"/>
        <v>0</v>
      </c>
      <c r="F335" s="220">
        <f t="shared" si="29"/>
        <v>-10</v>
      </c>
      <c r="K335" s="216" t="s">
        <v>269</v>
      </c>
      <c r="L335" s="229"/>
    </row>
    <row r="336" ht="14.25" customHeight="1">
      <c r="B336" s="219">
        <v>45086.0</v>
      </c>
      <c r="C336" s="220" t="str">
        <f t="shared" si="30"/>
        <v/>
      </c>
      <c r="D336" s="220"/>
      <c r="E336" s="220">
        <f t="shared" si="28"/>
        <v>0</v>
      </c>
      <c r="F336" s="220">
        <f t="shared" si="29"/>
        <v>-10</v>
      </c>
    </row>
    <row r="337" ht="14.25" customHeight="1">
      <c r="B337" s="254">
        <v>45087.0</v>
      </c>
      <c r="C337" s="255" t="str">
        <f t="shared" si="30"/>
        <v/>
      </c>
      <c r="D337" s="255"/>
      <c r="E337" s="255">
        <f t="shared" si="28"/>
        <v>0</v>
      </c>
      <c r="F337" s="255">
        <f t="shared" si="29"/>
        <v>-10</v>
      </c>
    </row>
    <row r="338" ht="14.25" customHeight="1">
      <c r="B338" s="254">
        <v>45088.0</v>
      </c>
      <c r="C338" s="255" t="str">
        <f t="shared" si="30"/>
        <v/>
      </c>
      <c r="D338" s="255"/>
      <c r="E338" s="255">
        <f t="shared" si="28"/>
        <v>0</v>
      </c>
      <c r="F338" s="255">
        <f t="shared" si="29"/>
        <v>-10</v>
      </c>
    </row>
    <row r="339" ht="14.25" customHeight="1">
      <c r="B339" s="219">
        <v>45089.0</v>
      </c>
      <c r="C339" s="220" t="str">
        <f t="shared" si="30"/>
        <v/>
      </c>
      <c r="D339" s="220"/>
      <c r="E339" s="220">
        <f t="shared" si="28"/>
        <v>0</v>
      </c>
      <c r="F339" s="220">
        <f t="shared" si="29"/>
        <v>-10</v>
      </c>
    </row>
    <row r="340" ht="14.25" customHeight="1">
      <c r="B340" s="219">
        <v>45090.0</v>
      </c>
      <c r="C340" s="220" t="str">
        <f t="shared" si="30"/>
        <v/>
      </c>
      <c r="D340" s="220"/>
      <c r="E340" s="220">
        <f t="shared" si="28"/>
        <v>0</v>
      </c>
      <c r="F340" s="220">
        <f t="shared" si="29"/>
        <v>-10</v>
      </c>
    </row>
    <row r="341" ht="14.25" customHeight="1">
      <c r="B341" s="219">
        <v>45091.0</v>
      </c>
      <c r="C341" s="220" t="str">
        <f t="shared" si="30"/>
        <v/>
      </c>
      <c r="D341" s="220"/>
      <c r="E341" s="220">
        <f t="shared" si="28"/>
        <v>0</v>
      </c>
      <c r="F341" s="220">
        <f t="shared" si="29"/>
        <v>-10</v>
      </c>
    </row>
    <row r="342" ht="14.25" customHeight="1">
      <c r="B342" s="219">
        <v>45092.0</v>
      </c>
      <c r="C342" s="220" t="str">
        <f t="shared" si="30"/>
        <v/>
      </c>
      <c r="D342" s="220"/>
      <c r="E342" s="220">
        <f t="shared" si="28"/>
        <v>0</v>
      </c>
      <c r="F342" s="220">
        <f t="shared" si="29"/>
        <v>-10</v>
      </c>
    </row>
    <row r="343" ht="14.25" customHeight="1">
      <c r="B343" s="219">
        <v>45093.0</v>
      </c>
      <c r="C343" s="220" t="str">
        <f t="shared" si="30"/>
        <v/>
      </c>
      <c r="D343" s="220"/>
      <c r="E343" s="220">
        <f t="shared" si="28"/>
        <v>0</v>
      </c>
      <c r="F343" s="220">
        <f t="shared" si="29"/>
        <v>-10</v>
      </c>
    </row>
    <row r="344" ht="14.25" customHeight="1">
      <c r="B344" s="254">
        <v>45094.0</v>
      </c>
      <c r="C344" s="255" t="str">
        <f t="shared" si="30"/>
        <v/>
      </c>
      <c r="D344" s="255"/>
      <c r="E344" s="255">
        <f t="shared" si="28"/>
        <v>0</v>
      </c>
      <c r="F344" s="255">
        <f t="shared" si="29"/>
        <v>-10</v>
      </c>
    </row>
    <row r="345" ht="14.25" customHeight="1">
      <c r="B345" s="254">
        <v>45095.0</v>
      </c>
      <c r="C345" s="255" t="str">
        <f t="shared" si="30"/>
        <v/>
      </c>
      <c r="D345" s="255"/>
      <c r="E345" s="255">
        <f t="shared" si="28"/>
        <v>0</v>
      </c>
      <c r="F345" s="255">
        <f t="shared" si="29"/>
        <v>-10</v>
      </c>
    </row>
    <row r="346" ht="14.25" customHeight="1">
      <c r="B346" s="219">
        <v>45096.0</v>
      </c>
      <c r="C346" s="220" t="str">
        <f t="shared" si="30"/>
        <v/>
      </c>
      <c r="D346" s="220"/>
      <c r="E346" s="220">
        <f t="shared" si="28"/>
        <v>0</v>
      </c>
      <c r="F346" s="220">
        <f t="shared" si="29"/>
        <v>-10</v>
      </c>
    </row>
    <row r="347" ht="14.25" customHeight="1">
      <c r="B347" s="219">
        <v>45097.0</v>
      </c>
      <c r="C347" s="220" t="str">
        <f t="shared" si="30"/>
        <v/>
      </c>
      <c r="D347" s="220"/>
      <c r="E347" s="220">
        <f t="shared" si="28"/>
        <v>0</v>
      </c>
      <c r="F347" s="220">
        <f t="shared" si="29"/>
        <v>-10</v>
      </c>
    </row>
    <row r="348" ht="14.25" customHeight="1">
      <c r="B348" s="219">
        <v>45098.0</v>
      </c>
      <c r="C348" s="220" t="str">
        <f t="shared" si="30"/>
        <v/>
      </c>
      <c r="D348" s="220"/>
      <c r="E348" s="220">
        <f t="shared" si="28"/>
        <v>0</v>
      </c>
      <c r="F348" s="220">
        <f t="shared" si="29"/>
        <v>-10</v>
      </c>
    </row>
    <row r="349" ht="14.25" customHeight="1">
      <c r="B349" s="219">
        <v>45099.0</v>
      </c>
      <c r="C349" s="220" t="str">
        <f t="shared" si="30"/>
        <v/>
      </c>
      <c r="D349" s="220"/>
      <c r="E349" s="220">
        <f t="shared" si="28"/>
        <v>0</v>
      </c>
      <c r="F349" s="220">
        <f t="shared" si="29"/>
        <v>-10</v>
      </c>
    </row>
    <row r="350" ht="14.25" customHeight="1">
      <c r="B350" s="219">
        <v>45100.0</v>
      </c>
      <c r="C350" s="220" t="str">
        <f t="shared" si="30"/>
        <v/>
      </c>
      <c r="D350" s="220"/>
      <c r="E350" s="220">
        <f t="shared" si="28"/>
        <v>0</v>
      </c>
      <c r="F350" s="220">
        <f t="shared" si="29"/>
        <v>-10</v>
      </c>
    </row>
    <row r="351" ht="14.25" customHeight="1">
      <c r="B351" s="254">
        <v>45101.0</v>
      </c>
      <c r="C351" s="255" t="str">
        <f t="shared" si="30"/>
        <v/>
      </c>
      <c r="D351" s="255"/>
      <c r="E351" s="255">
        <f t="shared" si="28"/>
        <v>0</v>
      </c>
      <c r="F351" s="255">
        <f t="shared" si="29"/>
        <v>-10</v>
      </c>
    </row>
    <row r="352" ht="14.25" customHeight="1">
      <c r="B352" s="254">
        <v>45102.0</v>
      </c>
      <c r="C352" s="255" t="str">
        <f t="shared" si="30"/>
        <v/>
      </c>
      <c r="D352" s="255"/>
      <c r="E352" s="255">
        <f t="shared" si="28"/>
        <v>0</v>
      </c>
      <c r="F352" s="255">
        <f t="shared" si="29"/>
        <v>-10</v>
      </c>
    </row>
    <row r="353" ht="14.25" customHeight="1">
      <c r="B353" s="219">
        <v>45103.0</v>
      </c>
      <c r="C353" s="220" t="str">
        <f t="shared" si="30"/>
        <v/>
      </c>
      <c r="D353" s="220"/>
      <c r="E353" s="220">
        <f t="shared" si="28"/>
        <v>0</v>
      </c>
      <c r="F353" s="220">
        <f t="shared" si="29"/>
        <v>-10</v>
      </c>
    </row>
    <row r="354" ht="14.25" customHeight="1">
      <c r="B354" s="219">
        <v>45104.0</v>
      </c>
      <c r="C354" s="220" t="str">
        <f t="shared" si="30"/>
        <v/>
      </c>
      <c r="D354" s="220"/>
      <c r="E354" s="220">
        <f t="shared" si="28"/>
        <v>0</v>
      </c>
      <c r="F354" s="220">
        <f t="shared" si="29"/>
        <v>-10</v>
      </c>
    </row>
    <row r="355" ht="14.25" customHeight="1">
      <c r="B355" s="219">
        <v>45105.0</v>
      </c>
      <c r="C355" s="220" t="str">
        <f t="shared" si="30"/>
        <v/>
      </c>
      <c r="D355" s="220"/>
      <c r="E355" s="220">
        <f t="shared" si="28"/>
        <v>0</v>
      </c>
      <c r="F355" s="220">
        <f t="shared" si="29"/>
        <v>-10</v>
      </c>
    </row>
    <row r="356" ht="14.25" customHeight="1">
      <c r="B356" s="219">
        <v>45106.0</v>
      </c>
      <c r="C356" s="220" t="str">
        <f t="shared" si="30"/>
        <v/>
      </c>
      <c r="D356" s="220"/>
      <c r="E356" s="220">
        <f t="shared" si="28"/>
        <v>0</v>
      </c>
      <c r="F356" s="220">
        <f t="shared" si="29"/>
        <v>-10</v>
      </c>
    </row>
    <row r="357" ht="14.25" customHeight="1">
      <c r="B357" s="219">
        <v>45107.0</v>
      </c>
      <c r="C357" s="220" t="str">
        <f t="shared" si="30"/>
        <v/>
      </c>
      <c r="D357" s="220"/>
      <c r="E357" s="220">
        <f t="shared" si="28"/>
        <v>0</v>
      </c>
      <c r="F357" s="220">
        <f t="shared" si="29"/>
        <v>-10</v>
      </c>
    </row>
    <row r="358" ht="14.25" customHeight="1">
      <c r="B358" s="229"/>
      <c r="C358" s="220" t="str">
        <f t="shared" si="30"/>
        <v/>
      </c>
      <c r="D358" s="220"/>
      <c r="E358" s="220">
        <f t="shared" si="28"/>
        <v>0</v>
      </c>
      <c r="F358" s="220">
        <f t="shared" si="29"/>
        <v>-10</v>
      </c>
    </row>
    <row r="359" ht="14.25" customHeight="1">
      <c r="B359" s="216"/>
      <c r="C359" s="223" t="s">
        <v>221</v>
      </c>
      <c r="D359" s="223"/>
      <c r="E359" s="216">
        <f>SUM(E328:E358)</f>
        <v>0</v>
      </c>
      <c r="F359" s="216">
        <f t="shared" si="29"/>
        <v>-10</v>
      </c>
    </row>
    <row r="360" ht="14.25" customHeight="1"/>
    <row r="361" ht="14.25" customHeight="1">
      <c r="A361" s="249" t="s">
        <v>276</v>
      </c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1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 ht="14.25" customHeight="1"/>
    <row r="363" ht="14.25" customHeight="1">
      <c r="B363" s="216" t="s">
        <v>214</v>
      </c>
      <c r="C363" s="216" t="s">
        <v>215</v>
      </c>
      <c r="D363" s="216" t="s">
        <v>216</v>
      </c>
      <c r="E363" s="216" t="s">
        <v>217</v>
      </c>
      <c r="F363" s="216" t="s">
        <v>218</v>
      </c>
      <c r="H363" s="216" t="s">
        <v>238</v>
      </c>
      <c r="I363" s="216"/>
      <c r="K363" s="253" t="s">
        <v>236</v>
      </c>
      <c r="L363" s="231"/>
    </row>
    <row r="364" ht="14.25" customHeight="1">
      <c r="B364" s="219">
        <v>45078.0</v>
      </c>
      <c r="C364" s="220"/>
      <c r="D364" s="220"/>
      <c r="E364" s="220">
        <f t="shared" ref="E364:E394" si="31">D364-C364</f>
        <v>0</v>
      </c>
      <c r="F364" s="220">
        <f t="shared" ref="F364:F395" si="32">E364-10</f>
        <v>-10</v>
      </c>
      <c r="H364" s="216" t="s">
        <v>245</v>
      </c>
      <c r="I364" s="216"/>
      <c r="K364" s="216" t="s">
        <v>244</v>
      </c>
      <c r="L364" s="232">
        <v>2000.0</v>
      </c>
    </row>
    <row r="365" ht="14.25" customHeight="1">
      <c r="B365" s="219">
        <v>45079.0</v>
      </c>
      <c r="C365" s="220" t="str">
        <f t="shared" ref="C365:C394" si="33">D364</f>
        <v/>
      </c>
      <c r="D365" s="220"/>
      <c r="E365" s="220">
        <f t="shared" si="31"/>
        <v>0</v>
      </c>
      <c r="F365" s="220">
        <f t="shared" si="32"/>
        <v>-10</v>
      </c>
      <c r="H365" s="216" t="s">
        <v>247</v>
      </c>
      <c r="I365" s="216"/>
      <c r="K365" s="216" t="s">
        <v>266</v>
      </c>
      <c r="L365" s="232"/>
    </row>
    <row r="366" ht="14.25" customHeight="1">
      <c r="B366" s="254">
        <v>45080.0</v>
      </c>
      <c r="C366" s="255" t="str">
        <f t="shared" si="33"/>
        <v/>
      </c>
      <c r="D366" s="255"/>
      <c r="E366" s="255">
        <f t="shared" si="31"/>
        <v>0</v>
      </c>
      <c r="F366" s="255">
        <f t="shared" si="32"/>
        <v>-10</v>
      </c>
      <c r="H366" s="216" t="s">
        <v>249</v>
      </c>
      <c r="I366" s="232">
        <v>18.0</v>
      </c>
      <c r="K366" s="216" t="s">
        <v>246</v>
      </c>
      <c r="L366" s="232">
        <f>O366*O367</f>
        <v>0</v>
      </c>
    </row>
    <row r="367" ht="14.25" customHeight="1">
      <c r="B367" s="254">
        <v>45081.0</v>
      </c>
      <c r="C367" s="255" t="str">
        <f t="shared" si="33"/>
        <v/>
      </c>
      <c r="D367" s="255"/>
      <c r="E367" s="255">
        <f t="shared" si="31"/>
        <v>0</v>
      </c>
      <c r="F367" s="255">
        <f t="shared" si="32"/>
        <v>-10</v>
      </c>
      <c r="H367" s="216" t="s">
        <v>251</v>
      </c>
      <c r="I367" s="216"/>
      <c r="K367" s="216" t="s">
        <v>248</v>
      </c>
      <c r="L367" s="232">
        <f>O368*O369</f>
        <v>0</v>
      </c>
    </row>
    <row r="368" ht="14.25" customHeight="1">
      <c r="B368" s="219">
        <v>45082.0</v>
      </c>
      <c r="C368" s="220" t="str">
        <f t="shared" si="33"/>
        <v/>
      </c>
      <c r="D368" s="220"/>
      <c r="E368" s="220">
        <f t="shared" si="31"/>
        <v>0</v>
      </c>
      <c r="F368" s="220">
        <f t="shared" si="32"/>
        <v>-10</v>
      </c>
      <c r="H368" s="216" t="s">
        <v>249</v>
      </c>
      <c r="I368" s="232">
        <v>10.0</v>
      </c>
      <c r="K368" s="216" t="s">
        <v>250</v>
      </c>
      <c r="L368" s="232">
        <f>O370*100</f>
        <v>0</v>
      </c>
    </row>
    <row r="369" ht="14.25" customHeight="1">
      <c r="B369" s="219">
        <v>45083.0</v>
      </c>
      <c r="C369" s="220" t="str">
        <f t="shared" si="33"/>
        <v/>
      </c>
      <c r="D369" s="220"/>
      <c r="E369" s="220">
        <f t="shared" si="31"/>
        <v>0</v>
      </c>
      <c r="F369" s="220">
        <f t="shared" si="32"/>
        <v>-10</v>
      </c>
      <c r="H369" s="216" t="s">
        <v>250</v>
      </c>
      <c r="I369" s="216"/>
      <c r="K369" s="216" t="s">
        <v>252</v>
      </c>
      <c r="L369" s="232"/>
    </row>
    <row r="370" ht="14.25" customHeight="1">
      <c r="B370" s="219">
        <v>45084.0</v>
      </c>
      <c r="C370" s="220" t="str">
        <f t="shared" si="33"/>
        <v/>
      </c>
      <c r="D370" s="220"/>
      <c r="E370" s="220">
        <f t="shared" si="31"/>
        <v>0</v>
      </c>
      <c r="F370" s="220">
        <f t="shared" si="32"/>
        <v>-10</v>
      </c>
      <c r="K370" s="216" t="s">
        <v>268</v>
      </c>
      <c r="L370" s="232">
        <f>L364+L366+L367+L368-L365-L369</f>
        <v>2000</v>
      </c>
    </row>
    <row r="371" ht="14.25" customHeight="1">
      <c r="B371" s="219">
        <v>45085.0</v>
      </c>
      <c r="C371" s="220" t="str">
        <f t="shared" si="33"/>
        <v/>
      </c>
      <c r="D371" s="220"/>
      <c r="E371" s="220">
        <f t="shared" si="31"/>
        <v>0</v>
      </c>
      <c r="F371" s="220">
        <f t="shared" si="32"/>
        <v>-10</v>
      </c>
      <c r="K371" s="216" t="s">
        <v>269</v>
      </c>
      <c r="L371" s="229"/>
    </row>
    <row r="372" ht="14.25" customHeight="1">
      <c r="B372" s="219">
        <v>45086.0</v>
      </c>
      <c r="C372" s="220" t="str">
        <f t="shared" si="33"/>
        <v/>
      </c>
      <c r="D372" s="220"/>
      <c r="E372" s="220">
        <f t="shared" si="31"/>
        <v>0</v>
      </c>
      <c r="F372" s="220">
        <f t="shared" si="32"/>
        <v>-10</v>
      </c>
    </row>
    <row r="373" ht="14.25" customHeight="1">
      <c r="B373" s="254">
        <v>45087.0</v>
      </c>
      <c r="C373" s="255" t="str">
        <f t="shared" si="33"/>
        <v/>
      </c>
      <c r="D373" s="255"/>
      <c r="E373" s="255">
        <f t="shared" si="31"/>
        <v>0</v>
      </c>
      <c r="F373" s="255">
        <f t="shared" si="32"/>
        <v>-10</v>
      </c>
    </row>
    <row r="374" ht="14.25" customHeight="1">
      <c r="B374" s="254">
        <v>45088.0</v>
      </c>
      <c r="C374" s="255" t="str">
        <f t="shared" si="33"/>
        <v/>
      </c>
      <c r="D374" s="255"/>
      <c r="E374" s="255">
        <f t="shared" si="31"/>
        <v>0</v>
      </c>
      <c r="F374" s="255">
        <f t="shared" si="32"/>
        <v>-10</v>
      </c>
    </row>
    <row r="375" ht="14.25" customHeight="1">
      <c r="B375" s="219">
        <v>45089.0</v>
      </c>
      <c r="C375" s="220" t="str">
        <f t="shared" si="33"/>
        <v/>
      </c>
      <c r="D375" s="220"/>
      <c r="E375" s="220">
        <f t="shared" si="31"/>
        <v>0</v>
      </c>
      <c r="F375" s="220">
        <f t="shared" si="32"/>
        <v>-10</v>
      </c>
    </row>
    <row r="376" ht="14.25" customHeight="1">
      <c r="B376" s="219">
        <v>45090.0</v>
      </c>
      <c r="C376" s="220" t="str">
        <f t="shared" si="33"/>
        <v/>
      </c>
      <c r="D376" s="220"/>
      <c r="E376" s="220">
        <f t="shared" si="31"/>
        <v>0</v>
      </c>
      <c r="F376" s="220">
        <f t="shared" si="32"/>
        <v>-10</v>
      </c>
    </row>
    <row r="377" ht="14.25" customHeight="1">
      <c r="B377" s="219">
        <v>45091.0</v>
      </c>
      <c r="C377" s="220" t="str">
        <f t="shared" si="33"/>
        <v/>
      </c>
      <c r="D377" s="220"/>
      <c r="E377" s="220">
        <f t="shared" si="31"/>
        <v>0</v>
      </c>
      <c r="F377" s="220">
        <f t="shared" si="32"/>
        <v>-10</v>
      </c>
    </row>
    <row r="378" ht="14.25" customHeight="1">
      <c r="B378" s="219">
        <v>45092.0</v>
      </c>
      <c r="C378" s="220" t="str">
        <f t="shared" si="33"/>
        <v/>
      </c>
      <c r="D378" s="220"/>
      <c r="E378" s="220">
        <f t="shared" si="31"/>
        <v>0</v>
      </c>
      <c r="F378" s="220">
        <f t="shared" si="32"/>
        <v>-10</v>
      </c>
    </row>
    <row r="379" ht="14.25" customHeight="1">
      <c r="B379" s="219">
        <v>45093.0</v>
      </c>
      <c r="C379" s="220" t="str">
        <f t="shared" si="33"/>
        <v/>
      </c>
      <c r="D379" s="220"/>
      <c r="E379" s="220">
        <f t="shared" si="31"/>
        <v>0</v>
      </c>
      <c r="F379" s="220">
        <f t="shared" si="32"/>
        <v>-10</v>
      </c>
    </row>
    <row r="380" ht="14.25" customHeight="1">
      <c r="B380" s="254">
        <v>45094.0</v>
      </c>
      <c r="C380" s="255" t="str">
        <f t="shared" si="33"/>
        <v/>
      </c>
      <c r="D380" s="255"/>
      <c r="E380" s="255">
        <f t="shared" si="31"/>
        <v>0</v>
      </c>
      <c r="F380" s="255">
        <f t="shared" si="32"/>
        <v>-10</v>
      </c>
    </row>
    <row r="381" ht="14.25" customHeight="1">
      <c r="B381" s="254">
        <v>45095.0</v>
      </c>
      <c r="C381" s="255" t="str">
        <f t="shared" si="33"/>
        <v/>
      </c>
      <c r="D381" s="255"/>
      <c r="E381" s="255">
        <f t="shared" si="31"/>
        <v>0</v>
      </c>
      <c r="F381" s="255">
        <f t="shared" si="32"/>
        <v>-10</v>
      </c>
    </row>
    <row r="382" ht="14.25" customHeight="1">
      <c r="B382" s="219">
        <v>45096.0</v>
      </c>
      <c r="C382" s="220" t="str">
        <f t="shared" si="33"/>
        <v/>
      </c>
      <c r="D382" s="220"/>
      <c r="E382" s="220">
        <f t="shared" si="31"/>
        <v>0</v>
      </c>
      <c r="F382" s="220">
        <f t="shared" si="32"/>
        <v>-10</v>
      </c>
    </row>
    <row r="383" ht="14.25" customHeight="1">
      <c r="B383" s="219">
        <v>45097.0</v>
      </c>
      <c r="C383" s="220" t="str">
        <f t="shared" si="33"/>
        <v/>
      </c>
      <c r="D383" s="220"/>
      <c r="E383" s="220">
        <f t="shared" si="31"/>
        <v>0</v>
      </c>
      <c r="F383" s="220">
        <f t="shared" si="32"/>
        <v>-10</v>
      </c>
    </row>
    <row r="384" ht="14.25" customHeight="1">
      <c r="B384" s="219">
        <v>45098.0</v>
      </c>
      <c r="C384" s="220" t="str">
        <f t="shared" si="33"/>
        <v/>
      </c>
      <c r="D384" s="220"/>
      <c r="E384" s="220">
        <f t="shared" si="31"/>
        <v>0</v>
      </c>
      <c r="F384" s="220">
        <f t="shared" si="32"/>
        <v>-10</v>
      </c>
    </row>
    <row r="385" ht="14.25" customHeight="1">
      <c r="B385" s="219">
        <v>45099.0</v>
      </c>
      <c r="C385" s="220" t="str">
        <f t="shared" si="33"/>
        <v/>
      </c>
      <c r="D385" s="220"/>
      <c r="E385" s="220">
        <f t="shared" si="31"/>
        <v>0</v>
      </c>
      <c r="F385" s="220">
        <f t="shared" si="32"/>
        <v>-10</v>
      </c>
    </row>
    <row r="386" ht="14.25" customHeight="1">
      <c r="B386" s="219">
        <v>45100.0</v>
      </c>
      <c r="C386" s="220" t="str">
        <f t="shared" si="33"/>
        <v/>
      </c>
      <c r="D386" s="220"/>
      <c r="E386" s="220">
        <f t="shared" si="31"/>
        <v>0</v>
      </c>
      <c r="F386" s="220">
        <f t="shared" si="32"/>
        <v>-10</v>
      </c>
    </row>
    <row r="387" ht="14.25" customHeight="1">
      <c r="B387" s="254">
        <v>45101.0</v>
      </c>
      <c r="C387" s="255" t="str">
        <f t="shared" si="33"/>
        <v/>
      </c>
      <c r="D387" s="255"/>
      <c r="E387" s="255">
        <f t="shared" si="31"/>
        <v>0</v>
      </c>
      <c r="F387" s="255">
        <f t="shared" si="32"/>
        <v>-10</v>
      </c>
    </row>
    <row r="388" ht="14.25" customHeight="1">
      <c r="B388" s="254">
        <v>45102.0</v>
      </c>
      <c r="C388" s="255" t="str">
        <f t="shared" si="33"/>
        <v/>
      </c>
      <c r="D388" s="255"/>
      <c r="E388" s="255">
        <f t="shared" si="31"/>
        <v>0</v>
      </c>
      <c r="F388" s="255">
        <f t="shared" si="32"/>
        <v>-10</v>
      </c>
    </row>
    <row r="389" ht="14.25" customHeight="1">
      <c r="B389" s="219">
        <v>45103.0</v>
      </c>
      <c r="C389" s="220" t="str">
        <f t="shared" si="33"/>
        <v/>
      </c>
      <c r="D389" s="220"/>
      <c r="E389" s="220">
        <f t="shared" si="31"/>
        <v>0</v>
      </c>
      <c r="F389" s="220">
        <f t="shared" si="32"/>
        <v>-10</v>
      </c>
    </row>
    <row r="390" ht="14.25" customHeight="1">
      <c r="B390" s="219">
        <v>45104.0</v>
      </c>
      <c r="C390" s="220" t="str">
        <f t="shared" si="33"/>
        <v/>
      </c>
      <c r="D390" s="220"/>
      <c r="E390" s="220">
        <f t="shared" si="31"/>
        <v>0</v>
      </c>
      <c r="F390" s="220">
        <f t="shared" si="32"/>
        <v>-10</v>
      </c>
    </row>
    <row r="391" ht="14.25" customHeight="1">
      <c r="B391" s="219">
        <v>45105.0</v>
      </c>
      <c r="C391" s="220" t="str">
        <f t="shared" si="33"/>
        <v/>
      </c>
      <c r="D391" s="220"/>
      <c r="E391" s="220">
        <f t="shared" si="31"/>
        <v>0</v>
      </c>
      <c r="F391" s="220">
        <f t="shared" si="32"/>
        <v>-10</v>
      </c>
    </row>
    <row r="392" ht="14.25" customHeight="1">
      <c r="B392" s="219">
        <v>45106.0</v>
      </c>
      <c r="C392" s="220" t="str">
        <f t="shared" si="33"/>
        <v/>
      </c>
      <c r="D392" s="220"/>
      <c r="E392" s="220">
        <f t="shared" si="31"/>
        <v>0</v>
      </c>
      <c r="F392" s="220">
        <f t="shared" si="32"/>
        <v>-10</v>
      </c>
    </row>
    <row r="393" ht="14.25" customHeight="1">
      <c r="B393" s="219">
        <v>45107.0</v>
      </c>
      <c r="C393" s="220" t="str">
        <f t="shared" si="33"/>
        <v/>
      </c>
      <c r="D393" s="220"/>
      <c r="E393" s="220">
        <f t="shared" si="31"/>
        <v>0</v>
      </c>
      <c r="F393" s="220">
        <f t="shared" si="32"/>
        <v>-10</v>
      </c>
    </row>
    <row r="394" ht="14.25" customHeight="1">
      <c r="B394" s="229"/>
      <c r="C394" s="220" t="str">
        <f t="shared" si="33"/>
        <v/>
      </c>
      <c r="D394" s="220"/>
      <c r="E394" s="220">
        <f t="shared" si="31"/>
        <v>0</v>
      </c>
      <c r="F394" s="220">
        <f t="shared" si="32"/>
        <v>-10</v>
      </c>
    </row>
    <row r="395" ht="14.25" customHeight="1">
      <c r="B395" s="216"/>
      <c r="C395" s="223" t="s">
        <v>221</v>
      </c>
      <c r="D395" s="223"/>
      <c r="E395" s="216">
        <f>SUM(E364:E394)</f>
        <v>0</v>
      </c>
      <c r="F395" s="216">
        <f t="shared" si="32"/>
        <v>-10</v>
      </c>
    </row>
    <row r="396" ht="14.25" customHeight="1"/>
    <row r="397" ht="14.25" customHeight="1">
      <c r="A397" s="249" t="s">
        <v>226</v>
      </c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1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 ht="14.25" customHeight="1"/>
    <row r="399" ht="14.25" customHeight="1">
      <c r="B399" s="216" t="s">
        <v>214</v>
      </c>
      <c r="C399" s="216" t="s">
        <v>215</v>
      </c>
      <c r="D399" s="216" t="s">
        <v>216</v>
      </c>
      <c r="E399" s="216" t="s">
        <v>217</v>
      </c>
      <c r="F399" s="216" t="s">
        <v>218</v>
      </c>
      <c r="H399" s="216" t="s">
        <v>238</v>
      </c>
      <c r="I399" s="216"/>
      <c r="K399" s="253" t="s">
        <v>226</v>
      </c>
      <c r="L399" s="231"/>
    </row>
    <row r="400" ht="14.25" customHeight="1">
      <c r="B400" s="219">
        <v>45078.0</v>
      </c>
      <c r="C400" s="220"/>
      <c r="D400" s="220"/>
      <c r="E400" s="220">
        <f t="shared" ref="E400:E430" si="34">D400-C400</f>
        <v>0</v>
      </c>
      <c r="F400" s="220">
        <f t="shared" ref="F400:F431" si="35">E400-10</f>
        <v>-10</v>
      </c>
      <c r="H400" s="216" t="s">
        <v>245</v>
      </c>
      <c r="I400" s="216"/>
      <c r="K400" s="216" t="s">
        <v>244</v>
      </c>
      <c r="L400" s="232">
        <v>2000.0</v>
      </c>
    </row>
    <row r="401" ht="14.25" customHeight="1">
      <c r="B401" s="219">
        <v>45079.0</v>
      </c>
      <c r="C401" s="220" t="str">
        <f t="shared" ref="C401:C430" si="36">D400</f>
        <v/>
      </c>
      <c r="D401" s="220"/>
      <c r="E401" s="220">
        <f t="shared" si="34"/>
        <v>0</v>
      </c>
      <c r="F401" s="220">
        <f t="shared" si="35"/>
        <v>-10</v>
      </c>
      <c r="H401" s="216" t="s">
        <v>247</v>
      </c>
      <c r="I401" s="216"/>
      <c r="K401" s="216" t="s">
        <v>266</v>
      </c>
      <c r="L401" s="232"/>
    </row>
    <row r="402" ht="14.25" customHeight="1">
      <c r="B402" s="254">
        <v>45080.0</v>
      </c>
      <c r="C402" s="255" t="str">
        <f t="shared" si="36"/>
        <v/>
      </c>
      <c r="D402" s="255"/>
      <c r="E402" s="255">
        <f t="shared" si="34"/>
        <v>0</v>
      </c>
      <c r="F402" s="255">
        <f t="shared" si="35"/>
        <v>-10</v>
      </c>
      <c r="H402" s="216" t="s">
        <v>249</v>
      </c>
      <c r="I402" s="232">
        <v>18.0</v>
      </c>
      <c r="K402" s="216" t="s">
        <v>246</v>
      </c>
      <c r="L402" s="232">
        <f>O402*O403</f>
        <v>0</v>
      </c>
    </row>
    <row r="403" ht="14.25" customHeight="1">
      <c r="B403" s="254">
        <v>45081.0</v>
      </c>
      <c r="C403" s="255" t="str">
        <f t="shared" si="36"/>
        <v/>
      </c>
      <c r="D403" s="255"/>
      <c r="E403" s="255">
        <f t="shared" si="34"/>
        <v>0</v>
      </c>
      <c r="F403" s="255">
        <f t="shared" si="35"/>
        <v>-10</v>
      </c>
      <c r="H403" s="216" t="s">
        <v>251</v>
      </c>
      <c r="I403" s="216"/>
      <c r="K403" s="216" t="s">
        <v>248</v>
      </c>
      <c r="L403" s="232">
        <f>O404*O405</f>
        <v>0</v>
      </c>
    </row>
    <row r="404" ht="14.25" customHeight="1">
      <c r="B404" s="219">
        <v>45082.0</v>
      </c>
      <c r="C404" s="220" t="str">
        <f t="shared" si="36"/>
        <v/>
      </c>
      <c r="D404" s="220"/>
      <c r="E404" s="220">
        <f t="shared" si="34"/>
        <v>0</v>
      </c>
      <c r="F404" s="220">
        <f t="shared" si="35"/>
        <v>-10</v>
      </c>
      <c r="H404" s="216" t="s">
        <v>249</v>
      </c>
      <c r="I404" s="232">
        <v>10.0</v>
      </c>
      <c r="K404" s="216" t="s">
        <v>250</v>
      </c>
      <c r="L404" s="232">
        <f>O406*100</f>
        <v>0</v>
      </c>
    </row>
    <row r="405" ht="14.25" customHeight="1">
      <c r="B405" s="219">
        <v>45083.0</v>
      </c>
      <c r="C405" s="220" t="str">
        <f t="shared" si="36"/>
        <v/>
      </c>
      <c r="D405" s="220"/>
      <c r="E405" s="220">
        <f t="shared" si="34"/>
        <v>0</v>
      </c>
      <c r="F405" s="220">
        <f t="shared" si="35"/>
        <v>-10</v>
      </c>
      <c r="H405" s="216" t="s">
        <v>250</v>
      </c>
      <c r="I405" s="216"/>
      <c r="K405" s="216" t="s">
        <v>252</v>
      </c>
      <c r="L405" s="232"/>
    </row>
    <row r="406" ht="14.25" customHeight="1">
      <c r="B406" s="219">
        <v>45084.0</v>
      </c>
      <c r="C406" s="220" t="str">
        <f t="shared" si="36"/>
        <v/>
      </c>
      <c r="D406" s="220"/>
      <c r="E406" s="220">
        <f t="shared" si="34"/>
        <v>0</v>
      </c>
      <c r="F406" s="220">
        <f t="shared" si="35"/>
        <v>-10</v>
      </c>
      <c r="K406" s="216" t="s">
        <v>268</v>
      </c>
      <c r="L406" s="232">
        <f>L400+L402+L403+L404-L401-L405</f>
        <v>2000</v>
      </c>
    </row>
    <row r="407" ht="14.25" customHeight="1">
      <c r="B407" s="219">
        <v>45085.0</v>
      </c>
      <c r="C407" s="220" t="str">
        <f t="shared" si="36"/>
        <v/>
      </c>
      <c r="D407" s="220"/>
      <c r="E407" s="220">
        <f t="shared" si="34"/>
        <v>0</v>
      </c>
      <c r="F407" s="220">
        <f t="shared" si="35"/>
        <v>-10</v>
      </c>
      <c r="K407" s="216" t="s">
        <v>269</v>
      </c>
      <c r="L407" s="229"/>
    </row>
    <row r="408" ht="14.25" customHeight="1">
      <c r="B408" s="219">
        <v>45086.0</v>
      </c>
      <c r="C408" s="220" t="str">
        <f t="shared" si="36"/>
        <v/>
      </c>
      <c r="D408" s="220"/>
      <c r="E408" s="220">
        <f t="shared" si="34"/>
        <v>0</v>
      </c>
      <c r="F408" s="220">
        <f t="shared" si="35"/>
        <v>-10</v>
      </c>
    </row>
    <row r="409" ht="14.25" customHeight="1">
      <c r="B409" s="254">
        <v>45087.0</v>
      </c>
      <c r="C409" s="255" t="str">
        <f t="shared" si="36"/>
        <v/>
      </c>
      <c r="D409" s="255"/>
      <c r="E409" s="255">
        <f t="shared" si="34"/>
        <v>0</v>
      </c>
      <c r="F409" s="255">
        <f t="shared" si="35"/>
        <v>-10</v>
      </c>
    </row>
    <row r="410" ht="14.25" customHeight="1">
      <c r="B410" s="254">
        <v>45088.0</v>
      </c>
      <c r="C410" s="255" t="str">
        <f t="shared" si="36"/>
        <v/>
      </c>
      <c r="D410" s="255"/>
      <c r="E410" s="255">
        <f t="shared" si="34"/>
        <v>0</v>
      </c>
      <c r="F410" s="255">
        <f t="shared" si="35"/>
        <v>-10</v>
      </c>
    </row>
    <row r="411" ht="14.25" customHeight="1">
      <c r="B411" s="219">
        <v>45089.0</v>
      </c>
      <c r="C411" s="220" t="str">
        <f t="shared" si="36"/>
        <v/>
      </c>
      <c r="D411" s="220"/>
      <c r="E411" s="220">
        <f t="shared" si="34"/>
        <v>0</v>
      </c>
      <c r="F411" s="220">
        <f t="shared" si="35"/>
        <v>-10</v>
      </c>
    </row>
    <row r="412" ht="14.25" customHeight="1">
      <c r="B412" s="219">
        <v>45090.0</v>
      </c>
      <c r="C412" s="220" t="str">
        <f t="shared" si="36"/>
        <v/>
      </c>
      <c r="D412" s="220"/>
      <c r="E412" s="220">
        <f t="shared" si="34"/>
        <v>0</v>
      </c>
      <c r="F412" s="220">
        <f t="shared" si="35"/>
        <v>-10</v>
      </c>
    </row>
    <row r="413" ht="14.25" customHeight="1">
      <c r="B413" s="219">
        <v>45091.0</v>
      </c>
      <c r="C413" s="220" t="str">
        <f t="shared" si="36"/>
        <v/>
      </c>
      <c r="D413" s="220"/>
      <c r="E413" s="220">
        <f t="shared" si="34"/>
        <v>0</v>
      </c>
      <c r="F413" s="220">
        <f t="shared" si="35"/>
        <v>-10</v>
      </c>
    </row>
    <row r="414" ht="14.25" customHeight="1">
      <c r="B414" s="219">
        <v>45092.0</v>
      </c>
      <c r="C414" s="220" t="str">
        <f t="shared" si="36"/>
        <v/>
      </c>
      <c r="D414" s="220"/>
      <c r="E414" s="220">
        <f t="shared" si="34"/>
        <v>0</v>
      </c>
      <c r="F414" s="220">
        <f t="shared" si="35"/>
        <v>-10</v>
      </c>
    </row>
    <row r="415" ht="14.25" customHeight="1">
      <c r="B415" s="219">
        <v>45093.0</v>
      </c>
      <c r="C415" s="220" t="str">
        <f t="shared" si="36"/>
        <v/>
      </c>
      <c r="D415" s="220"/>
      <c r="E415" s="220">
        <f t="shared" si="34"/>
        <v>0</v>
      </c>
      <c r="F415" s="220">
        <f t="shared" si="35"/>
        <v>-10</v>
      </c>
    </row>
    <row r="416" ht="14.25" customHeight="1">
      <c r="B416" s="254">
        <v>45094.0</v>
      </c>
      <c r="C416" s="255" t="str">
        <f t="shared" si="36"/>
        <v/>
      </c>
      <c r="D416" s="255"/>
      <c r="E416" s="255">
        <f t="shared" si="34"/>
        <v>0</v>
      </c>
      <c r="F416" s="255">
        <f t="shared" si="35"/>
        <v>-10</v>
      </c>
    </row>
    <row r="417" ht="14.25" customHeight="1">
      <c r="B417" s="254">
        <v>45095.0</v>
      </c>
      <c r="C417" s="255" t="str">
        <f t="shared" si="36"/>
        <v/>
      </c>
      <c r="D417" s="255"/>
      <c r="E417" s="255">
        <f t="shared" si="34"/>
        <v>0</v>
      </c>
      <c r="F417" s="255">
        <f t="shared" si="35"/>
        <v>-10</v>
      </c>
    </row>
    <row r="418" ht="14.25" customHeight="1">
      <c r="B418" s="219">
        <v>45096.0</v>
      </c>
      <c r="C418" s="220" t="str">
        <f t="shared" si="36"/>
        <v/>
      </c>
      <c r="D418" s="220"/>
      <c r="E418" s="220">
        <f t="shared" si="34"/>
        <v>0</v>
      </c>
      <c r="F418" s="220">
        <f t="shared" si="35"/>
        <v>-10</v>
      </c>
    </row>
    <row r="419" ht="14.25" customHeight="1">
      <c r="B419" s="219">
        <v>45097.0</v>
      </c>
      <c r="C419" s="220" t="str">
        <f t="shared" si="36"/>
        <v/>
      </c>
      <c r="D419" s="220"/>
      <c r="E419" s="220">
        <f t="shared" si="34"/>
        <v>0</v>
      </c>
      <c r="F419" s="220">
        <f t="shared" si="35"/>
        <v>-10</v>
      </c>
    </row>
    <row r="420" ht="14.25" customHeight="1">
      <c r="B420" s="219">
        <v>45098.0</v>
      </c>
      <c r="C420" s="220" t="str">
        <f t="shared" si="36"/>
        <v/>
      </c>
      <c r="D420" s="220"/>
      <c r="E420" s="220">
        <f t="shared" si="34"/>
        <v>0</v>
      </c>
      <c r="F420" s="220">
        <f t="shared" si="35"/>
        <v>-10</v>
      </c>
    </row>
    <row r="421" ht="14.25" customHeight="1">
      <c r="B421" s="219">
        <v>45099.0</v>
      </c>
      <c r="C421" s="220" t="str">
        <f t="shared" si="36"/>
        <v/>
      </c>
      <c r="D421" s="220"/>
      <c r="E421" s="220">
        <f t="shared" si="34"/>
        <v>0</v>
      </c>
      <c r="F421" s="220">
        <f t="shared" si="35"/>
        <v>-10</v>
      </c>
    </row>
    <row r="422" ht="14.25" customHeight="1">
      <c r="B422" s="219">
        <v>45100.0</v>
      </c>
      <c r="C422" s="220" t="str">
        <f t="shared" si="36"/>
        <v/>
      </c>
      <c r="D422" s="220"/>
      <c r="E422" s="220">
        <f t="shared" si="34"/>
        <v>0</v>
      </c>
      <c r="F422" s="220">
        <f t="shared" si="35"/>
        <v>-10</v>
      </c>
    </row>
    <row r="423" ht="14.25" customHeight="1">
      <c r="B423" s="254">
        <v>45101.0</v>
      </c>
      <c r="C423" s="255" t="str">
        <f t="shared" si="36"/>
        <v/>
      </c>
      <c r="D423" s="255"/>
      <c r="E423" s="255">
        <f t="shared" si="34"/>
        <v>0</v>
      </c>
      <c r="F423" s="255">
        <f t="shared" si="35"/>
        <v>-10</v>
      </c>
    </row>
    <row r="424" ht="14.25" customHeight="1">
      <c r="B424" s="254">
        <v>45102.0</v>
      </c>
      <c r="C424" s="255" t="str">
        <f t="shared" si="36"/>
        <v/>
      </c>
      <c r="D424" s="255"/>
      <c r="E424" s="255">
        <f t="shared" si="34"/>
        <v>0</v>
      </c>
      <c r="F424" s="255">
        <f t="shared" si="35"/>
        <v>-10</v>
      </c>
    </row>
    <row r="425" ht="14.25" customHeight="1">
      <c r="B425" s="219">
        <v>45103.0</v>
      </c>
      <c r="C425" s="220" t="str">
        <f t="shared" si="36"/>
        <v/>
      </c>
      <c r="D425" s="220"/>
      <c r="E425" s="220">
        <f t="shared" si="34"/>
        <v>0</v>
      </c>
      <c r="F425" s="220">
        <f t="shared" si="35"/>
        <v>-10</v>
      </c>
    </row>
    <row r="426" ht="14.25" customHeight="1">
      <c r="B426" s="219">
        <v>45104.0</v>
      </c>
      <c r="C426" s="220" t="str">
        <f t="shared" si="36"/>
        <v/>
      </c>
      <c r="D426" s="220"/>
      <c r="E426" s="220">
        <f t="shared" si="34"/>
        <v>0</v>
      </c>
      <c r="F426" s="220">
        <f t="shared" si="35"/>
        <v>-10</v>
      </c>
    </row>
    <row r="427" ht="14.25" customHeight="1">
      <c r="B427" s="219">
        <v>45105.0</v>
      </c>
      <c r="C427" s="220" t="str">
        <f t="shared" si="36"/>
        <v/>
      </c>
      <c r="D427" s="220"/>
      <c r="E427" s="220">
        <f t="shared" si="34"/>
        <v>0</v>
      </c>
      <c r="F427" s="220">
        <f t="shared" si="35"/>
        <v>-10</v>
      </c>
    </row>
    <row r="428" ht="14.25" customHeight="1">
      <c r="B428" s="219">
        <v>45106.0</v>
      </c>
      <c r="C428" s="220" t="str">
        <f t="shared" si="36"/>
        <v/>
      </c>
      <c r="D428" s="220"/>
      <c r="E428" s="220">
        <f t="shared" si="34"/>
        <v>0</v>
      </c>
      <c r="F428" s="220">
        <f t="shared" si="35"/>
        <v>-10</v>
      </c>
    </row>
    <row r="429" ht="14.25" customHeight="1">
      <c r="B429" s="219">
        <v>45107.0</v>
      </c>
      <c r="C429" s="220" t="str">
        <f t="shared" si="36"/>
        <v/>
      </c>
      <c r="D429" s="220"/>
      <c r="E429" s="220">
        <f t="shared" si="34"/>
        <v>0</v>
      </c>
      <c r="F429" s="220">
        <f t="shared" si="35"/>
        <v>-10</v>
      </c>
    </row>
    <row r="430" ht="14.25" customHeight="1">
      <c r="B430" s="229"/>
      <c r="C430" s="220" t="str">
        <f t="shared" si="36"/>
        <v/>
      </c>
      <c r="D430" s="220"/>
      <c r="E430" s="220">
        <f t="shared" si="34"/>
        <v>0</v>
      </c>
      <c r="F430" s="220">
        <f t="shared" si="35"/>
        <v>-10</v>
      </c>
    </row>
    <row r="431" ht="14.25" customHeight="1">
      <c r="B431" s="216"/>
      <c r="C431" s="223" t="s">
        <v>221</v>
      </c>
      <c r="D431" s="223"/>
      <c r="E431" s="216">
        <f>SUM(E400:E430)</f>
        <v>0</v>
      </c>
      <c r="F431" s="216">
        <f t="shared" si="35"/>
        <v>-10</v>
      </c>
    </row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A1:L1"/>
    <mergeCell ref="K3:L3"/>
    <mergeCell ref="A37:L37"/>
    <mergeCell ref="K39:L39"/>
    <mergeCell ref="A73:L73"/>
    <mergeCell ref="K75:L75"/>
    <mergeCell ref="A109:L109"/>
    <mergeCell ref="K111:L111"/>
    <mergeCell ref="A145:L145"/>
    <mergeCell ref="K147:L147"/>
    <mergeCell ref="A181:L181"/>
    <mergeCell ref="K183:L183"/>
    <mergeCell ref="A217:L217"/>
    <mergeCell ref="K219:L219"/>
    <mergeCell ref="K363:L363"/>
    <mergeCell ref="A397:L397"/>
    <mergeCell ref="K399:L399"/>
    <mergeCell ref="A253:L253"/>
    <mergeCell ref="K255:L255"/>
    <mergeCell ref="A289:L289"/>
    <mergeCell ref="K291:L291"/>
    <mergeCell ref="A325:L325"/>
    <mergeCell ref="K327:L327"/>
    <mergeCell ref="A361:L361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2023-05-31T12:43:02Z</dcterms:created>
  <dc:creator>Grazi</dc:creator>
</cp:coreProperties>
</file>